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\OneDrive\Bureau\"/>
    </mc:Choice>
  </mc:AlternateContent>
  <xr:revisionPtr revIDLastSave="0" documentId="13_ncr:1_{95DE20CF-5C31-4704-AE3E-8C59D9FE096B}" xr6:coauthVersionLast="47" xr6:coauthVersionMax="47" xr10:uidLastSave="{00000000-0000-0000-0000-000000000000}"/>
  <bookViews>
    <workbookView xWindow="-120" yWindow="480" windowWidth="29040" windowHeight="15840" activeTab="2" xr2:uid="{00000000-000D-0000-FFFF-FFFF00000000}"/>
  </bookViews>
  <sheets>
    <sheet name="Tableau" sheetId="9" r:id="rId1"/>
    <sheet name="Conditions" sheetId="7" state="hidden" r:id="rId2"/>
    <sheet name="Graphique animé" sheetId="8" r:id="rId3"/>
  </sheets>
  <definedNames>
    <definedName name="constant">Tableau!$G$4</definedName>
    <definedName name="corps1">Conditions!$B$2:$D$1003</definedName>
    <definedName name="corps2">Conditions!$F$2:$H$1003</definedName>
    <definedName name="corps3">Conditions!$J$2:$L$1003</definedName>
    <definedName name="navettex">Conditions!$P$4:$P$1004</definedName>
    <definedName name="Navettey">Conditions!$Q$4:$Q$1004</definedName>
    <definedName name="numero">Conditions!$N$4:$N$1004</definedName>
    <definedName name="Vaiseau">'Graphique animé'!$B$5:$C$6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9" l="1"/>
  <c r="G19" i="9" l="1"/>
  <c r="G20" i="9" s="1"/>
  <c r="G21" i="9"/>
  <c r="G28" i="9"/>
  <c r="G29" i="9" s="1"/>
  <c r="G30" i="9"/>
  <c r="G38" i="9"/>
  <c r="G39" i="9" s="1"/>
  <c r="G40" i="9"/>
  <c r="B8" i="8" l="1"/>
  <c r="AC4" i="7" l="1"/>
  <c r="D4" i="7"/>
  <c r="C4" i="7"/>
  <c r="AE4" i="7"/>
  <c r="AD4" i="7"/>
  <c r="K5" i="7"/>
  <c r="L5" i="7"/>
  <c r="K6" i="7"/>
  <c r="L6" i="7"/>
  <c r="K7" i="7"/>
  <c r="L7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7" i="7"/>
  <c r="L37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69" i="7"/>
  <c r="L69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5" i="7"/>
  <c r="L95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6" i="7"/>
  <c r="L106" i="7"/>
  <c r="K107" i="7"/>
  <c r="L107" i="7"/>
  <c r="K108" i="7"/>
  <c r="L108" i="7"/>
  <c r="K109" i="7"/>
  <c r="L109" i="7"/>
  <c r="K110" i="7"/>
  <c r="L110" i="7"/>
  <c r="K111" i="7"/>
  <c r="L111" i="7"/>
  <c r="K112" i="7"/>
  <c r="L112" i="7"/>
  <c r="K113" i="7"/>
  <c r="L113" i="7"/>
  <c r="K114" i="7"/>
  <c r="L114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2" i="7"/>
  <c r="L122" i="7"/>
  <c r="K123" i="7"/>
  <c r="L123" i="7"/>
  <c r="K124" i="7"/>
  <c r="L124" i="7"/>
  <c r="K125" i="7"/>
  <c r="L125" i="7"/>
  <c r="K126" i="7"/>
  <c r="L126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K169" i="7"/>
  <c r="L169" i="7"/>
  <c r="K170" i="7"/>
  <c r="L170" i="7"/>
  <c r="K171" i="7"/>
  <c r="L171" i="7"/>
  <c r="K172" i="7"/>
  <c r="L172" i="7"/>
  <c r="K173" i="7"/>
  <c r="L173" i="7"/>
  <c r="K174" i="7"/>
  <c r="L174" i="7"/>
  <c r="K175" i="7"/>
  <c r="L175" i="7"/>
  <c r="K176" i="7"/>
  <c r="L176" i="7"/>
  <c r="K177" i="7"/>
  <c r="L177" i="7"/>
  <c r="K178" i="7"/>
  <c r="L178" i="7"/>
  <c r="K179" i="7"/>
  <c r="L179" i="7"/>
  <c r="K180" i="7"/>
  <c r="L180" i="7"/>
  <c r="K181" i="7"/>
  <c r="L181" i="7"/>
  <c r="K182" i="7"/>
  <c r="L182" i="7"/>
  <c r="K183" i="7"/>
  <c r="L183" i="7"/>
  <c r="K184" i="7"/>
  <c r="L184" i="7"/>
  <c r="K185" i="7"/>
  <c r="L185" i="7"/>
  <c r="K186" i="7"/>
  <c r="L186" i="7"/>
  <c r="K187" i="7"/>
  <c r="L187" i="7"/>
  <c r="K188" i="7"/>
  <c r="L188" i="7"/>
  <c r="K189" i="7"/>
  <c r="L189" i="7"/>
  <c r="K190" i="7"/>
  <c r="L190" i="7"/>
  <c r="K191" i="7"/>
  <c r="L191" i="7"/>
  <c r="K192" i="7"/>
  <c r="L192" i="7"/>
  <c r="K193" i="7"/>
  <c r="L193" i="7"/>
  <c r="K194" i="7"/>
  <c r="L194" i="7"/>
  <c r="K195" i="7"/>
  <c r="L195" i="7"/>
  <c r="K196" i="7"/>
  <c r="L196" i="7"/>
  <c r="K197" i="7"/>
  <c r="L197" i="7"/>
  <c r="K198" i="7"/>
  <c r="L198" i="7"/>
  <c r="K199" i="7"/>
  <c r="L199" i="7"/>
  <c r="K200" i="7"/>
  <c r="L200" i="7"/>
  <c r="K201" i="7"/>
  <c r="L201" i="7"/>
  <c r="K202" i="7"/>
  <c r="L202" i="7"/>
  <c r="K203" i="7"/>
  <c r="L203" i="7"/>
  <c r="K204" i="7"/>
  <c r="L204" i="7"/>
  <c r="K205" i="7"/>
  <c r="L205" i="7"/>
  <c r="K206" i="7"/>
  <c r="L206" i="7"/>
  <c r="K207" i="7"/>
  <c r="L207" i="7"/>
  <c r="K208" i="7"/>
  <c r="L208" i="7"/>
  <c r="K209" i="7"/>
  <c r="L209" i="7"/>
  <c r="K210" i="7"/>
  <c r="L210" i="7"/>
  <c r="K211" i="7"/>
  <c r="L211" i="7"/>
  <c r="K212" i="7"/>
  <c r="L212" i="7"/>
  <c r="K213" i="7"/>
  <c r="L213" i="7"/>
  <c r="K214" i="7"/>
  <c r="L214" i="7"/>
  <c r="K215" i="7"/>
  <c r="L215" i="7"/>
  <c r="K216" i="7"/>
  <c r="L216" i="7"/>
  <c r="K217" i="7"/>
  <c r="L217" i="7"/>
  <c r="K218" i="7"/>
  <c r="L218" i="7"/>
  <c r="K219" i="7"/>
  <c r="L219" i="7"/>
  <c r="K220" i="7"/>
  <c r="L220" i="7"/>
  <c r="K221" i="7"/>
  <c r="L221" i="7"/>
  <c r="K222" i="7"/>
  <c r="L222" i="7"/>
  <c r="K223" i="7"/>
  <c r="L223" i="7"/>
  <c r="K224" i="7"/>
  <c r="L224" i="7"/>
  <c r="K225" i="7"/>
  <c r="L225" i="7"/>
  <c r="K226" i="7"/>
  <c r="L226" i="7"/>
  <c r="K227" i="7"/>
  <c r="L227" i="7"/>
  <c r="K228" i="7"/>
  <c r="L228" i="7"/>
  <c r="K229" i="7"/>
  <c r="L229" i="7"/>
  <c r="K230" i="7"/>
  <c r="L230" i="7"/>
  <c r="K231" i="7"/>
  <c r="L231" i="7"/>
  <c r="K232" i="7"/>
  <c r="L232" i="7"/>
  <c r="K233" i="7"/>
  <c r="L233" i="7"/>
  <c r="K234" i="7"/>
  <c r="L234" i="7"/>
  <c r="K235" i="7"/>
  <c r="L235" i="7"/>
  <c r="K236" i="7"/>
  <c r="L236" i="7"/>
  <c r="K237" i="7"/>
  <c r="L237" i="7"/>
  <c r="K238" i="7"/>
  <c r="L238" i="7"/>
  <c r="K239" i="7"/>
  <c r="L239" i="7"/>
  <c r="K240" i="7"/>
  <c r="L240" i="7"/>
  <c r="K241" i="7"/>
  <c r="L241" i="7"/>
  <c r="K242" i="7"/>
  <c r="L242" i="7"/>
  <c r="K243" i="7"/>
  <c r="L243" i="7"/>
  <c r="K244" i="7"/>
  <c r="L244" i="7"/>
  <c r="K245" i="7"/>
  <c r="L245" i="7"/>
  <c r="K246" i="7"/>
  <c r="L246" i="7"/>
  <c r="K247" i="7"/>
  <c r="L247" i="7"/>
  <c r="K248" i="7"/>
  <c r="L248" i="7"/>
  <c r="K249" i="7"/>
  <c r="L249" i="7"/>
  <c r="K250" i="7"/>
  <c r="L250" i="7"/>
  <c r="K251" i="7"/>
  <c r="L251" i="7"/>
  <c r="K252" i="7"/>
  <c r="L252" i="7"/>
  <c r="K253" i="7"/>
  <c r="L253" i="7"/>
  <c r="K254" i="7"/>
  <c r="L254" i="7"/>
  <c r="K255" i="7"/>
  <c r="L255" i="7"/>
  <c r="K256" i="7"/>
  <c r="L256" i="7"/>
  <c r="K257" i="7"/>
  <c r="L257" i="7"/>
  <c r="K258" i="7"/>
  <c r="L258" i="7"/>
  <c r="K259" i="7"/>
  <c r="L259" i="7"/>
  <c r="K260" i="7"/>
  <c r="L260" i="7"/>
  <c r="K261" i="7"/>
  <c r="L261" i="7"/>
  <c r="K262" i="7"/>
  <c r="L262" i="7"/>
  <c r="K263" i="7"/>
  <c r="L263" i="7"/>
  <c r="K264" i="7"/>
  <c r="L264" i="7"/>
  <c r="K265" i="7"/>
  <c r="L265" i="7"/>
  <c r="K266" i="7"/>
  <c r="L266" i="7"/>
  <c r="K267" i="7"/>
  <c r="L267" i="7"/>
  <c r="K268" i="7"/>
  <c r="L268" i="7"/>
  <c r="K269" i="7"/>
  <c r="L269" i="7"/>
  <c r="K270" i="7"/>
  <c r="L270" i="7"/>
  <c r="K271" i="7"/>
  <c r="L271" i="7"/>
  <c r="K272" i="7"/>
  <c r="L272" i="7"/>
  <c r="K273" i="7"/>
  <c r="L273" i="7"/>
  <c r="K274" i="7"/>
  <c r="L274" i="7"/>
  <c r="K275" i="7"/>
  <c r="L275" i="7"/>
  <c r="K276" i="7"/>
  <c r="L276" i="7"/>
  <c r="K277" i="7"/>
  <c r="L277" i="7"/>
  <c r="K278" i="7"/>
  <c r="L278" i="7"/>
  <c r="K279" i="7"/>
  <c r="L279" i="7"/>
  <c r="K280" i="7"/>
  <c r="L280" i="7"/>
  <c r="K281" i="7"/>
  <c r="L281" i="7"/>
  <c r="K282" i="7"/>
  <c r="L282" i="7"/>
  <c r="K283" i="7"/>
  <c r="L283" i="7"/>
  <c r="K284" i="7"/>
  <c r="L284" i="7"/>
  <c r="K285" i="7"/>
  <c r="L285" i="7"/>
  <c r="K286" i="7"/>
  <c r="L286" i="7"/>
  <c r="K287" i="7"/>
  <c r="L287" i="7"/>
  <c r="K288" i="7"/>
  <c r="L288" i="7"/>
  <c r="K289" i="7"/>
  <c r="L289" i="7"/>
  <c r="K290" i="7"/>
  <c r="L290" i="7"/>
  <c r="K291" i="7"/>
  <c r="L291" i="7"/>
  <c r="K292" i="7"/>
  <c r="L292" i="7"/>
  <c r="K293" i="7"/>
  <c r="L293" i="7"/>
  <c r="K294" i="7"/>
  <c r="L294" i="7"/>
  <c r="K295" i="7"/>
  <c r="L295" i="7"/>
  <c r="K296" i="7"/>
  <c r="L296" i="7"/>
  <c r="K297" i="7"/>
  <c r="L297" i="7"/>
  <c r="K298" i="7"/>
  <c r="L298" i="7"/>
  <c r="K299" i="7"/>
  <c r="L299" i="7"/>
  <c r="K300" i="7"/>
  <c r="L300" i="7"/>
  <c r="K301" i="7"/>
  <c r="L301" i="7"/>
  <c r="K302" i="7"/>
  <c r="L302" i="7"/>
  <c r="K303" i="7"/>
  <c r="L303" i="7"/>
  <c r="K304" i="7"/>
  <c r="L304" i="7"/>
  <c r="K305" i="7"/>
  <c r="L305" i="7"/>
  <c r="K306" i="7"/>
  <c r="L306" i="7"/>
  <c r="K307" i="7"/>
  <c r="L307" i="7"/>
  <c r="K308" i="7"/>
  <c r="L308" i="7"/>
  <c r="K309" i="7"/>
  <c r="L309" i="7"/>
  <c r="K310" i="7"/>
  <c r="L310" i="7"/>
  <c r="K311" i="7"/>
  <c r="L311" i="7"/>
  <c r="K312" i="7"/>
  <c r="L312" i="7"/>
  <c r="K313" i="7"/>
  <c r="L313" i="7"/>
  <c r="K314" i="7"/>
  <c r="L314" i="7"/>
  <c r="K315" i="7"/>
  <c r="L315" i="7"/>
  <c r="K316" i="7"/>
  <c r="L316" i="7"/>
  <c r="K317" i="7"/>
  <c r="L317" i="7"/>
  <c r="K318" i="7"/>
  <c r="L318" i="7"/>
  <c r="K319" i="7"/>
  <c r="L319" i="7"/>
  <c r="K320" i="7"/>
  <c r="L320" i="7"/>
  <c r="K321" i="7"/>
  <c r="L321" i="7"/>
  <c r="K322" i="7"/>
  <c r="L322" i="7"/>
  <c r="K323" i="7"/>
  <c r="L323" i="7"/>
  <c r="K324" i="7"/>
  <c r="L324" i="7"/>
  <c r="K325" i="7"/>
  <c r="L325" i="7"/>
  <c r="K326" i="7"/>
  <c r="L326" i="7"/>
  <c r="K327" i="7"/>
  <c r="L327" i="7"/>
  <c r="K328" i="7"/>
  <c r="L328" i="7"/>
  <c r="K329" i="7"/>
  <c r="L329" i="7"/>
  <c r="K330" i="7"/>
  <c r="L330" i="7"/>
  <c r="K331" i="7"/>
  <c r="L331" i="7"/>
  <c r="K332" i="7"/>
  <c r="L332" i="7"/>
  <c r="K333" i="7"/>
  <c r="L333" i="7"/>
  <c r="K334" i="7"/>
  <c r="L334" i="7"/>
  <c r="K335" i="7"/>
  <c r="L335" i="7"/>
  <c r="K336" i="7"/>
  <c r="L336" i="7"/>
  <c r="K337" i="7"/>
  <c r="L337" i="7"/>
  <c r="K338" i="7"/>
  <c r="L338" i="7"/>
  <c r="K339" i="7"/>
  <c r="L339" i="7"/>
  <c r="K340" i="7"/>
  <c r="L340" i="7"/>
  <c r="K341" i="7"/>
  <c r="L341" i="7"/>
  <c r="K342" i="7"/>
  <c r="L342" i="7"/>
  <c r="K343" i="7"/>
  <c r="L343" i="7"/>
  <c r="K344" i="7"/>
  <c r="L344" i="7"/>
  <c r="K345" i="7"/>
  <c r="L345" i="7"/>
  <c r="K346" i="7"/>
  <c r="L346" i="7"/>
  <c r="K347" i="7"/>
  <c r="L347" i="7"/>
  <c r="K348" i="7"/>
  <c r="L348" i="7"/>
  <c r="K349" i="7"/>
  <c r="L349" i="7"/>
  <c r="K350" i="7"/>
  <c r="L350" i="7"/>
  <c r="K351" i="7"/>
  <c r="L351" i="7"/>
  <c r="K352" i="7"/>
  <c r="L352" i="7"/>
  <c r="K353" i="7"/>
  <c r="L353" i="7"/>
  <c r="K354" i="7"/>
  <c r="L354" i="7"/>
  <c r="K355" i="7"/>
  <c r="L355" i="7"/>
  <c r="K356" i="7"/>
  <c r="L356" i="7"/>
  <c r="K357" i="7"/>
  <c r="L357" i="7"/>
  <c r="K358" i="7"/>
  <c r="L358" i="7"/>
  <c r="K359" i="7"/>
  <c r="L359" i="7"/>
  <c r="K360" i="7"/>
  <c r="L360" i="7"/>
  <c r="K361" i="7"/>
  <c r="L361" i="7"/>
  <c r="K362" i="7"/>
  <c r="L362" i="7"/>
  <c r="K363" i="7"/>
  <c r="L363" i="7"/>
  <c r="K364" i="7"/>
  <c r="L364" i="7"/>
  <c r="K365" i="7"/>
  <c r="L365" i="7"/>
  <c r="K366" i="7"/>
  <c r="L366" i="7"/>
  <c r="K367" i="7"/>
  <c r="L367" i="7"/>
  <c r="K368" i="7"/>
  <c r="L368" i="7"/>
  <c r="K369" i="7"/>
  <c r="L369" i="7"/>
  <c r="K370" i="7"/>
  <c r="L370" i="7"/>
  <c r="K371" i="7"/>
  <c r="L371" i="7"/>
  <c r="K372" i="7"/>
  <c r="L372" i="7"/>
  <c r="K373" i="7"/>
  <c r="L373" i="7"/>
  <c r="K374" i="7"/>
  <c r="L374" i="7"/>
  <c r="K375" i="7"/>
  <c r="L375" i="7"/>
  <c r="K376" i="7"/>
  <c r="L376" i="7"/>
  <c r="K377" i="7"/>
  <c r="L377" i="7"/>
  <c r="K378" i="7"/>
  <c r="L378" i="7"/>
  <c r="K379" i="7"/>
  <c r="L379" i="7"/>
  <c r="K380" i="7"/>
  <c r="L380" i="7"/>
  <c r="K381" i="7"/>
  <c r="L381" i="7"/>
  <c r="K382" i="7"/>
  <c r="L382" i="7"/>
  <c r="K383" i="7"/>
  <c r="L383" i="7"/>
  <c r="K384" i="7"/>
  <c r="L384" i="7"/>
  <c r="K385" i="7"/>
  <c r="L385" i="7"/>
  <c r="K386" i="7"/>
  <c r="L386" i="7"/>
  <c r="K387" i="7"/>
  <c r="L387" i="7"/>
  <c r="K388" i="7"/>
  <c r="L388" i="7"/>
  <c r="K389" i="7"/>
  <c r="L389" i="7"/>
  <c r="K390" i="7"/>
  <c r="L390" i="7"/>
  <c r="K391" i="7"/>
  <c r="L391" i="7"/>
  <c r="K392" i="7"/>
  <c r="L392" i="7"/>
  <c r="K393" i="7"/>
  <c r="L393" i="7"/>
  <c r="K394" i="7"/>
  <c r="L394" i="7"/>
  <c r="K395" i="7"/>
  <c r="L395" i="7"/>
  <c r="K396" i="7"/>
  <c r="L396" i="7"/>
  <c r="K397" i="7"/>
  <c r="L397" i="7"/>
  <c r="K398" i="7"/>
  <c r="L398" i="7"/>
  <c r="K399" i="7"/>
  <c r="L399" i="7"/>
  <c r="K400" i="7"/>
  <c r="L400" i="7"/>
  <c r="K401" i="7"/>
  <c r="L401" i="7"/>
  <c r="K402" i="7"/>
  <c r="L402" i="7"/>
  <c r="K403" i="7"/>
  <c r="L403" i="7"/>
  <c r="K404" i="7"/>
  <c r="L404" i="7"/>
  <c r="K405" i="7"/>
  <c r="L405" i="7"/>
  <c r="K406" i="7"/>
  <c r="L406" i="7"/>
  <c r="K407" i="7"/>
  <c r="L407" i="7"/>
  <c r="K408" i="7"/>
  <c r="L408" i="7"/>
  <c r="K409" i="7"/>
  <c r="L409" i="7"/>
  <c r="K410" i="7"/>
  <c r="L410" i="7"/>
  <c r="K411" i="7"/>
  <c r="L411" i="7"/>
  <c r="K412" i="7"/>
  <c r="L412" i="7"/>
  <c r="K413" i="7"/>
  <c r="L413" i="7"/>
  <c r="K414" i="7"/>
  <c r="L414" i="7"/>
  <c r="K415" i="7"/>
  <c r="L415" i="7"/>
  <c r="K416" i="7"/>
  <c r="L416" i="7"/>
  <c r="K417" i="7"/>
  <c r="L417" i="7"/>
  <c r="K418" i="7"/>
  <c r="L418" i="7"/>
  <c r="K419" i="7"/>
  <c r="L419" i="7"/>
  <c r="K420" i="7"/>
  <c r="L420" i="7"/>
  <c r="K421" i="7"/>
  <c r="L421" i="7"/>
  <c r="K422" i="7"/>
  <c r="L422" i="7"/>
  <c r="K423" i="7"/>
  <c r="L423" i="7"/>
  <c r="K424" i="7"/>
  <c r="L424" i="7"/>
  <c r="K425" i="7"/>
  <c r="L425" i="7"/>
  <c r="K426" i="7"/>
  <c r="L426" i="7"/>
  <c r="K427" i="7"/>
  <c r="L427" i="7"/>
  <c r="K428" i="7"/>
  <c r="L428" i="7"/>
  <c r="K429" i="7"/>
  <c r="L429" i="7"/>
  <c r="K430" i="7"/>
  <c r="L430" i="7"/>
  <c r="K431" i="7"/>
  <c r="L431" i="7"/>
  <c r="K432" i="7"/>
  <c r="L432" i="7"/>
  <c r="K433" i="7"/>
  <c r="L433" i="7"/>
  <c r="K434" i="7"/>
  <c r="L434" i="7"/>
  <c r="K435" i="7"/>
  <c r="L435" i="7"/>
  <c r="K436" i="7"/>
  <c r="L436" i="7"/>
  <c r="K437" i="7"/>
  <c r="L437" i="7"/>
  <c r="K438" i="7"/>
  <c r="L438" i="7"/>
  <c r="K439" i="7"/>
  <c r="L439" i="7"/>
  <c r="K440" i="7"/>
  <c r="L440" i="7"/>
  <c r="K441" i="7"/>
  <c r="L441" i="7"/>
  <c r="K442" i="7"/>
  <c r="L442" i="7"/>
  <c r="K443" i="7"/>
  <c r="L443" i="7"/>
  <c r="K444" i="7"/>
  <c r="L444" i="7"/>
  <c r="K445" i="7"/>
  <c r="L445" i="7"/>
  <c r="K446" i="7"/>
  <c r="L446" i="7"/>
  <c r="K447" i="7"/>
  <c r="L447" i="7"/>
  <c r="K448" i="7"/>
  <c r="L448" i="7"/>
  <c r="K449" i="7"/>
  <c r="L449" i="7"/>
  <c r="K450" i="7"/>
  <c r="L450" i="7"/>
  <c r="K451" i="7"/>
  <c r="L451" i="7"/>
  <c r="K452" i="7"/>
  <c r="L452" i="7"/>
  <c r="K453" i="7"/>
  <c r="L453" i="7"/>
  <c r="K454" i="7"/>
  <c r="L454" i="7"/>
  <c r="K455" i="7"/>
  <c r="L455" i="7"/>
  <c r="K456" i="7"/>
  <c r="L456" i="7"/>
  <c r="K457" i="7"/>
  <c r="L457" i="7"/>
  <c r="K458" i="7"/>
  <c r="L458" i="7"/>
  <c r="K459" i="7"/>
  <c r="L459" i="7"/>
  <c r="K460" i="7"/>
  <c r="L460" i="7"/>
  <c r="K461" i="7"/>
  <c r="L461" i="7"/>
  <c r="K462" i="7"/>
  <c r="L462" i="7"/>
  <c r="K463" i="7"/>
  <c r="L463" i="7"/>
  <c r="K464" i="7"/>
  <c r="L464" i="7"/>
  <c r="K465" i="7"/>
  <c r="L465" i="7"/>
  <c r="K466" i="7"/>
  <c r="L466" i="7"/>
  <c r="K467" i="7"/>
  <c r="L467" i="7"/>
  <c r="K468" i="7"/>
  <c r="L468" i="7"/>
  <c r="K469" i="7"/>
  <c r="L469" i="7"/>
  <c r="K470" i="7"/>
  <c r="L470" i="7"/>
  <c r="K471" i="7"/>
  <c r="L471" i="7"/>
  <c r="K472" i="7"/>
  <c r="L472" i="7"/>
  <c r="K473" i="7"/>
  <c r="L473" i="7"/>
  <c r="K474" i="7"/>
  <c r="L474" i="7"/>
  <c r="K475" i="7"/>
  <c r="L475" i="7"/>
  <c r="K476" i="7"/>
  <c r="L476" i="7"/>
  <c r="K477" i="7"/>
  <c r="L477" i="7"/>
  <c r="K478" i="7"/>
  <c r="L478" i="7"/>
  <c r="K479" i="7"/>
  <c r="L479" i="7"/>
  <c r="K480" i="7"/>
  <c r="L480" i="7"/>
  <c r="K481" i="7"/>
  <c r="L481" i="7"/>
  <c r="K482" i="7"/>
  <c r="L482" i="7"/>
  <c r="K483" i="7"/>
  <c r="L483" i="7"/>
  <c r="K484" i="7"/>
  <c r="L484" i="7"/>
  <c r="K485" i="7"/>
  <c r="L485" i="7"/>
  <c r="K486" i="7"/>
  <c r="L486" i="7"/>
  <c r="K487" i="7"/>
  <c r="L487" i="7"/>
  <c r="K488" i="7"/>
  <c r="L488" i="7"/>
  <c r="K489" i="7"/>
  <c r="L489" i="7"/>
  <c r="K490" i="7"/>
  <c r="L490" i="7"/>
  <c r="K491" i="7"/>
  <c r="L491" i="7"/>
  <c r="K492" i="7"/>
  <c r="L492" i="7"/>
  <c r="K493" i="7"/>
  <c r="L493" i="7"/>
  <c r="K494" i="7"/>
  <c r="L494" i="7"/>
  <c r="K495" i="7"/>
  <c r="L495" i="7"/>
  <c r="K496" i="7"/>
  <c r="L496" i="7"/>
  <c r="K497" i="7"/>
  <c r="L497" i="7"/>
  <c r="K498" i="7"/>
  <c r="L498" i="7"/>
  <c r="K499" i="7"/>
  <c r="L499" i="7"/>
  <c r="K500" i="7"/>
  <c r="L500" i="7"/>
  <c r="K501" i="7"/>
  <c r="L501" i="7"/>
  <c r="K502" i="7"/>
  <c r="L502" i="7"/>
  <c r="K503" i="7"/>
  <c r="L503" i="7"/>
  <c r="K504" i="7"/>
  <c r="L504" i="7"/>
  <c r="K505" i="7"/>
  <c r="L505" i="7"/>
  <c r="K506" i="7"/>
  <c r="L506" i="7"/>
  <c r="K507" i="7"/>
  <c r="L507" i="7"/>
  <c r="K508" i="7"/>
  <c r="L508" i="7"/>
  <c r="K509" i="7"/>
  <c r="L509" i="7"/>
  <c r="K510" i="7"/>
  <c r="L510" i="7"/>
  <c r="K511" i="7"/>
  <c r="L511" i="7"/>
  <c r="K512" i="7"/>
  <c r="L512" i="7"/>
  <c r="K513" i="7"/>
  <c r="L513" i="7"/>
  <c r="K514" i="7"/>
  <c r="L514" i="7"/>
  <c r="K515" i="7"/>
  <c r="L515" i="7"/>
  <c r="K516" i="7"/>
  <c r="L516" i="7"/>
  <c r="K517" i="7"/>
  <c r="L517" i="7"/>
  <c r="K518" i="7"/>
  <c r="L518" i="7"/>
  <c r="K519" i="7"/>
  <c r="L519" i="7"/>
  <c r="K520" i="7"/>
  <c r="L520" i="7"/>
  <c r="K521" i="7"/>
  <c r="L521" i="7"/>
  <c r="K522" i="7"/>
  <c r="L522" i="7"/>
  <c r="K523" i="7"/>
  <c r="L523" i="7"/>
  <c r="K524" i="7"/>
  <c r="L524" i="7"/>
  <c r="K525" i="7"/>
  <c r="L525" i="7"/>
  <c r="K526" i="7"/>
  <c r="L526" i="7"/>
  <c r="K527" i="7"/>
  <c r="L527" i="7"/>
  <c r="K528" i="7"/>
  <c r="L528" i="7"/>
  <c r="K529" i="7"/>
  <c r="L529" i="7"/>
  <c r="K530" i="7"/>
  <c r="L530" i="7"/>
  <c r="K531" i="7"/>
  <c r="L531" i="7"/>
  <c r="K532" i="7"/>
  <c r="L532" i="7"/>
  <c r="K533" i="7"/>
  <c r="L533" i="7"/>
  <c r="K534" i="7"/>
  <c r="L534" i="7"/>
  <c r="K535" i="7"/>
  <c r="L535" i="7"/>
  <c r="K536" i="7"/>
  <c r="L536" i="7"/>
  <c r="K537" i="7"/>
  <c r="L537" i="7"/>
  <c r="K538" i="7"/>
  <c r="L538" i="7"/>
  <c r="K539" i="7"/>
  <c r="L539" i="7"/>
  <c r="K540" i="7"/>
  <c r="L540" i="7"/>
  <c r="K541" i="7"/>
  <c r="L541" i="7"/>
  <c r="K542" i="7"/>
  <c r="L542" i="7"/>
  <c r="K543" i="7"/>
  <c r="L543" i="7"/>
  <c r="K544" i="7"/>
  <c r="L544" i="7"/>
  <c r="K545" i="7"/>
  <c r="L545" i="7"/>
  <c r="K546" i="7"/>
  <c r="L546" i="7"/>
  <c r="K547" i="7"/>
  <c r="L547" i="7"/>
  <c r="K548" i="7"/>
  <c r="L548" i="7"/>
  <c r="K549" i="7"/>
  <c r="L549" i="7"/>
  <c r="K550" i="7"/>
  <c r="L550" i="7"/>
  <c r="K551" i="7"/>
  <c r="L551" i="7"/>
  <c r="K552" i="7"/>
  <c r="L552" i="7"/>
  <c r="K553" i="7"/>
  <c r="L553" i="7"/>
  <c r="K554" i="7"/>
  <c r="L554" i="7"/>
  <c r="K555" i="7"/>
  <c r="L555" i="7"/>
  <c r="K556" i="7"/>
  <c r="L556" i="7"/>
  <c r="K557" i="7"/>
  <c r="L557" i="7"/>
  <c r="K558" i="7"/>
  <c r="L558" i="7"/>
  <c r="K559" i="7"/>
  <c r="L559" i="7"/>
  <c r="K560" i="7"/>
  <c r="L560" i="7"/>
  <c r="K561" i="7"/>
  <c r="L561" i="7"/>
  <c r="K562" i="7"/>
  <c r="L562" i="7"/>
  <c r="K563" i="7"/>
  <c r="L563" i="7"/>
  <c r="K564" i="7"/>
  <c r="L564" i="7"/>
  <c r="K565" i="7"/>
  <c r="L565" i="7"/>
  <c r="K566" i="7"/>
  <c r="L566" i="7"/>
  <c r="K567" i="7"/>
  <c r="L567" i="7"/>
  <c r="K568" i="7"/>
  <c r="L568" i="7"/>
  <c r="K569" i="7"/>
  <c r="L569" i="7"/>
  <c r="K570" i="7"/>
  <c r="L570" i="7"/>
  <c r="K571" i="7"/>
  <c r="L571" i="7"/>
  <c r="K572" i="7"/>
  <c r="L572" i="7"/>
  <c r="K573" i="7"/>
  <c r="L573" i="7"/>
  <c r="K574" i="7"/>
  <c r="L574" i="7"/>
  <c r="K575" i="7"/>
  <c r="L575" i="7"/>
  <c r="K576" i="7"/>
  <c r="L576" i="7"/>
  <c r="K577" i="7"/>
  <c r="L577" i="7"/>
  <c r="K578" i="7"/>
  <c r="L578" i="7"/>
  <c r="K579" i="7"/>
  <c r="L579" i="7"/>
  <c r="K580" i="7"/>
  <c r="L580" i="7"/>
  <c r="K581" i="7"/>
  <c r="L581" i="7"/>
  <c r="K582" i="7"/>
  <c r="L582" i="7"/>
  <c r="K583" i="7"/>
  <c r="L583" i="7"/>
  <c r="K584" i="7"/>
  <c r="L584" i="7"/>
  <c r="K585" i="7"/>
  <c r="L585" i="7"/>
  <c r="K586" i="7"/>
  <c r="L586" i="7"/>
  <c r="K587" i="7"/>
  <c r="L587" i="7"/>
  <c r="K588" i="7"/>
  <c r="L588" i="7"/>
  <c r="K589" i="7"/>
  <c r="L589" i="7"/>
  <c r="K590" i="7"/>
  <c r="L590" i="7"/>
  <c r="K591" i="7"/>
  <c r="L591" i="7"/>
  <c r="K592" i="7"/>
  <c r="L592" i="7"/>
  <c r="K593" i="7"/>
  <c r="L593" i="7"/>
  <c r="K594" i="7"/>
  <c r="L594" i="7"/>
  <c r="K595" i="7"/>
  <c r="L595" i="7"/>
  <c r="K596" i="7"/>
  <c r="L596" i="7"/>
  <c r="K597" i="7"/>
  <c r="L597" i="7"/>
  <c r="K598" i="7"/>
  <c r="L598" i="7"/>
  <c r="K599" i="7"/>
  <c r="L599" i="7"/>
  <c r="K600" i="7"/>
  <c r="L600" i="7"/>
  <c r="K601" i="7"/>
  <c r="L601" i="7"/>
  <c r="K602" i="7"/>
  <c r="L602" i="7"/>
  <c r="K603" i="7"/>
  <c r="L603" i="7"/>
  <c r="K604" i="7"/>
  <c r="L604" i="7"/>
  <c r="K605" i="7"/>
  <c r="L605" i="7"/>
  <c r="K606" i="7"/>
  <c r="L606" i="7"/>
  <c r="K607" i="7"/>
  <c r="L607" i="7"/>
  <c r="K608" i="7"/>
  <c r="L608" i="7"/>
  <c r="K609" i="7"/>
  <c r="L609" i="7"/>
  <c r="K610" i="7"/>
  <c r="L610" i="7"/>
  <c r="K611" i="7"/>
  <c r="L611" i="7"/>
  <c r="K612" i="7"/>
  <c r="L612" i="7"/>
  <c r="K613" i="7"/>
  <c r="L613" i="7"/>
  <c r="K614" i="7"/>
  <c r="L614" i="7"/>
  <c r="K615" i="7"/>
  <c r="L615" i="7"/>
  <c r="K616" i="7"/>
  <c r="L616" i="7"/>
  <c r="K617" i="7"/>
  <c r="L617" i="7"/>
  <c r="K618" i="7"/>
  <c r="L618" i="7"/>
  <c r="K619" i="7"/>
  <c r="L619" i="7"/>
  <c r="K620" i="7"/>
  <c r="L620" i="7"/>
  <c r="K621" i="7"/>
  <c r="L621" i="7"/>
  <c r="K622" i="7"/>
  <c r="L622" i="7"/>
  <c r="K623" i="7"/>
  <c r="L623" i="7"/>
  <c r="K624" i="7"/>
  <c r="L624" i="7"/>
  <c r="K625" i="7"/>
  <c r="L625" i="7"/>
  <c r="K626" i="7"/>
  <c r="L626" i="7"/>
  <c r="K627" i="7"/>
  <c r="L627" i="7"/>
  <c r="K628" i="7"/>
  <c r="L628" i="7"/>
  <c r="K629" i="7"/>
  <c r="L629" i="7"/>
  <c r="K630" i="7"/>
  <c r="L630" i="7"/>
  <c r="K631" i="7"/>
  <c r="L631" i="7"/>
  <c r="K632" i="7"/>
  <c r="L632" i="7"/>
  <c r="K633" i="7"/>
  <c r="L633" i="7"/>
  <c r="K634" i="7"/>
  <c r="L634" i="7"/>
  <c r="K635" i="7"/>
  <c r="L635" i="7"/>
  <c r="K636" i="7"/>
  <c r="L636" i="7"/>
  <c r="K637" i="7"/>
  <c r="L637" i="7"/>
  <c r="K638" i="7"/>
  <c r="L638" i="7"/>
  <c r="K639" i="7"/>
  <c r="L639" i="7"/>
  <c r="K640" i="7"/>
  <c r="L640" i="7"/>
  <c r="K641" i="7"/>
  <c r="L641" i="7"/>
  <c r="K642" i="7"/>
  <c r="L642" i="7"/>
  <c r="K643" i="7"/>
  <c r="L643" i="7"/>
  <c r="K644" i="7"/>
  <c r="L644" i="7"/>
  <c r="K645" i="7"/>
  <c r="L645" i="7"/>
  <c r="K646" i="7"/>
  <c r="L646" i="7"/>
  <c r="K647" i="7"/>
  <c r="L647" i="7"/>
  <c r="K648" i="7"/>
  <c r="L648" i="7"/>
  <c r="K649" i="7"/>
  <c r="L649" i="7"/>
  <c r="K650" i="7"/>
  <c r="L650" i="7"/>
  <c r="K651" i="7"/>
  <c r="L651" i="7"/>
  <c r="K652" i="7"/>
  <c r="L652" i="7"/>
  <c r="K653" i="7"/>
  <c r="L653" i="7"/>
  <c r="K654" i="7"/>
  <c r="L654" i="7"/>
  <c r="K655" i="7"/>
  <c r="L655" i="7"/>
  <c r="K656" i="7"/>
  <c r="L656" i="7"/>
  <c r="K657" i="7"/>
  <c r="L657" i="7"/>
  <c r="K658" i="7"/>
  <c r="L658" i="7"/>
  <c r="K659" i="7"/>
  <c r="L659" i="7"/>
  <c r="K660" i="7"/>
  <c r="L660" i="7"/>
  <c r="K661" i="7"/>
  <c r="L661" i="7"/>
  <c r="K662" i="7"/>
  <c r="L662" i="7"/>
  <c r="K663" i="7"/>
  <c r="L663" i="7"/>
  <c r="K664" i="7"/>
  <c r="L664" i="7"/>
  <c r="K665" i="7"/>
  <c r="L665" i="7"/>
  <c r="K666" i="7"/>
  <c r="L666" i="7"/>
  <c r="K667" i="7"/>
  <c r="L667" i="7"/>
  <c r="K668" i="7"/>
  <c r="L668" i="7"/>
  <c r="K669" i="7"/>
  <c r="L669" i="7"/>
  <c r="K670" i="7"/>
  <c r="L670" i="7"/>
  <c r="K671" i="7"/>
  <c r="L671" i="7"/>
  <c r="K672" i="7"/>
  <c r="L672" i="7"/>
  <c r="K673" i="7"/>
  <c r="L673" i="7"/>
  <c r="K674" i="7"/>
  <c r="L674" i="7"/>
  <c r="K675" i="7"/>
  <c r="L675" i="7"/>
  <c r="K676" i="7"/>
  <c r="L676" i="7"/>
  <c r="K677" i="7"/>
  <c r="L677" i="7"/>
  <c r="K678" i="7"/>
  <c r="L678" i="7"/>
  <c r="K679" i="7"/>
  <c r="L679" i="7"/>
  <c r="K680" i="7"/>
  <c r="L680" i="7"/>
  <c r="K681" i="7"/>
  <c r="L681" i="7"/>
  <c r="K682" i="7"/>
  <c r="L682" i="7"/>
  <c r="K683" i="7"/>
  <c r="L683" i="7"/>
  <c r="K684" i="7"/>
  <c r="L684" i="7"/>
  <c r="K685" i="7"/>
  <c r="L685" i="7"/>
  <c r="K686" i="7"/>
  <c r="L686" i="7"/>
  <c r="K687" i="7"/>
  <c r="L687" i="7"/>
  <c r="K688" i="7"/>
  <c r="L688" i="7"/>
  <c r="K689" i="7"/>
  <c r="L689" i="7"/>
  <c r="K690" i="7"/>
  <c r="L690" i="7"/>
  <c r="K691" i="7"/>
  <c r="L691" i="7"/>
  <c r="K692" i="7"/>
  <c r="L692" i="7"/>
  <c r="K693" i="7"/>
  <c r="L693" i="7"/>
  <c r="K694" i="7"/>
  <c r="L694" i="7"/>
  <c r="K695" i="7"/>
  <c r="L695" i="7"/>
  <c r="K696" i="7"/>
  <c r="L696" i="7"/>
  <c r="K697" i="7"/>
  <c r="L697" i="7"/>
  <c r="K698" i="7"/>
  <c r="L698" i="7"/>
  <c r="K699" i="7"/>
  <c r="L699" i="7"/>
  <c r="K700" i="7"/>
  <c r="L700" i="7"/>
  <c r="K701" i="7"/>
  <c r="L701" i="7"/>
  <c r="K702" i="7"/>
  <c r="L702" i="7"/>
  <c r="K703" i="7"/>
  <c r="L703" i="7"/>
  <c r="K704" i="7"/>
  <c r="L704" i="7"/>
  <c r="K705" i="7"/>
  <c r="L705" i="7"/>
  <c r="K706" i="7"/>
  <c r="L706" i="7"/>
  <c r="K707" i="7"/>
  <c r="L707" i="7"/>
  <c r="K708" i="7"/>
  <c r="L708" i="7"/>
  <c r="K709" i="7"/>
  <c r="L709" i="7"/>
  <c r="K710" i="7"/>
  <c r="L710" i="7"/>
  <c r="K711" i="7"/>
  <c r="L711" i="7"/>
  <c r="K712" i="7"/>
  <c r="L712" i="7"/>
  <c r="K713" i="7"/>
  <c r="L713" i="7"/>
  <c r="K714" i="7"/>
  <c r="L714" i="7"/>
  <c r="K715" i="7"/>
  <c r="L715" i="7"/>
  <c r="K716" i="7"/>
  <c r="L716" i="7"/>
  <c r="K717" i="7"/>
  <c r="L717" i="7"/>
  <c r="K718" i="7"/>
  <c r="L718" i="7"/>
  <c r="K719" i="7"/>
  <c r="L719" i="7"/>
  <c r="K720" i="7"/>
  <c r="L720" i="7"/>
  <c r="K721" i="7"/>
  <c r="L721" i="7"/>
  <c r="K722" i="7"/>
  <c r="L722" i="7"/>
  <c r="K723" i="7"/>
  <c r="L723" i="7"/>
  <c r="K724" i="7"/>
  <c r="L724" i="7"/>
  <c r="K725" i="7"/>
  <c r="L725" i="7"/>
  <c r="K726" i="7"/>
  <c r="L726" i="7"/>
  <c r="K727" i="7"/>
  <c r="L727" i="7"/>
  <c r="K728" i="7"/>
  <c r="L728" i="7"/>
  <c r="K729" i="7"/>
  <c r="L729" i="7"/>
  <c r="K730" i="7"/>
  <c r="L730" i="7"/>
  <c r="K731" i="7"/>
  <c r="L731" i="7"/>
  <c r="K732" i="7"/>
  <c r="L732" i="7"/>
  <c r="K733" i="7"/>
  <c r="L733" i="7"/>
  <c r="K734" i="7"/>
  <c r="L734" i="7"/>
  <c r="K735" i="7"/>
  <c r="L735" i="7"/>
  <c r="K736" i="7"/>
  <c r="L736" i="7"/>
  <c r="K737" i="7"/>
  <c r="L737" i="7"/>
  <c r="K738" i="7"/>
  <c r="L738" i="7"/>
  <c r="K739" i="7"/>
  <c r="L739" i="7"/>
  <c r="K740" i="7"/>
  <c r="L740" i="7"/>
  <c r="K741" i="7"/>
  <c r="L741" i="7"/>
  <c r="K742" i="7"/>
  <c r="L742" i="7"/>
  <c r="K743" i="7"/>
  <c r="L743" i="7"/>
  <c r="K744" i="7"/>
  <c r="L744" i="7"/>
  <c r="K745" i="7"/>
  <c r="L745" i="7"/>
  <c r="K746" i="7"/>
  <c r="L746" i="7"/>
  <c r="K747" i="7"/>
  <c r="L747" i="7"/>
  <c r="K748" i="7"/>
  <c r="L748" i="7"/>
  <c r="K749" i="7"/>
  <c r="L749" i="7"/>
  <c r="K750" i="7"/>
  <c r="L750" i="7"/>
  <c r="K751" i="7"/>
  <c r="L751" i="7"/>
  <c r="K752" i="7"/>
  <c r="L752" i="7"/>
  <c r="K753" i="7"/>
  <c r="L753" i="7"/>
  <c r="K754" i="7"/>
  <c r="L754" i="7"/>
  <c r="K755" i="7"/>
  <c r="L755" i="7"/>
  <c r="K756" i="7"/>
  <c r="L756" i="7"/>
  <c r="K757" i="7"/>
  <c r="L757" i="7"/>
  <c r="K758" i="7"/>
  <c r="L758" i="7"/>
  <c r="K759" i="7"/>
  <c r="L759" i="7"/>
  <c r="K760" i="7"/>
  <c r="L760" i="7"/>
  <c r="K761" i="7"/>
  <c r="L761" i="7"/>
  <c r="K762" i="7"/>
  <c r="L762" i="7"/>
  <c r="K763" i="7"/>
  <c r="L763" i="7"/>
  <c r="K764" i="7"/>
  <c r="L764" i="7"/>
  <c r="K765" i="7"/>
  <c r="L765" i="7"/>
  <c r="K766" i="7"/>
  <c r="L766" i="7"/>
  <c r="K767" i="7"/>
  <c r="L767" i="7"/>
  <c r="K768" i="7"/>
  <c r="L768" i="7"/>
  <c r="K769" i="7"/>
  <c r="L769" i="7"/>
  <c r="K770" i="7"/>
  <c r="L770" i="7"/>
  <c r="K771" i="7"/>
  <c r="L771" i="7"/>
  <c r="K772" i="7"/>
  <c r="L772" i="7"/>
  <c r="K773" i="7"/>
  <c r="L773" i="7"/>
  <c r="K774" i="7"/>
  <c r="L774" i="7"/>
  <c r="K775" i="7"/>
  <c r="L775" i="7"/>
  <c r="K776" i="7"/>
  <c r="L776" i="7"/>
  <c r="K777" i="7"/>
  <c r="L777" i="7"/>
  <c r="K778" i="7"/>
  <c r="L778" i="7"/>
  <c r="K779" i="7"/>
  <c r="L779" i="7"/>
  <c r="K780" i="7"/>
  <c r="L780" i="7"/>
  <c r="K781" i="7"/>
  <c r="L781" i="7"/>
  <c r="K782" i="7"/>
  <c r="L782" i="7"/>
  <c r="K783" i="7"/>
  <c r="L783" i="7"/>
  <c r="K784" i="7"/>
  <c r="L784" i="7"/>
  <c r="K785" i="7"/>
  <c r="L785" i="7"/>
  <c r="K786" i="7"/>
  <c r="L786" i="7"/>
  <c r="K787" i="7"/>
  <c r="L787" i="7"/>
  <c r="K788" i="7"/>
  <c r="L788" i="7"/>
  <c r="K789" i="7"/>
  <c r="L789" i="7"/>
  <c r="K790" i="7"/>
  <c r="L790" i="7"/>
  <c r="K791" i="7"/>
  <c r="L791" i="7"/>
  <c r="K792" i="7"/>
  <c r="L792" i="7"/>
  <c r="K793" i="7"/>
  <c r="L793" i="7"/>
  <c r="K794" i="7"/>
  <c r="L794" i="7"/>
  <c r="K795" i="7"/>
  <c r="L795" i="7"/>
  <c r="K796" i="7"/>
  <c r="L796" i="7"/>
  <c r="K797" i="7"/>
  <c r="L797" i="7"/>
  <c r="K798" i="7"/>
  <c r="L798" i="7"/>
  <c r="K799" i="7"/>
  <c r="L799" i="7"/>
  <c r="K800" i="7"/>
  <c r="L800" i="7"/>
  <c r="K801" i="7"/>
  <c r="L801" i="7"/>
  <c r="K802" i="7"/>
  <c r="L802" i="7"/>
  <c r="K803" i="7"/>
  <c r="L803" i="7"/>
  <c r="K804" i="7"/>
  <c r="L804" i="7"/>
  <c r="K805" i="7"/>
  <c r="L805" i="7"/>
  <c r="K806" i="7"/>
  <c r="L806" i="7"/>
  <c r="K807" i="7"/>
  <c r="L807" i="7"/>
  <c r="K808" i="7"/>
  <c r="L808" i="7"/>
  <c r="K809" i="7"/>
  <c r="L809" i="7"/>
  <c r="K810" i="7"/>
  <c r="L810" i="7"/>
  <c r="K811" i="7"/>
  <c r="L811" i="7"/>
  <c r="K812" i="7"/>
  <c r="L812" i="7"/>
  <c r="K813" i="7"/>
  <c r="L813" i="7"/>
  <c r="K814" i="7"/>
  <c r="L814" i="7"/>
  <c r="K815" i="7"/>
  <c r="L815" i="7"/>
  <c r="K816" i="7"/>
  <c r="L816" i="7"/>
  <c r="K817" i="7"/>
  <c r="L817" i="7"/>
  <c r="K818" i="7"/>
  <c r="L818" i="7"/>
  <c r="K819" i="7"/>
  <c r="L819" i="7"/>
  <c r="K820" i="7"/>
  <c r="L820" i="7"/>
  <c r="K821" i="7"/>
  <c r="L821" i="7"/>
  <c r="K822" i="7"/>
  <c r="L822" i="7"/>
  <c r="K823" i="7"/>
  <c r="L823" i="7"/>
  <c r="K824" i="7"/>
  <c r="L824" i="7"/>
  <c r="K825" i="7"/>
  <c r="L825" i="7"/>
  <c r="K826" i="7"/>
  <c r="L826" i="7"/>
  <c r="K827" i="7"/>
  <c r="L827" i="7"/>
  <c r="K828" i="7"/>
  <c r="L828" i="7"/>
  <c r="K829" i="7"/>
  <c r="L829" i="7"/>
  <c r="K830" i="7"/>
  <c r="L830" i="7"/>
  <c r="K831" i="7"/>
  <c r="L831" i="7"/>
  <c r="K832" i="7"/>
  <c r="L832" i="7"/>
  <c r="K833" i="7"/>
  <c r="L833" i="7"/>
  <c r="K834" i="7"/>
  <c r="L834" i="7"/>
  <c r="K835" i="7"/>
  <c r="L835" i="7"/>
  <c r="K836" i="7"/>
  <c r="L836" i="7"/>
  <c r="K837" i="7"/>
  <c r="L837" i="7"/>
  <c r="K838" i="7"/>
  <c r="L838" i="7"/>
  <c r="K839" i="7"/>
  <c r="L839" i="7"/>
  <c r="K840" i="7"/>
  <c r="L840" i="7"/>
  <c r="K841" i="7"/>
  <c r="L841" i="7"/>
  <c r="K842" i="7"/>
  <c r="L842" i="7"/>
  <c r="K843" i="7"/>
  <c r="L843" i="7"/>
  <c r="K844" i="7"/>
  <c r="L844" i="7"/>
  <c r="K845" i="7"/>
  <c r="L845" i="7"/>
  <c r="K846" i="7"/>
  <c r="L846" i="7"/>
  <c r="K847" i="7"/>
  <c r="L847" i="7"/>
  <c r="K848" i="7"/>
  <c r="L848" i="7"/>
  <c r="K849" i="7"/>
  <c r="L849" i="7"/>
  <c r="K850" i="7"/>
  <c r="L850" i="7"/>
  <c r="K851" i="7"/>
  <c r="L851" i="7"/>
  <c r="K852" i="7"/>
  <c r="L852" i="7"/>
  <c r="K853" i="7"/>
  <c r="L853" i="7"/>
  <c r="K854" i="7"/>
  <c r="L854" i="7"/>
  <c r="K855" i="7"/>
  <c r="L855" i="7"/>
  <c r="K856" i="7"/>
  <c r="L856" i="7"/>
  <c r="K857" i="7"/>
  <c r="L857" i="7"/>
  <c r="K858" i="7"/>
  <c r="L858" i="7"/>
  <c r="K859" i="7"/>
  <c r="L859" i="7"/>
  <c r="K860" i="7"/>
  <c r="L860" i="7"/>
  <c r="K861" i="7"/>
  <c r="L861" i="7"/>
  <c r="K862" i="7"/>
  <c r="L862" i="7"/>
  <c r="K863" i="7"/>
  <c r="L863" i="7"/>
  <c r="K864" i="7"/>
  <c r="L864" i="7"/>
  <c r="K865" i="7"/>
  <c r="L865" i="7"/>
  <c r="K866" i="7"/>
  <c r="L866" i="7"/>
  <c r="K867" i="7"/>
  <c r="L867" i="7"/>
  <c r="K868" i="7"/>
  <c r="L868" i="7"/>
  <c r="K869" i="7"/>
  <c r="L869" i="7"/>
  <c r="K870" i="7"/>
  <c r="L870" i="7"/>
  <c r="K871" i="7"/>
  <c r="L871" i="7"/>
  <c r="K872" i="7"/>
  <c r="L872" i="7"/>
  <c r="K873" i="7"/>
  <c r="L873" i="7"/>
  <c r="K874" i="7"/>
  <c r="L874" i="7"/>
  <c r="K875" i="7"/>
  <c r="L875" i="7"/>
  <c r="K876" i="7"/>
  <c r="L876" i="7"/>
  <c r="K877" i="7"/>
  <c r="L877" i="7"/>
  <c r="K878" i="7"/>
  <c r="L878" i="7"/>
  <c r="K879" i="7"/>
  <c r="L879" i="7"/>
  <c r="K880" i="7"/>
  <c r="L880" i="7"/>
  <c r="K881" i="7"/>
  <c r="L881" i="7"/>
  <c r="K882" i="7"/>
  <c r="L882" i="7"/>
  <c r="K883" i="7"/>
  <c r="L883" i="7"/>
  <c r="K884" i="7"/>
  <c r="L884" i="7"/>
  <c r="K885" i="7"/>
  <c r="L885" i="7"/>
  <c r="K886" i="7"/>
  <c r="L886" i="7"/>
  <c r="K887" i="7"/>
  <c r="L887" i="7"/>
  <c r="K888" i="7"/>
  <c r="L888" i="7"/>
  <c r="K889" i="7"/>
  <c r="L889" i="7"/>
  <c r="K890" i="7"/>
  <c r="L890" i="7"/>
  <c r="K891" i="7"/>
  <c r="L891" i="7"/>
  <c r="K892" i="7"/>
  <c r="L892" i="7"/>
  <c r="K893" i="7"/>
  <c r="L893" i="7"/>
  <c r="K894" i="7"/>
  <c r="L894" i="7"/>
  <c r="K895" i="7"/>
  <c r="L895" i="7"/>
  <c r="K896" i="7"/>
  <c r="L896" i="7"/>
  <c r="K897" i="7"/>
  <c r="L897" i="7"/>
  <c r="K898" i="7"/>
  <c r="L898" i="7"/>
  <c r="K899" i="7"/>
  <c r="L899" i="7"/>
  <c r="K900" i="7"/>
  <c r="L900" i="7"/>
  <c r="K901" i="7"/>
  <c r="L901" i="7"/>
  <c r="K902" i="7"/>
  <c r="L902" i="7"/>
  <c r="K903" i="7"/>
  <c r="L903" i="7"/>
  <c r="K904" i="7"/>
  <c r="L904" i="7"/>
  <c r="K905" i="7"/>
  <c r="L905" i="7"/>
  <c r="K906" i="7"/>
  <c r="L906" i="7"/>
  <c r="K907" i="7"/>
  <c r="L907" i="7"/>
  <c r="K908" i="7"/>
  <c r="L908" i="7"/>
  <c r="K909" i="7"/>
  <c r="L909" i="7"/>
  <c r="K910" i="7"/>
  <c r="L910" i="7"/>
  <c r="K911" i="7"/>
  <c r="L911" i="7"/>
  <c r="K912" i="7"/>
  <c r="L912" i="7"/>
  <c r="K913" i="7"/>
  <c r="L913" i="7"/>
  <c r="K914" i="7"/>
  <c r="L914" i="7"/>
  <c r="K915" i="7"/>
  <c r="L915" i="7"/>
  <c r="K916" i="7"/>
  <c r="L916" i="7"/>
  <c r="K917" i="7"/>
  <c r="L917" i="7"/>
  <c r="K918" i="7"/>
  <c r="L918" i="7"/>
  <c r="K919" i="7"/>
  <c r="L919" i="7"/>
  <c r="K920" i="7"/>
  <c r="L920" i="7"/>
  <c r="K921" i="7"/>
  <c r="L921" i="7"/>
  <c r="K922" i="7"/>
  <c r="L922" i="7"/>
  <c r="K923" i="7"/>
  <c r="L923" i="7"/>
  <c r="K924" i="7"/>
  <c r="L924" i="7"/>
  <c r="K925" i="7"/>
  <c r="L925" i="7"/>
  <c r="K926" i="7"/>
  <c r="L926" i="7"/>
  <c r="K927" i="7"/>
  <c r="L927" i="7"/>
  <c r="K928" i="7"/>
  <c r="L928" i="7"/>
  <c r="K929" i="7"/>
  <c r="L929" i="7"/>
  <c r="K930" i="7"/>
  <c r="L930" i="7"/>
  <c r="K931" i="7"/>
  <c r="L931" i="7"/>
  <c r="K932" i="7"/>
  <c r="L932" i="7"/>
  <c r="K933" i="7"/>
  <c r="L933" i="7"/>
  <c r="K934" i="7"/>
  <c r="L934" i="7"/>
  <c r="K935" i="7"/>
  <c r="L935" i="7"/>
  <c r="K936" i="7"/>
  <c r="L936" i="7"/>
  <c r="K937" i="7"/>
  <c r="L937" i="7"/>
  <c r="K938" i="7"/>
  <c r="L938" i="7"/>
  <c r="K939" i="7"/>
  <c r="L939" i="7"/>
  <c r="K940" i="7"/>
  <c r="L940" i="7"/>
  <c r="K941" i="7"/>
  <c r="L941" i="7"/>
  <c r="K942" i="7"/>
  <c r="L942" i="7"/>
  <c r="K943" i="7"/>
  <c r="L943" i="7"/>
  <c r="K944" i="7"/>
  <c r="L944" i="7"/>
  <c r="K945" i="7"/>
  <c r="L945" i="7"/>
  <c r="K946" i="7"/>
  <c r="L946" i="7"/>
  <c r="K947" i="7"/>
  <c r="L947" i="7"/>
  <c r="K948" i="7"/>
  <c r="L948" i="7"/>
  <c r="K949" i="7"/>
  <c r="L949" i="7"/>
  <c r="K950" i="7"/>
  <c r="L950" i="7"/>
  <c r="K951" i="7"/>
  <c r="L951" i="7"/>
  <c r="K952" i="7"/>
  <c r="L952" i="7"/>
  <c r="K953" i="7"/>
  <c r="L953" i="7"/>
  <c r="K954" i="7"/>
  <c r="L954" i="7"/>
  <c r="K955" i="7"/>
  <c r="L955" i="7"/>
  <c r="K956" i="7"/>
  <c r="L956" i="7"/>
  <c r="K957" i="7"/>
  <c r="L957" i="7"/>
  <c r="K958" i="7"/>
  <c r="L958" i="7"/>
  <c r="K959" i="7"/>
  <c r="L959" i="7"/>
  <c r="K960" i="7"/>
  <c r="L960" i="7"/>
  <c r="K961" i="7"/>
  <c r="L961" i="7"/>
  <c r="K962" i="7"/>
  <c r="L962" i="7"/>
  <c r="K963" i="7"/>
  <c r="L963" i="7"/>
  <c r="K964" i="7"/>
  <c r="L964" i="7"/>
  <c r="K965" i="7"/>
  <c r="L965" i="7"/>
  <c r="K966" i="7"/>
  <c r="L966" i="7"/>
  <c r="K967" i="7"/>
  <c r="L967" i="7"/>
  <c r="K968" i="7"/>
  <c r="L968" i="7"/>
  <c r="K969" i="7"/>
  <c r="L969" i="7"/>
  <c r="K970" i="7"/>
  <c r="L970" i="7"/>
  <c r="K971" i="7"/>
  <c r="L971" i="7"/>
  <c r="K972" i="7"/>
  <c r="L972" i="7"/>
  <c r="K973" i="7"/>
  <c r="L973" i="7"/>
  <c r="K974" i="7"/>
  <c r="L974" i="7"/>
  <c r="K975" i="7"/>
  <c r="L975" i="7"/>
  <c r="K976" i="7"/>
  <c r="L976" i="7"/>
  <c r="K977" i="7"/>
  <c r="L977" i="7"/>
  <c r="K978" i="7"/>
  <c r="L978" i="7"/>
  <c r="K979" i="7"/>
  <c r="L979" i="7"/>
  <c r="K980" i="7"/>
  <c r="L980" i="7"/>
  <c r="K981" i="7"/>
  <c r="L981" i="7"/>
  <c r="K982" i="7"/>
  <c r="L982" i="7"/>
  <c r="K983" i="7"/>
  <c r="L983" i="7"/>
  <c r="K984" i="7"/>
  <c r="L984" i="7"/>
  <c r="K985" i="7"/>
  <c r="L985" i="7"/>
  <c r="K986" i="7"/>
  <c r="L986" i="7"/>
  <c r="K987" i="7"/>
  <c r="L987" i="7"/>
  <c r="K988" i="7"/>
  <c r="L988" i="7"/>
  <c r="K989" i="7"/>
  <c r="L989" i="7"/>
  <c r="K990" i="7"/>
  <c r="L990" i="7"/>
  <c r="K991" i="7"/>
  <c r="L991" i="7"/>
  <c r="K992" i="7"/>
  <c r="L992" i="7"/>
  <c r="K993" i="7"/>
  <c r="L993" i="7"/>
  <c r="K994" i="7"/>
  <c r="L994" i="7"/>
  <c r="K995" i="7"/>
  <c r="L995" i="7"/>
  <c r="K996" i="7"/>
  <c r="L996" i="7"/>
  <c r="K997" i="7"/>
  <c r="L997" i="7"/>
  <c r="K998" i="7"/>
  <c r="L998" i="7"/>
  <c r="K999" i="7"/>
  <c r="L999" i="7"/>
  <c r="K1000" i="7"/>
  <c r="L1000" i="7"/>
  <c r="K1001" i="7"/>
  <c r="L1001" i="7"/>
  <c r="K1002" i="7"/>
  <c r="L1002" i="7"/>
  <c r="K1003" i="7"/>
  <c r="L1003" i="7"/>
  <c r="L4" i="7"/>
  <c r="D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G958" i="7"/>
  <c r="H958" i="7"/>
  <c r="G959" i="7"/>
  <c r="H959" i="7"/>
  <c r="G960" i="7"/>
  <c r="H960" i="7"/>
  <c r="G961" i="7"/>
  <c r="H961" i="7"/>
  <c r="G962" i="7"/>
  <c r="H962" i="7"/>
  <c r="G963" i="7"/>
  <c r="H963" i="7"/>
  <c r="G964" i="7"/>
  <c r="H964" i="7"/>
  <c r="G965" i="7"/>
  <c r="H965" i="7"/>
  <c r="G966" i="7"/>
  <c r="H966" i="7"/>
  <c r="G967" i="7"/>
  <c r="H967" i="7"/>
  <c r="G968" i="7"/>
  <c r="H968" i="7"/>
  <c r="G969" i="7"/>
  <c r="H969" i="7"/>
  <c r="G970" i="7"/>
  <c r="H970" i="7"/>
  <c r="G971" i="7"/>
  <c r="H971" i="7"/>
  <c r="G972" i="7"/>
  <c r="H972" i="7"/>
  <c r="G973" i="7"/>
  <c r="H973" i="7"/>
  <c r="G974" i="7"/>
  <c r="H974" i="7"/>
  <c r="G975" i="7"/>
  <c r="H975" i="7"/>
  <c r="G976" i="7"/>
  <c r="H976" i="7"/>
  <c r="G977" i="7"/>
  <c r="H977" i="7"/>
  <c r="G978" i="7"/>
  <c r="H978" i="7"/>
  <c r="G979" i="7"/>
  <c r="H979" i="7"/>
  <c r="G980" i="7"/>
  <c r="H980" i="7"/>
  <c r="G981" i="7"/>
  <c r="H981" i="7"/>
  <c r="G982" i="7"/>
  <c r="H982" i="7"/>
  <c r="G983" i="7"/>
  <c r="H983" i="7"/>
  <c r="G984" i="7"/>
  <c r="H984" i="7"/>
  <c r="G985" i="7"/>
  <c r="H985" i="7"/>
  <c r="G986" i="7"/>
  <c r="H986" i="7"/>
  <c r="G987" i="7"/>
  <c r="H987" i="7"/>
  <c r="G988" i="7"/>
  <c r="H988" i="7"/>
  <c r="G989" i="7"/>
  <c r="H989" i="7"/>
  <c r="G990" i="7"/>
  <c r="H990" i="7"/>
  <c r="G991" i="7"/>
  <c r="H991" i="7"/>
  <c r="G992" i="7"/>
  <c r="H992" i="7"/>
  <c r="G993" i="7"/>
  <c r="H993" i="7"/>
  <c r="G994" i="7"/>
  <c r="H994" i="7"/>
  <c r="G995" i="7"/>
  <c r="H995" i="7"/>
  <c r="G996" i="7"/>
  <c r="H996" i="7"/>
  <c r="G997" i="7"/>
  <c r="H997" i="7"/>
  <c r="G998" i="7"/>
  <c r="H998" i="7"/>
  <c r="G999" i="7"/>
  <c r="H999" i="7"/>
  <c r="G1000" i="7"/>
  <c r="H1000" i="7"/>
  <c r="G1001" i="7"/>
  <c r="H1001" i="7"/>
  <c r="G1002" i="7"/>
  <c r="H1002" i="7"/>
  <c r="G1003" i="7"/>
  <c r="H1003" i="7"/>
  <c r="G5" i="7"/>
  <c r="H5" i="7"/>
  <c r="H4" i="7"/>
  <c r="K4" i="7"/>
  <c r="G4" i="7"/>
  <c r="C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C958" i="7"/>
  <c r="D958" i="7"/>
  <c r="C959" i="7"/>
  <c r="D959" i="7"/>
  <c r="C960" i="7"/>
  <c r="D960" i="7"/>
  <c r="C961" i="7"/>
  <c r="D961" i="7"/>
  <c r="C962" i="7"/>
  <c r="D962" i="7"/>
  <c r="C963" i="7"/>
  <c r="D963" i="7"/>
  <c r="C964" i="7"/>
  <c r="D964" i="7"/>
  <c r="C965" i="7"/>
  <c r="D965" i="7"/>
  <c r="C966" i="7"/>
  <c r="D966" i="7"/>
  <c r="C967" i="7"/>
  <c r="D967" i="7"/>
  <c r="C968" i="7"/>
  <c r="D968" i="7"/>
  <c r="C969" i="7"/>
  <c r="D969" i="7"/>
  <c r="C970" i="7"/>
  <c r="D970" i="7"/>
  <c r="C971" i="7"/>
  <c r="D971" i="7"/>
  <c r="C972" i="7"/>
  <c r="D972" i="7"/>
  <c r="C973" i="7"/>
  <c r="D973" i="7"/>
  <c r="C974" i="7"/>
  <c r="D974" i="7"/>
  <c r="C975" i="7"/>
  <c r="D975" i="7"/>
  <c r="C976" i="7"/>
  <c r="D976" i="7"/>
  <c r="C977" i="7"/>
  <c r="D977" i="7"/>
  <c r="C978" i="7"/>
  <c r="D978" i="7"/>
  <c r="C979" i="7"/>
  <c r="D979" i="7"/>
  <c r="C980" i="7"/>
  <c r="D980" i="7"/>
  <c r="C981" i="7"/>
  <c r="D981" i="7"/>
  <c r="C982" i="7"/>
  <c r="D982" i="7"/>
  <c r="C983" i="7"/>
  <c r="D983" i="7"/>
  <c r="C984" i="7"/>
  <c r="D984" i="7"/>
  <c r="C985" i="7"/>
  <c r="D985" i="7"/>
  <c r="C986" i="7"/>
  <c r="D986" i="7"/>
  <c r="C987" i="7"/>
  <c r="D987" i="7"/>
  <c r="C988" i="7"/>
  <c r="D988" i="7"/>
  <c r="C989" i="7"/>
  <c r="D989" i="7"/>
  <c r="C990" i="7"/>
  <c r="D990" i="7"/>
  <c r="C991" i="7"/>
  <c r="D991" i="7"/>
  <c r="C992" i="7"/>
  <c r="D992" i="7"/>
  <c r="C993" i="7"/>
  <c r="D993" i="7"/>
  <c r="C994" i="7"/>
  <c r="D994" i="7"/>
  <c r="C995" i="7"/>
  <c r="D995" i="7"/>
  <c r="C996" i="7"/>
  <c r="D996" i="7"/>
  <c r="C997" i="7"/>
  <c r="D997" i="7"/>
  <c r="C998" i="7"/>
  <c r="D998" i="7"/>
  <c r="C999" i="7"/>
  <c r="D999" i="7"/>
  <c r="C1000" i="7"/>
  <c r="D1000" i="7"/>
  <c r="C1001" i="7"/>
  <c r="D1001" i="7"/>
  <c r="C1002" i="7"/>
  <c r="D1002" i="7"/>
  <c r="C1003" i="7"/>
  <c r="D1003" i="7"/>
  <c r="Y4" i="7" l="1"/>
  <c r="Z4" i="7"/>
  <c r="AA4" i="7"/>
  <c r="W4" i="7"/>
  <c r="V4" i="7"/>
  <c r="X4" i="7"/>
  <c r="U4" i="7" l="1"/>
  <c r="S5" i="7" s="1"/>
  <c r="T4" i="7"/>
  <c r="P5" i="7" s="1"/>
  <c r="B3" i="8" s="1"/>
  <c r="R5" i="7" l="1"/>
  <c r="Q5" i="7"/>
  <c r="AE5" i="7" s="1"/>
  <c r="AA5" i="7" s="1"/>
  <c r="AD5" i="7" l="1"/>
  <c r="Y5" i="7" s="1"/>
  <c r="AC5" i="7"/>
  <c r="V5" i="7" s="1"/>
  <c r="C3" i="8"/>
  <c r="Z5" i="7"/>
  <c r="X5" i="7" l="1"/>
  <c r="T5" i="7" s="1"/>
  <c r="W5" i="7"/>
  <c r="U5" i="7" s="1"/>
  <c r="S6" i="7" s="1"/>
  <c r="P6" i="7" l="1"/>
  <c r="R6" i="7"/>
  <c r="Q6" i="7"/>
  <c r="AE6" i="7" l="1"/>
  <c r="AA6" i="7" s="1"/>
  <c r="AD6" i="7"/>
  <c r="Y6" i="7" s="1"/>
  <c r="AC6" i="7"/>
  <c r="W6" i="7" s="1"/>
  <c r="Z6" i="7" l="1"/>
  <c r="X6" i="7"/>
  <c r="V6" i="7"/>
  <c r="U6" i="7"/>
  <c r="S7" i="7" s="1"/>
  <c r="T6" i="7" l="1"/>
  <c r="P7" i="7" s="1"/>
  <c r="Q7" i="7"/>
  <c r="R7" i="7" l="1"/>
  <c r="AD7" i="7"/>
  <c r="X7" i="7" s="1"/>
  <c r="AC7" i="7"/>
  <c r="V7" i="7" s="1"/>
  <c r="AE7" i="7"/>
  <c r="Y7" i="7" l="1"/>
  <c r="W7" i="7"/>
  <c r="Z7" i="7"/>
  <c r="T7" i="7" s="1"/>
  <c r="AA7" i="7"/>
  <c r="R8" i="7" l="1"/>
  <c r="P8" i="7"/>
  <c r="U7" i="7"/>
  <c r="Q8" i="7" s="1"/>
  <c r="S8" i="7" l="1"/>
  <c r="AD8" i="7"/>
  <c r="Y8" i="7" s="1"/>
  <c r="AE8" i="7"/>
  <c r="AA8" i="7" s="1"/>
  <c r="AC8" i="7"/>
  <c r="W8" i="7" s="1"/>
  <c r="V8" i="7" l="1"/>
  <c r="Z8" i="7"/>
  <c r="X8" i="7"/>
  <c r="U8" i="7"/>
  <c r="T8" i="7" l="1"/>
  <c r="P9" i="7" s="1"/>
  <c r="Q9" i="7"/>
  <c r="S9" i="7"/>
  <c r="R9" i="7" l="1"/>
  <c r="AE9" i="7"/>
  <c r="Z9" i="7" s="1"/>
  <c r="AC9" i="7"/>
  <c r="V9" i="7" s="1"/>
  <c r="AD9" i="7"/>
  <c r="X9" i="7" s="1"/>
  <c r="T9" i="7" l="1"/>
  <c r="AA9" i="7"/>
  <c r="Y9" i="7"/>
  <c r="W9" i="7"/>
  <c r="U9" i="7" l="1"/>
  <c r="S10" i="7" s="1"/>
  <c r="P10" i="7"/>
  <c r="R10" i="7"/>
  <c r="Q10" i="7" l="1"/>
  <c r="AD10" i="7" l="1"/>
  <c r="X10" i="7" s="1"/>
  <c r="AC10" i="7"/>
  <c r="V10" i="7" s="1"/>
  <c r="AE10" i="7"/>
  <c r="Z10" i="7" s="1"/>
  <c r="T10" i="7" l="1"/>
  <c r="R11" i="7" s="1"/>
  <c r="Y10" i="7"/>
  <c r="W10" i="7"/>
  <c r="AA10" i="7"/>
  <c r="U10" i="7" l="1"/>
  <c r="S11" i="7" s="1"/>
  <c r="P11" i="7"/>
  <c r="Q11" i="7" l="1"/>
  <c r="AC11" i="7" l="1"/>
  <c r="V11" i="7" s="1"/>
  <c r="AE11" i="7"/>
  <c r="Z11" i="7" s="1"/>
  <c r="AD11" i="7"/>
  <c r="X11" i="7" s="1"/>
  <c r="T11" i="7" l="1"/>
  <c r="R12" i="7" s="1"/>
  <c r="W11" i="7"/>
  <c r="Y11" i="7"/>
  <c r="AA11" i="7"/>
  <c r="P12" i="7" l="1"/>
  <c r="U11" i="7"/>
  <c r="S12" i="7" l="1"/>
  <c r="Q12" i="7"/>
  <c r="AC12" i="7" l="1"/>
  <c r="V12" i="7" s="1"/>
  <c r="AE12" i="7"/>
  <c r="Z12" i="7" s="1"/>
  <c r="AD12" i="7"/>
  <c r="X12" i="7" s="1"/>
  <c r="T12" i="7" l="1"/>
  <c r="W12" i="7"/>
  <c r="Y12" i="7"/>
  <c r="AA12" i="7"/>
  <c r="P13" i="7" l="1"/>
  <c r="R13" i="7"/>
  <c r="U12" i="7"/>
  <c r="S13" i="7" l="1"/>
  <c r="Q13" i="7"/>
  <c r="AC13" i="7" l="1"/>
  <c r="V13" i="7" s="1"/>
  <c r="AE13" i="7"/>
  <c r="Z13" i="7" s="1"/>
  <c r="AD13" i="7"/>
  <c r="X13" i="7" s="1"/>
  <c r="T13" i="7" l="1"/>
  <c r="W13" i="7"/>
  <c r="Y13" i="7"/>
  <c r="AA13" i="7"/>
  <c r="P14" i="7" l="1"/>
  <c r="R14" i="7"/>
  <c r="U13" i="7"/>
  <c r="S14" i="7" l="1"/>
  <c r="Q14" i="7"/>
  <c r="AE14" i="7" s="1"/>
  <c r="Z14" i="7" s="1"/>
  <c r="AC14" i="7" l="1"/>
  <c r="V14" i="7" s="1"/>
  <c r="AD14" i="7"/>
  <c r="X14" i="7" s="1"/>
  <c r="AA14" i="7"/>
  <c r="T14" i="7" l="1"/>
  <c r="R15" i="7" s="1"/>
  <c r="W14" i="7"/>
  <c r="Y14" i="7"/>
  <c r="P15" i="7"/>
  <c r="U14" i="7" l="1"/>
  <c r="S15" i="7" s="1"/>
  <c r="Q15" i="7" l="1"/>
  <c r="AD15" i="7"/>
  <c r="X15" i="7" s="1"/>
  <c r="AC15" i="7"/>
  <c r="V15" i="7" s="1"/>
  <c r="AE15" i="7"/>
  <c r="Z15" i="7" s="1"/>
  <c r="T15" i="7" l="1"/>
  <c r="R16" i="7" s="1"/>
  <c r="AA15" i="7"/>
  <c r="Y15" i="7"/>
  <c r="W15" i="7"/>
  <c r="P16" i="7" l="1"/>
  <c r="U15" i="7"/>
  <c r="S16" i="7" s="1"/>
  <c r="Q16" i="7" l="1"/>
  <c r="AE16" i="7" s="1"/>
  <c r="Z16" i="7" s="1"/>
  <c r="AC16" i="7" l="1"/>
  <c r="V16" i="7" s="1"/>
  <c r="AA16" i="7"/>
  <c r="AD16" i="7"/>
  <c r="X16" i="7" s="1"/>
  <c r="W16" i="7" l="1"/>
  <c r="T16" i="7"/>
  <c r="R17" i="7" s="1"/>
  <c r="Y16" i="7"/>
  <c r="P17" i="7" l="1"/>
  <c r="U16" i="7"/>
  <c r="Q17" i="7" s="1"/>
  <c r="AD17" i="7" l="1"/>
  <c r="X17" i="7" s="1"/>
  <c r="AC17" i="7"/>
  <c r="V17" i="7" s="1"/>
  <c r="AE17" i="7"/>
  <c r="Z17" i="7" s="1"/>
  <c r="S17" i="7"/>
  <c r="W17" i="7" l="1"/>
  <c r="T17" i="7"/>
  <c r="P18" i="7" s="1"/>
  <c r="Y17" i="7"/>
  <c r="AA17" i="7"/>
  <c r="U17" i="7" l="1"/>
  <c r="S18" i="7" s="1"/>
  <c r="R18" i="7"/>
  <c r="Q18" i="7" l="1"/>
  <c r="AD18" i="7" s="1"/>
  <c r="X18" i="7" s="1"/>
  <c r="AE18" i="7" l="1"/>
  <c r="Z18" i="7" s="1"/>
  <c r="Y18" i="7"/>
  <c r="AC18" i="7"/>
  <c r="V18" i="7" s="1"/>
  <c r="AA18" i="7" l="1"/>
  <c r="T18" i="7"/>
  <c r="R19" i="7" s="1"/>
  <c r="W18" i="7"/>
  <c r="U18" i="7" s="1"/>
  <c r="P19" i="7"/>
  <c r="S19" i="7" l="1"/>
  <c r="Q19" i="7"/>
  <c r="AC19" i="7" s="1"/>
  <c r="V19" i="7" s="1"/>
  <c r="AD19" i="7"/>
  <c r="X19" i="7" s="1"/>
  <c r="AE19" i="7"/>
  <c r="Z19" i="7" s="1"/>
  <c r="W19" i="7" l="1"/>
  <c r="AA19" i="7"/>
  <c r="T19" i="7"/>
  <c r="R20" i="7" s="1"/>
  <c r="Y19" i="7"/>
  <c r="P20" i="7" l="1"/>
  <c r="U19" i="7"/>
  <c r="S20" i="7" s="1"/>
  <c r="Q20" i="7"/>
  <c r="AE20" i="7" s="1"/>
  <c r="Z20" i="7" s="1"/>
  <c r="AD20" i="7" l="1"/>
  <c r="X20" i="7" s="1"/>
  <c r="AC20" i="7"/>
  <c r="V20" i="7" s="1"/>
  <c r="AA20" i="7"/>
  <c r="T20" i="7" l="1"/>
  <c r="R21" i="7" s="1"/>
  <c r="Y20" i="7"/>
  <c r="W20" i="7"/>
  <c r="P21" i="7"/>
  <c r="U20" i="7" l="1"/>
  <c r="S21" i="7" s="1"/>
  <c r="Q21" i="7" l="1"/>
  <c r="AD21" i="7" s="1"/>
  <c r="X21" i="7" s="1"/>
  <c r="AC21" i="7" l="1"/>
  <c r="V21" i="7" s="1"/>
  <c r="AE21" i="7"/>
  <c r="Z21" i="7" s="1"/>
  <c r="T21" i="7" s="1"/>
  <c r="R22" i="7" s="1"/>
  <c r="Y21" i="7"/>
  <c r="W21" i="7"/>
  <c r="AA21" i="7" l="1"/>
  <c r="P22" i="7"/>
  <c r="U21" i="7"/>
  <c r="S22" i="7" s="1"/>
  <c r="Q22" i="7" l="1"/>
  <c r="AE22" i="7" s="1"/>
  <c r="AC22" i="7" l="1"/>
  <c r="W22" i="7" s="1"/>
  <c r="AD22" i="7"/>
  <c r="X22" i="7" s="1"/>
  <c r="AA22" i="7"/>
  <c r="Z22" i="7"/>
  <c r="V22" i="7" l="1"/>
  <c r="T22" i="7" s="1"/>
  <c r="R23" i="7" s="1"/>
  <c r="Y22" i="7"/>
  <c r="U22" i="7" s="1"/>
  <c r="P23" i="7" l="1"/>
  <c r="S23" i="7"/>
  <c r="Q23" i="7"/>
  <c r="AD23" i="7" l="1"/>
  <c r="Y23" i="7" s="1"/>
  <c r="AC23" i="7"/>
  <c r="V23" i="7" s="1"/>
  <c r="AE23" i="7"/>
  <c r="AA23" i="7" s="1"/>
  <c r="W23" i="7" l="1"/>
  <c r="U23" i="7" s="1"/>
  <c r="S24" i="7" s="1"/>
  <c r="X23" i="7"/>
  <c r="Z23" i="7"/>
  <c r="T23" i="7" l="1"/>
  <c r="Q24" i="7"/>
  <c r="P24" i="7"/>
  <c r="R24" i="7"/>
  <c r="AD24" i="7" l="1"/>
  <c r="Y24" i="7" s="1"/>
  <c r="AE24" i="7"/>
  <c r="AA24" i="7" s="1"/>
  <c r="AC24" i="7"/>
  <c r="W24" i="7" s="1"/>
  <c r="X24" i="7" l="1"/>
  <c r="U24" i="7"/>
  <c r="S25" i="7" s="1"/>
  <c r="Z24" i="7"/>
  <c r="Q25" i="7"/>
  <c r="V24" i="7"/>
  <c r="T24" i="7" l="1"/>
  <c r="R25" i="7" s="1"/>
  <c r="P25" i="7"/>
  <c r="AC25" i="7" l="1"/>
  <c r="AD25" i="7"/>
  <c r="Y25" i="7" s="1"/>
  <c r="AE25" i="7"/>
  <c r="AA25" i="7" s="1"/>
  <c r="Z25" i="7" l="1"/>
  <c r="V25" i="7"/>
  <c r="W25" i="7"/>
  <c r="U25" i="7" s="1"/>
  <c r="X25" i="7"/>
  <c r="Q26" i="7" l="1"/>
  <c r="S26" i="7"/>
  <c r="T25" i="7"/>
  <c r="R26" i="7" l="1"/>
  <c r="P26" i="7"/>
  <c r="AC26" i="7" l="1"/>
  <c r="AE26" i="7"/>
  <c r="AD26" i="7"/>
  <c r="Z26" i="7" l="1"/>
  <c r="AA26" i="7"/>
  <c r="X26" i="7"/>
  <c r="Y26" i="7"/>
  <c r="V26" i="7"/>
  <c r="W26" i="7"/>
  <c r="U26" i="7" l="1"/>
  <c r="S27" i="7" s="1"/>
  <c r="T26" i="7"/>
  <c r="R27" i="7" s="1"/>
  <c r="Q27" i="7" l="1"/>
  <c r="P27" i="7"/>
  <c r="AE27" i="7" l="1"/>
  <c r="AA27" i="7" s="1"/>
  <c r="AC27" i="7"/>
  <c r="V27" i="7" s="1"/>
  <c r="AD27" i="7"/>
  <c r="X27" i="7" s="1"/>
  <c r="Z27" i="7" l="1"/>
  <c r="T27" i="7" s="1"/>
  <c r="P28" i="7" s="1"/>
  <c r="Y27" i="7"/>
  <c r="W27" i="7"/>
  <c r="R28" i="7" l="1"/>
  <c r="U27" i="7"/>
  <c r="S28" i="7" s="1"/>
  <c r="Q28" i="7" l="1"/>
  <c r="AC28" i="7" s="1"/>
  <c r="W28" i="7" s="1"/>
  <c r="V28" i="7" l="1"/>
  <c r="AE28" i="7"/>
  <c r="AA28" i="7" s="1"/>
  <c r="AD28" i="7"/>
  <c r="X28" i="7" s="1"/>
  <c r="Z28" i="7" l="1"/>
  <c r="T28" i="7" s="1"/>
  <c r="Y28" i="7"/>
  <c r="U28" i="7" s="1"/>
  <c r="S29" i="7" s="1"/>
  <c r="R29" i="7" l="1"/>
  <c r="P29" i="7"/>
  <c r="Q29" i="7"/>
  <c r="AE29" i="7" l="1"/>
  <c r="AA29" i="7" s="1"/>
  <c r="AC29" i="7"/>
  <c r="W29" i="7" s="1"/>
  <c r="AD29" i="7"/>
  <c r="Y29" i="7" s="1"/>
  <c r="Z29" i="7" l="1"/>
  <c r="U29" i="7"/>
  <c r="S30" i="7" s="1"/>
  <c r="V29" i="7"/>
  <c r="X29" i="7"/>
  <c r="T29" i="7" l="1"/>
  <c r="Q30" i="7"/>
  <c r="R30" i="7"/>
  <c r="P30" i="7"/>
  <c r="AE30" i="7" s="1"/>
  <c r="AA30" i="7" s="1"/>
  <c r="AD30" i="7" l="1"/>
  <c r="Y30" i="7" s="1"/>
  <c r="AC30" i="7"/>
  <c r="Z30" i="7"/>
  <c r="X30" i="7" l="1"/>
  <c r="V30" i="7"/>
  <c r="W30" i="7"/>
  <c r="U30" i="7" s="1"/>
  <c r="T30" i="7" l="1"/>
  <c r="R31" i="7" s="1"/>
  <c r="P31" i="7"/>
  <c r="Q31" i="7"/>
  <c r="S31" i="7"/>
  <c r="AD31" i="7" l="1"/>
  <c r="AE31" i="7"/>
  <c r="AC31" i="7"/>
  <c r="V31" i="7" l="1"/>
  <c r="W31" i="7"/>
  <c r="AA31" i="7"/>
  <c r="Z31" i="7"/>
  <c r="Y31" i="7"/>
  <c r="X31" i="7"/>
  <c r="U31" i="7" l="1"/>
  <c r="T31" i="7"/>
  <c r="R32" i="7" l="1"/>
  <c r="P32" i="7"/>
  <c r="S32" i="7"/>
  <c r="Q32" i="7"/>
  <c r="AE32" i="7" l="1"/>
  <c r="AA32" i="7" s="1"/>
  <c r="AC32" i="7"/>
  <c r="W32" i="7" s="1"/>
  <c r="AD32" i="7"/>
  <c r="Y32" i="7" s="1"/>
  <c r="Z32" i="7" l="1"/>
  <c r="U32" i="7"/>
  <c r="V32" i="7"/>
  <c r="X32" i="7"/>
  <c r="T32" i="7" l="1"/>
  <c r="Q33" i="7"/>
  <c r="S33" i="7"/>
  <c r="R33" i="7" l="1"/>
  <c r="P33" i="7"/>
  <c r="AD33" i="7" l="1"/>
  <c r="AC33" i="7"/>
  <c r="W33" i="7" s="1"/>
  <c r="AE33" i="7"/>
  <c r="AA33" i="7" s="1"/>
  <c r="V33" i="7" l="1"/>
  <c r="Z33" i="7"/>
  <c r="X33" i="7"/>
  <c r="Y33" i="7"/>
  <c r="U33" i="7" s="1"/>
  <c r="T33" i="7" l="1"/>
  <c r="P34" i="7" s="1"/>
  <c r="Q34" i="7"/>
  <c r="S34" i="7"/>
  <c r="R34" i="7" l="1"/>
  <c r="AD34" i="7"/>
  <c r="Y34" i="7" s="1"/>
  <c r="AE34" i="7"/>
  <c r="Z34" i="7" s="1"/>
  <c r="AC34" i="7"/>
  <c r="V34" i="7" s="1"/>
  <c r="AA34" i="7" l="1"/>
  <c r="W34" i="7"/>
  <c r="X34" i="7"/>
  <c r="T34" i="7" s="1"/>
  <c r="U34" i="7" l="1"/>
  <c r="Q35" i="7" s="1"/>
  <c r="P35" i="7"/>
  <c r="R35" i="7"/>
  <c r="S35" i="7" l="1"/>
  <c r="AE35" i="7"/>
  <c r="AA35" i="7" s="1"/>
  <c r="AD35" i="7"/>
  <c r="Y35" i="7" s="1"/>
  <c r="AC35" i="7"/>
  <c r="W35" i="7" s="1"/>
  <c r="Z35" i="7" l="1"/>
  <c r="X35" i="7"/>
  <c r="U35" i="7"/>
  <c r="Q36" i="7" s="1"/>
  <c r="V35" i="7"/>
  <c r="T35" i="7" l="1"/>
  <c r="P36" i="7" s="1"/>
  <c r="S36" i="7"/>
  <c r="R36" i="7" l="1"/>
  <c r="AE36" i="7"/>
  <c r="AA36" i="7" s="1"/>
  <c r="AC36" i="7"/>
  <c r="W36" i="7" s="1"/>
  <c r="AD36" i="7"/>
  <c r="Y36" i="7" s="1"/>
  <c r="X36" i="7" l="1"/>
  <c r="Z36" i="7"/>
  <c r="U36" i="7"/>
  <c r="Q37" i="7" s="1"/>
  <c r="V36" i="7"/>
  <c r="S37" i="7" l="1"/>
  <c r="T36" i="7"/>
  <c r="R37" i="7" s="1"/>
  <c r="P37" i="7" l="1"/>
  <c r="AE37" i="7" s="1"/>
  <c r="AD37" i="7" l="1"/>
  <c r="Y37" i="7" s="1"/>
  <c r="AC37" i="7"/>
  <c r="W37" i="7" s="1"/>
  <c r="AA37" i="7"/>
  <c r="Z37" i="7"/>
  <c r="X37" i="7" l="1"/>
  <c r="U37" i="7"/>
  <c r="S38" i="7" s="1"/>
  <c r="V37" i="7"/>
  <c r="Q38" i="7" l="1"/>
  <c r="T37" i="7"/>
  <c r="R38" i="7" s="1"/>
  <c r="P38" i="7" l="1"/>
  <c r="AC38" i="7" s="1"/>
  <c r="W38" i="7" s="1"/>
  <c r="AE38" i="7" l="1"/>
  <c r="AA38" i="7" s="1"/>
  <c r="V38" i="7"/>
  <c r="AD38" i="7"/>
  <c r="Y38" i="7" s="1"/>
  <c r="U38" i="7" s="1"/>
  <c r="Z38" i="7" l="1"/>
  <c r="X38" i="7"/>
  <c r="T38" i="7" s="1"/>
  <c r="R39" i="7" s="1"/>
  <c r="Q39" i="7"/>
  <c r="S39" i="7"/>
  <c r="P39" i="7" l="1"/>
  <c r="AC39" i="7" s="1"/>
  <c r="W39" i="7" s="1"/>
  <c r="AE39" i="7"/>
  <c r="Z39" i="7" s="1"/>
  <c r="AD39" i="7"/>
  <c r="Y39" i="7" s="1"/>
  <c r="AA39" i="7" l="1"/>
  <c r="U39" i="7" s="1"/>
  <c r="S40" i="7" s="1"/>
  <c r="V39" i="7"/>
  <c r="X39" i="7"/>
  <c r="T39" i="7" l="1"/>
  <c r="R40" i="7" s="1"/>
  <c r="Q40" i="7"/>
  <c r="P40" i="7"/>
  <c r="AC40" i="7" s="1"/>
  <c r="W40" i="7" s="1"/>
  <c r="AD40" i="7" l="1"/>
  <c r="X40" i="7" s="1"/>
  <c r="AE40" i="7"/>
  <c r="AA40" i="7" s="1"/>
  <c r="V40" i="7"/>
  <c r="Y40" i="7" l="1"/>
  <c r="U40" i="7" s="1"/>
  <c r="Z40" i="7"/>
  <c r="T40" i="7" s="1"/>
  <c r="P41" i="7" s="1"/>
  <c r="Q41" i="7" l="1"/>
  <c r="S41" i="7"/>
  <c r="R41" i="7"/>
  <c r="AC41" i="7"/>
  <c r="V41" i="7" s="1"/>
  <c r="AE41" i="7"/>
  <c r="Z41" i="7" s="1"/>
  <c r="AD41" i="7"/>
  <c r="X41" i="7" s="1"/>
  <c r="W41" i="7" l="1"/>
  <c r="T41" i="7"/>
  <c r="R42" i="7" s="1"/>
  <c r="AA41" i="7"/>
  <c r="P42" i="7"/>
  <c r="Y41" i="7"/>
  <c r="U41" i="7" l="1"/>
  <c r="S42" i="7" s="1"/>
  <c r="Q42" i="7" l="1"/>
  <c r="AE42" i="7" s="1"/>
  <c r="AA42" i="7" s="1"/>
  <c r="Z42" i="7" l="1"/>
  <c r="AC42" i="7"/>
  <c r="W42" i="7" s="1"/>
  <c r="AD42" i="7"/>
  <c r="Y42" i="7" s="1"/>
  <c r="U42" i="7" l="1"/>
  <c r="Q43" i="7" s="1"/>
  <c r="V42" i="7"/>
  <c r="X42" i="7"/>
  <c r="S43" i="7"/>
  <c r="T42" i="7" l="1"/>
  <c r="P43" i="7" s="1"/>
  <c r="AC43" i="7" s="1"/>
  <c r="W43" i="7" s="1"/>
  <c r="AD43" i="7" l="1"/>
  <c r="X43" i="7" s="1"/>
  <c r="V43" i="7"/>
  <c r="AE43" i="7"/>
  <c r="AA43" i="7" s="1"/>
  <c r="R43" i="7"/>
  <c r="Y43" i="7" l="1"/>
  <c r="U43" i="7" s="1"/>
  <c r="Q44" i="7" s="1"/>
  <c r="Z43" i="7"/>
  <c r="T43" i="7" s="1"/>
  <c r="R44" i="7" s="1"/>
  <c r="P44" i="7" l="1"/>
  <c r="AE44" i="7" s="1"/>
  <c r="AA44" i="7" s="1"/>
  <c r="S44" i="7"/>
  <c r="AD44" i="7"/>
  <c r="Y44" i="7" s="1"/>
  <c r="AC44" i="7"/>
  <c r="W44" i="7" s="1"/>
  <c r="Z44" i="7" l="1"/>
  <c r="X44" i="7"/>
  <c r="V44" i="7"/>
  <c r="U44" i="7"/>
  <c r="Q45" i="7" s="1"/>
  <c r="T44" i="7" l="1"/>
  <c r="P45" i="7" s="1"/>
  <c r="S45" i="7"/>
  <c r="R45" i="7" l="1"/>
  <c r="AD45" i="7"/>
  <c r="Y45" i="7" s="1"/>
  <c r="AE45" i="7"/>
  <c r="AA45" i="7" s="1"/>
  <c r="AC45" i="7"/>
  <c r="X45" i="7" l="1"/>
  <c r="Z45" i="7"/>
  <c r="W45" i="7"/>
  <c r="U45" i="7" s="1"/>
  <c r="V45" i="7"/>
  <c r="T45" i="7" l="1"/>
  <c r="R46" i="7" s="1"/>
  <c r="S46" i="7"/>
  <c r="Q46" i="7"/>
  <c r="P46" i="7" l="1"/>
  <c r="AD46" i="7" s="1"/>
  <c r="Y46" i="7" s="1"/>
  <c r="AE46" i="7" l="1"/>
  <c r="AA46" i="7" s="1"/>
  <c r="AC46" i="7"/>
  <c r="W46" i="7" s="1"/>
  <c r="X46" i="7"/>
  <c r="U46" i="7" l="1"/>
  <c r="Z46" i="7"/>
  <c r="V46" i="7"/>
  <c r="Q47" i="7"/>
  <c r="S47" i="7"/>
  <c r="T46" i="7" l="1"/>
  <c r="P47" i="7" s="1"/>
  <c r="AE47" i="7"/>
  <c r="AA47" i="7" s="1"/>
  <c r="AC47" i="7"/>
  <c r="AD47" i="7"/>
  <c r="Y47" i="7" s="1"/>
  <c r="R47" i="7" l="1"/>
  <c r="Z47" i="7"/>
  <c r="X47" i="7"/>
  <c r="W47" i="7"/>
  <c r="U47" i="7" s="1"/>
  <c r="V47" i="7"/>
  <c r="T47" i="7" l="1"/>
  <c r="P48" i="7" s="1"/>
  <c r="Q48" i="7"/>
  <c r="S48" i="7"/>
  <c r="R48" i="7" l="1"/>
  <c r="AD48" i="7"/>
  <c r="Y48" i="7" s="1"/>
  <c r="AC48" i="7"/>
  <c r="AE48" i="7"/>
  <c r="AA48" i="7" s="1"/>
  <c r="X48" i="7" l="1"/>
  <c r="W48" i="7"/>
  <c r="U48" i="7" s="1"/>
  <c r="V48" i="7"/>
  <c r="Z48" i="7"/>
  <c r="T48" i="7" l="1"/>
  <c r="S49" i="7"/>
  <c r="Q49" i="7"/>
  <c r="P49" i="7" l="1"/>
  <c r="R49" i="7"/>
  <c r="AD49" i="7" l="1"/>
  <c r="Y49" i="7" s="1"/>
  <c r="AE49" i="7"/>
  <c r="AA49" i="7" s="1"/>
  <c r="AC49" i="7"/>
  <c r="W49" i="7" s="1"/>
  <c r="V49" i="7" l="1"/>
  <c r="Z49" i="7"/>
  <c r="U49" i="7"/>
  <c r="X49" i="7"/>
  <c r="T49" i="7" l="1"/>
  <c r="P50" i="7" s="1"/>
  <c r="S50" i="7"/>
  <c r="Q50" i="7"/>
  <c r="R50" i="7" l="1"/>
  <c r="AE50" i="7"/>
  <c r="AC50" i="7"/>
  <c r="W50" i="7" s="1"/>
  <c r="AD50" i="7"/>
  <c r="X50" i="7" l="1"/>
  <c r="Y50" i="7"/>
  <c r="AA50" i="7"/>
  <c r="Z50" i="7"/>
  <c r="V50" i="7"/>
  <c r="T50" i="7" l="1"/>
  <c r="P51" i="7" s="1"/>
  <c r="U50" i="7"/>
  <c r="Q51" i="7" s="1"/>
  <c r="S51" i="7" l="1"/>
  <c r="AD51" i="7"/>
  <c r="Y51" i="7" s="1"/>
  <c r="AE51" i="7"/>
  <c r="AA51" i="7" s="1"/>
  <c r="AC51" i="7"/>
  <c r="W51" i="7" s="1"/>
  <c r="R51" i="7"/>
  <c r="Z51" i="7" l="1"/>
  <c r="X51" i="7"/>
  <c r="U51" i="7"/>
  <c r="S52" i="7" s="1"/>
  <c r="V51" i="7"/>
  <c r="Q52" i="7"/>
  <c r="T51" i="7" l="1"/>
  <c r="P52" i="7" s="1"/>
  <c r="AD52" i="7" s="1"/>
  <c r="R52" i="7" l="1"/>
  <c r="AE52" i="7"/>
  <c r="Z52" i="7" s="1"/>
  <c r="AC52" i="7"/>
  <c r="W52" i="7" s="1"/>
  <c r="Y52" i="7"/>
  <c r="X52" i="7"/>
  <c r="V52" i="7" l="1"/>
  <c r="T52" i="7" s="1"/>
  <c r="P53" i="7" s="1"/>
  <c r="AA52" i="7"/>
  <c r="U52" i="7" s="1"/>
  <c r="S53" i="7" l="1"/>
  <c r="Q53" i="7"/>
  <c r="AC53" i="7" s="1"/>
  <c r="R53" i="7"/>
  <c r="AD53" i="7" l="1"/>
  <c r="Y53" i="7" s="1"/>
  <c r="AE53" i="7"/>
  <c r="Z53" i="7" s="1"/>
  <c r="W53" i="7"/>
  <c r="V53" i="7"/>
  <c r="X53" i="7" l="1"/>
  <c r="T53" i="7" s="1"/>
  <c r="R54" i="7" s="1"/>
  <c r="AA53" i="7"/>
  <c r="U53" i="7" s="1"/>
  <c r="P54" i="7" l="1"/>
  <c r="S54" i="7"/>
  <c r="Q54" i="7"/>
  <c r="AE54" i="7" l="1"/>
  <c r="Z54" i="7" s="1"/>
  <c r="AC54" i="7"/>
  <c r="V54" i="7" s="1"/>
  <c r="AD54" i="7"/>
  <c r="X54" i="7" s="1"/>
  <c r="AA54" i="7" l="1"/>
  <c r="Y54" i="7"/>
  <c r="W54" i="7"/>
  <c r="T54" i="7"/>
  <c r="U54" i="7" l="1"/>
  <c r="S55" i="7" s="1"/>
  <c r="R55" i="7"/>
  <c r="P55" i="7"/>
  <c r="Q55" i="7"/>
  <c r="AC55" i="7" l="1"/>
  <c r="V55" i="7" s="1"/>
  <c r="AE55" i="7"/>
  <c r="Z55" i="7" s="1"/>
  <c r="AD55" i="7"/>
  <c r="X55" i="7" s="1"/>
  <c r="T55" i="7" l="1"/>
  <c r="P56" i="7" s="1"/>
  <c r="W55" i="7"/>
  <c r="Y55" i="7"/>
  <c r="AA55" i="7"/>
  <c r="R56" i="7" l="1"/>
  <c r="U55" i="7"/>
  <c r="Q56" i="7" l="1"/>
  <c r="S56" i="7"/>
  <c r="AD56" i="7" l="1"/>
  <c r="AC56" i="7"/>
  <c r="AE56" i="7"/>
  <c r="AA56" i="7" l="1"/>
  <c r="Z56" i="7"/>
  <c r="W56" i="7"/>
  <c r="V56" i="7"/>
  <c r="Y56" i="7"/>
  <c r="X56" i="7"/>
  <c r="U56" i="7" l="1"/>
  <c r="Q57" i="7" s="1"/>
  <c r="T56" i="7"/>
  <c r="S57" i="7" l="1"/>
  <c r="P57" i="7"/>
  <c r="R57" i="7"/>
  <c r="AD57" i="7" l="1"/>
  <c r="AC57" i="7"/>
  <c r="AE57" i="7"/>
  <c r="Z57" i="7" l="1"/>
  <c r="AA57" i="7"/>
  <c r="V57" i="7"/>
  <c r="W57" i="7"/>
  <c r="X57" i="7"/>
  <c r="Y57" i="7"/>
  <c r="U57" i="7" l="1"/>
  <c r="Q58" i="7" s="1"/>
  <c r="T57" i="7"/>
  <c r="S58" i="7" l="1"/>
  <c r="P58" i="7"/>
  <c r="R58" i="7"/>
  <c r="AD58" i="7" l="1"/>
  <c r="AC58" i="7"/>
  <c r="AE58" i="7"/>
  <c r="AA58" i="7" s="1"/>
  <c r="Z58" i="7" l="1"/>
  <c r="X58" i="7"/>
  <c r="Y58" i="7"/>
  <c r="V58" i="7"/>
  <c r="W58" i="7"/>
  <c r="U58" i="7" l="1"/>
  <c r="S59" i="7" s="1"/>
  <c r="T58" i="7"/>
  <c r="Q59" i="7" l="1"/>
  <c r="R59" i="7"/>
  <c r="P59" i="7"/>
  <c r="AC59" i="7" l="1"/>
  <c r="AE59" i="7"/>
  <c r="AD59" i="7"/>
  <c r="X59" i="7" l="1"/>
  <c r="Y59" i="7"/>
  <c r="Z59" i="7"/>
  <c r="AA59" i="7"/>
  <c r="V59" i="7"/>
  <c r="W59" i="7"/>
  <c r="U59" i="7" l="1"/>
  <c r="S60" i="7" s="1"/>
  <c r="T59" i="7"/>
  <c r="Q60" i="7" l="1"/>
  <c r="R60" i="7"/>
  <c r="P60" i="7"/>
  <c r="AC60" i="7" l="1"/>
  <c r="W60" i="7" s="1"/>
  <c r="AD60" i="7"/>
  <c r="Y60" i="7" s="1"/>
  <c r="AE60" i="7"/>
  <c r="AA60" i="7" s="1"/>
  <c r="V60" i="7" l="1"/>
  <c r="X60" i="7"/>
  <c r="Z60" i="7"/>
  <c r="U60" i="7"/>
  <c r="T60" i="7" l="1"/>
  <c r="R61" i="7" s="1"/>
  <c r="S61" i="7"/>
  <c r="Q61" i="7"/>
  <c r="P61" i="7" l="1"/>
  <c r="AE61" i="7" s="1"/>
  <c r="AA61" i="7" s="1"/>
  <c r="AC61" i="7" l="1"/>
  <c r="W61" i="7" s="1"/>
  <c r="AD61" i="7"/>
  <c r="Y61" i="7" s="1"/>
  <c r="Z61" i="7"/>
  <c r="V61" i="7" l="1"/>
  <c r="U61" i="7"/>
  <c r="S62" i="7" s="1"/>
  <c r="X61" i="7"/>
  <c r="T61" i="7" l="1"/>
  <c r="R62" i="7" s="1"/>
  <c r="Q62" i="7"/>
  <c r="P62" i="7" l="1"/>
  <c r="AC62" i="7" s="1"/>
  <c r="V62" i="7" s="1"/>
  <c r="AD62" i="7"/>
  <c r="Y62" i="7" s="1"/>
  <c r="W62" i="7" l="1"/>
  <c r="AE62" i="7"/>
  <c r="AA62" i="7" s="1"/>
  <c r="U62" i="7"/>
  <c r="S63" i="7" s="1"/>
  <c r="X62" i="7"/>
  <c r="Z62" i="7"/>
  <c r="Q63" i="7"/>
  <c r="T62" i="7" l="1"/>
  <c r="P63" i="7" s="1"/>
  <c r="AE63" i="7" l="1"/>
  <c r="AA63" i="7" s="1"/>
  <c r="AC63" i="7"/>
  <c r="W63" i="7" s="1"/>
  <c r="AD63" i="7"/>
  <c r="Y63" i="7" s="1"/>
  <c r="R63" i="7"/>
  <c r="Z63" i="7" l="1"/>
  <c r="V63" i="7"/>
  <c r="U63" i="7"/>
  <c r="S64" i="7" s="1"/>
  <c r="X63" i="7"/>
  <c r="Q64" i="7" l="1"/>
  <c r="T63" i="7"/>
  <c r="R64" i="7" s="1"/>
  <c r="P64" i="7" l="1"/>
  <c r="AD64" i="7" s="1"/>
  <c r="X64" i="7" s="1"/>
  <c r="AC64" i="7" l="1"/>
  <c r="V64" i="7" s="1"/>
  <c r="Y64" i="7"/>
  <c r="AE64" i="7"/>
  <c r="Z64" i="7" s="1"/>
  <c r="W64" i="7" l="1"/>
  <c r="T64" i="7"/>
  <c r="R65" i="7" s="1"/>
  <c r="AA64" i="7"/>
  <c r="U64" i="7" s="1"/>
  <c r="P65" i="7" l="1"/>
  <c r="Q65" i="7"/>
  <c r="S65" i="7"/>
  <c r="AD65" i="7"/>
  <c r="X65" i="7" s="1"/>
  <c r="AC65" i="7"/>
  <c r="V65" i="7" s="1"/>
  <c r="AE65" i="7"/>
  <c r="Z65" i="7" s="1"/>
  <c r="T65" i="7" l="1"/>
  <c r="W65" i="7"/>
  <c r="Y65" i="7"/>
  <c r="AA65" i="7"/>
  <c r="U65" i="7" l="1"/>
  <c r="R66" i="7"/>
  <c r="P66" i="7"/>
  <c r="S66" i="7" l="1"/>
  <c r="Q66" i="7"/>
  <c r="AC66" i="7" l="1"/>
  <c r="AE66" i="7"/>
  <c r="AD66" i="7"/>
  <c r="Y66" i="7" l="1"/>
  <c r="X66" i="7"/>
  <c r="AA66" i="7"/>
  <c r="Z66" i="7"/>
  <c r="W66" i="7"/>
  <c r="V66" i="7"/>
  <c r="U66" i="7" l="1"/>
  <c r="S67" i="7" s="1"/>
  <c r="T66" i="7"/>
  <c r="R67" i="7" s="1"/>
  <c r="Q67" i="7" l="1"/>
  <c r="P67" i="7"/>
  <c r="AD67" i="7" l="1"/>
  <c r="Y67" i="7" s="1"/>
  <c r="AE67" i="7"/>
  <c r="AA67" i="7" s="1"/>
  <c r="AC67" i="7"/>
  <c r="W67" i="7" s="1"/>
  <c r="X67" i="7" l="1"/>
  <c r="Z67" i="7"/>
  <c r="U67" i="7"/>
  <c r="Q68" i="7" s="1"/>
  <c r="V67" i="7"/>
  <c r="S68" i="7" l="1"/>
  <c r="T67" i="7"/>
  <c r="P68" i="7" s="1"/>
  <c r="AE68" i="7" s="1"/>
  <c r="R68" i="7"/>
  <c r="AD68" i="7" l="1"/>
  <c r="X68" i="7" s="1"/>
  <c r="AC68" i="7"/>
  <c r="V68" i="7" s="1"/>
  <c r="Z68" i="7"/>
  <c r="AA68" i="7"/>
  <c r="Y68" i="7" l="1"/>
  <c r="W68" i="7"/>
  <c r="U68" i="7" s="1"/>
  <c r="Q69" i="7" s="1"/>
  <c r="T68" i="7"/>
  <c r="P69" i="7" s="1"/>
  <c r="S69" i="7" l="1"/>
  <c r="R69" i="7"/>
  <c r="AC69" i="7"/>
  <c r="W69" i="7" s="1"/>
  <c r="AE69" i="7"/>
  <c r="AA69" i="7" s="1"/>
  <c r="AD69" i="7"/>
  <c r="Y69" i="7" s="1"/>
  <c r="Z69" i="7" l="1"/>
  <c r="V69" i="7"/>
  <c r="X69" i="7"/>
  <c r="U69" i="7"/>
  <c r="S70" i="7" l="1"/>
  <c r="Q70" i="7"/>
  <c r="T69" i="7"/>
  <c r="R70" i="7" l="1"/>
  <c r="P70" i="7"/>
  <c r="AE70" i="7" l="1"/>
  <c r="AD70" i="7"/>
  <c r="AC70" i="7"/>
  <c r="V70" i="7" l="1"/>
  <c r="W70" i="7"/>
  <c r="X70" i="7"/>
  <c r="Y70" i="7"/>
  <c r="Z70" i="7"/>
  <c r="AA70" i="7"/>
  <c r="U70" i="7" l="1"/>
  <c r="T70" i="7"/>
  <c r="P71" i="7" l="1"/>
  <c r="R71" i="7"/>
  <c r="S71" i="7"/>
  <c r="Q71" i="7"/>
  <c r="AC71" i="7" l="1"/>
  <c r="V71" i="7" s="1"/>
  <c r="AE71" i="7"/>
  <c r="Z71" i="7" s="1"/>
  <c r="AD71" i="7"/>
  <c r="X71" i="7" s="1"/>
  <c r="T71" i="7" l="1"/>
  <c r="R72" i="7" s="1"/>
  <c r="AA71" i="7"/>
  <c r="Y71" i="7"/>
  <c r="W71" i="7"/>
  <c r="P72" i="7" l="1"/>
  <c r="U71" i="7"/>
  <c r="S72" i="7" s="1"/>
  <c r="Q72" i="7" l="1"/>
  <c r="AD72" i="7" s="1"/>
  <c r="X72" i="7" s="1"/>
  <c r="AC72" i="7" l="1"/>
  <c r="V72" i="7" s="1"/>
  <c r="AE72" i="7"/>
  <c r="Z72" i="7" s="1"/>
  <c r="Y72" i="7"/>
  <c r="W72" i="7" l="1"/>
  <c r="T72" i="7"/>
  <c r="R73" i="7" s="1"/>
  <c r="AA72" i="7"/>
  <c r="P73" i="7" l="1"/>
  <c r="U72" i="7"/>
  <c r="S73" i="7" s="1"/>
  <c r="Q73" i="7" l="1"/>
  <c r="AC73" i="7" s="1"/>
  <c r="V73" i="7" s="1"/>
  <c r="W73" i="7" l="1"/>
  <c r="AE73" i="7"/>
  <c r="Z73" i="7" s="1"/>
  <c r="AD73" i="7"/>
  <c r="X73" i="7" s="1"/>
  <c r="T73" i="7" l="1"/>
  <c r="P74" i="7" s="1"/>
  <c r="AA73" i="7"/>
  <c r="Y73" i="7"/>
  <c r="U73" i="7" s="1"/>
  <c r="Q74" i="7" s="1"/>
  <c r="AD74" i="7" s="1"/>
  <c r="X74" i="7" s="1"/>
  <c r="R74" i="7"/>
  <c r="Y74" i="7" l="1"/>
  <c r="AC74" i="7"/>
  <c r="V74" i="7" s="1"/>
  <c r="AE74" i="7"/>
  <c r="Z74" i="7" s="1"/>
  <c r="S74" i="7"/>
  <c r="T74" i="7" l="1"/>
  <c r="P75" i="7" s="1"/>
  <c r="AA74" i="7"/>
  <c r="W74" i="7"/>
  <c r="R75" i="7"/>
  <c r="U74" i="7" l="1"/>
  <c r="Q75" i="7" s="1"/>
  <c r="AD75" i="7" l="1"/>
  <c r="X75" i="7" s="1"/>
  <c r="AE75" i="7"/>
  <c r="Z75" i="7" s="1"/>
  <c r="S75" i="7"/>
  <c r="AC75" i="7"/>
  <c r="V75" i="7" s="1"/>
  <c r="AA75" i="7" l="1"/>
  <c r="Y75" i="7"/>
  <c r="T75" i="7"/>
  <c r="P76" i="7" s="1"/>
  <c r="W75" i="7"/>
  <c r="U75" i="7" l="1"/>
  <c r="S76" i="7" s="1"/>
  <c r="R76" i="7"/>
  <c r="Q76" i="7" l="1"/>
  <c r="AE76" i="7" s="1"/>
  <c r="Z76" i="7" s="1"/>
  <c r="AC76" i="7"/>
  <c r="V76" i="7" s="1"/>
  <c r="AD76" i="7" l="1"/>
  <c r="X76" i="7" s="1"/>
  <c r="T76" i="7" s="1"/>
  <c r="P77" i="7" s="1"/>
  <c r="W76" i="7"/>
  <c r="AA76" i="7"/>
  <c r="Y76" i="7" l="1"/>
  <c r="R77" i="7"/>
  <c r="U76" i="7"/>
  <c r="Q77" i="7" l="1"/>
  <c r="S77" i="7"/>
  <c r="AE77" i="7" l="1"/>
  <c r="Z77" i="7" s="1"/>
  <c r="AD77" i="7"/>
  <c r="X77" i="7" s="1"/>
  <c r="AC77" i="7"/>
  <c r="V77" i="7" s="1"/>
  <c r="T77" i="7" l="1"/>
  <c r="AA77" i="7"/>
  <c r="Y77" i="7"/>
  <c r="W77" i="7"/>
  <c r="U77" i="7" l="1"/>
  <c r="S78" i="7" s="1"/>
  <c r="R78" i="7"/>
  <c r="P78" i="7"/>
  <c r="Q78" i="7" l="1"/>
  <c r="AE78" i="7" s="1"/>
  <c r="Z78" i="7" s="1"/>
  <c r="AD78" i="7" l="1"/>
  <c r="X78" i="7" s="1"/>
  <c r="AC78" i="7"/>
  <c r="V78" i="7" s="1"/>
  <c r="AA78" i="7"/>
  <c r="W78" i="7" l="1"/>
  <c r="Y78" i="7"/>
  <c r="T78" i="7"/>
  <c r="P79" i="7" s="1"/>
  <c r="R79" i="7" l="1"/>
  <c r="U78" i="7"/>
  <c r="Q79" i="7" s="1"/>
  <c r="AD79" i="7" s="1"/>
  <c r="Y79" i="7" s="1"/>
  <c r="AE79" i="7" l="1"/>
  <c r="AA79" i="7" s="1"/>
  <c r="AC79" i="7"/>
  <c r="W79" i="7" s="1"/>
  <c r="S79" i="7"/>
  <c r="X79" i="7"/>
  <c r="Z79" i="7" l="1"/>
  <c r="U79" i="7"/>
  <c r="V79" i="7"/>
  <c r="S80" i="7"/>
  <c r="Q80" i="7"/>
  <c r="T79" i="7" l="1"/>
  <c r="P80" i="7" s="1"/>
  <c r="AE80" i="7" s="1"/>
  <c r="AA80" i="7" s="1"/>
  <c r="AC80" i="7" l="1"/>
  <c r="V80" i="7" s="1"/>
  <c r="AD80" i="7"/>
  <c r="X80" i="7" s="1"/>
  <c r="R80" i="7"/>
  <c r="W80" i="7"/>
  <c r="Z80" i="7"/>
  <c r="T80" i="7" l="1"/>
  <c r="Y80" i="7"/>
  <c r="U80" i="7" s="1"/>
  <c r="Q81" i="7" s="1"/>
  <c r="P81" i="7"/>
  <c r="R81" i="7"/>
  <c r="S81" i="7" l="1"/>
  <c r="AC81" i="7"/>
  <c r="W81" i="7" s="1"/>
  <c r="AD81" i="7"/>
  <c r="Y81" i="7" s="1"/>
  <c r="AE81" i="7"/>
  <c r="AA81" i="7" s="1"/>
  <c r="V81" i="7" l="1"/>
  <c r="Z81" i="7"/>
  <c r="X81" i="7"/>
  <c r="U81" i="7"/>
  <c r="T81" i="7" l="1"/>
  <c r="P82" i="7" s="1"/>
  <c r="S82" i="7"/>
  <c r="Q82" i="7"/>
  <c r="R82" i="7" l="1"/>
  <c r="AE82" i="7"/>
  <c r="Z82" i="7" s="1"/>
  <c r="AD82" i="7"/>
  <c r="X82" i="7" s="1"/>
  <c r="AC82" i="7"/>
  <c r="V82" i="7" s="1"/>
  <c r="AA82" i="7" l="1"/>
  <c r="T82" i="7"/>
  <c r="R83" i="7" s="1"/>
  <c r="Y82" i="7"/>
  <c r="W82" i="7"/>
  <c r="P83" i="7" l="1"/>
  <c r="U82" i="7"/>
  <c r="Q83" i="7" s="1"/>
  <c r="S83" i="7" l="1"/>
  <c r="AE83" i="7"/>
  <c r="Z83" i="7" s="1"/>
  <c r="AC83" i="7"/>
  <c r="V83" i="7" s="1"/>
  <c r="AD83" i="7"/>
  <c r="X83" i="7" s="1"/>
  <c r="AA83" i="7" l="1"/>
  <c r="T83" i="7"/>
  <c r="R84" i="7" s="1"/>
  <c r="W83" i="7"/>
  <c r="Y83" i="7"/>
  <c r="P84" i="7" l="1"/>
  <c r="U83" i="7"/>
  <c r="S84" i="7" s="1"/>
  <c r="Q84" i="7" l="1"/>
  <c r="AC84" i="7" s="1"/>
  <c r="W84" i="7" s="1"/>
  <c r="AE84" i="7" l="1"/>
  <c r="AA84" i="7" s="1"/>
  <c r="V84" i="7"/>
  <c r="AD84" i="7"/>
  <c r="Y84" i="7" s="1"/>
  <c r="Z84" i="7" l="1"/>
  <c r="U84" i="7"/>
  <c r="Q85" i="7" s="1"/>
  <c r="X84" i="7"/>
  <c r="T84" i="7" s="1"/>
  <c r="R85" i="7" s="1"/>
  <c r="S85" i="7" l="1"/>
  <c r="P85" i="7"/>
  <c r="AD85" i="7" s="1"/>
  <c r="X85" i="7" s="1"/>
  <c r="AE85" i="7" l="1"/>
  <c r="AA85" i="7" s="1"/>
  <c r="Y85" i="7"/>
  <c r="AC85" i="7"/>
  <c r="V85" i="7" s="1"/>
  <c r="Z85" i="7" l="1"/>
  <c r="T85" i="7" s="1"/>
  <c r="P86" i="7" s="1"/>
  <c r="W85" i="7"/>
  <c r="U85" i="7" s="1"/>
  <c r="Q86" i="7" s="1"/>
  <c r="R86" i="7" l="1"/>
  <c r="AE86" i="7"/>
  <c r="AA86" i="7" s="1"/>
  <c r="AC86" i="7"/>
  <c r="W86" i="7" s="1"/>
  <c r="AD86" i="7"/>
  <c r="Y86" i="7" s="1"/>
  <c r="S86" i="7"/>
  <c r="Z86" i="7" l="1"/>
  <c r="V86" i="7"/>
  <c r="U86" i="7"/>
  <c r="S87" i="7" s="1"/>
  <c r="X86" i="7"/>
  <c r="T86" i="7" s="1"/>
  <c r="R87" i="7" s="1"/>
  <c r="Q87" i="7"/>
  <c r="P87" i="7" l="1"/>
  <c r="AE87" i="7" s="1"/>
  <c r="Z87" i="7" s="1"/>
  <c r="AC87" i="7" l="1"/>
  <c r="W87" i="7" s="1"/>
  <c r="AD87" i="7"/>
  <c r="X87" i="7" s="1"/>
  <c r="AA87" i="7"/>
  <c r="Y87" i="7" l="1"/>
  <c r="U87" i="7" s="1"/>
  <c r="V87" i="7"/>
  <c r="T87" i="7" s="1"/>
  <c r="R88" i="7" s="1"/>
  <c r="P88" i="7" l="1"/>
  <c r="Q88" i="7"/>
  <c r="S88" i="7"/>
  <c r="AD88" i="7" l="1"/>
  <c r="AC88" i="7"/>
  <c r="AE88" i="7"/>
  <c r="AA88" i="7" l="1"/>
  <c r="Z88" i="7"/>
  <c r="W88" i="7"/>
  <c r="V88" i="7"/>
  <c r="Y88" i="7"/>
  <c r="X88" i="7"/>
  <c r="T88" i="7" l="1"/>
  <c r="U88" i="7"/>
  <c r="Q89" i="7" l="1"/>
  <c r="S89" i="7"/>
  <c r="R89" i="7"/>
  <c r="P89" i="7"/>
  <c r="AC89" i="7" l="1"/>
  <c r="W89" i="7" s="1"/>
  <c r="AE89" i="7"/>
  <c r="Z89" i="7" s="1"/>
  <c r="AD89" i="7"/>
  <c r="Y89" i="7" s="1"/>
  <c r="AA89" i="7" l="1"/>
  <c r="U89" i="7" s="1"/>
  <c r="S90" i="7" s="1"/>
  <c r="V89" i="7"/>
  <c r="X89" i="7"/>
  <c r="Q90" i="7" l="1"/>
  <c r="T89" i="7"/>
  <c r="P90" i="7" s="1"/>
  <c r="R90" i="7" l="1"/>
  <c r="AD90" i="7"/>
  <c r="Y90" i="7" s="1"/>
  <c r="AE90" i="7"/>
  <c r="AA90" i="7" s="1"/>
  <c r="AC90" i="7"/>
  <c r="V90" i="7" s="1"/>
  <c r="X90" i="7" l="1"/>
  <c r="Z90" i="7"/>
  <c r="W90" i="7"/>
  <c r="U90" i="7" s="1"/>
  <c r="S91" i="7" s="1"/>
  <c r="T90" i="7" l="1"/>
  <c r="P91" i="7" s="1"/>
  <c r="Q91" i="7"/>
  <c r="R91" i="7" l="1"/>
  <c r="AD91" i="7"/>
  <c r="Y91" i="7" s="1"/>
  <c r="AE91" i="7"/>
  <c r="AA91" i="7" s="1"/>
  <c r="AC91" i="7"/>
  <c r="W91" i="7" s="1"/>
  <c r="X91" i="7" l="1"/>
  <c r="V91" i="7"/>
  <c r="Z91" i="7"/>
  <c r="U91" i="7"/>
  <c r="S92" i="7" s="1"/>
  <c r="Q92" i="7" l="1"/>
  <c r="T91" i="7"/>
  <c r="R92" i="7" s="1"/>
  <c r="P92" i="7" l="1"/>
  <c r="AD92" i="7" s="1"/>
  <c r="Y92" i="7" s="1"/>
  <c r="AC92" i="7" l="1"/>
  <c r="W92" i="7" s="1"/>
  <c r="AE92" i="7"/>
  <c r="AA92" i="7" s="1"/>
  <c r="X92" i="7"/>
  <c r="V92" i="7" l="1"/>
  <c r="Z92" i="7"/>
  <c r="U92" i="7"/>
  <c r="S93" i="7" s="1"/>
  <c r="Q93" i="7" l="1"/>
  <c r="T92" i="7"/>
  <c r="R93" i="7" s="1"/>
  <c r="P93" i="7" l="1"/>
  <c r="AC93" i="7" s="1"/>
  <c r="W93" i="7" s="1"/>
  <c r="V93" i="7" l="1"/>
  <c r="AE93" i="7"/>
  <c r="AA93" i="7" s="1"/>
  <c r="AD93" i="7"/>
  <c r="Y93" i="7" s="1"/>
  <c r="U93" i="7" s="1"/>
  <c r="S94" i="7" s="1"/>
  <c r="Z93" i="7" l="1"/>
  <c r="X93" i="7"/>
  <c r="Q94" i="7"/>
  <c r="T93" i="7" l="1"/>
  <c r="R94" i="7" s="1"/>
  <c r="P94" i="7" l="1"/>
  <c r="AD94" i="7" s="1"/>
  <c r="Y94" i="7" s="1"/>
  <c r="AC94" i="7"/>
  <c r="W94" i="7" s="1"/>
  <c r="AE94" i="7"/>
  <c r="AA94" i="7" s="1"/>
  <c r="X94" i="7" l="1"/>
  <c r="U94" i="7"/>
  <c r="S95" i="7" s="1"/>
  <c r="V94" i="7"/>
  <c r="Z94" i="7"/>
  <c r="Q95" i="7"/>
  <c r="T94" i="7" l="1"/>
  <c r="R95" i="7" s="1"/>
  <c r="P95" i="7" l="1"/>
  <c r="AE95" i="7" l="1"/>
  <c r="AA95" i="7" s="1"/>
  <c r="AC95" i="7"/>
  <c r="W95" i="7" s="1"/>
  <c r="AD95" i="7"/>
  <c r="Z95" i="7" l="1"/>
  <c r="Y95" i="7"/>
  <c r="U95" i="7" s="1"/>
  <c r="S96" i="7" s="1"/>
  <c r="X95" i="7"/>
  <c r="V95" i="7"/>
  <c r="T95" i="7" s="1"/>
  <c r="R96" i="7" l="1"/>
  <c r="P96" i="7"/>
  <c r="Q96" i="7"/>
  <c r="AE96" i="7" l="1"/>
  <c r="AA96" i="7" s="1"/>
  <c r="AC96" i="7"/>
  <c r="W96" i="7" s="1"/>
  <c r="AD96" i="7"/>
  <c r="Z96" i="7"/>
  <c r="V96" i="7" l="1"/>
  <c r="Y96" i="7"/>
  <c r="U96" i="7" s="1"/>
  <c r="Q97" i="7" s="1"/>
  <c r="X96" i="7"/>
  <c r="T96" i="7" s="1"/>
  <c r="S97" i="7" l="1"/>
  <c r="R97" i="7"/>
  <c r="P97" i="7"/>
  <c r="AC97" i="7" s="1"/>
  <c r="W97" i="7" s="1"/>
  <c r="AE97" i="7" l="1"/>
  <c r="AA97" i="7" s="1"/>
  <c r="AD97" i="7"/>
  <c r="Y97" i="7" s="1"/>
  <c r="V97" i="7"/>
  <c r="U97" i="7" l="1"/>
  <c r="X97" i="7"/>
  <c r="Z97" i="7"/>
  <c r="Q98" i="7"/>
  <c r="S98" i="7"/>
  <c r="T97" i="7" l="1"/>
  <c r="P98" i="7" s="1"/>
  <c r="AC98" i="7" s="1"/>
  <c r="W98" i="7" s="1"/>
  <c r="AD98" i="7" l="1"/>
  <c r="Y98" i="7" s="1"/>
  <c r="AE98" i="7"/>
  <c r="AA98" i="7" s="1"/>
  <c r="R98" i="7"/>
  <c r="X98" i="7"/>
  <c r="V98" i="7"/>
  <c r="Z98" i="7"/>
  <c r="U98" i="7"/>
  <c r="T98" i="7" l="1"/>
  <c r="R99" i="7" s="1"/>
  <c r="Q99" i="7"/>
  <c r="S99" i="7"/>
  <c r="P99" i="7" l="1"/>
  <c r="AE99" i="7" s="1"/>
  <c r="AC99" i="7" l="1"/>
  <c r="W99" i="7" s="1"/>
  <c r="AD99" i="7"/>
  <c r="Y99" i="7" s="1"/>
  <c r="AA99" i="7"/>
  <c r="Z99" i="7"/>
  <c r="X99" i="7" l="1"/>
  <c r="V99" i="7"/>
  <c r="T99" i="7" s="1"/>
  <c r="U99" i="7"/>
  <c r="S100" i="7" l="1"/>
  <c r="Q100" i="7"/>
  <c r="P100" i="7"/>
  <c r="R100" i="7"/>
  <c r="AC100" i="7" l="1"/>
  <c r="V100" i="7" s="1"/>
  <c r="AD100" i="7"/>
  <c r="X100" i="7" s="1"/>
  <c r="AE100" i="7"/>
  <c r="Z100" i="7" s="1"/>
  <c r="AA100" i="7" l="1"/>
  <c r="Y100" i="7"/>
  <c r="W100" i="7"/>
  <c r="T100" i="7"/>
  <c r="U100" i="7" l="1"/>
  <c r="Q101" i="7" s="1"/>
  <c r="R101" i="7"/>
  <c r="P101" i="7"/>
  <c r="S101" i="7" l="1"/>
  <c r="AD101" i="7"/>
  <c r="Y101" i="7" s="1"/>
  <c r="AE101" i="7"/>
  <c r="AA101" i="7" s="1"/>
  <c r="AC101" i="7"/>
  <c r="W101" i="7" s="1"/>
  <c r="X101" i="7" l="1"/>
  <c r="Z101" i="7"/>
  <c r="V101" i="7"/>
  <c r="U101" i="7"/>
  <c r="T101" i="7" l="1"/>
  <c r="Q102" i="7"/>
  <c r="S102" i="7"/>
  <c r="P102" i="7"/>
  <c r="R102" i="7"/>
  <c r="AD102" i="7" l="1"/>
  <c r="AE102" i="7"/>
  <c r="AC102" i="7"/>
  <c r="V102" i="7" s="1"/>
  <c r="W102" i="7" l="1"/>
  <c r="AA102" i="7"/>
  <c r="Z102" i="7"/>
  <c r="X102" i="7"/>
  <c r="Y102" i="7"/>
  <c r="U102" i="7" l="1"/>
  <c r="S103" i="7" s="1"/>
  <c r="T102" i="7"/>
  <c r="R103" i="7" s="1"/>
  <c r="Q103" i="7"/>
  <c r="P103" i="7" l="1"/>
  <c r="AD103" i="7" s="1"/>
  <c r="Y103" i="7" s="1"/>
  <c r="AE103" i="7" l="1"/>
  <c r="AA103" i="7" s="1"/>
  <c r="AC103" i="7"/>
  <c r="W103" i="7" s="1"/>
  <c r="X103" i="7"/>
  <c r="U103" i="7" l="1"/>
  <c r="S104" i="7" s="1"/>
  <c r="V103" i="7"/>
  <c r="Z103" i="7"/>
  <c r="Q104" i="7" l="1"/>
  <c r="T103" i="7"/>
  <c r="R104" i="7" s="1"/>
  <c r="P104" i="7" l="1"/>
  <c r="AD104" i="7" s="1"/>
  <c r="Y104" i="7" s="1"/>
  <c r="X104" i="7" l="1"/>
  <c r="AC104" i="7"/>
  <c r="W104" i="7" s="1"/>
  <c r="AE104" i="7"/>
  <c r="AA104" i="7" s="1"/>
  <c r="V104" i="7" l="1"/>
  <c r="U104" i="7"/>
  <c r="Z104" i="7"/>
  <c r="T104" i="7" s="1"/>
  <c r="R105" i="7" s="1"/>
  <c r="Q105" i="7"/>
  <c r="S105" i="7"/>
  <c r="P105" i="7" l="1"/>
  <c r="AD105" i="7" s="1"/>
  <c r="Y105" i="7" s="1"/>
  <c r="X105" i="7" l="1"/>
  <c r="AE105" i="7"/>
  <c r="AA105" i="7" s="1"/>
  <c r="AC105" i="7"/>
  <c r="W105" i="7" s="1"/>
  <c r="V105" i="7" l="1"/>
  <c r="U105" i="7"/>
  <c r="S106" i="7" s="1"/>
  <c r="Z105" i="7"/>
  <c r="Q106" i="7"/>
  <c r="T105" i="7" l="1"/>
  <c r="R106" i="7" s="1"/>
  <c r="P106" i="7"/>
  <c r="AE106" i="7" s="1"/>
  <c r="AA106" i="7" s="1"/>
  <c r="AC106" i="7" l="1"/>
  <c r="W106" i="7" s="1"/>
  <c r="AD106" i="7"/>
  <c r="Y106" i="7" s="1"/>
  <c r="Z106" i="7"/>
  <c r="V106" i="7" l="1"/>
  <c r="U106" i="7"/>
  <c r="S107" i="7" s="1"/>
  <c r="X106" i="7"/>
  <c r="Q107" i="7" l="1"/>
  <c r="T106" i="7"/>
  <c r="R107" i="7" s="1"/>
  <c r="P107" i="7" l="1"/>
  <c r="AC107" i="7" s="1"/>
  <c r="W107" i="7" s="1"/>
  <c r="AE107" i="7" l="1"/>
  <c r="AA107" i="7" s="1"/>
  <c r="AD107" i="7"/>
  <c r="Y107" i="7" s="1"/>
  <c r="V107" i="7"/>
  <c r="Z107" i="7"/>
  <c r="X107" i="7"/>
  <c r="U107" i="7" l="1"/>
  <c r="Q108" i="7" s="1"/>
  <c r="S108" i="7"/>
  <c r="T107" i="7"/>
  <c r="R108" i="7" s="1"/>
  <c r="P108" i="7" l="1"/>
  <c r="AE108" i="7" s="1"/>
  <c r="AA108" i="7" s="1"/>
  <c r="AC108" i="7"/>
  <c r="W108" i="7" s="1"/>
  <c r="AD108" i="7"/>
  <c r="Y108" i="7" s="1"/>
  <c r="Z108" i="7"/>
  <c r="U108" i="7" l="1"/>
  <c r="S109" i="7" s="1"/>
  <c r="X108" i="7"/>
  <c r="V108" i="7"/>
  <c r="Q109" i="7" l="1"/>
  <c r="T108" i="7"/>
  <c r="R109" i="7" s="1"/>
  <c r="P109" i="7" l="1"/>
  <c r="AE109" i="7" s="1"/>
  <c r="AA109" i="7" s="1"/>
  <c r="AD109" i="7"/>
  <c r="Y109" i="7" s="1"/>
  <c r="Z109" i="7" l="1"/>
  <c r="AC109" i="7"/>
  <c r="W109" i="7" s="1"/>
  <c r="U109" i="7" s="1"/>
  <c r="X109" i="7"/>
  <c r="V109" i="7" l="1"/>
  <c r="T109" i="7" s="1"/>
  <c r="R110" i="7" s="1"/>
  <c r="S110" i="7"/>
  <c r="Q110" i="7"/>
  <c r="P110" i="7" l="1"/>
  <c r="AE110" i="7" s="1"/>
  <c r="Z110" i="7" s="1"/>
  <c r="AD110" i="7" l="1"/>
  <c r="Y110" i="7" s="1"/>
  <c r="AA110" i="7"/>
  <c r="AC110" i="7"/>
  <c r="V110" i="7" s="1"/>
  <c r="X110" i="7"/>
  <c r="W110" i="7" l="1"/>
  <c r="U110" i="7" s="1"/>
  <c r="S111" i="7" s="1"/>
  <c r="T110" i="7"/>
  <c r="P111" i="7" s="1"/>
  <c r="Q111" i="7" l="1"/>
  <c r="AE111" i="7" s="1"/>
  <c r="R111" i="7"/>
  <c r="AD111" i="7"/>
  <c r="X111" i="7" s="1"/>
  <c r="AC111" i="7"/>
  <c r="V111" i="7" s="1"/>
  <c r="Z111" i="7"/>
  <c r="AA111" i="7"/>
  <c r="Y111" i="7" l="1"/>
  <c r="W111" i="7"/>
  <c r="T111" i="7"/>
  <c r="U111" i="7" l="1"/>
  <c r="Q112" i="7" s="1"/>
  <c r="R112" i="7"/>
  <c r="P112" i="7"/>
  <c r="S112" i="7" l="1"/>
  <c r="AD112" i="7"/>
  <c r="Y112" i="7" s="1"/>
  <c r="AC112" i="7"/>
  <c r="W112" i="7" s="1"/>
  <c r="AE112" i="7"/>
  <c r="AA112" i="7" s="1"/>
  <c r="X112" i="7" l="1"/>
  <c r="V112" i="7"/>
  <c r="Z112" i="7"/>
  <c r="U112" i="7"/>
  <c r="T112" i="7" l="1"/>
  <c r="R113" i="7" s="1"/>
  <c r="S113" i="7"/>
  <c r="Q113" i="7"/>
  <c r="P113" i="7" l="1"/>
  <c r="AE113" i="7" s="1"/>
  <c r="Z113" i="7" s="1"/>
  <c r="AC113" i="7" l="1"/>
  <c r="V113" i="7" s="1"/>
  <c r="AD113" i="7"/>
  <c r="X113" i="7" s="1"/>
  <c r="AA113" i="7"/>
  <c r="T113" i="7" l="1"/>
  <c r="P114" i="7" s="1"/>
  <c r="Y113" i="7"/>
  <c r="W113" i="7"/>
  <c r="R114" i="7" l="1"/>
  <c r="U113" i="7"/>
  <c r="Q114" i="7" s="1"/>
  <c r="AD114" i="7" s="1"/>
  <c r="AE114" i="7" l="1"/>
  <c r="Z114" i="7" s="1"/>
  <c r="AC114" i="7"/>
  <c r="V114" i="7" s="1"/>
  <c r="S114" i="7"/>
  <c r="X114" i="7"/>
  <c r="Y114" i="7"/>
  <c r="W114" i="7" l="1"/>
  <c r="AA114" i="7"/>
  <c r="T114" i="7"/>
  <c r="U114" i="7" l="1"/>
  <c r="R115" i="7"/>
  <c r="P115" i="7"/>
  <c r="Q115" i="7"/>
  <c r="S115" i="7"/>
  <c r="AD115" i="7" l="1"/>
  <c r="X115" i="7" s="1"/>
  <c r="AC115" i="7"/>
  <c r="V115" i="7" s="1"/>
  <c r="AE115" i="7"/>
  <c r="Z115" i="7" s="1"/>
  <c r="W115" i="7" l="1"/>
  <c r="AA115" i="7"/>
  <c r="Y115" i="7"/>
  <c r="T115" i="7"/>
  <c r="U115" i="7" l="1"/>
  <c r="S116" i="7" s="1"/>
  <c r="P116" i="7"/>
  <c r="R116" i="7"/>
  <c r="Q116" i="7" l="1"/>
  <c r="AC116" i="7" s="1"/>
  <c r="V116" i="7" s="1"/>
  <c r="AD116" i="7" l="1"/>
  <c r="X116" i="7" s="1"/>
  <c r="AE116" i="7"/>
  <c r="Z116" i="7" s="1"/>
  <c r="W116" i="7"/>
  <c r="T116" i="7" l="1"/>
  <c r="Y116" i="7"/>
  <c r="AA116" i="7"/>
  <c r="U116" i="7" s="1"/>
  <c r="R117" i="7"/>
  <c r="P117" i="7"/>
  <c r="Q117" i="7" l="1"/>
  <c r="AD117" i="7" s="1"/>
  <c r="X117" i="7" s="1"/>
  <c r="S117" i="7"/>
  <c r="AC117" i="7" l="1"/>
  <c r="V117" i="7" s="1"/>
  <c r="AE117" i="7"/>
  <c r="Z117" i="7" s="1"/>
  <c r="T117" i="7" s="1"/>
  <c r="R118" i="7" s="1"/>
  <c r="Y117" i="7"/>
  <c r="W117" i="7"/>
  <c r="AA117" i="7" l="1"/>
  <c r="U117" i="7" s="1"/>
  <c r="S118" i="7" s="1"/>
  <c r="P118" i="7"/>
  <c r="Q118" i="7" l="1"/>
  <c r="AC118" i="7" s="1"/>
  <c r="AE118" i="7" l="1"/>
  <c r="Z118" i="7" s="1"/>
  <c r="AD118" i="7"/>
  <c r="X118" i="7" s="1"/>
  <c r="V118" i="7"/>
  <c r="W118" i="7"/>
  <c r="Y118" i="7" l="1"/>
  <c r="AA118" i="7"/>
  <c r="T118" i="7"/>
  <c r="R119" i="7" s="1"/>
  <c r="U118" i="7" l="1"/>
  <c r="P119" i="7"/>
  <c r="S119" i="7"/>
  <c r="Q119" i="7"/>
  <c r="AC119" i="7" l="1"/>
  <c r="AE119" i="7"/>
  <c r="AD119" i="7"/>
  <c r="X119" i="7" l="1"/>
  <c r="Y119" i="7"/>
  <c r="Z119" i="7"/>
  <c r="AA119" i="7"/>
  <c r="V119" i="7"/>
  <c r="W119" i="7"/>
  <c r="U119" i="7" l="1"/>
  <c r="Q120" i="7" s="1"/>
  <c r="T119" i="7"/>
  <c r="P120" i="7" s="1"/>
  <c r="S120" i="7" l="1"/>
  <c r="R120" i="7"/>
  <c r="AD120" i="7"/>
  <c r="AE120" i="7"/>
  <c r="AC120" i="7"/>
  <c r="V120" i="7" l="1"/>
  <c r="W120" i="7"/>
  <c r="X120" i="7"/>
  <c r="Y120" i="7"/>
  <c r="Z120" i="7"/>
  <c r="AA120" i="7"/>
  <c r="U120" i="7" l="1"/>
  <c r="T120" i="7"/>
  <c r="P121" i="7" l="1"/>
  <c r="R121" i="7"/>
  <c r="S121" i="7"/>
  <c r="Q121" i="7"/>
  <c r="AD121" i="7" l="1"/>
  <c r="X121" i="7" s="1"/>
  <c r="AE121" i="7"/>
  <c r="Z121" i="7" s="1"/>
  <c r="AC121" i="7"/>
  <c r="V121" i="7" s="1"/>
  <c r="W121" i="7" l="1"/>
  <c r="AA121" i="7"/>
  <c r="Y121" i="7"/>
  <c r="T121" i="7"/>
  <c r="R122" i="7" l="1"/>
  <c r="P122" i="7"/>
  <c r="U121" i="7"/>
  <c r="Q122" i="7" l="1"/>
  <c r="AD122" i="7" s="1"/>
  <c r="X122" i="7" s="1"/>
  <c r="S122" i="7"/>
  <c r="AC122" i="7" l="1"/>
  <c r="V122" i="7" s="1"/>
  <c r="AE122" i="7"/>
  <c r="Z122" i="7" s="1"/>
  <c r="Y122" i="7"/>
  <c r="W122" i="7"/>
  <c r="T122" i="7" l="1"/>
  <c r="R123" i="7" s="1"/>
  <c r="AA122" i="7"/>
  <c r="U122" i="7" s="1"/>
  <c r="S123" i="7" s="1"/>
  <c r="P123" i="7"/>
  <c r="Q123" i="7" l="1"/>
  <c r="AD123" i="7" s="1"/>
  <c r="X123" i="7" s="1"/>
  <c r="AC123" i="7" l="1"/>
  <c r="AE123" i="7"/>
  <c r="Y123" i="7"/>
  <c r="Z123" i="7" l="1"/>
  <c r="AA123" i="7"/>
  <c r="V123" i="7"/>
  <c r="W123" i="7"/>
  <c r="U123" i="7" l="1"/>
  <c r="S124" i="7" s="1"/>
  <c r="T123" i="7"/>
  <c r="R124" i="7" s="1"/>
  <c r="P124" i="7"/>
  <c r="Q124" i="7" l="1"/>
  <c r="AC124" i="7" s="1"/>
  <c r="AE124" i="7" l="1"/>
  <c r="AA124" i="7" s="1"/>
  <c r="AD124" i="7"/>
  <c r="Y124" i="7" s="1"/>
  <c r="Z124" i="7"/>
  <c r="V124" i="7"/>
  <c r="W124" i="7"/>
  <c r="X124" i="7" l="1"/>
  <c r="T124" i="7" s="1"/>
  <c r="U124" i="7"/>
  <c r="Q125" i="7" s="1"/>
  <c r="S125" i="7" l="1"/>
  <c r="P125" i="7"/>
  <c r="R125" i="7"/>
  <c r="AD125" i="7" l="1"/>
  <c r="AE125" i="7"/>
  <c r="AC125" i="7"/>
  <c r="V125" i="7" l="1"/>
  <c r="W125" i="7"/>
  <c r="Z125" i="7"/>
  <c r="AA125" i="7"/>
  <c r="X125" i="7"/>
  <c r="Y125" i="7"/>
  <c r="U125" i="7" l="1"/>
  <c r="T125" i="7"/>
  <c r="R126" i="7" l="1"/>
  <c r="P126" i="7"/>
  <c r="Q126" i="7"/>
  <c r="S126" i="7"/>
  <c r="AD126" i="7" l="1"/>
  <c r="AE126" i="7"/>
  <c r="AC126" i="7"/>
  <c r="V126" i="7" l="1"/>
  <c r="W126" i="7"/>
  <c r="Z126" i="7"/>
  <c r="AA126" i="7"/>
  <c r="X126" i="7"/>
  <c r="Y126" i="7"/>
  <c r="U126" i="7" l="1"/>
  <c r="T126" i="7"/>
  <c r="P127" i="7" l="1"/>
  <c r="R127" i="7"/>
  <c r="S127" i="7"/>
  <c r="Q127" i="7"/>
  <c r="AD127" i="7" l="1"/>
  <c r="Y127" i="7" s="1"/>
  <c r="AE127" i="7"/>
  <c r="AA127" i="7" s="1"/>
  <c r="AC127" i="7"/>
  <c r="W127" i="7" s="1"/>
  <c r="X127" i="7" l="1"/>
  <c r="U127" i="7"/>
  <c r="Q128" i="7" s="1"/>
  <c r="V127" i="7"/>
  <c r="Z127" i="7"/>
  <c r="S128" i="7" l="1"/>
  <c r="T127" i="7"/>
  <c r="P128" i="7" l="1"/>
  <c r="R128" i="7"/>
  <c r="AD128" i="7" l="1"/>
  <c r="Y128" i="7" s="1"/>
  <c r="AE128" i="7"/>
  <c r="AA128" i="7" s="1"/>
  <c r="AC128" i="7"/>
  <c r="W128" i="7" s="1"/>
  <c r="X128" i="7" l="1"/>
  <c r="U128" i="7"/>
  <c r="Q129" i="7" s="1"/>
  <c r="V128" i="7"/>
  <c r="Z128" i="7"/>
  <c r="S129" i="7" l="1"/>
  <c r="T128" i="7"/>
  <c r="P129" i="7" s="1"/>
  <c r="R129" i="7" l="1"/>
  <c r="AC129" i="7"/>
  <c r="W129" i="7" s="1"/>
  <c r="AD129" i="7"/>
  <c r="Y129" i="7" s="1"/>
  <c r="AE129" i="7"/>
  <c r="AA129" i="7" s="1"/>
  <c r="V129" i="7" l="1"/>
  <c r="Z129" i="7"/>
  <c r="X129" i="7"/>
  <c r="U129" i="7"/>
  <c r="T129" i="7" l="1"/>
  <c r="S130" i="7"/>
  <c r="Q130" i="7"/>
  <c r="R130" i="7"/>
  <c r="P130" i="7"/>
  <c r="AD130" i="7" l="1"/>
  <c r="Y130" i="7" s="1"/>
  <c r="AC130" i="7"/>
  <c r="W130" i="7" s="1"/>
  <c r="AE130" i="7"/>
  <c r="AA130" i="7" s="1"/>
  <c r="V130" i="7" l="1"/>
  <c r="Z130" i="7"/>
  <c r="X130" i="7"/>
  <c r="U130" i="7"/>
  <c r="T130" i="7" l="1"/>
  <c r="P131" i="7" s="1"/>
  <c r="Q131" i="7"/>
  <c r="S131" i="7"/>
  <c r="R131" i="7" l="1"/>
  <c r="AC131" i="7"/>
  <c r="W131" i="7" s="1"/>
  <c r="AD131" i="7"/>
  <c r="Y131" i="7" s="1"/>
  <c r="AE131" i="7"/>
  <c r="AA131" i="7" s="1"/>
  <c r="V131" i="7" l="1"/>
  <c r="X131" i="7"/>
  <c r="Z131" i="7"/>
  <c r="U131" i="7"/>
  <c r="T131" i="7" l="1"/>
  <c r="S132" i="7"/>
  <c r="Q132" i="7"/>
  <c r="R132" i="7"/>
  <c r="P132" i="7"/>
  <c r="AC132" i="7" l="1"/>
  <c r="V132" i="7" s="1"/>
  <c r="AD132" i="7"/>
  <c r="X132" i="7" s="1"/>
  <c r="AE132" i="7"/>
  <c r="Z132" i="7" s="1"/>
  <c r="W132" i="7" l="1"/>
  <c r="Y132" i="7"/>
  <c r="AA132" i="7"/>
  <c r="T132" i="7"/>
  <c r="U132" i="7" l="1"/>
  <c r="Q133" i="7" s="1"/>
  <c r="P133" i="7"/>
  <c r="R133" i="7"/>
  <c r="S133" i="7" l="1"/>
  <c r="AE133" i="7"/>
  <c r="Z133" i="7" s="1"/>
  <c r="AD133" i="7"/>
  <c r="X133" i="7" s="1"/>
  <c r="AC133" i="7"/>
  <c r="V133" i="7" s="1"/>
  <c r="AA133" i="7" l="1"/>
  <c r="W133" i="7"/>
  <c r="T133" i="7"/>
  <c r="Y133" i="7"/>
  <c r="U133" i="7" l="1"/>
  <c r="Q134" i="7" s="1"/>
  <c r="R134" i="7"/>
  <c r="P134" i="7"/>
  <c r="S134" i="7" l="1"/>
  <c r="AD134" i="7"/>
  <c r="Y134" i="7" s="1"/>
  <c r="AE134" i="7"/>
  <c r="AA134" i="7" s="1"/>
  <c r="AC134" i="7"/>
  <c r="W134" i="7" s="1"/>
  <c r="Z134" i="7" l="1"/>
  <c r="X134" i="7"/>
  <c r="U134" i="7"/>
  <c r="S135" i="7" s="1"/>
  <c r="V134" i="7"/>
  <c r="Q135" i="7" l="1"/>
  <c r="T134" i="7"/>
  <c r="P135" i="7" s="1"/>
  <c r="R135" i="7" l="1"/>
  <c r="AE135" i="7"/>
  <c r="AD135" i="7"/>
  <c r="Y135" i="7" s="1"/>
  <c r="AC135" i="7"/>
  <c r="V135" i="7" l="1"/>
  <c r="W135" i="7"/>
  <c r="Z135" i="7"/>
  <c r="AA135" i="7"/>
  <c r="X135" i="7"/>
  <c r="U135" i="7" l="1"/>
  <c r="S136" i="7" s="1"/>
  <c r="T135" i="7"/>
  <c r="Q136" i="7" l="1"/>
  <c r="P136" i="7"/>
  <c r="R136" i="7"/>
  <c r="AE136" i="7" l="1"/>
  <c r="AA136" i="7" s="1"/>
  <c r="AC136" i="7"/>
  <c r="W136" i="7" s="1"/>
  <c r="AD136" i="7"/>
  <c r="Y136" i="7" s="1"/>
  <c r="U136" i="7" l="1"/>
  <c r="Z136" i="7"/>
  <c r="X136" i="7"/>
  <c r="S137" i="7"/>
  <c r="Q137" i="7"/>
  <c r="V136" i="7"/>
  <c r="T136" i="7" l="1"/>
  <c r="R137" i="7" s="1"/>
  <c r="P137" i="7"/>
  <c r="AC137" i="7" l="1"/>
  <c r="W137" i="7" s="1"/>
  <c r="AD137" i="7"/>
  <c r="Y137" i="7" s="1"/>
  <c r="AE137" i="7"/>
  <c r="AA137" i="7" s="1"/>
  <c r="V137" i="7" l="1"/>
  <c r="X137" i="7"/>
  <c r="Z137" i="7"/>
  <c r="U137" i="7"/>
  <c r="T137" i="7" l="1"/>
  <c r="S138" i="7"/>
  <c r="Q138" i="7"/>
  <c r="P138" i="7"/>
  <c r="R138" i="7"/>
  <c r="AE138" i="7" l="1"/>
  <c r="Z138" i="7" s="1"/>
  <c r="AD138" i="7"/>
  <c r="X138" i="7" s="1"/>
  <c r="AC138" i="7"/>
  <c r="V138" i="7" s="1"/>
  <c r="AA138" i="7" l="1"/>
  <c r="W138" i="7"/>
  <c r="Y138" i="7"/>
  <c r="T138" i="7"/>
  <c r="U138" i="7" l="1"/>
  <c r="R139" i="7"/>
  <c r="P139" i="7"/>
  <c r="Q139" i="7" l="1"/>
  <c r="AC139" i="7" s="1"/>
  <c r="W139" i="7" s="1"/>
  <c r="S139" i="7"/>
  <c r="AD139" i="7" l="1"/>
  <c r="X139" i="7" s="1"/>
  <c r="AE139" i="7"/>
  <c r="Z139" i="7" s="1"/>
  <c r="V139" i="7"/>
  <c r="Y139" i="7" l="1"/>
  <c r="AA139" i="7"/>
  <c r="T139" i="7"/>
  <c r="R140" i="7" s="1"/>
  <c r="P140" i="7" l="1"/>
  <c r="U139" i="7"/>
  <c r="S140" i="7" s="1"/>
  <c r="Q140" i="7" l="1"/>
  <c r="AD140" i="7" s="1"/>
  <c r="X140" i="7" s="1"/>
  <c r="AE140" i="7"/>
  <c r="Z140" i="7" s="1"/>
  <c r="Y140" i="7" l="1"/>
  <c r="AC140" i="7"/>
  <c r="V140" i="7" s="1"/>
  <c r="T140" i="7" s="1"/>
  <c r="AA140" i="7"/>
  <c r="R141" i="7" l="1"/>
  <c r="P141" i="7"/>
  <c r="W140" i="7"/>
  <c r="U140" i="7" s="1"/>
  <c r="Q141" i="7" l="1"/>
  <c r="S141" i="7"/>
  <c r="AC141" i="7" l="1"/>
  <c r="AE141" i="7"/>
  <c r="AD141" i="7"/>
  <c r="Z141" i="7" l="1"/>
  <c r="AA141" i="7"/>
  <c r="X141" i="7"/>
  <c r="Y141" i="7"/>
  <c r="V141" i="7"/>
  <c r="W141" i="7"/>
  <c r="T141" i="7" l="1"/>
  <c r="R142" i="7" s="1"/>
  <c r="P142" i="7"/>
  <c r="U141" i="7"/>
  <c r="S142" i="7" l="1"/>
  <c r="Q142" i="7"/>
  <c r="AE142" i="7" s="1"/>
  <c r="Z142" i="7" s="1"/>
  <c r="AC142" i="7" l="1"/>
  <c r="V142" i="7" s="1"/>
  <c r="AA142" i="7"/>
  <c r="AD142" i="7"/>
  <c r="X142" i="7" s="1"/>
  <c r="T142" i="7" s="1"/>
  <c r="W142" i="7" l="1"/>
  <c r="R143" i="7"/>
  <c r="P143" i="7"/>
  <c r="Y142" i="7"/>
  <c r="U142" i="7" s="1"/>
  <c r="S143" i="7" l="1"/>
  <c r="Q143" i="7"/>
  <c r="AE143" i="7" l="1"/>
  <c r="Z143" i="7" s="1"/>
  <c r="AD143" i="7"/>
  <c r="AA143" i="7"/>
  <c r="AC143" i="7"/>
  <c r="V143" i="7" l="1"/>
  <c r="W143" i="7"/>
  <c r="X143" i="7"/>
  <c r="Y143" i="7"/>
  <c r="U143" i="7" l="1"/>
  <c r="T143" i="7"/>
  <c r="R144" i="7" l="1"/>
  <c r="P144" i="7"/>
  <c r="S144" i="7"/>
  <c r="Q144" i="7"/>
  <c r="AE144" i="7" l="1"/>
  <c r="AD144" i="7"/>
  <c r="AC144" i="7"/>
  <c r="V144" i="7" s="1"/>
  <c r="W144" i="7" l="1"/>
  <c r="X144" i="7"/>
  <c r="Y144" i="7"/>
  <c r="AA144" i="7"/>
  <c r="Z144" i="7"/>
  <c r="T144" i="7" l="1"/>
  <c r="R145" i="7"/>
  <c r="P145" i="7"/>
  <c r="U144" i="7"/>
  <c r="S145" i="7" l="1"/>
  <c r="Q145" i="7"/>
  <c r="AC145" i="7" s="1"/>
  <c r="V145" i="7" s="1"/>
  <c r="AE145" i="7" l="1"/>
  <c r="Z145" i="7" s="1"/>
  <c r="W145" i="7"/>
  <c r="AD145" i="7"/>
  <c r="X145" i="7" s="1"/>
  <c r="T145" i="7" s="1"/>
  <c r="R146" i="7" l="1"/>
  <c r="P146" i="7"/>
  <c r="Y145" i="7"/>
  <c r="AA145" i="7"/>
  <c r="U145" i="7" l="1"/>
  <c r="Q146" i="7" s="1"/>
  <c r="AC146" i="7" l="1"/>
  <c r="W146" i="7" s="1"/>
  <c r="AD146" i="7"/>
  <c r="X146" i="7" s="1"/>
  <c r="S146" i="7"/>
  <c r="AE146" i="7"/>
  <c r="V146" i="7" l="1"/>
  <c r="Y146" i="7"/>
  <c r="AA146" i="7"/>
  <c r="Z146" i="7"/>
  <c r="T146" i="7" s="1"/>
  <c r="U146" i="7" l="1"/>
  <c r="P147" i="7"/>
  <c r="R147" i="7"/>
  <c r="Q147" i="7"/>
  <c r="S147" i="7"/>
  <c r="AC147" i="7" l="1"/>
  <c r="W147" i="7" s="1"/>
  <c r="AD147" i="7"/>
  <c r="AE147" i="7"/>
  <c r="Z147" i="7" l="1"/>
  <c r="AA147" i="7"/>
  <c r="X147" i="7"/>
  <c r="Y147" i="7"/>
  <c r="U147" i="7" s="1"/>
  <c r="V147" i="7"/>
  <c r="T147" i="7" l="1"/>
  <c r="R148" i="7" s="1"/>
  <c r="Q148" i="7"/>
  <c r="S148" i="7"/>
  <c r="P148" i="7" l="1"/>
  <c r="AC148" i="7" s="1"/>
  <c r="AE148" i="7"/>
  <c r="AD148" i="7"/>
  <c r="X148" i="7" l="1"/>
  <c r="Y148" i="7"/>
  <c r="AA148" i="7"/>
  <c r="Z148" i="7"/>
  <c r="W148" i="7"/>
  <c r="V148" i="7"/>
  <c r="T148" i="7" l="1"/>
  <c r="U148" i="7"/>
  <c r="S149" i="7" l="1"/>
  <c r="Q149" i="7"/>
  <c r="R149" i="7"/>
  <c r="P149" i="7"/>
  <c r="AD149" i="7" l="1"/>
  <c r="Y149" i="7" s="1"/>
  <c r="AC149" i="7"/>
  <c r="W149" i="7" s="1"/>
  <c r="AE149" i="7"/>
  <c r="AA149" i="7" s="1"/>
  <c r="X149" i="7" l="1"/>
  <c r="U149" i="7"/>
  <c r="S150" i="7" s="1"/>
  <c r="Q150" i="7"/>
  <c r="V149" i="7"/>
  <c r="Z149" i="7"/>
  <c r="T149" i="7" l="1"/>
  <c r="P150" i="7"/>
  <c r="R150" i="7"/>
  <c r="AC150" i="7" l="1"/>
  <c r="AE150" i="7"/>
  <c r="AA150" i="7" s="1"/>
  <c r="AD150" i="7"/>
  <c r="W150" i="7" l="1"/>
  <c r="V150" i="7"/>
  <c r="Y150" i="7"/>
  <c r="X150" i="7"/>
  <c r="Z150" i="7"/>
  <c r="T150" i="7" l="1"/>
  <c r="U150" i="7"/>
  <c r="Q151" i="7" l="1"/>
  <c r="S151" i="7"/>
  <c r="R151" i="7"/>
  <c r="P151" i="7"/>
  <c r="AC151" i="7" l="1"/>
  <c r="W151" i="7" s="1"/>
  <c r="AD151" i="7"/>
  <c r="Y151" i="7" s="1"/>
  <c r="AE151" i="7"/>
  <c r="X151" i="7"/>
  <c r="AA151" i="7" l="1"/>
  <c r="U151" i="7" s="1"/>
  <c r="Z151" i="7"/>
  <c r="V151" i="7"/>
  <c r="T151" i="7" l="1"/>
  <c r="P152" i="7"/>
  <c r="R152" i="7"/>
  <c r="S152" i="7"/>
  <c r="Q152" i="7"/>
  <c r="AE152" i="7" l="1"/>
  <c r="AA152" i="7" s="1"/>
  <c r="AC152" i="7"/>
  <c r="W152" i="7" s="1"/>
  <c r="AD152" i="7"/>
  <c r="Y152" i="7" s="1"/>
  <c r="U152" i="7" l="1"/>
  <c r="S153" i="7" s="1"/>
  <c r="X152" i="7"/>
  <c r="V152" i="7"/>
  <c r="Z152" i="7"/>
  <c r="Q153" i="7"/>
  <c r="T152" i="7" l="1"/>
  <c r="P153" i="7"/>
  <c r="AE153" i="7" s="1"/>
  <c r="AA153" i="7" s="1"/>
  <c r="R153" i="7"/>
  <c r="AD153" i="7" l="1"/>
  <c r="Y153" i="7" s="1"/>
  <c r="AC153" i="7"/>
  <c r="W153" i="7" s="1"/>
  <c r="Z153" i="7"/>
  <c r="X153" i="7"/>
  <c r="U153" i="7" l="1"/>
  <c r="Q154" i="7" s="1"/>
  <c r="S154" i="7"/>
  <c r="V153" i="7"/>
  <c r="T153" i="7" s="1"/>
  <c r="P154" i="7" l="1"/>
  <c r="R154" i="7"/>
  <c r="AE154" i="7" l="1"/>
  <c r="AC154" i="7"/>
  <c r="AD154" i="7"/>
  <c r="Y154" i="7" l="1"/>
  <c r="X154" i="7"/>
  <c r="V154" i="7"/>
  <c r="W154" i="7"/>
  <c r="Z154" i="7"/>
  <c r="AA154" i="7"/>
  <c r="T154" i="7" l="1"/>
  <c r="U154" i="7"/>
  <c r="S155" i="7" l="1"/>
  <c r="Q155" i="7"/>
  <c r="R155" i="7"/>
  <c r="P155" i="7"/>
  <c r="AE155" i="7" l="1"/>
  <c r="AA155" i="7" s="1"/>
  <c r="AC155" i="7"/>
  <c r="W155" i="7" s="1"/>
  <c r="AD155" i="7"/>
  <c r="Y155" i="7" s="1"/>
  <c r="X155" i="7" l="1"/>
  <c r="U155" i="7"/>
  <c r="Z155" i="7"/>
  <c r="V155" i="7"/>
  <c r="T155" i="7" l="1"/>
  <c r="R156" i="7"/>
  <c r="P156" i="7"/>
  <c r="Q156" i="7"/>
  <c r="S156" i="7"/>
  <c r="AC156" i="7" l="1"/>
  <c r="W156" i="7" s="1"/>
  <c r="AD156" i="7"/>
  <c r="Y156" i="7" s="1"/>
  <c r="AE156" i="7"/>
  <c r="AA156" i="7" s="1"/>
  <c r="V156" i="7" l="1"/>
  <c r="X156" i="7"/>
  <c r="U156" i="7"/>
  <c r="Z156" i="7"/>
  <c r="T156" i="7" s="1"/>
  <c r="Q157" i="7" l="1"/>
  <c r="S157" i="7"/>
  <c r="R157" i="7"/>
  <c r="P157" i="7"/>
  <c r="AD157" i="7" l="1"/>
  <c r="Y157" i="7" s="1"/>
  <c r="AE157" i="7"/>
  <c r="AA157" i="7" s="1"/>
  <c r="X157" i="7"/>
  <c r="AC157" i="7"/>
  <c r="W157" i="7" s="1"/>
  <c r="U157" i="7" l="1"/>
  <c r="V157" i="7"/>
  <c r="S158" i="7"/>
  <c r="Q158" i="7"/>
  <c r="Z157" i="7"/>
  <c r="T157" i="7" l="1"/>
  <c r="R158" i="7" l="1"/>
  <c r="P158" i="7"/>
  <c r="AC158" i="7" l="1"/>
  <c r="AD158" i="7"/>
  <c r="AE158" i="7"/>
  <c r="Z158" i="7" l="1"/>
  <c r="AA158" i="7"/>
  <c r="X158" i="7"/>
  <c r="Y158" i="7"/>
  <c r="V158" i="7"/>
  <c r="W158" i="7"/>
  <c r="T158" i="7" l="1"/>
  <c r="P159" i="7"/>
  <c r="R159" i="7"/>
  <c r="U158" i="7"/>
  <c r="S159" i="7" l="1"/>
  <c r="Q159" i="7"/>
  <c r="AC159" i="7"/>
  <c r="W159" i="7" s="1"/>
  <c r="AD159" i="7"/>
  <c r="Y159" i="7" s="1"/>
  <c r="AE159" i="7"/>
  <c r="AA159" i="7" s="1"/>
  <c r="V159" i="7" l="1"/>
  <c r="X159" i="7"/>
  <c r="U159" i="7"/>
  <c r="Z159" i="7"/>
  <c r="Q160" i="7"/>
  <c r="S160" i="7"/>
  <c r="T159" i="7" l="1"/>
  <c r="R160" i="7"/>
  <c r="P160" i="7"/>
  <c r="AC160" i="7" l="1"/>
  <c r="W160" i="7" s="1"/>
  <c r="AD160" i="7"/>
  <c r="Y160" i="7" s="1"/>
  <c r="AE160" i="7"/>
  <c r="AA160" i="7" s="1"/>
  <c r="Z160" i="7" l="1"/>
  <c r="X160" i="7"/>
  <c r="U160" i="7"/>
  <c r="V160" i="7"/>
  <c r="S161" i="7" l="1"/>
  <c r="Q161" i="7"/>
  <c r="T160" i="7"/>
  <c r="P161" i="7" l="1"/>
  <c r="R161" i="7"/>
  <c r="AC161" i="7" l="1"/>
  <c r="W161" i="7" s="1"/>
  <c r="AE161" i="7"/>
  <c r="AA161" i="7" s="1"/>
  <c r="AD161" i="7"/>
  <c r="Y161" i="7" s="1"/>
  <c r="V161" i="7" l="1"/>
  <c r="Z161" i="7"/>
  <c r="X161" i="7"/>
  <c r="T161" i="7" s="1"/>
  <c r="U161" i="7"/>
  <c r="R162" i="7" l="1"/>
  <c r="P162" i="7"/>
  <c r="Q162" i="7"/>
  <c r="S162" i="7"/>
  <c r="AE162" i="7" l="1"/>
  <c r="Z162" i="7" s="1"/>
  <c r="AC162" i="7"/>
  <c r="V162" i="7" s="1"/>
  <c r="AD162" i="7"/>
  <c r="X162" i="7" s="1"/>
  <c r="T162" i="7" l="1"/>
  <c r="Y162" i="7"/>
  <c r="W162" i="7"/>
  <c r="AA162" i="7"/>
  <c r="U162" i="7" l="1"/>
  <c r="P163" i="7"/>
  <c r="R163" i="7"/>
  <c r="Q163" i="7" l="1"/>
  <c r="S163" i="7"/>
  <c r="AE163" i="7" l="1"/>
  <c r="Z163" i="7" s="1"/>
  <c r="AD163" i="7"/>
  <c r="X163" i="7" s="1"/>
  <c r="AC163" i="7"/>
  <c r="V163" i="7" s="1"/>
  <c r="W163" i="7" l="1"/>
  <c r="AA163" i="7"/>
  <c r="T163" i="7"/>
  <c r="Y163" i="7"/>
  <c r="R164" i="7" l="1"/>
  <c r="P164" i="7"/>
  <c r="U163" i="7"/>
  <c r="Q164" i="7" l="1"/>
  <c r="S164" i="7"/>
  <c r="AE164" i="7"/>
  <c r="Z164" i="7" s="1"/>
  <c r="AC164" i="7"/>
  <c r="V164" i="7" s="1"/>
  <c r="AD164" i="7"/>
  <c r="X164" i="7" s="1"/>
  <c r="T164" i="7" l="1"/>
  <c r="Y164" i="7"/>
  <c r="W164" i="7"/>
  <c r="AA164" i="7"/>
  <c r="U164" i="7" l="1"/>
  <c r="R165" i="7"/>
  <c r="P165" i="7"/>
  <c r="S165" i="7" l="1"/>
  <c r="Q165" i="7"/>
  <c r="AE165" i="7" s="1"/>
  <c r="Z165" i="7" s="1"/>
  <c r="AA165" i="7" l="1"/>
  <c r="AC165" i="7"/>
  <c r="V165" i="7" s="1"/>
  <c r="AD165" i="7"/>
  <c r="X165" i="7" s="1"/>
  <c r="W165" i="7" l="1"/>
  <c r="Y165" i="7"/>
  <c r="T165" i="7"/>
  <c r="U165" i="7" l="1"/>
  <c r="Q166" i="7" s="1"/>
  <c r="R166" i="7"/>
  <c r="P166" i="7"/>
  <c r="S166" i="7"/>
  <c r="AD166" i="7" l="1"/>
  <c r="Y166" i="7" s="1"/>
  <c r="AE166" i="7"/>
  <c r="AA166" i="7" s="1"/>
  <c r="X166" i="7"/>
  <c r="AC166" i="7"/>
  <c r="W166" i="7" s="1"/>
  <c r="Z166" i="7" l="1"/>
  <c r="U166" i="7"/>
  <c r="S167" i="7"/>
  <c r="Q167" i="7"/>
  <c r="V166" i="7"/>
  <c r="T166" i="7" s="1"/>
  <c r="R167" i="7" l="1"/>
  <c r="P167" i="7"/>
  <c r="AC167" i="7" l="1"/>
  <c r="W167" i="7" s="1"/>
  <c r="AD167" i="7"/>
  <c r="Y167" i="7" s="1"/>
  <c r="AE167" i="7"/>
  <c r="AA167" i="7" s="1"/>
  <c r="X167" i="7"/>
  <c r="V167" i="7"/>
  <c r="U167" i="7" l="1"/>
  <c r="Z167" i="7"/>
  <c r="T167" i="7" s="1"/>
  <c r="S168" i="7"/>
  <c r="Q168" i="7"/>
  <c r="P168" i="7" l="1"/>
  <c r="AC168" i="7" s="1"/>
  <c r="R168" i="7"/>
  <c r="AE168" i="7"/>
  <c r="AD168" i="7" l="1"/>
  <c r="Y168" i="7" s="1"/>
  <c r="W168" i="7"/>
  <c r="V168" i="7"/>
  <c r="AA168" i="7"/>
  <c r="Z168" i="7"/>
  <c r="X168" i="7" l="1"/>
  <c r="T168" i="7" s="1"/>
  <c r="U168" i="7"/>
  <c r="Q169" i="7" l="1"/>
  <c r="S169" i="7"/>
  <c r="R169" i="7"/>
  <c r="P169" i="7"/>
  <c r="AC169" i="7" l="1"/>
  <c r="W169" i="7" s="1"/>
  <c r="AE169" i="7"/>
  <c r="AA169" i="7" s="1"/>
  <c r="AD169" i="7"/>
  <c r="Y169" i="7" s="1"/>
  <c r="U169" i="7" l="1"/>
  <c r="X169" i="7"/>
  <c r="Z169" i="7"/>
  <c r="V169" i="7"/>
  <c r="T169" i="7" l="1"/>
  <c r="Q170" i="7"/>
  <c r="S170" i="7"/>
  <c r="P170" i="7" l="1"/>
  <c r="R170" i="7"/>
  <c r="AD170" i="7" l="1"/>
  <c r="Y170" i="7" s="1"/>
  <c r="AC170" i="7"/>
  <c r="W170" i="7" s="1"/>
  <c r="AE170" i="7"/>
  <c r="AA170" i="7" s="1"/>
  <c r="X170" i="7" l="1"/>
  <c r="V170" i="7"/>
  <c r="Z170" i="7"/>
  <c r="U170" i="7"/>
  <c r="T170" i="7" l="1"/>
  <c r="R171" i="7"/>
  <c r="P171" i="7"/>
  <c r="S171" i="7"/>
  <c r="Q171" i="7"/>
  <c r="AC171" i="7" l="1"/>
  <c r="W171" i="7" s="1"/>
  <c r="AE171" i="7"/>
  <c r="AA171" i="7" s="1"/>
  <c r="V171" i="7"/>
  <c r="AD171" i="7"/>
  <c r="Y171" i="7" s="1"/>
  <c r="X171" i="7" l="1"/>
  <c r="U171" i="7"/>
  <c r="Z171" i="7"/>
  <c r="T171" i="7" s="1"/>
  <c r="P172" i="7" l="1"/>
  <c r="R172" i="7"/>
  <c r="Q172" i="7"/>
  <c r="S172" i="7"/>
  <c r="AD172" i="7" l="1"/>
  <c r="Y172" i="7" s="1"/>
  <c r="AC172" i="7"/>
  <c r="W172" i="7" s="1"/>
  <c r="AE172" i="7"/>
  <c r="AA172" i="7" s="1"/>
  <c r="U172" i="7" l="1"/>
  <c r="Q173" i="7" s="1"/>
  <c r="Z172" i="7"/>
  <c r="V172" i="7"/>
  <c r="X172" i="7"/>
  <c r="S173" i="7"/>
  <c r="T172" i="7" l="1"/>
  <c r="P173" i="7" s="1"/>
  <c r="R173" i="7"/>
  <c r="AD173" i="7" l="1"/>
  <c r="Y173" i="7" s="1"/>
  <c r="AC173" i="7"/>
  <c r="W173" i="7" s="1"/>
  <c r="AE173" i="7"/>
  <c r="AA173" i="7" s="1"/>
  <c r="X173" i="7" l="1"/>
  <c r="V173" i="7"/>
  <c r="U173" i="7"/>
  <c r="Z173" i="7"/>
  <c r="T173" i="7" l="1"/>
  <c r="R174" i="7" s="1"/>
  <c r="S174" i="7"/>
  <c r="Q174" i="7"/>
  <c r="P174" i="7" l="1"/>
  <c r="AE174" i="7" s="1"/>
  <c r="Z174" i="7" s="1"/>
  <c r="AD174" i="7"/>
  <c r="Y174" i="7" s="1"/>
  <c r="AC174" i="7"/>
  <c r="W174" i="7" s="1"/>
  <c r="X174" i="7" l="1"/>
  <c r="V174" i="7"/>
  <c r="AA174" i="7"/>
  <c r="U174" i="7" s="1"/>
  <c r="Q175" i="7" l="1"/>
  <c r="S175" i="7"/>
  <c r="T174" i="7"/>
  <c r="P175" i="7" l="1"/>
  <c r="AD175" i="7" s="1"/>
  <c r="X175" i="7" s="1"/>
  <c r="R175" i="7"/>
  <c r="Y175" i="7" l="1"/>
  <c r="AE175" i="7"/>
  <c r="AA175" i="7" s="1"/>
  <c r="AC175" i="7"/>
  <c r="W175" i="7" s="1"/>
  <c r="U175" i="7" l="1"/>
  <c r="S176" i="7" s="1"/>
  <c r="Q176" i="7"/>
  <c r="Z175" i="7"/>
  <c r="V175" i="7"/>
  <c r="T175" i="7" l="1"/>
  <c r="R176" i="7"/>
  <c r="P176" i="7"/>
  <c r="AC176" i="7" l="1"/>
  <c r="AE176" i="7"/>
  <c r="AD176" i="7"/>
  <c r="Z176" i="7" l="1"/>
  <c r="AA176" i="7"/>
  <c r="X176" i="7"/>
  <c r="Y176" i="7"/>
  <c r="V176" i="7"/>
  <c r="W176" i="7"/>
  <c r="U176" i="7" l="1"/>
  <c r="S177" i="7" s="1"/>
  <c r="Q177" i="7"/>
  <c r="T176" i="7"/>
  <c r="R177" i="7" l="1"/>
  <c r="P177" i="7"/>
  <c r="AE177" i="7" l="1"/>
  <c r="AC177" i="7"/>
  <c r="AD177" i="7"/>
  <c r="X177" i="7" l="1"/>
  <c r="Y177" i="7"/>
  <c r="V177" i="7"/>
  <c r="W177" i="7"/>
  <c r="Z177" i="7"/>
  <c r="AA177" i="7"/>
  <c r="U177" i="7" l="1"/>
  <c r="T177" i="7"/>
  <c r="R178" i="7" l="1"/>
  <c r="P178" i="7"/>
  <c r="S178" i="7"/>
  <c r="Q178" i="7"/>
  <c r="AC178" i="7" l="1"/>
  <c r="V178" i="7" s="1"/>
  <c r="AD178" i="7"/>
  <c r="X178" i="7" s="1"/>
  <c r="AE178" i="7"/>
  <c r="Z178" i="7" s="1"/>
  <c r="Y178" i="7" l="1"/>
  <c r="T178" i="7"/>
  <c r="W178" i="7"/>
  <c r="P179" i="7"/>
  <c r="R179" i="7"/>
  <c r="AA178" i="7"/>
  <c r="U178" i="7" s="1"/>
  <c r="S179" i="7" l="1"/>
  <c r="Q179" i="7"/>
  <c r="AE179" i="7" s="1"/>
  <c r="AA179" i="7" s="1"/>
  <c r="AC179" i="7" l="1"/>
  <c r="W179" i="7" s="1"/>
  <c r="AD179" i="7"/>
  <c r="Y179" i="7" s="1"/>
  <c r="Z179" i="7"/>
  <c r="U179" i="7" l="1"/>
  <c r="S180" i="7" s="1"/>
  <c r="X179" i="7"/>
  <c r="V179" i="7"/>
  <c r="Q180" i="7" l="1"/>
  <c r="T179" i="7"/>
  <c r="R180" i="7"/>
  <c r="P180" i="7"/>
  <c r="AC180" i="7" l="1"/>
  <c r="W180" i="7" s="1"/>
  <c r="AE180" i="7"/>
  <c r="AA180" i="7" s="1"/>
  <c r="AD180" i="7"/>
  <c r="Y180" i="7" s="1"/>
  <c r="Z180" i="7" l="1"/>
  <c r="V180" i="7"/>
  <c r="X180" i="7"/>
  <c r="T180" i="7" s="1"/>
  <c r="U180" i="7"/>
  <c r="P181" i="7" l="1"/>
  <c r="R181" i="7"/>
  <c r="S181" i="7"/>
  <c r="Q181" i="7"/>
  <c r="AD181" i="7" l="1"/>
  <c r="Y181" i="7" s="1"/>
  <c r="AC181" i="7"/>
  <c r="W181" i="7" s="1"/>
  <c r="AE181" i="7"/>
  <c r="AA181" i="7" s="1"/>
  <c r="X181" i="7"/>
  <c r="V181" i="7" l="1"/>
  <c r="Z181" i="7"/>
  <c r="T181" i="7" s="1"/>
  <c r="U181" i="7"/>
  <c r="S182" i="7" s="1"/>
  <c r="R182" i="7" l="1"/>
  <c r="P182" i="7"/>
  <c r="Q182" i="7"/>
  <c r="AD182" i="7" s="1"/>
  <c r="Y182" i="7" s="1"/>
  <c r="AC182" i="7"/>
  <c r="W182" i="7" s="1"/>
  <c r="AE182" i="7"/>
  <c r="AA182" i="7" s="1"/>
  <c r="V182" i="7" l="1"/>
  <c r="X182" i="7"/>
  <c r="Z182" i="7"/>
  <c r="T182" i="7" s="1"/>
  <c r="U182" i="7"/>
  <c r="R183" i="7" l="1"/>
  <c r="P183" i="7"/>
  <c r="Q183" i="7"/>
  <c r="S183" i="7"/>
  <c r="AD183" i="7" l="1"/>
  <c r="Y183" i="7" s="1"/>
  <c r="AE183" i="7"/>
  <c r="AA183" i="7" s="1"/>
  <c r="AC183" i="7"/>
  <c r="W183" i="7" s="1"/>
  <c r="X183" i="7"/>
  <c r="U183" i="7" l="1"/>
  <c r="S184" i="7" s="1"/>
  <c r="Z183" i="7"/>
  <c r="V183" i="7"/>
  <c r="Q184" i="7"/>
  <c r="T183" i="7" l="1"/>
  <c r="P184" i="7"/>
  <c r="R184" i="7"/>
  <c r="AE184" i="7" l="1"/>
  <c r="AC184" i="7"/>
  <c r="AD184" i="7"/>
  <c r="V184" i="7" l="1"/>
  <c r="W184" i="7"/>
  <c r="Z184" i="7"/>
  <c r="AA184" i="7"/>
  <c r="X184" i="7"/>
  <c r="Y184" i="7"/>
  <c r="U184" i="7" l="1"/>
  <c r="T184" i="7"/>
  <c r="R185" i="7" l="1"/>
  <c r="P185" i="7"/>
  <c r="Q185" i="7"/>
  <c r="S185" i="7"/>
  <c r="AD185" i="7" l="1"/>
  <c r="X185" i="7" s="1"/>
  <c r="AC185" i="7"/>
  <c r="V185" i="7" s="1"/>
  <c r="AE185" i="7"/>
  <c r="Z185" i="7" s="1"/>
  <c r="C4" i="8"/>
  <c r="T185" i="7" l="1"/>
  <c r="AA185" i="7"/>
  <c r="W185" i="7"/>
  <c r="Y185" i="7"/>
  <c r="U185" i="7" l="1"/>
  <c r="R186" i="7"/>
  <c r="P186" i="7"/>
  <c r="Q186" i="7" l="1"/>
  <c r="AD186" i="7" s="1"/>
  <c r="X186" i="7" s="1"/>
  <c r="S186" i="7"/>
  <c r="B4" i="8"/>
  <c r="C5" i="8"/>
  <c r="AC186" i="7" l="1"/>
  <c r="V186" i="7" s="1"/>
  <c r="Y186" i="7"/>
  <c r="AE186" i="7"/>
  <c r="Z186" i="7" s="1"/>
  <c r="T186" i="7" l="1"/>
  <c r="R187" i="7"/>
  <c r="P187" i="7"/>
  <c r="AA186" i="7"/>
  <c r="W186" i="7"/>
  <c r="U186" i="7" l="1"/>
  <c r="Q187" i="7" l="1"/>
  <c r="S187" i="7"/>
  <c r="B5" i="8"/>
  <c r="AC187" i="7" l="1"/>
  <c r="V187" i="7" s="1"/>
  <c r="AD187" i="7"/>
  <c r="X187" i="7" s="1"/>
  <c r="AE187" i="7"/>
  <c r="Z187" i="7" s="1"/>
  <c r="AA187" i="7" l="1"/>
  <c r="T187" i="7"/>
  <c r="W187" i="7"/>
  <c r="Y187" i="7"/>
  <c r="U187" i="7" l="1"/>
  <c r="S188" i="7"/>
  <c r="Q188" i="7"/>
  <c r="R188" i="7"/>
  <c r="P188" i="7"/>
  <c r="B6" i="8"/>
  <c r="AC188" i="7" l="1"/>
  <c r="V188" i="7" s="1"/>
  <c r="AD188" i="7"/>
  <c r="X188" i="7" s="1"/>
  <c r="AE188" i="7"/>
  <c r="Z188" i="7" s="1"/>
  <c r="W188" i="7"/>
  <c r="C6" i="8"/>
  <c r="Y188" i="7" l="1"/>
  <c r="T188" i="7"/>
  <c r="P189" i="7" s="1"/>
  <c r="AA188" i="7"/>
  <c r="U188" i="7" s="1"/>
  <c r="Q189" i="7" s="1"/>
  <c r="AE189" i="7" s="1"/>
  <c r="Z189" i="7" s="1"/>
  <c r="R189" i="7"/>
  <c r="S189" i="7" l="1"/>
  <c r="AC189" i="7"/>
  <c r="V189" i="7" s="1"/>
  <c r="AD189" i="7"/>
  <c r="X189" i="7" s="1"/>
  <c r="T189" i="7" s="1"/>
  <c r="P190" i="7" s="1"/>
  <c r="AA189" i="7"/>
  <c r="W189" i="7"/>
  <c r="Y189" i="7" l="1"/>
  <c r="U189" i="7" s="1"/>
  <c r="R190" i="7"/>
  <c r="Q190" i="7" l="1"/>
  <c r="S190" i="7"/>
  <c r="AD190" i="7" l="1"/>
  <c r="AE190" i="7"/>
  <c r="AC190" i="7"/>
  <c r="V190" i="7" l="1"/>
  <c r="W190" i="7"/>
  <c r="Z190" i="7"/>
  <c r="AA190" i="7"/>
  <c r="X190" i="7"/>
  <c r="Y190" i="7"/>
  <c r="U190" i="7" l="1"/>
  <c r="Q191" i="7" s="1"/>
  <c r="T190" i="7"/>
  <c r="S191" i="7" l="1"/>
  <c r="P191" i="7"/>
  <c r="R191" i="7"/>
  <c r="AC191" i="7" l="1"/>
  <c r="AE191" i="7"/>
  <c r="AD191" i="7"/>
  <c r="Z191" i="7" l="1"/>
  <c r="AA191" i="7"/>
  <c r="X191" i="7"/>
  <c r="Y191" i="7"/>
  <c r="V191" i="7"/>
  <c r="T191" i="7" s="1"/>
  <c r="W191" i="7"/>
  <c r="R192" i="7" l="1"/>
  <c r="P192" i="7"/>
  <c r="U191" i="7"/>
  <c r="Q192" i="7" l="1"/>
  <c r="S192" i="7"/>
  <c r="AE192" i="7"/>
  <c r="Z192" i="7" s="1"/>
  <c r="AC192" i="7"/>
  <c r="W192" i="7" s="1"/>
  <c r="AD192" i="7"/>
  <c r="Y192" i="7" s="1"/>
  <c r="V192" i="7" l="1"/>
  <c r="X192" i="7"/>
  <c r="T192" i="7" s="1"/>
  <c r="AA192" i="7"/>
  <c r="U192" i="7" s="1"/>
  <c r="S193" i="7" s="1"/>
  <c r="R193" i="7" l="1"/>
  <c r="P193" i="7"/>
  <c r="Q193" i="7"/>
  <c r="AD193" i="7" l="1"/>
  <c r="Y193" i="7" s="1"/>
  <c r="AC193" i="7"/>
  <c r="W193" i="7" s="1"/>
  <c r="AE193" i="7"/>
  <c r="AA193" i="7" s="1"/>
  <c r="X193" i="7"/>
  <c r="U193" i="7" l="1"/>
  <c r="S194" i="7"/>
  <c r="Q194" i="7"/>
  <c r="V193" i="7"/>
  <c r="Z193" i="7"/>
  <c r="T193" i="7" l="1"/>
  <c r="R194" i="7"/>
  <c r="P194" i="7"/>
  <c r="AC194" i="7" l="1"/>
  <c r="W194" i="7" s="1"/>
  <c r="AD194" i="7"/>
  <c r="Y194" i="7" s="1"/>
  <c r="AE194" i="7"/>
  <c r="AA194" i="7" s="1"/>
  <c r="V194" i="7"/>
  <c r="X194" i="7"/>
  <c r="U194" i="7" l="1"/>
  <c r="Z194" i="7"/>
  <c r="T194" i="7" s="1"/>
  <c r="S195" i="7"/>
  <c r="Q195" i="7"/>
  <c r="R195" i="7" l="1"/>
  <c r="P195" i="7"/>
  <c r="AC195" i="7" s="1"/>
  <c r="V195" i="7" l="1"/>
  <c r="W195" i="7"/>
  <c r="AE195" i="7"/>
  <c r="Z195" i="7" s="1"/>
  <c r="AD195" i="7"/>
  <c r="X195" i="7" s="1"/>
  <c r="T195" i="7" s="1"/>
  <c r="Y195" i="7" l="1"/>
  <c r="R196" i="7"/>
  <c r="P196" i="7"/>
  <c r="AA195" i="7"/>
  <c r="U195" i="7" s="1"/>
  <c r="S196" i="7" l="1"/>
  <c r="Q196" i="7"/>
  <c r="AD196" i="7"/>
  <c r="Y196" i="7" s="1"/>
  <c r="AE196" i="7"/>
  <c r="Z196" i="7" s="1"/>
  <c r="AC196" i="7"/>
  <c r="V196" i="7" s="1"/>
  <c r="X196" i="7" l="1"/>
  <c r="T196" i="7" s="1"/>
  <c r="AA196" i="7"/>
  <c r="W196" i="7"/>
  <c r="U196" i="7" s="1"/>
  <c r="R197" i="7" l="1"/>
  <c r="P197" i="7"/>
  <c r="S197" i="7"/>
  <c r="Q197" i="7"/>
  <c r="AC197" i="7" s="1"/>
  <c r="V197" i="7" s="1"/>
  <c r="W197" i="7" l="1"/>
  <c r="AE197" i="7"/>
  <c r="Z197" i="7" s="1"/>
  <c r="AD197" i="7"/>
  <c r="X197" i="7" s="1"/>
  <c r="T197" i="7" l="1"/>
  <c r="R198" i="7"/>
  <c r="P198" i="7"/>
  <c r="AA197" i="7"/>
  <c r="Y197" i="7"/>
  <c r="U197" i="7" s="1"/>
  <c r="S198" i="7" l="1"/>
  <c r="Q198" i="7"/>
  <c r="AD198" i="7"/>
  <c r="X198" i="7" s="1"/>
  <c r="AE198" i="7"/>
  <c r="Z198" i="7" s="1"/>
  <c r="AC198" i="7" l="1"/>
  <c r="V198" i="7" s="1"/>
  <c r="T198" i="7" s="1"/>
  <c r="Y198" i="7"/>
  <c r="AA198" i="7"/>
  <c r="W198" i="7" l="1"/>
  <c r="U198" i="7" s="1"/>
  <c r="R199" i="7"/>
  <c r="P199" i="7"/>
  <c r="Q199" i="7" l="1"/>
  <c r="AC199" i="7" s="1"/>
  <c r="V199" i="7" s="1"/>
  <c r="S199" i="7"/>
  <c r="AD199" i="7" l="1"/>
  <c r="X199" i="7" s="1"/>
  <c r="W199" i="7"/>
  <c r="AE199" i="7"/>
  <c r="Z199" i="7" s="1"/>
  <c r="T199" i="7" l="1"/>
  <c r="R200" i="7" s="1"/>
  <c r="P200" i="7"/>
  <c r="AA199" i="7"/>
  <c r="Y199" i="7"/>
  <c r="U199" i="7" l="1"/>
  <c r="S200" i="7"/>
  <c r="Q200" i="7"/>
  <c r="AC200" i="7"/>
  <c r="V200" i="7" s="1"/>
  <c r="W200" i="7" l="1"/>
  <c r="AE200" i="7"/>
  <c r="Z200" i="7" s="1"/>
  <c r="AD200" i="7"/>
  <c r="X200" i="7" s="1"/>
  <c r="T200" i="7" l="1"/>
  <c r="R201" i="7" s="1"/>
  <c r="P201" i="7"/>
  <c r="AA200" i="7"/>
  <c r="Y200" i="7"/>
  <c r="U200" i="7" l="1"/>
  <c r="Q201" i="7" s="1"/>
  <c r="S201" i="7"/>
  <c r="AE201" i="7" l="1"/>
  <c r="Z201" i="7" s="1"/>
  <c r="AD201" i="7"/>
  <c r="X201" i="7" s="1"/>
  <c r="AC201" i="7"/>
  <c r="V201" i="7" s="1"/>
  <c r="T201" i="7" s="1"/>
  <c r="P202" i="7" s="1"/>
  <c r="AA201" i="7"/>
  <c r="Y201" i="7"/>
  <c r="W201" i="7" l="1"/>
  <c r="U201" i="7" s="1"/>
  <c r="R202" i="7"/>
  <c r="S202" i="7" l="1"/>
  <c r="Q202" i="7"/>
  <c r="AD202" i="7"/>
  <c r="AC202" i="7"/>
  <c r="V202" i="7" s="1"/>
  <c r="AE202" i="7"/>
  <c r="W202" i="7"/>
  <c r="AA202" i="7" l="1"/>
  <c r="Z202" i="7"/>
  <c r="Y202" i="7"/>
  <c r="U202" i="7" s="1"/>
  <c r="X202" i="7"/>
  <c r="T202" i="7" s="1"/>
  <c r="S203" i="7" l="1"/>
  <c r="Q203" i="7"/>
  <c r="R203" i="7"/>
  <c r="P203" i="7"/>
  <c r="AD203" i="7" l="1"/>
  <c r="Y203" i="7" s="1"/>
  <c r="AC203" i="7"/>
  <c r="W203" i="7" s="1"/>
  <c r="AE203" i="7"/>
  <c r="AA203" i="7" s="1"/>
  <c r="X203" i="7"/>
  <c r="V203" i="7" l="1"/>
  <c r="Z203" i="7"/>
  <c r="T203" i="7" s="1"/>
  <c r="U203" i="7"/>
  <c r="R204" i="7" l="1"/>
  <c r="P204" i="7"/>
  <c r="S204" i="7"/>
  <c r="Q204" i="7"/>
  <c r="AC204" i="7" l="1"/>
  <c r="W204" i="7" s="1"/>
  <c r="AD204" i="7"/>
  <c r="Y204" i="7" s="1"/>
  <c r="AE204" i="7"/>
  <c r="AA204" i="7" s="1"/>
  <c r="V204" i="7" l="1"/>
  <c r="Z204" i="7"/>
  <c r="X204" i="7"/>
  <c r="U204" i="7"/>
  <c r="T204" i="7" l="1"/>
  <c r="R205" i="7" s="1"/>
  <c r="Q205" i="7"/>
  <c r="S205" i="7"/>
  <c r="P205" i="7" l="1"/>
  <c r="AE205" i="7"/>
  <c r="AA205" i="7" s="1"/>
  <c r="AC205" i="7"/>
  <c r="AD205" i="7"/>
  <c r="Y205" i="7" l="1"/>
  <c r="X205" i="7"/>
  <c r="Z205" i="7"/>
  <c r="W205" i="7"/>
  <c r="U205" i="7" s="1"/>
  <c r="V205" i="7"/>
  <c r="T205" i="7" s="1"/>
  <c r="P206" i="7" s="1"/>
  <c r="R206" i="7" l="1"/>
  <c r="Q206" i="7"/>
  <c r="AC206" i="7" s="1"/>
  <c r="S206" i="7"/>
  <c r="W206" i="7" l="1"/>
  <c r="V206" i="7"/>
  <c r="AE206" i="7"/>
  <c r="AD206" i="7"/>
  <c r="Y206" i="7" l="1"/>
  <c r="X206" i="7"/>
  <c r="AA206" i="7"/>
  <c r="U206" i="7" s="1"/>
  <c r="Z206" i="7"/>
  <c r="S207" i="7" l="1"/>
  <c r="Q207" i="7"/>
  <c r="T206" i="7"/>
  <c r="R207" i="7" l="1"/>
  <c r="P207" i="7"/>
  <c r="AE207" i="7" l="1"/>
  <c r="AA207" i="7" s="1"/>
  <c r="AC207" i="7"/>
  <c r="W207" i="7" s="1"/>
  <c r="AD207" i="7"/>
  <c r="Y207" i="7" s="1"/>
  <c r="Z207" i="7"/>
  <c r="V207" i="7" l="1"/>
  <c r="U207" i="7"/>
  <c r="X207" i="7"/>
  <c r="Q208" i="7"/>
  <c r="S208" i="7"/>
  <c r="T207" i="7" l="1"/>
  <c r="P208" i="7"/>
  <c r="R208" i="7"/>
  <c r="AD208" i="7" l="1"/>
  <c r="AC208" i="7"/>
  <c r="AE208" i="7"/>
  <c r="AA208" i="7" s="1"/>
  <c r="V208" i="7" l="1"/>
  <c r="W208" i="7"/>
  <c r="Z208" i="7"/>
  <c r="X208" i="7"/>
  <c r="Y208" i="7"/>
  <c r="T208" i="7" l="1"/>
  <c r="U208" i="7"/>
  <c r="Q209" i="7" l="1"/>
  <c r="S209" i="7"/>
  <c r="R209" i="7"/>
  <c r="P209" i="7"/>
  <c r="AD209" i="7" l="1"/>
  <c r="X209" i="7" s="1"/>
  <c r="AE209" i="7"/>
  <c r="Z209" i="7" s="1"/>
  <c r="AC209" i="7"/>
  <c r="V209" i="7" s="1"/>
  <c r="Y209" i="7" l="1"/>
  <c r="T209" i="7"/>
  <c r="AA209" i="7"/>
  <c r="W209" i="7"/>
  <c r="R210" i="7"/>
  <c r="P210" i="7"/>
  <c r="U209" i="7" l="1"/>
  <c r="S210" i="7"/>
  <c r="Q210" i="7"/>
  <c r="AE210" i="7" s="1"/>
  <c r="Z210" i="7" s="1"/>
  <c r="AA210" i="7" l="1"/>
  <c r="AC210" i="7"/>
  <c r="V210" i="7" s="1"/>
  <c r="AD210" i="7"/>
  <c r="X210" i="7" s="1"/>
  <c r="W210" i="7" l="1"/>
  <c r="T210" i="7"/>
  <c r="Y210" i="7"/>
  <c r="R211" i="7" l="1"/>
  <c r="P211" i="7"/>
  <c r="U210" i="7"/>
  <c r="Q211" i="7" l="1"/>
  <c r="S211" i="7"/>
  <c r="AE211" i="7"/>
  <c r="Z211" i="7" s="1"/>
  <c r="AD211" i="7"/>
  <c r="X211" i="7" s="1"/>
  <c r="AC211" i="7" l="1"/>
  <c r="V211" i="7" s="1"/>
  <c r="T211" i="7" s="1"/>
  <c r="AA211" i="7"/>
  <c r="Y211" i="7"/>
  <c r="W211" i="7" l="1"/>
  <c r="U211" i="7" s="1"/>
  <c r="R212" i="7"/>
  <c r="P212" i="7"/>
  <c r="S212" i="7" l="1"/>
  <c r="Q212" i="7"/>
  <c r="AD212" i="7" s="1"/>
  <c r="X212" i="7" s="1"/>
  <c r="AE212" i="7"/>
  <c r="Z212" i="7" s="1"/>
  <c r="AC212" i="7"/>
  <c r="V212" i="7" s="1"/>
  <c r="T212" i="7" l="1"/>
  <c r="W212" i="7"/>
  <c r="Y212" i="7"/>
  <c r="AA212" i="7"/>
  <c r="U212" i="7" l="1"/>
  <c r="S213" i="7"/>
  <c r="Q213" i="7"/>
  <c r="R213" i="7"/>
  <c r="P213" i="7"/>
  <c r="AC213" i="7" l="1"/>
  <c r="V213" i="7" s="1"/>
  <c r="AE213" i="7"/>
  <c r="AD213" i="7"/>
  <c r="X213" i="7" s="1"/>
  <c r="Y213" i="7" l="1"/>
  <c r="AA213" i="7"/>
  <c r="Z213" i="7"/>
  <c r="T213" i="7" s="1"/>
  <c r="W213" i="7"/>
  <c r="P214" i="7" l="1"/>
  <c r="R214" i="7"/>
  <c r="U213" i="7"/>
  <c r="S214" i="7" l="1"/>
  <c r="Q214" i="7"/>
  <c r="AD214" i="7" s="1"/>
  <c r="Y214" i="7" s="1"/>
  <c r="AE214" i="7"/>
  <c r="AA214" i="7" s="1"/>
  <c r="AC214" i="7"/>
  <c r="W214" i="7" s="1"/>
  <c r="X214" i="7" l="1"/>
  <c r="Z214" i="7"/>
  <c r="V214" i="7"/>
  <c r="U214" i="7"/>
  <c r="Q215" i="7" s="1"/>
  <c r="S215" i="7" l="1"/>
  <c r="T214" i="7"/>
  <c r="P215" i="7" s="1"/>
  <c r="R215" i="7" l="1"/>
  <c r="AD215" i="7"/>
  <c r="Y215" i="7" s="1"/>
  <c r="AC215" i="7"/>
  <c r="W215" i="7" s="1"/>
  <c r="AE215" i="7"/>
  <c r="AA215" i="7" s="1"/>
  <c r="X215" i="7"/>
  <c r="U215" i="7" l="1"/>
  <c r="Q216" i="7" s="1"/>
  <c r="S216" i="7"/>
  <c r="Z215" i="7"/>
  <c r="V215" i="7"/>
  <c r="T215" i="7" l="1"/>
  <c r="R216" i="7" s="1"/>
  <c r="P216" i="7"/>
  <c r="AD216" i="7" l="1"/>
  <c r="AE216" i="7"/>
  <c r="AC216" i="7"/>
  <c r="W216" i="7" s="1"/>
  <c r="V216" i="7" l="1"/>
  <c r="Z216" i="7"/>
  <c r="AA216" i="7"/>
  <c r="X216" i="7"/>
  <c r="Y216" i="7"/>
  <c r="U216" i="7" l="1"/>
  <c r="S217" i="7"/>
  <c r="Q217" i="7"/>
  <c r="T216" i="7"/>
  <c r="P217" i="7" l="1"/>
  <c r="R217" i="7"/>
  <c r="AE217" i="7" l="1"/>
  <c r="AC217" i="7"/>
  <c r="AD217" i="7"/>
  <c r="X217" i="7" l="1"/>
  <c r="Y217" i="7"/>
  <c r="V217" i="7"/>
  <c r="W217" i="7"/>
  <c r="Z217" i="7"/>
  <c r="AA217" i="7"/>
  <c r="T217" i="7" l="1"/>
  <c r="P218" i="7" s="1"/>
  <c r="U217" i="7"/>
  <c r="R218" i="7" l="1"/>
  <c r="Q218" i="7"/>
  <c r="S218" i="7"/>
  <c r="AC218" i="7" l="1"/>
  <c r="AD218" i="7"/>
  <c r="AE218" i="7"/>
  <c r="X218" i="7" l="1"/>
  <c r="Y218" i="7"/>
  <c r="Z218" i="7"/>
  <c r="AA218" i="7"/>
  <c r="V218" i="7"/>
  <c r="T218" i="7" s="1"/>
  <c r="W218" i="7"/>
  <c r="U218" i="7" s="1"/>
  <c r="P219" i="7" l="1"/>
  <c r="R219" i="7"/>
  <c r="S219" i="7"/>
  <c r="Q219" i="7"/>
  <c r="AD219" i="7" l="1"/>
  <c r="AE219" i="7"/>
  <c r="AC219" i="7"/>
  <c r="W219" i="7" l="1"/>
  <c r="V219" i="7"/>
  <c r="AA219" i="7"/>
  <c r="Z219" i="7"/>
  <c r="Y219" i="7"/>
  <c r="X219" i="7"/>
  <c r="T219" i="7" l="1"/>
  <c r="U219" i="7"/>
  <c r="Q220" i="7" l="1"/>
  <c r="S220" i="7"/>
  <c r="R220" i="7"/>
  <c r="P220" i="7"/>
  <c r="AE220" i="7" l="1"/>
  <c r="AD220" i="7"/>
  <c r="AC220" i="7"/>
  <c r="W220" i="7" s="1"/>
  <c r="V220" i="7" l="1"/>
  <c r="Y220" i="7"/>
  <c r="X220" i="7"/>
  <c r="AA220" i="7"/>
  <c r="Z220" i="7"/>
  <c r="U220" i="7" l="1"/>
  <c r="T220" i="7"/>
  <c r="R221" i="7" s="1"/>
  <c r="Q221" i="7"/>
  <c r="S221" i="7"/>
  <c r="P221" i="7"/>
  <c r="AD221" i="7" l="1"/>
  <c r="Y221" i="7" s="1"/>
  <c r="AE221" i="7"/>
  <c r="AA221" i="7" s="1"/>
  <c r="AC221" i="7"/>
  <c r="W221" i="7" s="1"/>
  <c r="U221" i="7" s="1"/>
  <c r="Q222" i="7" s="1"/>
  <c r="X221" i="7"/>
  <c r="Z221" i="7"/>
  <c r="V221" i="7" l="1"/>
  <c r="T221" i="7" s="1"/>
  <c r="S222" i="7"/>
  <c r="P222" i="7" l="1"/>
  <c r="R222" i="7"/>
  <c r="AD222" i="7" l="1"/>
  <c r="AE222" i="7"/>
  <c r="AC222" i="7"/>
  <c r="V222" i="7" l="1"/>
  <c r="W222" i="7"/>
  <c r="Z222" i="7"/>
  <c r="AA222" i="7"/>
  <c r="X222" i="7"/>
  <c r="Y222" i="7"/>
  <c r="U222" i="7" l="1"/>
  <c r="T222" i="7"/>
  <c r="P223" i="7" l="1"/>
  <c r="R223" i="7"/>
  <c r="Q223" i="7"/>
  <c r="S223" i="7"/>
  <c r="AC223" i="7" l="1"/>
  <c r="AE223" i="7"/>
  <c r="AA223" i="7" s="1"/>
  <c r="AD223" i="7"/>
  <c r="Y223" i="7" l="1"/>
  <c r="X223" i="7"/>
  <c r="Z223" i="7"/>
  <c r="V223" i="7"/>
  <c r="W223" i="7"/>
  <c r="U223" i="7" s="1"/>
  <c r="S224" i="7" l="1"/>
  <c r="Q224" i="7"/>
  <c r="T223" i="7"/>
  <c r="R224" i="7" l="1"/>
  <c r="P224" i="7"/>
  <c r="AE224" i="7" l="1"/>
  <c r="AD224" i="7"/>
  <c r="Y224" i="7" s="1"/>
  <c r="AC224" i="7"/>
  <c r="W224" i="7" s="1"/>
  <c r="X224" i="7"/>
  <c r="V224" i="7" l="1"/>
  <c r="T224" i="7" s="1"/>
  <c r="Z224" i="7"/>
  <c r="AA224" i="7"/>
  <c r="U224" i="7" s="1"/>
  <c r="Q225" i="7" l="1"/>
  <c r="S225" i="7"/>
  <c r="R225" i="7"/>
  <c r="P225" i="7"/>
  <c r="AD225" i="7" l="1"/>
  <c r="Y225" i="7" s="1"/>
  <c r="AE225" i="7"/>
  <c r="AA225" i="7" s="1"/>
  <c r="AC225" i="7"/>
  <c r="V225" i="7" s="1"/>
  <c r="Z225" i="7"/>
  <c r="X225" i="7"/>
  <c r="W225" i="7"/>
  <c r="U225" i="7" s="1"/>
  <c r="Q226" i="7" l="1"/>
  <c r="S226" i="7"/>
  <c r="T225" i="7"/>
  <c r="R226" i="7" l="1"/>
  <c r="P226" i="7"/>
  <c r="AC226" i="7" l="1"/>
  <c r="W226" i="7" s="1"/>
  <c r="AE226" i="7"/>
  <c r="AD226" i="7"/>
  <c r="Y226" i="7" s="1"/>
  <c r="V226" i="7"/>
  <c r="X226" i="7" l="1"/>
  <c r="T226" i="7" s="1"/>
  <c r="Z226" i="7"/>
  <c r="AA226" i="7"/>
  <c r="U226" i="7" s="1"/>
  <c r="R227" i="7" l="1"/>
  <c r="P227" i="7"/>
  <c r="Q227" i="7"/>
  <c r="S227" i="7"/>
  <c r="AC227" i="7" l="1"/>
  <c r="V227" i="7" s="1"/>
  <c r="AE227" i="7"/>
  <c r="Z227" i="7" s="1"/>
  <c r="AD227" i="7"/>
  <c r="X227" i="7" s="1"/>
  <c r="T227" i="7" l="1"/>
  <c r="Y227" i="7"/>
  <c r="W227" i="7"/>
  <c r="U227" i="7" s="1"/>
  <c r="S228" i="7" s="1"/>
  <c r="AA227" i="7"/>
  <c r="Q228" i="7" l="1"/>
  <c r="R228" i="7"/>
  <c r="P228" i="7"/>
  <c r="AE228" i="7" s="1"/>
  <c r="Z228" i="7" s="1"/>
  <c r="AD228" i="7" l="1"/>
  <c r="X228" i="7" s="1"/>
  <c r="AC228" i="7"/>
  <c r="Y228" i="7"/>
  <c r="AA228" i="7"/>
  <c r="V228" i="7" l="1"/>
  <c r="T228" i="7" s="1"/>
  <c r="W228" i="7"/>
  <c r="U228" i="7" s="1"/>
  <c r="S229" i="7" l="1"/>
  <c r="Q229" i="7"/>
  <c r="P229" i="7"/>
  <c r="AD229" i="7" s="1"/>
  <c r="R229" i="7"/>
  <c r="AE229" i="7"/>
  <c r="AA229" i="7" s="1"/>
  <c r="X229" i="7" l="1"/>
  <c r="Y229" i="7"/>
  <c r="AC229" i="7"/>
  <c r="Z229" i="7"/>
  <c r="V229" i="7" l="1"/>
  <c r="W229" i="7"/>
  <c r="U229" i="7" s="1"/>
  <c r="Q230" i="7" s="1"/>
  <c r="AD230" i="7" s="1"/>
  <c r="X230" i="7" s="1"/>
  <c r="T229" i="7"/>
  <c r="P230" i="7" s="1"/>
  <c r="R230" i="7"/>
  <c r="AC230" i="7"/>
  <c r="V230" i="7" s="1"/>
  <c r="AE230" i="7" l="1"/>
  <c r="Z230" i="7" s="1"/>
  <c r="T230" i="7" s="1"/>
  <c r="P231" i="7" s="1"/>
  <c r="S230" i="7"/>
  <c r="Y230" i="7"/>
  <c r="W230" i="7"/>
  <c r="AA230" i="7" l="1"/>
  <c r="R231" i="7"/>
  <c r="U230" i="7"/>
  <c r="Q231" i="7" l="1"/>
  <c r="S231" i="7"/>
  <c r="AE231" i="7" l="1"/>
  <c r="Z231" i="7" s="1"/>
  <c r="AD231" i="7"/>
  <c r="X231" i="7" s="1"/>
  <c r="AC231" i="7"/>
  <c r="AA231" i="7" l="1"/>
  <c r="Y231" i="7"/>
  <c r="V231" i="7"/>
  <c r="T231" i="7" s="1"/>
  <c r="W231" i="7"/>
  <c r="U231" i="7" l="1"/>
  <c r="R232" i="7"/>
  <c r="P232" i="7"/>
  <c r="Q232" i="7" l="1"/>
  <c r="S232" i="7"/>
  <c r="AE232" i="7" l="1"/>
  <c r="Z232" i="7" s="1"/>
  <c r="AC232" i="7"/>
  <c r="V232" i="7" s="1"/>
  <c r="AD232" i="7"/>
  <c r="X232" i="7" s="1"/>
  <c r="W232" i="7" l="1"/>
  <c r="T232" i="7"/>
  <c r="Y232" i="7"/>
  <c r="AA232" i="7"/>
  <c r="P233" i="7" l="1"/>
  <c r="R233" i="7"/>
  <c r="U232" i="7"/>
  <c r="S233" i="7" l="1"/>
  <c r="Q233" i="7"/>
  <c r="AC233" i="7" s="1"/>
  <c r="V233" i="7" s="1"/>
  <c r="AE233" i="7" l="1"/>
  <c r="AA233" i="7" s="1"/>
  <c r="AD233" i="7"/>
  <c r="X233" i="7" s="1"/>
  <c r="W233" i="7"/>
  <c r="Z233" i="7" l="1"/>
  <c r="Y233" i="7"/>
  <c r="U233" i="7" s="1"/>
  <c r="T233" i="7"/>
  <c r="P234" i="7" s="1"/>
  <c r="R234" i="7" l="1"/>
  <c r="S234" i="7"/>
  <c r="Q234" i="7"/>
  <c r="AE234" i="7" l="1"/>
  <c r="AC234" i="7"/>
  <c r="AD234" i="7"/>
  <c r="W234" i="7" l="1"/>
  <c r="V234" i="7"/>
  <c r="Y234" i="7"/>
  <c r="X234" i="7"/>
  <c r="AA234" i="7"/>
  <c r="Z234" i="7"/>
  <c r="T234" i="7" l="1"/>
  <c r="U234" i="7"/>
  <c r="Q235" i="7" l="1"/>
  <c r="S235" i="7"/>
  <c r="R235" i="7"/>
  <c r="P235" i="7"/>
  <c r="AC235" i="7" l="1"/>
  <c r="V235" i="7" s="1"/>
  <c r="AD235" i="7"/>
  <c r="X235" i="7" s="1"/>
  <c r="AE235" i="7"/>
  <c r="Z235" i="7" s="1"/>
  <c r="W235" i="7" l="1"/>
  <c r="Y235" i="7"/>
  <c r="AA235" i="7"/>
  <c r="T235" i="7"/>
  <c r="R236" i="7" s="1"/>
  <c r="P236" i="7" l="1"/>
  <c r="U235" i="7"/>
  <c r="S236" i="7" s="1"/>
  <c r="Q236" i="7" l="1"/>
  <c r="AC236" i="7" s="1"/>
  <c r="V236" i="7" s="1"/>
  <c r="AD236" i="7" l="1"/>
  <c r="X236" i="7" s="1"/>
  <c r="W236" i="7"/>
  <c r="AE236" i="7"/>
  <c r="Z236" i="7" s="1"/>
  <c r="T236" i="7" s="1"/>
  <c r="Y236" i="7" l="1"/>
  <c r="AA236" i="7"/>
  <c r="U236" i="7" s="1"/>
  <c r="P237" i="7"/>
  <c r="R237" i="7"/>
  <c r="S237" i="7" l="1"/>
  <c r="Q237" i="7"/>
  <c r="AC237" i="7" s="1"/>
  <c r="V237" i="7" s="1"/>
  <c r="AE237" i="7"/>
  <c r="Z237" i="7" s="1"/>
  <c r="AD237" i="7" l="1"/>
  <c r="X237" i="7" s="1"/>
  <c r="T237" i="7" s="1"/>
  <c r="W237" i="7"/>
  <c r="AA237" i="7"/>
  <c r="Y237" i="7"/>
  <c r="U237" i="7" l="1"/>
  <c r="S238" i="7" s="1"/>
  <c r="R238" i="7"/>
  <c r="P238" i="7"/>
  <c r="Q238" i="7"/>
  <c r="AC238" i="7" l="1"/>
  <c r="W238" i="7" s="1"/>
  <c r="AD238" i="7"/>
  <c r="Y238" i="7" s="1"/>
  <c r="AE238" i="7"/>
  <c r="Z238" i="7" s="1"/>
  <c r="V238" i="7" l="1"/>
  <c r="X238" i="7"/>
  <c r="AA238" i="7"/>
  <c r="U238" i="7" s="1"/>
  <c r="T238" i="7" l="1"/>
  <c r="Q239" i="7"/>
  <c r="S239" i="7"/>
  <c r="P239" i="7"/>
  <c r="R239" i="7"/>
  <c r="AD239" i="7" l="1"/>
  <c r="Y239" i="7" s="1"/>
  <c r="AE239" i="7"/>
  <c r="AA239" i="7" s="1"/>
  <c r="AC239" i="7"/>
  <c r="W239" i="7" s="1"/>
  <c r="Z239" i="7" l="1"/>
  <c r="U239" i="7"/>
  <c r="X239" i="7"/>
  <c r="S240" i="7"/>
  <c r="Q240" i="7"/>
  <c r="V239" i="7"/>
  <c r="T239" i="7" l="1"/>
  <c r="R240" i="7" s="1"/>
  <c r="P240" i="7" l="1"/>
  <c r="AC240" i="7" s="1"/>
  <c r="W240" i="7" l="1"/>
  <c r="V240" i="7"/>
  <c r="AD240" i="7"/>
  <c r="Y240" i="7" s="1"/>
  <c r="AE240" i="7"/>
  <c r="X240" i="7" l="1"/>
  <c r="AA240" i="7"/>
  <c r="U240" i="7" s="1"/>
  <c r="Q241" i="7" s="1"/>
  <c r="Z240" i="7"/>
  <c r="T240" i="7" l="1"/>
  <c r="S241" i="7"/>
  <c r="R241" i="7"/>
  <c r="P241" i="7"/>
  <c r="AE241" i="7" s="1"/>
  <c r="AA241" i="7" s="1"/>
  <c r="AC241" i="7" l="1"/>
  <c r="W241" i="7" s="1"/>
  <c r="AD241" i="7"/>
  <c r="Y241" i="7" s="1"/>
  <c r="V241" i="7"/>
  <c r="Z241" i="7"/>
  <c r="U241" i="7" l="1"/>
  <c r="S242" i="7" s="1"/>
  <c r="X241" i="7"/>
  <c r="T241" i="7" s="1"/>
  <c r="Q242" i="7"/>
  <c r="P242" i="7" l="1"/>
  <c r="R242" i="7"/>
  <c r="AC242" i="7"/>
  <c r="W242" i="7" s="1"/>
  <c r="AE242" i="7"/>
  <c r="AA242" i="7" s="1"/>
  <c r="AD242" i="7"/>
  <c r="V242" i="7" l="1"/>
  <c r="Z242" i="7"/>
  <c r="X242" i="7"/>
  <c r="Y242" i="7"/>
  <c r="U242" i="7" s="1"/>
  <c r="T242" i="7" l="1"/>
  <c r="R243" i="7" s="1"/>
  <c r="S243" i="7"/>
  <c r="Q243" i="7"/>
  <c r="P243" i="7" l="1"/>
  <c r="AC243" i="7" s="1"/>
  <c r="W243" i="7" s="1"/>
  <c r="AD243" i="7" l="1"/>
  <c r="Y243" i="7" s="1"/>
  <c r="AE243" i="7"/>
  <c r="AA243" i="7" s="1"/>
  <c r="V243" i="7"/>
  <c r="X243" i="7" l="1"/>
  <c r="U243" i="7"/>
  <c r="S244" i="7" s="1"/>
  <c r="Z243" i="7"/>
  <c r="T243" i="7" s="1"/>
  <c r="R244" i="7" s="1"/>
  <c r="Q244" i="7"/>
  <c r="P244" i="7" l="1"/>
  <c r="AC244" i="7" s="1"/>
  <c r="AE244" i="7" l="1"/>
  <c r="AA244" i="7" s="1"/>
  <c r="AD244" i="7"/>
  <c r="Y244" i="7" s="1"/>
  <c r="W244" i="7"/>
  <c r="V244" i="7"/>
  <c r="X244" i="7" l="1"/>
  <c r="Z244" i="7"/>
  <c r="T244" i="7" s="1"/>
  <c r="P245" i="7" s="1"/>
  <c r="U244" i="7"/>
  <c r="S245" i="7" s="1"/>
  <c r="Q245" i="7" l="1"/>
  <c r="AE245" i="7" s="1"/>
  <c r="Z245" i="7" s="1"/>
  <c r="R245" i="7"/>
  <c r="AC245" i="7" l="1"/>
  <c r="W245" i="7" s="1"/>
  <c r="AD245" i="7"/>
  <c r="X245" i="7" s="1"/>
  <c r="AA245" i="7"/>
  <c r="Y245" i="7"/>
  <c r="V245" i="7"/>
  <c r="U245" i="7" l="1"/>
  <c r="Q246" i="7" s="1"/>
  <c r="T245" i="7"/>
  <c r="R246" i="7" s="1"/>
  <c r="P246" i="7" l="1"/>
  <c r="AC246" i="7" s="1"/>
  <c r="V246" i="7" s="1"/>
  <c r="S246" i="7"/>
  <c r="AD246" i="7" l="1"/>
  <c r="X246" i="7" s="1"/>
  <c r="W246" i="7"/>
  <c r="AE246" i="7"/>
  <c r="Z246" i="7" s="1"/>
  <c r="Y246" i="7"/>
  <c r="T246" i="7" l="1"/>
  <c r="R247" i="7" s="1"/>
  <c r="AA246" i="7"/>
  <c r="U246" i="7" s="1"/>
  <c r="P247" i="7"/>
  <c r="S247" i="7" l="1"/>
  <c r="Q247" i="7"/>
  <c r="AD247" i="7" s="1"/>
  <c r="Y247" i="7" s="1"/>
  <c r="AC247" i="7" l="1"/>
  <c r="V247" i="7" s="1"/>
  <c r="X247" i="7"/>
  <c r="AE247" i="7"/>
  <c r="Z247" i="7" s="1"/>
  <c r="T247" i="7" s="1"/>
  <c r="P248" i="7" s="1"/>
  <c r="W247" i="7"/>
  <c r="AA247" i="7" l="1"/>
  <c r="U247" i="7" s="1"/>
  <c r="Q248" i="7" s="1"/>
  <c r="AC248" i="7" s="1"/>
  <c r="W248" i="7" s="1"/>
  <c r="R248" i="7"/>
  <c r="S248" i="7" l="1"/>
  <c r="AE248" i="7"/>
  <c r="AA248" i="7" s="1"/>
  <c r="AD248" i="7"/>
  <c r="Y248" i="7" s="1"/>
  <c r="U248" i="7" s="1"/>
  <c r="S249" i="7" s="1"/>
  <c r="V248" i="7"/>
  <c r="Z248" i="7"/>
  <c r="X248" i="7" l="1"/>
  <c r="T248" i="7" s="1"/>
  <c r="R249" i="7" s="1"/>
  <c r="Q249" i="7"/>
  <c r="P249" i="7" l="1"/>
  <c r="AC249" i="7" s="1"/>
  <c r="AD249" i="7" l="1"/>
  <c r="X249" i="7" s="1"/>
  <c r="AE249" i="7"/>
  <c r="AA249" i="7" s="1"/>
  <c r="V249" i="7"/>
  <c r="W249" i="7"/>
  <c r="Y249" i="7" l="1"/>
  <c r="U249" i="7" s="1"/>
  <c r="Z249" i="7"/>
  <c r="T249" i="7" s="1"/>
  <c r="Q250" i="7" l="1"/>
  <c r="S250" i="7"/>
  <c r="P250" i="7"/>
  <c r="R250" i="7"/>
  <c r="AD250" i="7" l="1"/>
  <c r="X250" i="7" s="1"/>
  <c r="AC250" i="7"/>
  <c r="V250" i="7" s="1"/>
  <c r="AE250" i="7"/>
  <c r="Z250" i="7" s="1"/>
  <c r="AA250" i="7" l="1"/>
  <c r="W250" i="7"/>
  <c r="Y250" i="7"/>
  <c r="T250" i="7"/>
  <c r="U250" i="7" l="1"/>
  <c r="S251" i="7" s="1"/>
  <c r="R251" i="7"/>
  <c r="P251" i="7"/>
  <c r="Q251" i="7" l="1"/>
  <c r="AC251" i="7" s="1"/>
  <c r="W251" i="7" s="1"/>
  <c r="AD251" i="7" l="1"/>
  <c r="Y251" i="7" s="1"/>
  <c r="AE251" i="7"/>
  <c r="AA251" i="7" s="1"/>
  <c r="V251" i="7"/>
  <c r="X251" i="7" l="1"/>
  <c r="U251" i="7"/>
  <c r="Z251" i="7"/>
  <c r="Q252" i="7"/>
  <c r="S252" i="7"/>
  <c r="T251" i="7" l="1"/>
  <c r="R252" i="7" s="1"/>
  <c r="P252" i="7" l="1"/>
  <c r="AD252" i="7" s="1"/>
  <c r="Y252" i="7" s="1"/>
  <c r="X252" i="7" l="1"/>
  <c r="AC252" i="7"/>
  <c r="W252" i="7" s="1"/>
  <c r="AE252" i="7"/>
  <c r="AA252" i="7" s="1"/>
  <c r="U252" i="7" l="1"/>
  <c r="V252" i="7"/>
  <c r="S253" i="7"/>
  <c r="Q253" i="7"/>
  <c r="Z252" i="7"/>
  <c r="T252" i="7" s="1"/>
  <c r="P253" i="7" l="1"/>
  <c r="R253" i="7"/>
  <c r="AC253" i="7" l="1"/>
  <c r="AE253" i="7"/>
  <c r="AD253" i="7"/>
  <c r="Y253" i="7" l="1"/>
  <c r="X253" i="7"/>
  <c r="AA253" i="7"/>
  <c r="Z253" i="7"/>
  <c r="W253" i="7"/>
  <c r="V253" i="7"/>
  <c r="T253" i="7" l="1"/>
  <c r="U253" i="7"/>
  <c r="S254" i="7" s="1"/>
  <c r="Q254" i="7"/>
  <c r="R254" i="7"/>
  <c r="P254" i="7"/>
  <c r="AC254" i="7" l="1"/>
  <c r="W254" i="7" s="1"/>
  <c r="AE254" i="7"/>
  <c r="AD254" i="7"/>
  <c r="V254" i="7" l="1"/>
  <c r="X254" i="7"/>
  <c r="Y254" i="7"/>
  <c r="AA254" i="7"/>
  <c r="Z254" i="7"/>
  <c r="U254" i="7" l="1"/>
  <c r="T254" i="7"/>
  <c r="P255" i="7" l="1"/>
  <c r="R255" i="7"/>
  <c r="Q255" i="7"/>
  <c r="S255" i="7"/>
  <c r="AE255" i="7" l="1"/>
  <c r="AA255" i="7" s="1"/>
  <c r="AD255" i="7"/>
  <c r="Y255" i="7" s="1"/>
  <c r="AC255" i="7"/>
  <c r="W255" i="7" s="1"/>
  <c r="X255" i="7" l="1"/>
  <c r="Z255" i="7"/>
  <c r="U255" i="7"/>
  <c r="S256" i="7" s="1"/>
  <c r="V255" i="7"/>
  <c r="T255" i="7" s="1"/>
  <c r="Q256" i="7" l="1"/>
  <c r="P256" i="7"/>
  <c r="R256" i="7"/>
  <c r="AC256" i="7" l="1"/>
  <c r="W256" i="7" s="1"/>
  <c r="AE256" i="7"/>
  <c r="AA256" i="7" s="1"/>
  <c r="AD256" i="7"/>
  <c r="Y256" i="7" s="1"/>
  <c r="Z256" i="7" l="1"/>
  <c r="V256" i="7"/>
  <c r="X256" i="7"/>
  <c r="U256" i="7"/>
  <c r="T256" i="7" l="1"/>
  <c r="P257" i="7"/>
  <c r="R257" i="7"/>
  <c r="Q257" i="7"/>
  <c r="S257" i="7"/>
  <c r="AE257" i="7" l="1"/>
  <c r="Z257" i="7" s="1"/>
  <c r="AD257" i="7"/>
  <c r="X257" i="7" s="1"/>
  <c r="AC257" i="7"/>
  <c r="V257" i="7" s="1"/>
  <c r="T257" i="7" l="1"/>
  <c r="R258" i="7" s="1"/>
  <c r="P258" i="7"/>
  <c r="Y257" i="7"/>
  <c r="AA257" i="7"/>
  <c r="W257" i="7"/>
  <c r="U257" i="7" l="1"/>
  <c r="Q258" i="7"/>
  <c r="S258" i="7"/>
  <c r="AE258" i="7" l="1"/>
  <c r="AD258" i="7"/>
  <c r="AC258" i="7"/>
  <c r="X258" i="7" l="1"/>
  <c r="Y258" i="7"/>
  <c r="W258" i="7"/>
  <c r="V258" i="7"/>
  <c r="Z258" i="7"/>
  <c r="AA258" i="7"/>
  <c r="U258" i="7" l="1"/>
  <c r="T258" i="7"/>
  <c r="P259" i="7" l="1"/>
  <c r="R259" i="7"/>
  <c r="S259" i="7"/>
  <c r="Q259" i="7"/>
  <c r="AD259" i="7" l="1"/>
  <c r="Y259" i="7" s="1"/>
  <c r="AE259" i="7"/>
  <c r="AA259" i="7" s="1"/>
  <c r="AC259" i="7"/>
  <c r="W259" i="7" s="1"/>
  <c r="X259" i="7" l="1"/>
  <c r="U259" i="7"/>
  <c r="S260" i="7" s="1"/>
  <c r="V259" i="7"/>
  <c r="Z259" i="7"/>
  <c r="Q260" i="7"/>
  <c r="T259" i="7" l="1"/>
  <c r="R260" i="7" s="1"/>
  <c r="P260" i="7"/>
  <c r="AC260" i="7" l="1"/>
  <c r="W260" i="7" s="1"/>
  <c r="AE260" i="7"/>
  <c r="AA260" i="7" s="1"/>
  <c r="AD260" i="7"/>
  <c r="Y260" i="7" s="1"/>
  <c r="V260" i="7" l="1"/>
  <c r="Z260" i="7"/>
  <c r="X260" i="7"/>
  <c r="U260" i="7"/>
  <c r="T260" i="7" l="1"/>
  <c r="R261" i="7" s="1"/>
  <c r="P261" i="7"/>
  <c r="S261" i="7"/>
  <c r="Q261" i="7"/>
  <c r="AC261" i="7" l="1"/>
  <c r="V261" i="7" s="1"/>
  <c r="AE261" i="7"/>
  <c r="AD261" i="7"/>
  <c r="Y261" i="7" l="1"/>
  <c r="X261" i="7"/>
  <c r="AA261" i="7"/>
  <c r="Z261" i="7"/>
  <c r="W261" i="7"/>
  <c r="U261" i="7" l="1"/>
  <c r="S262" i="7"/>
  <c r="Q262" i="7"/>
  <c r="T261" i="7"/>
  <c r="R262" i="7" l="1"/>
  <c r="P262" i="7"/>
  <c r="AC262" i="7" l="1"/>
  <c r="W262" i="7" s="1"/>
  <c r="AD262" i="7"/>
  <c r="AE262" i="7"/>
  <c r="AA262" i="7" s="1"/>
  <c r="V262" i="7"/>
  <c r="X262" i="7" l="1"/>
  <c r="Y262" i="7"/>
  <c r="U262" i="7" s="1"/>
  <c r="Z262" i="7"/>
  <c r="T262" i="7" l="1"/>
  <c r="R263" i="7" s="1"/>
  <c r="Q263" i="7"/>
  <c r="S263" i="7"/>
  <c r="P263" i="7" l="1"/>
  <c r="AC263" i="7" s="1"/>
  <c r="AD263" i="7"/>
  <c r="X263" i="7" s="1"/>
  <c r="AE263" i="7" l="1"/>
  <c r="Z263" i="7" s="1"/>
  <c r="V263" i="7"/>
  <c r="W263" i="7"/>
  <c r="Y263" i="7"/>
  <c r="T263" i="7" l="1"/>
  <c r="P264" i="7" s="1"/>
  <c r="AA263" i="7"/>
  <c r="U263" i="7" s="1"/>
  <c r="R264" i="7"/>
  <c r="Q264" i="7" l="1"/>
  <c r="S264" i="7"/>
  <c r="AD264" i="7"/>
  <c r="AC264" i="7"/>
  <c r="AE264" i="7"/>
  <c r="V264" i="7" l="1"/>
  <c r="W264" i="7"/>
  <c r="Z264" i="7"/>
  <c r="AA264" i="7"/>
  <c r="X264" i="7"/>
  <c r="Y264" i="7"/>
  <c r="U264" i="7" l="1"/>
  <c r="T264" i="7"/>
  <c r="R265" i="7" l="1"/>
  <c r="P265" i="7"/>
  <c r="S265" i="7"/>
  <c r="Q265" i="7"/>
  <c r="AE265" i="7" l="1"/>
  <c r="Z265" i="7" s="1"/>
  <c r="AD265" i="7"/>
  <c r="AC265" i="7"/>
  <c r="V265" i="7" s="1"/>
  <c r="AA265" i="7" l="1"/>
  <c r="Y265" i="7"/>
  <c r="X265" i="7"/>
  <c r="T265" i="7" s="1"/>
  <c r="W265" i="7"/>
  <c r="U265" i="7" s="1"/>
  <c r="R266" i="7" l="1"/>
  <c r="P266" i="7"/>
  <c r="S266" i="7"/>
  <c r="Q266" i="7"/>
  <c r="AD266" i="7" l="1"/>
  <c r="Y266" i="7" s="1"/>
  <c r="AE266" i="7"/>
  <c r="AC266" i="7"/>
  <c r="X266" i="7" l="1"/>
  <c r="V266" i="7"/>
  <c r="W266" i="7"/>
  <c r="AA266" i="7"/>
  <c r="Z266" i="7"/>
  <c r="T266" i="7" l="1"/>
  <c r="U266" i="7"/>
  <c r="P267" i="7"/>
  <c r="R267" i="7"/>
  <c r="Q267" i="7"/>
  <c r="S267" i="7"/>
  <c r="AD267" i="7" l="1"/>
  <c r="AE267" i="7"/>
  <c r="AC267" i="7"/>
  <c r="Z267" i="7" l="1"/>
  <c r="AA267" i="7"/>
  <c r="W267" i="7"/>
  <c r="V267" i="7"/>
  <c r="X267" i="7"/>
  <c r="Y267" i="7"/>
  <c r="T267" i="7" l="1"/>
  <c r="U267" i="7"/>
  <c r="R268" i="7" l="1"/>
  <c r="P268" i="7"/>
  <c r="Q268" i="7"/>
  <c r="S268" i="7"/>
  <c r="AD268" i="7" l="1"/>
  <c r="AC268" i="7"/>
  <c r="AE268" i="7"/>
  <c r="AA268" i="7" l="1"/>
  <c r="Z268" i="7"/>
  <c r="W268" i="7"/>
  <c r="V268" i="7"/>
  <c r="Y268" i="7"/>
  <c r="X268" i="7"/>
  <c r="U268" i="7" l="1"/>
  <c r="T268" i="7"/>
  <c r="R269" i="7" l="1"/>
  <c r="P269" i="7"/>
  <c r="S269" i="7"/>
  <c r="Q269" i="7"/>
  <c r="AE269" i="7" l="1"/>
  <c r="Z269" i="7" s="1"/>
  <c r="AC269" i="7"/>
  <c r="V269" i="7" s="1"/>
  <c r="AD269" i="7"/>
  <c r="X269" i="7" s="1"/>
  <c r="T269" i="7" l="1"/>
  <c r="P270" i="7" s="1"/>
  <c r="W269" i="7"/>
  <c r="Y269" i="7"/>
  <c r="AA269" i="7"/>
  <c r="R270" i="7" l="1"/>
  <c r="U269" i="7"/>
  <c r="S270" i="7" l="1"/>
  <c r="Q270" i="7"/>
  <c r="AD270" i="7" l="1"/>
  <c r="X270" i="7" s="1"/>
  <c r="AE270" i="7"/>
  <c r="Z270" i="7" s="1"/>
  <c r="AC270" i="7"/>
  <c r="V270" i="7" s="1"/>
  <c r="T270" i="7" l="1"/>
  <c r="P271" i="7" s="1"/>
  <c r="Y270" i="7"/>
  <c r="W270" i="7"/>
  <c r="AA270" i="7"/>
  <c r="R271" i="7" l="1"/>
  <c r="U270" i="7"/>
  <c r="Q271" i="7" l="1"/>
  <c r="S271" i="7"/>
  <c r="AE271" i="7" l="1"/>
  <c r="Z271" i="7" s="1"/>
  <c r="AC271" i="7"/>
  <c r="V271" i="7" s="1"/>
  <c r="AD271" i="7"/>
  <c r="X271" i="7" s="1"/>
  <c r="T271" i="7" l="1"/>
  <c r="W271" i="7"/>
  <c r="AA271" i="7"/>
  <c r="Y271" i="7"/>
  <c r="U271" i="7" l="1"/>
  <c r="P272" i="7"/>
  <c r="R272" i="7"/>
  <c r="S272" i="7" l="1"/>
  <c r="Q272" i="7"/>
  <c r="AD272" i="7" l="1"/>
  <c r="X272" i="7" s="1"/>
  <c r="AE272" i="7"/>
  <c r="Z272" i="7" s="1"/>
  <c r="AC272" i="7"/>
  <c r="V272" i="7" s="1"/>
  <c r="W272" i="7" l="1"/>
  <c r="T272" i="7"/>
  <c r="Y272" i="7"/>
  <c r="AA272" i="7"/>
  <c r="R273" i="7" l="1"/>
  <c r="P273" i="7"/>
  <c r="U272" i="7"/>
  <c r="S273" i="7" l="1"/>
  <c r="Q273" i="7"/>
  <c r="AE273" i="7" s="1"/>
  <c r="Z273" i="7" s="1"/>
  <c r="AD273" i="7" l="1"/>
  <c r="X273" i="7" s="1"/>
  <c r="AA273" i="7"/>
  <c r="Y273" i="7"/>
  <c r="AC273" i="7"/>
  <c r="V273" i="7" s="1"/>
  <c r="T273" i="7" s="1"/>
  <c r="R274" i="7" l="1"/>
  <c r="P274" i="7"/>
  <c r="W273" i="7"/>
  <c r="U273" i="7" s="1"/>
  <c r="Q274" i="7" l="1"/>
  <c r="S274" i="7"/>
  <c r="AC274" i="7" l="1"/>
  <c r="V274" i="7" s="1"/>
  <c r="AD274" i="7"/>
  <c r="X274" i="7" s="1"/>
  <c r="AE274" i="7"/>
  <c r="Z274" i="7" s="1"/>
  <c r="T274" i="7" l="1"/>
  <c r="Y274" i="7"/>
  <c r="W274" i="7"/>
  <c r="AA274" i="7"/>
  <c r="U274" i="7" l="1"/>
  <c r="P275" i="7"/>
  <c r="R275" i="7"/>
  <c r="S275" i="7" l="1"/>
  <c r="Q275" i="7"/>
  <c r="AD275" i="7" l="1"/>
  <c r="X275" i="7" s="1"/>
  <c r="AE275" i="7"/>
  <c r="Z275" i="7" s="1"/>
  <c r="AC275" i="7"/>
  <c r="V275" i="7" s="1"/>
  <c r="Y275" i="7" l="1"/>
  <c r="W275" i="7"/>
  <c r="T275" i="7"/>
  <c r="AA275" i="7"/>
  <c r="U275" i="7" l="1"/>
  <c r="Q276" i="7" s="1"/>
  <c r="R276" i="7"/>
  <c r="P276" i="7"/>
  <c r="S276" i="7" l="1"/>
  <c r="AD276" i="7"/>
  <c r="AE276" i="7"/>
  <c r="AA276" i="7" s="1"/>
  <c r="AC276" i="7"/>
  <c r="W276" i="7" s="1"/>
  <c r="X276" i="7"/>
  <c r="Y276" i="7"/>
  <c r="Z276" i="7" l="1"/>
  <c r="U276" i="7"/>
  <c r="S277" i="7" s="1"/>
  <c r="V276" i="7"/>
  <c r="T276" i="7" s="1"/>
  <c r="Q277" i="7" l="1"/>
  <c r="P277" i="7"/>
  <c r="R277" i="7"/>
  <c r="AE277" i="7" l="1"/>
  <c r="AA277" i="7" s="1"/>
  <c r="AC277" i="7"/>
  <c r="W277" i="7" s="1"/>
  <c r="AD277" i="7"/>
  <c r="Y277" i="7" s="1"/>
  <c r="Z277" i="7"/>
  <c r="V277" i="7"/>
  <c r="X277" i="7" l="1"/>
  <c r="T277" i="7" s="1"/>
  <c r="U277" i="7"/>
  <c r="S278" i="7" l="1"/>
  <c r="Q278" i="7"/>
  <c r="R278" i="7"/>
  <c r="P278" i="7"/>
  <c r="AE278" i="7" l="1"/>
  <c r="AA278" i="7" s="1"/>
  <c r="AD278" i="7"/>
  <c r="Y278" i="7" s="1"/>
  <c r="AC278" i="7"/>
  <c r="W278" i="7" s="1"/>
  <c r="Z278" i="7" l="1"/>
  <c r="V278" i="7"/>
  <c r="X278" i="7"/>
  <c r="U278" i="7"/>
  <c r="Q279" i="7" l="1"/>
  <c r="S279" i="7"/>
  <c r="T278" i="7"/>
  <c r="R279" i="7" l="1"/>
  <c r="P279" i="7"/>
  <c r="AE279" i="7" l="1"/>
  <c r="AA279" i="7" s="1"/>
  <c r="AD279" i="7"/>
  <c r="Y279" i="7" s="1"/>
  <c r="AC279" i="7"/>
  <c r="W279" i="7" s="1"/>
  <c r="Z279" i="7"/>
  <c r="U279" i="7" l="1"/>
  <c r="V279" i="7"/>
  <c r="Q280" i="7"/>
  <c r="S280" i="7"/>
  <c r="X279" i="7"/>
  <c r="T279" i="7" l="1"/>
  <c r="R280" i="7" l="1"/>
  <c r="P280" i="7"/>
  <c r="AE280" i="7" l="1"/>
  <c r="AA280" i="7" s="1"/>
  <c r="AC280" i="7"/>
  <c r="W280" i="7" s="1"/>
  <c r="AD280" i="7"/>
  <c r="Y280" i="7" s="1"/>
  <c r="Z280" i="7" l="1"/>
  <c r="X280" i="7"/>
  <c r="U280" i="7"/>
  <c r="S281" i="7" s="1"/>
  <c r="V280" i="7"/>
  <c r="T280" i="7" s="1"/>
  <c r="Q281" i="7" l="1"/>
  <c r="P281" i="7"/>
  <c r="R281" i="7"/>
  <c r="AC281" i="7" l="1"/>
  <c r="W281" i="7" s="1"/>
  <c r="AE281" i="7"/>
  <c r="AA281" i="7" s="1"/>
  <c r="AD281" i="7"/>
  <c r="Y281" i="7" s="1"/>
  <c r="V281" i="7" l="1"/>
  <c r="Z281" i="7"/>
  <c r="X281" i="7"/>
  <c r="U281" i="7"/>
  <c r="T281" i="7" l="1"/>
  <c r="R282" i="7"/>
  <c r="P282" i="7"/>
  <c r="Q282" i="7"/>
  <c r="S282" i="7"/>
  <c r="AC282" i="7" l="1"/>
  <c r="W282" i="7" s="1"/>
  <c r="AD282" i="7"/>
  <c r="Y282" i="7" s="1"/>
  <c r="AE282" i="7"/>
  <c r="AA282" i="7" s="1"/>
  <c r="X282" i="7" l="1"/>
  <c r="V282" i="7"/>
  <c r="Z282" i="7"/>
  <c r="U282" i="7"/>
  <c r="T282" i="7" l="1"/>
  <c r="P283" i="7"/>
  <c r="R283" i="7"/>
  <c r="S283" i="7"/>
  <c r="Q283" i="7"/>
  <c r="AD283" i="7" l="1"/>
  <c r="Y283" i="7" s="1"/>
  <c r="AE283" i="7"/>
  <c r="Z283" i="7" s="1"/>
  <c r="AC283" i="7"/>
  <c r="W283" i="7" s="1"/>
  <c r="X283" i="7" l="1"/>
  <c r="V283" i="7"/>
  <c r="AA283" i="7"/>
  <c r="U283" i="7" s="1"/>
  <c r="T283" i="7" l="1"/>
  <c r="S284" i="7"/>
  <c r="Q284" i="7"/>
  <c r="P284" i="7"/>
  <c r="R284" i="7"/>
  <c r="AD284" i="7" l="1"/>
  <c r="Y284" i="7" s="1"/>
  <c r="AC284" i="7"/>
  <c r="V284" i="7" s="1"/>
  <c r="AE284" i="7"/>
  <c r="Z284" i="7" s="1"/>
  <c r="W284" i="7" l="1"/>
  <c r="X284" i="7"/>
  <c r="T284" i="7" s="1"/>
  <c r="AA284" i="7"/>
  <c r="U284" i="7" s="1"/>
  <c r="S285" i="7" l="1"/>
  <c r="Q285" i="7"/>
  <c r="R285" i="7"/>
  <c r="P285" i="7"/>
  <c r="AD285" i="7" l="1"/>
  <c r="Y285" i="7" s="1"/>
  <c r="AE285" i="7"/>
  <c r="AA285" i="7" s="1"/>
  <c r="AC285" i="7"/>
  <c r="W285" i="7" s="1"/>
  <c r="Z285" i="7" l="1"/>
  <c r="X285" i="7"/>
  <c r="U285" i="7"/>
  <c r="V285" i="7"/>
  <c r="T285" i="7" l="1"/>
  <c r="R286" i="7"/>
  <c r="P286" i="7"/>
  <c r="Q286" i="7"/>
  <c r="S286" i="7"/>
  <c r="AD286" i="7" l="1"/>
  <c r="Y286" i="7" s="1"/>
  <c r="AC286" i="7"/>
  <c r="W286" i="7" s="1"/>
  <c r="AE286" i="7"/>
  <c r="AA286" i="7" s="1"/>
  <c r="V286" i="7" l="1"/>
  <c r="Z286" i="7"/>
  <c r="X286" i="7"/>
  <c r="U286" i="7"/>
  <c r="T286" i="7" l="1"/>
  <c r="P287" i="7"/>
  <c r="R287" i="7"/>
  <c r="S287" i="7"/>
  <c r="Q287" i="7"/>
  <c r="AC287" i="7" l="1"/>
  <c r="V287" i="7" s="1"/>
  <c r="AD287" i="7"/>
  <c r="AE287" i="7"/>
  <c r="Z287" i="7" s="1"/>
  <c r="Y287" i="7" l="1"/>
  <c r="X287" i="7"/>
  <c r="T287" i="7" s="1"/>
  <c r="W287" i="7"/>
  <c r="AA287" i="7"/>
  <c r="U287" i="7" l="1"/>
  <c r="R288" i="7"/>
  <c r="P288" i="7"/>
  <c r="S288" i="7" l="1"/>
  <c r="Q288" i="7"/>
  <c r="AC288" i="7" l="1"/>
  <c r="V288" i="7" s="1"/>
  <c r="AE288" i="7"/>
  <c r="Z288" i="7" s="1"/>
  <c r="AD288" i="7"/>
  <c r="X288" i="7" s="1"/>
  <c r="AA288" i="7" l="1"/>
  <c r="T288" i="7"/>
  <c r="Y288" i="7"/>
  <c r="W288" i="7"/>
  <c r="P289" i="7" l="1"/>
  <c r="R289" i="7"/>
  <c r="U288" i="7"/>
  <c r="Q289" i="7" l="1"/>
  <c r="AE289" i="7" s="1"/>
  <c r="S289" i="7"/>
  <c r="AC289" i="7" l="1"/>
  <c r="W289" i="7" s="1"/>
  <c r="AD289" i="7"/>
  <c r="Y289" i="7" s="1"/>
  <c r="AA289" i="7"/>
  <c r="Z289" i="7"/>
  <c r="V289" i="7"/>
  <c r="X289" i="7"/>
  <c r="U289" i="7" l="1"/>
  <c r="S290" i="7" s="1"/>
  <c r="Q290" i="7"/>
  <c r="T289" i="7"/>
  <c r="R290" i="7" s="1"/>
  <c r="P290" i="7"/>
  <c r="AE290" i="7" l="1"/>
  <c r="AA290" i="7" s="1"/>
  <c r="AC290" i="7"/>
  <c r="AD290" i="7"/>
  <c r="Y290" i="7" s="1"/>
  <c r="Z290" i="7" l="1"/>
  <c r="V290" i="7"/>
  <c r="W290" i="7"/>
  <c r="U290" i="7" s="1"/>
  <c r="X290" i="7"/>
  <c r="T290" i="7" l="1"/>
  <c r="S291" i="7"/>
  <c r="Q291" i="7"/>
  <c r="P291" i="7"/>
  <c r="R291" i="7"/>
  <c r="AD291" i="7" l="1"/>
  <c r="Y291" i="7" s="1"/>
  <c r="AC291" i="7"/>
  <c r="W291" i="7" s="1"/>
  <c r="AE291" i="7"/>
  <c r="AA291" i="7" s="1"/>
  <c r="X291" i="7"/>
  <c r="V291" i="7" l="1"/>
  <c r="Z291" i="7"/>
  <c r="U291" i="7"/>
  <c r="S292" i="7" s="1"/>
  <c r="T291" i="7" l="1"/>
  <c r="Q292" i="7"/>
  <c r="R292" i="7"/>
  <c r="P292" i="7"/>
  <c r="AD292" i="7" s="1"/>
  <c r="Y292" i="7" s="1"/>
  <c r="AC292" i="7" l="1"/>
  <c r="W292" i="7" s="1"/>
  <c r="AE292" i="7"/>
  <c r="AA292" i="7" s="1"/>
  <c r="U292" i="7" s="1"/>
  <c r="X292" i="7"/>
  <c r="Z292" i="7"/>
  <c r="V292" i="7"/>
  <c r="T292" i="7" l="1"/>
  <c r="S293" i="7"/>
  <c r="Q293" i="7"/>
  <c r="R293" i="7"/>
  <c r="P293" i="7"/>
  <c r="AD293" i="7" l="1"/>
  <c r="Y293" i="7" s="1"/>
  <c r="AC293" i="7"/>
  <c r="W293" i="7" s="1"/>
  <c r="AE293" i="7"/>
  <c r="AA293" i="7" s="1"/>
  <c r="X293" i="7" l="1"/>
  <c r="U293" i="7"/>
  <c r="V293" i="7"/>
  <c r="Z293" i="7"/>
  <c r="T293" i="7" l="1"/>
  <c r="S294" i="7"/>
  <c r="Q294" i="7"/>
  <c r="P294" i="7" l="1"/>
  <c r="R294" i="7"/>
  <c r="AC294" i="7" l="1"/>
  <c r="W294" i="7" s="1"/>
  <c r="AE294" i="7"/>
  <c r="AA294" i="7" s="1"/>
  <c r="AD294" i="7"/>
  <c r="Y294" i="7" s="1"/>
  <c r="V294" i="7"/>
  <c r="Z294" i="7" l="1"/>
  <c r="X294" i="7"/>
  <c r="U294" i="7"/>
  <c r="T294" i="7" l="1"/>
  <c r="Q295" i="7"/>
  <c r="S295" i="7"/>
  <c r="R295" i="7"/>
  <c r="P295" i="7"/>
  <c r="AD295" i="7" l="1"/>
  <c r="X295" i="7" s="1"/>
  <c r="AE295" i="7"/>
  <c r="Z295" i="7" s="1"/>
  <c r="AC295" i="7"/>
  <c r="V295" i="7" s="1"/>
  <c r="Y295" i="7"/>
  <c r="AA295" i="7"/>
  <c r="T295" i="7" l="1"/>
  <c r="R296" i="7" s="1"/>
  <c r="W295" i="7"/>
  <c r="U295" i="7" s="1"/>
  <c r="P296" i="7" l="1"/>
  <c r="S296" i="7"/>
  <c r="Q296" i="7"/>
  <c r="AE296" i="7" l="1"/>
  <c r="Z296" i="7" s="1"/>
  <c r="AC296" i="7"/>
  <c r="V296" i="7" s="1"/>
  <c r="AD296" i="7"/>
  <c r="X296" i="7" s="1"/>
  <c r="T296" i="7" l="1"/>
  <c r="Y296" i="7"/>
  <c r="AA296" i="7"/>
  <c r="W296" i="7"/>
  <c r="U296" i="7" l="1"/>
  <c r="P297" i="7"/>
  <c r="R297" i="7"/>
  <c r="Q297" i="7" l="1"/>
  <c r="S297" i="7"/>
  <c r="AC297" i="7" l="1"/>
  <c r="AE297" i="7"/>
  <c r="AD297" i="7"/>
  <c r="Y297" i="7" l="1"/>
  <c r="X297" i="7"/>
  <c r="AA297" i="7"/>
  <c r="Z297" i="7"/>
  <c r="W297" i="7"/>
  <c r="V297" i="7"/>
  <c r="T297" i="7" l="1"/>
  <c r="U297" i="7"/>
  <c r="R298" i="7"/>
  <c r="P298" i="7"/>
  <c r="Q298" i="7" l="1"/>
  <c r="S298" i="7"/>
  <c r="AC298" i="7" l="1"/>
  <c r="V298" i="7" s="1"/>
  <c r="AE298" i="7"/>
  <c r="Z298" i="7" s="1"/>
  <c r="AD298" i="7"/>
  <c r="X298" i="7" s="1"/>
  <c r="T298" i="7" l="1"/>
  <c r="Y298" i="7"/>
  <c r="W298" i="7"/>
  <c r="AA298" i="7"/>
  <c r="U298" i="7" l="1"/>
  <c r="S299" i="7"/>
  <c r="Q299" i="7"/>
  <c r="P299" i="7"/>
  <c r="R299" i="7"/>
  <c r="AC299" i="7" l="1"/>
  <c r="V299" i="7" s="1"/>
  <c r="AE299" i="7"/>
  <c r="Z299" i="7" s="1"/>
  <c r="AD299" i="7"/>
  <c r="X299" i="7" s="1"/>
  <c r="W299" i="7" l="1"/>
  <c r="AA299" i="7"/>
  <c r="Y299" i="7"/>
  <c r="U299" i="7" s="1"/>
  <c r="T299" i="7"/>
  <c r="S300" i="7" l="1"/>
  <c r="Q300" i="7"/>
  <c r="P300" i="7"/>
  <c r="R300" i="7"/>
  <c r="AE300" i="7" l="1"/>
  <c r="Z300" i="7" s="1"/>
  <c r="AC300" i="7"/>
  <c r="V300" i="7" s="1"/>
  <c r="AD300" i="7"/>
  <c r="X300" i="7" s="1"/>
  <c r="W300" i="7" l="1"/>
  <c r="AA300" i="7"/>
  <c r="Y300" i="7"/>
  <c r="U300" i="7" s="1"/>
  <c r="T300" i="7"/>
  <c r="R301" i="7" s="1"/>
  <c r="P301" i="7" l="1"/>
  <c r="Q301" i="7"/>
  <c r="AD301" i="7" s="1"/>
  <c r="Y301" i="7" s="1"/>
  <c r="S301" i="7"/>
  <c r="AE301" i="7" l="1"/>
  <c r="AA301" i="7" s="1"/>
  <c r="AC301" i="7"/>
  <c r="W301" i="7" s="1"/>
  <c r="X301" i="7"/>
  <c r="Z301" i="7" l="1"/>
  <c r="U301" i="7"/>
  <c r="V301" i="7"/>
  <c r="T301" i="7" s="1"/>
  <c r="Q302" i="7"/>
  <c r="S302" i="7"/>
  <c r="R302" i="7" l="1"/>
  <c r="P302" i="7"/>
  <c r="AE302" i="7" s="1"/>
  <c r="AD302" i="7"/>
  <c r="Y302" i="7" s="1"/>
  <c r="AA302" i="7" l="1"/>
  <c r="Z302" i="7"/>
  <c r="AC302" i="7"/>
  <c r="W302" i="7" s="1"/>
  <c r="U302" i="7" s="1"/>
  <c r="X302" i="7"/>
  <c r="Q303" i="7" l="1"/>
  <c r="S303" i="7"/>
  <c r="V302" i="7"/>
  <c r="T302" i="7" s="1"/>
  <c r="P303" i="7" l="1"/>
  <c r="R303" i="7"/>
  <c r="AC303" i="7"/>
  <c r="W303" i="7" s="1"/>
  <c r="AE303" i="7"/>
  <c r="AA303" i="7" s="1"/>
  <c r="AD303" i="7"/>
  <c r="Y303" i="7" s="1"/>
  <c r="V303" i="7"/>
  <c r="Z303" i="7" l="1"/>
  <c r="X303" i="7"/>
  <c r="T303" i="7" s="1"/>
  <c r="U303" i="7"/>
  <c r="P304" i="7" l="1"/>
  <c r="R304" i="7"/>
  <c r="S304" i="7"/>
  <c r="Q304" i="7"/>
  <c r="AD304" i="7" l="1"/>
  <c r="X304" i="7" s="1"/>
  <c r="AE304" i="7"/>
  <c r="Z304" i="7" s="1"/>
  <c r="AC304" i="7"/>
  <c r="V304" i="7" s="1"/>
  <c r="T304" i="7" l="1"/>
  <c r="AA304" i="7"/>
  <c r="W304" i="7"/>
  <c r="Y304" i="7"/>
  <c r="U304" i="7" l="1"/>
  <c r="R305" i="7"/>
  <c r="P305" i="7"/>
  <c r="S305" i="7" l="1"/>
  <c r="Q305" i="7"/>
  <c r="AE305" i="7" l="1"/>
  <c r="Z305" i="7" s="1"/>
  <c r="AC305" i="7"/>
  <c r="V305" i="7" s="1"/>
  <c r="AD305" i="7"/>
  <c r="X305" i="7" s="1"/>
  <c r="T305" i="7" l="1"/>
  <c r="AA305" i="7"/>
  <c r="W305" i="7"/>
  <c r="Y305" i="7"/>
  <c r="U305" i="7" l="1"/>
  <c r="Q306" i="7" s="1"/>
  <c r="R306" i="7"/>
  <c r="P306" i="7"/>
  <c r="S306" i="7" l="1"/>
  <c r="AD306" i="7"/>
  <c r="X306" i="7" s="1"/>
  <c r="AC306" i="7"/>
  <c r="W306" i="7" s="1"/>
  <c r="AE306" i="7"/>
  <c r="Z306" i="7" s="1"/>
  <c r="Y306" i="7" l="1"/>
  <c r="AA306" i="7"/>
  <c r="U306" i="7" s="1"/>
  <c r="V306" i="7"/>
  <c r="T306" i="7" s="1"/>
  <c r="S307" i="7" l="1"/>
  <c r="Q307" i="7"/>
  <c r="P307" i="7"/>
  <c r="R307" i="7"/>
  <c r="AE307" i="7" l="1"/>
  <c r="AA307" i="7" s="1"/>
  <c r="AD307" i="7"/>
  <c r="Y307" i="7" s="1"/>
  <c r="AC307" i="7"/>
  <c r="W307" i="7" s="1"/>
  <c r="Z307" i="7"/>
  <c r="X307" i="7" l="1"/>
  <c r="V307" i="7"/>
  <c r="T307" i="7" s="1"/>
  <c r="U307" i="7"/>
  <c r="Q308" i="7"/>
  <c r="S308" i="7"/>
  <c r="P308" i="7" l="1"/>
  <c r="R308" i="7"/>
  <c r="AC308" i="7" l="1"/>
  <c r="AD308" i="7"/>
  <c r="AE308" i="7"/>
  <c r="AA308" i="7" s="1"/>
  <c r="Z308" i="7" l="1"/>
  <c r="X308" i="7"/>
  <c r="Y308" i="7"/>
  <c r="V308" i="7"/>
  <c r="W308" i="7"/>
  <c r="U308" i="7" l="1"/>
  <c r="S309" i="7"/>
  <c r="Q309" i="7"/>
  <c r="T308" i="7"/>
  <c r="R309" i="7" l="1"/>
  <c r="P309" i="7"/>
  <c r="AC309" i="7" l="1"/>
  <c r="AE309" i="7"/>
  <c r="AD309" i="7"/>
  <c r="X309" i="7" l="1"/>
  <c r="Y309" i="7"/>
  <c r="Z309" i="7"/>
  <c r="AA309" i="7"/>
  <c r="V309" i="7"/>
  <c r="W309" i="7"/>
  <c r="T309" i="7" l="1"/>
  <c r="U309" i="7"/>
  <c r="Q310" i="7"/>
  <c r="S310" i="7"/>
  <c r="P310" i="7"/>
  <c r="R310" i="7"/>
  <c r="AC310" i="7" l="1"/>
  <c r="W310" i="7" s="1"/>
  <c r="AE310" i="7"/>
  <c r="AA310" i="7" s="1"/>
  <c r="AD310" i="7"/>
  <c r="X310" i="7" s="1"/>
  <c r="V310" i="7" l="1"/>
  <c r="Y310" i="7"/>
  <c r="U310" i="7" s="1"/>
  <c r="Q311" i="7" s="1"/>
  <c r="Z310" i="7"/>
  <c r="T310" i="7" l="1"/>
  <c r="R311" i="7" s="1"/>
  <c r="S311" i="7"/>
  <c r="P311" i="7" l="1"/>
  <c r="AD311" i="7"/>
  <c r="Y311" i="7" s="1"/>
  <c r="AE311" i="7"/>
  <c r="AA311" i="7" s="1"/>
  <c r="AC311" i="7"/>
  <c r="W311" i="7" s="1"/>
  <c r="X311" i="7" l="1"/>
  <c r="Z311" i="7"/>
  <c r="U311" i="7"/>
  <c r="S312" i="7" s="1"/>
  <c r="V311" i="7"/>
  <c r="T311" i="7" l="1"/>
  <c r="Q312" i="7"/>
  <c r="P312" i="7"/>
  <c r="R312" i="7"/>
  <c r="AC312" i="7" l="1"/>
  <c r="W312" i="7" s="1"/>
  <c r="AD312" i="7"/>
  <c r="Y312" i="7" s="1"/>
  <c r="AE312" i="7"/>
  <c r="AA312" i="7" s="1"/>
  <c r="V312" i="7"/>
  <c r="X312" i="7" l="1"/>
  <c r="Z312" i="7"/>
  <c r="U312" i="7"/>
  <c r="T312" i="7" l="1"/>
  <c r="R313" i="7"/>
  <c r="P313" i="7"/>
  <c r="Q313" i="7"/>
  <c r="S313" i="7"/>
  <c r="AE313" i="7"/>
  <c r="AA313" i="7" s="1"/>
  <c r="AD313" i="7"/>
  <c r="Y313" i="7" s="1"/>
  <c r="AC313" i="7"/>
  <c r="W313" i="7" s="1"/>
  <c r="Z313" i="7" l="1"/>
  <c r="X313" i="7"/>
  <c r="U313" i="7"/>
  <c r="V313" i="7"/>
  <c r="S314" i="7"/>
  <c r="Q314" i="7"/>
  <c r="T313" i="7" l="1"/>
  <c r="R314" i="7"/>
  <c r="P314" i="7"/>
  <c r="AD314" i="7" l="1"/>
  <c r="Y314" i="7" s="1"/>
  <c r="AC314" i="7"/>
  <c r="W314" i="7" s="1"/>
  <c r="AE314" i="7"/>
  <c r="AA314" i="7" s="1"/>
  <c r="X314" i="7" l="1"/>
  <c r="Z314" i="7"/>
  <c r="U314" i="7"/>
  <c r="S315" i="7" s="1"/>
  <c r="Q315" i="7"/>
  <c r="V314" i="7"/>
  <c r="T314" i="7" s="1"/>
  <c r="R315" i="7" l="1"/>
  <c r="P315" i="7"/>
  <c r="AE315" i="7" l="1"/>
  <c r="AD315" i="7"/>
  <c r="AC315" i="7"/>
  <c r="V315" i="7" l="1"/>
  <c r="W315" i="7"/>
  <c r="X315" i="7"/>
  <c r="Y315" i="7"/>
  <c r="Z315" i="7"/>
  <c r="AA315" i="7"/>
  <c r="U315" i="7" l="1"/>
  <c r="T315" i="7"/>
  <c r="R316" i="7" l="1"/>
  <c r="P316" i="7"/>
  <c r="S316" i="7"/>
  <c r="Q316" i="7"/>
  <c r="AC316" i="7" l="1"/>
  <c r="V316" i="7" s="1"/>
  <c r="AD316" i="7"/>
  <c r="X316" i="7" s="1"/>
  <c r="AE316" i="7"/>
  <c r="Z316" i="7" s="1"/>
  <c r="T316" i="7" l="1"/>
  <c r="W316" i="7"/>
  <c r="Y316" i="7"/>
  <c r="AA316" i="7"/>
  <c r="U316" i="7" l="1"/>
  <c r="P317" i="7"/>
  <c r="R317" i="7"/>
  <c r="S317" i="7" l="1"/>
  <c r="Q317" i="7"/>
  <c r="AC317" i="7" s="1"/>
  <c r="V317" i="7" s="1"/>
  <c r="AD317" i="7" l="1"/>
  <c r="X317" i="7" s="1"/>
  <c r="W317" i="7"/>
  <c r="AE317" i="7"/>
  <c r="Z317" i="7" s="1"/>
  <c r="Y317" i="7" l="1"/>
  <c r="T317" i="7"/>
  <c r="P318" i="7" s="1"/>
  <c r="AA317" i="7"/>
  <c r="U317" i="7" l="1"/>
  <c r="R318" i="7"/>
  <c r="S318" i="7"/>
  <c r="Q318" i="7"/>
  <c r="AE318" i="7" l="1"/>
  <c r="Z318" i="7" s="1"/>
  <c r="AC318" i="7"/>
  <c r="AD318" i="7"/>
  <c r="AA318" i="7" l="1"/>
  <c r="X318" i="7"/>
  <c r="Y318" i="7"/>
  <c r="V318" i="7"/>
  <c r="W318" i="7"/>
  <c r="U318" i="7" l="1"/>
  <c r="S319" i="7" s="1"/>
  <c r="T318" i="7"/>
  <c r="P319" i="7" s="1"/>
  <c r="Q319" i="7" l="1"/>
  <c r="AD319" i="7" s="1"/>
  <c r="X319" i="7" s="1"/>
  <c r="R319" i="7"/>
  <c r="AC319" i="7" l="1"/>
  <c r="AE319" i="7"/>
  <c r="Y319" i="7"/>
  <c r="V319" i="7"/>
  <c r="W319" i="7"/>
  <c r="Z319" i="7"/>
  <c r="AA319" i="7"/>
  <c r="U319" i="7" l="1"/>
  <c r="T319" i="7"/>
  <c r="R320" i="7" l="1"/>
  <c r="P320" i="7"/>
  <c r="Q320" i="7"/>
  <c r="S320" i="7"/>
  <c r="AD320" i="7" l="1"/>
  <c r="X320" i="7" s="1"/>
  <c r="AE320" i="7"/>
  <c r="Z320" i="7" s="1"/>
  <c r="AC320" i="7"/>
  <c r="V320" i="7" s="1"/>
  <c r="T320" i="7" l="1"/>
  <c r="P321" i="7"/>
  <c r="R321" i="7"/>
  <c r="W320" i="7"/>
  <c r="Y320" i="7"/>
  <c r="AA320" i="7"/>
  <c r="U320" i="7" l="1"/>
  <c r="Q321" i="7" l="1"/>
  <c r="S321" i="7"/>
  <c r="AC321" i="7" l="1"/>
  <c r="AD321" i="7"/>
  <c r="AE321" i="7"/>
  <c r="Y321" i="7" l="1"/>
  <c r="X321" i="7"/>
  <c r="AA321" i="7"/>
  <c r="Z321" i="7"/>
  <c r="W321" i="7"/>
  <c r="V321" i="7"/>
  <c r="T321" i="7" l="1"/>
  <c r="P322" i="7" s="1"/>
  <c r="U321" i="7"/>
  <c r="R322" i="7" l="1"/>
  <c r="S322" i="7"/>
  <c r="Q322" i="7"/>
  <c r="AE322" i="7" l="1"/>
  <c r="Z322" i="7" s="1"/>
  <c r="AC322" i="7"/>
  <c r="AD322" i="7"/>
  <c r="W322" i="7" l="1"/>
  <c r="V322" i="7"/>
  <c r="Y322" i="7"/>
  <c r="X322" i="7"/>
  <c r="AA322" i="7"/>
  <c r="U322" i="7" l="1"/>
  <c r="Q323" i="7"/>
  <c r="S323" i="7"/>
  <c r="T322" i="7"/>
  <c r="R323" i="7" l="1"/>
  <c r="P323" i="7"/>
  <c r="AE323" i="7" l="1"/>
  <c r="AA323" i="7" s="1"/>
  <c r="AC323" i="7"/>
  <c r="W323" i="7" s="1"/>
  <c r="AD323" i="7"/>
  <c r="Y323" i="7" s="1"/>
  <c r="Z323" i="7" l="1"/>
  <c r="U323" i="7"/>
  <c r="V323" i="7"/>
  <c r="X323" i="7"/>
  <c r="T323" i="7" l="1"/>
  <c r="S324" i="7"/>
  <c r="Q324" i="7"/>
  <c r="P324" i="7" l="1"/>
  <c r="R324" i="7"/>
  <c r="AE324" i="7" l="1"/>
  <c r="AA324" i="7" s="1"/>
  <c r="AC324" i="7"/>
  <c r="W324" i="7" s="1"/>
  <c r="AD324" i="7"/>
  <c r="Y324" i="7" s="1"/>
  <c r="Z324" i="7"/>
  <c r="X324" i="7" l="1"/>
  <c r="V324" i="7"/>
  <c r="U324" i="7"/>
  <c r="T324" i="7" l="1"/>
  <c r="P325" i="7"/>
  <c r="R325" i="7"/>
  <c r="Q325" i="7"/>
  <c r="S325" i="7"/>
  <c r="AD325" i="7" l="1"/>
  <c r="Y325" i="7" s="1"/>
  <c r="AC325" i="7"/>
  <c r="W325" i="7" s="1"/>
  <c r="AE325" i="7"/>
  <c r="AA325" i="7" s="1"/>
  <c r="V325" i="7" l="1"/>
  <c r="X325" i="7"/>
  <c r="Z325" i="7"/>
  <c r="U325" i="7"/>
  <c r="S326" i="7" s="1"/>
  <c r="Q326" i="7" l="1"/>
  <c r="T325" i="7"/>
  <c r="P326" i="7" s="1"/>
  <c r="R326" i="7"/>
  <c r="AE326" i="7" l="1"/>
  <c r="AD326" i="7"/>
  <c r="X326" i="7" s="1"/>
  <c r="AC326" i="7"/>
  <c r="V326" i="7" s="1"/>
  <c r="Z326" i="7"/>
  <c r="AA326" i="7"/>
  <c r="Y326" i="7"/>
  <c r="T326" i="7" l="1"/>
  <c r="P327" i="7" s="1"/>
  <c r="W326" i="7"/>
  <c r="U326" i="7" s="1"/>
  <c r="R327" i="7" l="1"/>
  <c r="Q327" i="7"/>
  <c r="S327" i="7"/>
  <c r="AC327" i="7" l="1"/>
  <c r="AD327" i="7"/>
  <c r="AE327" i="7"/>
  <c r="AA327" i="7" l="1"/>
  <c r="Z327" i="7"/>
  <c r="W327" i="7"/>
  <c r="V327" i="7"/>
  <c r="Y327" i="7"/>
  <c r="X327" i="7"/>
  <c r="T327" i="7" l="1"/>
  <c r="R328" i="7" s="1"/>
  <c r="P328" i="7"/>
  <c r="U327" i="7"/>
  <c r="S328" i="7" l="1"/>
  <c r="Q328" i="7"/>
  <c r="AD328" i="7" s="1"/>
  <c r="AE328" i="7"/>
  <c r="AA328" i="7" s="1"/>
  <c r="AC328" i="7"/>
  <c r="W328" i="7" s="1"/>
  <c r="Y328" i="7" l="1"/>
  <c r="X328" i="7"/>
  <c r="Z328" i="7"/>
  <c r="V328" i="7"/>
  <c r="U328" i="7"/>
  <c r="S329" i="7" s="1"/>
  <c r="T328" i="7" l="1"/>
  <c r="P329" i="7" s="1"/>
  <c r="R329" i="7"/>
  <c r="Q329" i="7"/>
  <c r="AE329" i="7" l="1"/>
  <c r="Z329" i="7" s="1"/>
  <c r="AC329" i="7"/>
  <c r="V329" i="7" s="1"/>
  <c r="AD329" i="7"/>
  <c r="X329" i="7" s="1"/>
  <c r="AA329" i="7"/>
  <c r="W329" i="7" l="1"/>
  <c r="Y329" i="7"/>
  <c r="U329" i="7" s="1"/>
  <c r="T329" i="7"/>
  <c r="P330" i="7"/>
  <c r="R330" i="7"/>
  <c r="S330" i="7" l="1"/>
  <c r="Q330" i="7"/>
  <c r="AC330" i="7"/>
  <c r="V330" i="7" s="1"/>
  <c r="AD330" i="7"/>
  <c r="X330" i="7" s="1"/>
  <c r="AE330" i="7"/>
  <c r="Z330" i="7" s="1"/>
  <c r="W330" i="7" l="1"/>
  <c r="Y330" i="7"/>
  <c r="AA330" i="7"/>
  <c r="T330" i="7"/>
  <c r="U330" i="7" l="1"/>
  <c r="R331" i="7"/>
  <c r="P331" i="7"/>
  <c r="Q331" i="7"/>
  <c r="S331" i="7"/>
  <c r="AC331" i="7" l="1"/>
  <c r="AD331" i="7"/>
  <c r="X331" i="7" s="1"/>
  <c r="AE331" i="7"/>
  <c r="Z331" i="7" l="1"/>
  <c r="AA331" i="7"/>
  <c r="V331" i="7"/>
  <c r="T331" i="7" s="1"/>
  <c r="W331" i="7"/>
  <c r="Y331" i="7"/>
  <c r="R332" i="7" l="1"/>
  <c r="P332" i="7"/>
  <c r="U331" i="7"/>
  <c r="Q332" i="7" l="1"/>
  <c r="S332" i="7"/>
  <c r="AE332" i="7" l="1"/>
  <c r="AD332" i="7"/>
  <c r="AC332" i="7"/>
  <c r="W332" i="7" l="1"/>
  <c r="V332" i="7"/>
  <c r="Y332" i="7"/>
  <c r="X332" i="7"/>
  <c r="AA332" i="7"/>
  <c r="Z332" i="7"/>
  <c r="T332" i="7" l="1"/>
  <c r="U332" i="7"/>
  <c r="Q333" i="7" l="1"/>
  <c r="S333" i="7"/>
  <c r="R333" i="7"/>
  <c r="P333" i="7"/>
  <c r="AE333" i="7" l="1"/>
  <c r="AD333" i="7"/>
  <c r="AC333" i="7"/>
  <c r="V333" i="7" l="1"/>
  <c r="W333" i="7"/>
  <c r="Y333" i="7"/>
  <c r="X333" i="7"/>
  <c r="AA333" i="7"/>
  <c r="Z333" i="7"/>
  <c r="U333" i="7" l="1"/>
  <c r="T333" i="7"/>
  <c r="R334" i="7" l="1"/>
  <c r="P334" i="7"/>
  <c r="S334" i="7"/>
  <c r="Q334" i="7"/>
  <c r="AC334" i="7" l="1"/>
  <c r="W334" i="7" s="1"/>
  <c r="AE334" i="7"/>
  <c r="AA334" i="7" s="1"/>
  <c r="AD334" i="7"/>
  <c r="Y334" i="7" s="1"/>
  <c r="Z334" i="7" l="1"/>
  <c r="V334" i="7"/>
  <c r="X334" i="7"/>
  <c r="U334" i="7"/>
  <c r="T334" i="7" l="1"/>
  <c r="P335" i="7" s="1"/>
  <c r="S335" i="7"/>
  <c r="Q335" i="7"/>
  <c r="AE335" i="7" l="1"/>
  <c r="AA335" i="7" s="1"/>
  <c r="R335" i="7"/>
  <c r="AD335" i="7"/>
  <c r="AC335" i="7"/>
  <c r="V335" i="7" s="1"/>
  <c r="Z335" i="7" l="1"/>
  <c r="Y335" i="7"/>
  <c r="X335" i="7"/>
  <c r="T335" i="7" s="1"/>
  <c r="W335" i="7"/>
  <c r="U335" i="7" l="1"/>
  <c r="P336" i="7"/>
  <c r="R336" i="7"/>
  <c r="Q336" i="7"/>
  <c r="S336" i="7"/>
  <c r="AD336" i="7" l="1"/>
  <c r="Y336" i="7" s="1"/>
  <c r="AC336" i="7"/>
  <c r="W336" i="7" s="1"/>
  <c r="AE336" i="7"/>
  <c r="AA336" i="7" s="1"/>
  <c r="X336" i="7" l="1"/>
  <c r="V336" i="7"/>
  <c r="U336" i="7"/>
  <c r="Q337" i="7" s="1"/>
  <c r="Z336" i="7"/>
  <c r="T336" i="7" l="1"/>
  <c r="R337" i="7" s="1"/>
  <c r="S337" i="7"/>
  <c r="P337" i="7" l="1"/>
  <c r="AD337" i="7"/>
  <c r="AE337" i="7"/>
  <c r="AC337" i="7"/>
  <c r="V337" i="7" l="1"/>
  <c r="W337" i="7"/>
  <c r="Z337" i="7"/>
  <c r="AA337" i="7"/>
  <c r="X337" i="7"/>
  <c r="Y337" i="7"/>
  <c r="U337" i="7" l="1"/>
  <c r="T337" i="7"/>
  <c r="R338" i="7" l="1"/>
  <c r="P338" i="7"/>
  <c r="Q338" i="7"/>
  <c r="S338" i="7"/>
  <c r="AE338" i="7" l="1"/>
  <c r="Z338" i="7" s="1"/>
  <c r="AC338" i="7"/>
  <c r="V338" i="7" s="1"/>
  <c r="AD338" i="7"/>
  <c r="X338" i="7" s="1"/>
  <c r="T338" i="7" l="1"/>
  <c r="Y338" i="7"/>
  <c r="AA338" i="7"/>
  <c r="W338" i="7"/>
  <c r="U338" i="7" l="1"/>
  <c r="S339" i="7" s="1"/>
  <c r="Q339" i="7"/>
  <c r="P339" i="7"/>
  <c r="R339" i="7"/>
  <c r="AD339" i="7" l="1"/>
  <c r="Y339" i="7" s="1"/>
  <c r="AC339" i="7"/>
  <c r="V339" i="7" s="1"/>
  <c r="AE339" i="7"/>
  <c r="Z339" i="7" s="1"/>
  <c r="X339" i="7"/>
  <c r="T339" i="7" l="1"/>
  <c r="R340" i="7" s="1"/>
  <c r="P340" i="7"/>
  <c r="W339" i="7"/>
  <c r="AA339" i="7"/>
  <c r="U339" i="7" l="1"/>
  <c r="Q340" i="7" l="1"/>
  <c r="S340" i="7"/>
  <c r="AD340" i="7" l="1"/>
  <c r="X340" i="7" s="1"/>
  <c r="AC340" i="7"/>
  <c r="AE340" i="7"/>
  <c r="Z340" i="7" s="1"/>
  <c r="W340" i="7" l="1"/>
  <c r="V340" i="7"/>
  <c r="T340" i="7" s="1"/>
  <c r="Y340" i="7"/>
  <c r="AA340" i="7"/>
  <c r="R341" i="7" l="1"/>
  <c r="P341" i="7"/>
  <c r="U340" i="7"/>
  <c r="S341" i="7" l="1"/>
  <c r="Q341" i="7"/>
  <c r="AC341" i="7" s="1"/>
  <c r="V341" i="7" s="1"/>
  <c r="AD341" i="7" l="1"/>
  <c r="X341" i="7" s="1"/>
  <c r="W341" i="7"/>
  <c r="AE341" i="7"/>
  <c r="Z341" i="7" s="1"/>
  <c r="T341" i="7" s="1"/>
  <c r="Y341" i="7" l="1"/>
  <c r="R342" i="7"/>
  <c r="P342" i="7"/>
  <c r="AA341" i="7"/>
  <c r="U341" i="7" l="1"/>
  <c r="Q342" i="7"/>
  <c r="S342" i="7"/>
  <c r="AE342" i="7"/>
  <c r="AA342" i="7" s="1"/>
  <c r="AC342" i="7"/>
  <c r="W342" i="7" s="1"/>
  <c r="AD342" i="7"/>
  <c r="Y342" i="7" s="1"/>
  <c r="V342" i="7" l="1"/>
  <c r="Z342" i="7"/>
  <c r="X342" i="7"/>
  <c r="U342" i="7"/>
  <c r="S343" i="7" s="1"/>
  <c r="Q343" i="7" l="1"/>
  <c r="T342" i="7"/>
  <c r="R343" i="7" l="1"/>
  <c r="P343" i="7"/>
  <c r="AE343" i="7" l="1"/>
  <c r="AA343" i="7" s="1"/>
  <c r="AD343" i="7"/>
  <c r="AC343" i="7"/>
  <c r="Z343" i="7" l="1"/>
  <c r="X343" i="7"/>
  <c r="Y343" i="7"/>
  <c r="W343" i="7"/>
  <c r="V343" i="7"/>
  <c r="T343" i="7" l="1"/>
  <c r="R344" i="7" s="1"/>
  <c r="P344" i="7"/>
  <c r="U343" i="7"/>
  <c r="Q344" i="7" l="1"/>
  <c r="S344" i="7"/>
  <c r="AC344" i="7" l="1"/>
  <c r="V344" i="7" s="1"/>
  <c r="AD344" i="7"/>
  <c r="AE344" i="7"/>
  <c r="Z344" i="7" s="1"/>
  <c r="Y344" i="7" l="1"/>
  <c r="X344" i="7"/>
  <c r="T344" i="7" s="1"/>
  <c r="W344" i="7"/>
  <c r="AA344" i="7"/>
  <c r="R345" i="7" l="1"/>
  <c r="P345" i="7"/>
  <c r="U344" i="7"/>
  <c r="Q345" i="7" l="1"/>
  <c r="AE345" i="7" s="1"/>
  <c r="Z345" i="7" s="1"/>
  <c r="S345" i="7"/>
  <c r="AC345" i="7"/>
  <c r="W345" i="7" s="1"/>
  <c r="AD345" i="7"/>
  <c r="X345" i="7" s="1"/>
  <c r="V345" i="7" l="1"/>
  <c r="T345" i="7" s="1"/>
  <c r="Y345" i="7"/>
  <c r="AA345" i="7"/>
  <c r="U345" i="7" l="1"/>
  <c r="Q346" i="7" s="1"/>
  <c r="R346" i="7"/>
  <c r="P346" i="7"/>
  <c r="AE346" i="7" s="1"/>
  <c r="S346" i="7"/>
  <c r="AA346" i="7" l="1"/>
  <c r="Z346" i="7"/>
  <c r="AC346" i="7"/>
  <c r="V346" i="7" s="1"/>
  <c r="AD346" i="7"/>
  <c r="X346" i="7" s="1"/>
  <c r="Y346" i="7" l="1"/>
  <c r="T346" i="7"/>
  <c r="P347" i="7" s="1"/>
  <c r="W346" i="7"/>
  <c r="R347" i="7"/>
  <c r="U346" i="7" l="1"/>
  <c r="S347" i="7" s="1"/>
  <c r="Q347" i="7" l="1"/>
  <c r="AC347" i="7"/>
  <c r="AD347" i="7"/>
  <c r="X347" i="7" s="1"/>
  <c r="AE347" i="7"/>
  <c r="Z347" i="7" s="1"/>
  <c r="Y347" i="7" l="1"/>
  <c r="AA347" i="7"/>
  <c r="W347" i="7"/>
  <c r="V347" i="7"/>
  <c r="T347" i="7" s="1"/>
  <c r="U347" i="7" l="1"/>
  <c r="P348" i="7"/>
  <c r="R348" i="7"/>
  <c r="S348" i="7"/>
  <c r="Q348" i="7"/>
  <c r="AD348" i="7" l="1"/>
  <c r="Y348" i="7" s="1"/>
  <c r="AE348" i="7"/>
  <c r="AA348" i="7" s="1"/>
  <c r="AC348" i="7"/>
  <c r="W348" i="7" s="1"/>
  <c r="X348" i="7" l="1"/>
  <c r="Z348" i="7"/>
  <c r="V348" i="7"/>
  <c r="U348" i="7"/>
  <c r="T348" i="7" l="1"/>
  <c r="R349" i="7" s="1"/>
  <c r="S349" i="7"/>
  <c r="Q349" i="7"/>
  <c r="P349" i="7" l="1"/>
  <c r="AE349" i="7" s="1"/>
  <c r="AA349" i="7" s="1"/>
  <c r="AD349" i="7"/>
  <c r="AC349" i="7"/>
  <c r="V349" i="7" s="1"/>
  <c r="Z349" i="7" l="1"/>
  <c r="Y349" i="7"/>
  <c r="X349" i="7"/>
  <c r="T349" i="7" s="1"/>
  <c r="R350" i="7" s="1"/>
  <c r="W349" i="7"/>
  <c r="P350" i="7" l="1"/>
  <c r="U349" i="7"/>
  <c r="S350" i="7" l="1"/>
  <c r="Q350" i="7"/>
  <c r="AC350" i="7" l="1"/>
  <c r="AE350" i="7"/>
  <c r="AD350" i="7"/>
  <c r="X350" i="7" l="1"/>
  <c r="Y350" i="7"/>
  <c r="Z350" i="7"/>
  <c r="AA350" i="7"/>
  <c r="W350" i="7"/>
  <c r="V350" i="7"/>
  <c r="T350" i="7" s="1"/>
  <c r="U350" i="7" l="1"/>
  <c r="P351" i="7"/>
  <c r="R351" i="7"/>
  <c r="Q351" i="7"/>
  <c r="S351" i="7"/>
  <c r="AC351" i="7" l="1"/>
  <c r="AE351" i="7"/>
  <c r="AD351" i="7"/>
  <c r="Y351" i="7" l="1"/>
  <c r="X351" i="7"/>
  <c r="AA351" i="7"/>
  <c r="Z351" i="7"/>
  <c r="W351" i="7"/>
  <c r="V351" i="7"/>
  <c r="U351" i="7" l="1"/>
  <c r="T351" i="7"/>
  <c r="R352" i="7" s="1"/>
  <c r="Q352" i="7"/>
  <c r="S352" i="7"/>
  <c r="P352" i="7"/>
  <c r="AD352" i="7" l="1"/>
  <c r="Y352" i="7" s="1"/>
  <c r="AC352" i="7"/>
  <c r="W352" i="7" s="1"/>
  <c r="AE352" i="7"/>
  <c r="X352" i="7" l="1"/>
  <c r="Z352" i="7"/>
  <c r="AA352" i="7"/>
  <c r="U352" i="7" s="1"/>
  <c r="V352" i="7"/>
  <c r="T352" i="7" l="1"/>
  <c r="P353" i="7" s="1"/>
  <c r="S353" i="7"/>
  <c r="Q353" i="7"/>
  <c r="R353" i="7"/>
  <c r="AD353" i="7"/>
  <c r="AE353" i="7"/>
  <c r="AC353" i="7" l="1"/>
  <c r="V353" i="7" s="1"/>
  <c r="X353" i="7"/>
  <c r="Y353" i="7"/>
  <c r="Z353" i="7"/>
  <c r="AA353" i="7"/>
  <c r="W353" i="7" l="1"/>
  <c r="U353" i="7" s="1"/>
  <c r="T353" i="7"/>
  <c r="R354" i="7" l="1"/>
  <c r="P354" i="7"/>
  <c r="Q354" i="7"/>
  <c r="S354" i="7"/>
  <c r="AD354" i="7" l="1"/>
  <c r="X354" i="7" s="1"/>
  <c r="AE354" i="7"/>
  <c r="Z354" i="7" s="1"/>
  <c r="AC354" i="7"/>
  <c r="V354" i="7" s="1"/>
  <c r="T354" i="7" l="1"/>
  <c r="P355" i="7" s="1"/>
  <c r="Y354" i="7"/>
  <c r="W354" i="7"/>
  <c r="AA354" i="7"/>
  <c r="R355" i="7" l="1"/>
  <c r="U354" i="7"/>
  <c r="S355" i="7" l="1"/>
  <c r="Q355" i="7"/>
  <c r="AD355" i="7" l="1"/>
  <c r="AC355" i="7"/>
  <c r="V355" i="7" s="1"/>
  <c r="AE355" i="7"/>
  <c r="AA355" i="7" l="1"/>
  <c r="Z355" i="7"/>
  <c r="Y355" i="7"/>
  <c r="X355" i="7"/>
  <c r="W355" i="7"/>
  <c r="U355" i="7" l="1"/>
  <c r="T355" i="7"/>
  <c r="R356" i="7"/>
  <c r="P356" i="7"/>
  <c r="S356" i="7"/>
  <c r="Q356" i="7"/>
  <c r="AD356" i="7" l="1"/>
  <c r="Y356" i="7" s="1"/>
  <c r="AC356" i="7"/>
  <c r="W356" i="7" s="1"/>
  <c r="AE356" i="7"/>
  <c r="AA356" i="7" s="1"/>
  <c r="V356" i="7" l="1"/>
  <c r="X356" i="7"/>
  <c r="Z356" i="7"/>
  <c r="U356" i="7"/>
  <c r="T356" i="7" l="1"/>
  <c r="P357" i="7" s="1"/>
  <c r="S357" i="7"/>
  <c r="Q357" i="7"/>
  <c r="R357" i="7" l="1"/>
  <c r="AC357" i="7"/>
  <c r="V357" i="7" s="1"/>
  <c r="AD357" i="7"/>
  <c r="X357" i="7" s="1"/>
  <c r="AE357" i="7"/>
  <c r="Z357" i="7" s="1"/>
  <c r="W357" i="7"/>
  <c r="Y357" i="7" l="1"/>
  <c r="AA357" i="7"/>
  <c r="U357" i="7" s="1"/>
  <c r="T357" i="7"/>
  <c r="S358" i="7" l="1"/>
  <c r="Q358" i="7"/>
  <c r="R358" i="7"/>
  <c r="P358" i="7"/>
  <c r="AC358" i="7" l="1"/>
  <c r="V358" i="7" s="1"/>
  <c r="AE358" i="7"/>
  <c r="AD358" i="7"/>
  <c r="X358" i="7" s="1"/>
  <c r="W358" i="7" l="1"/>
  <c r="Y358" i="7"/>
  <c r="Z358" i="7"/>
  <c r="T358" i="7" s="1"/>
  <c r="AA358" i="7"/>
  <c r="U358" i="7" l="1"/>
  <c r="P359" i="7"/>
  <c r="R359" i="7"/>
  <c r="S359" i="7"/>
  <c r="Q359" i="7"/>
  <c r="AD359" i="7" l="1"/>
  <c r="AE359" i="7"/>
  <c r="AC359" i="7"/>
  <c r="V359" i="7" s="1"/>
  <c r="Z359" i="7" l="1"/>
  <c r="AA359" i="7"/>
  <c r="Y359" i="7"/>
  <c r="X359" i="7"/>
  <c r="W359" i="7"/>
  <c r="U359" i="7" s="1"/>
  <c r="Q360" i="7" s="1"/>
  <c r="T359" i="7" l="1"/>
  <c r="R360" i="7" s="1"/>
  <c r="S360" i="7"/>
  <c r="P360" i="7" l="1"/>
  <c r="AE360" i="7" s="1"/>
  <c r="AA360" i="7" s="1"/>
  <c r="AC360" i="7"/>
  <c r="AD360" i="7"/>
  <c r="Z360" i="7" l="1"/>
  <c r="Y360" i="7"/>
  <c r="X360" i="7"/>
  <c r="W360" i="7"/>
  <c r="V360" i="7"/>
  <c r="T360" i="7" l="1"/>
  <c r="R361" i="7" s="1"/>
  <c r="U360" i="7"/>
  <c r="P361" i="7"/>
  <c r="Q361" i="7"/>
  <c r="S361" i="7"/>
  <c r="AC361" i="7" l="1"/>
  <c r="W361" i="7" s="1"/>
  <c r="AE361" i="7"/>
  <c r="AA361" i="7" s="1"/>
  <c r="AD361" i="7"/>
  <c r="Y361" i="7" s="1"/>
  <c r="U361" i="7" s="1"/>
  <c r="Z361" i="7"/>
  <c r="V361" i="7" l="1"/>
  <c r="X361" i="7"/>
  <c r="T361" i="7" s="1"/>
  <c r="S362" i="7"/>
  <c r="Q362" i="7"/>
  <c r="R362" i="7" l="1"/>
  <c r="P362" i="7"/>
  <c r="AD362" i="7" s="1"/>
  <c r="X362" i="7" l="1"/>
  <c r="Y362" i="7"/>
  <c r="AE362" i="7"/>
  <c r="AA362" i="7" s="1"/>
  <c r="AC362" i="7"/>
  <c r="W362" i="7" s="1"/>
  <c r="Z362" i="7" l="1"/>
  <c r="U362" i="7"/>
  <c r="Q363" i="7" s="1"/>
  <c r="V362" i="7"/>
  <c r="T362" i="7" s="1"/>
  <c r="S363" i="7"/>
  <c r="P363" i="7" l="1"/>
  <c r="R363" i="7"/>
  <c r="AC363" i="7"/>
  <c r="W363" i="7" s="1"/>
  <c r="AE363" i="7"/>
  <c r="AA363" i="7" s="1"/>
  <c r="AD363" i="7"/>
  <c r="Y363" i="7" s="1"/>
  <c r="Z363" i="7" l="1"/>
  <c r="V363" i="7"/>
  <c r="X363" i="7"/>
  <c r="U363" i="7"/>
  <c r="T363" i="7" l="1"/>
  <c r="R364" i="7" s="1"/>
  <c r="P364" i="7"/>
  <c r="S364" i="7"/>
  <c r="Q364" i="7"/>
  <c r="AD364" i="7" l="1"/>
  <c r="X364" i="7" s="1"/>
  <c r="AC364" i="7"/>
  <c r="V364" i="7" s="1"/>
  <c r="AE364" i="7"/>
  <c r="Z364" i="7" s="1"/>
  <c r="Y364" i="7"/>
  <c r="AA364" i="7" l="1"/>
  <c r="W364" i="7"/>
  <c r="T364" i="7"/>
  <c r="R365" i="7" s="1"/>
  <c r="P365" i="7"/>
  <c r="U364" i="7"/>
  <c r="S365" i="7" s="1"/>
  <c r="Q365" i="7" l="1"/>
  <c r="AC365" i="7"/>
  <c r="AE365" i="7"/>
  <c r="AA365" i="7" s="1"/>
  <c r="AD365" i="7"/>
  <c r="V365" i="7"/>
  <c r="W365" i="7"/>
  <c r="Z365" i="7" l="1"/>
  <c r="X365" i="7"/>
  <c r="T365" i="7" s="1"/>
  <c r="Y365" i="7"/>
  <c r="U365" i="7" s="1"/>
  <c r="R366" i="7" l="1"/>
  <c r="P366" i="7"/>
  <c r="Q366" i="7"/>
  <c r="S366" i="7"/>
  <c r="AC366" i="7"/>
  <c r="AD366" i="7" l="1"/>
  <c r="Y366" i="7" s="1"/>
  <c r="AE366" i="7"/>
  <c r="AA366" i="7" s="1"/>
  <c r="X366" i="7"/>
  <c r="V366" i="7"/>
  <c r="W366" i="7"/>
  <c r="U366" i="7" l="1"/>
  <c r="S367" i="7" s="1"/>
  <c r="Z366" i="7"/>
  <c r="T366" i="7" s="1"/>
  <c r="Q367" i="7" l="1"/>
  <c r="P367" i="7"/>
  <c r="AC367" i="7" s="1"/>
  <c r="W367" i="7" s="1"/>
  <c r="R367" i="7"/>
  <c r="AE367" i="7" l="1"/>
  <c r="Z367" i="7" s="1"/>
  <c r="AD367" i="7"/>
  <c r="X367" i="7" s="1"/>
  <c r="AA367" i="7"/>
  <c r="Y367" i="7"/>
  <c r="V367" i="7"/>
  <c r="T367" i="7" s="1"/>
  <c r="U367" i="7" l="1"/>
  <c r="R368" i="7"/>
  <c r="P368" i="7"/>
  <c r="S368" i="7"/>
  <c r="Q368" i="7"/>
  <c r="AE368" i="7" s="1"/>
  <c r="Z368" i="7" s="1"/>
  <c r="AD368" i="7" l="1"/>
  <c r="X368" i="7" s="1"/>
  <c r="AA368" i="7"/>
  <c r="AC368" i="7"/>
  <c r="V368" i="7" s="1"/>
  <c r="T368" i="7" l="1"/>
  <c r="Y368" i="7"/>
  <c r="R369" i="7"/>
  <c r="P369" i="7"/>
  <c r="W368" i="7"/>
  <c r="U368" i="7" s="1"/>
  <c r="Q369" i="7" l="1"/>
  <c r="AC369" i="7" s="1"/>
  <c r="V369" i="7" s="1"/>
  <c r="S369" i="7"/>
  <c r="AD369" i="7" l="1"/>
  <c r="X369" i="7" s="1"/>
  <c r="AE369" i="7"/>
  <c r="Z369" i="7" s="1"/>
  <c r="W369" i="7"/>
  <c r="Y369" i="7"/>
  <c r="AA369" i="7" l="1"/>
  <c r="U369" i="7" s="1"/>
  <c r="T369" i="7"/>
  <c r="R370" i="7"/>
  <c r="P370" i="7"/>
  <c r="S370" i="7" l="1"/>
  <c r="Q370" i="7"/>
  <c r="AC370" i="7" l="1"/>
  <c r="AD370" i="7"/>
  <c r="X370" i="7" s="1"/>
  <c r="AE370" i="7"/>
  <c r="Z370" i="7" s="1"/>
  <c r="AA370" i="7" l="1"/>
  <c r="Y370" i="7"/>
  <c r="W370" i="7"/>
  <c r="V370" i="7"/>
  <c r="T370" i="7" s="1"/>
  <c r="U370" i="7" l="1"/>
  <c r="R371" i="7"/>
  <c r="P371" i="7"/>
  <c r="Q371" i="7"/>
  <c r="S371" i="7"/>
  <c r="AC371" i="7" l="1"/>
  <c r="V371" i="7" s="1"/>
  <c r="AE371" i="7"/>
  <c r="Z371" i="7" s="1"/>
  <c r="AD371" i="7"/>
  <c r="Y371" i="7" s="1"/>
  <c r="X371" i="7" l="1"/>
  <c r="T371" i="7" s="1"/>
  <c r="W371" i="7"/>
  <c r="AA371" i="7"/>
  <c r="U371" i="7" l="1"/>
  <c r="S372" i="7"/>
  <c r="Q372" i="7"/>
  <c r="R372" i="7"/>
  <c r="P372" i="7"/>
  <c r="AE372" i="7" l="1"/>
  <c r="Z372" i="7" s="1"/>
  <c r="AD372" i="7"/>
  <c r="X372" i="7" s="1"/>
  <c r="AC372" i="7"/>
  <c r="V372" i="7" s="1"/>
  <c r="AA372" i="7" l="1"/>
  <c r="Y372" i="7"/>
  <c r="T372" i="7"/>
  <c r="R373" i="7" s="1"/>
  <c r="W372" i="7"/>
  <c r="P373" i="7"/>
  <c r="U372" i="7" l="1"/>
  <c r="Q373" i="7" s="1"/>
  <c r="S373" i="7"/>
  <c r="AC373" i="7" l="1"/>
  <c r="V373" i="7" s="1"/>
  <c r="AD373" i="7"/>
  <c r="X373" i="7" s="1"/>
  <c r="AE373" i="7"/>
  <c r="Z373" i="7" s="1"/>
  <c r="W373" i="7"/>
  <c r="Y373" i="7" l="1"/>
  <c r="AA373" i="7"/>
  <c r="U373" i="7" s="1"/>
  <c r="T373" i="7"/>
  <c r="R374" i="7"/>
  <c r="P374" i="7"/>
  <c r="S374" i="7" l="1"/>
  <c r="Q374" i="7"/>
  <c r="AC374" i="7" l="1"/>
  <c r="AE374" i="7"/>
  <c r="AD374" i="7"/>
  <c r="X374" i="7" s="1"/>
  <c r="AA374" i="7" l="1"/>
  <c r="Z374" i="7"/>
  <c r="W374" i="7"/>
  <c r="V374" i="7"/>
  <c r="T374" i="7" s="1"/>
  <c r="Y374" i="7"/>
  <c r="U374" i="7" l="1"/>
  <c r="R375" i="7"/>
  <c r="P375" i="7"/>
  <c r="Q375" i="7" l="1"/>
  <c r="AC375" i="7" s="1"/>
  <c r="S375" i="7"/>
  <c r="W375" i="7" l="1"/>
  <c r="V375" i="7"/>
  <c r="AE375" i="7"/>
  <c r="AD375" i="7"/>
  <c r="AA375" i="7" l="1"/>
  <c r="Z375" i="7"/>
  <c r="Y375" i="7"/>
  <c r="U375" i="7" s="1"/>
  <c r="X375" i="7"/>
  <c r="T375" i="7" l="1"/>
  <c r="R376" i="7" s="1"/>
  <c r="P376" i="7"/>
  <c r="Q376" i="7"/>
  <c r="S376" i="7"/>
  <c r="AD376" i="7" l="1"/>
  <c r="Y376" i="7" s="1"/>
  <c r="AC376" i="7"/>
  <c r="W376" i="7" s="1"/>
  <c r="AE376" i="7"/>
  <c r="AA376" i="7" s="1"/>
  <c r="X376" i="7" l="1"/>
  <c r="V376" i="7"/>
  <c r="Z376" i="7"/>
  <c r="U376" i="7"/>
  <c r="T376" i="7" l="1"/>
  <c r="P377" i="7"/>
  <c r="R377" i="7"/>
  <c r="Q377" i="7"/>
  <c r="S377" i="7"/>
  <c r="AE377" i="7" l="1"/>
  <c r="AA377" i="7" s="1"/>
  <c r="AD377" i="7"/>
  <c r="Y377" i="7" s="1"/>
  <c r="AC377" i="7"/>
  <c r="W377" i="7" s="1"/>
  <c r="Z377" i="7"/>
  <c r="V377" i="7" l="1"/>
  <c r="U377" i="7"/>
  <c r="S378" i="7" s="1"/>
  <c r="Q378" i="7"/>
  <c r="X377" i="7"/>
  <c r="T377" i="7" l="1"/>
  <c r="R378" i="7"/>
  <c r="P378" i="7"/>
  <c r="AD378" i="7" l="1"/>
  <c r="Y378" i="7" s="1"/>
  <c r="AC378" i="7"/>
  <c r="W378" i="7" s="1"/>
  <c r="AE378" i="7"/>
  <c r="AA378" i="7" s="1"/>
  <c r="V378" i="7" l="1"/>
  <c r="X378" i="7"/>
  <c r="U378" i="7"/>
  <c r="Z378" i="7"/>
  <c r="T378" i="7" l="1"/>
  <c r="R379" i="7" s="1"/>
  <c r="S379" i="7"/>
  <c r="Q379" i="7"/>
  <c r="P379" i="7" l="1"/>
  <c r="AD379" i="7" s="1"/>
  <c r="Y379" i="7" s="1"/>
  <c r="AC379" i="7" l="1"/>
  <c r="W379" i="7" s="1"/>
  <c r="AE379" i="7"/>
  <c r="Z379" i="7" s="1"/>
  <c r="X379" i="7"/>
  <c r="V379" i="7"/>
  <c r="AA379" i="7"/>
  <c r="U379" i="7" s="1"/>
  <c r="T379" i="7" l="1"/>
  <c r="S380" i="7"/>
  <c r="Q380" i="7"/>
  <c r="P380" i="7"/>
  <c r="R380" i="7"/>
  <c r="AD380" i="7" l="1"/>
  <c r="X380" i="7" s="1"/>
  <c r="AC380" i="7"/>
  <c r="V380" i="7" s="1"/>
  <c r="AE380" i="7"/>
  <c r="Z380" i="7" l="1"/>
  <c r="T380" i="7" s="1"/>
  <c r="AA380" i="7"/>
  <c r="W380" i="7"/>
  <c r="Y380" i="7"/>
  <c r="U380" i="7" l="1"/>
  <c r="P381" i="7"/>
  <c r="R381" i="7"/>
  <c r="S381" i="7" l="1"/>
  <c r="Q381" i="7"/>
  <c r="AC381" i="7" s="1"/>
  <c r="V381" i="7" s="1"/>
  <c r="W381" i="7" l="1"/>
  <c r="AE381" i="7"/>
  <c r="Z381" i="7" s="1"/>
  <c r="AD381" i="7"/>
  <c r="X381" i="7" s="1"/>
  <c r="T381" i="7" l="1"/>
  <c r="R382" i="7" s="1"/>
  <c r="P382" i="7"/>
  <c r="Y381" i="7"/>
  <c r="AA381" i="7"/>
  <c r="U381" i="7" l="1"/>
  <c r="S382" i="7"/>
  <c r="Q382" i="7"/>
  <c r="AD382" i="7" s="1"/>
  <c r="X382" i="7" s="1"/>
  <c r="AC382" i="7" l="1"/>
  <c r="V382" i="7" s="1"/>
  <c r="AE382" i="7"/>
  <c r="Z382" i="7" s="1"/>
  <c r="Y382" i="7"/>
  <c r="W382" i="7" l="1"/>
  <c r="AA382" i="7"/>
  <c r="T382" i="7"/>
  <c r="P383" i="7"/>
  <c r="R383" i="7"/>
  <c r="U382" i="7" l="1"/>
  <c r="Q383" i="7" s="1"/>
  <c r="AC383" i="7" s="1"/>
  <c r="V383" i="7" s="1"/>
  <c r="S383" i="7" l="1"/>
  <c r="W383" i="7"/>
  <c r="AE383" i="7"/>
  <c r="Z383" i="7" s="1"/>
  <c r="AD383" i="7"/>
  <c r="X383" i="7" s="1"/>
  <c r="T383" i="7" l="1"/>
  <c r="R384" i="7" s="1"/>
  <c r="Y383" i="7"/>
  <c r="AA383" i="7"/>
  <c r="P384" i="7"/>
  <c r="U383" i="7" l="1"/>
  <c r="S384" i="7" s="1"/>
  <c r="Q384" i="7"/>
  <c r="AC384" i="7" s="1"/>
  <c r="W384" i="7" s="1"/>
  <c r="AD384" i="7" l="1"/>
  <c r="Y384" i="7" s="1"/>
  <c r="AE384" i="7"/>
  <c r="AA384" i="7" s="1"/>
  <c r="V384" i="7"/>
  <c r="Z384" i="7" l="1"/>
  <c r="U384" i="7"/>
  <c r="S385" i="7" s="1"/>
  <c r="X384" i="7"/>
  <c r="T384" i="7" s="1"/>
  <c r="Q385" i="7" l="1"/>
  <c r="R385" i="7"/>
  <c r="P385" i="7"/>
  <c r="AD385" i="7" s="1"/>
  <c r="Y385" i="7" s="1"/>
  <c r="AC385" i="7"/>
  <c r="AE385" i="7"/>
  <c r="X385" i="7" l="1"/>
  <c r="Z385" i="7"/>
  <c r="AA385" i="7"/>
  <c r="V385" i="7"/>
  <c r="T385" i="7" s="1"/>
  <c r="W385" i="7"/>
  <c r="U385" i="7" l="1"/>
  <c r="Q386" i="7" s="1"/>
  <c r="P386" i="7"/>
  <c r="R386" i="7"/>
  <c r="S386" i="7" l="1"/>
  <c r="AE386" i="7"/>
  <c r="AA386" i="7" s="1"/>
  <c r="AD386" i="7"/>
  <c r="Y386" i="7" s="1"/>
  <c r="AC386" i="7"/>
  <c r="W386" i="7" s="1"/>
  <c r="X386" i="7" l="1"/>
  <c r="Z386" i="7"/>
  <c r="U386" i="7"/>
  <c r="S387" i="7" s="1"/>
  <c r="V386" i="7"/>
  <c r="T386" i="7" l="1"/>
  <c r="P387" i="7" s="1"/>
  <c r="Q387" i="7"/>
  <c r="R387" i="7" l="1"/>
  <c r="AC387" i="7"/>
  <c r="AD387" i="7"/>
  <c r="AE387" i="7"/>
  <c r="Z387" i="7" l="1"/>
  <c r="AA387" i="7"/>
  <c r="X387" i="7"/>
  <c r="Y387" i="7"/>
  <c r="V387" i="7"/>
  <c r="W387" i="7"/>
  <c r="U387" i="7" l="1"/>
  <c r="T387" i="7"/>
  <c r="P388" i="7" s="1"/>
  <c r="S388" i="7"/>
  <c r="Q388" i="7"/>
  <c r="R388" i="7"/>
  <c r="AC388" i="7" l="1"/>
  <c r="V388" i="7" s="1"/>
  <c r="AE388" i="7"/>
  <c r="Z388" i="7" s="1"/>
  <c r="AD388" i="7"/>
  <c r="X388" i="7" s="1"/>
  <c r="AA388" i="7" l="1"/>
  <c r="Y388" i="7"/>
  <c r="W388" i="7"/>
  <c r="T388" i="7"/>
  <c r="U388" i="7" l="1"/>
  <c r="P389" i="7"/>
  <c r="R389" i="7"/>
  <c r="S389" i="7"/>
  <c r="Q389" i="7"/>
  <c r="AE389" i="7" l="1"/>
  <c r="AD389" i="7"/>
  <c r="AC389" i="7"/>
  <c r="W389" i="7" l="1"/>
  <c r="V389" i="7"/>
  <c r="Y389" i="7"/>
  <c r="X389" i="7"/>
  <c r="AA389" i="7"/>
  <c r="Z389" i="7"/>
  <c r="T389" i="7" l="1"/>
  <c r="U389" i="7"/>
  <c r="S390" i="7" l="1"/>
  <c r="Q390" i="7"/>
  <c r="R390" i="7"/>
  <c r="P390" i="7"/>
  <c r="AD390" i="7" l="1"/>
  <c r="Y390" i="7" s="1"/>
  <c r="AC390" i="7"/>
  <c r="W390" i="7" s="1"/>
  <c r="AE390" i="7"/>
  <c r="X390" i="7" l="1"/>
  <c r="V390" i="7"/>
  <c r="AA390" i="7"/>
  <c r="U390" i="7" s="1"/>
  <c r="Z390" i="7"/>
  <c r="T390" i="7" l="1"/>
  <c r="P391" i="7"/>
  <c r="R391" i="7"/>
  <c r="Q391" i="7"/>
  <c r="S391" i="7"/>
  <c r="AD391" i="7" l="1"/>
  <c r="AE391" i="7"/>
  <c r="AC391" i="7"/>
  <c r="V391" i="7" l="1"/>
  <c r="W391" i="7"/>
  <c r="AA391" i="7"/>
  <c r="Z391" i="7"/>
  <c r="Y391" i="7"/>
  <c r="X391" i="7"/>
  <c r="U391" i="7" l="1"/>
  <c r="T391" i="7"/>
  <c r="S392" i="7" l="1"/>
  <c r="Q392" i="7"/>
  <c r="R392" i="7"/>
  <c r="P392" i="7"/>
  <c r="AC392" i="7" l="1"/>
  <c r="AE392" i="7"/>
  <c r="AD392" i="7"/>
  <c r="X392" i="7" l="1"/>
  <c r="Y392" i="7"/>
  <c r="Z392" i="7"/>
  <c r="AA392" i="7"/>
  <c r="V392" i="7"/>
  <c r="W392" i="7"/>
  <c r="U392" i="7" l="1"/>
  <c r="Q393" i="7" s="1"/>
  <c r="T392" i="7"/>
  <c r="S393" i="7" l="1"/>
  <c r="R393" i="7"/>
  <c r="P393" i="7"/>
  <c r="AC393" i="7" s="1"/>
  <c r="V393" i="7" s="1"/>
  <c r="W393" i="7" l="1"/>
  <c r="AD393" i="7"/>
  <c r="AE393" i="7"/>
  <c r="AA393" i="7" s="1"/>
  <c r="Z393" i="7" l="1"/>
  <c r="X393" i="7"/>
  <c r="Y393" i="7"/>
  <c r="U393" i="7" s="1"/>
  <c r="T393" i="7" l="1"/>
  <c r="P394" i="7" s="1"/>
  <c r="S394" i="7"/>
  <c r="Q394" i="7"/>
  <c r="R394" i="7" l="1"/>
  <c r="AE394" i="7"/>
  <c r="AA394" i="7" s="1"/>
  <c r="AC394" i="7"/>
  <c r="W394" i="7" s="1"/>
  <c r="AD394" i="7"/>
  <c r="Y394" i="7" s="1"/>
  <c r="Z394" i="7" l="1"/>
  <c r="U394" i="7"/>
  <c r="X394" i="7"/>
  <c r="S395" i="7"/>
  <c r="Q395" i="7"/>
  <c r="V394" i="7"/>
  <c r="T394" i="7" l="1"/>
  <c r="P395" i="7" s="1"/>
  <c r="R395" i="7" l="1"/>
  <c r="AD395" i="7"/>
  <c r="AC395" i="7"/>
  <c r="AE395" i="7"/>
  <c r="AA395" i="7" l="1"/>
  <c r="Z395" i="7"/>
  <c r="W395" i="7"/>
  <c r="V395" i="7"/>
  <c r="Y395" i="7"/>
  <c r="X395" i="7"/>
  <c r="T395" i="7" l="1"/>
  <c r="U395" i="7"/>
  <c r="R396" i="7" l="1"/>
  <c r="P396" i="7"/>
  <c r="Q396" i="7"/>
  <c r="S396" i="7"/>
  <c r="AD396" i="7" l="1"/>
  <c r="AC396" i="7"/>
  <c r="AE396" i="7"/>
  <c r="AA396" i="7" l="1"/>
  <c r="Z396" i="7"/>
  <c r="W396" i="7"/>
  <c r="V396" i="7"/>
  <c r="Y396" i="7"/>
  <c r="X396" i="7"/>
  <c r="T396" i="7" l="1"/>
  <c r="R397" i="7" s="1"/>
  <c r="U396" i="7"/>
  <c r="P397" i="7" l="1"/>
  <c r="Q397" i="7"/>
  <c r="S397" i="7"/>
  <c r="AD397" i="7" l="1"/>
  <c r="Y397" i="7" s="1"/>
  <c r="AC397" i="7"/>
  <c r="AE397" i="7"/>
  <c r="X397" i="7" l="1"/>
  <c r="AA397" i="7"/>
  <c r="Z397" i="7"/>
  <c r="W397" i="7"/>
  <c r="U397" i="7" s="1"/>
  <c r="V397" i="7"/>
  <c r="T397" i="7" s="1"/>
  <c r="R398" i="7" l="1"/>
  <c r="P398" i="7"/>
  <c r="Q398" i="7"/>
  <c r="S398" i="7"/>
  <c r="AC398" i="7" l="1"/>
  <c r="W398" i="7" s="1"/>
  <c r="AD398" i="7"/>
  <c r="Y398" i="7" s="1"/>
  <c r="AE398" i="7"/>
  <c r="AA398" i="7" s="1"/>
  <c r="V398" i="7" l="1"/>
  <c r="X398" i="7"/>
  <c r="U398" i="7"/>
  <c r="Z398" i="7"/>
  <c r="T398" i="7" l="1"/>
  <c r="R399" i="7" s="1"/>
  <c r="Q399" i="7"/>
  <c r="S399" i="7"/>
  <c r="P399" i="7" l="1"/>
  <c r="AC399" i="7"/>
  <c r="AE399" i="7"/>
  <c r="AD399" i="7"/>
  <c r="X399" i="7" l="1"/>
  <c r="Y399" i="7"/>
  <c r="Z399" i="7"/>
  <c r="AA399" i="7"/>
  <c r="W399" i="7"/>
  <c r="V399" i="7"/>
  <c r="T399" i="7" l="1"/>
  <c r="U399" i="7"/>
  <c r="S400" i="7" l="1"/>
  <c r="Q400" i="7"/>
  <c r="R400" i="7"/>
  <c r="P400" i="7"/>
  <c r="AD400" i="7" l="1"/>
  <c r="X400" i="7" s="1"/>
  <c r="AE400" i="7"/>
  <c r="Z400" i="7" s="1"/>
  <c r="AC400" i="7"/>
  <c r="V400" i="7" s="1"/>
  <c r="T400" i="7" l="1"/>
  <c r="R401" i="7" s="1"/>
  <c r="AA400" i="7"/>
  <c r="W400" i="7"/>
  <c r="Y400" i="7"/>
  <c r="P401" i="7" l="1"/>
  <c r="U400" i="7"/>
  <c r="Q401" i="7" l="1"/>
  <c r="S401" i="7"/>
  <c r="AC401" i="7" l="1"/>
  <c r="V401" i="7" s="1"/>
  <c r="AD401" i="7"/>
  <c r="X401" i="7" s="1"/>
  <c r="AE401" i="7"/>
  <c r="Z401" i="7" s="1"/>
  <c r="AA401" i="7" l="1"/>
  <c r="T401" i="7"/>
  <c r="W401" i="7"/>
  <c r="Y401" i="7"/>
  <c r="R402" i="7" l="1"/>
  <c r="P402" i="7"/>
  <c r="U401" i="7"/>
  <c r="Q402" i="7" l="1"/>
  <c r="AD402" i="7" s="1"/>
  <c r="X402" i="7" s="1"/>
  <c r="S402" i="7"/>
  <c r="AE402" i="7" l="1"/>
  <c r="Z402" i="7" s="1"/>
  <c r="AC402" i="7"/>
  <c r="V402" i="7" s="1"/>
  <c r="Y402" i="7"/>
  <c r="AA402" i="7" l="1"/>
  <c r="W402" i="7"/>
  <c r="T402" i="7"/>
  <c r="U402" i="7" l="1"/>
  <c r="S403" i="7" s="1"/>
  <c r="R403" i="7"/>
  <c r="P403" i="7"/>
  <c r="Q403" i="7"/>
  <c r="AD403" i="7" l="1"/>
  <c r="X403" i="7" s="1"/>
  <c r="AC403" i="7"/>
  <c r="W403" i="7" s="1"/>
  <c r="AE403" i="7"/>
  <c r="Z403" i="7" s="1"/>
  <c r="V403" i="7" l="1"/>
  <c r="T403" i="7" s="1"/>
  <c r="Y403" i="7"/>
  <c r="AA403" i="7"/>
  <c r="U403" i="7" l="1"/>
  <c r="S404" i="7" s="1"/>
  <c r="P404" i="7"/>
  <c r="R404" i="7"/>
  <c r="Q404" i="7" l="1"/>
  <c r="AC404" i="7" s="1"/>
  <c r="AE404" i="7" l="1"/>
  <c r="Z404" i="7" s="1"/>
  <c r="AD404" i="7"/>
  <c r="W404" i="7"/>
  <c r="V404" i="7"/>
  <c r="AA404" i="7"/>
  <c r="Y404" i="7" l="1"/>
  <c r="U404" i="7" s="1"/>
  <c r="S405" i="7" s="1"/>
  <c r="X404" i="7"/>
  <c r="T404" i="7" s="1"/>
  <c r="Q405" i="7" l="1"/>
  <c r="P405" i="7"/>
  <c r="R405" i="7"/>
  <c r="AD405" i="7"/>
  <c r="Y405" i="7" s="1"/>
  <c r="AE405" i="7"/>
  <c r="Z405" i="7" s="1"/>
  <c r="AC405" i="7" l="1"/>
  <c r="V405" i="7" s="1"/>
  <c r="X405" i="7"/>
  <c r="AA405" i="7"/>
  <c r="W405" i="7"/>
  <c r="T405" i="7" l="1"/>
  <c r="U405" i="7"/>
  <c r="Q406" i="7" s="1"/>
  <c r="R406" i="7"/>
  <c r="P406" i="7"/>
  <c r="S406" i="7" l="1"/>
  <c r="AD406" i="7"/>
  <c r="X406" i="7" s="1"/>
  <c r="AE406" i="7"/>
  <c r="Z406" i="7" s="1"/>
  <c r="AC406" i="7"/>
  <c r="V406" i="7" s="1"/>
  <c r="Y406" i="7" l="1"/>
  <c r="AA406" i="7"/>
  <c r="T406" i="7"/>
  <c r="R407" i="7" s="1"/>
  <c r="W406" i="7"/>
  <c r="U406" i="7" s="1"/>
  <c r="P407" i="7"/>
  <c r="S407" i="7" l="1"/>
  <c r="Q407" i="7"/>
  <c r="AD407" i="7" s="1"/>
  <c r="X407" i="7" s="1"/>
  <c r="AC407" i="7" l="1"/>
  <c r="V407" i="7" s="1"/>
  <c r="AE407" i="7"/>
  <c r="AA407" i="7" s="1"/>
  <c r="Y407" i="7"/>
  <c r="Z407" i="7" l="1"/>
  <c r="T407" i="7" s="1"/>
  <c r="W407" i="7"/>
  <c r="U407" i="7" s="1"/>
  <c r="R408" i="7" l="1"/>
  <c r="P408" i="7"/>
  <c r="S408" i="7"/>
  <c r="Q408" i="7"/>
  <c r="AD408" i="7"/>
  <c r="Y408" i="7" s="1"/>
  <c r="AC408" i="7"/>
  <c r="W408" i="7" s="1"/>
  <c r="AE408" i="7" l="1"/>
  <c r="Z408" i="7" s="1"/>
  <c r="X408" i="7"/>
  <c r="V408" i="7"/>
  <c r="AA408" i="7"/>
  <c r="U408" i="7" s="1"/>
  <c r="T408" i="7" l="1"/>
  <c r="P409" i="7" s="1"/>
  <c r="S409" i="7"/>
  <c r="Q409" i="7"/>
  <c r="R409" i="7"/>
  <c r="AE409" i="7" l="1"/>
  <c r="AD409" i="7"/>
  <c r="X409" i="7" s="1"/>
  <c r="AC409" i="7"/>
  <c r="V409" i="7" s="1"/>
  <c r="Z409" i="7"/>
  <c r="Y409" i="7"/>
  <c r="AA409" i="7"/>
  <c r="T409" i="7" l="1"/>
  <c r="R410" i="7" s="1"/>
  <c r="P410" i="7"/>
  <c r="W409" i="7"/>
  <c r="U409" i="7" s="1"/>
  <c r="Q410" i="7" l="1"/>
  <c r="AC410" i="7" s="1"/>
  <c r="V410" i="7" s="1"/>
  <c r="S410" i="7"/>
  <c r="AE410" i="7" l="1"/>
  <c r="Z410" i="7" s="1"/>
  <c r="AD410" i="7"/>
  <c r="W410" i="7"/>
  <c r="AA410" i="7" l="1"/>
  <c r="Y410" i="7"/>
  <c r="X410" i="7"/>
  <c r="T410" i="7" s="1"/>
  <c r="U410" i="7" l="1"/>
  <c r="Q411" i="7"/>
  <c r="S411" i="7"/>
  <c r="P411" i="7"/>
  <c r="R411" i="7"/>
  <c r="AC411" i="7" l="1"/>
  <c r="W411" i="7" s="1"/>
  <c r="AD411" i="7"/>
  <c r="Y411" i="7" s="1"/>
  <c r="AE411" i="7"/>
  <c r="AA411" i="7" s="1"/>
  <c r="U411" i="7" l="1"/>
  <c r="S412" i="7" s="1"/>
  <c r="X411" i="7"/>
  <c r="Z411" i="7"/>
  <c r="V411" i="7"/>
  <c r="Q412" i="7" l="1"/>
  <c r="T411" i="7"/>
  <c r="P412" i="7" s="1"/>
  <c r="AC412" i="7" l="1"/>
  <c r="W412" i="7" s="1"/>
  <c r="AE412" i="7"/>
  <c r="AA412" i="7" s="1"/>
  <c r="AD412" i="7"/>
  <c r="Y412" i="7" s="1"/>
  <c r="R412" i="7"/>
  <c r="V412" i="7" l="1"/>
  <c r="X412" i="7"/>
  <c r="Z412" i="7"/>
  <c r="U412" i="7"/>
  <c r="Q413" i="7" s="1"/>
  <c r="S413" i="7"/>
  <c r="T412" i="7" l="1"/>
  <c r="R413" i="7" s="1"/>
  <c r="P413" i="7"/>
  <c r="AC413" i="7" s="1"/>
  <c r="W413" i="7" s="1"/>
  <c r="AE413" i="7" l="1"/>
  <c r="AA413" i="7" s="1"/>
  <c r="AD413" i="7"/>
  <c r="X413" i="7" s="1"/>
  <c r="V413" i="7"/>
  <c r="Z413" i="7" l="1"/>
  <c r="Y413" i="7"/>
  <c r="U413" i="7" s="1"/>
  <c r="T413" i="7"/>
  <c r="P414" i="7" s="1"/>
  <c r="S414" i="7" l="1"/>
  <c r="Q414" i="7"/>
  <c r="AC414" i="7" s="1"/>
  <c r="W414" i="7" s="1"/>
  <c r="R414" i="7"/>
  <c r="AE414" i="7"/>
  <c r="Z414" i="7" s="1"/>
  <c r="AD414" i="7" l="1"/>
  <c r="Y414" i="7" s="1"/>
  <c r="V414" i="7"/>
  <c r="AA414" i="7"/>
  <c r="U414" i="7" l="1"/>
  <c r="X414" i="7"/>
  <c r="T414" i="7" s="1"/>
  <c r="Q415" i="7"/>
  <c r="S415" i="7"/>
  <c r="P415" i="7" l="1"/>
  <c r="AC415" i="7" s="1"/>
  <c r="V415" i="7" s="1"/>
  <c r="R415" i="7"/>
  <c r="AD415" i="7" l="1"/>
  <c r="X415" i="7" s="1"/>
  <c r="AE415" i="7"/>
  <c r="Z415" i="7" s="1"/>
  <c r="W415" i="7"/>
  <c r="T415" i="7" l="1"/>
  <c r="Y415" i="7"/>
  <c r="AA415" i="7"/>
  <c r="R416" i="7"/>
  <c r="P416" i="7"/>
  <c r="U415" i="7" l="1"/>
  <c r="S416" i="7"/>
  <c r="Q416" i="7"/>
  <c r="AE416" i="7" s="1"/>
  <c r="AD416" i="7"/>
  <c r="Y416" i="7" s="1"/>
  <c r="AC416" i="7"/>
  <c r="W416" i="7" l="1"/>
  <c r="V416" i="7"/>
  <c r="X416" i="7"/>
  <c r="AA416" i="7"/>
  <c r="Z416" i="7"/>
  <c r="T416" i="7" l="1"/>
  <c r="U416" i="7"/>
  <c r="S417" i="7" l="1"/>
  <c r="Q417" i="7"/>
  <c r="R417" i="7"/>
  <c r="P417" i="7"/>
  <c r="AD417" i="7" l="1"/>
  <c r="Y417" i="7" s="1"/>
  <c r="AC417" i="7"/>
  <c r="W417" i="7" s="1"/>
  <c r="AE417" i="7"/>
  <c r="AA417" i="7" s="1"/>
  <c r="X417" i="7" l="1"/>
  <c r="Z417" i="7"/>
  <c r="U417" i="7"/>
  <c r="Q418" i="7" s="1"/>
  <c r="V417" i="7"/>
  <c r="S418" i="7"/>
  <c r="T417" i="7" l="1"/>
  <c r="P418" i="7" s="1"/>
  <c r="R418" i="7" l="1"/>
  <c r="AE418" i="7"/>
  <c r="AA418" i="7" s="1"/>
  <c r="AD418" i="7"/>
  <c r="Y418" i="7" s="1"/>
  <c r="AC418" i="7"/>
  <c r="W418" i="7" s="1"/>
  <c r="Z418" i="7" l="1"/>
  <c r="X418" i="7"/>
  <c r="V418" i="7"/>
  <c r="U418" i="7"/>
  <c r="S419" i="7" l="1"/>
  <c r="Q419" i="7"/>
  <c r="T418" i="7"/>
  <c r="P419" i="7" l="1"/>
  <c r="R419" i="7"/>
  <c r="AD419" i="7" l="1"/>
  <c r="AC419" i="7"/>
  <c r="AE419" i="7"/>
  <c r="V419" i="7" l="1"/>
  <c r="W419" i="7"/>
  <c r="Z419" i="7"/>
  <c r="AA419" i="7"/>
  <c r="X419" i="7"/>
  <c r="Y419" i="7"/>
  <c r="U419" i="7" l="1"/>
  <c r="T419" i="7"/>
  <c r="R420" i="7" l="1"/>
  <c r="P420" i="7"/>
  <c r="Q420" i="7"/>
  <c r="S420" i="7"/>
  <c r="AD420" i="7" l="1"/>
  <c r="Y420" i="7" s="1"/>
  <c r="AE420" i="7"/>
  <c r="AA420" i="7" s="1"/>
  <c r="AC420" i="7"/>
  <c r="W420" i="7" s="1"/>
  <c r="X420" i="7" l="1"/>
  <c r="Z420" i="7"/>
  <c r="U420" i="7"/>
  <c r="S421" i="7" s="1"/>
  <c r="V420" i="7"/>
  <c r="Q421" i="7" l="1"/>
  <c r="T420" i="7"/>
  <c r="P421" i="7" s="1"/>
  <c r="R421" i="7" l="1"/>
  <c r="AC421" i="7"/>
  <c r="W421" i="7" s="1"/>
  <c r="AE421" i="7"/>
  <c r="AA421" i="7" s="1"/>
  <c r="AD421" i="7"/>
  <c r="Y421" i="7" s="1"/>
  <c r="V421" i="7" l="1"/>
  <c r="Z421" i="7"/>
  <c r="X421" i="7"/>
  <c r="U421" i="7"/>
  <c r="T421" i="7" l="1"/>
  <c r="R422" i="7" s="1"/>
  <c r="S422" i="7"/>
  <c r="Q422" i="7"/>
  <c r="P422" i="7" l="1"/>
  <c r="AE422" i="7" s="1"/>
  <c r="AC422" i="7" l="1"/>
  <c r="V422" i="7" s="1"/>
  <c r="AD422" i="7"/>
  <c r="Y422" i="7" s="1"/>
  <c r="AA422" i="7"/>
  <c r="Z422" i="7"/>
  <c r="X422" i="7" l="1"/>
  <c r="T422" i="7" s="1"/>
  <c r="W422" i="7"/>
  <c r="U422" i="7" s="1"/>
  <c r="S423" i="7" s="1"/>
  <c r="P423" i="7" l="1"/>
  <c r="R423" i="7"/>
  <c r="Q423" i="7"/>
  <c r="AD423" i="7" l="1"/>
  <c r="Y423" i="7" s="1"/>
  <c r="AC423" i="7"/>
  <c r="W423" i="7" s="1"/>
  <c r="AE423" i="7"/>
  <c r="AA423" i="7" s="1"/>
  <c r="X423" i="7"/>
  <c r="V423" i="7" l="1"/>
  <c r="U423" i="7"/>
  <c r="Q424" i="7" s="1"/>
  <c r="Z423" i="7"/>
  <c r="S424" i="7"/>
  <c r="T423" i="7" l="1"/>
  <c r="R424" i="7" s="1"/>
  <c r="P424" i="7" l="1"/>
  <c r="AE424" i="7" s="1"/>
  <c r="AA424" i="7" s="1"/>
  <c r="AD424" i="7" l="1"/>
  <c r="Y424" i="7" s="1"/>
  <c r="Z424" i="7"/>
  <c r="AC424" i="7"/>
  <c r="W424" i="7" s="1"/>
  <c r="U424" i="7" s="1"/>
  <c r="X424" i="7"/>
  <c r="V424" i="7" l="1"/>
  <c r="T424" i="7" s="1"/>
  <c r="Q425" i="7"/>
  <c r="S425" i="7"/>
  <c r="P425" i="7"/>
  <c r="R425" i="7"/>
  <c r="AD425" i="7" l="1"/>
  <c r="AC425" i="7"/>
  <c r="W425" i="7" s="1"/>
  <c r="AE425" i="7"/>
  <c r="AA425" i="7" s="1"/>
  <c r="Z425" i="7" l="1"/>
  <c r="V425" i="7"/>
  <c r="X425" i="7"/>
  <c r="Y425" i="7"/>
  <c r="U425" i="7" s="1"/>
  <c r="T425" i="7" l="1"/>
  <c r="R426" i="7" s="1"/>
  <c r="P426" i="7"/>
  <c r="S426" i="7"/>
  <c r="Q426" i="7"/>
  <c r="AE426" i="7" l="1"/>
  <c r="AA426" i="7" s="1"/>
  <c r="AD426" i="7"/>
  <c r="Y426" i="7" s="1"/>
  <c r="AC426" i="7"/>
  <c r="W426" i="7" s="1"/>
  <c r="Z426" i="7" l="1"/>
  <c r="X426" i="7"/>
  <c r="U426" i="7"/>
  <c r="S427" i="7" s="1"/>
  <c r="V426" i="7"/>
  <c r="Q427" i="7" l="1"/>
  <c r="T426" i="7"/>
  <c r="P427" i="7" s="1"/>
  <c r="R427" i="7" l="1"/>
  <c r="AE427" i="7"/>
  <c r="AD427" i="7"/>
  <c r="AC427" i="7"/>
  <c r="X427" i="7" l="1"/>
  <c r="Y427" i="7"/>
  <c r="V427" i="7"/>
  <c r="W427" i="7"/>
  <c r="Z427" i="7"/>
  <c r="AA427" i="7"/>
  <c r="U427" i="7" l="1"/>
  <c r="T427" i="7"/>
  <c r="R428" i="7" l="1"/>
  <c r="P428" i="7"/>
  <c r="S428" i="7"/>
  <c r="Q428" i="7"/>
  <c r="AE428" i="7" l="1"/>
  <c r="Z428" i="7" s="1"/>
  <c r="AD428" i="7"/>
  <c r="X428" i="7" s="1"/>
  <c r="AC428" i="7"/>
  <c r="V428" i="7" s="1"/>
  <c r="T428" i="7" l="1"/>
  <c r="P429" i="7" s="1"/>
  <c r="AA428" i="7"/>
  <c r="Y428" i="7"/>
  <c r="W428" i="7"/>
  <c r="R429" i="7" l="1"/>
  <c r="U428" i="7"/>
  <c r="S429" i="7" s="1"/>
  <c r="Q429" i="7" l="1"/>
  <c r="AD429" i="7" s="1"/>
  <c r="X429" i="7" s="1"/>
  <c r="AE429" i="7" l="1"/>
  <c r="Z429" i="7" s="1"/>
  <c r="AC429" i="7"/>
  <c r="V429" i="7" s="1"/>
  <c r="T429" i="7" s="1"/>
  <c r="Y429" i="7"/>
  <c r="AA429" i="7"/>
  <c r="W429" i="7" l="1"/>
  <c r="U429" i="7" s="1"/>
  <c r="R430" i="7"/>
  <c r="P430" i="7"/>
  <c r="S430" i="7" l="1"/>
  <c r="Q430" i="7"/>
  <c r="AE430" i="7" s="1"/>
  <c r="Z430" i="7" s="1"/>
  <c r="AD430" i="7" l="1"/>
  <c r="X430" i="7" s="1"/>
  <c r="AC430" i="7"/>
  <c r="V430" i="7" s="1"/>
  <c r="AA430" i="7"/>
  <c r="Y430" i="7" l="1"/>
  <c r="T430" i="7"/>
  <c r="P431" i="7" s="1"/>
  <c r="W430" i="7"/>
  <c r="R431" i="7" l="1"/>
  <c r="U430" i="7"/>
  <c r="S431" i="7" s="1"/>
  <c r="Q431" i="7" l="1"/>
  <c r="AE431" i="7" s="1"/>
  <c r="Z431" i="7" s="1"/>
  <c r="AC431" i="7" l="1"/>
  <c r="V431" i="7" s="1"/>
  <c r="AD431" i="7"/>
  <c r="X431" i="7" s="1"/>
  <c r="AA431" i="7"/>
  <c r="W431" i="7" l="1"/>
  <c r="T431" i="7"/>
  <c r="Y431" i="7"/>
  <c r="R432" i="7"/>
  <c r="P432" i="7"/>
  <c r="U431" i="7" l="1"/>
  <c r="S432" i="7"/>
  <c r="Q432" i="7"/>
  <c r="AD432" i="7" l="1"/>
  <c r="X432" i="7" s="1"/>
  <c r="AC432" i="7"/>
  <c r="V432" i="7" s="1"/>
  <c r="AE432" i="7"/>
  <c r="Z432" i="7" s="1"/>
  <c r="T432" i="7" l="1"/>
  <c r="R433" i="7" s="1"/>
  <c r="Y432" i="7"/>
  <c r="P433" i="7"/>
  <c r="AA432" i="7"/>
  <c r="W432" i="7"/>
  <c r="U432" i="7" l="1"/>
  <c r="S433" i="7" s="1"/>
  <c r="Q433" i="7" l="1"/>
  <c r="AE433" i="7" s="1"/>
  <c r="Z433" i="7" s="1"/>
  <c r="AD433" i="7" l="1"/>
  <c r="Y433" i="7" s="1"/>
  <c r="AC433" i="7"/>
  <c r="V433" i="7" s="1"/>
  <c r="AA433" i="7"/>
  <c r="X433" i="7" l="1"/>
  <c r="T433" i="7" s="1"/>
  <c r="W433" i="7"/>
  <c r="U433" i="7" s="1"/>
  <c r="Q434" i="7" s="1"/>
  <c r="R434" i="7"/>
  <c r="P434" i="7"/>
  <c r="S434" i="7" l="1"/>
  <c r="AD434" i="7"/>
  <c r="Y434" i="7" s="1"/>
  <c r="AE434" i="7"/>
  <c r="AA434" i="7" s="1"/>
  <c r="AC434" i="7"/>
  <c r="W434" i="7" s="1"/>
  <c r="Z434" i="7" l="1"/>
  <c r="X434" i="7"/>
  <c r="U434" i="7"/>
  <c r="S435" i="7" s="1"/>
  <c r="V434" i="7"/>
  <c r="Q435" i="7" l="1"/>
  <c r="T434" i="7"/>
  <c r="P435" i="7" s="1"/>
  <c r="R435" i="7" l="1"/>
  <c r="AC435" i="7"/>
  <c r="W435" i="7" s="1"/>
  <c r="AD435" i="7"/>
  <c r="Y435" i="7" s="1"/>
  <c r="AE435" i="7"/>
  <c r="X435" i="7" l="1"/>
  <c r="V435" i="7"/>
  <c r="Z435" i="7"/>
  <c r="AA435" i="7"/>
  <c r="U435" i="7" s="1"/>
  <c r="S436" i="7" l="1"/>
  <c r="Q436" i="7"/>
  <c r="T435" i="7"/>
  <c r="R436" i="7" l="1"/>
  <c r="P436" i="7"/>
  <c r="AE436" i="7" l="1"/>
  <c r="AA436" i="7" s="1"/>
  <c r="AC436" i="7"/>
  <c r="AD436" i="7"/>
  <c r="Y436" i="7" s="1"/>
  <c r="Z436" i="7" l="1"/>
  <c r="X436" i="7"/>
  <c r="V436" i="7"/>
  <c r="W436" i="7"/>
  <c r="U436" i="7" s="1"/>
  <c r="Q437" i="7" l="1"/>
  <c r="S437" i="7"/>
  <c r="T436" i="7"/>
  <c r="R437" i="7" l="1"/>
  <c r="P437" i="7"/>
  <c r="AC437" i="7" l="1"/>
  <c r="W437" i="7" s="1"/>
  <c r="AE437" i="7"/>
  <c r="AA437" i="7" s="1"/>
  <c r="AD437" i="7"/>
  <c r="Y437" i="7" s="1"/>
  <c r="Z437" i="7" l="1"/>
  <c r="V437" i="7"/>
  <c r="X437" i="7"/>
  <c r="U437" i="7"/>
  <c r="T437" i="7" l="1"/>
  <c r="P438" i="7" s="1"/>
  <c r="Q438" i="7"/>
  <c r="S438" i="7"/>
  <c r="R438" i="7" l="1"/>
  <c r="AE438" i="7"/>
  <c r="AA438" i="7" s="1"/>
  <c r="AD438" i="7"/>
  <c r="Y438" i="7" s="1"/>
  <c r="AC438" i="7"/>
  <c r="W438" i="7" s="1"/>
  <c r="X438" i="7" l="1"/>
  <c r="Z438" i="7"/>
  <c r="U438" i="7"/>
  <c r="S439" i="7" s="1"/>
  <c r="V438" i="7"/>
  <c r="Q439" i="7" l="1"/>
  <c r="T438" i="7"/>
  <c r="R439" i="7" s="1"/>
  <c r="P439" i="7" l="1"/>
  <c r="AD439" i="7"/>
  <c r="AE439" i="7"/>
  <c r="AC439" i="7"/>
  <c r="Z439" i="7" l="1"/>
  <c r="AA439" i="7"/>
  <c r="V439" i="7"/>
  <c r="W439" i="7"/>
  <c r="X439" i="7"/>
  <c r="Y439" i="7"/>
  <c r="T439" i="7" l="1"/>
  <c r="R440" i="7" s="1"/>
  <c r="U439" i="7"/>
  <c r="P440" i="7" l="1"/>
  <c r="S440" i="7"/>
  <c r="Q440" i="7"/>
  <c r="AE440" i="7" s="1"/>
  <c r="Z440" i="7" s="1"/>
  <c r="AD440" i="7" l="1"/>
  <c r="X440" i="7" s="1"/>
  <c r="AC440" i="7"/>
  <c r="V440" i="7" s="1"/>
  <c r="AA440" i="7"/>
  <c r="Y440" i="7"/>
  <c r="T440" i="7" l="1"/>
  <c r="W440" i="7"/>
  <c r="U440" i="7" s="1"/>
  <c r="P441" i="7"/>
  <c r="R441" i="7"/>
  <c r="Q441" i="7" l="1"/>
  <c r="AE441" i="7" s="1"/>
  <c r="Z441" i="7" s="1"/>
  <c r="S441" i="7"/>
  <c r="AA441" i="7" l="1"/>
  <c r="AD441" i="7"/>
  <c r="X441" i="7" s="1"/>
  <c r="AC441" i="7"/>
  <c r="V441" i="7" s="1"/>
  <c r="T441" i="7" l="1"/>
  <c r="R442" i="7" s="1"/>
  <c r="W441" i="7"/>
  <c r="Y441" i="7"/>
  <c r="P442" i="7" l="1"/>
  <c r="U441" i="7"/>
  <c r="S442" i="7" l="1"/>
  <c r="Q442" i="7"/>
  <c r="AD442" i="7" l="1"/>
  <c r="AC442" i="7"/>
  <c r="V442" i="7" s="1"/>
  <c r="AE442" i="7"/>
  <c r="Z442" i="7" s="1"/>
  <c r="Y442" i="7" l="1"/>
  <c r="X442" i="7"/>
  <c r="T442" i="7" s="1"/>
  <c r="W442" i="7"/>
  <c r="AA442" i="7"/>
  <c r="U442" i="7" l="1"/>
  <c r="Q443" i="7" s="1"/>
  <c r="P443" i="7"/>
  <c r="R443" i="7"/>
  <c r="S443" i="7" l="1"/>
  <c r="AD443" i="7"/>
  <c r="Y443" i="7" s="1"/>
  <c r="AE443" i="7"/>
  <c r="AA443" i="7" s="1"/>
  <c r="AC443" i="7"/>
  <c r="V443" i="7" s="1"/>
  <c r="X443" i="7" l="1"/>
  <c r="W443" i="7"/>
  <c r="U443" i="7" s="1"/>
  <c r="Z443" i="7"/>
  <c r="T443" i="7" l="1"/>
  <c r="R444" i="7" s="1"/>
  <c r="S444" i="7"/>
  <c r="Q444" i="7"/>
  <c r="P444" i="7" l="1"/>
  <c r="AE444" i="7" s="1"/>
  <c r="Z444" i="7" s="1"/>
  <c r="AD444" i="7" l="1"/>
  <c r="Y444" i="7" s="1"/>
  <c r="AC444" i="7"/>
  <c r="W444" i="7" s="1"/>
  <c r="AA444" i="7"/>
  <c r="V444" i="7" l="1"/>
  <c r="X444" i="7"/>
  <c r="U444" i="7"/>
  <c r="Q445" i="7"/>
  <c r="S445" i="7"/>
  <c r="T444" i="7" l="1"/>
  <c r="R445" i="7" s="1"/>
  <c r="P445" i="7"/>
  <c r="AC445" i="7" s="1"/>
  <c r="AE445" i="7" l="1"/>
  <c r="Z445" i="7" s="1"/>
  <c r="AD445" i="7"/>
  <c r="X445" i="7" s="1"/>
  <c r="T445" i="7" s="1"/>
  <c r="V445" i="7"/>
  <c r="W445" i="7"/>
  <c r="AA445" i="7"/>
  <c r="Y445" i="7" l="1"/>
  <c r="U445" i="7" s="1"/>
  <c r="R446" i="7"/>
  <c r="P446" i="7"/>
  <c r="Q446" i="7" l="1"/>
  <c r="AD446" i="7" s="1"/>
  <c r="Y446" i="7" s="1"/>
  <c r="S446" i="7"/>
  <c r="AE446" i="7" l="1"/>
  <c r="AA446" i="7" s="1"/>
  <c r="AC446" i="7"/>
  <c r="W446" i="7" s="1"/>
  <c r="X446" i="7"/>
  <c r="U446" i="7"/>
  <c r="Q447" i="7" s="1"/>
  <c r="Z446" i="7"/>
  <c r="V446" i="7"/>
  <c r="S447" i="7"/>
  <c r="T446" i="7" l="1"/>
  <c r="R447" i="7" s="1"/>
  <c r="P447" i="7" l="1"/>
  <c r="AC447" i="7" s="1"/>
  <c r="W447" i="7" s="1"/>
  <c r="AE447" i="7" l="1"/>
  <c r="AA447" i="7" s="1"/>
  <c r="AD447" i="7"/>
  <c r="Y447" i="7" s="1"/>
  <c r="V447" i="7"/>
  <c r="Z447" i="7"/>
  <c r="U447" i="7" l="1"/>
  <c r="X447" i="7"/>
  <c r="T447" i="7" s="1"/>
  <c r="R448" i="7" s="1"/>
  <c r="S448" i="7"/>
  <c r="Q448" i="7"/>
  <c r="P448" i="7" l="1"/>
  <c r="AD448" i="7" s="1"/>
  <c r="AE448" i="7" l="1"/>
  <c r="AA448" i="7" s="1"/>
  <c r="Y448" i="7"/>
  <c r="X448" i="7"/>
  <c r="AC448" i="7"/>
  <c r="W448" i="7" s="1"/>
  <c r="Z448" i="7"/>
  <c r="U448" i="7" l="1"/>
  <c r="V448" i="7"/>
  <c r="T448" i="7" s="1"/>
  <c r="Q449" i="7"/>
  <c r="S449" i="7"/>
  <c r="P449" i="7" l="1"/>
  <c r="AD449" i="7" s="1"/>
  <c r="X449" i="7" s="1"/>
  <c r="R449" i="7"/>
  <c r="AE449" i="7" l="1"/>
  <c r="Z449" i="7" s="1"/>
  <c r="AC449" i="7"/>
  <c r="V449" i="7" s="1"/>
  <c r="Y449" i="7"/>
  <c r="AA449" i="7"/>
  <c r="T449" i="7" l="1"/>
  <c r="W449" i="7"/>
  <c r="U449" i="7" s="1"/>
  <c r="Q450" i="7" s="1"/>
  <c r="P450" i="7"/>
  <c r="R450" i="7"/>
  <c r="S450" i="7" l="1"/>
  <c r="AC450" i="7"/>
  <c r="V450" i="7" s="1"/>
  <c r="AE450" i="7"/>
  <c r="Z450" i="7" s="1"/>
  <c r="AD450" i="7"/>
  <c r="X450" i="7" s="1"/>
  <c r="W450" i="7" l="1"/>
  <c r="AA450" i="7"/>
  <c r="Y450" i="7"/>
  <c r="T450" i="7"/>
  <c r="U450" i="7" l="1"/>
  <c r="Q451" i="7" s="1"/>
  <c r="R451" i="7"/>
  <c r="P451" i="7"/>
  <c r="S451" i="7" l="1"/>
  <c r="AC451" i="7"/>
  <c r="AE451" i="7"/>
  <c r="AA451" i="7" s="1"/>
  <c r="AD451" i="7"/>
  <c r="Y451" i="7" s="1"/>
  <c r="Z451" i="7" l="1"/>
  <c r="X451" i="7"/>
  <c r="V451" i="7"/>
  <c r="W451" i="7"/>
  <c r="U451" i="7" s="1"/>
  <c r="T451" i="7" l="1"/>
  <c r="P452" i="7" s="1"/>
  <c r="Q452" i="7"/>
  <c r="S452" i="7"/>
  <c r="R452" i="7" l="1"/>
  <c r="AC452" i="7"/>
  <c r="W452" i="7" s="1"/>
  <c r="AD452" i="7"/>
  <c r="Y452" i="7" s="1"/>
  <c r="AE452" i="7"/>
  <c r="Z452" i="7" s="1"/>
  <c r="V452" i="7" l="1"/>
  <c r="X452" i="7"/>
  <c r="AA452" i="7"/>
  <c r="U452" i="7" s="1"/>
  <c r="T452" i="7" l="1"/>
  <c r="R453" i="7" s="1"/>
  <c r="S453" i="7"/>
  <c r="Q453" i="7"/>
  <c r="P453" i="7" l="1"/>
  <c r="AD453" i="7" s="1"/>
  <c r="Y453" i="7" s="1"/>
  <c r="AC453" i="7" l="1"/>
  <c r="W453" i="7" s="1"/>
  <c r="AE453" i="7"/>
  <c r="AA453" i="7" s="1"/>
  <c r="U453" i="7" s="1"/>
  <c r="X453" i="7"/>
  <c r="V453" i="7"/>
  <c r="Z453" i="7" l="1"/>
  <c r="T453" i="7" s="1"/>
  <c r="P454" i="7" s="1"/>
  <c r="Q454" i="7"/>
  <c r="S454" i="7"/>
  <c r="R454" i="7" l="1"/>
  <c r="AE454" i="7"/>
  <c r="AA454" i="7" s="1"/>
  <c r="AD454" i="7"/>
  <c r="AC454" i="7"/>
  <c r="W454" i="7" s="1"/>
  <c r="Z454" i="7" l="1"/>
  <c r="X454" i="7"/>
  <c r="Y454" i="7"/>
  <c r="U454" i="7" s="1"/>
  <c r="V454" i="7"/>
  <c r="T454" i="7" l="1"/>
  <c r="R455" i="7" s="1"/>
  <c r="P455" i="7"/>
  <c r="Q455" i="7"/>
  <c r="S455" i="7"/>
  <c r="AE455" i="7" l="1"/>
  <c r="AA455" i="7" s="1"/>
  <c r="AC455" i="7"/>
  <c r="W455" i="7" s="1"/>
  <c r="AD455" i="7"/>
  <c r="Y455" i="7" s="1"/>
  <c r="V455" i="7" l="1"/>
  <c r="X455" i="7"/>
  <c r="Z455" i="7"/>
  <c r="U455" i="7"/>
  <c r="T455" i="7" l="1"/>
  <c r="P456" i="7" s="1"/>
  <c r="S456" i="7"/>
  <c r="Q456" i="7"/>
  <c r="R456" i="7" l="1"/>
  <c r="AC456" i="7"/>
  <c r="W456" i="7" s="1"/>
  <c r="AE456" i="7"/>
  <c r="AA456" i="7" s="1"/>
  <c r="AD456" i="7"/>
  <c r="Y456" i="7" s="1"/>
  <c r="X456" i="7" l="1"/>
  <c r="V456" i="7"/>
  <c r="U456" i="7"/>
  <c r="Q457" i="7" s="1"/>
  <c r="Z456" i="7"/>
  <c r="S457" i="7" l="1"/>
  <c r="T456" i="7"/>
  <c r="R457" i="7" s="1"/>
  <c r="P457" i="7" l="1"/>
  <c r="AC457" i="7" s="1"/>
  <c r="AE457" i="7" l="1"/>
  <c r="AA457" i="7" s="1"/>
  <c r="AD457" i="7"/>
  <c r="Y457" i="7" s="1"/>
  <c r="W457" i="7"/>
  <c r="V457" i="7"/>
  <c r="Z457" i="7" l="1"/>
  <c r="X457" i="7"/>
  <c r="U457" i="7"/>
  <c r="Q458" i="7"/>
  <c r="S458" i="7"/>
  <c r="T457" i="7" l="1"/>
  <c r="R458" i="7" s="1"/>
  <c r="P458" i="7"/>
  <c r="AE458" i="7" s="1"/>
  <c r="Z458" i="7" s="1"/>
  <c r="AC458" i="7" l="1"/>
  <c r="V458" i="7" s="1"/>
  <c r="AA458" i="7"/>
  <c r="AD458" i="7"/>
  <c r="W458" i="7" l="1"/>
  <c r="X458" i="7"/>
  <c r="T458" i="7" s="1"/>
  <c r="Y458" i="7"/>
  <c r="U458" i="7" s="1"/>
  <c r="Q459" i="7" l="1"/>
  <c r="S459" i="7"/>
  <c r="R459" i="7"/>
  <c r="P459" i="7"/>
  <c r="AD459" i="7" l="1"/>
  <c r="AE459" i="7"/>
  <c r="AC459" i="7"/>
  <c r="AA459" i="7" l="1"/>
  <c r="Z459" i="7"/>
  <c r="W459" i="7"/>
  <c r="V459" i="7"/>
  <c r="Y459" i="7"/>
  <c r="X459" i="7"/>
  <c r="U459" i="7" l="1"/>
  <c r="T459" i="7"/>
  <c r="R460" i="7" l="1"/>
  <c r="P460" i="7"/>
  <c r="S460" i="7"/>
  <c r="Q460" i="7"/>
  <c r="AD460" i="7" l="1"/>
  <c r="AC460" i="7"/>
  <c r="AE460" i="7"/>
  <c r="Z460" i="7" l="1"/>
  <c r="AA460" i="7"/>
  <c r="V460" i="7"/>
  <c r="W460" i="7"/>
  <c r="X460" i="7"/>
  <c r="Y460" i="7"/>
  <c r="T460" i="7" l="1"/>
  <c r="U460" i="7"/>
  <c r="S461" i="7" l="1"/>
  <c r="Q461" i="7"/>
  <c r="P461" i="7"/>
  <c r="R461" i="7"/>
  <c r="AD461" i="7" l="1"/>
  <c r="AE461" i="7"/>
  <c r="AA461" i="7" s="1"/>
  <c r="AC461" i="7"/>
  <c r="W461" i="7" l="1"/>
  <c r="V461" i="7"/>
  <c r="Z461" i="7"/>
  <c r="X461" i="7"/>
  <c r="Y461" i="7"/>
  <c r="T461" i="7" l="1"/>
  <c r="U461" i="7"/>
  <c r="S462" i="7" l="1"/>
  <c r="Q462" i="7"/>
  <c r="P462" i="7"/>
  <c r="R462" i="7"/>
  <c r="AD462" i="7" l="1"/>
  <c r="X462" i="7" s="1"/>
  <c r="AC462" i="7"/>
  <c r="AE462" i="7"/>
  <c r="Z462" i="7" s="1"/>
  <c r="V462" i="7" l="1"/>
  <c r="T462" i="7" s="1"/>
  <c r="W462" i="7"/>
  <c r="AA462" i="7"/>
  <c r="Y462" i="7"/>
  <c r="U462" i="7" l="1"/>
  <c r="P463" i="7"/>
  <c r="R463" i="7"/>
  <c r="Q463" i="7" l="1"/>
  <c r="AD463" i="7" s="1"/>
  <c r="X463" i="7" s="1"/>
  <c r="S463" i="7"/>
  <c r="AE463" i="7" l="1"/>
  <c r="Z463" i="7" s="1"/>
  <c r="AC463" i="7"/>
  <c r="V463" i="7" s="1"/>
  <c r="Y463" i="7"/>
  <c r="T463" i="7" l="1"/>
  <c r="R464" i="7" s="1"/>
  <c r="AA463" i="7"/>
  <c r="W463" i="7"/>
  <c r="U463" i="7" l="1"/>
  <c r="P464" i="7"/>
  <c r="Q464" i="7"/>
  <c r="S464" i="7"/>
  <c r="AE464" i="7" l="1"/>
  <c r="Z464" i="7" s="1"/>
  <c r="AC464" i="7"/>
  <c r="V464" i="7" s="1"/>
  <c r="AD464" i="7"/>
  <c r="X464" i="7" s="1"/>
  <c r="AA464" i="7" l="1"/>
  <c r="W464" i="7"/>
  <c r="T464" i="7"/>
  <c r="Y464" i="7"/>
  <c r="U464" i="7" l="1"/>
  <c r="S465" i="7" s="1"/>
  <c r="R465" i="7"/>
  <c r="P465" i="7"/>
  <c r="Q465" i="7" l="1"/>
  <c r="AD465" i="7" s="1"/>
  <c r="AE465" i="7" l="1"/>
  <c r="AA465" i="7" s="1"/>
  <c r="AC465" i="7"/>
  <c r="W465" i="7" s="1"/>
  <c r="Y465" i="7"/>
  <c r="X465" i="7"/>
  <c r="Z465" i="7" l="1"/>
  <c r="V465" i="7"/>
  <c r="U465" i="7"/>
  <c r="Q466" i="7" s="1"/>
  <c r="T465" i="7" l="1"/>
  <c r="P466" i="7" s="1"/>
  <c r="AE466" i="7" s="1"/>
  <c r="Z466" i="7" s="1"/>
  <c r="S466" i="7"/>
  <c r="AD466" i="7" l="1"/>
  <c r="Y466" i="7" s="1"/>
  <c r="AC466" i="7"/>
  <c r="V466" i="7" s="1"/>
  <c r="R466" i="7"/>
  <c r="W466" i="7"/>
  <c r="AA466" i="7"/>
  <c r="U466" i="7" s="1"/>
  <c r="S467" i="7" s="1"/>
  <c r="X466" i="7"/>
  <c r="T466" i="7" s="1"/>
  <c r="R467" i="7" s="1"/>
  <c r="Q467" i="7" l="1"/>
  <c r="P467" i="7"/>
  <c r="AD467" i="7" l="1"/>
  <c r="Y467" i="7" s="1"/>
  <c r="AE467" i="7"/>
  <c r="AA467" i="7" s="1"/>
  <c r="AC467" i="7"/>
  <c r="W467" i="7" s="1"/>
  <c r="U467" i="7" l="1"/>
  <c r="Q468" i="7" s="1"/>
  <c r="Z467" i="7"/>
  <c r="X467" i="7"/>
  <c r="V467" i="7"/>
  <c r="S468" i="7" l="1"/>
  <c r="T467" i="7"/>
  <c r="P468" i="7" s="1"/>
  <c r="AD468" i="7" s="1"/>
  <c r="X468" i="7" s="1"/>
  <c r="R468" i="7"/>
  <c r="AE468" i="7"/>
  <c r="AA468" i="7" s="1"/>
  <c r="Y468" i="7" l="1"/>
  <c r="AC468" i="7"/>
  <c r="W468" i="7" s="1"/>
  <c r="Z468" i="7"/>
  <c r="U468" i="7" l="1"/>
  <c r="V468" i="7"/>
  <c r="T468" i="7" s="1"/>
  <c r="R469" i="7" s="1"/>
  <c r="Q469" i="7"/>
  <c r="S469" i="7"/>
  <c r="P469" i="7"/>
  <c r="AE469" i="7" l="1"/>
  <c r="AA469" i="7" s="1"/>
  <c r="AC469" i="7"/>
  <c r="W469" i="7" s="1"/>
  <c r="AD469" i="7"/>
  <c r="Y469" i="7" s="1"/>
  <c r="X469" i="7" l="1"/>
  <c r="U469" i="7"/>
  <c r="V469" i="7"/>
  <c r="Z469" i="7"/>
  <c r="S470" i="7"/>
  <c r="Q470" i="7"/>
  <c r="T469" i="7" l="1"/>
  <c r="R470" i="7" l="1"/>
  <c r="P470" i="7"/>
  <c r="AD470" i="7" l="1"/>
  <c r="AC470" i="7"/>
  <c r="AE470" i="7"/>
  <c r="AA470" i="7" s="1"/>
  <c r="V470" i="7" l="1"/>
  <c r="W470" i="7"/>
  <c r="Z470" i="7"/>
  <c r="X470" i="7"/>
  <c r="Y470" i="7"/>
  <c r="U470" i="7" l="1"/>
  <c r="S471" i="7" s="1"/>
  <c r="T470" i="7"/>
  <c r="Q471" i="7" l="1"/>
  <c r="R471" i="7"/>
  <c r="P471" i="7"/>
  <c r="AD471" i="7" l="1"/>
  <c r="Y471" i="7" s="1"/>
  <c r="AE471" i="7"/>
  <c r="AA471" i="7" s="1"/>
  <c r="AC471" i="7"/>
  <c r="Z471" i="7" l="1"/>
  <c r="X471" i="7"/>
  <c r="V471" i="7"/>
  <c r="W471" i="7"/>
  <c r="U471" i="7" s="1"/>
  <c r="T471" i="7" l="1"/>
  <c r="Q472" i="7"/>
  <c r="S472" i="7"/>
  <c r="R472" i="7"/>
  <c r="P472" i="7"/>
  <c r="AE472" i="7" l="1"/>
  <c r="Z472" i="7" s="1"/>
  <c r="AD472" i="7"/>
  <c r="X472" i="7" s="1"/>
  <c r="AC472" i="7"/>
  <c r="V472" i="7" s="1"/>
  <c r="T472" i="7" l="1"/>
  <c r="P473" i="7" s="1"/>
  <c r="AA472" i="7"/>
  <c r="Y472" i="7"/>
  <c r="W472" i="7"/>
  <c r="R473" i="7" l="1"/>
  <c r="U472" i="7"/>
  <c r="S473" i="7" s="1"/>
  <c r="Q473" i="7" l="1"/>
  <c r="AC473" i="7" s="1"/>
  <c r="V473" i="7" s="1"/>
  <c r="AE473" i="7" l="1"/>
  <c r="Z473" i="7" s="1"/>
  <c r="W473" i="7"/>
  <c r="AD473" i="7"/>
  <c r="X473" i="7" s="1"/>
  <c r="AA473" i="7" l="1"/>
  <c r="T473" i="7"/>
  <c r="R474" i="7" s="1"/>
  <c r="Y473" i="7"/>
  <c r="U473" i="7" s="1"/>
  <c r="P474" i="7"/>
  <c r="Q474" i="7" l="1"/>
  <c r="AE474" i="7" s="1"/>
  <c r="Z474" i="7" s="1"/>
  <c r="S474" i="7"/>
  <c r="AD474" i="7" l="1"/>
  <c r="X474" i="7" s="1"/>
  <c r="AC474" i="7"/>
  <c r="V474" i="7" s="1"/>
  <c r="T474" i="7" s="1"/>
  <c r="AA474" i="7"/>
  <c r="Y474" i="7" l="1"/>
  <c r="W474" i="7"/>
  <c r="P475" i="7"/>
  <c r="R475" i="7"/>
  <c r="U474" i="7" l="1"/>
  <c r="S475" i="7"/>
  <c r="Q475" i="7"/>
  <c r="AC475" i="7" s="1"/>
  <c r="V475" i="7" s="1"/>
  <c r="AE475" i="7" l="1"/>
  <c r="Z475" i="7" s="1"/>
  <c r="W475" i="7"/>
  <c r="AD475" i="7"/>
  <c r="X475" i="7" s="1"/>
  <c r="T475" i="7" l="1"/>
  <c r="R476" i="7" s="1"/>
  <c r="AA475" i="7"/>
  <c r="Y475" i="7"/>
  <c r="U475" i="7" l="1"/>
  <c r="P476" i="7"/>
  <c r="Q476" i="7"/>
  <c r="S476" i="7"/>
  <c r="AD476" i="7" l="1"/>
  <c r="AC476" i="7"/>
  <c r="AE476" i="7"/>
  <c r="Z476" i="7" l="1"/>
  <c r="AA476" i="7"/>
  <c r="V476" i="7"/>
  <c r="W476" i="7"/>
  <c r="X476" i="7"/>
  <c r="Y476" i="7"/>
  <c r="T476" i="7" l="1"/>
  <c r="U476" i="7"/>
  <c r="S477" i="7" l="1"/>
  <c r="Q477" i="7"/>
  <c r="P477" i="7"/>
  <c r="R477" i="7"/>
  <c r="AD477" i="7" l="1"/>
  <c r="Y477" i="7" s="1"/>
  <c r="AC477" i="7"/>
  <c r="W477" i="7" s="1"/>
  <c r="AE477" i="7"/>
  <c r="AA477" i="7" s="1"/>
  <c r="U477" i="7" l="1"/>
  <c r="X477" i="7"/>
  <c r="V477" i="7"/>
  <c r="Z477" i="7"/>
  <c r="T477" i="7" l="1"/>
  <c r="S478" i="7"/>
  <c r="Q478" i="7"/>
  <c r="P478" i="7" l="1"/>
  <c r="R478" i="7"/>
  <c r="AD478" i="7" l="1"/>
  <c r="AE478" i="7"/>
  <c r="AC478" i="7"/>
  <c r="V478" i="7" l="1"/>
  <c r="W478" i="7"/>
  <c r="X478" i="7"/>
  <c r="Y478" i="7"/>
  <c r="Z478" i="7"/>
  <c r="AA478" i="7"/>
  <c r="U478" i="7" l="1"/>
  <c r="S479" i="7" s="1"/>
  <c r="T478" i="7"/>
  <c r="Q479" i="7" l="1"/>
  <c r="R479" i="7"/>
  <c r="P479" i="7"/>
  <c r="AC479" i="7" l="1"/>
  <c r="W479" i="7" s="1"/>
  <c r="AE479" i="7"/>
  <c r="AA479" i="7" s="1"/>
  <c r="AD479" i="7"/>
  <c r="Z479" i="7" l="1"/>
  <c r="V479" i="7"/>
  <c r="X479" i="7"/>
  <c r="Y479" i="7"/>
  <c r="U479" i="7" s="1"/>
  <c r="Q480" i="7" l="1"/>
  <c r="S480" i="7"/>
  <c r="T479" i="7"/>
  <c r="P480" i="7" l="1"/>
  <c r="R480" i="7"/>
  <c r="AD480" i="7" l="1"/>
  <c r="Y480" i="7" s="1"/>
  <c r="AE480" i="7"/>
  <c r="AA480" i="7" s="1"/>
  <c r="AC480" i="7"/>
  <c r="X480" i="7" l="1"/>
  <c r="Z480" i="7"/>
  <c r="V480" i="7"/>
  <c r="W480" i="7"/>
  <c r="U480" i="7" s="1"/>
  <c r="T480" i="7" l="1"/>
  <c r="S481" i="7"/>
  <c r="Q481" i="7"/>
  <c r="R481" i="7"/>
  <c r="P481" i="7"/>
  <c r="AE481" i="7" l="1"/>
  <c r="AA481" i="7" s="1"/>
  <c r="AC481" i="7"/>
  <c r="W481" i="7" s="1"/>
  <c r="AD481" i="7"/>
  <c r="Y481" i="7" s="1"/>
  <c r="V481" i="7" l="1"/>
  <c r="Z481" i="7"/>
  <c r="U481" i="7"/>
  <c r="X481" i="7"/>
  <c r="T481" i="7" l="1"/>
  <c r="P482" i="7" s="1"/>
  <c r="Q482" i="7"/>
  <c r="S482" i="7"/>
  <c r="R482" i="7" l="1"/>
  <c r="AC482" i="7"/>
  <c r="V482" i="7" s="1"/>
  <c r="AD482" i="7"/>
  <c r="X482" i="7" s="1"/>
  <c r="AE482" i="7"/>
  <c r="Z482" i="7" s="1"/>
  <c r="T482" i="7" l="1"/>
  <c r="P483" i="7" s="1"/>
  <c r="AA482" i="7"/>
  <c r="Y482" i="7"/>
  <c r="W482" i="7"/>
  <c r="R483" i="7"/>
  <c r="U482" i="7" l="1"/>
  <c r="S483" i="7" s="1"/>
  <c r="Q483" i="7" l="1"/>
  <c r="AE483" i="7" s="1"/>
  <c r="Z483" i="7" s="1"/>
  <c r="AC483" i="7" l="1"/>
  <c r="V483" i="7" s="1"/>
  <c r="AD483" i="7"/>
  <c r="X483" i="7" s="1"/>
  <c r="AA483" i="7"/>
  <c r="T483" i="7" l="1"/>
  <c r="W483" i="7"/>
  <c r="Y483" i="7"/>
  <c r="R484" i="7"/>
  <c r="P484" i="7"/>
  <c r="U483" i="7" l="1"/>
  <c r="Q484" i="7"/>
  <c r="AE484" i="7" s="1"/>
  <c r="Z484" i="7" s="1"/>
  <c r="S484" i="7"/>
  <c r="AD484" i="7" l="1"/>
  <c r="X484" i="7" s="1"/>
  <c r="AC484" i="7"/>
  <c r="V484" i="7" s="1"/>
  <c r="AA484" i="7"/>
  <c r="Y484" i="7" l="1"/>
  <c r="T484" i="7"/>
  <c r="W484" i="7"/>
  <c r="U484" i="7" s="1"/>
  <c r="Q485" i="7" s="1"/>
  <c r="R485" i="7"/>
  <c r="P485" i="7"/>
  <c r="S485" i="7" l="1"/>
  <c r="AD485" i="7"/>
  <c r="AC485" i="7"/>
  <c r="W485" i="7" s="1"/>
  <c r="AE485" i="7"/>
  <c r="V485" i="7" l="1"/>
  <c r="Z485" i="7"/>
  <c r="AA485" i="7"/>
  <c r="X485" i="7"/>
  <c r="Y485" i="7"/>
  <c r="U485" i="7" l="1"/>
  <c r="Q486" i="7" s="1"/>
  <c r="T485" i="7"/>
  <c r="R486" i="7" s="1"/>
  <c r="S486" i="7" l="1"/>
  <c r="P486" i="7"/>
  <c r="AC486" i="7" s="1"/>
  <c r="V486" i="7" s="1"/>
  <c r="AD486" i="7" l="1"/>
  <c r="X486" i="7" s="1"/>
  <c r="AE486" i="7"/>
  <c r="Z486" i="7" s="1"/>
  <c r="W486" i="7"/>
  <c r="T486" i="7" l="1"/>
  <c r="Y486" i="7"/>
  <c r="P487" i="7"/>
  <c r="R487" i="7"/>
  <c r="AA486" i="7"/>
  <c r="U486" i="7" s="1"/>
  <c r="S487" i="7" l="1"/>
  <c r="Q487" i="7"/>
  <c r="AD487" i="7" l="1"/>
  <c r="X487" i="7" s="1"/>
  <c r="AE487" i="7"/>
  <c r="Z487" i="7" s="1"/>
  <c r="AC487" i="7"/>
  <c r="V487" i="7" s="1"/>
  <c r="T487" i="7" l="1"/>
  <c r="Y487" i="7"/>
  <c r="AA487" i="7"/>
  <c r="W487" i="7"/>
  <c r="U487" i="7" l="1"/>
  <c r="S488" i="7" s="1"/>
  <c r="R488" i="7"/>
  <c r="P488" i="7"/>
  <c r="Q488" i="7" l="1"/>
  <c r="AD488" i="7" s="1"/>
  <c r="X488" i="7" s="1"/>
  <c r="AC488" i="7" l="1"/>
  <c r="V488" i="7" s="1"/>
  <c r="AE488" i="7"/>
  <c r="Z488" i="7" s="1"/>
  <c r="Y488" i="7"/>
  <c r="T488" i="7" l="1"/>
  <c r="R489" i="7"/>
  <c r="P489" i="7"/>
  <c r="W488" i="7"/>
  <c r="AA488" i="7"/>
  <c r="U488" i="7" l="1"/>
  <c r="Q489" i="7"/>
  <c r="S489" i="7"/>
  <c r="AD489" i="7"/>
  <c r="X489" i="7" s="1"/>
  <c r="AE489" i="7"/>
  <c r="Z489" i="7" s="1"/>
  <c r="AC489" i="7"/>
  <c r="V489" i="7" s="1"/>
  <c r="Y489" i="7" l="1"/>
  <c r="AA489" i="7"/>
  <c r="T489" i="7"/>
  <c r="R490" i="7" s="1"/>
  <c r="W489" i="7"/>
  <c r="P490" i="7" l="1"/>
  <c r="U489" i="7"/>
  <c r="Q490" i="7" s="1"/>
  <c r="AE490" i="7" l="1"/>
  <c r="Z490" i="7" s="1"/>
  <c r="S490" i="7"/>
  <c r="AC490" i="7"/>
  <c r="V490" i="7" s="1"/>
  <c r="AA490" i="7"/>
  <c r="AD490" i="7"/>
  <c r="X490" i="7" s="1"/>
  <c r="T490" i="7" l="1"/>
  <c r="W490" i="7"/>
  <c r="R491" i="7"/>
  <c r="P491" i="7"/>
  <c r="Y490" i="7"/>
  <c r="U490" i="7" s="1"/>
  <c r="Q491" i="7" l="1"/>
  <c r="AC491" i="7" s="1"/>
  <c r="W491" i="7" s="1"/>
  <c r="S491" i="7"/>
  <c r="AD491" i="7" l="1"/>
  <c r="X491" i="7" s="1"/>
  <c r="AE491" i="7"/>
  <c r="Z491" i="7" s="1"/>
  <c r="V491" i="7"/>
  <c r="Y491" i="7" l="1"/>
  <c r="AA491" i="7"/>
  <c r="T491" i="7"/>
  <c r="R492" i="7" s="1"/>
  <c r="P492" i="7" l="1"/>
  <c r="U491" i="7"/>
  <c r="Q492" i="7" s="1"/>
  <c r="S492" i="7" l="1"/>
  <c r="AE492" i="7"/>
  <c r="Z492" i="7" s="1"/>
  <c r="AC492" i="7"/>
  <c r="V492" i="7" s="1"/>
  <c r="AD492" i="7"/>
  <c r="X492" i="7" s="1"/>
  <c r="AA492" i="7" l="1"/>
  <c r="W492" i="7"/>
  <c r="Y492" i="7"/>
  <c r="T492" i="7"/>
  <c r="U492" i="7" l="1"/>
  <c r="Q493" i="7" s="1"/>
  <c r="P493" i="7"/>
  <c r="R493" i="7"/>
  <c r="S493" i="7" l="1"/>
  <c r="AE493" i="7"/>
  <c r="AA493" i="7" s="1"/>
  <c r="AD493" i="7"/>
  <c r="Y493" i="7" s="1"/>
  <c r="AC493" i="7"/>
  <c r="W493" i="7" s="1"/>
  <c r="X493" i="7" l="1"/>
  <c r="V493" i="7"/>
  <c r="Z493" i="7"/>
  <c r="U493" i="7"/>
  <c r="T493" i="7" l="1"/>
  <c r="P494" i="7" s="1"/>
  <c r="Q494" i="7"/>
  <c r="S494" i="7"/>
  <c r="R494" i="7"/>
  <c r="AD494" i="7" l="1"/>
  <c r="Y494" i="7" s="1"/>
  <c r="AE494" i="7"/>
  <c r="AA494" i="7" s="1"/>
  <c r="AC494" i="7"/>
  <c r="X494" i="7" l="1"/>
  <c r="W494" i="7"/>
  <c r="U494" i="7" s="1"/>
  <c r="V494" i="7"/>
  <c r="Z494" i="7"/>
  <c r="T494" i="7" l="1"/>
  <c r="R495" i="7" s="1"/>
  <c r="Q495" i="7"/>
  <c r="S495" i="7"/>
  <c r="P495" i="7" l="1"/>
  <c r="AE495" i="7" s="1"/>
  <c r="AC495" i="7" l="1"/>
  <c r="W495" i="7" s="1"/>
  <c r="AD495" i="7"/>
  <c r="Y495" i="7" s="1"/>
  <c r="AA495" i="7"/>
  <c r="Z495" i="7"/>
  <c r="V495" i="7" l="1"/>
  <c r="X495" i="7"/>
  <c r="U495" i="7"/>
  <c r="T495" i="7" l="1"/>
  <c r="S496" i="7"/>
  <c r="Q496" i="7"/>
  <c r="P496" i="7"/>
  <c r="R496" i="7"/>
  <c r="AC496" i="7" l="1"/>
  <c r="W496" i="7" s="1"/>
  <c r="AE496" i="7"/>
  <c r="AA496" i="7" s="1"/>
  <c r="AD496" i="7"/>
  <c r="Y496" i="7" s="1"/>
  <c r="V496" i="7" l="1"/>
  <c r="X496" i="7"/>
  <c r="Z496" i="7"/>
  <c r="U496" i="7"/>
  <c r="T496" i="7" l="1"/>
  <c r="R497" i="7" s="1"/>
  <c r="Q497" i="7"/>
  <c r="S497" i="7"/>
  <c r="P497" i="7" l="1"/>
  <c r="AC497" i="7" s="1"/>
  <c r="W497" i="7" s="1"/>
  <c r="AD497" i="7"/>
  <c r="Y497" i="7" s="1"/>
  <c r="AE497" i="7"/>
  <c r="AA497" i="7" s="1"/>
  <c r="V497" i="7" l="1"/>
  <c r="X497" i="7"/>
  <c r="Z497" i="7"/>
  <c r="U497" i="7"/>
  <c r="T497" i="7" l="1"/>
  <c r="R498" i="7" s="1"/>
  <c r="Q498" i="7"/>
  <c r="S498" i="7"/>
  <c r="P498" i="7" l="1"/>
  <c r="AC498" i="7" s="1"/>
  <c r="V498" i="7" s="1"/>
  <c r="AE498" i="7" l="1"/>
  <c r="Z498" i="7" s="1"/>
  <c r="AD498" i="7"/>
  <c r="X498" i="7" s="1"/>
  <c r="W498" i="7"/>
  <c r="T498" i="7" l="1"/>
  <c r="AA498" i="7"/>
  <c r="Y498" i="7"/>
  <c r="P499" i="7"/>
  <c r="R499" i="7"/>
  <c r="U498" i="7" l="1"/>
  <c r="Q499" i="7" s="1"/>
  <c r="AC499" i="7" s="1"/>
  <c r="W499" i="7" s="1"/>
  <c r="AD499" i="7"/>
  <c r="Y499" i="7" s="1"/>
  <c r="AE499" i="7"/>
  <c r="AA499" i="7" s="1"/>
  <c r="S499" i="7" l="1"/>
  <c r="V499" i="7"/>
  <c r="U499" i="7"/>
  <c r="Z499" i="7"/>
  <c r="X499" i="7"/>
  <c r="T499" i="7" l="1"/>
  <c r="R500" i="7" s="1"/>
  <c r="P500" i="7"/>
  <c r="S500" i="7"/>
  <c r="Q500" i="7"/>
  <c r="AC500" i="7" l="1"/>
  <c r="V500" i="7" s="1"/>
  <c r="AE500" i="7"/>
  <c r="Z500" i="7" s="1"/>
  <c r="AD500" i="7"/>
  <c r="X500" i="7" s="1"/>
  <c r="AA500" i="7" l="1"/>
  <c r="W500" i="7"/>
  <c r="Y500" i="7"/>
  <c r="T500" i="7"/>
  <c r="U500" i="7" l="1"/>
  <c r="S501" i="7" s="1"/>
  <c r="R501" i="7"/>
  <c r="P501" i="7"/>
  <c r="Q501" i="7"/>
  <c r="AE501" i="7" l="1"/>
  <c r="Z501" i="7" s="1"/>
  <c r="AC501" i="7"/>
  <c r="W501" i="7" s="1"/>
  <c r="AD501" i="7"/>
  <c r="X501" i="7" s="1"/>
  <c r="V501" i="7" l="1"/>
  <c r="AA501" i="7"/>
  <c r="Y501" i="7"/>
  <c r="T501" i="7"/>
  <c r="U501" i="7" l="1"/>
  <c r="Q502" i="7" s="1"/>
  <c r="R502" i="7"/>
  <c r="P502" i="7"/>
  <c r="S502" i="7" l="1"/>
  <c r="AC502" i="7"/>
  <c r="V502" i="7" s="1"/>
  <c r="AE502" i="7"/>
  <c r="AD502" i="7"/>
  <c r="X502" i="7" s="1"/>
  <c r="W502" i="7" l="1"/>
  <c r="Y502" i="7"/>
  <c r="Z502" i="7"/>
  <c r="T502" i="7" s="1"/>
  <c r="AA502" i="7"/>
  <c r="U502" i="7" l="1"/>
  <c r="S503" i="7" s="1"/>
  <c r="P503" i="7"/>
  <c r="R503" i="7"/>
  <c r="Q503" i="7" l="1"/>
  <c r="AD503" i="7" s="1"/>
  <c r="AC503" i="7" l="1"/>
  <c r="AE503" i="7"/>
  <c r="V503" i="7"/>
  <c r="W503" i="7"/>
  <c r="Z503" i="7"/>
  <c r="AA503" i="7"/>
  <c r="X503" i="7"/>
  <c r="Y503" i="7"/>
  <c r="U503" i="7" l="1"/>
  <c r="T503" i="7"/>
  <c r="P504" i="7" l="1"/>
  <c r="R504" i="7"/>
  <c r="Q504" i="7"/>
  <c r="S504" i="7"/>
  <c r="AD504" i="7" l="1"/>
  <c r="X504" i="7" s="1"/>
  <c r="AC504" i="7"/>
  <c r="V504" i="7" s="1"/>
  <c r="AE504" i="7"/>
  <c r="Z504" i="7" s="1"/>
  <c r="T504" i="7" l="1"/>
  <c r="AA504" i="7"/>
  <c r="W504" i="7"/>
  <c r="Y504" i="7"/>
  <c r="U504" i="7" l="1"/>
  <c r="R505" i="7"/>
  <c r="P505" i="7"/>
  <c r="S505" i="7" l="1"/>
  <c r="Q505" i="7"/>
  <c r="AE505" i="7" s="1"/>
  <c r="Z505" i="7" s="1"/>
  <c r="AA505" i="7" l="1"/>
  <c r="AC505" i="7"/>
  <c r="V505" i="7" s="1"/>
  <c r="AD505" i="7"/>
  <c r="X505" i="7" s="1"/>
  <c r="Y505" i="7" l="1"/>
  <c r="W505" i="7"/>
  <c r="T505" i="7"/>
  <c r="U505" i="7" l="1"/>
  <c r="S506" i="7" s="1"/>
  <c r="R506" i="7"/>
  <c r="P506" i="7"/>
  <c r="Q506" i="7" l="1"/>
  <c r="AE506" i="7" s="1"/>
  <c r="Z506" i="7" s="1"/>
  <c r="AC506" i="7" l="1"/>
  <c r="V506" i="7" s="1"/>
  <c r="AD506" i="7"/>
  <c r="X506" i="7" s="1"/>
  <c r="AA506" i="7"/>
  <c r="W506" i="7" l="1"/>
  <c r="T506" i="7"/>
  <c r="Y506" i="7"/>
  <c r="R507" i="7"/>
  <c r="P507" i="7"/>
  <c r="U506" i="7" l="1"/>
  <c r="S507" i="7" s="1"/>
  <c r="Q507" i="7"/>
  <c r="AD507" i="7" s="1"/>
  <c r="AC507" i="7"/>
  <c r="V507" i="7" s="1"/>
  <c r="AE507" i="7" l="1"/>
  <c r="Z507" i="7" s="1"/>
  <c r="X507" i="7"/>
  <c r="T507" i="7" s="1"/>
  <c r="Y507" i="7"/>
  <c r="AA507" i="7"/>
  <c r="W507" i="7"/>
  <c r="R508" i="7" l="1"/>
  <c r="P508" i="7"/>
  <c r="U507" i="7"/>
  <c r="Q508" i="7" l="1"/>
  <c r="S508" i="7"/>
  <c r="AE508" i="7" l="1"/>
  <c r="AC508" i="7"/>
  <c r="AD508" i="7"/>
  <c r="Y508" i="7" l="1"/>
  <c r="X508" i="7"/>
  <c r="W508" i="7"/>
  <c r="V508" i="7"/>
  <c r="Z508" i="7"/>
  <c r="AA508" i="7"/>
  <c r="U508" i="7" l="1"/>
  <c r="S509" i="7" s="1"/>
  <c r="Q509" i="7"/>
  <c r="T508" i="7"/>
  <c r="P509" i="7" l="1"/>
  <c r="R509" i="7"/>
  <c r="AD509" i="7" l="1"/>
  <c r="Y509" i="7" s="1"/>
  <c r="AE509" i="7"/>
  <c r="AA509" i="7" s="1"/>
  <c r="AC509" i="7"/>
  <c r="W509" i="7" s="1"/>
  <c r="X509" i="7" l="1"/>
  <c r="V509" i="7"/>
  <c r="Z509" i="7"/>
  <c r="U509" i="7"/>
  <c r="T509" i="7" l="1"/>
  <c r="R510" i="7" s="1"/>
  <c r="Q510" i="7"/>
  <c r="S510" i="7"/>
  <c r="P510" i="7" l="1"/>
  <c r="AC510" i="7" s="1"/>
  <c r="W510" i="7" s="1"/>
  <c r="AD510" i="7" l="1"/>
  <c r="AE510" i="7"/>
  <c r="AA510" i="7" s="1"/>
  <c r="V510" i="7"/>
  <c r="Y510" i="7"/>
  <c r="U510" i="7" s="1"/>
  <c r="X510" i="7"/>
  <c r="Z510" i="7" l="1"/>
  <c r="T510" i="7"/>
  <c r="P511" i="7" s="1"/>
  <c r="S511" i="7"/>
  <c r="Q511" i="7"/>
  <c r="R511" i="7" l="1"/>
  <c r="AC511" i="7"/>
  <c r="W511" i="7" s="1"/>
  <c r="AD511" i="7"/>
  <c r="AE511" i="7"/>
  <c r="V511" i="7" l="1"/>
  <c r="Y511" i="7"/>
  <c r="X511" i="7"/>
  <c r="AA511" i="7"/>
  <c r="Z511" i="7"/>
  <c r="U511" i="7" l="1"/>
  <c r="S512" i="7" s="1"/>
  <c r="T511" i="7"/>
  <c r="Q512" i="7" l="1"/>
  <c r="R512" i="7"/>
  <c r="P512" i="7"/>
  <c r="AE512" i="7" l="1"/>
  <c r="AD512" i="7"/>
  <c r="AC512" i="7"/>
  <c r="V512" i="7" l="1"/>
  <c r="W512" i="7"/>
  <c r="X512" i="7"/>
  <c r="Y512" i="7"/>
  <c r="Z512" i="7"/>
  <c r="AA512" i="7"/>
  <c r="U512" i="7" l="1"/>
  <c r="T512" i="7"/>
  <c r="P513" i="7" l="1"/>
  <c r="R513" i="7"/>
  <c r="Q513" i="7"/>
  <c r="S513" i="7"/>
  <c r="AE513" i="7" l="1"/>
  <c r="Z513" i="7" s="1"/>
  <c r="AC513" i="7"/>
  <c r="V513" i="7" s="1"/>
  <c r="AD513" i="7"/>
  <c r="X513" i="7" s="1"/>
  <c r="W513" i="7" l="1"/>
  <c r="AA513" i="7"/>
  <c r="T513" i="7"/>
  <c r="Y513" i="7"/>
  <c r="R514" i="7" l="1"/>
  <c r="P514" i="7"/>
  <c r="U513" i="7"/>
  <c r="S514" i="7" l="1"/>
  <c r="Q514" i="7"/>
  <c r="AE514" i="7" s="1"/>
  <c r="Z514" i="7" s="1"/>
  <c r="AC514" i="7" l="1"/>
  <c r="V514" i="7" s="1"/>
  <c r="AD514" i="7"/>
  <c r="X514" i="7" s="1"/>
  <c r="AA514" i="7"/>
  <c r="W514" i="7" l="1"/>
  <c r="T514" i="7"/>
  <c r="R515" i="7" s="1"/>
  <c r="Y514" i="7"/>
  <c r="P515" i="7"/>
  <c r="U514" i="7" l="1"/>
  <c r="S515" i="7" s="1"/>
  <c r="Q515" i="7"/>
  <c r="AC515" i="7" l="1"/>
  <c r="AE515" i="7"/>
  <c r="AD515" i="7"/>
  <c r="AA515" i="7" l="1"/>
  <c r="Z515" i="7"/>
  <c r="W515" i="7"/>
  <c r="V515" i="7"/>
  <c r="Y515" i="7"/>
  <c r="X515" i="7"/>
  <c r="U515" i="7" l="1"/>
  <c r="T515" i="7"/>
  <c r="R516" i="7" l="1"/>
  <c r="P516" i="7"/>
  <c r="Q516" i="7"/>
  <c r="S516" i="7"/>
  <c r="AE516" i="7" l="1"/>
  <c r="AA516" i="7" s="1"/>
  <c r="AD516" i="7"/>
  <c r="Y516" i="7" s="1"/>
  <c r="AC516" i="7"/>
  <c r="W516" i="7" s="1"/>
  <c r="U516" i="7" l="1"/>
  <c r="X516" i="7"/>
  <c r="V516" i="7"/>
  <c r="Z516" i="7"/>
  <c r="T516" i="7" l="1"/>
  <c r="P517" i="7" s="1"/>
  <c r="S517" i="7"/>
  <c r="Q517" i="7"/>
  <c r="R517" i="7" l="1"/>
  <c r="AD517" i="7"/>
  <c r="X517" i="7" s="1"/>
  <c r="AE517" i="7"/>
  <c r="Z517" i="7" s="1"/>
  <c r="AC517" i="7"/>
  <c r="V517" i="7" s="1"/>
  <c r="T517" i="7" l="1"/>
  <c r="R518" i="7" s="1"/>
  <c r="Y517" i="7"/>
  <c r="AA517" i="7"/>
  <c r="W517" i="7"/>
  <c r="P518" i="7" l="1"/>
  <c r="U517" i="7"/>
  <c r="S518" i="7" s="1"/>
  <c r="Q518" i="7" l="1"/>
  <c r="AE518" i="7" s="1"/>
  <c r="Z518" i="7" s="1"/>
  <c r="AD518" i="7" l="1"/>
  <c r="X518" i="7" s="1"/>
  <c r="AA518" i="7"/>
  <c r="AC518" i="7"/>
  <c r="V518" i="7" s="1"/>
  <c r="T518" i="7" s="1"/>
  <c r="Y518" i="7"/>
  <c r="R519" i="7" l="1"/>
  <c r="P519" i="7"/>
  <c r="W518" i="7"/>
  <c r="U518" i="7" s="1"/>
  <c r="S519" i="7" s="1"/>
  <c r="Q519" i="7" l="1"/>
  <c r="AE519" i="7" s="1"/>
  <c r="Z519" i="7" s="1"/>
  <c r="AC519" i="7" l="1"/>
  <c r="V519" i="7" s="1"/>
  <c r="AD519" i="7"/>
  <c r="X519" i="7" s="1"/>
  <c r="AA519" i="7"/>
  <c r="W519" i="7" l="1"/>
  <c r="T519" i="7"/>
  <c r="R520" i="7" s="1"/>
  <c r="P520" i="7"/>
  <c r="Y519" i="7"/>
  <c r="U519" i="7" s="1"/>
  <c r="S520" i="7" l="1"/>
  <c r="Q520" i="7"/>
  <c r="AD520" i="7" s="1"/>
  <c r="X520" i="7" s="1"/>
  <c r="AC520" i="7" l="1"/>
  <c r="V520" i="7" s="1"/>
  <c r="AE520" i="7"/>
  <c r="Z520" i="7" s="1"/>
  <c r="Y520" i="7"/>
  <c r="W520" i="7" l="1"/>
  <c r="T520" i="7"/>
  <c r="R521" i="7" s="1"/>
  <c r="P521" i="7"/>
  <c r="AA520" i="7"/>
  <c r="U520" i="7" s="1"/>
  <c r="S521" i="7" l="1"/>
  <c r="Q521" i="7"/>
  <c r="AD521" i="7" l="1"/>
  <c r="AC521" i="7"/>
  <c r="V521" i="7" s="1"/>
  <c r="AE521" i="7"/>
  <c r="W521" i="7" l="1"/>
  <c r="Z521" i="7"/>
  <c r="AA521" i="7"/>
  <c r="Y521" i="7"/>
  <c r="X521" i="7"/>
  <c r="T521" i="7" s="1"/>
  <c r="U521" i="7" l="1"/>
  <c r="Q522" i="7"/>
  <c r="S522" i="7"/>
  <c r="R522" i="7"/>
  <c r="P522" i="7"/>
  <c r="AE522" i="7" l="1"/>
  <c r="AC522" i="7"/>
  <c r="V522" i="7" s="1"/>
  <c r="AD522" i="7"/>
  <c r="W522" i="7" l="1"/>
  <c r="X522" i="7"/>
  <c r="Y522" i="7"/>
  <c r="Z522" i="7"/>
  <c r="AA522" i="7"/>
  <c r="T522" i="7" l="1"/>
  <c r="R523" i="7" s="1"/>
  <c r="U522" i="7"/>
  <c r="P523" i="7" l="1"/>
  <c r="S523" i="7"/>
  <c r="Q523" i="7"/>
  <c r="AC523" i="7" s="1"/>
  <c r="V523" i="7" s="1"/>
  <c r="AE523" i="7" l="1"/>
  <c r="Z523" i="7" s="1"/>
  <c r="AD523" i="7"/>
  <c r="X523" i="7" s="1"/>
  <c r="W523" i="7"/>
  <c r="T523" i="7" l="1"/>
  <c r="AA523" i="7"/>
  <c r="Y523" i="7"/>
  <c r="R524" i="7"/>
  <c r="P524" i="7"/>
  <c r="U523" i="7" l="1"/>
  <c r="S524" i="7" s="1"/>
  <c r="Q524" i="7"/>
  <c r="AE524" i="7" l="1"/>
  <c r="Z524" i="7" s="1"/>
  <c r="AD524" i="7"/>
  <c r="AC524" i="7"/>
  <c r="V524" i="7" s="1"/>
  <c r="AA524" i="7" l="1"/>
  <c r="W524" i="7"/>
  <c r="Y524" i="7"/>
  <c r="X524" i="7"/>
  <c r="T524" i="7" s="1"/>
  <c r="R525" i="7" l="1"/>
  <c r="P525" i="7"/>
  <c r="U524" i="7"/>
  <c r="S525" i="7" l="1"/>
  <c r="Q525" i="7"/>
  <c r="AC525" i="7" s="1"/>
  <c r="V525" i="7" s="1"/>
  <c r="AE525" i="7" l="1"/>
  <c r="Z525" i="7" s="1"/>
  <c r="AD525" i="7"/>
  <c r="X525" i="7" s="1"/>
  <c r="W525" i="7"/>
  <c r="T525" i="7" l="1"/>
  <c r="AA525" i="7"/>
  <c r="Y525" i="7"/>
  <c r="R526" i="7"/>
  <c r="P526" i="7"/>
  <c r="U525" i="7" l="1"/>
  <c r="Q526" i="7" l="1"/>
  <c r="S526" i="7"/>
  <c r="AC526" i="7" l="1"/>
  <c r="V526" i="7" s="1"/>
  <c r="AD526" i="7"/>
  <c r="AE526" i="7"/>
  <c r="W526" i="7" l="1"/>
  <c r="AA526" i="7"/>
  <c r="Z526" i="7"/>
  <c r="Y526" i="7"/>
  <c r="X526" i="7"/>
  <c r="U526" i="7" l="1"/>
  <c r="S527" i="7" s="1"/>
  <c r="T526" i="7"/>
  <c r="R527" i="7" s="1"/>
  <c r="Q527" i="7"/>
  <c r="P527" i="7" l="1"/>
  <c r="AC527" i="7" s="1"/>
  <c r="W527" i="7" s="1"/>
  <c r="AD527" i="7" l="1"/>
  <c r="Y527" i="7" s="1"/>
  <c r="AE527" i="7"/>
  <c r="AA527" i="7" s="1"/>
  <c r="U527" i="7" s="1"/>
  <c r="V527" i="7"/>
  <c r="X527" i="7" l="1"/>
  <c r="Z527" i="7"/>
  <c r="T527" i="7" s="1"/>
  <c r="Q528" i="7"/>
  <c r="S528" i="7"/>
  <c r="P528" i="7" l="1"/>
  <c r="R528" i="7"/>
  <c r="AC528" i="7" l="1"/>
  <c r="W528" i="7" s="1"/>
  <c r="AD528" i="7"/>
  <c r="Y528" i="7" s="1"/>
  <c r="AE528" i="7"/>
  <c r="AA528" i="7" s="1"/>
  <c r="X528" i="7" l="1"/>
  <c r="V528" i="7"/>
  <c r="Z528" i="7"/>
  <c r="U528" i="7"/>
  <c r="T528" i="7" l="1"/>
  <c r="R529" i="7" s="1"/>
  <c r="P529" i="7"/>
  <c r="S529" i="7"/>
  <c r="Q529" i="7"/>
  <c r="AC529" i="7" l="1"/>
  <c r="V529" i="7" s="1"/>
  <c r="AE529" i="7"/>
  <c r="Z529" i="7" s="1"/>
  <c r="AD529" i="7"/>
  <c r="X529" i="7" s="1"/>
  <c r="AA529" i="7" l="1"/>
  <c r="T529" i="7"/>
  <c r="W529" i="7"/>
  <c r="Y529" i="7"/>
  <c r="U529" i="7" l="1"/>
  <c r="P530" i="7"/>
  <c r="R530" i="7"/>
  <c r="S530" i="7" l="1"/>
  <c r="Q530" i="7"/>
  <c r="AD530" i="7" l="1"/>
  <c r="X530" i="7" s="1"/>
  <c r="AE530" i="7"/>
  <c r="Z530" i="7" s="1"/>
  <c r="AC530" i="7"/>
  <c r="V530" i="7" s="1"/>
  <c r="AA530" i="7" l="1"/>
  <c r="T530" i="7"/>
  <c r="W530" i="7"/>
  <c r="Y530" i="7"/>
  <c r="U530" i="7" l="1"/>
  <c r="R531" i="7"/>
  <c r="P531" i="7"/>
  <c r="Q531" i="7" l="1"/>
  <c r="AE531" i="7" s="1"/>
  <c r="Z531" i="7" s="1"/>
  <c r="S531" i="7"/>
  <c r="AC531" i="7" l="1"/>
  <c r="V531" i="7" s="1"/>
  <c r="AA531" i="7"/>
  <c r="AD531" i="7"/>
  <c r="X531" i="7" s="1"/>
  <c r="T531" i="7" l="1"/>
  <c r="P532" i="7" s="1"/>
  <c r="W531" i="7"/>
  <c r="Y531" i="7"/>
  <c r="R532" i="7" l="1"/>
  <c r="U531" i="7"/>
  <c r="Q532" i="7" l="1"/>
  <c r="S532" i="7"/>
  <c r="AD532" i="7" l="1"/>
  <c r="AE532" i="7"/>
  <c r="AC532" i="7"/>
  <c r="W532" i="7" l="1"/>
  <c r="V532" i="7"/>
  <c r="Y532" i="7"/>
  <c r="X532" i="7"/>
  <c r="AA532" i="7"/>
  <c r="Z532" i="7"/>
  <c r="T532" i="7" l="1"/>
  <c r="U532" i="7"/>
  <c r="S533" i="7" l="1"/>
  <c r="Q533" i="7"/>
  <c r="R533" i="7"/>
  <c r="P533" i="7"/>
  <c r="AC533" i="7" l="1"/>
  <c r="W533" i="7" s="1"/>
  <c r="AD533" i="7"/>
  <c r="Y533" i="7" s="1"/>
  <c r="AE533" i="7"/>
  <c r="AA533" i="7" s="1"/>
  <c r="X533" i="7" l="1"/>
  <c r="V533" i="7"/>
  <c r="Z533" i="7"/>
  <c r="U533" i="7"/>
  <c r="T533" i="7" l="1"/>
  <c r="R534" i="7"/>
  <c r="P534" i="7"/>
  <c r="S534" i="7"/>
  <c r="Q534" i="7"/>
  <c r="AE534" i="7" l="1"/>
  <c r="AA534" i="7" s="1"/>
  <c r="AD534" i="7"/>
  <c r="X534" i="7" s="1"/>
  <c r="AC534" i="7"/>
  <c r="V534" i="7" s="1"/>
  <c r="Y534" i="7" l="1"/>
  <c r="Z534" i="7"/>
  <c r="T534" i="7" s="1"/>
  <c r="W534" i="7"/>
  <c r="R535" i="7" l="1"/>
  <c r="P535" i="7"/>
  <c r="U534" i="7"/>
  <c r="Q535" i="7" l="1"/>
  <c r="AC535" i="7" s="1"/>
  <c r="V535" i="7" s="1"/>
  <c r="S535" i="7"/>
  <c r="AD535" i="7" l="1"/>
  <c r="X535" i="7" s="1"/>
  <c r="AE535" i="7"/>
  <c r="Z535" i="7" s="1"/>
  <c r="W535" i="7"/>
  <c r="Y535" i="7"/>
  <c r="T535" i="7" l="1"/>
  <c r="AA535" i="7"/>
  <c r="U535" i="7" s="1"/>
  <c r="P536" i="7"/>
  <c r="R536" i="7"/>
  <c r="Q536" i="7" l="1"/>
  <c r="AC536" i="7" s="1"/>
  <c r="V536" i="7" s="1"/>
  <c r="S536" i="7"/>
  <c r="AE536" i="7" l="1"/>
  <c r="Z536" i="7" s="1"/>
  <c r="AD536" i="7"/>
  <c r="X536" i="7" s="1"/>
  <c r="W536" i="7"/>
  <c r="T536" i="7" l="1"/>
  <c r="AA536" i="7"/>
  <c r="Y536" i="7"/>
  <c r="U536" i="7" s="1"/>
  <c r="R537" i="7"/>
  <c r="P537" i="7"/>
  <c r="S537" i="7" l="1"/>
  <c r="Q537" i="7"/>
  <c r="AD537" i="7" s="1"/>
  <c r="X537" i="7" s="1"/>
  <c r="Y537" i="7" l="1"/>
  <c r="AC537" i="7"/>
  <c r="V537" i="7" s="1"/>
  <c r="AE537" i="7"/>
  <c r="Z537" i="7" s="1"/>
  <c r="T537" i="7" l="1"/>
  <c r="AA537" i="7"/>
  <c r="W537" i="7"/>
  <c r="U537" i="7" l="1"/>
  <c r="P538" i="7"/>
  <c r="R538" i="7"/>
  <c r="S538" i="7" l="1"/>
  <c r="Q538" i="7"/>
  <c r="AD538" i="7" l="1"/>
  <c r="X538" i="7" s="1"/>
  <c r="AE538" i="7"/>
  <c r="Z538" i="7" s="1"/>
  <c r="AC538" i="7"/>
  <c r="V538" i="7" s="1"/>
  <c r="AA538" i="7" l="1"/>
  <c r="Y538" i="7"/>
  <c r="T538" i="7"/>
  <c r="W538" i="7"/>
  <c r="U538" i="7" l="1"/>
  <c r="R539" i="7"/>
  <c r="P539" i="7"/>
  <c r="S539" i="7" l="1"/>
  <c r="Q539" i="7"/>
  <c r="AE539" i="7" s="1"/>
  <c r="AA539" i="7" l="1"/>
  <c r="Z539" i="7"/>
  <c r="AD539" i="7"/>
  <c r="AC539" i="7"/>
  <c r="Y539" i="7" l="1"/>
  <c r="X539" i="7"/>
  <c r="W539" i="7"/>
  <c r="U539" i="7" s="1"/>
  <c r="V539" i="7"/>
  <c r="T539" i="7" l="1"/>
  <c r="R540" i="7" s="1"/>
  <c r="S540" i="7"/>
  <c r="Q540" i="7"/>
  <c r="P540" i="7"/>
  <c r="AE540" i="7" l="1"/>
  <c r="AA540" i="7" s="1"/>
  <c r="AC540" i="7"/>
  <c r="W540" i="7" s="1"/>
  <c r="AD540" i="7"/>
  <c r="Y540" i="7" s="1"/>
  <c r="X540" i="7" l="1"/>
  <c r="U540" i="7"/>
  <c r="Q541" i="7" s="1"/>
  <c r="V540" i="7"/>
  <c r="Z540" i="7"/>
  <c r="S541" i="7" l="1"/>
  <c r="T540" i="7"/>
  <c r="P541" i="7" l="1"/>
  <c r="R541" i="7"/>
  <c r="AE541" i="7" l="1"/>
  <c r="AA541" i="7" s="1"/>
  <c r="AC541" i="7"/>
  <c r="W541" i="7" s="1"/>
  <c r="AD541" i="7"/>
  <c r="Y541" i="7" s="1"/>
  <c r="Z541" i="7" l="1"/>
  <c r="X541" i="7"/>
  <c r="U541" i="7"/>
  <c r="Q542" i="7" s="1"/>
  <c r="V541" i="7"/>
  <c r="S542" i="7"/>
  <c r="T541" i="7" l="1"/>
  <c r="R542" i="7" s="1"/>
  <c r="P542" i="7" l="1"/>
  <c r="AE542" i="7" s="1"/>
  <c r="AA542" i="7" s="1"/>
  <c r="AC542" i="7"/>
  <c r="W542" i="7" s="1"/>
  <c r="AD542" i="7" l="1"/>
  <c r="Y542" i="7" s="1"/>
  <c r="U542" i="7" s="1"/>
  <c r="Z542" i="7"/>
  <c r="V542" i="7"/>
  <c r="X542" i="7" l="1"/>
  <c r="Q543" i="7"/>
  <c r="S543" i="7"/>
  <c r="T542" i="7"/>
  <c r="R543" i="7" s="1"/>
  <c r="P543" i="7" l="1"/>
  <c r="AD543" i="7" s="1"/>
  <c r="Y543" i="7" s="1"/>
  <c r="AE543" i="7" l="1"/>
  <c r="AA543" i="7" s="1"/>
  <c r="AC543" i="7"/>
  <c r="W543" i="7" s="1"/>
  <c r="X543" i="7"/>
  <c r="U543" i="7" l="1"/>
  <c r="Z543" i="7"/>
  <c r="V543" i="7"/>
  <c r="T543" i="7" s="1"/>
  <c r="Q544" i="7"/>
  <c r="S544" i="7"/>
  <c r="P544" i="7" l="1"/>
  <c r="AE544" i="7" s="1"/>
  <c r="R544" i="7"/>
  <c r="AC544" i="7"/>
  <c r="W544" i="7" s="1"/>
  <c r="AA544" i="7" l="1"/>
  <c r="Z544" i="7"/>
  <c r="AD544" i="7"/>
  <c r="V544" i="7"/>
  <c r="Y544" i="7" l="1"/>
  <c r="U544" i="7" s="1"/>
  <c r="X544" i="7"/>
  <c r="T544" i="7" s="1"/>
  <c r="P545" i="7" l="1"/>
  <c r="R545" i="7"/>
  <c r="S545" i="7"/>
  <c r="Q545" i="7"/>
  <c r="AC545" i="7"/>
  <c r="W545" i="7" s="1"/>
  <c r="AE545" i="7"/>
  <c r="AA545" i="7" s="1"/>
  <c r="AD545" i="7"/>
  <c r="Y545" i="7" s="1"/>
  <c r="V545" i="7" l="1"/>
  <c r="Z545" i="7"/>
  <c r="X545" i="7"/>
  <c r="U545" i="7"/>
  <c r="S546" i="7" l="1"/>
  <c r="Q546" i="7"/>
  <c r="T545" i="7"/>
  <c r="R546" i="7" l="1"/>
  <c r="P546" i="7"/>
  <c r="AE546" i="7" l="1"/>
  <c r="AA546" i="7" s="1"/>
  <c r="AD546" i="7"/>
  <c r="Y546" i="7" s="1"/>
  <c r="AC546" i="7"/>
  <c r="W546" i="7" s="1"/>
  <c r="V546" i="7" l="1"/>
  <c r="Z546" i="7"/>
  <c r="U546" i="7"/>
  <c r="X546" i="7"/>
  <c r="T546" i="7" l="1"/>
  <c r="R547" i="7" s="1"/>
  <c r="Q547" i="7"/>
  <c r="S547" i="7"/>
  <c r="P547" i="7" l="1"/>
  <c r="AE547" i="7" s="1"/>
  <c r="AA547" i="7" s="1"/>
  <c r="AC547" i="7"/>
  <c r="W547" i="7" s="1"/>
  <c r="AD547" i="7" l="1"/>
  <c r="Y547" i="7" s="1"/>
  <c r="U547" i="7" s="1"/>
  <c r="Z547" i="7"/>
  <c r="X547" i="7"/>
  <c r="V547" i="7"/>
  <c r="T547" i="7" l="1"/>
  <c r="P548" i="7" s="1"/>
  <c r="R548" i="7"/>
  <c r="S548" i="7"/>
  <c r="Q548" i="7"/>
  <c r="AD548" i="7" l="1"/>
  <c r="Y548" i="7" s="1"/>
  <c r="AE548" i="7"/>
  <c r="AA548" i="7" s="1"/>
  <c r="AC548" i="7"/>
  <c r="W548" i="7" s="1"/>
  <c r="X548" i="7"/>
  <c r="V548" i="7" l="1"/>
  <c r="Z548" i="7"/>
  <c r="U548" i="7"/>
  <c r="T548" i="7" l="1"/>
  <c r="R549" i="7"/>
  <c r="P549" i="7"/>
  <c r="S549" i="7"/>
  <c r="Q549" i="7"/>
  <c r="AE549" i="7" l="1"/>
  <c r="AA549" i="7" s="1"/>
  <c r="AD549" i="7"/>
  <c r="Y549" i="7" s="1"/>
  <c r="AC549" i="7"/>
  <c r="W549" i="7" s="1"/>
  <c r="X549" i="7" l="1"/>
  <c r="U549" i="7"/>
  <c r="Z549" i="7"/>
  <c r="V549" i="7"/>
  <c r="T549" i="7" l="1"/>
  <c r="P550" i="7" s="1"/>
  <c r="Q550" i="7"/>
  <c r="S550" i="7"/>
  <c r="R550" i="7" l="1"/>
  <c r="AE550" i="7"/>
  <c r="AA550" i="7" s="1"/>
  <c r="AD550" i="7"/>
  <c r="Y550" i="7" s="1"/>
  <c r="AC550" i="7"/>
  <c r="W550" i="7" s="1"/>
  <c r="X550" i="7" l="1"/>
  <c r="U550" i="7"/>
  <c r="S551" i="7" s="1"/>
  <c r="V550" i="7"/>
  <c r="Z550" i="7"/>
  <c r="Q551" i="7" l="1"/>
  <c r="T550" i="7"/>
  <c r="P551" i="7" s="1"/>
  <c r="R551" i="7" l="1"/>
  <c r="AC551" i="7"/>
  <c r="W551" i="7" s="1"/>
  <c r="AE551" i="7"/>
  <c r="AA551" i="7" s="1"/>
  <c r="AD551" i="7"/>
  <c r="Y551" i="7" s="1"/>
  <c r="V551" i="7" l="1"/>
  <c r="Z551" i="7"/>
  <c r="X551" i="7"/>
  <c r="U551" i="7"/>
  <c r="T551" i="7" l="1"/>
  <c r="R552" i="7" s="1"/>
  <c r="P552" i="7"/>
  <c r="S552" i="7"/>
  <c r="Q552" i="7"/>
  <c r="AE552" i="7" l="1"/>
  <c r="AA552" i="7" s="1"/>
  <c r="AD552" i="7"/>
  <c r="Y552" i="7" s="1"/>
  <c r="AC552" i="7"/>
  <c r="W552" i="7" s="1"/>
  <c r="Z552" i="7" l="1"/>
  <c r="X552" i="7"/>
  <c r="V552" i="7"/>
  <c r="U552" i="7"/>
  <c r="S553" i="7" s="1"/>
  <c r="T552" i="7" l="1"/>
  <c r="R553" i="7" s="1"/>
  <c r="Q553" i="7"/>
  <c r="P553" i="7"/>
  <c r="AE553" i="7" s="1"/>
  <c r="AA553" i="7" s="1"/>
  <c r="AD553" i="7" l="1"/>
  <c r="Y553" i="7" s="1"/>
  <c r="AC553" i="7"/>
  <c r="W553" i="7" s="1"/>
  <c r="Z553" i="7"/>
  <c r="X553" i="7" l="1"/>
  <c r="U553" i="7"/>
  <c r="V553" i="7"/>
  <c r="S554" i="7"/>
  <c r="Q554" i="7"/>
  <c r="T553" i="7" l="1"/>
  <c r="R554" i="7"/>
  <c r="P554" i="7"/>
  <c r="AC554" i="7" s="1"/>
  <c r="W554" i="7" s="1"/>
  <c r="AE554" i="7" l="1"/>
  <c r="AA554" i="7" s="1"/>
  <c r="AD554" i="7"/>
  <c r="Y554" i="7" s="1"/>
  <c r="U554" i="7" s="1"/>
  <c r="Z554" i="7"/>
  <c r="V554" i="7"/>
  <c r="X554" i="7" l="1"/>
  <c r="T554" i="7" s="1"/>
  <c r="P555" i="7" s="1"/>
  <c r="Q555" i="7"/>
  <c r="S555" i="7"/>
  <c r="R555" i="7" l="1"/>
  <c r="AD555" i="7"/>
  <c r="Y555" i="7" s="1"/>
  <c r="AE555" i="7"/>
  <c r="AA555" i="7" s="1"/>
  <c r="AC555" i="7"/>
  <c r="W555" i="7" s="1"/>
  <c r="V555" i="7" l="1"/>
  <c r="X555" i="7"/>
  <c r="Z555" i="7"/>
  <c r="U555" i="7"/>
  <c r="S556" i="7" l="1"/>
  <c r="Q556" i="7"/>
  <c r="T555" i="7"/>
  <c r="R556" i="7" l="1"/>
  <c r="P556" i="7"/>
  <c r="AD556" i="7" l="1"/>
  <c r="Y556" i="7" s="1"/>
  <c r="AC556" i="7"/>
  <c r="W556" i="7" s="1"/>
  <c r="AE556" i="7"/>
  <c r="AA556" i="7" s="1"/>
  <c r="X556" i="7" l="1"/>
  <c r="U556" i="7"/>
  <c r="Z556" i="7"/>
  <c r="V556" i="7"/>
  <c r="Q557" i="7"/>
  <c r="S557" i="7"/>
  <c r="T556" i="7" l="1"/>
  <c r="R557" i="7" s="1"/>
  <c r="P557" i="7" l="1"/>
  <c r="AC557" i="7"/>
  <c r="W557" i="7" s="1"/>
  <c r="AE557" i="7"/>
  <c r="AA557" i="7" s="1"/>
  <c r="AD557" i="7"/>
  <c r="Y557" i="7" s="1"/>
  <c r="V557" i="7"/>
  <c r="X557" i="7" l="1"/>
  <c r="Z557" i="7"/>
  <c r="U557" i="7"/>
  <c r="T557" i="7" l="1"/>
  <c r="R558" i="7" s="1"/>
  <c r="S558" i="7"/>
  <c r="Q558" i="7"/>
  <c r="P558" i="7" l="1"/>
  <c r="AC558" i="7" s="1"/>
  <c r="W558" i="7" s="1"/>
  <c r="AE558" i="7" l="1"/>
  <c r="AA558" i="7" s="1"/>
  <c r="AD558" i="7"/>
  <c r="Y558" i="7" s="1"/>
  <c r="U558" i="7" s="1"/>
  <c r="V558" i="7"/>
  <c r="Z558" i="7"/>
  <c r="X558" i="7"/>
  <c r="S559" i="7" l="1"/>
  <c r="Q559" i="7"/>
  <c r="T558" i="7"/>
  <c r="P559" i="7" l="1"/>
  <c r="R559" i="7"/>
  <c r="AE559" i="7" l="1"/>
  <c r="AC559" i="7"/>
  <c r="AD559" i="7"/>
  <c r="V559" i="7" l="1"/>
  <c r="W559" i="7"/>
  <c r="Z559" i="7"/>
  <c r="AA559" i="7"/>
  <c r="X559" i="7"/>
  <c r="Y559" i="7"/>
  <c r="T559" i="7" l="1"/>
  <c r="R560" i="7"/>
  <c r="P560" i="7"/>
  <c r="U559" i="7"/>
  <c r="S560" i="7" l="1"/>
  <c r="Q560" i="7"/>
  <c r="AE560" i="7" s="1"/>
  <c r="Z560" i="7" s="1"/>
  <c r="AC560" i="7" l="1"/>
  <c r="W560" i="7" s="1"/>
  <c r="AD560" i="7"/>
  <c r="X560" i="7" s="1"/>
  <c r="AA560" i="7"/>
  <c r="Y560" i="7" l="1"/>
  <c r="U560" i="7" s="1"/>
  <c r="V560" i="7"/>
  <c r="T560" i="7" s="1"/>
  <c r="S561" i="7" l="1"/>
  <c r="Q561" i="7"/>
  <c r="R561" i="7"/>
  <c r="P561" i="7"/>
  <c r="AE561" i="7" s="1"/>
  <c r="AA561" i="7" s="1"/>
  <c r="AD561" i="7"/>
  <c r="X561" i="7" s="1"/>
  <c r="AC561" i="7"/>
  <c r="V561" i="7" s="1"/>
  <c r="Y561" i="7" l="1"/>
  <c r="W561" i="7"/>
  <c r="U561" i="7" s="1"/>
  <c r="Z561" i="7"/>
  <c r="T561" i="7" s="1"/>
  <c r="R562" i="7" l="1"/>
  <c r="P562" i="7"/>
  <c r="Q562" i="7"/>
  <c r="S562" i="7"/>
  <c r="AE562" i="7" l="1"/>
  <c r="AA562" i="7" s="1"/>
  <c r="AD562" i="7"/>
  <c r="Y562" i="7" s="1"/>
  <c r="AC562" i="7"/>
  <c r="W562" i="7" s="1"/>
  <c r="Z562" i="7" l="1"/>
  <c r="V562" i="7"/>
  <c r="X562" i="7"/>
  <c r="U562" i="7"/>
  <c r="Q563" i="7" s="1"/>
  <c r="T562" i="7" l="1"/>
  <c r="R563" i="7" s="1"/>
  <c r="S563" i="7"/>
  <c r="P563" i="7"/>
  <c r="AD563" i="7" s="1"/>
  <c r="Y563" i="7" s="1"/>
  <c r="AC563" i="7" l="1"/>
  <c r="W563" i="7" s="1"/>
  <c r="AE563" i="7"/>
  <c r="AA563" i="7" s="1"/>
  <c r="X563" i="7"/>
  <c r="V563" i="7" l="1"/>
  <c r="U563" i="7"/>
  <c r="S564" i="7" s="1"/>
  <c r="Z563" i="7"/>
  <c r="T563" i="7" s="1"/>
  <c r="Q564" i="7" l="1"/>
  <c r="R564" i="7"/>
  <c r="P564" i="7"/>
  <c r="AC564" i="7" l="1"/>
  <c r="W564" i="7" s="1"/>
  <c r="AD564" i="7"/>
  <c r="Y564" i="7" s="1"/>
  <c r="AE564" i="7"/>
  <c r="AA564" i="7" s="1"/>
  <c r="V564" i="7" l="1"/>
  <c r="X564" i="7"/>
  <c r="U564" i="7"/>
  <c r="S565" i="7" s="1"/>
  <c r="Z564" i="7"/>
  <c r="Q565" i="7"/>
  <c r="T564" i="7" l="1"/>
  <c r="P565" i="7" s="1"/>
  <c r="R565" i="7" l="1"/>
  <c r="AD565" i="7"/>
  <c r="Y565" i="7" s="1"/>
  <c r="AC565" i="7"/>
  <c r="W565" i="7" s="1"/>
  <c r="AE565" i="7"/>
  <c r="AA565" i="7" s="1"/>
  <c r="X565" i="7" l="1"/>
  <c r="V565" i="7"/>
  <c r="Z565" i="7"/>
  <c r="U565" i="7"/>
  <c r="S566" i="7" s="1"/>
  <c r="Q566" i="7" l="1"/>
  <c r="T565" i="7"/>
  <c r="R566" i="7" s="1"/>
  <c r="P566" i="7" l="1"/>
  <c r="AD566" i="7"/>
  <c r="Y566" i="7" s="1"/>
  <c r="AE566" i="7"/>
  <c r="AA566" i="7" s="1"/>
  <c r="AC566" i="7"/>
  <c r="W566" i="7" s="1"/>
  <c r="X566" i="7" l="1"/>
  <c r="V566" i="7"/>
  <c r="Z566" i="7"/>
  <c r="U566" i="7"/>
  <c r="S567" i="7" s="1"/>
  <c r="Q567" i="7" l="1"/>
  <c r="T566" i="7"/>
  <c r="R567" i="7" s="1"/>
  <c r="P567" i="7" l="1"/>
  <c r="AD567" i="7" l="1"/>
  <c r="Y567" i="7" s="1"/>
  <c r="AC567" i="7"/>
  <c r="W567" i="7" s="1"/>
  <c r="AE567" i="7"/>
  <c r="X567" i="7" l="1"/>
  <c r="Z567" i="7"/>
  <c r="AA567" i="7"/>
  <c r="U567" i="7" s="1"/>
  <c r="V567" i="7"/>
  <c r="T567" i="7" s="1"/>
  <c r="S568" i="7" l="1"/>
  <c r="Q568" i="7"/>
  <c r="P568" i="7"/>
  <c r="R568" i="7"/>
  <c r="AC568" i="7" l="1"/>
  <c r="AE568" i="7"/>
  <c r="AD568" i="7"/>
  <c r="X568" i="7" s="1"/>
  <c r="Y568" i="7" l="1"/>
  <c r="AA568" i="7"/>
  <c r="Z568" i="7"/>
  <c r="W568" i="7"/>
  <c r="U568" i="7" s="1"/>
  <c r="V568" i="7"/>
  <c r="T568" i="7" l="1"/>
  <c r="Q569" i="7"/>
  <c r="S569" i="7"/>
  <c r="R569" i="7"/>
  <c r="P569" i="7"/>
  <c r="AD569" i="7" l="1"/>
  <c r="AC569" i="7"/>
  <c r="W569" i="7" s="1"/>
  <c r="AE569" i="7"/>
  <c r="AA569" i="7" l="1"/>
  <c r="Z569" i="7"/>
  <c r="Y569" i="7"/>
  <c r="X569" i="7"/>
  <c r="V569" i="7"/>
  <c r="U569" i="7" l="1"/>
  <c r="S570" i="7" s="1"/>
  <c r="Q570" i="7"/>
  <c r="T569" i="7"/>
  <c r="R570" i="7" l="1"/>
  <c r="P570" i="7"/>
  <c r="AE570" i="7" l="1"/>
  <c r="AA570" i="7" s="1"/>
  <c r="AC570" i="7"/>
  <c r="W570" i="7" s="1"/>
  <c r="AD570" i="7"/>
  <c r="Y570" i="7" s="1"/>
  <c r="V570" i="7" l="1"/>
  <c r="X570" i="7"/>
  <c r="U570" i="7"/>
  <c r="Q571" i="7" s="1"/>
  <c r="Z570" i="7"/>
  <c r="S571" i="7"/>
  <c r="T570" i="7" l="1"/>
  <c r="P571" i="7" s="1"/>
  <c r="R571" i="7" l="1"/>
  <c r="AC571" i="7"/>
  <c r="W571" i="7" s="1"/>
  <c r="AD571" i="7"/>
  <c r="Y571" i="7" s="1"/>
  <c r="AE571" i="7"/>
  <c r="AA571" i="7" s="1"/>
  <c r="V571" i="7"/>
  <c r="X571" i="7" l="1"/>
  <c r="Z571" i="7"/>
  <c r="T571" i="7" s="1"/>
  <c r="U571" i="7"/>
  <c r="R572" i="7" l="1"/>
  <c r="P572" i="7"/>
  <c r="S572" i="7"/>
  <c r="Q572" i="7"/>
  <c r="AC572" i="7" l="1"/>
  <c r="AE572" i="7"/>
  <c r="AD572" i="7"/>
  <c r="AA572" i="7" l="1"/>
  <c r="Z572" i="7"/>
  <c r="X572" i="7"/>
  <c r="Y572" i="7"/>
  <c r="W572" i="7"/>
  <c r="V572" i="7"/>
  <c r="U572" i="7" l="1"/>
  <c r="T572" i="7"/>
  <c r="S573" i="7"/>
  <c r="Q573" i="7"/>
  <c r="R573" i="7" l="1"/>
  <c r="P573" i="7"/>
  <c r="AE573" i="7" l="1"/>
  <c r="AC573" i="7"/>
  <c r="AD573" i="7"/>
  <c r="V573" i="7" l="1"/>
  <c r="W573" i="7"/>
  <c r="X573" i="7"/>
  <c r="Y573" i="7"/>
  <c r="Z573" i="7"/>
  <c r="AA573" i="7"/>
  <c r="U573" i="7" l="1"/>
  <c r="Q574" i="7" s="1"/>
  <c r="T573" i="7"/>
  <c r="R574" i="7" s="1"/>
  <c r="P574" i="7"/>
  <c r="S574" i="7" l="1"/>
  <c r="AE574" i="7"/>
  <c r="Z574" i="7" s="1"/>
  <c r="AC574" i="7"/>
  <c r="V574" i="7" s="1"/>
  <c r="AD574" i="7"/>
  <c r="X574" i="7" s="1"/>
  <c r="W574" i="7" l="1"/>
  <c r="AA574" i="7"/>
  <c r="Y574" i="7"/>
  <c r="T574" i="7"/>
  <c r="U574" i="7" l="1"/>
  <c r="S575" i="7"/>
  <c r="Q575" i="7"/>
  <c r="P575" i="7"/>
  <c r="R575" i="7"/>
  <c r="AD575" i="7" l="1"/>
  <c r="AE575" i="7"/>
  <c r="AC575" i="7"/>
  <c r="V575" i="7" l="1"/>
  <c r="W575" i="7"/>
  <c r="Z575" i="7"/>
  <c r="AA575" i="7"/>
  <c r="X575" i="7"/>
  <c r="Y575" i="7"/>
  <c r="U575" i="7" l="1"/>
  <c r="T575" i="7"/>
  <c r="P576" i="7" l="1"/>
  <c r="R576" i="7"/>
  <c r="S576" i="7"/>
  <c r="Q576" i="7"/>
  <c r="AC576" i="7" l="1"/>
  <c r="W576" i="7" s="1"/>
  <c r="AD576" i="7"/>
  <c r="X576" i="7" s="1"/>
  <c r="AE576" i="7"/>
  <c r="AA576" i="7" s="1"/>
  <c r="V576" i="7" l="1"/>
  <c r="Z576" i="7"/>
  <c r="Y576" i="7"/>
  <c r="U576" i="7" s="1"/>
  <c r="T576" i="7" l="1"/>
  <c r="P577" i="7"/>
  <c r="R577" i="7"/>
  <c r="Q577" i="7"/>
  <c r="S577" i="7"/>
  <c r="AE577" i="7" l="1"/>
  <c r="Z577" i="7" s="1"/>
  <c r="AC577" i="7"/>
  <c r="AD577" i="7"/>
  <c r="Y577" i="7" l="1"/>
  <c r="X577" i="7"/>
  <c r="W577" i="7"/>
  <c r="V577" i="7"/>
  <c r="T577" i="7" s="1"/>
  <c r="AA577" i="7"/>
  <c r="P578" i="7" l="1"/>
  <c r="R578" i="7"/>
  <c r="U577" i="7"/>
  <c r="S578" i="7" l="1"/>
  <c r="Q578" i="7"/>
  <c r="AC578" i="7" s="1"/>
  <c r="AE578" i="7" l="1"/>
  <c r="AA578" i="7" s="1"/>
  <c r="AD578" i="7"/>
  <c r="W578" i="7"/>
  <c r="V578" i="7"/>
  <c r="Z578" i="7" l="1"/>
  <c r="Y578" i="7"/>
  <c r="U578" i="7" s="1"/>
  <c r="X578" i="7"/>
  <c r="T578" i="7" l="1"/>
  <c r="R579" i="7" s="1"/>
  <c r="P579" i="7"/>
  <c r="Q579" i="7"/>
  <c r="S579" i="7"/>
  <c r="AD579" i="7" l="1"/>
  <c r="Y579" i="7" s="1"/>
  <c r="AE579" i="7"/>
  <c r="AC579" i="7"/>
  <c r="V579" i="7" s="1"/>
  <c r="X579" i="7" l="1"/>
  <c r="W579" i="7"/>
  <c r="AA579" i="7"/>
  <c r="Z579" i="7"/>
  <c r="T579" i="7" s="1"/>
  <c r="U579" i="7" l="1"/>
  <c r="S580" i="7" s="1"/>
  <c r="P580" i="7"/>
  <c r="R580" i="7"/>
  <c r="Q580" i="7" l="1"/>
  <c r="AD580" i="7" s="1"/>
  <c r="AC580" i="7"/>
  <c r="W580" i="7" s="1"/>
  <c r="Y580" i="7" l="1"/>
  <c r="X580" i="7"/>
  <c r="AE580" i="7"/>
  <c r="AA580" i="7" s="1"/>
  <c r="U580" i="7" s="1"/>
  <c r="V580" i="7"/>
  <c r="Z580" i="7" l="1"/>
  <c r="T580" i="7" s="1"/>
  <c r="R581" i="7" s="1"/>
  <c r="S581" i="7"/>
  <c r="Q581" i="7"/>
  <c r="P581" i="7" l="1"/>
  <c r="AD581" i="7" s="1"/>
  <c r="AC581" i="7"/>
  <c r="W581" i="7" s="1"/>
  <c r="AE581" i="7"/>
  <c r="Y581" i="7" l="1"/>
  <c r="X581" i="7"/>
  <c r="V581" i="7"/>
  <c r="AA581" i="7"/>
  <c r="U581" i="7" s="1"/>
  <c r="Z581" i="7"/>
  <c r="T581" i="7" l="1"/>
  <c r="P582" i="7"/>
  <c r="R582" i="7"/>
  <c r="S582" i="7"/>
  <c r="Q582" i="7"/>
  <c r="AC582" i="7" l="1"/>
  <c r="AE582" i="7"/>
  <c r="AD582" i="7"/>
  <c r="Z582" i="7" l="1"/>
  <c r="AA582" i="7"/>
  <c r="Y582" i="7"/>
  <c r="X582" i="7"/>
  <c r="W582" i="7"/>
  <c r="U582" i="7" s="1"/>
  <c r="Q583" i="7" s="1"/>
  <c r="V582" i="7"/>
  <c r="T582" i="7" l="1"/>
  <c r="R583" i="7" s="1"/>
  <c r="S583" i="7"/>
  <c r="P583" i="7" l="1"/>
  <c r="AD583" i="7" s="1"/>
  <c r="AC583" i="7"/>
  <c r="AE583" i="7"/>
  <c r="V583" i="7" l="1"/>
  <c r="W583" i="7"/>
  <c r="Z583" i="7"/>
  <c r="AA583" i="7"/>
  <c r="Y583" i="7"/>
  <c r="X583" i="7"/>
  <c r="U583" i="7" l="1"/>
  <c r="T583" i="7"/>
  <c r="R584" i="7" l="1"/>
  <c r="P584" i="7"/>
  <c r="Q584" i="7"/>
  <c r="S584" i="7"/>
  <c r="AE584" i="7" l="1"/>
  <c r="AA584" i="7" s="1"/>
  <c r="AC584" i="7"/>
  <c r="AD584" i="7"/>
  <c r="Z584" i="7" l="1"/>
  <c r="Y584" i="7"/>
  <c r="X584" i="7"/>
  <c r="W584" i="7"/>
  <c r="V584" i="7"/>
  <c r="T584" i="7" l="1"/>
  <c r="U584" i="7"/>
  <c r="P585" i="7"/>
  <c r="R585" i="7"/>
  <c r="S585" i="7" l="1"/>
  <c r="Q585" i="7"/>
  <c r="AD585" i="7" s="1"/>
  <c r="AE585" i="7" l="1"/>
  <c r="AA585" i="7" s="1"/>
  <c r="Y585" i="7"/>
  <c r="X585" i="7"/>
  <c r="AC585" i="7"/>
  <c r="Z585" i="7" l="1"/>
  <c r="W585" i="7"/>
  <c r="U585" i="7" s="1"/>
  <c r="V585" i="7"/>
  <c r="T585" i="7" s="1"/>
  <c r="R586" i="7" l="1"/>
  <c r="P586" i="7"/>
  <c r="S586" i="7"/>
  <c r="Q586" i="7"/>
  <c r="AD586" i="7" l="1"/>
  <c r="Y586" i="7" s="1"/>
  <c r="AE586" i="7"/>
  <c r="AA586" i="7" s="1"/>
  <c r="AC586" i="7"/>
  <c r="W586" i="7" s="1"/>
  <c r="X586" i="7" l="1"/>
  <c r="Z586" i="7"/>
  <c r="V586" i="7"/>
  <c r="U586" i="7"/>
  <c r="T586" i="7" l="1"/>
  <c r="R587" i="7"/>
  <c r="P587" i="7"/>
  <c r="S587" i="7"/>
  <c r="Q587" i="7"/>
  <c r="AC587" i="7" s="1"/>
  <c r="V587" i="7" s="1"/>
  <c r="W587" i="7" l="1"/>
  <c r="AD587" i="7"/>
  <c r="X587" i="7" s="1"/>
  <c r="AE587" i="7"/>
  <c r="Z587" i="7" s="1"/>
  <c r="T587" i="7" l="1"/>
  <c r="R588" i="7" s="1"/>
  <c r="Y587" i="7"/>
  <c r="AA587" i="7"/>
  <c r="U587" i="7" l="1"/>
  <c r="P588" i="7"/>
  <c r="Q588" i="7"/>
  <c r="AD588" i="7" s="1"/>
  <c r="S588" i="7"/>
  <c r="AC588" i="7" l="1"/>
  <c r="W588" i="7" s="1"/>
  <c r="AE588" i="7"/>
  <c r="Y588" i="7"/>
  <c r="X588" i="7"/>
  <c r="AA588" i="7"/>
  <c r="Z588" i="7"/>
  <c r="V588" i="7" l="1"/>
  <c r="T588" i="7" s="1"/>
  <c r="U588" i="7"/>
  <c r="S589" i="7" l="1"/>
  <c r="Q589" i="7"/>
  <c r="R589" i="7"/>
  <c r="P589" i="7"/>
  <c r="AD589" i="7" l="1"/>
  <c r="Y589" i="7" s="1"/>
  <c r="AE589" i="7"/>
  <c r="AA589" i="7" s="1"/>
  <c r="AC589" i="7"/>
  <c r="W589" i="7" s="1"/>
  <c r="Z589" i="7" l="1"/>
  <c r="U589" i="7"/>
  <c r="S590" i="7" s="1"/>
  <c r="Q590" i="7"/>
  <c r="V589" i="7"/>
  <c r="X589" i="7"/>
  <c r="T589" i="7" l="1"/>
  <c r="R590" i="7" l="1"/>
  <c r="P590" i="7"/>
  <c r="AE590" i="7" l="1"/>
  <c r="AA590" i="7" s="1"/>
  <c r="AD590" i="7"/>
  <c r="Y590" i="7" s="1"/>
  <c r="AC590" i="7"/>
  <c r="W590" i="7" s="1"/>
  <c r="Z590" i="7"/>
  <c r="X590" i="7" l="1"/>
  <c r="V590" i="7"/>
  <c r="T590" i="7" s="1"/>
  <c r="U590" i="7"/>
  <c r="S591" i="7" s="1"/>
  <c r="Q591" i="7" l="1"/>
  <c r="P591" i="7"/>
  <c r="R591" i="7"/>
  <c r="AD591" i="7" l="1"/>
  <c r="AE591" i="7"/>
  <c r="AA591" i="7" s="1"/>
  <c r="AC591" i="7"/>
  <c r="V591" i="7" l="1"/>
  <c r="W591" i="7"/>
  <c r="Z591" i="7"/>
  <c r="X591" i="7"/>
  <c r="Y591" i="7"/>
  <c r="U591" i="7" l="1"/>
  <c r="T591" i="7"/>
  <c r="P592" i="7" l="1"/>
  <c r="R592" i="7"/>
  <c r="S592" i="7"/>
  <c r="Q592" i="7"/>
  <c r="AD592" i="7" l="1"/>
  <c r="Y592" i="7" s="1"/>
  <c r="AC592" i="7"/>
  <c r="W592" i="7" s="1"/>
  <c r="AE592" i="7"/>
  <c r="AA592" i="7" s="1"/>
  <c r="V592" i="7" l="1"/>
  <c r="Z592" i="7"/>
  <c r="U592" i="7"/>
  <c r="X592" i="7"/>
  <c r="Q593" i="7" l="1"/>
  <c r="S593" i="7"/>
  <c r="T592" i="7"/>
  <c r="R593" i="7" l="1"/>
  <c r="P593" i="7"/>
  <c r="AD593" i="7" l="1"/>
  <c r="Y593" i="7" s="1"/>
  <c r="AC593" i="7"/>
  <c r="W593" i="7" s="1"/>
  <c r="AE593" i="7"/>
  <c r="AA593" i="7" s="1"/>
  <c r="V593" i="7" l="1"/>
  <c r="U593" i="7"/>
  <c r="S594" i="7" s="1"/>
  <c r="Z593" i="7"/>
  <c r="X593" i="7"/>
  <c r="T593" i="7" l="1"/>
  <c r="R594" i="7" s="1"/>
  <c r="Q594" i="7"/>
  <c r="P594" i="7"/>
  <c r="AD594" i="7" l="1"/>
  <c r="Y594" i="7" s="1"/>
  <c r="AC594" i="7"/>
  <c r="W594" i="7" s="1"/>
  <c r="AE594" i="7"/>
  <c r="AA594" i="7" s="1"/>
  <c r="X594" i="7" l="1"/>
  <c r="V594" i="7"/>
  <c r="Z594" i="7"/>
  <c r="U594" i="7"/>
  <c r="T594" i="7" l="1"/>
  <c r="Q595" i="7"/>
  <c r="S595" i="7"/>
  <c r="R595" i="7"/>
  <c r="P595" i="7"/>
  <c r="AC595" i="7" l="1"/>
  <c r="W595" i="7" s="1"/>
  <c r="AE595" i="7"/>
  <c r="AA595" i="7" s="1"/>
  <c r="AD595" i="7"/>
  <c r="Y595" i="7" s="1"/>
  <c r="V595" i="7"/>
  <c r="Z595" i="7" l="1"/>
  <c r="X595" i="7"/>
  <c r="U595" i="7"/>
  <c r="T595" i="7" l="1"/>
  <c r="R596" i="7" s="1"/>
  <c r="S596" i="7"/>
  <c r="Q596" i="7"/>
  <c r="P596" i="7"/>
  <c r="AE596" i="7" l="1"/>
  <c r="AA596" i="7" s="1"/>
  <c r="AC596" i="7"/>
  <c r="W596" i="7" s="1"/>
  <c r="AD596" i="7"/>
  <c r="Y596" i="7" s="1"/>
  <c r="V596" i="7" l="1"/>
  <c r="X596" i="7"/>
  <c r="Z596" i="7"/>
  <c r="T596" i="7" s="1"/>
  <c r="U596" i="7"/>
  <c r="Q597" i="7" l="1"/>
  <c r="S597" i="7"/>
  <c r="P597" i="7"/>
  <c r="R597" i="7"/>
  <c r="AC597" i="7" l="1"/>
  <c r="W597" i="7" s="1"/>
  <c r="AE597" i="7"/>
  <c r="AA597" i="7" s="1"/>
  <c r="AD597" i="7"/>
  <c r="Y597" i="7" s="1"/>
  <c r="V597" i="7"/>
  <c r="Z597" i="7" l="1"/>
  <c r="X597" i="7"/>
  <c r="T597" i="7" s="1"/>
  <c r="U597" i="7"/>
  <c r="R598" i="7" l="1"/>
  <c r="P598" i="7"/>
  <c r="S598" i="7"/>
  <c r="Q598" i="7"/>
  <c r="AD598" i="7" l="1"/>
  <c r="Y598" i="7" s="1"/>
  <c r="AC598" i="7"/>
  <c r="W598" i="7" s="1"/>
  <c r="AE598" i="7"/>
  <c r="AA598" i="7" s="1"/>
  <c r="X598" i="7"/>
  <c r="V598" i="7" l="1"/>
  <c r="Z598" i="7"/>
  <c r="U598" i="7"/>
  <c r="T598" i="7" l="1"/>
  <c r="R599" i="7" s="1"/>
  <c r="S599" i="7"/>
  <c r="Q599" i="7"/>
  <c r="P599" i="7" l="1"/>
  <c r="AC599" i="7" s="1"/>
  <c r="AE599" i="7"/>
  <c r="Z599" i="7" s="1"/>
  <c r="V599" i="7" l="1"/>
  <c r="W599" i="7"/>
  <c r="AA599" i="7"/>
  <c r="AD599" i="7"/>
  <c r="X599" i="7" s="1"/>
  <c r="T599" i="7" s="1"/>
  <c r="P600" i="7" s="1"/>
  <c r="Y599" i="7" l="1"/>
  <c r="U599" i="7" s="1"/>
  <c r="S600" i="7" s="1"/>
  <c r="R600" i="7"/>
  <c r="Q600" i="7" l="1"/>
  <c r="AD600" i="7"/>
  <c r="X600" i="7" s="1"/>
  <c r="AC600" i="7"/>
  <c r="AE600" i="7"/>
  <c r="Y600" i="7" l="1"/>
  <c r="V600" i="7"/>
  <c r="W600" i="7"/>
  <c r="AA600" i="7"/>
  <c r="Z600" i="7"/>
  <c r="U600" i="7" l="1"/>
  <c r="Q601" i="7"/>
  <c r="S601" i="7"/>
  <c r="T600" i="7"/>
  <c r="P601" i="7" l="1"/>
  <c r="R601" i="7"/>
  <c r="AC601" i="7" l="1"/>
  <c r="W601" i="7" s="1"/>
  <c r="AD601" i="7"/>
  <c r="Y601" i="7" s="1"/>
  <c r="AE601" i="7"/>
  <c r="AA601" i="7" s="1"/>
  <c r="V601" i="7" l="1"/>
  <c r="X601" i="7"/>
  <c r="Z601" i="7"/>
  <c r="U601" i="7"/>
  <c r="T601" i="7" l="1"/>
  <c r="Q602" i="7"/>
  <c r="S602" i="7"/>
  <c r="R602" i="7"/>
  <c r="P602" i="7"/>
  <c r="AE602" i="7" l="1"/>
  <c r="AC602" i="7"/>
  <c r="W602" i="7" s="1"/>
  <c r="AD602" i="7"/>
  <c r="Y602" i="7" s="1"/>
  <c r="V602" i="7" l="1"/>
  <c r="X602" i="7"/>
  <c r="Z602" i="7"/>
  <c r="AA602" i="7"/>
  <c r="U602" i="7" s="1"/>
  <c r="T602" i="7" l="1"/>
  <c r="S603" i="7"/>
  <c r="Q603" i="7"/>
  <c r="P603" i="7" l="1"/>
  <c r="R603" i="7"/>
  <c r="AE603" i="7" l="1"/>
  <c r="AA603" i="7" s="1"/>
  <c r="AD603" i="7"/>
  <c r="Y603" i="7" s="1"/>
  <c r="AC603" i="7"/>
  <c r="W603" i="7" s="1"/>
  <c r="Z603" i="7"/>
  <c r="X603" i="7" l="1"/>
  <c r="V603" i="7"/>
  <c r="U603" i="7"/>
  <c r="T603" i="7" l="1"/>
  <c r="S604" i="7"/>
  <c r="Q604" i="7"/>
  <c r="P604" i="7"/>
  <c r="R604" i="7"/>
  <c r="AC604" i="7" l="1"/>
  <c r="W604" i="7" s="1"/>
  <c r="AE604" i="7"/>
  <c r="AA604" i="7" s="1"/>
  <c r="AD604" i="7"/>
  <c r="Y604" i="7" s="1"/>
  <c r="V604" i="7" l="1"/>
  <c r="X604" i="7"/>
  <c r="Z604" i="7"/>
  <c r="U604" i="7"/>
  <c r="T604" i="7" l="1"/>
  <c r="R605" i="7" s="1"/>
  <c r="P605" i="7"/>
  <c r="S605" i="7"/>
  <c r="Q605" i="7"/>
  <c r="AC605" i="7" l="1"/>
  <c r="AE605" i="7"/>
  <c r="AD605" i="7"/>
  <c r="AA605" i="7" l="1"/>
  <c r="Z605" i="7"/>
  <c r="Y605" i="7"/>
  <c r="X605" i="7"/>
  <c r="W605" i="7"/>
  <c r="U605" i="7" s="1"/>
  <c r="V605" i="7"/>
  <c r="T605" i="7" l="1"/>
  <c r="R606" i="7"/>
  <c r="P606" i="7"/>
  <c r="Q606" i="7"/>
  <c r="S606" i="7"/>
  <c r="AC606" i="7" l="1"/>
  <c r="W606" i="7" s="1"/>
  <c r="AD606" i="7"/>
  <c r="Y606" i="7" s="1"/>
  <c r="AE606" i="7"/>
  <c r="AA606" i="7" s="1"/>
  <c r="U606" i="7" l="1"/>
  <c r="V606" i="7"/>
  <c r="Z606" i="7"/>
  <c r="Q607" i="7"/>
  <c r="S607" i="7"/>
  <c r="X606" i="7"/>
  <c r="T606" i="7" l="1"/>
  <c r="P607" i="7" s="1"/>
  <c r="R607" i="7"/>
  <c r="AE607" i="7" l="1"/>
  <c r="AA607" i="7" s="1"/>
  <c r="AC607" i="7"/>
  <c r="W607" i="7" s="1"/>
  <c r="AD607" i="7"/>
  <c r="Y607" i="7" s="1"/>
  <c r="Z607" i="7"/>
  <c r="V607" i="7" l="1"/>
  <c r="U607" i="7"/>
  <c r="S608" i="7" s="1"/>
  <c r="X607" i="7"/>
  <c r="T607" i="7" s="1"/>
  <c r="Q608" i="7"/>
  <c r="R608" i="7" l="1"/>
  <c r="P608" i="7"/>
  <c r="AC608" i="7" s="1"/>
  <c r="W608" i="7" s="1"/>
  <c r="V608" i="7" l="1"/>
  <c r="AE608" i="7"/>
  <c r="Z608" i="7" s="1"/>
  <c r="AD608" i="7"/>
  <c r="Y608" i="7" s="1"/>
  <c r="X608" i="7" l="1"/>
  <c r="T608" i="7" s="1"/>
  <c r="R609" i="7" s="1"/>
  <c r="AA608" i="7"/>
  <c r="U608" i="7" s="1"/>
  <c r="Q609" i="7" l="1"/>
  <c r="S609" i="7"/>
  <c r="P609" i="7"/>
  <c r="AC609" i="7" s="1"/>
  <c r="AE609" i="7" l="1"/>
  <c r="AD609" i="7"/>
  <c r="Y609" i="7" s="1"/>
  <c r="AA609" i="7"/>
  <c r="Z609" i="7"/>
  <c r="W609" i="7"/>
  <c r="V609" i="7"/>
  <c r="X609" i="7" l="1"/>
  <c r="T609" i="7" s="1"/>
  <c r="U609" i="7"/>
  <c r="Q610" i="7"/>
  <c r="S610" i="7"/>
  <c r="R610" i="7" l="1"/>
  <c r="P610" i="7"/>
  <c r="AE610" i="7" l="1"/>
  <c r="AA610" i="7" s="1"/>
  <c r="AC610" i="7"/>
  <c r="W610" i="7" s="1"/>
  <c r="AD610" i="7"/>
  <c r="Y610" i="7" s="1"/>
  <c r="X610" i="7" l="1"/>
  <c r="Z610" i="7"/>
  <c r="U610" i="7"/>
  <c r="S611" i="7" s="1"/>
  <c r="V610" i="7"/>
  <c r="T610" i="7" s="1"/>
  <c r="Q611" i="7" l="1"/>
  <c r="R611" i="7"/>
  <c r="P611" i="7"/>
  <c r="AE611" i="7" l="1"/>
  <c r="AD611" i="7"/>
  <c r="AC611" i="7"/>
  <c r="W611" i="7" l="1"/>
  <c r="V611" i="7"/>
  <c r="Y611" i="7"/>
  <c r="X611" i="7"/>
  <c r="Z611" i="7"/>
  <c r="AA611" i="7"/>
  <c r="T611" i="7" l="1"/>
  <c r="U611" i="7"/>
  <c r="S612" i="7" l="1"/>
  <c r="Q612" i="7"/>
  <c r="P612" i="7"/>
  <c r="R612" i="7"/>
  <c r="AC612" i="7" l="1"/>
  <c r="W612" i="7" s="1"/>
  <c r="AE612" i="7"/>
  <c r="AA612" i="7" s="1"/>
  <c r="AD612" i="7"/>
  <c r="Y612" i="7" l="1"/>
  <c r="U612" i="7" s="1"/>
  <c r="X612" i="7"/>
  <c r="V612" i="7"/>
  <c r="Z612" i="7"/>
  <c r="Q613" i="7" l="1"/>
  <c r="S613" i="7"/>
  <c r="T612" i="7"/>
  <c r="P613" i="7" l="1"/>
  <c r="R613" i="7"/>
  <c r="AC613" i="7" l="1"/>
  <c r="AD613" i="7"/>
  <c r="Y613" i="7" s="1"/>
  <c r="AE613" i="7"/>
  <c r="AA613" i="7" s="1"/>
  <c r="X613" i="7" l="1"/>
  <c r="Z613" i="7"/>
  <c r="W613" i="7"/>
  <c r="U613" i="7" s="1"/>
  <c r="V613" i="7"/>
  <c r="T613" i="7" s="1"/>
  <c r="P614" i="7" l="1"/>
  <c r="R614" i="7"/>
  <c r="S614" i="7"/>
  <c r="Q614" i="7"/>
  <c r="AD614" i="7" l="1"/>
  <c r="Y614" i="7" s="1"/>
  <c r="AC614" i="7"/>
  <c r="W614" i="7" s="1"/>
  <c r="AE614" i="7"/>
  <c r="AA614" i="7" s="1"/>
  <c r="X614" i="7"/>
  <c r="V614" i="7" l="1"/>
  <c r="U614" i="7"/>
  <c r="Z614" i="7"/>
  <c r="T614" i="7" l="1"/>
  <c r="P615" i="7"/>
  <c r="R615" i="7"/>
  <c r="S615" i="7"/>
  <c r="Q615" i="7"/>
  <c r="AE615" i="7" l="1"/>
  <c r="Z615" i="7" s="1"/>
  <c r="AC615" i="7"/>
  <c r="V615" i="7" s="1"/>
  <c r="AD615" i="7"/>
  <c r="X615" i="7" s="1"/>
  <c r="T615" i="7" l="1"/>
  <c r="Y615" i="7"/>
  <c r="AA615" i="7"/>
  <c r="W615" i="7"/>
  <c r="U615" i="7" l="1"/>
  <c r="P616" i="7"/>
  <c r="R616" i="7"/>
  <c r="Q616" i="7" l="1"/>
  <c r="S616" i="7"/>
  <c r="AC616" i="7" l="1"/>
  <c r="V616" i="7" s="1"/>
  <c r="AD616" i="7"/>
  <c r="X616" i="7" s="1"/>
  <c r="AE616" i="7"/>
  <c r="Z616" i="7" s="1"/>
  <c r="T616" i="7" l="1"/>
  <c r="AA616" i="7"/>
  <c r="W616" i="7"/>
  <c r="Y616" i="7"/>
  <c r="U616" i="7" l="1"/>
  <c r="S617" i="7" s="1"/>
  <c r="P617" i="7"/>
  <c r="R617" i="7"/>
  <c r="Q617" i="7" l="1"/>
  <c r="AD617" i="7" s="1"/>
  <c r="Y617" i="7" s="1"/>
  <c r="AE617" i="7"/>
  <c r="AA617" i="7" s="1"/>
  <c r="AC617" i="7"/>
  <c r="W617" i="7" s="1"/>
  <c r="V617" i="7" l="1"/>
  <c r="X617" i="7"/>
  <c r="U617" i="7"/>
  <c r="Z617" i="7"/>
  <c r="T617" i="7" l="1"/>
  <c r="R618" i="7" s="1"/>
  <c r="P618" i="7"/>
  <c r="Q618" i="7"/>
  <c r="S618" i="7"/>
  <c r="AE618" i="7" l="1"/>
  <c r="AA618" i="7" s="1"/>
  <c r="AC618" i="7"/>
  <c r="W618" i="7" s="1"/>
  <c r="AD618" i="7"/>
  <c r="Y618" i="7" s="1"/>
  <c r="V618" i="7" l="1"/>
  <c r="X618" i="7"/>
  <c r="U618" i="7"/>
  <c r="S619" i="7" s="1"/>
  <c r="Z618" i="7"/>
  <c r="T618" i="7" s="1"/>
  <c r="Q619" i="7" l="1"/>
  <c r="P619" i="7"/>
  <c r="R619" i="7"/>
  <c r="AC619" i="7" l="1"/>
  <c r="AE619" i="7"/>
  <c r="AD619" i="7"/>
  <c r="X619" i="7" l="1"/>
  <c r="Y619" i="7"/>
  <c r="Z619" i="7"/>
  <c r="AA619" i="7"/>
  <c r="V619" i="7"/>
  <c r="W619" i="7"/>
  <c r="U619" i="7" s="1"/>
  <c r="T619" i="7" l="1"/>
  <c r="Q620" i="7"/>
  <c r="S620" i="7"/>
  <c r="P620" i="7"/>
  <c r="R620" i="7"/>
  <c r="AD620" i="7" l="1"/>
  <c r="Y620" i="7" s="1"/>
  <c r="AE620" i="7"/>
  <c r="AA620" i="7" s="1"/>
  <c r="AC620" i="7"/>
  <c r="W620" i="7" s="1"/>
  <c r="U620" i="7" s="1"/>
  <c r="Q621" i="7" s="1"/>
  <c r="X620" i="7" l="1"/>
  <c r="S621" i="7"/>
  <c r="Z620" i="7"/>
  <c r="V620" i="7"/>
  <c r="T620" i="7" l="1"/>
  <c r="R621" i="7"/>
  <c r="P621" i="7"/>
  <c r="AC621" i="7" l="1"/>
  <c r="AE621" i="7"/>
  <c r="AA621" i="7" s="1"/>
  <c r="AD621" i="7"/>
  <c r="Z621" i="7" l="1"/>
  <c r="Y621" i="7"/>
  <c r="X621" i="7"/>
  <c r="V621" i="7"/>
  <c r="W621" i="7"/>
  <c r="U621" i="7" l="1"/>
  <c r="T621" i="7"/>
  <c r="R622" i="7" s="1"/>
  <c r="S622" i="7"/>
  <c r="Q622" i="7"/>
  <c r="P622" i="7" l="1"/>
  <c r="AE622" i="7" s="1"/>
  <c r="Z622" i="7" l="1"/>
  <c r="AA622" i="7"/>
  <c r="AC622" i="7"/>
  <c r="W622" i="7" s="1"/>
  <c r="AD622" i="7"/>
  <c r="Y622" i="7" s="1"/>
  <c r="V622" i="7" l="1"/>
  <c r="U622" i="7"/>
  <c r="X622" i="7"/>
  <c r="Q623" i="7"/>
  <c r="S623" i="7"/>
  <c r="T622" i="7" l="1"/>
  <c r="R623" i="7"/>
  <c r="P623" i="7"/>
  <c r="AD623" i="7" s="1"/>
  <c r="X623" i="7" s="1"/>
  <c r="AC623" i="7"/>
  <c r="V623" i="7" s="1"/>
  <c r="AE623" i="7" l="1"/>
  <c r="Z623" i="7" s="1"/>
  <c r="T623" i="7" s="1"/>
  <c r="W623" i="7"/>
  <c r="Y623" i="7"/>
  <c r="P624" i="7" l="1"/>
  <c r="R624" i="7"/>
  <c r="AA623" i="7"/>
  <c r="U623" i="7" s="1"/>
  <c r="S624" i="7" l="1"/>
  <c r="Q624" i="7"/>
  <c r="AD624" i="7" l="1"/>
  <c r="AC624" i="7"/>
  <c r="AE624" i="7"/>
  <c r="Z624" i="7" l="1"/>
  <c r="AA624" i="7"/>
  <c r="V624" i="7"/>
  <c r="W624" i="7"/>
  <c r="X624" i="7"/>
  <c r="Y624" i="7"/>
  <c r="U624" i="7" l="1"/>
  <c r="T624" i="7"/>
  <c r="P625" i="7" l="1"/>
  <c r="R625" i="7"/>
  <c r="Q625" i="7"/>
  <c r="S625" i="7"/>
  <c r="AE625" i="7" l="1"/>
  <c r="AC625" i="7"/>
  <c r="AD625" i="7"/>
  <c r="X625" i="7" l="1"/>
  <c r="Y625" i="7"/>
  <c r="V625" i="7"/>
  <c r="W625" i="7"/>
  <c r="Z625" i="7"/>
  <c r="AA625" i="7"/>
  <c r="T625" i="7" l="1"/>
  <c r="U625" i="7"/>
  <c r="S626" i="7" l="1"/>
  <c r="Q626" i="7"/>
  <c r="P626" i="7"/>
  <c r="R626" i="7"/>
  <c r="AD626" i="7" l="1"/>
  <c r="X626" i="7" s="1"/>
  <c r="AE626" i="7"/>
  <c r="Z626" i="7" s="1"/>
  <c r="AC626" i="7"/>
  <c r="V626" i="7" s="1"/>
  <c r="W626" i="7" l="1"/>
  <c r="Y626" i="7"/>
  <c r="T626" i="7"/>
  <c r="P627" i="7" s="1"/>
  <c r="AA626" i="7"/>
  <c r="U626" i="7" s="1"/>
  <c r="R627" i="7" l="1"/>
  <c r="Q627" i="7"/>
  <c r="AD627" i="7" s="1"/>
  <c r="X627" i="7" s="1"/>
  <c r="S627" i="7"/>
  <c r="AE627" i="7"/>
  <c r="Z627" i="7" s="1"/>
  <c r="AC627" i="7"/>
  <c r="V627" i="7" s="1"/>
  <c r="T627" i="7" l="1"/>
  <c r="Y627" i="7"/>
  <c r="AA627" i="7"/>
  <c r="W627" i="7"/>
  <c r="U627" i="7" l="1"/>
  <c r="S628" i="7"/>
  <c r="Q628" i="7"/>
  <c r="P628" i="7"/>
  <c r="R628" i="7"/>
  <c r="AE628" i="7" l="1"/>
  <c r="Z628" i="7" s="1"/>
  <c r="AC628" i="7"/>
  <c r="V628" i="7" s="1"/>
  <c r="AD628" i="7"/>
  <c r="AA628" i="7" l="1"/>
  <c r="X628" i="7"/>
  <c r="T628" i="7" s="1"/>
  <c r="Y628" i="7"/>
  <c r="W628" i="7"/>
  <c r="R629" i="7" l="1"/>
  <c r="P629" i="7"/>
  <c r="U628" i="7"/>
  <c r="Q629" i="7" l="1"/>
  <c r="S629" i="7"/>
  <c r="AD629" i="7"/>
  <c r="X629" i="7" s="1"/>
  <c r="AC629" i="7"/>
  <c r="V629" i="7" s="1"/>
  <c r="AE629" i="7" l="1"/>
  <c r="Z629" i="7" s="1"/>
  <c r="T629" i="7" s="1"/>
  <c r="Y629" i="7"/>
  <c r="W629" i="7"/>
  <c r="R630" i="7" l="1"/>
  <c r="P630" i="7"/>
  <c r="AA629" i="7"/>
  <c r="U629" i="7" s="1"/>
  <c r="Q630" i="7" l="1"/>
  <c r="S630" i="7"/>
  <c r="AC630" i="7"/>
  <c r="V630" i="7" s="1"/>
  <c r="AE630" i="7"/>
  <c r="Z630" i="7" s="1"/>
  <c r="AD630" i="7"/>
  <c r="X630" i="7" s="1"/>
  <c r="T630" i="7" l="1"/>
  <c r="P631" i="7" s="1"/>
  <c r="W630" i="7"/>
  <c r="Y630" i="7"/>
  <c r="AA630" i="7"/>
  <c r="R631" i="7"/>
  <c r="U630" i="7" l="1"/>
  <c r="Q631" i="7" l="1"/>
  <c r="S631" i="7"/>
  <c r="AE631" i="7" l="1"/>
  <c r="Z631" i="7" s="1"/>
  <c r="AC631" i="7"/>
  <c r="V631" i="7" s="1"/>
  <c r="AD631" i="7"/>
  <c r="W631" i="7" l="1"/>
  <c r="AA631" i="7"/>
  <c r="Y631" i="7"/>
  <c r="X631" i="7"/>
  <c r="T631" i="7" s="1"/>
  <c r="U631" i="7" l="1"/>
  <c r="Q632" i="7"/>
  <c r="S632" i="7"/>
  <c r="R632" i="7"/>
  <c r="P632" i="7"/>
  <c r="AD632" i="7" l="1"/>
  <c r="Y632" i="7" s="1"/>
  <c r="AC632" i="7"/>
  <c r="W632" i="7" s="1"/>
  <c r="AE632" i="7"/>
  <c r="AA632" i="7" s="1"/>
  <c r="V632" i="7" l="1"/>
  <c r="Z632" i="7"/>
  <c r="X632" i="7"/>
  <c r="T632" i="7" s="1"/>
  <c r="U632" i="7"/>
  <c r="P633" i="7" l="1"/>
  <c r="R633" i="7"/>
  <c r="S633" i="7"/>
  <c r="Q633" i="7"/>
  <c r="AE633" i="7" l="1"/>
  <c r="Z633" i="7" s="1"/>
  <c r="AD633" i="7"/>
  <c r="X633" i="7" s="1"/>
  <c r="AC633" i="7"/>
  <c r="V633" i="7" s="1"/>
  <c r="T633" i="7" l="1"/>
  <c r="W633" i="7"/>
  <c r="AA633" i="7"/>
  <c r="Y633" i="7"/>
  <c r="U633" i="7" l="1"/>
  <c r="S634" i="7" s="1"/>
  <c r="Q634" i="7"/>
  <c r="P634" i="7"/>
  <c r="R634" i="7"/>
  <c r="AD634" i="7" l="1"/>
  <c r="Y634" i="7" s="1"/>
  <c r="AC634" i="7"/>
  <c r="V634" i="7" s="1"/>
  <c r="AE634" i="7"/>
  <c r="Z634" i="7" s="1"/>
  <c r="X634" i="7"/>
  <c r="W634" i="7"/>
  <c r="AA634" i="7" l="1"/>
  <c r="U634" i="7" s="1"/>
  <c r="T634" i="7"/>
  <c r="S635" i="7" l="1"/>
  <c r="Q635" i="7"/>
  <c r="R635" i="7"/>
  <c r="P635" i="7"/>
  <c r="AD635" i="7" l="1"/>
  <c r="AE635" i="7"/>
  <c r="AA635" i="7" s="1"/>
  <c r="AC635" i="7"/>
  <c r="W635" i="7" l="1"/>
  <c r="V635" i="7"/>
  <c r="Z635" i="7"/>
  <c r="Y635" i="7"/>
  <c r="X635" i="7"/>
  <c r="T635" i="7" l="1"/>
  <c r="U635" i="7"/>
  <c r="Q636" i="7" l="1"/>
  <c r="S636" i="7"/>
  <c r="P636" i="7"/>
  <c r="R636" i="7"/>
  <c r="AD636" i="7" l="1"/>
  <c r="Y636" i="7" s="1"/>
  <c r="AE636" i="7"/>
  <c r="AA636" i="7" s="1"/>
  <c r="AC636" i="7"/>
  <c r="W636" i="7" s="1"/>
  <c r="X636" i="7"/>
  <c r="Z636" i="7"/>
  <c r="U636" i="7" l="1"/>
  <c r="V636" i="7"/>
  <c r="T636" i="7" s="1"/>
  <c r="Q637" i="7"/>
  <c r="S637" i="7"/>
  <c r="P637" i="7" l="1"/>
  <c r="R637" i="7"/>
  <c r="AE637" i="7" l="1"/>
  <c r="AA637" i="7" s="1"/>
  <c r="AC637" i="7"/>
  <c r="W637" i="7" s="1"/>
  <c r="AD637" i="7"/>
  <c r="Y637" i="7" s="1"/>
  <c r="Z637" i="7"/>
  <c r="X637" i="7" l="1"/>
  <c r="U637" i="7"/>
  <c r="V637" i="7"/>
  <c r="T637" i="7" s="1"/>
  <c r="S638" i="7"/>
  <c r="Q638" i="7"/>
  <c r="R638" i="7" l="1"/>
  <c r="P638" i="7"/>
  <c r="AC638" i="7" l="1"/>
  <c r="W638" i="7" s="1"/>
  <c r="AD638" i="7"/>
  <c r="Y638" i="7" s="1"/>
  <c r="AE638" i="7"/>
  <c r="AA638" i="7" s="1"/>
  <c r="Z638" i="7"/>
  <c r="V638" i="7" l="1"/>
  <c r="T638" i="7" s="1"/>
  <c r="X638" i="7"/>
  <c r="U638" i="7"/>
  <c r="R639" i="7" l="1"/>
  <c r="P639" i="7"/>
  <c r="Q639" i="7"/>
  <c r="S639" i="7"/>
  <c r="AC639" i="7" l="1"/>
  <c r="W639" i="7" s="1"/>
  <c r="AE639" i="7"/>
  <c r="AA639" i="7" s="1"/>
  <c r="AD639" i="7"/>
  <c r="Y639" i="7" s="1"/>
  <c r="V639" i="7"/>
  <c r="Z639" i="7"/>
  <c r="X639" i="7"/>
  <c r="T639" i="7" l="1"/>
  <c r="U639" i="7"/>
  <c r="Q640" i="7" l="1"/>
  <c r="S640" i="7"/>
  <c r="R640" i="7"/>
  <c r="P640" i="7"/>
  <c r="AC640" i="7" l="1"/>
  <c r="AE640" i="7"/>
  <c r="AD640" i="7"/>
  <c r="Z640" i="7" l="1"/>
  <c r="AA640" i="7"/>
  <c r="Y640" i="7"/>
  <c r="X640" i="7"/>
  <c r="V640" i="7"/>
  <c r="W640" i="7"/>
  <c r="U640" i="7" l="1"/>
  <c r="T640" i="7"/>
  <c r="R641" i="7"/>
  <c r="P641" i="7"/>
  <c r="S641" i="7"/>
  <c r="Q641" i="7"/>
  <c r="AE641" i="7" l="1"/>
  <c r="Z641" i="7" s="1"/>
  <c r="AC641" i="7"/>
  <c r="V641" i="7" s="1"/>
  <c r="AD641" i="7"/>
  <c r="X641" i="7" s="1"/>
  <c r="T641" i="7" l="1"/>
  <c r="P642" i="7" s="1"/>
  <c r="R642" i="7"/>
  <c r="Y641" i="7"/>
  <c r="W641" i="7"/>
  <c r="AA641" i="7"/>
  <c r="U641" i="7" l="1"/>
  <c r="S642" i="7"/>
  <c r="Q642" i="7"/>
  <c r="AE642" i="7" l="1"/>
  <c r="Z642" i="7" s="1"/>
  <c r="AD642" i="7"/>
  <c r="AA642" i="7"/>
  <c r="AC642" i="7"/>
  <c r="V642" i="7" s="1"/>
  <c r="W642" i="7" l="1"/>
  <c r="X642" i="7"/>
  <c r="T642" i="7" s="1"/>
  <c r="Y642" i="7"/>
  <c r="U642" i="7" l="1"/>
  <c r="R643" i="7"/>
  <c r="P643" i="7"/>
  <c r="S643" i="7" l="1"/>
  <c r="Q643" i="7"/>
  <c r="AC643" i="7" s="1"/>
  <c r="V643" i="7" s="1"/>
  <c r="AD643" i="7" l="1"/>
  <c r="X643" i="7" s="1"/>
  <c r="Y643" i="7"/>
  <c r="AE643" i="7"/>
  <c r="W643" i="7"/>
  <c r="Z643" i="7" l="1"/>
  <c r="T643" i="7" s="1"/>
  <c r="AA643" i="7"/>
  <c r="U643" i="7" s="1"/>
  <c r="Q644" i="7" s="1"/>
  <c r="S644" i="7" l="1"/>
  <c r="P644" i="7"/>
  <c r="AE644" i="7" s="1"/>
  <c r="R644" i="7"/>
  <c r="AD644" i="7"/>
  <c r="Y644" i="7" s="1"/>
  <c r="AC644" i="7"/>
  <c r="V644" i="7" s="1"/>
  <c r="X644" i="7" l="1"/>
  <c r="Z644" i="7"/>
  <c r="AA644" i="7"/>
  <c r="W644" i="7"/>
  <c r="T644" i="7"/>
  <c r="P645" i="7" s="1"/>
  <c r="R645" i="7" l="1"/>
  <c r="U644" i="7"/>
  <c r="Q645" i="7"/>
  <c r="AC645" i="7" s="1"/>
  <c r="S645" i="7"/>
  <c r="W645" i="7" l="1"/>
  <c r="V645" i="7"/>
  <c r="AE645" i="7"/>
  <c r="AD645" i="7"/>
  <c r="AA645" i="7" l="1"/>
  <c r="Z645" i="7"/>
  <c r="Y645" i="7"/>
  <c r="X645" i="7"/>
  <c r="T645" i="7" l="1"/>
  <c r="U645" i="7"/>
  <c r="P646" i="7"/>
  <c r="R646" i="7"/>
  <c r="Q646" i="7"/>
  <c r="S646" i="7"/>
  <c r="AC646" i="7" l="1"/>
  <c r="V646" i="7" s="1"/>
  <c r="AE646" i="7"/>
  <c r="AA646" i="7" s="1"/>
  <c r="AD646" i="7"/>
  <c r="X646" i="7" s="1"/>
  <c r="Y646" i="7" l="1"/>
  <c r="Z646" i="7"/>
  <c r="T646" i="7" s="1"/>
  <c r="W646" i="7"/>
  <c r="R647" i="7" l="1"/>
  <c r="P647" i="7"/>
  <c r="U646" i="7"/>
  <c r="S647" i="7" l="1"/>
  <c r="Q647" i="7"/>
  <c r="AC647" i="7" s="1"/>
  <c r="V647" i="7" s="1"/>
  <c r="AE647" i="7"/>
  <c r="Z647" i="7" s="1"/>
  <c r="AD647" i="7" l="1"/>
  <c r="X647" i="7" s="1"/>
  <c r="T647" i="7" s="1"/>
  <c r="W647" i="7"/>
  <c r="Y647" i="7"/>
  <c r="AA647" i="7"/>
  <c r="U647" i="7" l="1"/>
  <c r="P648" i="7"/>
  <c r="R648" i="7"/>
  <c r="S648" i="7" l="1"/>
  <c r="Q648" i="7"/>
  <c r="AD648" i="7" s="1"/>
  <c r="X648" i="7" s="1"/>
  <c r="Y648" i="7" l="1"/>
  <c r="AE648" i="7"/>
  <c r="Z648" i="7" s="1"/>
  <c r="AC648" i="7"/>
  <c r="V648" i="7" s="1"/>
  <c r="T648" i="7" l="1"/>
  <c r="AA648" i="7"/>
  <c r="W648" i="7"/>
  <c r="U648" i="7" l="1"/>
  <c r="Q649" i="7"/>
  <c r="S649" i="7"/>
  <c r="P649" i="7"/>
  <c r="R649" i="7"/>
  <c r="AC649" i="7" l="1"/>
  <c r="V649" i="7" s="1"/>
  <c r="AE649" i="7"/>
  <c r="Z649" i="7" s="1"/>
  <c r="AD649" i="7"/>
  <c r="X649" i="7" s="1"/>
  <c r="W649" i="7"/>
  <c r="AA649" i="7" l="1"/>
  <c r="Y649" i="7"/>
  <c r="U649" i="7" s="1"/>
  <c r="T649" i="7"/>
  <c r="S650" i="7" l="1"/>
  <c r="Q650" i="7"/>
  <c r="R650" i="7"/>
  <c r="P650" i="7"/>
  <c r="AE650" i="7" l="1"/>
  <c r="AD650" i="7"/>
  <c r="AC650" i="7"/>
  <c r="V650" i="7" l="1"/>
  <c r="W650" i="7"/>
  <c r="X650" i="7"/>
  <c r="Y650" i="7"/>
  <c r="Z650" i="7"/>
  <c r="AA650" i="7"/>
  <c r="U650" i="7" l="1"/>
  <c r="T650" i="7"/>
  <c r="P651" i="7" l="1"/>
  <c r="R651" i="7"/>
  <c r="S651" i="7"/>
  <c r="Q651" i="7"/>
  <c r="AC651" i="7" l="1"/>
  <c r="V651" i="7" s="1"/>
  <c r="AD651" i="7"/>
  <c r="X651" i="7" s="1"/>
  <c r="AE651" i="7"/>
  <c r="Z651" i="7" s="1"/>
  <c r="T651" i="7" l="1"/>
  <c r="R652" i="7" s="1"/>
  <c r="W651" i="7"/>
  <c r="AA651" i="7"/>
  <c r="Y651" i="7"/>
  <c r="P652" i="7" l="1"/>
  <c r="U651" i="7"/>
  <c r="Q652" i="7"/>
  <c r="S652" i="7"/>
  <c r="AC652" i="7"/>
  <c r="V652" i="7" s="1"/>
  <c r="AD652" i="7"/>
  <c r="X652" i="7" s="1"/>
  <c r="AE652" i="7" l="1"/>
  <c r="Z652" i="7" s="1"/>
  <c r="T652" i="7" s="1"/>
  <c r="R653" i="7" s="1"/>
  <c r="Y652" i="7"/>
  <c r="W652" i="7"/>
  <c r="AA652" i="7"/>
  <c r="P653" i="7" l="1"/>
  <c r="U652" i="7"/>
  <c r="Q653" i="7" l="1"/>
  <c r="S653" i="7"/>
  <c r="AE653" i="7" l="1"/>
  <c r="Z653" i="7" s="1"/>
  <c r="AC653" i="7"/>
  <c r="V653" i="7" s="1"/>
  <c r="AD653" i="7"/>
  <c r="X653" i="7" s="1"/>
  <c r="T653" i="7" l="1"/>
  <c r="AA653" i="7"/>
  <c r="Y653" i="7"/>
  <c r="W653" i="7"/>
  <c r="U653" i="7" l="1"/>
  <c r="Q654" i="7" s="1"/>
  <c r="R654" i="7"/>
  <c r="P654" i="7"/>
  <c r="S654" i="7" l="1"/>
  <c r="AE654" i="7"/>
  <c r="Z654" i="7" s="1"/>
  <c r="AD654" i="7"/>
  <c r="Y654" i="7" s="1"/>
  <c r="AC654" i="7"/>
  <c r="V654" i="7" s="1"/>
  <c r="AA654" i="7"/>
  <c r="W654" i="7" l="1"/>
  <c r="U654" i="7" s="1"/>
  <c r="X654" i="7"/>
  <c r="T654" i="7" s="1"/>
  <c r="R655" i="7" s="1"/>
  <c r="P655" i="7" l="1"/>
  <c r="Q655" i="7"/>
  <c r="AE655" i="7" s="1"/>
  <c r="AA655" i="7" s="1"/>
  <c r="S655" i="7"/>
  <c r="AD655" i="7" l="1"/>
  <c r="AC655" i="7"/>
  <c r="W655" i="7" s="1"/>
  <c r="Z655" i="7"/>
  <c r="Y655" i="7"/>
  <c r="X655" i="7"/>
  <c r="U655" i="7" l="1"/>
  <c r="V655" i="7"/>
  <c r="T655" i="7" s="1"/>
  <c r="Q656" i="7"/>
  <c r="S656" i="7"/>
  <c r="R656" i="7" l="1"/>
  <c r="P656" i="7"/>
  <c r="AE656" i="7" s="1"/>
  <c r="AA656" i="7" s="1"/>
  <c r="AD656" i="7"/>
  <c r="AC656" i="7"/>
  <c r="W656" i="7" s="1"/>
  <c r="Z656" i="7" l="1"/>
  <c r="Y656" i="7"/>
  <c r="U656" i="7" s="1"/>
  <c r="X656" i="7"/>
  <c r="V656" i="7"/>
  <c r="T656" i="7" l="1"/>
  <c r="R657" i="7" s="1"/>
  <c r="Q657" i="7"/>
  <c r="S657" i="7"/>
  <c r="P657" i="7"/>
  <c r="AD657" i="7" l="1"/>
  <c r="AE657" i="7"/>
  <c r="AC657" i="7"/>
  <c r="V657" i="7" l="1"/>
  <c r="W657" i="7"/>
  <c r="Z657" i="7"/>
  <c r="AA657" i="7"/>
  <c r="X657" i="7"/>
  <c r="Y657" i="7"/>
  <c r="U657" i="7" l="1"/>
  <c r="T657" i="7"/>
  <c r="P658" i="7" l="1"/>
  <c r="R658" i="7"/>
  <c r="S658" i="7"/>
  <c r="Q658" i="7"/>
  <c r="AC658" i="7" l="1"/>
  <c r="W658" i="7" s="1"/>
  <c r="AD658" i="7"/>
  <c r="X658" i="7" s="1"/>
  <c r="AE658" i="7"/>
  <c r="Z658" i="7" s="1"/>
  <c r="V658" i="7" l="1"/>
  <c r="T658" i="7" s="1"/>
  <c r="Y658" i="7"/>
  <c r="AA658" i="7"/>
  <c r="P659" i="7" l="1"/>
  <c r="R659" i="7"/>
  <c r="U658" i="7"/>
  <c r="S659" i="7" l="1"/>
  <c r="Q659" i="7"/>
  <c r="AC659" i="7" s="1"/>
  <c r="AE659" i="7" l="1"/>
  <c r="Z659" i="7" s="1"/>
  <c r="AD659" i="7"/>
  <c r="Y659" i="7" s="1"/>
  <c r="W659" i="7"/>
  <c r="V659" i="7"/>
  <c r="AA659" i="7"/>
  <c r="X659" i="7" l="1"/>
  <c r="T659" i="7" s="1"/>
  <c r="R660" i="7" s="1"/>
  <c r="U659" i="7"/>
  <c r="S660" i="7" s="1"/>
  <c r="Q660" i="7" l="1"/>
  <c r="P660" i="7"/>
  <c r="AD660" i="7" s="1"/>
  <c r="X660" i="7" s="1"/>
  <c r="AC660" i="7"/>
  <c r="V660" i="7" s="1"/>
  <c r="AE660" i="7" l="1"/>
  <c r="Z660" i="7" s="1"/>
  <c r="T660" i="7" s="1"/>
  <c r="Y660" i="7"/>
  <c r="W660" i="7"/>
  <c r="AA660" i="7" l="1"/>
  <c r="U660" i="7"/>
  <c r="R661" i="7"/>
  <c r="P661" i="7"/>
  <c r="S661" i="7"/>
  <c r="Q661" i="7"/>
  <c r="AD661" i="7" l="1"/>
  <c r="AC661" i="7"/>
  <c r="W661" i="7" s="1"/>
  <c r="AE661" i="7"/>
  <c r="AA661" i="7" l="1"/>
  <c r="Z661" i="7"/>
  <c r="V661" i="7"/>
  <c r="Y661" i="7"/>
  <c r="X661" i="7"/>
  <c r="U661" i="7" l="1"/>
  <c r="Q662" i="7" s="1"/>
  <c r="T661" i="7"/>
  <c r="S662" i="7" l="1"/>
  <c r="P662" i="7"/>
  <c r="R662" i="7"/>
  <c r="AD662" i="7" l="1"/>
  <c r="AC662" i="7"/>
  <c r="AE662" i="7"/>
  <c r="W662" i="7" l="1"/>
  <c r="V662" i="7"/>
  <c r="Z662" i="7"/>
  <c r="AA662" i="7"/>
  <c r="Y662" i="7"/>
  <c r="X662" i="7"/>
  <c r="T662" i="7" l="1"/>
  <c r="U662" i="7"/>
  <c r="Q663" i="7" l="1"/>
  <c r="S663" i="7"/>
  <c r="R663" i="7"/>
  <c r="P663" i="7"/>
  <c r="AC663" i="7" l="1"/>
  <c r="V663" i="7" s="1"/>
  <c r="AD663" i="7"/>
  <c r="X663" i="7" s="1"/>
  <c r="AE663" i="7"/>
  <c r="Z663" i="7" s="1"/>
  <c r="AA663" i="7" l="1"/>
  <c r="W663" i="7"/>
  <c r="Y663" i="7"/>
  <c r="T663" i="7"/>
  <c r="U663" i="7" l="1"/>
  <c r="R664" i="7"/>
  <c r="P664" i="7"/>
  <c r="S664" i="7"/>
  <c r="Q664" i="7"/>
  <c r="AD664" i="7" l="1"/>
  <c r="X664" i="7" s="1"/>
  <c r="AE664" i="7"/>
  <c r="Z664" i="7" s="1"/>
  <c r="AC664" i="7"/>
  <c r="V664" i="7" s="1"/>
  <c r="Y664" i="7"/>
  <c r="W664" i="7" l="1"/>
  <c r="T664" i="7"/>
  <c r="AA664" i="7"/>
  <c r="U664" i="7" s="1"/>
  <c r="P665" i="7"/>
  <c r="R665" i="7"/>
  <c r="Q665" i="7" l="1"/>
  <c r="S665" i="7"/>
  <c r="AC665" i="7" l="1"/>
  <c r="V665" i="7" s="1"/>
  <c r="AD665" i="7"/>
  <c r="X665" i="7" s="1"/>
  <c r="AE665" i="7"/>
  <c r="Z665" i="7" s="1"/>
  <c r="Y665" i="7" l="1"/>
  <c r="T665" i="7"/>
  <c r="W665" i="7"/>
  <c r="AA665" i="7"/>
  <c r="R666" i="7" l="1"/>
  <c r="P666" i="7"/>
  <c r="U665" i="7"/>
  <c r="Q666" i="7" l="1"/>
  <c r="AD666" i="7" s="1"/>
  <c r="X666" i="7" s="1"/>
  <c r="S666" i="7"/>
  <c r="AC666" i="7" l="1"/>
  <c r="V666" i="7" s="1"/>
  <c r="Y666" i="7"/>
  <c r="AE666" i="7"/>
  <c r="Z666" i="7" s="1"/>
  <c r="T666" i="7" l="1"/>
  <c r="P667" i="7"/>
  <c r="R667" i="7"/>
  <c r="W666" i="7"/>
  <c r="AA666" i="7"/>
  <c r="U666" i="7" l="1"/>
  <c r="S667" i="7" s="1"/>
  <c r="Q667" i="7" l="1"/>
  <c r="AD667" i="7" s="1"/>
  <c r="X667" i="7" s="1"/>
  <c r="AC667" i="7"/>
  <c r="V667" i="7" s="1"/>
  <c r="Y667" i="7"/>
  <c r="AE667" i="7"/>
  <c r="Z667" i="7" s="1"/>
  <c r="T667" i="7" l="1"/>
  <c r="W667" i="7"/>
  <c r="R668" i="7"/>
  <c r="P668" i="7"/>
  <c r="AA667" i="7"/>
  <c r="U667" i="7" l="1"/>
  <c r="S668" i="7" s="1"/>
  <c r="Q668" i="7"/>
  <c r="AC668" i="7" s="1"/>
  <c r="V668" i="7" s="1"/>
  <c r="AD668" i="7" l="1"/>
  <c r="X668" i="7" s="1"/>
  <c r="AE668" i="7"/>
  <c r="Z668" i="7" s="1"/>
  <c r="W668" i="7"/>
  <c r="T668" i="7" l="1"/>
  <c r="Y668" i="7"/>
  <c r="AA668" i="7"/>
  <c r="U668" i="7" s="1"/>
  <c r="R669" i="7"/>
  <c r="P669" i="7"/>
  <c r="S669" i="7" l="1"/>
  <c r="Q669" i="7"/>
  <c r="AD669" i="7" l="1"/>
  <c r="X669" i="7" s="1"/>
  <c r="AC669" i="7"/>
  <c r="V669" i="7" s="1"/>
  <c r="AE669" i="7"/>
  <c r="Z669" i="7" s="1"/>
  <c r="T669" i="7" l="1"/>
  <c r="AA669" i="7"/>
  <c r="W669" i="7"/>
  <c r="Y669" i="7"/>
  <c r="U669" i="7" l="1"/>
  <c r="R670" i="7"/>
  <c r="P670" i="7"/>
  <c r="Q670" i="7" l="1"/>
  <c r="S670" i="7"/>
  <c r="AD670" i="7" l="1"/>
  <c r="X670" i="7" s="1"/>
  <c r="AE670" i="7"/>
  <c r="Z670" i="7" s="1"/>
  <c r="AC670" i="7"/>
  <c r="V670" i="7" s="1"/>
  <c r="T670" i="7" l="1"/>
  <c r="Y670" i="7"/>
  <c r="W670" i="7"/>
  <c r="AA670" i="7"/>
  <c r="U670" i="7" l="1"/>
  <c r="P671" i="7"/>
  <c r="R671" i="7"/>
  <c r="Q671" i="7" l="1"/>
  <c r="AC671" i="7" s="1"/>
  <c r="V671" i="7" s="1"/>
  <c r="S671" i="7"/>
  <c r="W671" i="7" l="1"/>
  <c r="AE671" i="7"/>
  <c r="Z671" i="7" s="1"/>
  <c r="AD671" i="7"/>
  <c r="X671" i="7" s="1"/>
  <c r="T671" i="7" l="1"/>
  <c r="R672" i="7" s="1"/>
  <c r="P672" i="7"/>
  <c r="AA671" i="7"/>
  <c r="Y671" i="7"/>
  <c r="U671" i="7" l="1"/>
  <c r="S672" i="7" s="1"/>
  <c r="Q672" i="7" l="1"/>
  <c r="AE672" i="7" s="1"/>
  <c r="Z672" i="7" s="1"/>
  <c r="AC672" i="7"/>
  <c r="V672" i="7" s="1"/>
  <c r="AA672" i="7" l="1"/>
  <c r="AD672" i="7"/>
  <c r="X672" i="7" s="1"/>
  <c r="T672" i="7" s="1"/>
  <c r="W672" i="7"/>
  <c r="Y672" i="7" l="1"/>
  <c r="U672" i="7" s="1"/>
  <c r="R673" i="7"/>
  <c r="P673" i="7"/>
  <c r="Q673" i="7" l="1"/>
  <c r="S673" i="7"/>
  <c r="AD673" i="7"/>
  <c r="Y673" i="7" s="1"/>
  <c r="AC673" i="7"/>
  <c r="V673" i="7" s="1"/>
  <c r="AE673" i="7"/>
  <c r="Z673" i="7" s="1"/>
  <c r="X673" i="7"/>
  <c r="W673" i="7"/>
  <c r="T673" i="7" l="1"/>
  <c r="R674" i="7" s="1"/>
  <c r="AA673" i="7"/>
  <c r="U673" i="7" s="1"/>
  <c r="P674" i="7"/>
  <c r="S674" i="7" l="1"/>
  <c r="Q674" i="7"/>
  <c r="AE674" i="7"/>
  <c r="AC674" i="7"/>
  <c r="V674" i="7" s="1"/>
  <c r="AD674" i="7"/>
  <c r="X674" i="7" s="1"/>
  <c r="Z674" i="7"/>
  <c r="Y674" i="7"/>
  <c r="AA674" i="7"/>
  <c r="W674" i="7"/>
  <c r="T674" i="7" l="1"/>
  <c r="P675" i="7" s="1"/>
  <c r="U674" i="7"/>
  <c r="S675" i="7" s="1"/>
  <c r="Q675" i="7"/>
  <c r="R675" i="7"/>
  <c r="AE675" i="7" l="1"/>
  <c r="AD675" i="7"/>
  <c r="AC675" i="7"/>
  <c r="W675" i="7" l="1"/>
  <c r="V675" i="7"/>
  <c r="Y675" i="7"/>
  <c r="X675" i="7"/>
  <c r="AA675" i="7"/>
  <c r="Z675" i="7"/>
  <c r="T675" i="7" l="1"/>
  <c r="U675" i="7"/>
  <c r="S676" i="7" l="1"/>
  <c r="Q676" i="7"/>
  <c r="R676" i="7"/>
  <c r="P676" i="7"/>
  <c r="AD676" i="7" l="1"/>
  <c r="X676" i="7" s="1"/>
  <c r="AC676" i="7"/>
  <c r="W676" i="7" s="1"/>
  <c r="AE676" i="7"/>
  <c r="AA676" i="7" s="1"/>
  <c r="V676" i="7" l="1"/>
  <c r="Z676" i="7"/>
  <c r="Y676" i="7"/>
  <c r="U676" i="7" s="1"/>
  <c r="T676" i="7" l="1"/>
  <c r="P677" i="7" s="1"/>
  <c r="Q677" i="7"/>
  <c r="S677" i="7"/>
  <c r="R677" i="7" l="1"/>
  <c r="AC677" i="7"/>
  <c r="AD677" i="7"/>
  <c r="AE677" i="7"/>
  <c r="Z677" i="7" s="1"/>
  <c r="X677" i="7"/>
  <c r="V677" i="7"/>
  <c r="Y677" i="7"/>
  <c r="W677" i="7"/>
  <c r="AA677" i="7" l="1"/>
  <c r="U677" i="7" s="1"/>
  <c r="T677" i="7"/>
  <c r="S678" i="7" l="1"/>
  <c r="Q678" i="7"/>
  <c r="R678" i="7"/>
  <c r="P678" i="7"/>
  <c r="AE678" i="7" l="1"/>
  <c r="AA678" i="7" s="1"/>
  <c r="AC678" i="7"/>
  <c r="W678" i="7" s="1"/>
  <c r="AD678" i="7"/>
  <c r="Y678" i="7" s="1"/>
  <c r="Z678" i="7" l="1"/>
  <c r="U678" i="7"/>
  <c r="V678" i="7"/>
  <c r="X678" i="7"/>
  <c r="T678" i="7" l="1"/>
  <c r="Q679" i="7"/>
  <c r="S679" i="7"/>
  <c r="R679" i="7" l="1"/>
  <c r="P679" i="7"/>
  <c r="AE679" i="7" l="1"/>
  <c r="AD679" i="7"/>
  <c r="AC679" i="7"/>
  <c r="V679" i="7" l="1"/>
  <c r="W679" i="7"/>
  <c r="X679" i="7"/>
  <c r="Y679" i="7"/>
  <c r="Z679" i="7"/>
  <c r="AA679" i="7"/>
  <c r="U679" i="7" l="1"/>
  <c r="S680" i="7"/>
  <c r="Q680" i="7"/>
  <c r="T679" i="7"/>
  <c r="R680" i="7" l="1"/>
  <c r="P680" i="7"/>
  <c r="AC680" i="7" l="1"/>
  <c r="W680" i="7" s="1"/>
  <c r="AD680" i="7"/>
  <c r="Y680" i="7" s="1"/>
  <c r="AE680" i="7"/>
  <c r="V680" i="7" l="1"/>
  <c r="X680" i="7"/>
  <c r="Z680" i="7"/>
  <c r="AA680" i="7"/>
  <c r="U680" i="7" s="1"/>
  <c r="T680" i="7" l="1"/>
  <c r="P681" i="7" s="1"/>
  <c r="Q681" i="7"/>
  <c r="S681" i="7"/>
  <c r="R681" i="7" l="1"/>
  <c r="AE681" i="7"/>
  <c r="Z681" i="7" s="1"/>
  <c r="AC681" i="7"/>
  <c r="V681" i="7" s="1"/>
  <c r="AD681" i="7"/>
  <c r="X681" i="7" s="1"/>
  <c r="T681" i="7" l="1"/>
  <c r="R682" i="7" s="1"/>
  <c r="P682" i="7"/>
  <c r="AA681" i="7"/>
  <c r="W681" i="7"/>
  <c r="Y681" i="7"/>
  <c r="U681" i="7" l="1"/>
  <c r="S682" i="7" l="1"/>
  <c r="Q682" i="7"/>
  <c r="AD682" i="7" l="1"/>
  <c r="X682" i="7" s="1"/>
  <c r="AE682" i="7"/>
  <c r="Z682" i="7" s="1"/>
  <c r="AC682" i="7"/>
  <c r="V682" i="7" s="1"/>
  <c r="W682" i="7" l="1"/>
  <c r="T682" i="7"/>
  <c r="Y682" i="7"/>
  <c r="AA682" i="7"/>
  <c r="P683" i="7" l="1"/>
  <c r="R683" i="7"/>
  <c r="U682" i="7"/>
  <c r="Q683" i="7" l="1"/>
  <c r="AC683" i="7" s="1"/>
  <c r="V683" i="7" s="1"/>
  <c r="S683" i="7"/>
  <c r="AE683" i="7" l="1"/>
  <c r="Z683" i="7" s="1"/>
  <c r="AD683" i="7"/>
  <c r="X683" i="7" s="1"/>
  <c r="T683" i="7" s="1"/>
  <c r="W683" i="7"/>
  <c r="AA683" i="7"/>
  <c r="Y683" i="7"/>
  <c r="P684" i="7" l="1"/>
  <c r="R684" i="7"/>
  <c r="U683" i="7"/>
  <c r="S684" i="7" l="1"/>
  <c r="Q684" i="7"/>
  <c r="AE684" i="7" s="1"/>
  <c r="Z684" i="7" s="1"/>
  <c r="AD684" i="7" l="1"/>
  <c r="X684" i="7" s="1"/>
  <c r="AA684" i="7"/>
  <c r="AC684" i="7"/>
  <c r="V684" i="7" s="1"/>
  <c r="T684" i="7" l="1"/>
  <c r="R685" i="7" s="1"/>
  <c r="Y684" i="7"/>
  <c r="W684" i="7"/>
  <c r="P685" i="7" l="1"/>
  <c r="U684" i="7"/>
  <c r="Q685" i="7"/>
  <c r="AE685" i="7" s="1"/>
  <c r="Z685" i="7" s="1"/>
  <c r="S685" i="7"/>
  <c r="AA685" i="7" l="1"/>
  <c r="AD685" i="7"/>
  <c r="X685" i="7" s="1"/>
  <c r="AC685" i="7"/>
  <c r="V685" i="7" s="1"/>
  <c r="T685" i="7" l="1"/>
  <c r="R686" i="7" s="1"/>
  <c r="Y685" i="7"/>
  <c r="P686" i="7"/>
  <c r="W685" i="7"/>
  <c r="U685" i="7" l="1"/>
  <c r="S686" i="7"/>
  <c r="Q686" i="7"/>
  <c r="AE686" i="7" s="1"/>
  <c r="Z686" i="7" s="1"/>
  <c r="AD686" i="7" l="1"/>
  <c r="X686" i="7" s="1"/>
  <c r="AC686" i="7"/>
  <c r="V686" i="7" s="1"/>
  <c r="AA686" i="7"/>
  <c r="W686" i="7" l="1"/>
  <c r="Y686" i="7"/>
  <c r="T686" i="7"/>
  <c r="U686" i="7" l="1"/>
  <c r="R687" i="7"/>
  <c r="P687" i="7"/>
  <c r="Q687" i="7"/>
  <c r="S687" i="7"/>
  <c r="AE687" i="7" l="1"/>
  <c r="AA687" i="7" s="1"/>
  <c r="AC687" i="7"/>
  <c r="W687" i="7" s="1"/>
  <c r="AD687" i="7"/>
  <c r="Y687" i="7" s="1"/>
  <c r="U687" i="7" l="1"/>
  <c r="X687" i="7"/>
  <c r="V687" i="7"/>
  <c r="Z687" i="7"/>
  <c r="T687" i="7" l="1"/>
  <c r="Q688" i="7"/>
  <c r="S688" i="7"/>
  <c r="P688" i="7" l="1"/>
  <c r="R688" i="7"/>
  <c r="AE688" i="7" l="1"/>
  <c r="AA688" i="7" s="1"/>
  <c r="AC688" i="7"/>
  <c r="W688" i="7" s="1"/>
  <c r="AD688" i="7"/>
  <c r="Y688" i="7" s="1"/>
  <c r="X688" i="7" l="1"/>
  <c r="U688" i="7"/>
  <c r="V688" i="7"/>
  <c r="Z688" i="7"/>
  <c r="S689" i="7"/>
  <c r="Q689" i="7"/>
  <c r="T688" i="7" l="1"/>
  <c r="R689" i="7" l="1"/>
  <c r="P689" i="7"/>
  <c r="AE689" i="7" l="1"/>
  <c r="AC689" i="7"/>
  <c r="AD689" i="7"/>
  <c r="X689" i="7" l="1"/>
  <c r="Y689" i="7"/>
  <c r="V689" i="7"/>
  <c r="W689" i="7"/>
  <c r="Z689" i="7"/>
  <c r="AA689" i="7"/>
  <c r="T689" i="7" l="1"/>
  <c r="U689" i="7"/>
  <c r="S690" i="7" l="1"/>
  <c r="Q690" i="7"/>
  <c r="R690" i="7"/>
  <c r="P690" i="7"/>
  <c r="AD690" i="7" l="1"/>
  <c r="AC690" i="7"/>
  <c r="AE690" i="7"/>
  <c r="Z690" i="7" l="1"/>
  <c r="AA690" i="7"/>
  <c r="V690" i="7"/>
  <c r="W690" i="7"/>
  <c r="X690" i="7"/>
  <c r="Y690" i="7"/>
  <c r="T690" i="7" l="1"/>
  <c r="R691" i="7" s="1"/>
  <c r="U690" i="7"/>
  <c r="P691" i="7" l="1"/>
  <c r="Q691" i="7"/>
  <c r="S691" i="7"/>
  <c r="AD691" i="7" l="1"/>
  <c r="X691" i="7" s="1"/>
  <c r="AE691" i="7"/>
  <c r="AC691" i="7"/>
  <c r="V691" i="7" s="1"/>
  <c r="Y691" i="7" l="1"/>
  <c r="AA691" i="7"/>
  <c r="Z691" i="7"/>
  <c r="T691" i="7" s="1"/>
  <c r="W691" i="7"/>
  <c r="U691" i="7" l="1"/>
  <c r="S692" i="7" s="1"/>
  <c r="P692" i="7"/>
  <c r="R692" i="7"/>
  <c r="Q692" i="7" l="1"/>
  <c r="AD692" i="7"/>
  <c r="Y692" i="7" s="1"/>
  <c r="AE692" i="7"/>
  <c r="AA692" i="7" s="1"/>
  <c r="AC692" i="7"/>
  <c r="W692" i="7" s="1"/>
  <c r="X692" i="7" l="1"/>
  <c r="U692" i="7"/>
  <c r="Z692" i="7"/>
  <c r="V692" i="7"/>
  <c r="T692" i="7" l="1"/>
  <c r="P693" i="7" s="1"/>
  <c r="R693" i="7"/>
  <c r="S693" i="7"/>
  <c r="Q693" i="7"/>
  <c r="AD693" i="7" l="1"/>
  <c r="AC693" i="7"/>
  <c r="AE693" i="7"/>
  <c r="AA693" i="7" s="1"/>
  <c r="Z693" i="7" l="1"/>
  <c r="W693" i="7"/>
  <c r="V693" i="7"/>
  <c r="Y693" i="7"/>
  <c r="X693" i="7"/>
  <c r="T693" i="7" l="1"/>
  <c r="U693" i="7"/>
  <c r="Q694" i="7" l="1"/>
  <c r="S694" i="7"/>
  <c r="R694" i="7"/>
  <c r="P694" i="7"/>
  <c r="AC694" i="7" l="1"/>
  <c r="V694" i="7" s="1"/>
  <c r="AE694" i="7"/>
  <c r="AA694" i="7" s="1"/>
  <c r="AD694" i="7"/>
  <c r="Y694" i="7" s="1"/>
  <c r="W694" i="7" l="1"/>
  <c r="U694" i="7" s="1"/>
  <c r="Z694" i="7"/>
  <c r="X694" i="7"/>
  <c r="T694" i="7" l="1"/>
  <c r="P695" i="7" s="1"/>
  <c r="R695" i="7"/>
  <c r="Q695" i="7"/>
  <c r="AD695" i="7" s="1"/>
  <c r="S695" i="7"/>
  <c r="AE695" i="7" l="1"/>
  <c r="Z695" i="7" s="1"/>
  <c r="AC695" i="7"/>
  <c r="V695" i="7" s="1"/>
  <c r="Y695" i="7"/>
  <c r="X695" i="7"/>
  <c r="AA695" i="7"/>
  <c r="W695" i="7"/>
  <c r="T695" i="7" l="1"/>
  <c r="R696" i="7" s="1"/>
  <c r="U695" i="7"/>
  <c r="S696" i="7" s="1"/>
  <c r="Q696" i="7"/>
  <c r="P696" i="7" l="1"/>
  <c r="AC696" i="7" s="1"/>
  <c r="W696" i="7" s="1"/>
  <c r="AD696" i="7" l="1"/>
  <c r="Y696" i="7" s="1"/>
  <c r="AE696" i="7"/>
  <c r="AA696" i="7" s="1"/>
  <c r="V696" i="7"/>
  <c r="X696" i="7" l="1"/>
  <c r="U696" i="7"/>
  <c r="Z696" i="7"/>
  <c r="S697" i="7"/>
  <c r="Q697" i="7"/>
  <c r="T696" i="7" l="1"/>
  <c r="P697" i="7"/>
  <c r="R697" i="7"/>
  <c r="AC697" i="7" l="1"/>
  <c r="W697" i="7" s="1"/>
  <c r="AD697" i="7"/>
  <c r="Y697" i="7" s="1"/>
  <c r="AE697" i="7"/>
  <c r="AA697" i="7" s="1"/>
  <c r="V697" i="7" l="1"/>
  <c r="X697" i="7"/>
  <c r="U697" i="7"/>
  <c r="Z697" i="7"/>
  <c r="T697" i="7" l="1"/>
  <c r="P698" i="7" s="1"/>
  <c r="S698" i="7"/>
  <c r="Q698" i="7"/>
  <c r="R698" i="7" l="1"/>
  <c r="AD698" i="7"/>
  <c r="Y698" i="7" s="1"/>
  <c r="AC698" i="7"/>
  <c r="W698" i="7" s="1"/>
  <c r="AE698" i="7"/>
  <c r="AA698" i="7" s="1"/>
  <c r="X698" i="7" l="1"/>
  <c r="V698" i="7"/>
  <c r="U698" i="7"/>
  <c r="Z698" i="7"/>
  <c r="T698" i="7" l="1"/>
  <c r="R699" i="7" s="1"/>
  <c r="Q699" i="7"/>
  <c r="S699" i="7"/>
  <c r="P699" i="7" l="1"/>
  <c r="AC699" i="7" s="1"/>
  <c r="AE699" i="7"/>
  <c r="AA699" i="7" s="1"/>
  <c r="AD699" i="7" l="1"/>
  <c r="Y699" i="7" s="1"/>
  <c r="W699" i="7"/>
  <c r="V699" i="7"/>
  <c r="X699" i="7"/>
  <c r="Z699" i="7"/>
  <c r="U699" i="7"/>
  <c r="T699" i="7" l="1"/>
  <c r="R700" i="7" s="1"/>
  <c r="Q700" i="7"/>
  <c r="S700" i="7"/>
  <c r="P700" i="7" l="1"/>
  <c r="AD700" i="7" s="1"/>
  <c r="X700" i="7" s="1"/>
  <c r="AE700" i="7" l="1"/>
  <c r="Z700" i="7" s="1"/>
  <c r="AC700" i="7"/>
  <c r="V700" i="7" s="1"/>
  <c r="Y700" i="7"/>
  <c r="AA700" i="7"/>
  <c r="T700" i="7" l="1"/>
  <c r="W700" i="7"/>
  <c r="U700" i="7" s="1"/>
  <c r="P701" i="7"/>
  <c r="R701" i="7"/>
  <c r="Q701" i="7" l="1"/>
  <c r="S701" i="7"/>
  <c r="AE701" i="7"/>
  <c r="AC701" i="7"/>
  <c r="AD701" i="7"/>
  <c r="V701" i="7" l="1"/>
  <c r="W701" i="7"/>
  <c r="X701" i="7"/>
  <c r="Y701" i="7"/>
  <c r="Z701" i="7"/>
  <c r="AA701" i="7"/>
  <c r="U701" i="7" l="1"/>
  <c r="T701" i="7"/>
  <c r="P702" i="7" l="1"/>
  <c r="R702" i="7"/>
  <c r="Q702" i="7"/>
  <c r="S702" i="7"/>
  <c r="AD702" i="7" l="1"/>
  <c r="Y702" i="7" s="1"/>
  <c r="AE702" i="7"/>
  <c r="AA702" i="7" s="1"/>
  <c r="AC702" i="7"/>
  <c r="W702" i="7" s="1"/>
  <c r="X702" i="7" l="1"/>
  <c r="U702" i="7"/>
  <c r="S703" i="7" s="1"/>
  <c r="V702" i="7"/>
  <c r="Q703" i="7"/>
  <c r="Z702" i="7"/>
  <c r="T702" i="7" l="1"/>
  <c r="R703" i="7" s="1"/>
  <c r="P703" i="7" l="1"/>
  <c r="AD703" i="7"/>
  <c r="Y703" i="7" s="1"/>
  <c r="AC703" i="7"/>
  <c r="W703" i="7" s="1"/>
  <c r="AE703" i="7"/>
  <c r="AA703" i="7" s="1"/>
  <c r="V703" i="7" l="1"/>
  <c r="X703" i="7"/>
  <c r="U703" i="7"/>
  <c r="Z703" i="7"/>
  <c r="T703" i="7" l="1"/>
  <c r="P704" i="7" s="1"/>
  <c r="R704" i="7"/>
  <c r="Q704" i="7"/>
  <c r="S704" i="7"/>
  <c r="AC704" i="7" l="1"/>
  <c r="V704" i="7" s="1"/>
  <c r="AD704" i="7"/>
  <c r="Y704" i="7" s="1"/>
  <c r="AE704" i="7"/>
  <c r="Z704" i="7" s="1"/>
  <c r="W704" i="7" l="1"/>
  <c r="X704" i="7"/>
  <c r="T704" i="7" s="1"/>
  <c r="AA704" i="7"/>
  <c r="R705" i="7" l="1"/>
  <c r="P705" i="7"/>
  <c r="U704" i="7"/>
  <c r="Q705" i="7" l="1"/>
  <c r="S705" i="7"/>
  <c r="AC705" i="7" l="1"/>
  <c r="V705" i="7" s="1"/>
  <c r="AD705" i="7"/>
  <c r="X705" i="7" s="1"/>
  <c r="AE705" i="7"/>
  <c r="Z705" i="7" s="1"/>
  <c r="T705" i="7" l="1"/>
  <c r="W705" i="7"/>
  <c r="Y705" i="7"/>
  <c r="AA705" i="7"/>
  <c r="U705" i="7" l="1"/>
  <c r="R706" i="7"/>
  <c r="P706" i="7"/>
  <c r="Q706" i="7" l="1"/>
  <c r="S706" i="7"/>
  <c r="AD706" i="7" l="1"/>
  <c r="AC706" i="7"/>
  <c r="V706" i="7" s="1"/>
  <c r="AE706" i="7"/>
  <c r="AA706" i="7" l="1"/>
  <c r="Z706" i="7"/>
  <c r="Y706" i="7"/>
  <c r="X706" i="7"/>
  <c r="W706" i="7"/>
  <c r="U706" i="7" l="1"/>
  <c r="T706" i="7"/>
  <c r="R707" i="7" s="1"/>
  <c r="P707" i="7"/>
  <c r="S707" i="7"/>
  <c r="Q707" i="7"/>
  <c r="AD707" i="7" l="1"/>
  <c r="Y707" i="7" s="1"/>
  <c r="AE707" i="7"/>
  <c r="Z707" i="7" s="1"/>
  <c r="AC707" i="7"/>
  <c r="V707" i="7" s="1"/>
  <c r="X707" i="7"/>
  <c r="T707" i="7" l="1"/>
  <c r="AA707" i="7"/>
  <c r="W707" i="7"/>
  <c r="U707" i="7" l="1"/>
  <c r="P708" i="7"/>
  <c r="R708" i="7"/>
  <c r="S708" i="7"/>
  <c r="Q708" i="7"/>
  <c r="AE708" i="7" l="1"/>
  <c r="Z708" i="7" s="1"/>
  <c r="AC708" i="7"/>
  <c r="V708" i="7" s="1"/>
  <c r="AD708" i="7"/>
  <c r="X708" i="7" s="1"/>
  <c r="Y708" i="7" l="1"/>
  <c r="T708" i="7"/>
  <c r="AA708" i="7"/>
  <c r="W708" i="7"/>
  <c r="U708" i="7" l="1"/>
  <c r="Q709" i="7" s="1"/>
  <c r="P709" i="7"/>
  <c r="R709" i="7"/>
  <c r="S709" i="7" l="1"/>
  <c r="AE709" i="7"/>
  <c r="Z709" i="7" s="1"/>
  <c r="AD709" i="7"/>
  <c r="X709" i="7" s="1"/>
  <c r="AC709" i="7"/>
  <c r="V709" i="7" s="1"/>
  <c r="AA709" i="7"/>
  <c r="Y709" i="7" l="1"/>
  <c r="T709" i="7"/>
  <c r="R710" i="7" s="1"/>
  <c r="W709" i="7"/>
  <c r="P710" i="7"/>
  <c r="U709" i="7" l="1"/>
  <c r="S710" i="7" s="1"/>
  <c r="Q710" i="7"/>
  <c r="AD710" i="7" s="1"/>
  <c r="Y710" i="7" s="1"/>
  <c r="AE710" i="7"/>
  <c r="AA710" i="7" s="1"/>
  <c r="AC710" i="7"/>
  <c r="W710" i="7" s="1"/>
  <c r="X710" i="7" l="1"/>
  <c r="U710" i="7"/>
  <c r="S711" i="7" s="1"/>
  <c r="V710" i="7"/>
  <c r="Z710" i="7"/>
  <c r="Q711" i="7"/>
  <c r="T710" i="7" l="1"/>
  <c r="R711" i="7" s="1"/>
  <c r="P711" i="7" l="1"/>
  <c r="AD711" i="7" l="1"/>
  <c r="AC711" i="7"/>
  <c r="AE711" i="7"/>
  <c r="AA711" i="7" l="1"/>
  <c r="Z711" i="7"/>
  <c r="W711" i="7"/>
  <c r="V711" i="7"/>
  <c r="Y711" i="7"/>
  <c r="U711" i="7" s="1"/>
  <c r="X711" i="7"/>
  <c r="T711" i="7" l="1"/>
  <c r="P712" i="7"/>
  <c r="R712" i="7"/>
  <c r="S712" i="7"/>
  <c r="Q712" i="7"/>
  <c r="AE712" i="7" l="1"/>
  <c r="AA712" i="7" s="1"/>
  <c r="AD712" i="7"/>
  <c r="Y712" i="7" s="1"/>
  <c r="AC712" i="7"/>
  <c r="W712" i="7" s="1"/>
  <c r="U712" i="7" l="1"/>
  <c r="Q713" i="7" s="1"/>
  <c r="Z712" i="7"/>
  <c r="S713" i="7"/>
  <c r="X712" i="7"/>
  <c r="V712" i="7"/>
  <c r="T712" i="7" l="1"/>
  <c r="R713" i="7" l="1"/>
  <c r="P713" i="7"/>
  <c r="AE713" i="7" l="1"/>
  <c r="AA713" i="7" s="1"/>
  <c r="AD713" i="7"/>
  <c r="Y713" i="7" s="1"/>
  <c r="AC713" i="7"/>
  <c r="W713" i="7" s="1"/>
  <c r="Z713" i="7"/>
  <c r="X713" i="7"/>
  <c r="V713" i="7"/>
  <c r="T713" i="7" l="1"/>
  <c r="R714" i="7" s="1"/>
  <c r="U713" i="7"/>
  <c r="P714" i="7"/>
  <c r="Q714" i="7"/>
  <c r="S714" i="7"/>
  <c r="AC714" i="7" l="1"/>
  <c r="AD714" i="7"/>
  <c r="AE714" i="7"/>
  <c r="AA714" i="7" l="1"/>
  <c r="Z714" i="7"/>
  <c r="Y714" i="7"/>
  <c r="X714" i="7"/>
  <c r="W714" i="7"/>
  <c r="U714" i="7" s="1"/>
  <c r="V714" i="7"/>
  <c r="T714" i="7" s="1"/>
  <c r="R715" i="7" s="1"/>
  <c r="Q715" i="7" l="1"/>
  <c r="S715" i="7"/>
  <c r="P715" i="7"/>
  <c r="AC715" i="7" l="1"/>
  <c r="AD715" i="7"/>
  <c r="AE715" i="7"/>
  <c r="Y715" i="7" l="1"/>
  <c r="X715" i="7"/>
  <c r="AA715" i="7"/>
  <c r="Z715" i="7"/>
  <c r="V715" i="7"/>
  <c r="T715" i="7" s="1"/>
  <c r="W715" i="7"/>
  <c r="U715" i="7" s="1"/>
  <c r="P716" i="7" l="1"/>
  <c r="R716" i="7"/>
  <c r="Q716" i="7"/>
  <c r="S716" i="7"/>
  <c r="AC716" i="7" l="1"/>
  <c r="W716" i="7" s="1"/>
  <c r="AD716" i="7"/>
  <c r="Y716" i="7" s="1"/>
  <c r="AE716" i="7"/>
  <c r="AA716" i="7" s="1"/>
  <c r="V716" i="7" l="1"/>
  <c r="U716" i="7"/>
  <c r="X716" i="7"/>
  <c r="Z716" i="7"/>
  <c r="T716" i="7" l="1"/>
  <c r="R717" i="7" s="1"/>
  <c r="P717" i="7"/>
  <c r="Q717" i="7"/>
  <c r="S717" i="7"/>
  <c r="AE717" i="7" l="1"/>
  <c r="AA717" i="7" s="1"/>
  <c r="AC717" i="7"/>
  <c r="W717" i="7" s="1"/>
  <c r="AD717" i="7"/>
  <c r="Y717" i="7" s="1"/>
  <c r="V717" i="7"/>
  <c r="Z717" i="7"/>
  <c r="X717" i="7" l="1"/>
  <c r="T717" i="7" s="1"/>
  <c r="U717" i="7"/>
  <c r="S718" i="7"/>
  <c r="Q718" i="7"/>
  <c r="P718" i="7" l="1"/>
  <c r="R718" i="7"/>
  <c r="AE718" i="7"/>
  <c r="AA718" i="7" s="1"/>
  <c r="AC718" i="7"/>
  <c r="V718" i="7" s="1"/>
  <c r="AD718" i="7"/>
  <c r="Z718" i="7" l="1"/>
  <c r="W718" i="7"/>
  <c r="Y718" i="7"/>
  <c r="U718" i="7" s="1"/>
  <c r="Q719" i="7" s="1"/>
  <c r="X718" i="7"/>
  <c r="T718" i="7" s="1"/>
  <c r="P719" i="7" s="1"/>
  <c r="S719" i="7" l="1"/>
  <c r="R719" i="7"/>
  <c r="AD719" i="7"/>
  <c r="Y719" i="7" s="1"/>
  <c r="AE719" i="7"/>
  <c r="AC719" i="7"/>
  <c r="W719" i="7" s="1"/>
  <c r="X719" i="7" l="1"/>
  <c r="V719" i="7"/>
  <c r="AA719" i="7"/>
  <c r="U719" i="7" s="1"/>
  <c r="Z719" i="7"/>
  <c r="Q720" i="7" l="1"/>
  <c r="S720" i="7"/>
  <c r="T719" i="7"/>
  <c r="R720" i="7" l="1"/>
  <c r="P720" i="7"/>
  <c r="AC720" i="7" l="1"/>
  <c r="W720" i="7" s="1"/>
  <c r="AE720" i="7"/>
  <c r="AA720" i="7" s="1"/>
  <c r="AD720" i="7"/>
  <c r="Y720" i="7" s="1"/>
  <c r="V720" i="7" l="1"/>
  <c r="Z720" i="7"/>
  <c r="X720" i="7"/>
  <c r="U720" i="7"/>
  <c r="T720" i="7" l="1"/>
  <c r="S721" i="7"/>
  <c r="Q721" i="7"/>
  <c r="R721" i="7"/>
  <c r="P721" i="7"/>
  <c r="AE721" i="7" l="1"/>
  <c r="AA721" i="7" s="1"/>
  <c r="AD721" i="7"/>
  <c r="Y721" i="7" s="1"/>
  <c r="AC721" i="7"/>
  <c r="W721" i="7" s="1"/>
  <c r="Z721" i="7"/>
  <c r="X721" i="7" l="1"/>
  <c r="V721" i="7"/>
  <c r="U721" i="7"/>
  <c r="T721" i="7" l="1"/>
  <c r="S722" i="7"/>
  <c r="Q722" i="7"/>
  <c r="R722" i="7"/>
  <c r="P722" i="7"/>
  <c r="AE722" i="7" l="1"/>
  <c r="AA722" i="7" s="1"/>
  <c r="AD722" i="7"/>
  <c r="Y722" i="7" s="1"/>
  <c r="Z722" i="7"/>
  <c r="AC722" i="7"/>
  <c r="X722" i="7" l="1"/>
  <c r="W722" i="7"/>
  <c r="U722" i="7" s="1"/>
  <c r="V722" i="7"/>
  <c r="T722" i="7" s="1"/>
  <c r="R723" i="7" l="1"/>
  <c r="P723" i="7"/>
  <c r="S723" i="7"/>
  <c r="Q723" i="7"/>
  <c r="AD723" i="7" l="1"/>
  <c r="Y723" i="7" s="1"/>
  <c r="AC723" i="7"/>
  <c r="AE723" i="7"/>
  <c r="X723" i="7"/>
  <c r="W723" i="7" l="1"/>
  <c r="V723" i="7"/>
  <c r="AA723" i="7"/>
  <c r="Z723" i="7"/>
  <c r="T723" i="7" l="1"/>
  <c r="R724" i="7"/>
  <c r="P724" i="7"/>
  <c r="U723" i="7"/>
  <c r="Q724" i="7" l="1"/>
  <c r="AE724" i="7" s="1"/>
  <c r="AA724" i="7" s="1"/>
  <c r="S724" i="7"/>
  <c r="AD724" i="7"/>
  <c r="Y724" i="7" s="1"/>
  <c r="AC724" i="7"/>
  <c r="W724" i="7" s="1"/>
  <c r="V724" i="7" l="1"/>
  <c r="X724" i="7"/>
  <c r="Z724" i="7"/>
  <c r="U724" i="7"/>
  <c r="T724" i="7" l="1"/>
  <c r="R725" i="7"/>
  <c r="P725" i="7"/>
  <c r="S725" i="7"/>
  <c r="Q725" i="7"/>
  <c r="AD725" i="7" l="1"/>
  <c r="AE725" i="7"/>
  <c r="AC725" i="7"/>
  <c r="AA725" i="7" l="1"/>
  <c r="Z725" i="7"/>
  <c r="V725" i="7"/>
  <c r="W725" i="7"/>
  <c r="Y725" i="7"/>
  <c r="X725" i="7"/>
  <c r="T725" i="7" l="1"/>
  <c r="R726" i="7" s="1"/>
  <c r="U725" i="7"/>
  <c r="P726" i="7" l="1"/>
  <c r="Q726" i="7"/>
  <c r="AE726" i="7" s="1"/>
  <c r="S726" i="7"/>
  <c r="AD726" i="7" l="1"/>
  <c r="Y726" i="7" s="1"/>
  <c r="AC726" i="7"/>
  <c r="X726" i="7"/>
  <c r="AA726" i="7"/>
  <c r="Z726" i="7"/>
  <c r="W726" i="7"/>
  <c r="V726" i="7"/>
  <c r="T726" i="7" l="1"/>
  <c r="R727" i="7"/>
  <c r="P727" i="7"/>
  <c r="U726" i="7"/>
  <c r="S727" i="7" l="1"/>
  <c r="Q727" i="7"/>
  <c r="AD727" i="7" l="1"/>
  <c r="AC727" i="7"/>
  <c r="AE727" i="7"/>
  <c r="W727" i="7" l="1"/>
  <c r="V727" i="7"/>
  <c r="AA727" i="7"/>
  <c r="Z727" i="7"/>
  <c r="Y727" i="7"/>
  <c r="X727" i="7"/>
  <c r="T727" i="7" l="1"/>
  <c r="U727" i="7"/>
  <c r="Q728" i="7" l="1"/>
  <c r="S728" i="7"/>
  <c r="P728" i="7"/>
  <c r="R728" i="7"/>
  <c r="AC728" i="7" l="1"/>
  <c r="V728" i="7" s="1"/>
  <c r="AE728" i="7"/>
  <c r="Z728" i="7" s="1"/>
  <c r="AD728" i="7"/>
  <c r="X728" i="7" s="1"/>
  <c r="W728" i="7"/>
  <c r="Y728" i="7" l="1"/>
  <c r="AA728" i="7"/>
  <c r="T728" i="7"/>
  <c r="U728" i="7" l="1"/>
  <c r="P729" i="7"/>
  <c r="R729" i="7"/>
  <c r="S729" i="7"/>
  <c r="Q729" i="7"/>
  <c r="AC729" i="7" l="1"/>
  <c r="W729" i="7" s="1"/>
  <c r="AD729" i="7"/>
  <c r="Y729" i="7" s="1"/>
  <c r="AE729" i="7"/>
  <c r="AA729" i="7" s="1"/>
  <c r="X729" i="7" l="1"/>
  <c r="U729" i="7"/>
  <c r="Q730" i="7" s="1"/>
  <c r="Z729" i="7"/>
  <c r="V729" i="7"/>
  <c r="S730" i="7" l="1"/>
  <c r="T729" i="7"/>
  <c r="P730" i="7" s="1"/>
  <c r="R730" i="7" l="1"/>
  <c r="AD730" i="7"/>
  <c r="Y730" i="7" s="1"/>
  <c r="AE730" i="7"/>
  <c r="AA730" i="7" s="1"/>
  <c r="AC730" i="7"/>
  <c r="W730" i="7" s="1"/>
  <c r="Z730" i="7" l="1"/>
  <c r="V730" i="7"/>
  <c r="X730" i="7"/>
  <c r="U730" i="7"/>
  <c r="Q731" i="7" s="1"/>
  <c r="T730" i="7" l="1"/>
  <c r="R731" i="7" s="1"/>
  <c r="S731" i="7"/>
  <c r="P731" i="7"/>
  <c r="AE731" i="7" s="1"/>
  <c r="AD731" i="7" l="1"/>
  <c r="AC731" i="7"/>
  <c r="Y731" i="7"/>
  <c r="X731" i="7"/>
  <c r="W731" i="7"/>
  <c r="V731" i="7"/>
  <c r="AA731" i="7"/>
  <c r="Z731" i="7"/>
  <c r="T731" i="7" l="1"/>
  <c r="U731" i="7"/>
  <c r="Q732" i="7" l="1"/>
  <c r="S732" i="7"/>
  <c r="P732" i="7"/>
  <c r="R732" i="7"/>
  <c r="AE732" i="7" l="1"/>
  <c r="AA732" i="7" s="1"/>
  <c r="AD732" i="7"/>
  <c r="AC732" i="7"/>
  <c r="Z732" i="7" l="1"/>
  <c r="W732" i="7"/>
  <c r="V732" i="7"/>
  <c r="Y732" i="7"/>
  <c r="X732" i="7"/>
  <c r="U732" i="7" l="1"/>
  <c r="S733" i="7" s="1"/>
  <c r="T732" i="7"/>
  <c r="Q733" i="7" l="1"/>
  <c r="P733" i="7"/>
  <c r="R733" i="7"/>
  <c r="AE733" i="7" l="1"/>
  <c r="AA733" i="7" s="1"/>
  <c r="AD733" i="7"/>
  <c r="Z733" i="7"/>
  <c r="AC733" i="7"/>
  <c r="W733" i="7" s="1"/>
  <c r="V733" i="7" l="1"/>
  <c r="Y733" i="7"/>
  <c r="U733" i="7" s="1"/>
  <c r="X733" i="7"/>
  <c r="T733" i="7" s="1"/>
  <c r="P734" i="7" l="1"/>
  <c r="R734" i="7"/>
  <c r="S734" i="7"/>
  <c r="Q734" i="7"/>
  <c r="AC734" i="7" l="1"/>
  <c r="AD734" i="7"/>
  <c r="Y734" i="7" s="1"/>
  <c r="AE734" i="7"/>
  <c r="AA734" i="7" s="1"/>
  <c r="X734" i="7" l="1"/>
  <c r="Z734" i="7"/>
  <c r="W734" i="7"/>
  <c r="U734" i="7" s="1"/>
  <c r="V734" i="7"/>
  <c r="T734" i="7" l="1"/>
  <c r="P735" i="7" s="1"/>
  <c r="S735" i="7"/>
  <c r="Q735" i="7"/>
  <c r="R735" i="7" l="1"/>
  <c r="AC735" i="7"/>
  <c r="W735" i="7" s="1"/>
  <c r="AE735" i="7"/>
  <c r="AA735" i="7" s="1"/>
  <c r="AD735" i="7"/>
  <c r="Y735" i="7" s="1"/>
  <c r="V735" i="7" l="1"/>
  <c r="Z735" i="7"/>
  <c r="U735" i="7"/>
  <c r="X735" i="7"/>
  <c r="T735" i="7" s="1"/>
  <c r="S736" i="7"/>
  <c r="Q736" i="7"/>
  <c r="R736" i="7" l="1"/>
  <c r="P736" i="7"/>
  <c r="AD736" i="7" l="1"/>
  <c r="Y736" i="7" s="1"/>
  <c r="AE736" i="7"/>
  <c r="AA736" i="7" s="1"/>
  <c r="AC736" i="7"/>
  <c r="W736" i="7" s="1"/>
  <c r="Z736" i="7"/>
  <c r="X736" i="7" l="1"/>
  <c r="U736" i="7"/>
  <c r="V736" i="7"/>
  <c r="T736" i="7" s="1"/>
  <c r="S737" i="7"/>
  <c r="Q737" i="7"/>
  <c r="R737" i="7" l="1"/>
  <c r="P737" i="7"/>
  <c r="AD737" i="7" l="1"/>
  <c r="Y737" i="7" s="1"/>
  <c r="AC737" i="7"/>
  <c r="AE737" i="7"/>
  <c r="AA737" i="7" s="1"/>
  <c r="X737" i="7"/>
  <c r="Z737" i="7" l="1"/>
  <c r="V737" i="7"/>
  <c r="W737" i="7"/>
  <c r="U737" i="7" s="1"/>
  <c r="T737" i="7" l="1"/>
  <c r="Q738" i="7"/>
  <c r="S738" i="7"/>
  <c r="P738" i="7"/>
  <c r="R738" i="7"/>
  <c r="AD738" i="7" l="1"/>
  <c r="Y738" i="7" s="1"/>
  <c r="AC738" i="7"/>
  <c r="W738" i="7" s="1"/>
  <c r="AE738" i="7"/>
  <c r="AA738" i="7" s="1"/>
  <c r="U738" i="7" l="1"/>
  <c r="Z738" i="7"/>
  <c r="V738" i="7"/>
  <c r="X738" i="7"/>
  <c r="S739" i="7"/>
  <c r="Q739" i="7"/>
  <c r="T738" i="7" l="1"/>
  <c r="R739" i="7" s="1"/>
  <c r="P739" i="7"/>
  <c r="AC739" i="7" l="1"/>
  <c r="W739" i="7" s="1"/>
  <c r="AE739" i="7"/>
  <c r="AD739" i="7"/>
  <c r="V739" i="7" l="1"/>
  <c r="X739" i="7"/>
  <c r="Y739" i="7"/>
  <c r="Z739" i="7"/>
  <c r="AA739" i="7"/>
  <c r="T739" i="7" l="1"/>
  <c r="R740" i="7"/>
  <c r="P740" i="7"/>
  <c r="U739" i="7"/>
  <c r="Q740" i="7" l="1"/>
  <c r="AD740" i="7" s="1"/>
  <c r="X740" i="7" s="1"/>
  <c r="S740" i="7"/>
  <c r="Y740" i="7" l="1"/>
  <c r="AE740" i="7"/>
  <c r="Z740" i="7" s="1"/>
  <c r="AC740" i="7"/>
  <c r="V740" i="7" s="1"/>
  <c r="T740" i="7" l="1"/>
  <c r="P741" i="7" s="1"/>
  <c r="R741" i="7"/>
  <c r="W740" i="7"/>
  <c r="AA740" i="7"/>
  <c r="U740" i="7" l="1"/>
  <c r="S741" i="7" l="1"/>
  <c r="Q741" i="7"/>
  <c r="AC741" i="7" l="1"/>
  <c r="V741" i="7" s="1"/>
  <c r="AD741" i="7"/>
  <c r="X741" i="7" s="1"/>
  <c r="AE741" i="7"/>
  <c r="Z741" i="7" s="1"/>
  <c r="T741" i="7" l="1"/>
  <c r="Y741" i="7"/>
  <c r="AA741" i="7"/>
  <c r="W741" i="7"/>
  <c r="U741" i="7" l="1"/>
  <c r="R742" i="7"/>
  <c r="P742" i="7"/>
  <c r="S742" i="7" l="1"/>
  <c r="Q742" i="7"/>
  <c r="AD742" i="7" l="1"/>
  <c r="X742" i="7" s="1"/>
  <c r="AE742" i="7"/>
  <c r="Z742" i="7" s="1"/>
  <c r="AC742" i="7"/>
  <c r="V742" i="7" s="1"/>
  <c r="T742" i="7" l="1"/>
  <c r="R743" i="7" s="1"/>
  <c r="AA742" i="7"/>
  <c r="Y742" i="7"/>
  <c r="W742" i="7"/>
  <c r="P743" i="7" l="1"/>
  <c r="U742" i="7"/>
  <c r="Q743" i="7" l="1"/>
  <c r="S743" i="7"/>
  <c r="AC743" i="7" l="1"/>
  <c r="V743" i="7" s="1"/>
  <c r="AE743" i="7"/>
  <c r="Z743" i="7" s="1"/>
  <c r="AD743" i="7"/>
  <c r="X743" i="7" s="1"/>
  <c r="W743" i="7" l="1"/>
  <c r="AA743" i="7"/>
  <c r="T743" i="7"/>
  <c r="Y743" i="7"/>
  <c r="P744" i="7" l="1"/>
  <c r="R744" i="7"/>
  <c r="U743" i="7"/>
  <c r="S744" i="7" l="1"/>
  <c r="Q744" i="7"/>
  <c r="AC744" i="7" s="1"/>
  <c r="V744" i="7" s="1"/>
  <c r="AE744" i="7"/>
  <c r="Z744" i="7" s="1"/>
  <c r="AD744" i="7"/>
  <c r="X744" i="7" s="1"/>
  <c r="W744" i="7" l="1"/>
  <c r="Y744" i="7"/>
  <c r="AA744" i="7"/>
  <c r="T744" i="7"/>
  <c r="R745" i="7" l="1"/>
  <c r="P745" i="7"/>
  <c r="U744" i="7"/>
  <c r="Q745" i="7" l="1"/>
  <c r="S745" i="7"/>
  <c r="AD745" i="7" l="1"/>
  <c r="X745" i="7" s="1"/>
  <c r="AC745" i="7"/>
  <c r="V745" i="7" s="1"/>
  <c r="AE745" i="7"/>
  <c r="Z745" i="7" s="1"/>
  <c r="Y745" i="7" l="1"/>
  <c r="AA745" i="7"/>
  <c r="T745" i="7"/>
  <c r="W745" i="7"/>
  <c r="U745" i="7" l="1"/>
  <c r="Q746" i="7"/>
  <c r="S746" i="7"/>
  <c r="P746" i="7"/>
  <c r="R746" i="7"/>
  <c r="AE746" i="7" l="1"/>
  <c r="AA746" i="7" s="1"/>
  <c r="AC746" i="7"/>
  <c r="W746" i="7" s="1"/>
  <c r="AD746" i="7"/>
  <c r="Y746" i="7" s="1"/>
  <c r="Z746" i="7" l="1"/>
  <c r="X746" i="7"/>
  <c r="V746" i="7"/>
  <c r="U746" i="7"/>
  <c r="T746" i="7" l="1"/>
  <c r="Q747" i="7"/>
  <c r="S747" i="7"/>
  <c r="R747" i="7"/>
  <c r="P747" i="7"/>
  <c r="AD747" i="7" l="1"/>
  <c r="Y747" i="7" s="1"/>
  <c r="AC747" i="7"/>
  <c r="W747" i="7" s="1"/>
  <c r="AE747" i="7"/>
  <c r="AA747" i="7" s="1"/>
  <c r="X747" i="7"/>
  <c r="V747" i="7"/>
  <c r="Z747" i="7" l="1"/>
  <c r="T747" i="7" s="1"/>
  <c r="U747" i="7"/>
  <c r="R748" i="7" l="1"/>
  <c r="P748" i="7"/>
  <c r="Q748" i="7"/>
  <c r="S748" i="7"/>
  <c r="AD748" i="7" l="1"/>
  <c r="X748" i="7" s="1"/>
  <c r="AE748" i="7"/>
  <c r="Z748" i="7" s="1"/>
  <c r="AC748" i="7"/>
  <c r="V748" i="7" s="1"/>
  <c r="T748" i="7" l="1"/>
  <c r="R749" i="7" s="1"/>
  <c r="P749" i="7"/>
  <c r="W748" i="7"/>
  <c r="Y748" i="7"/>
  <c r="AA748" i="7"/>
  <c r="U748" i="7" l="1"/>
  <c r="S749" i="7" l="1"/>
  <c r="Q749" i="7"/>
  <c r="AC749" i="7" l="1"/>
  <c r="V749" i="7" s="1"/>
  <c r="AE749" i="7"/>
  <c r="Z749" i="7" s="1"/>
  <c r="AD749" i="7"/>
  <c r="X749" i="7" s="1"/>
  <c r="AA749" i="7" l="1"/>
  <c r="T749" i="7"/>
  <c r="Y749" i="7"/>
  <c r="W749" i="7"/>
  <c r="U749" i="7" l="1"/>
  <c r="S750" i="7" s="1"/>
  <c r="P750" i="7"/>
  <c r="R750" i="7"/>
  <c r="Q750" i="7" l="1"/>
  <c r="AC750" i="7" s="1"/>
  <c r="W750" i="7" s="1"/>
  <c r="AE750" i="7" l="1"/>
  <c r="Z750" i="7" s="1"/>
  <c r="AD750" i="7"/>
  <c r="Y750" i="7" s="1"/>
  <c r="V750" i="7"/>
  <c r="AA750" i="7"/>
  <c r="U750" i="7" s="1"/>
  <c r="X750" i="7" l="1"/>
  <c r="T750" i="7"/>
  <c r="Q751" i="7"/>
  <c r="S751" i="7"/>
  <c r="P751" i="7"/>
  <c r="R751" i="7"/>
  <c r="AD751" i="7" l="1"/>
  <c r="Y751" i="7" s="1"/>
  <c r="AE751" i="7"/>
  <c r="AA751" i="7" s="1"/>
  <c r="AC751" i="7"/>
  <c r="W751" i="7" s="1"/>
  <c r="X751" i="7" l="1"/>
  <c r="Z751" i="7"/>
  <c r="U751" i="7"/>
  <c r="S752" i="7" s="1"/>
  <c r="V751" i="7"/>
  <c r="T751" i="7" s="1"/>
  <c r="Q752" i="7" l="1"/>
  <c r="R752" i="7"/>
  <c r="P752" i="7"/>
  <c r="AD752" i="7" l="1"/>
  <c r="Y752" i="7" s="1"/>
  <c r="AC752" i="7"/>
  <c r="W752" i="7" s="1"/>
  <c r="AE752" i="7"/>
  <c r="AA752" i="7" s="1"/>
  <c r="X752" i="7"/>
  <c r="V752" i="7" l="1"/>
  <c r="U752" i="7"/>
  <c r="Z752" i="7"/>
  <c r="T752" i="7" s="1"/>
  <c r="R753" i="7" l="1"/>
  <c r="P753" i="7"/>
  <c r="S753" i="7"/>
  <c r="Q753" i="7"/>
  <c r="AD753" i="7" l="1"/>
  <c r="Y753" i="7" s="1"/>
  <c r="AE753" i="7"/>
  <c r="AA753" i="7" s="1"/>
  <c r="AC753" i="7"/>
  <c r="W753" i="7" s="1"/>
  <c r="X753" i="7"/>
  <c r="Z753" i="7" l="1"/>
  <c r="U753" i="7"/>
  <c r="Q754" i="7" s="1"/>
  <c r="V753" i="7"/>
  <c r="T753" i="7" s="1"/>
  <c r="S754" i="7" l="1"/>
  <c r="P754" i="7"/>
  <c r="R754" i="7"/>
  <c r="AC754" i="7" l="1"/>
  <c r="W754" i="7" s="1"/>
  <c r="AD754" i="7"/>
  <c r="Y754" i="7" s="1"/>
  <c r="AE754" i="7"/>
  <c r="AA754" i="7" s="1"/>
  <c r="X754" i="7" l="1"/>
  <c r="V754" i="7"/>
  <c r="Z754" i="7"/>
  <c r="U754" i="7"/>
  <c r="T754" i="7" l="1"/>
  <c r="R755" i="7" s="1"/>
  <c r="Q755" i="7"/>
  <c r="S755" i="7"/>
  <c r="P755" i="7" l="1"/>
  <c r="AC755" i="7" s="1"/>
  <c r="W755" i="7" s="1"/>
  <c r="AE755" i="7" l="1"/>
  <c r="AA755" i="7" s="1"/>
  <c r="AD755" i="7"/>
  <c r="V755" i="7"/>
  <c r="Z755" i="7"/>
  <c r="Y755" i="7" l="1"/>
  <c r="U755" i="7" s="1"/>
  <c r="S756" i="7" s="1"/>
  <c r="X755" i="7"/>
  <c r="T755" i="7" s="1"/>
  <c r="Q756" i="7"/>
  <c r="P756" i="7" l="1"/>
  <c r="AD756" i="7" s="1"/>
  <c r="Y756" i="7" s="1"/>
  <c r="R756" i="7"/>
  <c r="AE756" i="7"/>
  <c r="AA756" i="7" s="1"/>
  <c r="AC756" i="7"/>
  <c r="W756" i="7" s="1"/>
  <c r="X756" i="7" l="1"/>
  <c r="U756" i="7"/>
  <c r="Q757" i="7" s="1"/>
  <c r="Z756" i="7"/>
  <c r="V756" i="7"/>
  <c r="S757" i="7"/>
  <c r="T756" i="7" l="1"/>
  <c r="P757" i="7"/>
  <c r="R757" i="7"/>
  <c r="AE757" i="7" l="1"/>
  <c r="AA757" i="7" s="1"/>
  <c r="AD757" i="7"/>
  <c r="Y757" i="7" s="1"/>
  <c r="AC757" i="7"/>
  <c r="W757" i="7" s="1"/>
  <c r="Z757" i="7"/>
  <c r="U757" i="7" l="1"/>
  <c r="X757" i="7"/>
  <c r="V757" i="7"/>
  <c r="T757" i="7" s="1"/>
  <c r="S758" i="7"/>
  <c r="Q758" i="7"/>
  <c r="P758" i="7" l="1"/>
  <c r="AC758" i="7" s="1"/>
  <c r="R758" i="7"/>
  <c r="AE758" i="7"/>
  <c r="AD758" i="7" l="1"/>
  <c r="X758" i="7" s="1"/>
  <c r="AA758" i="7"/>
  <c r="Z758" i="7"/>
  <c r="W758" i="7"/>
  <c r="V758" i="7"/>
  <c r="Y758" i="7"/>
  <c r="T758" i="7" l="1"/>
  <c r="R759" i="7" s="1"/>
  <c r="U758" i="7"/>
  <c r="Q759" i="7"/>
  <c r="S759" i="7"/>
  <c r="P759" i="7" l="1"/>
  <c r="AC759" i="7"/>
  <c r="W759" i="7" s="1"/>
  <c r="AD759" i="7"/>
  <c r="Y759" i="7" s="1"/>
  <c r="AE759" i="7"/>
  <c r="AA759" i="7" s="1"/>
  <c r="V759" i="7"/>
  <c r="X759" i="7" l="1"/>
  <c r="Z759" i="7"/>
  <c r="U759" i="7"/>
  <c r="Q760" i="7" l="1"/>
  <c r="S760" i="7"/>
  <c r="T759" i="7"/>
  <c r="P760" i="7" l="1"/>
  <c r="R760" i="7"/>
  <c r="AD760" i="7" l="1"/>
  <c r="Y760" i="7" s="1"/>
  <c r="AE760" i="7"/>
  <c r="AA760" i="7" s="1"/>
  <c r="AC760" i="7"/>
  <c r="W760" i="7" s="1"/>
  <c r="V760" i="7" l="1"/>
  <c r="X760" i="7"/>
  <c r="U760" i="7"/>
  <c r="Z760" i="7"/>
  <c r="T760" i="7" l="1"/>
  <c r="R761" i="7"/>
  <c r="P761" i="7"/>
  <c r="S761" i="7"/>
  <c r="Q761" i="7"/>
  <c r="AE761" i="7" l="1"/>
  <c r="AA761" i="7" s="1"/>
  <c r="AD761" i="7"/>
  <c r="Y761" i="7" s="1"/>
  <c r="AC761" i="7"/>
  <c r="W761" i="7" s="1"/>
  <c r="Z761" i="7"/>
  <c r="U761" i="7" l="1"/>
  <c r="Q762" i="7" s="1"/>
  <c r="V761" i="7"/>
  <c r="X761" i="7"/>
  <c r="S762" i="7" l="1"/>
  <c r="T761" i="7"/>
  <c r="P762" i="7" l="1"/>
  <c r="R762" i="7"/>
  <c r="AE762" i="7" l="1"/>
  <c r="AA762" i="7" s="1"/>
  <c r="AD762" i="7"/>
  <c r="Y762" i="7" s="1"/>
  <c r="AC762" i="7"/>
  <c r="W762" i="7" s="1"/>
  <c r="Z762" i="7" l="1"/>
  <c r="X762" i="7"/>
  <c r="V762" i="7"/>
  <c r="U762" i="7"/>
  <c r="T762" i="7" l="1"/>
  <c r="R763" i="7" s="1"/>
  <c r="P763" i="7"/>
  <c r="S763" i="7"/>
  <c r="Q763" i="7"/>
  <c r="AC763" i="7" l="1"/>
  <c r="W763" i="7" s="1"/>
  <c r="AE763" i="7"/>
  <c r="Z763" i="7" s="1"/>
  <c r="AD763" i="7"/>
  <c r="Y763" i="7" s="1"/>
  <c r="AA763" i="7"/>
  <c r="V763" i="7"/>
  <c r="U763" i="7" l="1"/>
  <c r="Q764" i="7" s="1"/>
  <c r="X763" i="7"/>
  <c r="T763" i="7" s="1"/>
  <c r="S764" i="7" l="1"/>
  <c r="P764" i="7"/>
  <c r="AC764" i="7" s="1"/>
  <c r="R764" i="7"/>
  <c r="AD764" i="7" l="1"/>
  <c r="AE764" i="7"/>
  <c r="Z764" i="7" s="1"/>
  <c r="X764" i="7"/>
  <c r="Y764" i="7"/>
  <c r="V764" i="7"/>
  <c r="W764" i="7"/>
  <c r="AA764" i="7" l="1"/>
  <c r="T764" i="7"/>
  <c r="R765" i="7" s="1"/>
  <c r="P765" i="7"/>
  <c r="U764" i="7"/>
  <c r="Q765" i="7" l="1"/>
  <c r="AE765" i="7" s="1"/>
  <c r="Z765" i="7" s="1"/>
  <c r="S765" i="7"/>
  <c r="AA765" i="7" l="1"/>
  <c r="AD765" i="7"/>
  <c r="X765" i="7" s="1"/>
  <c r="AC765" i="7"/>
  <c r="V765" i="7" s="1"/>
  <c r="T765" i="7" l="1"/>
  <c r="R766" i="7" s="1"/>
  <c r="P766" i="7"/>
  <c r="Y765" i="7"/>
  <c r="W765" i="7"/>
  <c r="U765" i="7" l="1"/>
  <c r="Q766" i="7" s="1"/>
  <c r="S766" i="7" l="1"/>
  <c r="AE766" i="7"/>
  <c r="Z766" i="7" s="1"/>
  <c r="AD766" i="7"/>
  <c r="X766" i="7" s="1"/>
  <c r="AC766" i="7"/>
  <c r="V766" i="7" s="1"/>
  <c r="Y766" i="7" l="1"/>
  <c r="T766" i="7"/>
  <c r="AA766" i="7"/>
  <c r="W766" i="7"/>
  <c r="P767" i="7"/>
  <c r="R767" i="7"/>
  <c r="U766" i="7" l="1"/>
  <c r="Q767" i="7" s="1"/>
  <c r="AD767" i="7" s="1"/>
  <c r="AE767" i="7"/>
  <c r="AA767" i="7" s="1"/>
  <c r="AC767" i="7" l="1"/>
  <c r="W767" i="7" s="1"/>
  <c r="Y767" i="7"/>
  <c r="X767" i="7"/>
  <c r="S767" i="7"/>
  <c r="V767" i="7"/>
  <c r="Z767" i="7"/>
  <c r="U767" i="7"/>
  <c r="T767" i="7" l="1"/>
  <c r="R768" i="7"/>
  <c r="P768" i="7"/>
  <c r="S768" i="7"/>
  <c r="Q768" i="7"/>
  <c r="AE768" i="7" l="1"/>
  <c r="AA768" i="7" s="1"/>
  <c r="AC768" i="7"/>
  <c r="W768" i="7" s="1"/>
  <c r="AD768" i="7"/>
  <c r="Y768" i="7" s="1"/>
  <c r="Z768" i="7" l="1"/>
  <c r="X768" i="7"/>
  <c r="V768" i="7"/>
  <c r="U768" i="7"/>
  <c r="T768" i="7" l="1"/>
  <c r="Q769" i="7"/>
  <c r="S769" i="7"/>
  <c r="P769" i="7"/>
  <c r="R769" i="7"/>
  <c r="AD769" i="7" l="1"/>
  <c r="Y769" i="7" s="1"/>
  <c r="AE769" i="7"/>
  <c r="AA769" i="7" s="1"/>
  <c r="AC769" i="7"/>
  <c r="W769" i="7" s="1"/>
  <c r="V769" i="7" l="1"/>
  <c r="X769" i="7"/>
  <c r="U769" i="7"/>
  <c r="Z769" i="7"/>
  <c r="T769" i="7" l="1"/>
  <c r="R770" i="7" s="1"/>
  <c r="S770" i="7"/>
  <c r="Q770" i="7"/>
  <c r="P770" i="7" l="1"/>
  <c r="AC770" i="7" s="1"/>
  <c r="W770" i="7" s="1"/>
  <c r="AD770" i="7" l="1"/>
  <c r="Y770" i="7" s="1"/>
  <c r="AE770" i="7"/>
  <c r="AA770" i="7" s="1"/>
  <c r="U770" i="7" s="1"/>
  <c r="X770" i="7"/>
  <c r="V770" i="7"/>
  <c r="Z770" i="7" l="1"/>
  <c r="T770" i="7"/>
  <c r="R771" i="7" s="1"/>
  <c r="P771" i="7"/>
  <c r="S771" i="7"/>
  <c r="Q771" i="7"/>
  <c r="AE771" i="7" l="1"/>
  <c r="Z771" i="7" s="1"/>
  <c r="AC771" i="7"/>
  <c r="W771" i="7" s="1"/>
  <c r="AD771" i="7"/>
  <c r="X771" i="7" s="1"/>
  <c r="V771" i="7" l="1"/>
  <c r="T771" i="7" s="1"/>
  <c r="AA771" i="7"/>
  <c r="Y771" i="7"/>
  <c r="U771" i="7" l="1"/>
  <c r="S772" i="7" s="1"/>
  <c r="Q772" i="7"/>
  <c r="R772" i="7"/>
  <c r="P772" i="7"/>
  <c r="AC772" i="7" l="1"/>
  <c r="V772" i="7" s="1"/>
  <c r="AD772" i="7"/>
  <c r="X772" i="7" s="1"/>
  <c r="AE772" i="7"/>
  <c r="Z772" i="7" s="1"/>
  <c r="Y772" i="7" l="1"/>
  <c r="W772" i="7"/>
  <c r="T772" i="7"/>
  <c r="AA772" i="7"/>
  <c r="U772" i="7" l="1"/>
  <c r="S773" i="7" s="1"/>
  <c r="R773" i="7"/>
  <c r="P773" i="7"/>
  <c r="Q773" i="7" l="1"/>
  <c r="AC773" i="7" s="1"/>
  <c r="AD773" i="7" l="1"/>
  <c r="Y773" i="7" s="1"/>
  <c r="AE773" i="7"/>
  <c r="V773" i="7"/>
  <c r="W773" i="7"/>
  <c r="X773" i="7"/>
  <c r="Z773" i="7" l="1"/>
  <c r="T773" i="7" s="1"/>
  <c r="AA773" i="7"/>
  <c r="U773" i="7" s="1"/>
  <c r="R774" i="7" l="1"/>
  <c r="P774" i="7"/>
  <c r="Q774" i="7"/>
  <c r="S774" i="7"/>
  <c r="AD774" i="7"/>
  <c r="Y774" i="7" s="1"/>
  <c r="AE774" i="7"/>
  <c r="AA774" i="7" s="1"/>
  <c r="AC774" i="7"/>
  <c r="Z774" i="7" l="1"/>
  <c r="X774" i="7"/>
  <c r="V774" i="7"/>
  <c r="W774" i="7"/>
  <c r="U774" i="7" s="1"/>
  <c r="T774" i="7" l="1"/>
  <c r="S775" i="7"/>
  <c r="Q775" i="7"/>
  <c r="P775" i="7"/>
  <c r="R775" i="7"/>
  <c r="AE775" i="7" l="1"/>
  <c r="AA775" i="7" s="1"/>
  <c r="AD775" i="7"/>
  <c r="Y775" i="7" s="1"/>
  <c r="AC775" i="7"/>
  <c r="W775" i="7" s="1"/>
  <c r="Z775" i="7"/>
  <c r="U775" i="7" l="1"/>
  <c r="Q776" i="7" s="1"/>
  <c r="X775" i="7"/>
  <c r="S776" i="7"/>
  <c r="V775" i="7"/>
  <c r="T775" i="7" l="1"/>
  <c r="P776" i="7"/>
  <c r="R776" i="7"/>
  <c r="AE776" i="7" l="1"/>
  <c r="AA776" i="7" s="1"/>
  <c r="AC776" i="7"/>
  <c r="W776" i="7" s="1"/>
  <c r="AD776" i="7"/>
  <c r="Z776" i="7"/>
  <c r="X776" i="7" l="1"/>
  <c r="Y776" i="7"/>
  <c r="U776" i="7" s="1"/>
  <c r="V776" i="7"/>
  <c r="T776" i="7" s="1"/>
  <c r="R777" i="7" l="1"/>
  <c r="P777" i="7"/>
  <c r="S777" i="7"/>
  <c r="Q777" i="7"/>
  <c r="AC777" i="7" l="1"/>
  <c r="W777" i="7" s="1"/>
  <c r="AE777" i="7"/>
  <c r="AA777" i="7" s="1"/>
  <c r="AD777" i="7"/>
  <c r="Y777" i="7" s="1"/>
  <c r="V777" i="7" l="1"/>
  <c r="Z777" i="7"/>
  <c r="X777" i="7"/>
  <c r="U777" i="7"/>
  <c r="T777" i="7" l="1"/>
  <c r="P778" i="7"/>
  <c r="R778" i="7"/>
  <c r="Q778" i="7"/>
  <c r="S778" i="7"/>
  <c r="AC778" i="7" l="1"/>
  <c r="W778" i="7" s="1"/>
  <c r="AD778" i="7"/>
  <c r="Y778" i="7" s="1"/>
  <c r="AE778" i="7"/>
  <c r="AA778" i="7" s="1"/>
  <c r="X778" i="7" l="1"/>
  <c r="V778" i="7"/>
  <c r="Z778" i="7"/>
  <c r="U778" i="7"/>
  <c r="T778" i="7" l="1"/>
  <c r="R779" i="7"/>
  <c r="P779" i="7"/>
  <c r="S779" i="7"/>
  <c r="Q779" i="7"/>
  <c r="AC779" i="7" l="1"/>
  <c r="W779" i="7" s="1"/>
  <c r="AE779" i="7"/>
  <c r="AA779" i="7" s="1"/>
  <c r="AD779" i="7"/>
  <c r="Y779" i="7" s="1"/>
  <c r="V779" i="7" l="1"/>
  <c r="Z779" i="7"/>
  <c r="U779" i="7"/>
  <c r="X779" i="7"/>
  <c r="T779" i="7" l="1"/>
  <c r="P780" i="7"/>
  <c r="R780" i="7"/>
  <c r="Q780" i="7"/>
  <c r="S780" i="7"/>
  <c r="AC780" i="7" l="1"/>
  <c r="W780" i="7" s="1"/>
  <c r="AE780" i="7"/>
  <c r="AA780" i="7" s="1"/>
  <c r="AD780" i="7"/>
  <c r="Y780" i="7" s="1"/>
  <c r="V780" i="7" l="1"/>
  <c r="Z780" i="7"/>
  <c r="X780" i="7"/>
  <c r="U780" i="7"/>
  <c r="T780" i="7" l="1"/>
  <c r="P781" i="7" s="1"/>
  <c r="S781" i="7"/>
  <c r="Q781" i="7"/>
  <c r="R781" i="7" l="1"/>
  <c r="AD781" i="7"/>
  <c r="Y781" i="7" s="1"/>
  <c r="AC781" i="7"/>
  <c r="W781" i="7" s="1"/>
  <c r="AE781" i="7"/>
  <c r="AA781" i="7" s="1"/>
  <c r="V781" i="7" l="1"/>
  <c r="X781" i="7"/>
  <c r="U781" i="7"/>
  <c r="Z781" i="7"/>
  <c r="S782" i="7" l="1"/>
  <c r="Q782" i="7"/>
  <c r="T781" i="7"/>
  <c r="P782" i="7" l="1"/>
  <c r="R782" i="7"/>
  <c r="AE782" i="7" l="1"/>
  <c r="AA782" i="7" s="1"/>
  <c r="AD782" i="7"/>
  <c r="Y782" i="7" s="1"/>
  <c r="AC782" i="7"/>
  <c r="W782" i="7" s="1"/>
  <c r="Z782" i="7" l="1"/>
  <c r="U782" i="7"/>
  <c r="S783" i="7" s="1"/>
  <c r="V782" i="7"/>
  <c r="X782" i="7"/>
  <c r="Q783" i="7" l="1"/>
  <c r="T782" i="7"/>
  <c r="R783" i="7" l="1"/>
  <c r="P783" i="7"/>
  <c r="AD783" i="7" l="1"/>
  <c r="Y783" i="7" s="1"/>
  <c r="AE783" i="7"/>
  <c r="AC783" i="7"/>
  <c r="W783" i="7" s="1"/>
  <c r="V783" i="7" l="1"/>
  <c r="X783" i="7"/>
  <c r="Z783" i="7"/>
  <c r="AA783" i="7"/>
  <c r="U783" i="7" s="1"/>
  <c r="Q784" i="7" l="1"/>
  <c r="S784" i="7"/>
  <c r="T783" i="7"/>
  <c r="P784" i="7" l="1"/>
  <c r="R784" i="7"/>
  <c r="AE784" i="7" l="1"/>
  <c r="AA784" i="7" s="1"/>
  <c r="AD784" i="7"/>
  <c r="Y784" i="7" s="1"/>
  <c r="AC784" i="7"/>
  <c r="Z784" i="7" l="1"/>
  <c r="V784" i="7"/>
  <c r="W784" i="7"/>
  <c r="U784" i="7" s="1"/>
  <c r="X784" i="7"/>
  <c r="T784" i="7" l="1"/>
  <c r="S785" i="7"/>
  <c r="Q785" i="7"/>
  <c r="R785" i="7"/>
  <c r="P785" i="7"/>
  <c r="AE785" i="7" l="1"/>
  <c r="AA785" i="7" s="1"/>
  <c r="AD785" i="7"/>
  <c r="Y785" i="7" s="1"/>
  <c r="AC785" i="7"/>
  <c r="W785" i="7" s="1"/>
  <c r="U785" i="7" l="1"/>
  <c r="Q786" i="7" s="1"/>
  <c r="V785" i="7"/>
  <c r="Z785" i="7"/>
  <c r="S786" i="7"/>
  <c r="X785" i="7"/>
  <c r="T785" i="7" l="1"/>
  <c r="R786" i="7" s="1"/>
  <c r="P786" i="7"/>
  <c r="AE786" i="7" l="1"/>
  <c r="AA786" i="7" s="1"/>
  <c r="AC786" i="7"/>
  <c r="W786" i="7" s="1"/>
  <c r="AD786" i="7"/>
  <c r="Y786" i="7" s="1"/>
  <c r="Z786" i="7" l="1"/>
  <c r="V786" i="7"/>
  <c r="U786" i="7"/>
  <c r="X786" i="7"/>
  <c r="S787" i="7" l="1"/>
  <c r="Q787" i="7"/>
  <c r="T786" i="7"/>
  <c r="P787" i="7" l="1"/>
  <c r="R787" i="7"/>
  <c r="AC787" i="7" l="1"/>
  <c r="AE787" i="7"/>
  <c r="AD787" i="7"/>
  <c r="Y787" i="7" s="1"/>
  <c r="X787" i="7" l="1"/>
  <c r="Z787" i="7"/>
  <c r="AA787" i="7"/>
  <c r="V787" i="7"/>
  <c r="W787" i="7"/>
  <c r="U787" i="7" l="1"/>
  <c r="T787" i="7"/>
  <c r="R788" i="7" s="1"/>
  <c r="P788" i="7"/>
  <c r="S788" i="7"/>
  <c r="Q788" i="7"/>
  <c r="AC788" i="7" l="1"/>
  <c r="W788" i="7" s="1"/>
  <c r="AE788" i="7"/>
  <c r="Z788" i="7" s="1"/>
  <c r="AD788" i="7"/>
  <c r="Y788" i="7" s="1"/>
  <c r="V788" i="7"/>
  <c r="X788" i="7" l="1"/>
  <c r="T788" i="7" s="1"/>
  <c r="AA788" i="7"/>
  <c r="U788" i="7" s="1"/>
  <c r="S789" i="7" l="1"/>
  <c r="Q789" i="7"/>
  <c r="R789" i="7"/>
  <c r="P789" i="7"/>
  <c r="AC789" i="7" l="1"/>
  <c r="W789" i="7" s="1"/>
  <c r="AE789" i="7"/>
  <c r="AA789" i="7" s="1"/>
  <c r="AD789" i="7"/>
  <c r="Y789" i="7" s="1"/>
  <c r="V789" i="7"/>
  <c r="X789" i="7" l="1"/>
  <c r="Z789" i="7"/>
  <c r="T789" i="7" s="1"/>
  <c r="U789" i="7"/>
  <c r="S790" i="7" l="1"/>
  <c r="Q790" i="7"/>
  <c r="R790" i="7"/>
  <c r="P790" i="7"/>
  <c r="AE790" i="7" l="1"/>
  <c r="AA790" i="7" s="1"/>
  <c r="AD790" i="7"/>
  <c r="Y790" i="7" s="1"/>
  <c r="AC790" i="7"/>
  <c r="W790" i="7" s="1"/>
  <c r="X790" i="7" l="1"/>
  <c r="U790" i="7"/>
  <c r="S791" i="7" s="1"/>
  <c r="V790" i="7"/>
  <c r="Z790" i="7"/>
  <c r="Q791" i="7" l="1"/>
  <c r="T790" i="7"/>
  <c r="R791" i="7" l="1"/>
  <c r="P791" i="7"/>
  <c r="AC791" i="7" l="1"/>
  <c r="W791" i="7" s="1"/>
  <c r="AD791" i="7"/>
  <c r="Y791" i="7" s="1"/>
  <c r="AE791" i="7"/>
  <c r="AA791" i="7" s="1"/>
  <c r="Z791" i="7" l="1"/>
  <c r="X791" i="7"/>
  <c r="U791" i="7"/>
  <c r="V791" i="7"/>
  <c r="T791" i="7" l="1"/>
  <c r="R792" i="7"/>
  <c r="P792" i="7"/>
  <c r="S792" i="7"/>
  <c r="Q792" i="7"/>
  <c r="AD792" i="7" l="1"/>
  <c r="Y792" i="7" s="1"/>
  <c r="AC792" i="7"/>
  <c r="W792" i="7" s="1"/>
  <c r="AE792" i="7"/>
  <c r="AA792" i="7" s="1"/>
  <c r="X792" i="7" l="1"/>
  <c r="Z792" i="7"/>
  <c r="U792" i="7"/>
  <c r="V792" i="7"/>
  <c r="T792" i="7" s="1"/>
  <c r="R793" i="7" l="1"/>
  <c r="P793" i="7"/>
  <c r="Q793" i="7"/>
  <c r="S793" i="7"/>
  <c r="AC793" i="7" l="1"/>
  <c r="W793" i="7" s="1"/>
  <c r="AD793" i="7"/>
  <c r="Y793" i="7" s="1"/>
  <c r="AE793" i="7"/>
  <c r="AA793" i="7" s="1"/>
  <c r="X793" i="7" l="1"/>
  <c r="V793" i="7"/>
  <c r="U793" i="7"/>
  <c r="Z793" i="7"/>
  <c r="T793" i="7" s="1"/>
  <c r="P794" i="7" l="1"/>
  <c r="R794" i="7"/>
  <c r="S794" i="7"/>
  <c r="Q794" i="7"/>
  <c r="AC794" i="7" l="1"/>
  <c r="W794" i="7" s="1"/>
  <c r="AE794" i="7"/>
  <c r="AA794" i="7" s="1"/>
  <c r="AD794" i="7"/>
  <c r="Y794" i="7" s="1"/>
  <c r="V794" i="7"/>
  <c r="Z794" i="7" l="1"/>
  <c r="U794" i="7"/>
  <c r="X794" i="7"/>
  <c r="T794" i="7" s="1"/>
  <c r="R795" i="7" l="1"/>
  <c r="P795" i="7"/>
  <c r="Q795" i="7"/>
  <c r="S795" i="7"/>
  <c r="AC795" i="7" l="1"/>
  <c r="V795" i="7" s="1"/>
  <c r="AD795" i="7"/>
  <c r="X795" i="7" s="1"/>
  <c r="AE795" i="7"/>
  <c r="Z795" i="7" s="1"/>
  <c r="AA795" i="7" l="1"/>
  <c r="Y795" i="7"/>
  <c r="W795" i="7"/>
  <c r="U795" i="7" s="1"/>
  <c r="T795" i="7"/>
  <c r="R796" i="7" s="1"/>
  <c r="P796" i="7"/>
  <c r="S796" i="7" l="1"/>
  <c r="Q796" i="7"/>
  <c r="AC796" i="7" s="1"/>
  <c r="AD796" i="7" l="1"/>
  <c r="X796" i="7" s="1"/>
  <c r="AE796" i="7"/>
  <c r="AA796" i="7" s="1"/>
  <c r="W796" i="7"/>
  <c r="V796" i="7"/>
  <c r="Y796" i="7"/>
  <c r="Z796" i="7" l="1"/>
  <c r="T796" i="7" s="1"/>
  <c r="R797" i="7" s="1"/>
  <c r="U796" i="7"/>
  <c r="S797" i="7" s="1"/>
  <c r="Q797" i="7" l="1"/>
  <c r="P797" i="7"/>
  <c r="AC797" i="7" s="1"/>
  <c r="W797" i="7" s="1"/>
  <c r="AE797" i="7" l="1"/>
  <c r="AA797" i="7" s="1"/>
  <c r="AD797" i="7"/>
  <c r="Y797" i="7" s="1"/>
  <c r="U797" i="7" s="1"/>
  <c r="V797" i="7"/>
  <c r="Z797" i="7"/>
  <c r="X797" i="7" l="1"/>
  <c r="T797" i="7"/>
  <c r="P798" i="7"/>
  <c r="R798" i="7"/>
  <c r="S798" i="7"/>
  <c r="Q798" i="7"/>
  <c r="AC798" i="7" l="1"/>
  <c r="W798" i="7" s="1"/>
  <c r="AD798" i="7"/>
  <c r="Y798" i="7" s="1"/>
  <c r="AE798" i="7"/>
  <c r="AA798" i="7" s="1"/>
  <c r="V798" i="7"/>
  <c r="Z798" i="7" l="1"/>
  <c r="X798" i="7"/>
  <c r="T798" i="7" s="1"/>
  <c r="U798" i="7"/>
  <c r="R799" i="7" l="1"/>
  <c r="P799" i="7"/>
  <c r="S799" i="7"/>
  <c r="Q799" i="7"/>
  <c r="AC799" i="7" l="1"/>
  <c r="W799" i="7" s="1"/>
  <c r="AD799" i="7"/>
  <c r="Y799" i="7" s="1"/>
  <c r="AE799" i="7"/>
  <c r="AA799" i="7" s="1"/>
  <c r="V799" i="7" l="1"/>
  <c r="X799" i="7"/>
  <c r="Z799" i="7"/>
  <c r="U799" i="7"/>
  <c r="T799" i="7" l="1"/>
  <c r="Q800" i="7"/>
  <c r="S800" i="7"/>
  <c r="R800" i="7"/>
  <c r="P800" i="7"/>
  <c r="AD800" i="7" l="1"/>
  <c r="Y800" i="7" s="1"/>
  <c r="AC800" i="7"/>
  <c r="W800" i="7" s="1"/>
  <c r="X800" i="7"/>
  <c r="AE800" i="7"/>
  <c r="AA800" i="7" s="1"/>
  <c r="V800" i="7" l="1"/>
  <c r="Z800" i="7"/>
  <c r="T800" i="7" s="1"/>
  <c r="U800" i="7"/>
  <c r="R801" i="7" l="1"/>
  <c r="P801" i="7"/>
  <c r="Q801" i="7"/>
  <c r="S801" i="7"/>
  <c r="AC801" i="7" l="1"/>
  <c r="W801" i="7" s="1"/>
  <c r="AE801" i="7"/>
  <c r="AA801" i="7" s="1"/>
  <c r="AD801" i="7"/>
  <c r="Y801" i="7" s="1"/>
  <c r="V801" i="7" l="1"/>
  <c r="X801" i="7"/>
  <c r="Z801" i="7"/>
  <c r="U801" i="7"/>
  <c r="T801" i="7" l="1"/>
  <c r="R802" i="7" s="1"/>
  <c r="P802" i="7"/>
  <c r="S802" i="7"/>
  <c r="Q802" i="7"/>
  <c r="AD802" i="7" l="1"/>
  <c r="Y802" i="7" s="1"/>
  <c r="AC802" i="7"/>
  <c r="W802" i="7" s="1"/>
  <c r="AE802" i="7"/>
  <c r="AA802" i="7" s="1"/>
  <c r="X802" i="7" l="1"/>
  <c r="Z802" i="7"/>
  <c r="U802" i="7"/>
  <c r="V802" i="7"/>
  <c r="T802" i="7" s="1"/>
  <c r="S803" i="7" l="1"/>
  <c r="Q803" i="7"/>
  <c r="R803" i="7"/>
  <c r="P803" i="7"/>
  <c r="AD803" i="7" l="1"/>
  <c r="Y803" i="7" s="1"/>
  <c r="AE803" i="7"/>
  <c r="AA803" i="7" s="1"/>
  <c r="AC803" i="7"/>
  <c r="W803" i="7" s="1"/>
  <c r="V803" i="7" l="1"/>
  <c r="X803" i="7"/>
  <c r="U803" i="7"/>
  <c r="Z803" i="7"/>
  <c r="T803" i="7" l="1"/>
  <c r="R804" i="7" s="1"/>
  <c r="P804" i="7"/>
  <c r="S804" i="7"/>
  <c r="Q804" i="7"/>
  <c r="AE804" i="7" l="1"/>
  <c r="AA804" i="7" s="1"/>
  <c r="AC804" i="7"/>
  <c r="W804" i="7" s="1"/>
  <c r="AD804" i="7"/>
  <c r="Y804" i="7" s="1"/>
  <c r="V804" i="7" l="1"/>
  <c r="X804" i="7"/>
  <c r="Z804" i="7"/>
  <c r="U804" i="7"/>
  <c r="T804" i="7" l="1"/>
  <c r="R805" i="7" s="1"/>
  <c r="P805" i="7"/>
  <c r="Q805" i="7"/>
  <c r="S805" i="7"/>
  <c r="AD805" i="7" l="1"/>
  <c r="Y805" i="7" s="1"/>
  <c r="AE805" i="7"/>
  <c r="AA805" i="7" s="1"/>
  <c r="AC805" i="7"/>
  <c r="W805" i="7" s="1"/>
  <c r="X805" i="7"/>
  <c r="Z805" i="7" l="1"/>
  <c r="U805" i="7"/>
  <c r="Q806" i="7" s="1"/>
  <c r="V805" i="7"/>
  <c r="T805" i="7" l="1"/>
  <c r="R806" i="7" s="1"/>
  <c r="S806" i="7"/>
  <c r="P806" i="7" l="1"/>
  <c r="AC806" i="7"/>
  <c r="W806" i="7" s="1"/>
  <c r="AE806" i="7"/>
  <c r="AA806" i="7" s="1"/>
  <c r="AD806" i="7"/>
  <c r="Y806" i="7" s="1"/>
  <c r="V806" i="7" l="1"/>
  <c r="Z806" i="7"/>
  <c r="X806" i="7"/>
  <c r="U806" i="7"/>
  <c r="T806" i="7" l="1"/>
  <c r="S807" i="7"/>
  <c r="Q807" i="7"/>
  <c r="R807" i="7"/>
  <c r="P807" i="7"/>
  <c r="AD807" i="7" l="1"/>
  <c r="Y807" i="7" s="1"/>
  <c r="AE807" i="7"/>
  <c r="AA807" i="7" s="1"/>
  <c r="AC807" i="7"/>
  <c r="W807" i="7" s="1"/>
  <c r="X807" i="7"/>
  <c r="U807" i="7" l="1"/>
  <c r="S808" i="7" s="1"/>
  <c r="Z807" i="7"/>
  <c r="V807" i="7"/>
  <c r="Q808" i="7" l="1"/>
  <c r="T807" i="7"/>
  <c r="P808" i="7" s="1"/>
  <c r="R808" i="7" l="1"/>
  <c r="AE808" i="7"/>
  <c r="AA808" i="7" s="1"/>
  <c r="AC808" i="7"/>
  <c r="W808" i="7" s="1"/>
  <c r="AD808" i="7"/>
  <c r="Y808" i="7" s="1"/>
  <c r="Z808" i="7" l="1"/>
  <c r="X808" i="7"/>
  <c r="U808" i="7"/>
  <c r="V808" i="7"/>
  <c r="T808" i="7" l="1"/>
  <c r="R809" i="7" s="1"/>
  <c r="S809" i="7"/>
  <c r="Q809" i="7"/>
  <c r="P809" i="7" l="1"/>
  <c r="AD809" i="7" s="1"/>
  <c r="Y809" i="7" s="1"/>
  <c r="AE809" i="7"/>
  <c r="AA809" i="7" s="1"/>
  <c r="AC809" i="7"/>
  <c r="W809" i="7" s="1"/>
  <c r="U809" i="7" l="1"/>
  <c r="Q810" i="7" s="1"/>
  <c r="X809" i="7"/>
  <c r="V809" i="7"/>
  <c r="S810" i="7"/>
  <c r="Z809" i="7"/>
  <c r="T809" i="7" l="1"/>
  <c r="R810" i="7" l="1"/>
  <c r="P810" i="7"/>
  <c r="AD810" i="7" l="1"/>
  <c r="Y810" i="7" s="1"/>
  <c r="AC810" i="7"/>
  <c r="W810" i="7" s="1"/>
  <c r="AE810" i="7"/>
  <c r="AA810" i="7" s="1"/>
  <c r="X810" i="7" l="1"/>
  <c r="Z810" i="7"/>
  <c r="V810" i="7"/>
  <c r="U810" i="7"/>
  <c r="Q811" i="7" s="1"/>
  <c r="T810" i="7"/>
  <c r="S811" i="7"/>
  <c r="R811" i="7" l="1"/>
  <c r="P811" i="7"/>
  <c r="AD811" i="7" l="1"/>
  <c r="AC811" i="7"/>
  <c r="W811" i="7" s="1"/>
  <c r="AE811" i="7"/>
  <c r="AA811" i="7" s="1"/>
  <c r="V811" i="7" l="1"/>
  <c r="Z811" i="7"/>
  <c r="X811" i="7"/>
  <c r="T811" i="7" s="1"/>
  <c r="Y811" i="7"/>
  <c r="U811" i="7" s="1"/>
  <c r="S812" i="7" l="1"/>
  <c r="Q812" i="7"/>
  <c r="R812" i="7"/>
  <c r="P812" i="7"/>
  <c r="AC812" i="7" l="1"/>
  <c r="V812" i="7" s="1"/>
  <c r="AD812" i="7"/>
  <c r="Y812" i="7" s="1"/>
  <c r="AE812" i="7"/>
  <c r="Z812" i="7" s="1"/>
  <c r="X812" i="7" l="1"/>
  <c r="T812" i="7" s="1"/>
  <c r="AA812" i="7"/>
  <c r="W812" i="7"/>
  <c r="U812" i="7" l="1"/>
  <c r="Q813" i="7" s="1"/>
  <c r="P813" i="7"/>
  <c r="R813" i="7"/>
  <c r="S813" i="7" l="1"/>
  <c r="AE813" i="7"/>
  <c r="Z813" i="7" s="1"/>
  <c r="AC813" i="7"/>
  <c r="W813" i="7" s="1"/>
  <c r="AD813" i="7"/>
  <c r="X813" i="7" s="1"/>
  <c r="V813" i="7" l="1"/>
  <c r="T813" i="7" s="1"/>
  <c r="AA813" i="7"/>
  <c r="Y813" i="7"/>
  <c r="U813" i="7" l="1"/>
  <c r="R814" i="7"/>
  <c r="P814" i="7"/>
  <c r="S814" i="7"/>
  <c r="Q814" i="7"/>
  <c r="AE814" i="7" l="1"/>
  <c r="Z814" i="7" s="1"/>
  <c r="AD814" i="7"/>
  <c r="X814" i="7" s="1"/>
  <c r="AC814" i="7"/>
  <c r="V814" i="7" s="1"/>
  <c r="AA814" i="7" l="1"/>
  <c r="Y814" i="7"/>
  <c r="W814" i="7"/>
  <c r="T814" i="7"/>
  <c r="U814" i="7" l="1"/>
  <c r="P815" i="7"/>
  <c r="R815" i="7"/>
  <c r="Q815" i="7"/>
  <c r="S815" i="7"/>
  <c r="AD815" i="7" l="1"/>
  <c r="X815" i="7" s="1"/>
  <c r="AE815" i="7"/>
  <c r="AA815" i="7" s="1"/>
  <c r="AC815" i="7"/>
  <c r="V815" i="7" s="1"/>
  <c r="Z815" i="7" l="1"/>
  <c r="T815" i="7" s="1"/>
  <c r="W815" i="7"/>
  <c r="Y815" i="7"/>
  <c r="R816" i="7" l="1"/>
  <c r="P816" i="7"/>
  <c r="U815" i="7"/>
  <c r="Q816" i="7" s="1"/>
  <c r="AC816" i="7" l="1"/>
  <c r="W816" i="7" s="1"/>
  <c r="S816" i="7"/>
  <c r="AD816" i="7"/>
  <c r="AE816" i="7"/>
  <c r="V816" i="7" l="1"/>
  <c r="Y816" i="7"/>
  <c r="X816" i="7"/>
  <c r="AA816" i="7"/>
  <c r="Z816" i="7"/>
  <c r="U816" i="7" l="1"/>
  <c r="T816" i="7"/>
  <c r="S817" i="7"/>
  <c r="Q817" i="7"/>
  <c r="R817" i="7"/>
  <c r="P817" i="7"/>
  <c r="AC817" i="7" l="1"/>
  <c r="V817" i="7" s="1"/>
  <c r="AD817" i="7"/>
  <c r="X817" i="7" s="1"/>
  <c r="AE817" i="7"/>
  <c r="Z817" i="7" s="1"/>
  <c r="W817" i="7" l="1"/>
  <c r="Y817" i="7"/>
  <c r="AA817" i="7"/>
  <c r="U817" i="7" s="1"/>
  <c r="T817" i="7"/>
  <c r="R818" i="7" l="1"/>
  <c r="P818" i="7"/>
  <c r="Q818" i="7"/>
  <c r="S818" i="7"/>
  <c r="AC818" i="7" l="1"/>
  <c r="AE818" i="7"/>
  <c r="AA818" i="7" s="1"/>
  <c r="AD818" i="7"/>
  <c r="Y818" i="7" s="1"/>
  <c r="V818" i="7"/>
  <c r="Z818" i="7"/>
  <c r="W818" i="7"/>
  <c r="X818" i="7" l="1"/>
  <c r="T818" i="7" s="1"/>
  <c r="U818" i="7"/>
  <c r="S819" i="7" l="1"/>
  <c r="Q819" i="7"/>
  <c r="P819" i="7"/>
  <c r="R819" i="7"/>
  <c r="AD819" i="7" l="1"/>
  <c r="Y819" i="7" s="1"/>
  <c r="AE819" i="7"/>
  <c r="AA819" i="7" s="1"/>
  <c r="AC819" i="7"/>
  <c r="W819" i="7" s="1"/>
  <c r="Z819" i="7" l="1"/>
  <c r="U819" i="7"/>
  <c r="V819" i="7"/>
  <c r="X819" i="7"/>
  <c r="S820" i="7"/>
  <c r="Q820" i="7"/>
  <c r="T819" i="7" l="1"/>
  <c r="R820" i="7"/>
  <c r="P820" i="7"/>
  <c r="AE820" i="7" l="1"/>
  <c r="AA820" i="7" s="1"/>
  <c r="AD820" i="7"/>
  <c r="Y820" i="7" s="1"/>
  <c r="AC820" i="7"/>
  <c r="W820" i="7" s="1"/>
  <c r="X820" i="7"/>
  <c r="V820" i="7" l="1"/>
  <c r="Z820" i="7"/>
  <c r="U820" i="7"/>
  <c r="Q821" i="7" s="1"/>
  <c r="T820" i="7"/>
  <c r="P821" i="7" s="1"/>
  <c r="AD821" i="7" l="1"/>
  <c r="X821" i="7" s="1"/>
  <c r="S821" i="7"/>
  <c r="R821" i="7"/>
  <c r="Y821" i="7"/>
  <c r="AE821" i="7"/>
  <c r="Z821" i="7" s="1"/>
  <c r="AC821" i="7"/>
  <c r="V821" i="7" s="1"/>
  <c r="T821" i="7" l="1"/>
  <c r="AA821" i="7"/>
  <c r="W821" i="7"/>
  <c r="U821" i="7" s="1"/>
  <c r="S822" i="7" l="1"/>
  <c r="Q822" i="7"/>
  <c r="R822" i="7"/>
  <c r="P822" i="7"/>
  <c r="AC822" i="7" l="1"/>
  <c r="W822" i="7" s="1"/>
  <c r="AE822" i="7"/>
  <c r="Z822" i="7" s="1"/>
  <c r="AD822" i="7"/>
  <c r="X822" i="7" s="1"/>
  <c r="Y822" i="7" l="1"/>
  <c r="AA822" i="7"/>
  <c r="V822" i="7"/>
  <c r="T822" i="7" s="1"/>
  <c r="U822" i="7" l="1"/>
  <c r="R823" i="7"/>
  <c r="P823" i="7"/>
  <c r="Q823" i="7"/>
  <c r="S823" i="7"/>
  <c r="AE823" i="7" l="1"/>
  <c r="Z823" i="7" s="1"/>
  <c r="AC823" i="7"/>
  <c r="V823" i="7" s="1"/>
  <c r="AD823" i="7"/>
  <c r="Y823" i="7" s="1"/>
  <c r="X823" i="7" l="1"/>
  <c r="T823" i="7" s="1"/>
  <c r="AA823" i="7"/>
  <c r="W823" i="7"/>
  <c r="U823" i="7" l="1"/>
  <c r="S824" i="7" s="1"/>
  <c r="P824" i="7"/>
  <c r="R824" i="7"/>
  <c r="Q824" i="7" l="1"/>
  <c r="AC824" i="7" s="1"/>
  <c r="W824" i="7" l="1"/>
  <c r="V824" i="7"/>
  <c r="AD824" i="7"/>
  <c r="Y824" i="7" s="1"/>
  <c r="AE824" i="7"/>
  <c r="Z824" i="7" s="1"/>
  <c r="X824" i="7" l="1"/>
  <c r="T824" i="7" s="1"/>
  <c r="R825" i="7" s="1"/>
  <c r="AA824" i="7"/>
  <c r="U824" i="7" s="1"/>
  <c r="Q825" i="7" s="1"/>
  <c r="P825" i="7"/>
  <c r="S825" i="7" l="1"/>
  <c r="AC825" i="7"/>
  <c r="V825" i="7" s="1"/>
  <c r="AD825" i="7"/>
  <c r="Y825" i="7" s="1"/>
  <c r="AE825" i="7"/>
  <c r="Z825" i="7" s="1"/>
  <c r="W825" i="7"/>
  <c r="AA825" i="7" l="1"/>
  <c r="X825" i="7"/>
  <c r="T825" i="7" s="1"/>
  <c r="U825" i="7"/>
  <c r="S826" i="7" l="1"/>
  <c r="Q826" i="7"/>
  <c r="R826" i="7"/>
  <c r="P826" i="7"/>
  <c r="AE826" i="7" l="1"/>
  <c r="AA826" i="7" s="1"/>
  <c r="AC826" i="7"/>
  <c r="W826" i="7" s="1"/>
  <c r="AD826" i="7"/>
  <c r="Y826" i="7" s="1"/>
  <c r="V826" i="7" l="1"/>
  <c r="U826" i="7"/>
  <c r="Z826" i="7"/>
  <c r="Q827" i="7"/>
  <c r="S827" i="7"/>
  <c r="X826" i="7"/>
  <c r="T826" i="7" s="1"/>
  <c r="R827" i="7" l="1"/>
  <c r="P827" i="7"/>
  <c r="AE827" i="7" l="1"/>
  <c r="AA827" i="7" s="1"/>
  <c r="AD827" i="7"/>
  <c r="Y827" i="7" s="1"/>
  <c r="AC827" i="7"/>
  <c r="W827" i="7" s="1"/>
  <c r="Z827" i="7" l="1"/>
  <c r="X827" i="7"/>
  <c r="U827" i="7"/>
  <c r="Q828" i="7" s="1"/>
  <c r="V827" i="7"/>
  <c r="T827" i="7" s="1"/>
  <c r="S828" i="7" l="1"/>
  <c r="P828" i="7"/>
  <c r="R828" i="7"/>
  <c r="AD828" i="7" l="1"/>
  <c r="Y828" i="7" s="1"/>
  <c r="AE828" i="7"/>
  <c r="AA828" i="7" s="1"/>
  <c r="AC828" i="7"/>
  <c r="W828" i="7" s="1"/>
  <c r="X828" i="7"/>
  <c r="U828" i="7" l="1"/>
  <c r="V828" i="7"/>
  <c r="Z828" i="7"/>
  <c r="S829" i="7"/>
  <c r="Q829" i="7"/>
  <c r="T828" i="7" l="1"/>
  <c r="R829" i="7" l="1"/>
  <c r="P829" i="7"/>
  <c r="AE829" i="7" l="1"/>
  <c r="AA829" i="7" s="1"/>
  <c r="AD829" i="7"/>
  <c r="Y829" i="7" s="1"/>
  <c r="AC829" i="7"/>
  <c r="W829" i="7" s="1"/>
  <c r="Z829" i="7"/>
  <c r="X829" i="7" l="1"/>
  <c r="V829" i="7"/>
  <c r="T829" i="7" s="1"/>
  <c r="U829" i="7"/>
  <c r="Q830" i="7" s="1"/>
  <c r="S830" i="7" l="1"/>
  <c r="P830" i="7"/>
  <c r="R830" i="7"/>
  <c r="AE830" i="7" l="1"/>
  <c r="AA830" i="7" s="1"/>
  <c r="AC830" i="7"/>
  <c r="W830" i="7" s="1"/>
  <c r="AD830" i="7"/>
  <c r="Y830" i="7" s="1"/>
  <c r="Z830" i="7"/>
  <c r="V830" i="7" l="1"/>
  <c r="X830" i="7"/>
  <c r="U830" i="7"/>
  <c r="Q831" i="7" s="1"/>
  <c r="T830" i="7" l="1"/>
  <c r="S831" i="7"/>
  <c r="R831" i="7"/>
  <c r="P831" i="7"/>
  <c r="AD831" i="7" s="1"/>
  <c r="AE831" i="7" l="1"/>
  <c r="Z831" i="7" s="1"/>
  <c r="X831" i="7"/>
  <c r="Y831" i="7"/>
  <c r="AC831" i="7"/>
  <c r="AA831" i="7"/>
  <c r="V831" i="7" l="1"/>
  <c r="T831" i="7" s="1"/>
  <c r="W831" i="7"/>
  <c r="U831" i="7" s="1"/>
  <c r="S832" i="7" s="1"/>
  <c r="R832" i="7"/>
  <c r="P832" i="7"/>
  <c r="Q832" i="7"/>
  <c r="AC832" i="7" l="1"/>
  <c r="AD832" i="7"/>
  <c r="AE832" i="7"/>
  <c r="Z832" i="7" l="1"/>
  <c r="AA832" i="7"/>
  <c r="X832" i="7"/>
  <c r="Y832" i="7"/>
  <c r="V832" i="7"/>
  <c r="W832" i="7"/>
  <c r="T832" i="7" l="1"/>
  <c r="P833" i="7"/>
  <c r="R833" i="7"/>
  <c r="U832" i="7"/>
  <c r="Q833" i="7" l="1"/>
  <c r="AE833" i="7" s="1"/>
  <c r="S833" i="7"/>
  <c r="AA833" i="7" l="1"/>
  <c r="Z833" i="7"/>
  <c r="AD833" i="7"/>
  <c r="AC833" i="7"/>
  <c r="W833" i="7" l="1"/>
  <c r="V833" i="7"/>
  <c r="Y833" i="7"/>
  <c r="X833" i="7"/>
  <c r="T833" i="7" s="1"/>
  <c r="R834" i="7" l="1"/>
  <c r="P834" i="7"/>
  <c r="U833" i="7"/>
  <c r="S834" i="7" l="1"/>
  <c r="Q834" i="7"/>
  <c r="AE834" i="7" l="1"/>
  <c r="AD834" i="7"/>
  <c r="AC834" i="7"/>
  <c r="V834" i="7" s="1"/>
  <c r="Y834" i="7" l="1"/>
  <c r="X834" i="7"/>
  <c r="AA834" i="7"/>
  <c r="Z834" i="7"/>
  <c r="W834" i="7"/>
  <c r="U834" i="7" l="1"/>
  <c r="T834" i="7"/>
  <c r="R835" i="7" s="1"/>
  <c r="S835" i="7"/>
  <c r="Q835" i="7"/>
  <c r="P835" i="7" l="1"/>
  <c r="AC835" i="7"/>
  <c r="W835" i="7" s="1"/>
  <c r="AE835" i="7"/>
  <c r="AD835" i="7"/>
  <c r="X835" i="7" s="1"/>
  <c r="Z835" i="7"/>
  <c r="AA835" i="7"/>
  <c r="Y835" i="7" l="1"/>
  <c r="U835" i="7" s="1"/>
  <c r="Q836" i="7" s="1"/>
  <c r="V835" i="7"/>
  <c r="T835" i="7" s="1"/>
  <c r="S836" i="7" l="1"/>
  <c r="P836" i="7"/>
  <c r="R836" i="7"/>
  <c r="AE836" i="7" l="1"/>
  <c r="AA836" i="7" s="1"/>
  <c r="AD836" i="7"/>
  <c r="Y836" i="7" s="1"/>
  <c r="AC836" i="7"/>
  <c r="W836" i="7" s="1"/>
  <c r="Z836" i="7"/>
  <c r="V836" i="7" l="1"/>
  <c r="U836" i="7"/>
  <c r="X836" i="7"/>
  <c r="T836" i="7" l="1"/>
  <c r="R837" i="7"/>
  <c r="P837" i="7"/>
  <c r="Q837" i="7"/>
  <c r="S837" i="7"/>
  <c r="AD837" i="7" l="1"/>
  <c r="Y837" i="7" s="1"/>
  <c r="AE837" i="7"/>
  <c r="AA837" i="7" s="1"/>
  <c r="AC837" i="7"/>
  <c r="W837" i="7" s="1"/>
  <c r="X837" i="7"/>
  <c r="U837" i="7" l="1"/>
  <c r="V837" i="7"/>
  <c r="Z837" i="7"/>
  <c r="T837" i="7" l="1"/>
  <c r="P838" i="7" s="1"/>
  <c r="Q838" i="7"/>
  <c r="S838" i="7"/>
  <c r="R838" i="7" l="1"/>
  <c r="AD838" i="7"/>
  <c r="Y838" i="7" s="1"/>
  <c r="AE838" i="7"/>
  <c r="AA838" i="7" s="1"/>
  <c r="AC838" i="7"/>
  <c r="W838" i="7" s="1"/>
  <c r="U838" i="7" l="1"/>
  <c r="S839" i="7" s="1"/>
  <c r="Z838" i="7"/>
  <c r="V838" i="7"/>
  <c r="X838" i="7"/>
  <c r="Q839" i="7"/>
  <c r="T838" i="7" l="1"/>
  <c r="R839" i="7" s="1"/>
  <c r="P839" i="7" l="1"/>
  <c r="AC839" i="7" s="1"/>
  <c r="AE839" i="7" l="1"/>
  <c r="AA839" i="7" s="1"/>
  <c r="AD839" i="7"/>
  <c r="Y839" i="7" s="1"/>
  <c r="W839" i="7"/>
  <c r="V839" i="7"/>
  <c r="X839" i="7"/>
  <c r="Z839" i="7" l="1"/>
  <c r="T839" i="7" s="1"/>
  <c r="R840" i="7" s="1"/>
  <c r="U839" i="7"/>
  <c r="S840" i="7" s="1"/>
  <c r="Q840" i="7"/>
  <c r="P840" i="7" l="1"/>
  <c r="AD840" i="7" s="1"/>
  <c r="Y840" i="7" s="1"/>
  <c r="AE840" i="7" l="1"/>
  <c r="Z840" i="7" s="1"/>
  <c r="AC840" i="7"/>
  <c r="V840" i="7" s="1"/>
  <c r="AA840" i="7"/>
  <c r="X840" i="7"/>
  <c r="T840" i="7" s="1"/>
  <c r="W840" i="7"/>
  <c r="U840" i="7" l="1"/>
  <c r="Q841" i="7"/>
  <c r="S841" i="7"/>
  <c r="R841" i="7"/>
  <c r="P841" i="7"/>
  <c r="AC841" i="7" l="1"/>
  <c r="AE841" i="7"/>
  <c r="Z841" i="7" s="1"/>
  <c r="AD841" i="7"/>
  <c r="X841" i="7" s="1"/>
  <c r="V841" i="7"/>
  <c r="W841" i="7"/>
  <c r="AA841" i="7"/>
  <c r="Y841" i="7" l="1"/>
  <c r="U841" i="7" s="1"/>
  <c r="T841" i="7"/>
  <c r="P842" i="7" s="1"/>
  <c r="R842" i="7" l="1"/>
  <c r="S842" i="7"/>
  <c r="Q842" i="7"/>
  <c r="AD842" i="7" l="1"/>
  <c r="X842" i="7" s="1"/>
  <c r="AC842" i="7"/>
  <c r="AE842" i="7"/>
  <c r="Z842" i="7" s="1"/>
  <c r="Y842" i="7" l="1"/>
  <c r="AA842" i="7"/>
  <c r="W842" i="7"/>
  <c r="V842" i="7"/>
  <c r="T842" i="7" s="1"/>
  <c r="U842" i="7" l="1"/>
  <c r="P843" i="7"/>
  <c r="R843" i="7"/>
  <c r="Q843" i="7"/>
  <c r="S843" i="7"/>
  <c r="AC843" i="7" l="1"/>
  <c r="W843" i="7" s="1"/>
  <c r="AD843" i="7"/>
  <c r="Y843" i="7" s="1"/>
  <c r="AE843" i="7"/>
  <c r="AA843" i="7" s="1"/>
  <c r="X843" i="7" l="1"/>
  <c r="Z843" i="7"/>
  <c r="U843" i="7"/>
  <c r="V843" i="7"/>
  <c r="T843" i="7" l="1"/>
  <c r="R844" i="7" s="1"/>
  <c r="P844" i="7"/>
  <c r="S844" i="7"/>
  <c r="Q844" i="7"/>
  <c r="AE844" i="7" l="1"/>
  <c r="AA844" i="7" s="1"/>
  <c r="AC844" i="7"/>
  <c r="V844" i="7" s="1"/>
  <c r="AD844" i="7"/>
  <c r="Y844" i="7" s="1"/>
  <c r="X844" i="7" l="1"/>
  <c r="Z844" i="7"/>
  <c r="W844" i="7"/>
  <c r="U844" i="7" s="1"/>
  <c r="T844" i="7" l="1"/>
  <c r="R845" i="7" s="1"/>
  <c r="Q845" i="7"/>
  <c r="S845" i="7"/>
  <c r="P845" i="7" l="1"/>
  <c r="AE845" i="7" s="1"/>
  <c r="AA845" i="7" s="1"/>
  <c r="AC845" i="7" l="1"/>
  <c r="W845" i="7" s="1"/>
  <c r="AD845" i="7"/>
  <c r="Y845" i="7" s="1"/>
  <c r="Z845" i="7"/>
  <c r="V845" i="7" l="1"/>
  <c r="U845" i="7"/>
  <c r="X845" i="7"/>
  <c r="T845" i="7" s="1"/>
  <c r="Q846" i="7"/>
  <c r="S846" i="7"/>
  <c r="R846" i="7" l="1"/>
  <c r="P846" i="7"/>
  <c r="AC846" i="7" s="1"/>
  <c r="W846" i="7" l="1"/>
  <c r="V846" i="7"/>
  <c r="AD846" i="7"/>
  <c r="AE846" i="7"/>
  <c r="AA846" i="7" s="1"/>
  <c r="Y846" i="7" l="1"/>
  <c r="U846" i="7" s="1"/>
  <c r="Q847" i="7" s="1"/>
  <c r="X846" i="7"/>
  <c r="Z846" i="7"/>
  <c r="S847" i="7" l="1"/>
  <c r="T846" i="7"/>
  <c r="P847" i="7" l="1"/>
  <c r="R847" i="7"/>
  <c r="AC847" i="7" l="1"/>
  <c r="AD847" i="7"/>
  <c r="Y847" i="7" s="1"/>
  <c r="AE847" i="7"/>
  <c r="AA847" i="7" l="1"/>
  <c r="Z847" i="7"/>
  <c r="W847" i="7"/>
  <c r="U847" i="7" s="1"/>
  <c r="V847" i="7"/>
  <c r="X847" i="7"/>
  <c r="T847" i="7" l="1"/>
  <c r="S848" i="7"/>
  <c r="Q848" i="7"/>
  <c r="P848" i="7" l="1"/>
  <c r="R848" i="7"/>
  <c r="AE848" i="7" l="1"/>
  <c r="AA848" i="7" s="1"/>
  <c r="AD848" i="7"/>
  <c r="Y848" i="7" s="1"/>
  <c r="AC848" i="7"/>
  <c r="W848" i="7" s="1"/>
  <c r="Z848" i="7" l="1"/>
  <c r="X848" i="7"/>
  <c r="U848" i="7"/>
  <c r="V848" i="7"/>
  <c r="T848" i="7" s="1"/>
  <c r="S849" i="7"/>
  <c r="Q849" i="7"/>
  <c r="P849" i="7" l="1"/>
  <c r="R849" i="7"/>
  <c r="AD849" i="7" l="1"/>
  <c r="Y849" i="7" s="1"/>
  <c r="AE849" i="7"/>
  <c r="AA849" i="7" s="1"/>
  <c r="AC849" i="7"/>
  <c r="W849" i="7" s="1"/>
  <c r="X849" i="7" l="1"/>
  <c r="Z849" i="7"/>
  <c r="V849" i="7"/>
  <c r="U849" i="7"/>
  <c r="T849" i="7" l="1"/>
  <c r="R850" i="7"/>
  <c r="P850" i="7"/>
  <c r="S850" i="7"/>
  <c r="Q850" i="7"/>
  <c r="AC850" i="7" l="1"/>
  <c r="W850" i="7" s="1"/>
  <c r="AE850" i="7"/>
  <c r="AA850" i="7" s="1"/>
  <c r="AD850" i="7"/>
  <c r="Y850" i="7" s="1"/>
  <c r="V850" i="7" l="1"/>
  <c r="Z850" i="7"/>
  <c r="X850" i="7"/>
  <c r="T850" i="7" s="1"/>
  <c r="U850" i="7"/>
  <c r="R851" i="7" l="1"/>
  <c r="P851" i="7"/>
  <c r="S851" i="7"/>
  <c r="Q851" i="7"/>
  <c r="AE851" i="7" l="1"/>
  <c r="AA851" i="7" s="1"/>
  <c r="AC851" i="7"/>
  <c r="W851" i="7" s="1"/>
  <c r="AD851" i="7"/>
  <c r="Y851" i="7" s="1"/>
  <c r="Z851" i="7" l="1"/>
  <c r="U851" i="7"/>
  <c r="X851" i="7"/>
  <c r="V851" i="7"/>
  <c r="Q852" i="7"/>
  <c r="S852" i="7"/>
  <c r="T851" i="7" l="1"/>
  <c r="P852" i="7"/>
  <c r="R852" i="7"/>
  <c r="AE852" i="7" l="1"/>
  <c r="AA852" i="7" s="1"/>
  <c r="AC852" i="7"/>
  <c r="W852" i="7" s="1"/>
  <c r="AD852" i="7"/>
  <c r="Y852" i="7" s="1"/>
  <c r="X852" i="7" l="1"/>
  <c r="Z852" i="7"/>
  <c r="V852" i="7"/>
  <c r="U852" i="7"/>
  <c r="T852" i="7" l="1"/>
  <c r="P853" i="7" s="1"/>
  <c r="Q853" i="7"/>
  <c r="S853" i="7"/>
  <c r="R853" i="7" l="1"/>
  <c r="AE853" i="7"/>
  <c r="AA853" i="7" s="1"/>
  <c r="AD853" i="7"/>
  <c r="Y853" i="7" s="1"/>
  <c r="AC853" i="7"/>
  <c r="W853" i="7" s="1"/>
  <c r="X853" i="7" l="1"/>
  <c r="U853" i="7"/>
  <c r="S854" i="7" s="1"/>
  <c r="V853" i="7"/>
  <c r="Z853" i="7"/>
  <c r="Q854" i="7" l="1"/>
  <c r="T853" i="7"/>
  <c r="R854" i="7" s="1"/>
  <c r="P854" i="7"/>
  <c r="AD854" i="7" l="1"/>
  <c r="Y854" i="7" s="1"/>
  <c r="AC854" i="7"/>
  <c r="W854" i="7" s="1"/>
  <c r="AE854" i="7"/>
  <c r="AA854" i="7" s="1"/>
  <c r="U854" i="7" l="1"/>
  <c r="X854" i="7"/>
  <c r="V854" i="7"/>
  <c r="Z854" i="7"/>
  <c r="S855" i="7"/>
  <c r="Q855" i="7"/>
  <c r="T854" i="7" l="1"/>
  <c r="R855" i="7" l="1"/>
  <c r="P855" i="7"/>
  <c r="AC855" i="7" l="1"/>
  <c r="W855" i="7" s="1"/>
  <c r="AD855" i="7"/>
  <c r="Y855" i="7" s="1"/>
  <c r="AE855" i="7"/>
  <c r="AA855" i="7" s="1"/>
  <c r="V855" i="7" l="1"/>
  <c r="X855" i="7"/>
  <c r="Z855" i="7"/>
  <c r="U855" i="7"/>
  <c r="T855" i="7" l="1"/>
  <c r="R856" i="7" s="1"/>
  <c r="P856" i="7"/>
  <c r="Q856" i="7"/>
  <c r="S856" i="7"/>
  <c r="AD856" i="7" l="1"/>
  <c r="Y856" i="7" s="1"/>
  <c r="AE856" i="7"/>
  <c r="AA856" i="7" s="1"/>
  <c r="AC856" i="7"/>
  <c r="W856" i="7" s="1"/>
  <c r="Z856" i="7" l="1"/>
  <c r="U856" i="7"/>
  <c r="S857" i="7" s="1"/>
  <c r="X856" i="7"/>
  <c r="Q857" i="7"/>
  <c r="V856" i="7"/>
  <c r="T856" i="7" s="1"/>
  <c r="P857" i="7" l="1"/>
  <c r="R857" i="7"/>
  <c r="AD857" i="7" l="1"/>
  <c r="Y857" i="7" s="1"/>
  <c r="AE857" i="7"/>
  <c r="AA857" i="7" s="1"/>
  <c r="AC857" i="7"/>
  <c r="W857" i="7" s="1"/>
  <c r="Z857" i="7" l="1"/>
  <c r="X857" i="7"/>
  <c r="U857" i="7"/>
  <c r="V857" i="7"/>
  <c r="T857" i="7" s="1"/>
  <c r="R858" i="7" s="1"/>
  <c r="S858" i="7"/>
  <c r="Q858" i="7"/>
  <c r="P858" i="7" l="1"/>
  <c r="AD858" i="7" s="1"/>
  <c r="AC858" i="7"/>
  <c r="W858" i="7" s="1"/>
  <c r="AE858" i="7" l="1"/>
  <c r="Y858" i="7"/>
  <c r="X858" i="7"/>
  <c r="V858" i="7"/>
  <c r="AA858" i="7" l="1"/>
  <c r="U858" i="7" s="1"/>
  <c r="Z858" i="7"/>
  <c r="T858" i="7" s="1"/>
  <c r="P859" i="7" l="1"/>
  <c r="R859" i="7"/>
  <c r="Q859" i="7"/>
  <c r="S859" i="7"/>
  <c r="AD859" i="7"/>
  <c r="Y859" i="7" s="1"/>
  <c r="AE859" i="7"/>
  <c r="AA859" i="7" s="1"/>
  <c r="AC859" i="7"/>
  <c r="W859" i="7" s="1"/>
  <c r="X859" i="7"/>
  <c r="Z859" i="7" l="1"/>
  <c r="V859" i="7"/>
  <c r="T859" i="7" s="1"/>
  <c r="R860" i="7" s="1"/>
  <c r="U859" i="7"/>
  <c r="P860" i="7"/>
  <c r="S860" i="7"/>
  <c r="Q860" i="7"/>
  <c r="AC860" i="7" l="1"/>
  <c r="AE860" i="7"/>
  <c r="AD860" i="7"/>
  <c r="Y860" i="7" l="1"/>
  <c r="X860" i="7"/>
  <c r="Z860" i="7"/>
  <c r="AA860" i="7"/>
  <c r="W860" i="7"/>
  <c r="V860" i="7"/>
  <c r="T860" i="7" s="1"/>
  <c r="R861" i="7" s="1"/>
  <c r="P861" i="7" l="1"/>
  <c r="U860" i="7"/>
  <c r="S861" i="7" s="1"/>
  <c r="Q861" i="7"/>
  <c r="AD861" i="7" l="1"/>
  <c r="AC861" i="7"/>
  <c r="AE861" i="7"/>
  <c r="X861" i="7"/>
  <c r="Y861" i="7"/>
  <c r="V861" i="7"/>
  <c r="W861" i="7"/>
  <c r="Z861" i="7"/>
  <c r="AA861" i="7"/>
  <c r="T861" i="7" l="1"/>
  <c r="U861" i="7"/>
  <c r="Q862" i="7" l="1"/>
  <c r="S862" i="7"/>
  <c r="P862" i="7"/>
  <c r="R862" i="7"/>
  <c r="AD862" i="7" l="1"/>
  <c r="X862" i="7" s="1"/>
  <c r="AE862" i="7"/>
  <c r="AA862" i="7" s="1"/>
  <c r="AC862" i="7"/>
  <c r="W862" i="7" s="1"/>
  <c r="Y862" i="7"/>
  <c r="Z862" i="7" l="1"/>
  <c r="U862" i="7"/>
  <c r="V862" i="7"/>
  <c r="T862" i="7" l="1"/>
  <c r="R863" i="7" s="1"/>
  <c r="P863" i="7"/>
  <c r="S863" i="7"/>
  <c r="Q863" i="7"/>
  <c r="AE863" i="7" l="1"/>
  <c r="AA863" i="7" s="1"/>
  <c r="AC863" i="7"/>
  <c r="W863" i="7" s="1"/>
  <c r="AD863" i="7"/>
  <c r="Y863" i="7" s="1"/>
  <c r="Z863" i="7" l="1"/>
  <c r="U863" i="7"/>
  <c r="S864" i="7" s="1"/>
  <c r="X863" i="7"/>
  <c r="V863" i="7"/>
  <c r="Q864" i="7" l="1"/>
  <c r="T863" i="7"/>
  <c r="P864" i="7" l="1"/>
  <c r="R864" i="7"/>
  <c r="AC864" i="7" l="1"/>
  <c r="AD864" i="7"/>
  <c r="AE864" i="7"/>
  <c r="AA864" i="7" s="1"/>
  <c r="X864" i="7" l="1"/>
  <c r="Y864" i="7"/>
  <c r="V864" i="7"/>
  <c r="W864" i="7"/>
  <c r="U864" i="7" s="1"/>
  <c r="Z864" i="7"/>
  <c r="T864" i="7" l="1"/>
  <c r="R865" i="7" s="1"/>
  <c r="S865" i="7"/>
  <c r="Q865" i="7"/>
  <c r="P865" i="7"/>
  <c r="AD865" i="7" l="1"/>
  <c r="Y865" i="7" s="1"/>
  <c r="AE865" i="7"/>
  <c r="Z865" i="7" s="1"/>
  <c r="AC865" i="7"/>
  <c r="W865" i="7" s="1"/>
  <c r="X865" i="7" l="1"/>
  <c r="V865" i="7"/>
  <c r="T865" i="7" s="1"/>
  <c r="AA865" i="7"/>
  <c r="U865" i="7" s="1"/>
  <c r="R866" i="7" l="1"/>
  <c r="P866" i="7"/>
  <c r="Q866" i="7"/>
  <c r="AE866" i="7" s="1"/>
  <c r="AA866" i="7" s="1"/>
  <c r="S866" i="7"/>
  <c r="AD866" i="7"/>
  <c r="Y866" i="7" s="1"/>
  <c r="AC866" i="7" l="1"/>
  <c r="W866" i="7" s="1"/>
  <c r="V866" i="7"/>
  <c r="Z866" i="7"/>
  <c r="X866" i="7"/>
  <c r="U866" i="7"/>
  <c r="S867" i="7" s="1"/>
  <c r="T866" i="7" l="1"/>
  <c r="R867" i="7" s="1"/>
  <c r="Q867" i="7"/>
  <c r="P867" i="7"/>
  <c r="AE867" i="7" l="1"/>
  <c r="AA867" i="7" s="1"/>
  <c r="AD867" i="7"/>
  <c r="AC867" i="7"/>
  <c r="W867" i="7" s="1"/>
  <c r="Z867" i="7"/>
  <c r="V867" i="7" l="1"/>
  <c r="X867" i="7"/>
  <c r="Y867" i="7"/>
  <c r="U867" i="7" s="1"/>
  <c r="S868" i="7" l="1"/>
  <c r="Q868" i="7"/>
  <c r="T867" i="7"/>
  <c r="R868" i="7" l="1"/>
  <c r="P868" i="7"/>
  <c r="AE868" i="7" l="1"/>
  <c r="AA868" i="7" s="1"/>
  <c r="AC868" i="7"/>
  <c r="W868" i="7" s="1"/>
  <c r="AD868" i="7"/>
  <c r="V868" i="7" l="1"/>
  <c r="Z868" i="7"/>
  <c r="X868" i="7"/>
  <c r="Y868" i="7"/>
  <c r="U868" i="7" s="1"/>
  <c r="T868" i="7" l="1"/>
  <c r="R869" i="7"/>
  <c r="P869" i="7"/>
  <c r="Q869" i="7"/>
  <c r="S869" i="7"/>
  <c r="AE869" i="7" l="1"/>
  <c r="AA869" i="7" s="1"/>
  <c r="AD869" i="7"/>
  <c r="Y869" i="7" s="1"/>
  <c r="AC869" i="7"/>
  <c r="W869" i="7" s="1"/>
  <c r="Z869" i="7" l="1"/>
  <c r="X869" i="7"/>
  <c r="U869" i="7"/>
  <c r="Q870" i="7" s="1"/>
  <c r="V869" i="7"/>
  <c r="S870" i="7"/>
  <c r="T869" i="7" l="1"/>
  <c r="P870" i="7"/>
  <c r="R870" i="7"/>
  <c r="AD870" i="7" l="1"/>
  <c r="Y870" i="7" s="1"/>
  <c r="AE870" i="7"/>
  <c r="AA870" i="7" s="1"/>
  <c r="X870" i="7"/>
  <c r="AC870" i="7"/>
  <c r="W870" i="7" s="1"/>
  <c r="Z870" i="7"/>
  <c r="U870" i="7" l="1"/>
  <c r="S871" i="7" s="1"/>
  <c r="Q871" i="7"/>
  <c r="V870" i="7"/>
  <c r="T870" i="7" s="1"/>
  <c r="R871" i="7" l="1"/>
  <c r="P871" i="7"/>
  <c r="AD871" i="7" l="1"/>
  <c r="Y871" i="7" s="1"/>
  <c r="AC871" i="7"/>
  <c r="W871" i="7" s="1"/>
  <c r="AE871" i="7"/>
  <c r="AA871" i="7" s="1"/>
  <c r="V871" i="7" l="1"/>
  <c r="X871" i="7"/>
  <c r="U871" i="7"/>
  <c r="Z871" i="7"/>
  <c r="T871" i="7" s="1"/>
  <c r="R872" i="7" l="1"/>
  <c r="P872" i="7"/>
  <c r="Q872" i="7"/>
  <c r="S872" i="7"/>
  <c r="AD872" i="7" l="1"/>
  <c r="Y872" i="7" s="1"/>
  <c r="AE872" i="7"/>
  <c r="AA872" i="7" s="1"/>
  <c r="AC872" i="7"/>
  <c r="W872" i="7" s="1"/>
  <c r="Z872" i="7" l="1"/>
  <c r="U872" i="7"/>
  <c r="Q873" i="7" s="1"/>
  <c r="V872" i="7"/>
  <c r="X872" i="7"/>
  <c r="T872" i="7" l="1"/>
  <c r="S873" i="7"/>
  <c r="P873" i="7"/>
  <c r="R873" i="7"/>
  <c r="AC873" i="7" l="1"/>
  <c r="W873" i="7" s="1"/>
  <c r="AE873" i="7"/>
  <c r="AA873" i="7" s="1"/>
  <c r="AD873" i="7"/>
  <c r="Y873" i="7" s="1"/>
  <c r="V873" i="7" l="1"/>
  <c r="X873" i="7"/>
  <c r="Z873" i="7"/>
  <c r="U873" i="7"/>
  <c r="T873" i="7" l="1"/>
  <c r="R874" i="7" s="1"/>
  <c r="P874" i="7"/>
  <c r="S874" i="7"/>
  <c r="Q874" i="7"/>
  <c r="AD874" i="7" l="1"/>
  <c r="Y874" i="7" s="1"/>
  <c r="AC874" i="7"/>
  <c r="W874" i="7" s="1"/>
  <c r="AE874" i="7"/>
  <c r="AA874" i="7" s="1"/>
  <c r="Z874" i="7" l="1"/>
  <c r="X874" i="7"/>
  <c r="V874" i="7"/>
  <c r="U874" i="7"/>
  <c r="T874" i="7" l="1"/>
  <c r="R875" i="7" s="1"/>
  <c r="P875" i="7"/>
  <c r="Q875" i="7"/>
  <c r="S875" i="7"/>
  <c r="AE875" i="7" l="1"/>
  <c r="AA875" i="7" s="1"/>
  <c r="AC875" i="7"/>
  <c r="V875" i="7" s="1"/>
  <c r="AD875" i="7"/>
  <c r="Y875" i="7" s="1"/>
  <c r="Z875" i="7" l="1"/>
  <c r="W875" i="7"/>
  <c r="U875" i="7" s="1"/>
  <c r="X875" i="7"/>
  <c r="T875" i="7" s="1"/>
  <c r="S876" i="7" l="1"/>
  <c r="Q876" i="7"/>
  <c r="P876" i="7"/>
  <c r="R876" i="7"/>
  <c r="AE876" i="7" l="1"/>
  <c r="AA876" i="7" s="1"/>
  <c r="AD876" i="7"/>
  <c r="AC876" i="7"/>
  <c r="W876" i="7" s="1"/>
  <c r="Z876" i="7" l="1"/>
  <c r="V876" i="7"/>
  <c r="X876" i="7"/>
  <c r="Y876" i="7"/>
  <c r="U876" i="7" s="1"/>
  <c r="Q877" i="7" l="1"/>
  <c r="S877" i="7"/>
  <c r="T876" i="7"/>
  <c r="R877" i="7" l="1"/>
  <c r="P877" i="7"/>
  <c r="AE877" i="7" l="1"/>
  <c r="AD877" i="7"/>
  <c r="AC877" i="7"/>
  <c r="V877" i="7" l="1"/>
  <c r="W877" i="7"/>
  <c r="X877" i="7"/>
  <c r="Y877" i="7"/>
  <c r="Z877" i="7"/>
  <c r="AA877" i="7"/>
  <c r="U877" i="7" l="1"/>
  <c r="T877" i="7"/>
  <c r="R878" i="7" l="1"/>
  <c r="P878" i="7"/>
  <c r="S878" i="7"/>
  <c r="Q878" i="7"/>
  <c r="AE878" i="7" l="1"/>
  <c r="AA878" i="7" s="1"/>
  <c r="AD878" i="7"/>
  <c r="Y878" i="7" s="1"/>
  <c r="AC878" i="7"/>
  <c r="V878" i="7" s="1"/>
  <c r="Z878" i="7"/>
  <c r="X878" i="7" l="1"/>
  <c r="T878" i="7" s="1"/>
  <c r="W878" i="7"/>
  <c r="U878" i="7" s="1"/>
  <c r="S879" i="7" l="1"/>
  <c r="Q879" i="7"/>
  <c r="R879" i="7"/>
  <c r="P879" i="7"/>
  <c r="AD879" i="7" l="1"/>
  <c r="Y879" i="7" s="1"/>
  <c r="AE879" i="7"/>
  <c r="AA879" i="7" s="1"/>
  <c r="AC879" i="7"/>
  <c r="W879" i="7" s="1"/>
  <c r="X879" i="7" l="1"/>
  <c r="V879" i="7"/>
  <c r="U879" i="7"/>
  <c r="Q880" i="7" s="1"/>
  <c r="Z879" i="7"/>
  <c r="T879" i="7" s="1"/>
  <c r="S880" i="7" l="1"/>
  <c r="R880" i="7"/>
  <c r="P880" i="7"/>
  <c r="AD880" i="7" l="1"/>
  <c r="Y880" i="7" s="1"/>
  <c r="AE880" i="7"/>
  <c r="AA880" i="7" s="1"/>
  <c r="AC880" i="7"/>
  <c r="W880" i="7" s="1"/>
  <c r="X880" i="7"/>
  <c r="U880" i="7" l="1"/>
  <c r="Q881" i="7"/>
  <c r="S881" i="7"/>
  <c r="Z880" i="7"/>
  <c r="V880" i="7"/>
  <c r="T880" i="7" l="1"/>
  <c r="R881" i="7" s="1"/>
  <c r="P881" i="7" l="1"/>
  <c r="AD881" i="7"/>
  <c r="Y881" i="7" s="1"/>
  <c r="AC881" i="7"/>
  <c r="W881" i="7" s="1"/>
  <c r="AE881" i="7"/>
  <c r="AA881" i="7" s="1"/>
  <c r="X881" i="7" l="1"/>
  <c r="V881" i="7"/>
  <c r="Z881" i="7"/>
  <c r="U881" i="7"/>
  <c r="T881" i="7" l="1"/>
  <c r="R882" i="7" s="1"/>
  <c r="P882" i="7"/>
  <c r="S882" i="7"/>
  <c r="Q882" i="7"/>
  <c r="AC882" i="7" l="1"/>
  <c r="W882" i="7" s="1"/>
  <c r="AE882" i="7"/>
  <c r="AA882" i="7" s="1"/>
  <c r="AD882" i="7"/>
  <c r="Y882" i="7" s="1"/>
  <c r="V882" i="7" l="1"/>
  <c r="Z882" i="7"/>
  <c r="X882" i="7"/>
  <c r="U882" i="7"/>
  <c r="T882" i="7" l="1"/>
  <c r="S883" i="7"/>
  <c r="Q883" i="7"/>
  <c r="P883" i="7" l="1"/>
  <c r="R883" i="7"/>
  <c r="AD883" i="7"/>
  <c r="X883" i="7" s="1"/>
  <c r="AC883" i="7"/>
  <c r="AE883" i="7"/>
  <c r="Z883" i="7" s="1"/>
  <c r="Y883" i="7" l="1"/>
  <c r="W883" i="7"/>
  <c r="V883" i="7"/>
  <c r="T883" i="7" s="1"/>
  <c r="AA883" i="7"/>
  <c r="U883" i="7" l="1"/>
  <c r="P884" i="7"/>
  <c r="R884" i="7"/>
  <c r="Q884" i="7" l="1"/>
  <c r="S884" i="7"/>
  <c r="AD884" i="7" l="1"/>
  <c r="X884" i="7" s="1"/>
  <c r="AE884" i="7"/>
  <c r="AC884" i="7"/>
  <c r="V884" i="7" s="1"/>
  <c r="AA884" i="7" l="1"/>
  <c r="Z884" i="7"/>
  <c r="T884" i="7" s="1"/>
  <c r="W884" i="7"/>
  <c r="Y884" i="7"/>
  <c r="R885" i="7" l="1"/>
  <c r="P885" i="7"/>
  <c r="U884" i="7"/>
  <c r="S885" i="7" l="1"/>
  <c r="Q885" i="7"/>
  <c r="AE885" i="7" l="1"/>
  <c r="AC885" i="7"/>
  <c r="AD885" i="7"/>
  <c r="Y885" i="7" l="1"/>
  <c r="X885" i="7"/>
  <c r="W885" i="7"/>
  <c r="V885" i="7"/>
  <c r="AA885" i="7"/>
  <c r="Z885" i="7"/>
  <c r="U885" i="7" l="1"/>
  <c r="T885" i="7"/>
  <c r="P886" i="7" l="1"/>
  <c r="R886" i="7"/>
  <c r="Q886" i="7"/>
  <c r="S886" i="7"/>
  <c r="AD886" i="7" l="1"/>
  <c r="Y886" i="7" s="1"/>
  <c r="AC886" i="7"/>
  <c r="W886" i="7" s="1"/>
  <c r="AE886" i="7"/>
  <c r="AA886" i="7" s="1"/>
  <c r="X886" i="7"/>
  <c r="V886" i="7" l="1"/>
  <c r="U886" i="7"/>
  <c r="Z886" i="7"/>
  <c r="T886" i="7" s="1"/>
  <c r="R887" i="7" l="1"/>
  <c r="P887" i="7"/>
  <c r="S887" i="7"/>
  <c r="Q887" i="7"/>
  <c r="AE887" i="7" l="1"/>
  <c r="Z887" i="7" s="1"/>
  <c r="AC887" i="7"/>
  <c r="V887" i="7" s="1"/>
  <c r="AD887" i="7"/>
  <c r="X887" i="7" s="1"/>
  <c r="T887" i="7" l="1"/>
  <c r="W887" i="7"/>
  <c r="AA887" i="7"/>
  <c r="Y887" i="7"/>
  <c r="P888" i="7" l="1"/>
  <c r="R888" i="7"/>
  <c r="U887" i="7"/>
  <c r="Q888" i="7" l="1"/>
  <c r="S888" i="7"/>
  <c r="AE888" i="7" l="1"/>
  <c r="Z888" i="7" s="1"/>
  <c r="AD888" i="7"/>
  <c r="X888" i="7" s="1"/>
  <c r="AC888" i="7"/>
  <c r="V888" i="7" s="1"/>
  <c r="T888" i="7" l="1"/>
  <c r="R889" i="7" s="1"/>
  <c r="W888" i="7"/>
  <c r="AA888" i="7"/>
  <c r="Y888" i="7"/>
  <c r="P889" i="7" l="1"/>
  <c r="U888" i="7"/>
  <c r="S889" i="7" l="1"/>
  <c r="Q889" i="7"/>
  <c r="AE889" i="7" l="1"/>
  <c r="Z889" i="7" s="1"/>
  <c r="AC889" i="7"/>
  <c r="V889" i="7" s="1"/>
  <c r="AD889" i="7"/>
  <c r="X889" i="7" s="1"/>
  <c r="AA889" i="7" l="1"/>
  <c r="T889" i="7"/>
  <c r="Y889" i="7"/>
  <c r="W889" i="7"/>
  <c r="U889" i="7" l="1"/>
  <c r="Q890" i="7"/>
  <c r="S890" i="7"/>
  <c r="P890" i="7"/>
  <c r="R890" i="7"/>
  <c r="AE890" i="7" l="1"/>
  <c r="Z890" i="7" s="1"/>
  <c r="AD890" i="7"/>
  <c r="X890" i="7" s="1"/>
  <c r="AC890" i="7"/>
  <c r="V890" i="7" s="1"/>
  <c r="AA890" i="7" l="1"/>
  <c r="Y890" i="7"/>
  <c r="W890" i="7"/>
  <c r="T890" i="7"/>
  <c r="U890" i="7" l="1"/>
  <c r="Q891" i="7" s="1"/>
  <c r="S891" i="7"/>
  <c r="P891" i="7"/>
  <c r="R891" i="7"/>
  <c r="AE891" i="7" l="1"/>
  <c r="AC891" i="7"/>
  <c r="AD891" i="7"/>
  <c r="V891" i="7" l="1"/>
  <c r="W891" i="7"/>
  <c r="Z891" i="7"/>
  <c r="AA891" i="7"/>
  <c r="X891" i="7"/>
  <c r="Y891" i="7"/>
  <c r="U891" i="7" l="1"/>
  <c r="S892" i="7" s="1"/>
  <c r="Q892" i="7"/>
  <c r="T891" i="7"/>
  <c r="R892" i="7" l="1"/>
  <c r="P892" i="7"/>
  <c r="AC892" i="7" s="1"/>
  <c r="V892" i="7" s="1"/>
  <c r="W892" i="7" l="1"/>
  <c r="AD892" i="7"/>
  <c r="AE892" i="7"/>
  <c r="AA892" i="7" s="1"/>
  <c r="Z892" i="7" l="1"/>
  <c r="X892" i="7"/>
  <c r="Y892" i="7"/>
  <c r="U892" i="7" s="1"/>
  <c r="T892" i="7" l="1"/>
  <c r="P893" i="7" s="1"/>
  <c r="Q893" i="7"/>
  <c r="S893" i="7"/>
  <c r="R893" i="7"/>
  <c r="AC893" i="7" l="1"/>
  <c r="W893" i="7" s="1"/>
  <c r="AE893" i="7"/>
  <c r="Z893" i="7" s="1"/>
  <c r="AD893" i="7"/>
  <c r="X893" i="7" s="1"/>
  <c r="V893" i="7" l="1"/>
  <c r="T893" i="7" s="1"/>
  <c r="P894" i="7" s="1"/>
  <c r="AA893" i="7"/>
  <c r="Y893" i="7"/>
  <c r="R894" i="7" l="1"/>
  <c r="U893" i="7"/>
  <c r="Q894" i="7" s="1"/>
  <c r="S894" i="7" l="1"/>
  <c r="AC894" i="7"/>
  <c r="V894" i="7" s="1"/>
  <c r="AE894" i="7"/>
  <c r="Z894" i="7" s="1"/>
  <c r="AD894" i="7"/>
  <c r="X894" i="7" s="1"/>
  <c r="T894" i="7" l="1"/>
  <c r="W894" i="7"/>
  <c r="Y894" i="7"/>
  <c r="AA894" i="7"/>
  <c r="U894" i="7" l="1"/>
  <c r="R895" i="7"/>
  <c r="P895" i="7"/>
  <c r="S895" i="7" l="1"/>
  <c r="Q895" i="7"/>
  <c r="AE895" i="7" s="1"/>
  <c r="AA895" i="7" l="1"/>
  <c r="Z895" i="7"/>
  <c r="AD895" i="7"/>
  <c r="X895" i="7" s="1"/>
  <c r="AC895" i="7"/>
  <c r="V895" i="7" s="1"/>
  <c r="T895" i="7" l="1"/>
  <c r="R896" i="7" s="1"/>
  <c r="Y895" i="7"/>
  <c r="W895" i="7"/>
  <c r="U895" i="7" s="1"/>
  <c r="P896" i="7" l="1"/>
  <c r="S896" i="7"/>
  <c r="Q896" i="7"/>
  <c r="AC896" i="7" s="1"/>
  <c r="W896" i="7" s="1"/>
  <c r="AD896" i="7" l="1"/>
  <c r="Y896" i="7" s="1"/>
  <c r="AE896" i="7"/>
  <c r="AA896" i="7" s="1"/>
  <c r="U896" i="7" s="1"/>
  <c r="X896" i="7"/>
  <c r="V896" i="7"/>
  <c r="Z896" i="7" l="1"/>
  <c r="S897" i="7"/>
  <c r="Q897" i="7"/>
  <c r="T896" i="7"/>
  <c r="R897" i="7" s="1"/>
  <c r="P897" i="7" l="1"/>
  <c r="AE897" i="7"/>
  <c r="AA897" i="7" s="1"/>
  <c r="AD897" i="7"/>
  <c r="Y897" i="7" s="1"/>
  <c r="AC897" i="7"/>
  <c r="W897" i="7" s="1"/>
  <c r="Z897" i="7" l="1"/>
  <c r="U897" i="7"/>
  <c r="Q898" i="7" s="1"/>
  <c r="V897" i="7"/>
  <c r="X897" i="7"/>
  <c r="S898" i="7" l="1"/>
  <c r="T897" i="7"/>
  <c r="P898" i="7" l="1"/>
  <c r="R898" i="7"/>
  <c r="AC898" i="7" l="1"/>
  <c r="W898" i="7" s="1"/>
  <c r="AD898" i="7"/>
  <c r="Y898" i="7" s="1"/>
  <c r="AE898" i="7"/>
  <c r="AA898" i="7" s="1"/>
  <c r="V898" i="7" l="1"/>
  <c r="X898" i="7"/>
  <c r="Z898" i="7"/>
  <c r="U898" i="7"/>
  <c r="Q899" i="7" s="1"/>
  <c r="T898" i="7" l="1"/>
  <c r="R899" i="7" s="1"/>
  <c r="S899" i="7"/>
  <c r="P899" i="7" l="1"/>
  <c r="AC899" i="7"/>
  <c r="W899" i="7" s="1"/>
  <c r="AE899" i="7"/>
  <c r="AA899" i="7" s="1"/>
  <c r="AD899" i="7"/>
  <c r="Y899" i="7" s="1"/>
  <c r="V899" i="7" l="1"/>
  <c r="X899" i="7"/>
  <c r="Z899" i="7"/>
  <c r="U899" i="7"/>
  <c r="T899" i="7" l="1"/>
  <c r="R900" i="7" s="1"/>
  <c r="S900" i="7"/>
  <c r="Q900" i="7"/>
  <c r="P900" i="7" l="1"/>
  <c r="AE900" i="7" s="1"/>
  <c r="AA900" i="7" s="1"/>
  <c r="AC900" i="7"/>
  <c r="W900" i="7" s="1"/>
  <c r="AD900" i="7"/>
  <c r="Y900" i="7" s="1"/>
  <c r="Z900" i="7" l="1"/>
  <c r="V900" i="7"/>
  <c r="X900" i="7"/>
  <c r="U900" i="7"/>
  <c r="T900" i="7" l="1"/>
  <c r="Q901" i="7"/>
  <c r="S901" i="7"/>
  <c r="R901" i="7"/>
  <c r="P901" i="7"/>
  <c r="AE901" i="7" l="1"/>
  <c r="Z901" i="7" s="1"/>
  <c r="AD901" i="7"/>
  <c r="X901" i="7" s="1"/>
  <c r="AC901" i="7"/>
  <c r="V901" i="7" s="1"/>
  <c r="AA901" i="7"/>
  <c r="Y901" i="7" l="1"/>
  <c r="T901" i="7"/>
  <c r="P902" i="7" s="1"/>
  <c r="W901" i="7"/>
  <c r="U901" i="7" s="1"/>
  <c r="R902" i="7" l="1"/>
  <c r="S902" i="7"/>
  <c r="Q902" i="7"/>
  <c r="AE902" i="7" l="1"/>
  <c r="Z902" i="7" s="1"/>
  <c r="AC902" i="7"/>
  <c r="AD902" i="7"/>
  <c r="Y902" i="7" l="1"/>
  <c r="X902" i="7"/>
  <c r="W902" i="7"/>
  <c r="V902" i="7"/>
  <c r="AA902" i="7"/>
  <c r="U902" i="7" l="1"/>
  <c r="T902" i="7"/>
  <c r="P903" i="7" l="1"/>
  <c r="R903" i="7"/>
  <c r="Q903" i="7"/>
  <c r="S903" i="7"/>
  <c r="AD903" i="7" l="1"/>
  <c r="X903" i="7" s="1"/>
  <c r="AE903" i="7"/>
  <c r="Z903" i="7" s="1"/>
  <c r="AC903" i="7"/>
  <c r="V903" i="7" s="1"/>
  <c r="T903" i="7" l="1"/>
  <c r="R904" i="7" s="1"/>
  <c r="AA903" i="7"/>
  <c r="W903" i="7"/>
  <c r="Y903" i="7"/>
  <c r="P904" i="7" l="1"/>
  <c r="U903" i="7"/>
  <c r="Q904" i="7" l="1"/>
  <c r="S904" i="7"/>
  <c r="AE904" i="7" l="1"/>
  <c r="Z904" i="7" s="1"/>
  <c r="AD904" i="7"/>
  <c r="X904" i="7" s="1"/>
  <c r="AC904" i="7"/>
  <c r="V904" i="7" s="1"/>
  <c r="T904" i="7" l="1"/>
  <c r="AA904" i="7"/>
  <c r="P905" i="7"/>
  <c r="R905" i="7"/>
  <c r="W904" i="7"/>
  <c r="Y904" i="7"/>
  <c r="U904" i="7" l="1"/>
  <c r="S905" i="7" l="1"/>
  <c r="Q905" i="7"/>
  <c r="AE905" i="7" l="1"/>
  <c r="Z905" i="7" s="1"/>
  <c r="AC905" i="7"/>
  <c r="V905" i="7" s="1"/>
  <c r="AD905" i="7"/>
  <c r="X905" i="7" s="1"/>
  <c r="T905" i="7" l="1"/>
  <c r="Y905" i="7"/>
  <c r="AA905" i="7"/>
  <c r="W905" i="7"/>
  <c r="U905" i="7" l="1"/>
  <c r="R906" i="7"/>
  <c r="P906" i="7"/>
  <c r="Q906" i="7" l="1"/>
  <c r="S906" i="7"/>
  <c r="AD906" i="7" l="1"/>
  <c r="AE906" i="7"/>
  <c r="AC906" i="7"/>
  <c r="W906" i="7" l="1"/>
  <c r="V906" i="7"/>
  <c r="AA906" i="7"/>
  <c r="Z906" i="7"/>
  <c r="Y906" i="7"/>
  <c r="X906" i="7"/>
  <c r="T906" i="7" l="1"/>
  <c r="R907" i="7" s="1"/>
  <c r="P907" i="7"/>
  <c r="U906" i="7"/>
  <c r="Q907" i="7" l="1"/>
  <c r="S907" i="7"/>
  <c r="AE907" i="7"/>
  <c r="Z907" i="7" s="1"/>
  <c r="AC907" i="7"/>
  <c r="V907" i="7" s="1"/>
  <c r="AD907" i="7"/>
  <c r="X907" i="7" s="1"/>
  <c r="T907" i="7" l="1"/>
  <c r="R908" i="7" s="1"/>
  <c r="P908" i="7"/>
  <c r="AA907" i="7"/>
  <c r="Y907" i="7"/>
  <c r="W907" i="7"/>
  <c r="U907" i="7" l="1"/>
  <c r="S908" i="7" l="1"/>
  <c r="Q908" i="7"/>
  <c r="AD908" i="7" l="1"/>
  <c r="X908" i="7" s="1"/>
  <c r="AC908" i="7"/>
  <c r="V908" i="7" s="1"/>
  <c r="AE908" i="7"/>
  <c r="Z908" i="7" s="1"/>
  <c r="T908" i="7" l="1"/>
  <c r="AA908" i="7"/>
  <c r="Y908" i="7"/>
  <c r="W908" i="7"/>
  <c r="U908" i="7" l="1"/>
  <c r="S909" i="7" s="1"/>
  <c r="Q909" i="7"/>
  <c r="R909" i="7"/>
  <c r="P909" i="7"/>
  <c r="AC909" i="7" l="1"/>
  <c r="V909" i="7" s="1"/>
  <c r="AE909" i="7"/>
  <c r="Z909" i="7" s="1"/>
  <c r="AD909" i="7"/>
  <c r="X909" i="7" s="1"/>
  <c r="W909" i="7" l="1"/>
  <c r="AA909" i="7"/>
  <c r="Y909" i="7"/>
  <c r="T909" i="7"/>
  <c r="U909" i="7" l="1"/>
  <c r="P910" i="7"/>
  <c r="R910" i="7"/>
  <c r="Q910" i="7"/>
  <c r="S910" i="7"/>
  <c r="AD910" i="7" l="1"/>
  <c r="X910" i="7" s="1"/>
  <c r="AE910" i="7"/>
  <c r="Z910" i="7" s="1"/>
  <c r="AC910" i="7"/>
  <c r="V910" i="7" s="1"/>
  <c r="T910" i="7" l="1"/>
  <c r="R911" i="7" s="1"/>
  <c r="P911" i="7"/>
  <c r="Y910" i="7"/>
  <c r="W910" i="7"/>
  <c r="AA910" i="7"/>
  <c r="U910" i="7" l="1"/>
  <c r="Q911" i="7" l="1"/>
  <c r="S911" i="7"/>
  <c r="AC911" i="7" l="1"/>
  <c r="AD911" i="7"/>
  <c r="AE911" i="7"/>
  <c r="Z911" i="7" s="1"/>
  <c r="Y911" i="7" l="1"/>
  <c r="X911" i="7"/>
  <c r="W911" i="7"/>
  <c r="V911" i="7"/>
  <c r="AA911" i="7"/>
  <c r="U911" i="7" l="1"/>
  <c r="S912" i="7"/>
  <c r="Q912" i="7"/>
  <c r="T911" i="7"/>
  <c r="R912" i="7" l="1"/>
  <c r="P912" i="7"/>
  <c r="AD912" i="7" l="1"/>
  <c r="Y912" i="7" s="1"/>
  <c r="AC912" i="7"/>
  <c r="W912" i="7" s="1"/>
  <c r="AE912" i="7"/>
  <c r="AA912" i="7" s="1"/>
  <c r="Z912" i="7" l="1"/>
  <c r="X912" i="7"/>
  <c r="V912" i="7"/>
  <c r="U912" i="7"/>
  <c r="T912" i="7" l="1"/>
  <c r="R913" i="7" s="1"/>
  <c r="P913" i="7"/>
  <c r="Q913" i="7"/>
  <c r="S913" i="7"/>
  <c r="AE913" i="7" l="1"/>
  <c r="AA913" i="7" s="1"/>
  <c r="AC913" i="7"/>
  <c r="W913" i="7" s="1"/>
  <c r="AD913" i="7"/>
  <c r="Y913" i="7" s="1"/>
  <c r="Z913" i="7" l="1"/>
  <c r="U913" i="7"/>
  <c r="S914" i="7" s="1"/>
  <c r="V913" i="7"/>
  <c r="X913" i="7"/>
  <c r="T913" i="7" l="1"/>
  <c r="Q914" i="7"/>
  <c r="R914" i="7"/>
  <c r="P914" i="7"/>
  <c r="AC914" i="7" l="1"/>
  <c r="AD914" i="7"/>
  <c r="Y914" i="7" s="1"/>
  <c r="AE914" i="7"/>
  <c r="X914" i="7" l="1"/>
  <c r="Z914" i="7"/>
  <c r="AA914" i="7"/>
  <c r="V914" i="7"/>
  <c r="T914" i="7" s="1"/>
  <c r="W914" i="7"/>
  <c r="R915" i="7" l="1"/>
  <c r="P915" i="7"/>
  <c r="U914" i="7"/>
  <c r="S915" i="7" l="1"/>
  <c r="Q915" i="7"/>
  <c r="AD915" i="7" s="1"/>
  <c r="Y915" i="7" s="1"/>
  <c r="AE915" i="7" l="1"/>
  <c r="AA915" i="7" s="1"/>
  <c r="X915" i="7"/>
  <c r="AC915" i="7"/>
  <c r="Z915" i="7" l="1"/>
  <c r="W915" i="7"/>
  <c r="U915" i="7" s="1"/>
  <c r="V915" i="7"/>
  <c r="T915" i="7" s="1"/>
  <c r="P916" i="7" l="1"/>
  <c r="R916" i="7"/>
  <c r="Q916" i="7"/>
  <c r="S916" i="7"/>
  <c r="AD916" i="7" l="1"/>
  <c r="Y916" i="7" s="1"/>
  <c r="AE916" i="7"/>
  <c r="AA916" i="7" s="1"/>
  <c r="AC916" i="7"/>
  <c r="V916" i="7" s="1"/>
  <c r="Z916" i="7" l="1"/>
  <c r="X916" i="7"/>
  <c r="W916" i="7"/>
  <c r="U916" i="7" s="1"/>
  <c r="T916" i="7" l="1"/>
  <c r="R917" i="7" s="1"/>
  <c r="P917" i="7"/>
  <c r="S917" i="7"/>
  <c r="Q917" i="7"/>
  <c r="AC917" i="7" l="1"/>
  <c r="W917" i="7" s="1"/>
  <c r="AE917" i="7"/>
  <c r="Z917" i="7" s="1"/>
  <c r="AD917" i="7"/>
  <c r="Y917" i="7" s="1"/>
  <c r="V917" i="7" l="1"/>
  <c r="X917" i="7"/>
  <c r="AA917" i="7"/>
  <c r="U917" i="7" s="1"/>
  <c r="T917" i="7" l="1"/>
  <c r="P918" i="7"/>
  <c r="R918" i="7"/>
  <c r="S918" i="7"/>
  <c r="Q918" i="7"/>
  <c r="AD918" i="7" l="1"/>
  <c r="Y918" i="7" s="1"/>
  <c r="AE918" i="7"/>
  <c r="AA918" i="7" s="1"/>
  <c r="AC918" i="7"/>
  <c r="W918" i="7" s="1"/>
  <c r="X918" i="7" l="1"/>
  <c r="U918" i="7"/>
  <c r="Q919" i="7" s="1"/>
  <c r="V918" i="7"/>
  <c r="Z918" i="7"/>
  <c r="S919" i="7" l="1"/>
  <c r="T918" i="7"/>
  <c r="R919" i="7" s="1"/>
  <c r="P919" i="7"/>
  <c r="AC919" i="7" l="1"/>
  <c r="W919" i="7" s="1"/>
  <c r="AE919" i="7"/>
  <c r="AA919" i="7" s="1"/>
  <c r="AD919" i="7"/>
  <c r="Y919" i="7" s="1"/>
  <c r="Z919" i="7" l="1"/>
  <c r="X919" i="7"/>
  <c r="V919" i="7"/>
  <c r="U919" i="7"/>
  <c r="T919" i="7" l="1"/>
  <c r="P920" i="7" s="1"/>
  <c r="S920" i="7"/>
  <c r="Q920" i="7"/>
  <c r="R920" i="7" l="1"/>
  <c r="AE920" i="7"/>
  <c r="AA920" i="7" s="1"/>
  <c r="AC920" i="7"/>
  <c r="W920" i="7" s="1"/>
  <c r="AD920" i="7"/>
  <c r="Y920" i="7" s="1"/>
  <c r="Z920" i="7"/>
  <c r="X920" i="7" l="1"/>
  <c r="V920" i="7"/>
  <c r="U920" i="7"/>
  <c r="T920" i="7" l="1"/>
  <c r="R921" i="7"/>
  <c r="P921" i="7"/>
  <c r="S921" i="7"/>
  <c r="Q921" i="7"/>
  <c r="AC921" i="7" l="1"/>
  <c r="V921" i="7" s="1"/>
  <c r="AE921" i="7"/>
  <c r="AA921" i="7" s="1"/>
  <c r="AD921" i="7"/>
  <c r="Y921" i="7" s="1"/>
  <c r="Z921" i="7" l="1"/>
  <c r="X921" i="7"/>
  <c r="T921" i="7" s="1"/>
  <c r="W921" i="7"/>
  <c r="U921" i="7" s="1"/>
  <c r="P922" i="7" l="1"/>
  <c r="R922" i="7"/>
  <c r="S922" i="7"/>
  <c r="Q922" i="7"/>
  <c r="AC922" i="7" l="1"/>
  <c r="AE922" i="7"/>
  <c r="Z922" i="7" s="1"/>
  <c r="AD922" i="7"/>
  <c r="Y922" i="7" l="1"/>
  <c r="X922" i="7"/>
  <c r="W922" i="7"/>
  <c r="V922" i="7"/>
  <c r="AA922" i="7"/>
  <c r="U922" i="7" l="1"/>
  <c r="T922" i="7"/>
  <c r="P923" i="7" s="1"/>
  <c r="R923" i="7"/>
  <c r="Q923" i="7"/>
  <c r="S923" i="7"/>
  <c r="AE923" i="7" l="1"/>
  <c r="AA923" i="7" s="1"/>
  <c r="AC923" i="7"/>
  <c r="W923" i="7" s="1"/>
  <c r="AD923" i="7"/>
  <c r="Y923" i="7" s="1"/>
  <c r="Z923" i="7"/>
  <c r="X923" i="7" l="1"/>
  <c r="V923" i="7"/>
  <c r="U923" i="7"/>
  <c r="T923" i="7" l="1"/>
  <c r="Q924" i="7"/>
  <c r="S924" i="7"/>
  <c r="R924" i="7"/>
  <c r="P924" i="7"/>
  <c r="AC924" i="7" l="1"/>
  <c r="W924" i="7" s="1"/>
  <c r="AE924" i="7"/>
  <c r="AA924" i="7" s="1"/>
  <c r="AD924" i="7"/>
  <c r="Y924" i="7" s="1"/>
  <c r="Z924" i="7" l="1"/>
  <c r="U924" i="7"/>
  <c r="S925" i="7" s="1"/>
  <c r="V924" i="7"/>
  <c r="Q925" i="7"/>
  <c r="X924" i="7"/>
  <c r="T924" i="7" l="1"/>
  <c r="P925" i="7" l="1"/>
  <c r="R925" i="7"/>
  <c r="AE925" i="7" l="1"/>
  <c r="AA925" i="7" s="1"/>
  <c r="AD925" i="7"/>
  <c r="Y925" i="7" s="1"/>
  <c r="AC925" i="7"/>
  <c r="W925" i="7" s="1"/>
  <c r="Z925" i="7" l="1"/>
  <c r="X925" i="7"/>
  <c r="V925" i="7"/>
  <c r="U925" i="7"/>
  <c r="T925" i="7" l="1"/>
  <c r="R926" i="7"/>
  <c r="P926" i="7"/>
  <c r="S926" i="7"/>
  <c r="Q926" i="7"/>
  <c r="AD926" i="7" l="1"/>
  <c r="Y926" i="7" s="1"/>
  <c r="AE926" i="7"/>
  <c r="AA926" i="7" s="1"/>
  <c r="AC926" i="7"/>
  <c r="W926" i="7" s="1"/>
  <c r="V926" i="7" l="1"/>
  <c r="X926" i="7"/>
  <c r="U926" i="7"/>
  <c r="Z926" i="7"/>
  <c r="T926" i="7" l="1"/>
  <c r="R927" i="7"/>
  <c r="P927" i="7"/>
  <c r="Q927" i="7"/>
  <c r="S927" i="7"/>
  <c r="AE927" i="7" l="1"/>
  <c r="Z927" i="7" s="1"/>
  <c r="AC927" i="7"/>
  <c r="V927" i="7" s="1"/>
  <c r="AD927" i="7"/>
  <c r="X927" i="7" s="1"/>
  <c r="AA927" i="7"/>
  <c r="W927" i="7" l="1"/>
  <c r="Y927" i="7"/>
  <c r="T927" i="7"/>
  <c r="U927" i="7" l="1"/>
  <c r="R928" i="7"/>
  <c r="P928" i="7"/>
  <c r="S928" i="7"/>
  <c r="Q928" i="7"/>
  <c r="AC928" i="7" l="1"/>
  <c r="W928" i="7" s="1"/>
  <c r="AE928" i="7"/>
  <c r="AA928" i="7" s="1"/>
  <c r="AD928" i="7"/>
  <c r="Y928" i="7" s="1"/>
  <c r="Z928" i="7" l="1"/>
  <c r="V928" i="7"/>
  <c r="X928" i="7"/>
  <c r="U928" i="7"/>
  <c r="T928" i="7" l="1"/>
  <c r="P929" i="7" s="1"/>
  <c r="R929" i="7"/>
  <c r="S929" i="7"/>
  <c r="Q929" i="7"/>
  <c r="AC929" i="7" l="1"/>
  <c r="V929" i="7" s="1"/>
  <c r="AD929" i="7"/>
  <c r="X929" i="7" s="1"/>
  <c r="AE929" i="7"/>
  <c r="Z929" i="7" s="1"/>
  <c r="Y929" i="7" l="1"/>
  <c r="T929" i="7"/>
  <c r="AA929" i="7"/>
  <c r="W929" i="7"/>
  <c r="R930" i="7" l="1"/>
  <c r="P930" i="7"/>
  <c r="U929" i="7"/>
  <c r="Q930" i="7" l="1"/>
  <c r="AC930" i="7" s="1"/>
  <c r="V930" i="7" s="1"/>
  <c r="S930" i="7"/>
  <c r="AD930" i="7" l="1"/>
  <c r="X930" i="7" s="1"/>
  <c r="AE930" i="7"/>
  <c r="Z930" i="7" s="1"/>
  <c r="T930" i="7" s="1"/>
  <c r="W930" i="7"/>
  <c r="Y930" i="7" l="1"/>
  <c r="AA930" i="7"/>
  <c r="U930" i="7" s="1"/>
  <c r="S931" i="7" s="1"/>
  <c r="P931" i="7"/>
  <c r="R931" i="7"/>
  <c r="Q931" i="7" l="1"/>
  <c r="AE931" i="7" s="1"/>
  <c r="Z931" i="7" s="1"/>
  <c r="AC931" i="7" l="1"/>
  <c r="V931" i="7" s="1"/>
  <c r="AD931" i="7"/>
  <c r="Y931" i="7" s="1"/>
  <c r="AA931" i="7"/>
  <c r="X931" i="7" l="1"/>
  <c r="T931" i="7"/>
  <c r="W931" i="7"/>
  <c r="U931" i="7" s="1"/>
  <c r="R932" i="7"/>
  <c r="P932" i="7"/>
  <c r="S932" i="7" l="1"/>
  <c r="Q932" i="7"/>
  <c r="AC932" i="7" s="1"/>
  <c r="V932" i="7" s="1"/>
  <c r="W932" i="7" l="1"/>
  <c r="AE932" i="7"/>
  <c r="Z932" i="7" s="1"/>
  <c r="AD932" i="7"/>
  <c r="X932" i="7" s="1"/>
  <c r="T932" i="7" l="1"/>
  <c r="P933" i="7" s="1"/>
  <c r="AA932" i="7"/>
  <c r="Y932" i="7"/>
  <c r="R933" i="7" l="1"/>
  <c r="U932" i="7"/>
  <c r="Q933" i="7"/>
  <c r="S933" i="7"/>
  <c r="AE933" i="7"/>
  <c r="Z933" i="7" s="1"/>
  <c r="AD933" i="7"/>
  <c r="X933" i="7" s="1"/>
  <c r="AC933" i="7"/>
  <c r="V933" i="7" s="1"/>
  <c r="T933" i="7" l="1"/>
  <c r="R934" i="7" s="1"/>
  <c r="AA933" i="7"/>
  <c r="Y933" i="7"/>
  <c r="W933" i="7"/>
  <c r="P934" i="7" l="1"/>
  <c r="U933" i="7"/>
  <c r="Q934" i="7" s="1"/>
  <c r="AE934" i="7" s="1"/>
  <c r="Z934" i="7" s="1"/>
  <c r="AC934" i="7"/>
  <c r="V934" i="7" s="1"/>
  <c r="AD934" i="7" l="1"/>
  <c r="Y934" i="7" s="1"/>
  <c r="S934" i="7"/>
  <c r="X934" i="7"/>
  <c r="T934" i="7" s="1"/>
  <c r="R935" i="7" s="1"/>
  <c r="AA934" i="7"/>
  <c r="W934" i="7"/>
  <c r="P935" i="7" l="1"/>
  <c r="U934" i="7"/>
  <c r="S935" i="7" s="1"/>
  <c r="Q935" i="7" l="1"/>
  <c r="AD935" i="7" l="1"/>
  <c r="AE935" i="7"/>
  <c r="AC935" i="7"/>
  <c r="V935" i="7" l="1"/>
  <c r="W935" i="7"/>
  <c r="Z935" i="7"/>
  <c r="AA935" i="7"/>
  <c r="X935" i="7"/>
  <c r="Y935" i="7"/>
  <c r="U935" i="7" l="1"/>
  <c r="T935" i="7"/>
  <c r="R936" i="7" l="1"/>
  <c r="P936" i="7"/>
  <c r="S936" i="7"/>
  <c r="Q936" i="7"/>
  <c r="AC936" i="7" l="1"/>
  <c r="AE936" i="7"/>
  <c r="AD936" i="7"/>
  <c r="X936" i="7" s="1"/>
  <c r="AA936" i="7" l="1"/>
  <c r="Z936" i="7"/>
  <c r="W936" i="7"/>
  <c r="V936" i="7"/>
  <c r="Y936" i="7"/>
  <c r="T936" i="7" l="1"/>
  <c r="R937" i="7"/>
  <c r="P937" i="7"/>
  <c r="U936" i="7"/>
  <c r="S937" i="7" l="1"/>
  <c r="Q937" i="7"/>
  <c r="AD937" i="7" s="1"/>
  <c r="X937" i="7" s="1"/>
  <c r="AC937" i="7" l="1"/>
  <c r="V937" i="7" s="1"/>
  <c r="AE937" i="7"/>
  <c r="Z937" i="7" s="1"/>
  <c r="T937" i="7" s="1"/>
  <c r="Y937" i="7"/>
  <c r="W937" i="7" l="1"/>
  <c r="AA937" i="7"/>
  <c r="U937" i="7" s="1"/>
  <c r="R938" i="7"/>
  <c r="P938" i="7"/>
  <c r="S938" i="7" l="1"/>
  <c r="Q938" i="7"/>
  <c r="AD938" i="7" l="1"/>
  <c r="X938" i="7" s="1"/>
  <c r="AC938" i="7"/>
  <c r="V938" i="7" s="1"/>
  <c r="AE938" i="7"/>
  <c r="Z938" i="7" s="1"/>
  <c r="T938" i="7" l="1"/>
  <c r="P939" i="7"/>
  <c r="R939" i="7"/>
  <c r="W938" i="7"/>
  <c r="Y938" i="7"/>
  <c r="AA938" i="7"/>
  <c r="U938" i="7" l="1"/>
  <c r="Q939" i="7" l="1"/>
  <c r="S939" i="7"/>
  <c r="AD939" i="7" l="1"/>
  <c r="X939" i="7" s="1"/>
  <c r="AC939" i="7"/>
  <c r="V939" i="7" s="1"/>
  <c r="AE939" i="7"/>
  <c r="Z939" i="7" s="1"/>
  <c r="T939" i="7" l="1"/>
  <c r="AA939" i="7"/>
  <c r="W939" i="7"/>
  <c r="Y939" i="7"/>
  <c r="U939" i="7" l="1"/>
  <c r="R940" i="7"/>
  <c r="P940" i="7"/>
  <c r="Q940" i="7" l="1"/>
  <c r="S940" i="7"/>
  <c r="AC940" i="7" l="1"/>
  <c r="V940" i="7" s="1"/>
  <c r="AE940" i="7"/>
  <c r="Z940" i="7" s="1"/>
  <c r="AD940" i="7"/>
  <c r="X940" i="7" s="1"/>
  <c r="W940" i="7" l="1"/>
  <c r="T940" i="7"/>
  <c r="AA940" i="7"/>
  <c r="Y940" i="7"/>
  <c r="U940" i="7" l="1"/>
  <c r="Q941" i="7" s="1"/>
  <c r="P941" i="7"/>
  <c r="R941" i="7"/>
  <c r="S941" i="7" l="1"/>
  <c r="AE941" i="7"/>
  <c r="Z941" i="7" s="1"/>
  <c r="AD941" i="7"/>
  <c r="X941" i="7" s="1"/>
  <c r="AC941" i="7"/>
  <c r="V941" i="7" s="1"/>
  <c r="AA941" i="7" l="1"/>
  <c r="T941" i="7"/>
  <c r="P942" i="7" s="1"/>
  <c r="W941" i="7"/>
  <c r="Y941" i="7"/>
  <c r="R942" i="7"/>
  <c r="U941" i="7" l="1"/>
  <c r="S942" i="7" l="1"/>
  <c r="Q942" i="7"/>
  <c r="AD942" i="7" l="1"/>
  <c r="X942" i="7" s="1"/>
  <c r="AC942" i="7"/>
  <c r="V942" i="7" s="1"/>
  <c r="AE942" i="7"/>
  <c r="Z942" i="7" s="1"/>
  <c r="Y942" i="7" l="1"/>
  <c r="T942" i="7"/>
  <c r="AA942" i="7"/>
  <c r="W942" i="7"/>
  <c r="U942" i="7" l="1"/>
  <c r="P943" i="7"/>
  <c r="R943" i="7"/>
  <c r="Q943" i="7" l="1"/>
  <c r="S943" i="7"/>
  <c r="AD943" i="7" l="1"/>
  <c r="X943" i="7" s="1"/>
  <c r="AE943" i="7"/>
  <c r="Z943" i="7" s="1"/>
  <c r="AC943" i="7"/>
  <c r="V943" i="7" s="1"/>
  <c r="T943" i="7" l="1"/>
  <c r="Y943" i="7"/>
  <c r="R944" i="7"/>
  <c r="P944" i="7"/>
  <c r="AA943" i="7"/>
  <c r="W943" i="7"/>
  <c r="U943" i="7" l="1"/>
  <c r="S944" i="7"/>
  <c r="Q944" i="7"/>
  <c r="AD944" i="7" s="1"/>
  <c r="X944" i="7" s="1"/>
  <c r="AE944" i="7" l="1"/>
  <c r="Z944" i="7" s="1"/>
  <c r="Y944" i="7"/>
  <c r="AC944" i="7"/>
  <c r="V944" i="7" s="1"/>
  <c r="AA944" i="7" l="1"/>
  <c r="T944" i="7"/>
  <c r="W944" i="7"/>
  <c r="U944" i="7" s="1"/>
  <c r="P945" i="7"/>
  <c r="R945" i="7"/>
  <c r="S945" i="7" l="1"/>
  <c r="Q945" i="7"/>
  <c r="AC945" i="7" s="1"/>
  <c r="V945" i="7" s="1"/>
  <c r="AE945" i="7" l="1"/>
  <c r="Z945" i="7" s="1"/>
  <c r="AD945" i="7"/>
  <c r="X945" i="7" s="1"/>
  <c r="W945" i="7"/>
  <c r="AA945" i="7" l="1"/>
  <c r="T945" i="7"/>
  <c r="Y945" i="7"/>
  <c r="R946" i="7"/>
  <c r="P946" i="7"/>
  <c r="U945" i="7" l="1"/>
  <c r="S946" i="7"/>
  <c r="Q946" i="7"/>
  <c r="AD946" i="7" l="1"/>
  <c r="X946" i="7" s="1"/>
  <c r="AC946" i="7"/>
  <c r="V946" i="7" s="1"/>
  <c r="AE946" i="7"/>
  <c r="Z946" i="7" s="1"/>
  <c r="Y946" i="7" l="1"/>
  <c r="AA946" i="7"/>
  <c r="T946" i="7"/>
  <c r="W946" i="7"/>
  <c r="U946" i="7" s="1"/>
  <c r="Q947" i="7" l="1"/>
  <c r="S947" i="7"/>
  <c r="R947" i="7"/>
  <c r="P947" i="7"/>
  <c r="AC947" i="7" l="1"/>
  <c r="V947" i="7" s="1"/>
  <c r="AD947" i="7"/>
  <c r="X947" i="7" s="1"/>
  <c r="AE947" i="7"/>
  <c r="Z947" i="7" s="1"/>
  <c r="Y947" i="7"/>
  <c r="W947" i="7"/>
  <c r="AA947" i="7" l="1"/>
  <c r="U947" i="7" s="1"/>
  <c r="S948" i="7" s="1"/>
  <c r="T947" i="7"/>
  <c r="Q948" i="7" l="1"/>
  <c r="R948" i="7"/>
  <c r="P948" i="7"/>
  <c r="AE948" i="7" l="1"/>
  <c r="AA948" i="7" s="1"/>
  <c r="AD948" i="7"/>
  <c r="Y948" i="7" s="1"/>
  <c r="AC948" i="7"/>
  <c r="W948" i="7" s="1"/>
  <c r="X948" i="7" l="1"/>
  <c r="U948" i="7"/>
  <c r="V948" i="7"/>
  <c r="Z948" i="7"/>
  <c r="T948" i="7" l="1"/>
  <c r="P949" i="7" s="1"/>
  <c r="S949" i="7"/>
  <c r="Q949" i="7"/>
  <c r="R949" i="7" l="1"/>
  <c r="AC949" i="7"/>
  <c r="V949" i="7" s="1"/>
  <c r="AE949" i="7"/>
  <c r="Z949" i="7" s="1"/>
  <c r="AD949" i="7"/>
  <c r="X949" i="7" s="1"/>
  <c r="T949" i="7" l="1"/>
  <c r="Y949" i="7"/>
  <c r="AA949" i="7"/>
  <c r="W949" i="7"/>
  <c r="U949" i="7" l="1"/>
  <c r="S950" i="7" s="1"/>
  <c r="R950" i="7"/>
  <c r="P950" i="7"/>
  <c r="Q950" i="7" l="1"/>
  <c r="AD950" i="7"/>
  <c r="X950" i="7" s="1"/>
  <c r="AE950" i="7"/>
  <c r="Z950" i="7" s="1"/>
  <c r="AC950" i="7"/>
  <c r="V950" i="7" s="1"/>
  <c r="T950" i="7" l="1"/>
  <c r="R951" i="7" s="1"/>
  <c r="P951" i="7"/>
  <c r="AA950" i="7"/>
  <c r="W950" i="7"/>
  <c r="Y950" i="7"/>
  <c r="U950" i="7" l="1"/>
  <c r="S951" i="7" l="1"/>
  <c r="Q951" i="7"/>
  <c r="AE951" i="7" l="1"/>
  <c r="Z951" i="7" s="1"/>
  <c r="AD951" i="7"/>
  <c r="X951" i="7" s="1"/>
  <c r="AC951" i="7"/>
  <c r="V951" i="7" s="1"/>
  <c r="T951" i="7" l="1"/>
  <c r="AA951" i="7"/>
  <c r="W951" i="7"/>
  <c r="Y951" i="7"/>
  <c r="U951" i="7" l="1"/>
  <c r="R952" i="7"/>
  <c r="P952" i="7"/>
  <c r="S952" i="7" l="1"/>
  <c r="Q952" i="7"/>
  <c r="AD952" i="7" l="1"/>
  <c r="X952" i="7" s="1"/>
  <c r="AE952" i="7"/>
  <c r="Z952" i="7" s="1"/>
  <c r="AC952" i="7"/>
  <c r="V952" i="7" s="1"/>
  <c r="T952" i="7" l="1"/>
  <c r="P953" i="7"/>
  <c r="R953" i="7"/>
  <c r="Y952" i="7"/>
  <c r="W952" i="7"/>
  <c r="AA952" i="7"/>
  <c r="U952" i="7" l="1"/>
  <c r="S953" i="7" l="1"/>
  <c r="Q953" i="7"/>
  <c r="AC953" i="7" l="1"/>
  <c r="V953" i="7" s="1"/>
  <c r="AD953" i="7"/>
  <c r="X953" i="7" s="1"/>
  <c r="AE953" i="7"/>
  <c r="Z953" i="7" s="1"/>
  <c r="T953" i="7" l="1"/>
  <c r="W953" i="7"/>
  <c r="Y953" i="7"/>
  <c r="AA953" i="7"/>
  <c r="U953" i="7" l="1"/>
  <c r="R954" i="7"/>
  <c r="P954" i="7"/>
  <c r="Q954" i="7" l="1"/>
  <c r="S954" i="7"/>
  <c r="AD954" i="7" l="1"/>
  <c r="X954" i="7" s="1"/>
  <c r="AC954" i="7"/>
  <c r="V954" i="7" s="1"/>
  <c r="AE954" i="7"/>
  <c r="Z954" i="7" s="1"/>
  <c r="W954" i="7" l="1"/>
  <c r="T954" i="7"/>
  <c r="Y954" i="7"/>
  <c r="AA954" i="7"/>
  <c r="P955" i="7" l="1"/>
  <c r="R955" i="7"/>
  <c r="U954" i="7"/>
  <c r="S955" i="7" l="1"/>
  <c r="Q955" i="7"/>
  <c r="AC955" i="7" s="1"/>
  <c r="V955" i="7" s="1"/>
  <c r="AD955" i="7"/>
  <c r="X955" i="7" s="1"/>
  <c r="AE955" i="7" l="1"/>
  <c r="Z955" i="7" s="1"/>
  <c r="T955" i="7" s="1"/>
  <c r="Y955" i="7"/>
  <c r="AA955" i="7"/>
  <c r="W955" i="7"/>
  <c r="U955" i="7" l="1"/>
  <c r="Q956" i="7" s="1"/>
  <c r="S956" i="7"/>
  <c r="R956" i="7"/>
  <c r="P956" i="7"/>
  <c r="AD956" i="7" l="1"/>
  <c r="AE956" i="7"/>
  <c r="AC956" i="7"/>
  <c r="V956" i="7" l="1"/>
  <c r="W956" i="7"/>
  <c r="Z956" i="7"/>
  <c r="AA956" i="7"/>
  <c r="X956" i="7"/>
  <c r="Y956" i="7"/>
  <c r="U956" i="7" l="1"/>
  <c r="T956" i="7"/>
  <c r="R957" i="7" l="1"/>
  <c r="P957" i="7"/>
  <c r="S957" i="7"/>
  <c r="Q957" i="7"/>
  <c r="AE957" i="7" l="1"/>
  <c r="Z957" i="7" s="1"/>
  <c r="AC957" i="7"/>
  <c r="V957" i="7" s="1"/>
  <c r="AD957" i="7"/>
  <c r="X957" i="7" s="1"/>
  <c r="AA957" i="7" l="1"/>
  <c r="T957" i="7"/>
  <c r="W957" i="7"/>
  <c r="Y957" i="7"/>
  <c r="U957" i="7" l="1"/>
  <c r="R958" i="7"/>
  <c r="P958" i="7"/>
  <c r="S958" i="7" l="1"/>
  <c r="Q958" i="7"/>
  <c r="AC958" i="7" l="1"/>
  <c r="AD958" i="7"/>
  <c r="X958" i="7" s="1"/>
  <c r="AE958" i="7"/>
  <c r="Z958" i="7" s="1"/>
  <c r="W958" i="7" l="1"/>
  <c r="V958" i="7"/>
  <c r="T958" i="7" s="1"/>
  <c r="Y958" i="7"/>
  <c r="AA958" i="7"/>
  <c r="R959" i="7" l="1"/>
  <c r="P959" i="7"/>
  <c r="U958" i="7"/>
  <c r="S959" i="7" l="1"/>
  <c r="Q959" i="7"/>
  <c r="AC959" i="7" s="1"/>
  <c r="W959" i="7" l="1"/>
  <c r="V959" i="7"/>
  <c r="AD959" i="7"/>
  <c r="AE959" i="7"/>
  <c r="Y959" i="7" l="1"/>
  <c r="X959" i="7"/>
  <c r="AA959" i="7"/>
  <c r="U959" i="7" s="1"/>
  <c r="Z959" i="7"/>
  <c r="T959" i="7" s="1"/>
  <c r="P960" i="7" l="1"/>
  <c r="R960" i="7"/>
  <c r="Q960" i="7"/>
  <c r="S960" i="7"/>
  <c r="AE960" i="7" l="1"/>
  <c r="AA960" i="7" s="1"/>
  <c r="AC960" i="7"/>
  <c r="W960" i="7" s="1"/>
  <c r="AD960" i="7"/>
  <c r="Y960" i="7" s="1"/>
  <c r="Z960" i="7" l="1"/>
  <c r="X960" i="7"/>
  <c r="V960" i="7"/>
  <c r="U960" i="7"/>
  <c r="T960" i="7" l="1"/>
  <c r="R961" i="7"/>
  <c r="P961" i="7"/>
  <c r="S961" i="7"/>
  <c r="Q961" i="7"/>
  <c r="AC961" i="7" l="1"/>
  <c r="V961" i="7" s="1"/>
  <c r="AD961" i="7"/>
  <c r="X961" i="7" s="1"/>
  <c r="AE961" i="7"/>
  <c r="AA961" i="7" s="1"/>
  <c r="W961" i="7"/>
  <c r="Y961" i="7" l="1"/>
  <c r="U961" i="7" s="1"/>
  <c r="Q962" i="7" s="1"/>
  <c r="Z961" i="7"/>
  <c r="T961" i="7" s="1"/>
  <c r="S962" i="7" l="1"/>
  <c r="P962" i="7"/>
  <c r="R962" i="7"/>
  <c r="AD962" i="7" l="1"/>
  <c r="AE962" i="7"/>
  <c r="AC962" i="7"/>
  <c r="V962" i="7" l="1"/>
  <c r="W962" i="7"/>
  <c r="Z962" i="7"/>
  <c r="AA962" i="7"/>
  <c r="X962" i="7"/>
  <c r="Y962" i="7"/>
  <c r="U962" i="7" l="1"/>
  <c r="T962" i="7"/>
  <c r="P963" i="7" l="1"/>
  <c r="R963" i="7"/>
  <c r="S963" i="7"/>
  <c r="Q963" i="7"/>
  <c r="AD963" i="7" l="1"/>
  <c r="X963" i="7" s="1"/>
  <c r="AC963" i="7"/>
  <c r="V963" i="7" s="1"/>
  <c r="AE963" i="7"/>
  <c r="Z963" i="7" s="1"/>
  <c r="T963" i="7" l="1"/>
  <c r="R964" i="7" s="1"/>
  <c r="Y963" i="7"/>
  <c r="P964" i="7"/>
  <c r="W963" i="7"/>
  <c r="AA963" i="7"/>
  <c r="U963" i="7" l="1"/>
  <c r="S964" i="7" l="1"/>
  <c r="Q964" i="7"/>
  <c r="AD964" i="7" l="1"/>
  <c r="X964" i="7" s="1"/>
  <c r="AE964" i="7"/>
  <c r="Z964" i="7" s="1"/>
  <c r="AC964" i="7"/>
  <c r="V964" i="7" s="1"/>
  <c r="T964" i="7" l="1"/>
  <c r="R965" i="7"/>
  <c r="P965" i="7"/>
  <c r="AA964" i="7"/>
  <c r="W964" i="7"/>
  <c r="Y964" i="7"/>
  <c r="U964" i="7" l="1"/>
  <c r="S965" i="7" s="1"/>
  <c r="Q965" i="7"/>
  <c r="AD965" i="7"/>
  <c r="Y965" i="7" s="1"/>
  <c r="AC965" i="7"/>
  <c r="W965" i="7" s="1"/>
  <c r="AE965" i="7"/>
  <c r="Z965" i="7" s="1"/>
  <c r="X965" i="7" l="1"/>
  <c r="V965" i="7"/>
  <c r="T965" i="7" s="1"/>
  <c r="AA965" i="7"/>
  <c r="U965" i="7" s="1"/>
  <c r="Q966" i="7" s="1"/>
  <c r="P966" i="7" l="1"/>
  <c r="R966" i="7"/>
  <c r="S966" i="7"/>
  <c r="AD966" i="7" l="1"/>
  <c r="Y966" i="7" s="1"/>
  <c r="AE966" i="7"/>
  <c r="AA966" i="7" s="1"/>
  <c r="AC966" i="7"/>
  <c r="W966" i="7" s="1"/>
  <c r="U966" i="7" l="1"/>
  <c r="S967" i="7" s="1"/>
  <c r="X966" i="7"/>
  <c r="V966" i="7"/>
  <c r="Z966" i="7"/>
  <c r="Q967" i="7" l="1"/>
  <c r="T966" i="7"/>
  <c r="R967" i="7" l="1"/>
  <c r="P967" i="7"/>
  <c r="AE967" i="7" l="1"/>
  <c r="AA967" i="7" s="1"/>
  <c r="AC967" i="7"/>
  <c r="W967" i="7" s="1"/>
  <c r="AD967" i="7"/>
  <c r="Y967" i="7" s="1"/>
  <c r="Z967" i="7"/>
  <c r="X967" i="7" l="1"/>
  <c r="U967" i="7"/>
  <c r="V967" i="7"/>
  <c r="T967" i="7" s="1"/>
  <c r="P968" i="7" l="1"/>
  <c r="R968" i="7"/>
  <c r="S968" i="7"/>
  <c r="Q968" i="7"/>
  <c r="AE968" i="7" l="1"/>
  <c r="Z968" i="7" s="1"/>
  <c r="AC968" i="7"/>
  <c r="W968" i="7" s="1"/>
  <c r="AD968" i="7"/>
  <c r="X968" i="7" s="1"/>
  <c r="V968" i="7" l="1"/>
  <c r="T968" i="7" s="1"/>
  <c r="AA968" i="7"/>
  <c r="Y968" i="7"/>
  <c r="U968" i="7" l="1"/>
  <c r="S969" i="7"/>
  <c r="Q969" i="7"/>
  <c r="P969" i="7"/>
  <c r="R969" i="7"/>
  <c r="AC969" i="7" l="1"/>
  <c r="V969" i="7" s="1"/>
  <c r="AD969" i="7"/>
  <c r="X969" i="7" s="1"/>
  <c r="AE969" i="7"/>
  <c r="Z969" i="7" s="1"/>
  <c r="Y969" i="7"/>
  <c r="W969" i="7"/>
  <c r="T969" i="7" l="1"/>
  <c r="P970" i="7" s="1"/>
  <c r="AA969" i="7"/>
  <c r="U969" i="7" s="1"/>
  <c r="R970" i="7"/>
  <c r="S970" i="7" l="1"/>
  <c r="Q970" i="7"/>
  <c r="AD970" i="7" l="1"/>
  <c r="X970" i="7" s="1"/>
  <c r="AC970" i="7"/>
  <c r="V970" i="7" s="1"/>
  <c r="AE970" i="7"/>
  <c r="Z970" i="7" s="1"/>
  <c r="T970" i="7" l="1"/>
  <c r="Y970" i="7"/>
  <c r="W970" i="7"/>
  <c r="R971" i="7"/>
  <c r="P971" i="7"/>
  <c r="AA970" i="7"/>
  <c r="U970" i="7" l="1"/>
  <c r="Q971" i="7" l="1"/>
  <c r="S971" i="7"/>
  <c r="AE971" i="7" l="1"/>
  <c r="Z971" i="7" s="1"/>
  <c r="AC971" i="7"/>
  <c r="V971" i="7" s="1"/>
  <c r="AD971" i="7"/>
  <c r="X971" i="7" s="1"/>
  <c r="Y971" i="7" l="1"/>
  <c r="AA971" i="7"/>
  <c r="T971" i="7"/>
  <c r="W971" i="7"/>
  <c r="U971" i="7" s="1"/>
  <c r="R972" i="7" l="1"/>
  <c r="P972" i="7"/>
  <c r="S972" i="7"/>
  <c r="Q972" i="7"/>
  <c r="AD972" i="7" l="1"/>
  <c r="X972" i="7" s="1"/>
  <c r="AE972" i="7"/>
  <c r="Z972" i="7" s="1"/>
  <c r="AC972" i="7"/>
  <c r="V972" i="7" s="1"/>
  <c r="Y972" i="7"/>
  <c r="W972" i="7" l="1"/>
  <c r="AA972" i="7"/>
  <c r="T972" i="7"/>
  <c r="U972" i="7" l="1"/>
  <c r="S973" i="7"/>
  <c r="Q973" i="7"/>
  <c r="P973" i="7"/>
  <c r="R973" i="7"/>
  <c r="AD973" i="7" l="1"/>
  <c r="X973" i="7" s="1"/>
  <c r="AE973" i="7"/>
  <c r="Z973" i="7" s="1"/>
  <c r="AC973" i="7"/>
  <c r="V973" i="7" s="1"/>
  <c r="T973" i="7" l="1"/>
  <c r="P974" i="7" s="1"/>
  <c r="W973" i="7"/>
  <c r="Y973" i="7"/>
  <c r="AA973" i="7"/>
  <c r="R974" i="7" l="1"/>
  <c r="U973" i="7"/>
  <c r="Q974" i="7" l="1"/>
  <c r="S974" i="7"/>
  <c r="AE974" i="7" l="1"/>
  <c r="Z974" i="7" s="1"/>
  <c r="AD974" i="7"/>
  <c r="X974" i="7" s="1"/>
  <c r="AC974" i="7"/>
  <c r="V974" i="7" s="1"/>
  <c r="T974" i="7" l="1"/>
  <c r="AA974" i="7"/>
  <c r="R975" i="7"/>
  <c r="P975" i="7"/>
  <c r="W974" i="7"/>
  <c r="Y974" i="7"/>
  <c r="U974" i="7" l="1"/>
  <c r="Q975" i="7" l="1"/>
  <c r="S975" i="7"/>
  <c r="AC975" i="7" l="1"/>
  <c r="AD975" i="7"/>
  <c r="X975" i="7" s="1"/>
  <c r="AE975" i="7"/>
  <c r="Z975" i="7" s="1"/>
  <c r="Y975" i="7" l="1"/>
  <c r="W975" i="7"/>
  <c r="V975" i="7"/>
  <c r="T975" i="7" s="1"/>
  <c r="AA975" i="7"/>
  <c r="R976" i="7" l="1"/>
  <c r="P976" i="7"/>
  <c r="U975" i="7"/>
  <c r="S976" i="7" l="1"/>
  <c r="Q976" i="7"/>
  <c r="AD976" i="7" s="1"/>
  <c r="X976" i="7" s="1"/>
  <c r="AC976" i="7"/>
  <c r="V976" i="7" s="1"/>
  <c r="AE976" i="7" l="1"/>
  <c r="Z976" i="7" s="1"/>
  <c r="T976" i="7" s="1"/>
  <c r="AA976" i="7"/>
  <c r="Y976" i="7"/>
  <c r="W976" i="7"/>
  <c r="P977" i="7" l="1"/>
  <c r="R977" i="7"/>
  <c r="U976" i="7"/>
  <c r="S977" i="7" s="1"/>
  <c r="Q977" i="7" l="1"/>
  <c r="AC977" i="7"/>
  <c r="AE977" i="7"/>
  <c r="AD977" i="7"/>
  <c r="W977" i="7" l="1"/>
  <c r="V977" i="7"/>
  <c r="Y977" i="7"/>
  <c r="X977" i="7"/>
  <c r="AA977" i="7"/>
  <c r="Z977" i="7"/>
  <c r="T977" i="7" l="1"/>
  <c r="R978" i="7"/>
  <c r="P978" i="7"/>
  <c r="U977" i="7"/>
  <c r="S978" i="7" l="1"/>
  <c r="Q978" i="7"/>
  <c r="AC978" i="7" l="1"/>
  <c r="AE978" i="7"/>
  <c r="AD978" i="7"/>
  <c r="Y978" i="7" l="1"/>
  <c r="X978" i="7"/>
  <c r="W978" i="7"/>
  <c r="V978" i="7"/>
  <c r="AA978" i="7"/>
  <c r="Z978" i="7"/>
  <c r="T978" i="7" l="1"/>
  <c r="P979" i="7"/>
  <c r="R979" i="7"/>
  <c r="U978" i="7"/>
  <c r="Q979" i="7" l="1"/>
  <c r="S979" i="7"/>
  <c r="AE979" i="7"/>
  <c r="AD979" i="7"/>
  <c r="X979" i="7" s="1"/>
  <c r="AC979" i="7"/>
  <c r="V979" i="7" s="1"/>
  <c r="Z979" i="7"/>
  <c r="T979" i="7" l="1"/>
  <c r="Y979" i="7"/>
  <c r="AA979" i="7"/>
  <c r="W979" i="7"/>
  <c r="U979" i="7" l="1"/>
  <c r="R980" i="7"/>
  <c r="P980" i="7"/>
  <c r="S980" i="7" l="1"/>
  <c r="Q980" i="7"/>
  <c r="AC980" i="7" s="1"/>
  <c r="V980" i="7" s="1"/>
  <c r="AD980" i="7" l="1"/>
  <c r="X980" i="7" s="1"/>
  <c r="W980" i="7"/>
  <c r="AE980" i="7"/>
  <c r="Z980" i="7" s="1"/>
  <c r="T980" i="7" l="1"/>
  <c r="P981" i="7"/>
  <c r="R981" i="7"/>
  <c r="AA980" i="7"/>
  <c r="Y980" i="7"/>
  <c r="U980" i="7" l="1"/>
  <c r="S981" i="7" s="1"/>
  <c r="Q981" i="7"/>
  <c r="AD981" i="7" s="1"/>
  <c r="X981" i="7" s="1"/>
  <c r="AE981" i="7"/>
  <c r="Z981" i="7" s="1"/>
  <c r="AC981" i="7"/>
  <c r="V981" i="7" s="1"/>
  <c r="T981" i="7" l="1"/>
  <c r="Y981" i="7"/>
  <c r="AA981" i="7"/>
  <c r="W981" i="7"/>
  <c r="U981" i="7" l="1"/>
  <c r="R982" i="7"/>
  <c r="P982" i="7"/>
  <c r="Q982" i="7" l="1"/>
  <c r="S982" i="7"/>
  <c r="AD982" i="7" l="1"/>
  <c r="AC982" i="7"/>
  <c r="AE982" i="7"/>
  <c r="Y982" i="7" l="1"/>
  <c r="X982" i="7"/>
  <c r="AA982" i="7"/>
  <c r="Z982" i="7"/>
  <c r="W982" i="7"/>
  <c r="V982" i="7"/>
  <c r="U982" i="7" l="1"/>
  <c r="T982" i="7"/>
  <c r="R983" i="7" s="1"/>
  <c r="P983" i="7"/>
  <c r="Q983" i="7"/>
  <c r="S983" i="7"/>
  <c r="AC983" i="7" l="1"/>
  <c r="V983" i="7" s="1"/>
  <c r="AD983" i="7"/>
  <c r="X983" i="7" s="1"/>
  <c r="AE983" i="7"/>
  <c r="Z983" i="7" s="1"/>
  <c r="Y983" i="7" l="1"/>
  <c r="AA983" i="7"/>
  <c r="W983" i="7"/>
  <c r="T983" i="7"/>
  <c r="R984" i="7" l="1"/>
  <c r="P984" i="7"/>
  <c r="U983" i="7"/>
  <c r="Q984" i="7" l="1"/>
  <c r="S984" i="7"/>
  <c r="AC984" i="7" l="1"/>
  <c r="V984" i="7" s="1"/>
  <c r="AD984" i="7"/>
  <c r="X984" i="7" s="1"/>
  <c r="AE984" i="7"/>
  <c r="Z984" i="7" s="1"/>
  <c r="W984" i="7" l="1"/>
  <c r="T984" i="7"/>
  <c r="AA984" i="7"/>
  <c r="Y984" i="7"/>
  <c r="P985" i="7" l="1"/>
  <c r="R985" i="7"/>
  <c r="U984" i="7"/>
  <c r="Q985" i="7" l="1"/>
  <c r="S985" i="7"/>
  <c r="AE985" i="7"/>
  <c r="AC985" i="7"/>
  <c r="V985" i="7" s="1"/>
  <c r="AD985" i="7"/>
  <c r="X985" i="7" s="1"/>
  <c r="Z985" i="7"/>
  <c r="T985" i="7" l="1"/>
  <c r="P986" i="7" s="1"/>
  <c r="AA985" i="7"/>
  <c r="W985" i="7"/>
  <c r="Y985" i="7"/>
  <c r="R986" i="7"/>
  <c r="U985" i="7" l="1"/>
  <c r="S986" i="7" l="1"/>
  <c r="Q986" i="7"/>
  <c r="AE986" i="7" l="1"/>
  <c r="AD986" i="7"/>
  <c r="AC986" i="7"/>
  <c r="W986" i="7" l="1"/>
  <c r="V986" i="7"/>
  <c r="AA986" i="7"/>
  <c r="Z986" i="7"/>
  <c r="Y986" i="7"/>
  <c r="X986" i="7"/>
  <c r="T986" i="7" l="1"/>
  <c r="U986" i="7"/>
  <c r="Q987" i="7" l="1"/>
  <c r="S987" i="7"/>
  <c r="P987" i="7"/>
  <c r="R987" i="7"/>
  <c r="AE987" i="7" l="1"/>
  <c r="AA987" i="7" s="1"/>
  <c r="AC987" i="7"/>
  <c r="W987" i="7" s="1"/>
  <c r="AD987" i="7"/>
  <c r="Y987" i="7" s="1"/>
  <c r="Z987" i="7"/>
  <c r="V987" i="7"/>
  <c r="X987" i="7" l="1"/>
  <c r="T987" i="7" s="1"/>
  <c r="U987" i="7"/>
  <c r="R988" i="7" l="1"/>
  <c r="P988" i="7"/>
  <c r="S988" i="7"/>
  <c r="Q988" i="7"/>
  <c r="AE988" i="7" l="1"/>
  <c r="AA988" i="7" s="1"/>
  <c r="AC988" i="7"/>
  <c r="W988" i="7" s="1"/>
  <c r="AD988" i="7"/>
  <c r="Y988" i="7" s="1"/>
  <c r="Z988" i="7"/>
  <c r="U988" i="7" l="1"/>
  <c r="X988" i="7"/>
  <c r="V988" i="7"/>
  <c r="T988" i="7" l="1"/>
  <c r="S989" i="7"/>
  <c r="Q989" i="7"/>
  <c r="R989" i="7"/>
  <c r="P989" i="7"/>
  <c r="AC989" i="7" l="1"/>
  <c r="W989" i="7" s="1"/>
  <c r="AE989" i="7"/>
  <c r="AA989" i="7" s="1"/>
  <c r="AD989" i="7"/>
  <c r="Y989" i="7" s="1"/>
  <c r="V989" i="7"/>
  <c r="X989" i="7" l="1"/>
  <c r="Z989" i="7"/>
  <c r="T989" i="7" s="1"/>
  <c r="U989" i="7"/>
  <c r="S990" i="7" l="1"/>
  <c r="Q990" i="7"/>
  <c r="P990" i="7"/>
  <c r="R990" i="7"/>
  <c r="AC990" i="7" l="1"/>
  <c r="AD990" i="7"/>
  <c r="X990" i="7" s="1"/>
  <c r="AE990" i="7"/>
  <c r="AA990" i="7" s="1"/>
  <c r="V990" i="7"/>
  <c r="W990" i="7"/>
  <c r="Y990" i="7"/>
  <c r="Z990" i="7" l="1"/>
  <c r="T990" i="7" s="1"/>
  <c r="U990" i="7"/>
  <c r="S991" i="7" l="1"/>
  <c r="Q991" i="7"/>
  <c r="P991" i="7"/>
  <c r="R991" i="7"/>
  <c r="AC991" i="7" l="1"/>
  <c r="V991" i="7" s="1"/>
  <c r="AD991" i="7"/>
  <c r="X991" i="7" s="1"/>
  <c r="AE991" i="7"/>
  <c r="Z991" i="7" s="1"/>
  <c r="AA991" i="7" l="1"/>
  <c r="W991" i="7"/>
  <c r="Y991" i="7"/>
  <c r="T991" i="7"/>
  <c r="U991" i="7" l="1"/>
  <c r="P992" i="7"/>
  <c r="R992" i="7"/>
  <c r="S992" i="7"/>
  <c r="Q992" i="7"/>
  <c r="AC992" i="7" l="1"/>
  <c r="W992" i="7" s="1"/>
  <c r="AD992" i="7"/>
  <c r="X992" i="7" s="1"/>
  <c r="AE992" i="7"/>
  <c r="Z992" i="7" s="1"/>
  <c r="V992" i="7" l="1"/>
  <c r="T992" i="7" s="1"/>
  <c r="Y992" i="7"/>
  <c r="AA992" i="7"/>
  <c r="U992" i="7" l="1"/>
  <c r="R993" i="7"/>
  <c r="P993" i="7"/>
  <c r="S993" i="7" l="1"/>
  <c r="Q993" i="7"/>
  <c r="AC993" i="7" s="1"/>
  <c r="W993" i="7" l="1"/>
  <c r="V993" i="7"/>
  <c r="AE993" i="7"/>
  <c r="Z993" i="7" s="1"/>
  <c r="AD993" i="7"/>
  <c r="X993" i="7" s="1"/>
  <c r="AA993" i="7" l="1"/>
  <c r="Y993" i="7"/>
  <c r="U993" i="7" s="1"/>
  <c r="T993" i="7"/>
  <c r="S994" i="7" l="1"/>
  <c r="Q994" i="7"/>
  <c r="P994" i="7"/>
  <c r="R994" i="7"/>
  <c r="AC994" i="7" l="1"/>
  <c r="W994" i="7" s="1"/>
  <c r="AE994" i="7"/>
  <c r="AA994" i="7" s="1"/>
  <c r="AD994" i="7"/>
  <c r="Y994" i="7" s="1"/>
  <c r="V994" i="7"/>
  <c r="Z994" i="7"/>
  <c r="X994" i="7" l="1"/>
  <c r="T994" i="7" s="1"/>
  <c r="U994" i="7"/>
  <c r="Q995" i="7" l="1"/>
  <c r="S995" i="7"/>
  <c r="R995" i="7"/>
  <c r="P995" i="7"/>
  <c r="AC995" i="7" l="1"/>
  <c r="W995" i="7" s="1"/>
  <c r="AE995" i="7"/>
  <c r="AA995" i="7" s="1"/>
  <c r="AD995" i="7"/>
  <c r="Y995" i="7" s="1"/>
  <c r="V995" i="7"/>
  <c r="Z995" i="7" l="1"/>
  <c r="X995" i="7"/>
  <c r="U995" i="7"/>
  <c r="T995" i="7" l="1"/>
  <c r="Q996" i="7"/>
  <c r="S996" i="7"/>
  <c r="P996" i="7"/>
  <c r="R996" i="7"/>
  <c r="AE996" i="7" l="1"/>
  <c r="AA996" i="7" s="1"/>
  <c r="AC996" i="7"/>
  <c r="W996" i="7" s="1"/>
  <c r="AD996" i="7"/>
  <c r="Y996" i="7" s="1"/>
  <c r="V996" i="7"/>
  <c r="Z996" i="7"/>
  <c r="X996" i="7" l="1"/>
  <c r="T996" i="7" s="1"/>
  <c r="U996" i="7"/>
  <c r="S997" i="7" l="1"/>
  <c r="Q997" i="7"/>
  <c r="R997" i="7"/>
  <c r="P997" i="7"/>
  <c r="AE997" i="7" l="1"/>
  <c r="AA997" i="7" s="1"/>
  <c r="AD997" i="7"/>
  <c r="Y997" i="7" s="1"/>
  <c r="AC997" i="7"/>
  <c r="W997" i="7" s="1"/>
  <c r="X997" i="7"/>
  <c r="U997" i="7" l="1"/>
  <c r="Q998" i="7" s="1"/>
  <c r="S998" i="7"/>
  <c r="V997" i="7"/>
  <c r="Z997" i="7"/>
  <c r="T997" i="7" s="1"/>
  <c r="R998" i="7" l="1"/>
  <c r="P998" i="7"/>
  <c r="AD998" i="7" l="1"/>
  <c r="Y998" i="7" s="1"/>
  <c r="AE998" i="7"/>
  <c r="AA998" i="7" s="1"/>
  <c r="AC998" i="7"/>
  <c r="W998" i="7" s="1"/>
  <c r="X998" i="7"/>
  <c r="V998" i="7" l="1"/>
  <c r="Z998" i="7"/>
  <c r="T998" i="7" s="1"/>
  <c r="U998" i="7"/>
  <c r="Q999" i="7" s="1"/>
  <c r="S999" i="7"/>
  <c r="R999" i="7" l="1"/>
  <c r="P999" i="7"/>
  <c r="AC999" i="7" l="1"/>
  <c r="W999" i="7" s="1"/>
  <c r="AE999" i="7"/>
  <c r="AA999" i="7" s="1"/>
  <c r="AD999" i="7"/>
  <c r="Y999" i="7" s="1"/>
  <c r="Z999" i="7"/>
  <c r="X999" i="7" l="1"/>
  <c r="U999" i="7"/>
  <c r="V999" i="7"/>
  <c r="T999" i="7" l="1"/>
  <c r="R1000" i="7"/>
  <c r="P1000" i="7"/>
  <c r="S1000" i="7"/>
  <c r="Q1000" i="7"/>
  <c r="AD1000" i="7" l="1"/>
  <c r="Y1000" i="7" s="1"/>
  <c r="AE1000" i="7"/>
  <c r="AA1000" i="7" s="1"/>
  <c r="AC1000" i="7"/>
  <c r="W1000" i="7" s="1"/>
  <c r="X1000" i="7"/>
  <c r="V1000" i="7" l="1"/>
  <c r="U1000" i="7"/>
  <c r="Z1000" i="7"/>
  <c r="T1000" i="7" s="1"/>
  <c r="Q1001" i="7" l="1"/>
  <c r="S1001" i="7"/>
  <c r="P1001" i="7"/>
  <c r="R1001" i="7"/>
  <c r="AE1001" i="7" l="1"/>
  <c r="AA1001" i="7" s="1"/>
  <c r="AC1001" i="7"/>
  <c r="W1001" i="7" s="1"/>
  <c r="AD1001" i="7"/>
  <c r="Y1001" i="7" s="1"/>
  <c r="Z1001" i="7" l="1"/>
  <c r="V1001" i="7"/>
  <c r="X1001" i="7"/>
  <c r="T1001" i="7" s="1"/>
  <c r="U1001" i="7"/>
  <c r="R1002" i="7" l="1"/>
  <c r="P1002" i="7"/>
  <c r="Q1002" i="7"/>
  <c r="S1002" i="7"/>
  <c r="AD1002" i="7" l="1"/>
  <c r="X1002" i="7" s="1"/>
  <c r="AE1002" i="7"/>
  <c r="Z1002" i="7" s="1"/>
  <c r="AC1002" i="7"/>
  <c r="V1002" i="7" s="1"/>
  <c r="Y1002" i="7" l="1"/>
  <c r="W1002" i="7"/>
  <c r="T1002" i="7"/>
  <c r="AA1002" i="7"/>
  <c r="U1002" i="7" s="1"/>
  <c r="P1003" i="7" l="1"/>
  <c r="R1003" i="7"/>
  <c r="S1003" i="7"/>
  <c r="Q1003" i="7"/>
  <c r="AE1003" i="7" l="1"/>
  <c r="Z1003" i="7" s="1"/>
  <c r="AC1003" i="7"/>
  <c r="V1003" i="7" s="1"/>
  <c r="AD1003" i="7"/>
  <c r="X1003" i="7" s="1"/>
  <c r="AA1003" i="7" l="1"/>
  <c r="T1003" i="7"/>
  <c r="W1003" i="7"/>
  <c r="Y1003" i="7"/>
  <c r="U1003" i="7" l="1"/>
  <c r="Q1004" i="7"/>
  <c r="S1004" i="7"/>
  <c r="R1004" i="7"/>
  <c r="P1004" i="7"/>
  <c r="AC1004" i="7" l="1"/>
  <c r="V1004" i="7" s="1"/>
  <c r="AD1004" i="7"/>
  <c r="X1004" i="7" s="1"/>
  <c r="AE1004" i="7"/>
  <c r="Z1004" i="7" s="1"/>
  <c r="W1004" i="7"/>
  <c r="Y1004" i="7" l="1"/>
  <c r="AA1004" i="7"/>
  <c r="U1004" i="7" s="1"/>
  <c r="T1004" i="7"/>
</calcChain>
</file>

<file path=xl/sharedStrings.xml><?xml version="1.0" encoding="utf-8"?>
<sst xmlns="http://schemas.openxmlformats.org/spreadsheetml/2006/main" count="128" uniqueCount="79">
  <si>
    <t>Paramètre généraux</t>
  </si>
  <si>
    <t>Base de temps</t>
  </si>
  <si>
    <t>Coefficient de friction</t>
  </si>
  <si>
    <t>Ratio de la constante d'Aarseth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</si>
  <si>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</si>
  <si>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</si>
  <si>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</si>
  <si>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</si>
  <si>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</si>
  <si>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</si>
  <si>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</si>
  <si>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</si>
  <si>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</si>
  <si>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</si>
  <si>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</si>
  <si>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</si>
  <si>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</si>
  <si>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</si>
  <si>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</si>
  <si>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</si>
  <si>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</si>
  <si>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</si>
  <si>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</si>
  <si>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</si>
  <si>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</si>
  <si>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</si>
  <si>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</si>
  <si>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</si>
  <si>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</si>
  <si>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</si>
  <si>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</si>
  <si>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</si>
  <si>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</si>
  <si>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</si>
  <si>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</si>
  <si>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</si>
  <si>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</si>
  <si>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</si>
  <si>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</si>
  <si>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</si>
  <si>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</si>
  <si>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</si>
  <si>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</si>
  <si>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</si>
  <si>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</si>
  <si>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</si>
  <si>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</si>
  <si>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</si>
  <si>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</si>
  <si>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</si>
  <si>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</si>
  <si>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</si>
  <si>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</si>
  <si>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</si>
  <si>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</si>
  <si>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</si>
  <si>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</si>
  <si>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</si>
  <si>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axj</t>
  </si>
  <si>
    <t>vxj</t>
  </si>
  <si>
    <t>vyj</t>
  </si>
  <si>
    <t>ayj</t>
  </si>
  <si>
    <t>ax1</t>
  </si>
  <si>
    <t>ax2</t>
  </si>
  <si>
    <t>ay1</t>
  </si>
  <si>
    <t>ay2</t>
  </si>
  <si>
    <t>ax3</t>
  </si>
  <si>
    <t>ay3</t>
  </si>
  <si>
    <t>distance 1</t>
  </si>
  <si>
    <t>distance 2</t>
  </si>
  <si>
    <t>distance 3</t>
  </si>
  <si>
    <t>(pxj)</t>
  </si>
  <si>
    <t>(pyj)</t>
  </si>
  <si>
    <t>Position initiale :</t>
  </si>
  <si>
    <t>Position finale :</t>
  </si>
  <si>
    <t>Position courante :</t>
  </si>
  <si>
    <t>Progression</t>
  </si>
  <si>
    <t>Vaiseaux en mouvement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</si>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</sst>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9" fontId="0" fillId="0" borderId="0" xfId="1" applyFont="1"/>
    <xf numFmtId="0" fontId="6" fillId="7" borderId="2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3" xfId="0" applyFont="1" applyFill="1" applyBorder="1" applyAlignment="1">
      <alignment vertical="top"/>
    </xf>
    <xf numFmtId="0" fontId="0" fillId="11" borderId="2" xfId="0" applyFill="1" applyBorder="1" applyAlignment="1">
      <alignment vertical="center"/>
    </xf>
    <xf numFmtId="0" fontId="0" fillId="11" borderId="2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24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165" fontId="0" fillId="10" borderId="23" xfId="0" applyNumberForma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0" fillId="14" borderId="24" xfId="0" applyFill="1" applyBorder="1" applyAlignment="1">
      <alignment horizontal="center" vertical="center"/>
    </xf>
    <xf numFmtId="0" fontId="0" fillId="14" borderId="25" xfId="0" applyFill="1" applyBorder="1" applyAlignment="1">
      <alignment horizontal="center" vertical="center"/>
    </xf>
    <xf numFmtId="165" fontId="0" fillId="8" borderId="24" xfId="0" applyNumberForma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165" fontId="0" fillId="9" borderId="24" xfId="0" applyNumberFormat="1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165" fontId="0" fillId="15" borderId="23" xfId="0" applyNumberForma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0" fillId="5" borderId="8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2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9" xfId="0" applyFill="1" applyBorder="1"/>
    <xf numFmtId="0" fontId="0" fillId="6" borderId="4" xfId="0" applyFill="1" applyBorder="1" applyAlignment="1">
      <alignment horizontal="center" vertical="center"/>
    </xf>
    <xf numFmtId="0" fontId="0" fillId="8" borderId="2" xfId="0" applyFill="1" applyBorder="1"/>
    <xf numFmtId="0" fontId="0" fillId="8" borderId="1" xfId="0" applyFill="1" applyBorder="1"/>
    <xf numFmtId="0" fontId="0" fillId="8" borderId="2" xfId="0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8" borderId="19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11" xfId="0" applyFill="1" applyBorder="1"/>
    <xf numFmtId="0" fontId="0" fillId="8" borderId="4" xfId="0" applyFill="1" applyBorder="1" applyAlignment="1">
      <alignment horizontal="center" vertical="center"/>
    </xf>
    <xf numFmtId="0" fontId="0" fillId="9" borderId="2" xfId="0" applyFill="1" applyBorder="1"/>
    <xf numFmtId="0" fontId="0" fillId="9" borderId="1" xfId="0" applyFill="1" applyBorder="1"/>
    <xf numFmtId="0" fontId="0" fillId="9" borderId="2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22" xfId="0" applyFill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0" fillId="9" borderId="13" xfId="0" applyFill="1" applyBorder="1"/>
    <xf numFmtId="0" fontId="0" fillId="9" borderId="4" xfId="0" applyFill="1" applyBorder="1" applyAlignment="1">
      <alignment horizontal="center" vertical="center"/>
    </xf>
    <xf numFmtId="0" fontId="3" fillId="17" borderId="30" xfId="0" applyFont="1" applyFill="1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166" fontId="0" fillId="18" borderId="31" xfId="0" applyNumberFormat="1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65" fontId="0" fillId="18" borderId="31" xfId="0" applyNumberFormat="1" applyFill="1" applyBorder="1" applyAlignment="1">
      <alignment horizontal="center" vertical="center"/>
    </xf>
    <xf numFmtId="165" fontId="0" fillId="18" borderId="32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166" fontId="0" fillId="18" borderId="28" xfId="0" applyNumberFormat="1" applyFill="1" applyBorder="1" applyAlignment="1">
      <alignment horizontal="center" vertical="center"/>
    </xf>
    <xf numFmtId="165" fontId="0" fillId="18" borderId="28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0" fontId="3" fillId="19" borderId="36" xfId="0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38" xfId="0" applyFont="1" applyFill="1" applyBorder="1" applyAlignment="1">
      <alignment horizontal="center" vertical="center"/>
    </xf>
    <xf numFmtId="165" fontId="0" fillId="20" borderId="36" xfId="0" applyNumberFormat="1" applyFill="1" applyBorder="1" applyAlignment="1">
      <alignment horizontal="center" vertical="center"/>
    </xf>
    <xf numFmtId="165" fontId="0" fillId="20" borderId="37" xfId="0" applyNumberFormat="1" applyFill="1" applyBorder="1" applyAlignment="1">
      <alignment horizontal="center"/>
    </xf>
    <xf numFmtId="165" fontId="0" fillId="20" borderId="38" xfId="0" applyNumberFormat="1" applyFill="1" applyBorder="1" applyAlignment="1">
      <alignment horizontal="center"/>
    </xf>
    <xf numFmtId="165" fontId="0" fillId="0" borderId="3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20" borderId="33" xfId="0" applyNumberFormat="1" applyFill="1" applyBorder="1" applyAlignment="1">
      <alignment horizontal="center" vertical="center"/>
    </xf>
    <xf numFmtId="165" fontId="0" fillId="20" borderId="34" xfId="0" applyNumberFormat="1" applyFill="1" applyBorder="1" applyAlignment="1">
      <alignment horizontal="center"/>
    </xf>
    <xf numFmtId="165" fontId="0" fillId="20" borderId="35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9" borderId="14" xfId="0" applyFill="1" applyBorder="1"/>
    <xf numFmtId="0" fontId="3" fillId="2" borderId="4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3" fillId="4" borderId="4" xfId="0" applyFont="1" applyFill="1" applyBorder="1" applyAlignment="1">
      <alignment horizontal="left" vertical="top"/>
    </xf>
    <xf numFmtId="0" fontId="3" fillId="4" borderId="6" xfId="0" applyFont="1" applyFill="1" applyBorder="1" applyAlignment="1">
      <alignment horizontal="left" vertical="top"/>
    </xf>
    <xf numFmtId="0" fontId="3" fillId="4" borderId="5" xfId="0" applyFont="1" applyFill="1" applyBorder="1" applyAlignment="1">
      <alignment horizontal="left" vertical="top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9" borderId="4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3" fillId="16" borderId="4" xfId="0" applyFont="1" applyFill="1" applyBorder="1" applyAlignment="1">
      <alignment horizontal="left" vertical="top"/>
    </xf>
    <xf numFmtId="0" fontId="3" fillId="16" borderId="6" xfId="0" applyFont="1" applyFill="1" applyBorder="1" applyAlignment="1">
      <alignment horizontal="left" vertical="top"/>
    </xf>
    <xf numFmtId="0" fontId="3" fillId="16" borderId="5" xfId="0" applyFont="1" applyFill="1" applyBorder="1" applyAlignment="1">
      <alignment horizontal="left" vertical="top"/>
    </xf>
    <xf numFmtId="164" fontId="0" fillId="8" borderId="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57352823611351E-2"/>
          <c:y val="2.015562732189153E-2"/>
          <c:w val="0.86684197967189947"/>
          <c:h val="0.9400229403090727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41-4F26-83A6-B0E621B9DB1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F26-83A6-B0E621B9DB1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41-4F26-83A6-B0E621B9DB1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41-4F26-83A6-B0E621B9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112307089559933E-2"/>
          <c:y val="2.8060864456910417E-2"/>
          <c:w val="0.92676117866219099"/>
          <c:h val="0.96141631137174821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22225" cap="rnd">
              <a:solidFill>
                <a:schemeClr val="accent6">
                  <a:lumMod val="5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22225" cap="rnd">
              <a:solidFill>
                <a:schemeClr val="tx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4"/>
          <c:order val="4"/>
          <c:tx>
            <c:v>vaiseau</c:v>
          </c:tx>
          <c:spPr>
            <a:ln w="22225" cap="rnd">
              <a:solidFill>
                <a:srgbClr val="92D050"/>
              </a:solidFill>
              <a:tailEnd type="diamond" w="lg" len="lg"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3CD-412E-AEEC-4B83000A3BAB}"/>
              </c:ext>
            </c:extLst>
          </c:dPt>
          <c:xVal>
            <c:numRef>
              <c:f>'Graphique animé'!$B$4:$B$6</c:f>
              <c:numCache>
                <c:formatCode>General</c:formatCode>
                <c:ptCount val="3"/>
                <c:pt idx="0">
                  <c:v>597.78138509713824</c:v>
                </c:pt>
                <c:pt idx="1">
                  <c:v>2948.2328775484116</c:v>
                </c:pt>
                <c:pt idx="2">
                  <c:v>5245.4913349528724</c:v>
                </c:pt>
              </c:numCache>
            </c:numRef>
          </c:xVal>
          <c:yVal>
            <c:numRef>
              <c:f>'Graphique animé'!$C$4:$C$6</c:f>
              <c:numCache>
                <c:formatCode>General</c:formatCode>
                <c:ptCount val="3"/>
                <c:pt idx="0">
                  <c:v>-3988.1713399098685</c:v>
                </c:pt>
                <c:pt idx="1">
                  <c:v>-2836.4229574485039</c:v>
                </c:pt>
                <c:pt idx="2">
                  <c:v>-1865.7641451009611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D-412E-AEEC-4B83000A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Conditions!$P$4:$P$1004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14.896066662928291</c:v>
                      </c:pt>
                      <c:pt idx="2">
                        <c:v>58.763346006098629</c:v>
                      </c:pt>
                      <c:pt idx="3">
                        <c:v>128.22405865783483</c:v>
                      </c:pt>
                      <c:pt idx="4">
                        <c:v>216.13974170265215</c:v>
                      </c:pt>
                      <c:pt idx="5">
                        <c:v>310.82750076894808</c:v>
                      </c:pt>
                      <c:pt idx="6">
                        <c:v>394.85512702817829</c:v>
                      </c:pt>
                      <c:pt idx="7">
                        <c:v>443.40662540911171</c:v>
                      </c:pt>
                      <c:pt idx="8">
                        <c:v>422.25807997629948</c:v>
                      </c:pt>
                      <c:pt idx="9">
                        <c:v>285.58924200038081</c:v>
                      </c:pt>
                      <c:pt idx="10">
                        <c:v>-25.477447829588286</c:v>
                      </c:pt>
                      <c:pt idx="11">
                        <c:v>-580.59478059598382</c:v>
                      </c:pt>
                      <c:pt idx="12">
                        <c:v>-1446.1464434888012</c:v>
                      </c:pt>
                      <c:pt idx="13">
                        <c:v>-2648.2099956923234</c:v>
                      </c:pt>
                      <c:pt idx="14">
                        <c:v>-4125.8644659824422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-10941.137467635343</c:v>
                      </c:pt>
                      <c:pt idx="20">
                        <c:v>-11593.405098906622</c:v>
                      </c:pt>
                      <c:pt idx="21">
                        <c:v>-11896.39913870009</c:v>
                      </c:pt>
                      <c:pt idx="22">
                        <c:v>-11800.869060891875</c:v>
                      </c:pt>
                      <c:pt idx="23">
                        <c:v>-11250.644764132241</c:v>
                      </c:pt>
                      <c:pt idx="24">
                        <c:v>-10192.927132982939</c:v>
                      </c:pt>
                      <c:pt idx="25">
                        <c:v>-8610.6561923647514</c:v>
                      </c:pt>
                      <c:pt idx="26">
                        <c:v>-6573.0130698725015</c:v>
                      </c:pt>
                      <c:pt idx="27">
                        <c:v>-4245.580794271661</c:v>
                      </c:pt>
                      <c:pt idx="28">
                        <c:v>-1814.6060313898488</c:v>
                      </c:pt>
                      <c:pt idx="29">
                        <c:v>597.78138509713824</c:v>
                      </c:pt>
                      <c:pt idx="30">
                        <c:v>2948.2328775484116</c:v>
                      </c:pt>
                      <c:pt idx="31">
                        <c:v>5245.4913349528724</c:v>
                      </c:pt>
                      <c:pt idx="32">
                        <c:v>7525.971896311009</c:v>
                      </c:pt>
                      <c:pt idx="33">
                        <c:v>9840.17185970836</c:v>
                      </c:pt>
                      <c:pt idx="34">
                        <c:v>12244.943311125411</c:v>
                      </c:pt>
                      <c:pt idx="35">
                        <c:v>14794.875574956426</c:v>
                      </c:pt>
                      <c:pt idx="36">
                        <c:v>17522.598329195585</c:v>
                      </c:pt>
                      <c:pt idx="37">
                        <c:v>20391.642185488974</c:v>
                      </c:pt>
                      <c:pt idx="38">
                        <c:v>23230.194083354596</c:v>
                      </c:pt>
                      <c:pt idx="39">
                        <c:v>25761.361344867084</c:v>
                      </c:pt>
                      <c:pt idx="40">
                        <c:v>27780.40518787707</c:v>
                      </c:pt>
                      <c:pt idx="41">
                        <c:v>29248.402756937092</c:v>
                      </c:pt>
                      <c:pt idx="42">
                        <c:v>30215.812704338721</c:v>
                      </c:pt>
                      <c:pt idx="43">
                        <c:v>30745.101259605577</c:v>
                      </c:pt>
                      <c:pt idx="44">
                        <c:v>30886.790392534043</c:v>
                      </c:pt>
                      <c:pt idx="45">
                        <c:v>30677.461320887327</c:v>
                      </c:pt>
                      <c:pt idx="46">
                        <c:v>30142.303506834902</c:v>
                      </c:pt>
                      <c:pt idx="47">
                        <c:v>29297.777533785211</c:v>
                      </c:pt>
                      <c:pt idx="48">
                        <c:v>28153.785104550767</c:v>
                      </c:pt>
                      <c:pt idx="49">
                        <c:v>26715.716662999908</c:v>
                      </c:pt>
                      <c:pt idx="50">
                        <c:v>24987.318013590622</c:v>
                      </c:pt>
                      <c:pt idx="51">
                        <c:v>22976.472539850249</c:v>
                      </c:pt>
                      <c:pt idx="52">
                        <c:v>20708.650299308436</c:v>
                      </c:pt>
                      <c:pt idx="53">
                        <c:v>18256.048790721634</c:v>
                      </c:pt>
                      <c:pt idx="54">
                        <c:v>15777.152184099592</c:v>
                      </c:pt>
                      <c:pt idx="55">
                        <c:v>13493.520434419908</c:v>
                      </c:pt>
                      <c:pt idx="56">
                        <c:v>11547.047691312589</c:v>
                      </c:pt>
                      <c:pt idx="57">
                        <c:v>9910.9609676595392</c:v>
                      </c:pt>
                      <c:pt idx="58">
                        <c:v>8462.8099801477911</c:v>
                      </c:pt>
                      <c:pt idx="59">
                        <c:v>7068.3084532837693</c:v>
                      </c:pt>
                      <c:pt idx="60">
                        <c:v>5601.6989169081126</c:v>
                      </c:pt>
                      <c:pt idx="61">
                        <c:v>3940.3522252461894</c:v>
                      </c:pt>
                      <c:pt idx="62">
                        <c:v>1962.7825789155502</c:v>
                      </c:pt>
                      <c:pt idx="63">
                        <c:v>-425.6791403939194</c:v>
                      </c:pt>
                      <c:pt idx="64">
                        <c:v>-3217.9260129038589</c:v>
                      </c:pt>
                      <c:pt idx="65">
                        <c:v>-6247.2286321004485</c:v>
                      </c:pt>
                      <c:pt idx="66">
                        <c:v>-9274.1001941296508</c:v>
                      </c:pt>
                      <c:pt idx="67">
                        <c:v>-12128.453483572135</c:v>
                      </c:pt>
                      <c:pt idx="68">
                        <c:v>-14737.842895389394</c:v>
                      </c:pt>
                      <c:pt idx="69">
                        <c:v>-17083.830135097749</c:v>
                      </c:pt>
                      <c:pt idx="70">
                        <c:v>-19168.468262468396</c:v>
                      </c:pt>
                      <c:pt idx="71">
                        <c:v>-20999.620327114164</c:v>
                      </c:pt>
                      <c:pt idx="72">
                        <c:v>-22585.524596538991</c:v>
                      </c:pt>
                      <c:pt idx="73">
                        <c:v>-23932.944997394785</c:v>
                      </c:pt>
                      <c:pt idx="74">
                        <c:v>-25046.625394282732</c:v>
                      </c:pt>
                      <c:pt idx="75">
                        <c:v>-25929.195097656397</c:v>
                      </c:pt>
                      <c:pt idx="76">
                        <c:v>-26581.209700666594</c:v>
                      </c:pt>
                      <c:pt idx="77">
                        <c:v>-27001.212118284355</c:v>
                      </c:pt>
                      <c:pt idx="78">
                        <c:v>-27185.776855785447</c:v>
                      </c:pt>
                      <c:pt idx="79">
                        <c:v>-27129.535015349109</c:v>
                      </c:pt>
                      <c:pt idx="80">
                        <c:v>-26825.199751947537</c:v>
                      </c:pt>
                      <c:pt idx="81">
                        <c:v>-26263.637906131498</c:v>
                      </c:pt>
                      <c:pt idx="82">
                        <c:v>-25434.077422908067</c:v>
                      </c:pt>
                      <c:pt idx="83">
                        <c:v>-24324.621588823808</c:v>
                      </c:pt>
                      <c:pt idx="84">
                        <c:v>-22923.391257416042</c:v>
                      </c:pt>
                      <c:pt idx="85">
                        <c:v>-21220.874935733256</c:v>
                      </c:pt>
                      <c:pt idx="86">
                        <c:v>-19214.425290645206</c:v>
                      </c:pt>
                      <c:pt idx="87">
                        <c:v>-16915.94311473901</c:v>
                      </c:pt>
                      <c:pt idx="88">
                        <c:v>-14361.983954495105</c:v>
                      </c:pt>
                      <c:pt idx="89">
                        <c:v>-11618.5960080849</c:v>
                      </c:pt>
                      <c:pt idx="90">
                        <c:v>-8766.2728338617544</c:v>
                      </c:pt>
                      <c:pt idx="91">
                        <c:v>-5866.909999225345</c:v>
                      </c:pt>
                      <c:pt idx="92">
                        <c:v>-2942.0499743313267</c:v>
                      </c:pt>
                      <c:pt idx="93">
                        <c:v>23.217842275282543</c:v>
                      </c:pt>
                      <c:pt idx="94">
                        <c:v>3067.3982624692821</c:v>
                      </c:pt>
                      <c:pt idx="95">
                        <c:v>6244.5152794712631</c:v>
                      </c:pt>
                      <c:pt idx="96">
                        <c:v>9619.9472014949715</c:v>
                      </c:pt>
                      <c:pt idx="97">
                        <c:v>13261.688861180764</c:v>
                      </c:pt>
                      <c:pt idx="98">
                        <c:v>17207.795860301198</c:v>
                      </c:pt>
                      <c:pt idx="99">
                        <c:v>21382.897160049641</c:v>
                      </c:pt>
                      <c:pt idx="100">
                        <c:v>25527.780776294872</c:v>
                      </c:pt>
                      <c:pt idx="101">
                        <c:v>29332.539046253463</c:v>
                      </c:pt>
                      <c:pt idx="102">
                        <c:v>32647.263301223189</c:v>
                      </c:pt>
                      <c:pt idx="103">
                        <c:v>35481.3271624361</c:v>
                      </c:pt>
                      <c:pt idx="104">
                        <c:v>37895.80418762879</c:v>
                      </c:pt>
                      <c:pt idx="105">
                        <c:v>39951.161291287099</c:v>
                      </c:pt>
                      <c:pt idx="106">
                        <c:v>41696.165858057902</c:v>
                      </c:pt>
                      <c:pt idx="107">
                        <c:v>43168.476126794441</c:v>
                      </c:pt>
                      <c:pt idx="108">
                        <c:v>44397.134301027763</c:v>
                      </c:pt>
                      <c:pt idx="109">
                        <c:v>45404.779111356205</c:v>
                      </c:pt>
                      <c:pt idx="110">
                        <c:v>46209.290956352772</c:v>
                      </c:pt>
                      <c:pt idx="111">
                        <c:v>46824.965117993859</c:v>
                      </c:pt>
                      <c:pt idx="112">
                        <c:v>47263.345217036534</c:v>
                      </c:pt>
                      <c:pt idx="113">
                        <c:v>47533.820692211244</c:v>
                      </c:pt>
                      <c:pt idx="114">
                        <c:v>47644.060809448856</c:v>
                      </c:pt>
                      <c:pt idx="115">
                        <c:v>47600.334290621708</c:v>
                      </c:pt>
                      <c:pt idx="116">
                        <c:v>47407.74769650391</c:v>
                      </c:pt>
                      <c:pt idx="117">
                        <c:v>47070.425113675432</c:v>
                      </c:pt>
                      <c:pt idx="118">
                        <c:v>46591.644691713285</c:v>
                      </c:pt>
                      <c:pt idx="119">
                        <c:v>45973.94291183223</c:v>
                      </c:pt>
                      <c:pt idx="120">
                        <c:v>45219.19432925494</c:v>
                      </c:pt>
                      <c:pt idx="121">
                        <c:v>44328.672399004114</c:v>
                      </c:pt>
                      <c:pt idx="122">
                        <c:v>43303.095535653512</c:v>
                      </c:pt>
                      <c:pt idx="123">
                        <c:v>42142.661555690524</c:v>
                      </c:pt>
                      <c:pt idx="124">
                        <c:v>40847.072959608347</c:v>
                      </c:pt>
                      <c:pt idx="125">
                        <c:v>39415.555016025151</c:v>
                      </c:pt>
                      <c:pt idx="126">
                        <c:v>37846.868195774376</c:v>
                      </c:pt>
                      <c:pt idx="127">
                        <c:v>36139.316000432831</c:v>
                      </c:pt>
                      <c:pt idx="128">
                        <c:v>34290.748323708511</c:v>
                      </c:pt>
                      <c:pt idx="129">
                        <c:v>32298.558541159291</c:v>
                      </c:pt>
                      <c:pt idx="130">
                        <c:v>30159.668235802488</c:v>
                      </c:pt>
                      <c:pt idx="131">
                        <c:v>27870.484161494198</c:v>
                      </c:pt>
                      <c:pt idx="132">
                        <c:v>25426.792396758803</c:v>
                      </c:pt>
                      <c:pt idx="133">
                        <c:v>22823.514518604257</c:v>
                      </c:pt>
                      <c:pt idx="134">
                        <c:v>20054.172441457762</c:v>
                      </c:pt>
                      <c:pt idx="135">
                        <c:v>17109.767905520835</c:v>
                      </c:pt>
                      <c:pt idx="136">
                        <c:v>13976.569983364854</c:v>
                      </c:pt>
                      <c:pt idx="137">
                        <c:v>10632.139535991282</c:v>
                      </c:pt>
                      <c:pt idx="138">
                        <c:v>7039.5393114379822</c:v>
                      </c:pt>
                      <c:pt idx="139">
                        <c:v>3144.2746556375196</c:v>
                      </c:pt>
                      <c:pt idx="140">
                        <c:v>-1103.2054927431936</c:v>
                      </c:pt>
                      <c:pt idx="141">
                        <c:v>-5651.6796163063173</c:v>
                      </c:pt>
                      <c:pt idx="142">
                        <c:v>-10261.00035927406</c:v>
                      </c:pt>
                      <c:pt idx="143">
                        <c:v>-14656.030853972008</c:v>
                      </c:pt>
                      <c:pt idx="144">
                        <c:v>-18722.601056920961</c:v>
                      </c:pt>
                      <c:pt idx="145">
                        <c:v>-22464.523100091352</c:v>
                      </c:pt>
                      <c:pt idx="146">
                        <c:v>-25906.865482923131</c:v>
                      </c:pt>
                      <c:pt idx="147">
                        <c:v>-29069.38747312261</c:v>
                      </c:pt>
                      <c:pt idx="148">
                        <c:v>-31969.259979034636</c:v>
                      </c:pt>
                      <c:pt idx="149">
                        <c:v>-34624.614037958352</c:v>
                      </c:pt>
                      <c:pt idx="150">
                        <c:v>-37054.470478277341</c:v>
                      </c:pt>
                      <c:pt idx="151">
                        <c:v>-39277.398102829677</c:v>
                      </c:pt>
                      <c:pt idx="152">
                        <c:v>-41310.485900575462</c:v>
                      </c:pt>
                      <c:pt idx="153">
                        <c:v>-43168.898096943019</c:v>
                      </c:pt>
                      <c:pt idx="154">
                        <c:v>-44865.826030513934</c:v>
                      </c:pt>
                      <c:pt idx="155">
                        <c:v>-46412.634897716969</c:v>
                      </c:pt>
                      <c:pt idx="156">
                        <c:v>-47819.080258970287</c:v>
                      </c:pt>
                      <c:pt idx="157">
                        <c:v>-49093.531711714124</c:v>
                      </c:pt>
                      <c:pt idx="158">
                        <c:v>-50243.177200357932</c:v>
                      </c:pt>
                      <c:pt idx="159">
                        <c:v>-51274.199432570487</c:v>
                      </c:pt>
                      <c:pt idx="160">
                        <c:v>-52191.923969737341</c:v>
                      </c:pt>
                      <c:pt idx="161">
                        <c:v>-53000.941746303295</c:v>
                      </c:pt>
                      <c:pt idx="162">
                        <c:v>-53705.209683984358</c:v>
                      </c:pt>
                      <c:pt idx="163">
                        <c:v>-54308.133001649388</c:v>
                      </c:pt>
                      <c:pt idx="164">
                        <c:v>-54812.63239126961</c:v>
                      </c:pt>
                      <c:pt idx="165">
                        <c:v>-55221.19870854108</c:v>
                      </c:pt>
                      <c:pt idx="166">
                        <c:v>-55535.93732703603</c:v>
                      </c:pt>
                      <c:pt idx="167">
                        <c:v>-55758.60386651977</c:v>
                      </c:pt>
                      <c:pt idx="168">
                        <c:v>-55890.63263622739</c:v>
                      </c:pt>
                      <c:pt idx="169">
                        <c:v>-55933.158825953942</c:v>
                      </c:pt>
                      <c:pt idx="170">
                        <c:v>-55887.035220721205</c:v>
                      </c:pt>
                      <c:pt idx="171">
                        <c:v>-55752.843996611664</c:v>
                      </c:pt>
                      <c:pt idx="172">
                        <c:v>-55530.903964617573</c:v>
                      </c:pt>
                      <c:pt idx="173">
                        <c:v>-55221.273455186289</c:v>
                      </c:pt>
                      <c:pt idx="174">
                        <c:v>-54823.74886797661</c:v>
                      </c:pt>
                      <c:pt idx="175">
                        <c:v>-54337.858738186696</c:v>
                      </c:pt>
                      <c:pt idx="176">
                        <c:v>-53762.852980296368</c:v>
                      </c:pt>
                      <c:pt idx="177">
                        <c:v>-53097.686747075197</c:v>
                      </c:pt>
                      <c:pt idx="178">
                        <c:v>-52340.998066482745</c:v>
                      </c:pt>
                      <c:pt idx="179">
                        <c:v>-51491.078064387635</c:v>
                      </c:pt>
                      <c:pt idx="180">
                        <c:v>-50545.832107813803</c:v>
                      </c:pt>
                      <c:pt idx="181">
                        <c:v>-49502.729554075479</c:v>
                      </c:pt>
                      <c:pt idx="182">
                        <c:v>-48358.738878741875</c:v>
                      </c:pt>
                      <c:pt idx="183">
                        <c:v>-47110.243646266099</c:v>
                      </c:pt>
                      <c:pt idx="184">
                        <c:v>-45752.932873099177</c:v>
                      </c:pt>
                      <c:pt idx="185">
                        <c:v>-44281.656486952321</c:v>
                      </c:pt>
                      <c:pt idx="186">
                        <c:v>-42690.232294229994</c:v>
                      </c:pt>
                      <c:pt idx="187">
                        <c:v>-40971.184344462439</c:v>
                      </c:pt>
                      <c:pt idx="188">
                        <c:v>-39115.382717544024</c:v>
                      </c:pt>
                      <c:pt idx="189">
                        <c:v>-37111.540408013978</c:v>
                      </c:pt>
                      <c:pt idx="190">
                        <c:v>-34945.504856969208</c:v>
                      </c:pt>
                      <c:pt idx="191">
                        <c:v>-32599.271441605091</c:v>
                      </c:pt>
                      <c:pt idx="192">
                        <c:v>-30049.707072001165</c:v>
                      </c:pt>
                      <c:pt idx="193">
                        <c:v>-27267.401590483467</c:v>
                      </c:pt>
                      <c:pt idx="194">
                        <c:v>-24218.212106043113</c:v>
                      </c:pt>
                      <c:pt idx="195">
                        <c:v>-20879.229067166558</c:v>
                      </c:pt>
                      <c:pt idx="196">
                        <c:v>-17302.009455562515</c:v>
                      </c:pt>
                      <c:pt idx="197">
                        <c:v>-13680.662973436783</c:v>
                      </c:pt>
                      <c:pt idx="198">
                        <c:v>-10198.136658305079</c:v>
                      </c:pt>
                      <c:pt idx="199">
                        <c:v>-6853.4800214622965</c:v>
                      </c:pt>
                      <c:pt idx="200">
                        <c:v>-3554.3195911258113</c:v>
                      </c:pt>
                      <c:pt idx="201">
                        <c:v>-230.11510165998038</c:v>
                      </c:pt>
                      <c:pt idx="202">
                        <c:v>3144.683479891502</c:v>
                      </c:pt>
                      <c:pt idx="203">
                        <c:v>6547.3655718116033</c:v>
                      </c:pt>
                      <c:pt idx="204">
                        <c:v>9914.6877992714108</c:v>
                      </c:pt>
                      <c:pt idx="205">
                        <c:v>13170.429555338431</c:v>
                      </c:pt>
                      <c:pt idx="206">
                        <c:v>16258.192591728408</c:v>
                      </c:pt>
                      <c:pt idx="207">
                        <c:v>19154.204773710459</c:v>
                      </c:pt>
                      <c:pt idx="208">
                        <c:v>21859.322395544506</c:v>
                      </c:pt>
                      <c:pt idx="209">
                        <c:v>24386.329671327509</c:v>
                      </c:pt>
                      <c:pt idx="210">
                        <c:v>26751.573464898192</c:v>
                      </c:pt>
                      <c:pt idx="211">
                        <c:v>28971.099094621</c:v>
                      </c:pt>
                      <c:pt idx="212">
                        <c:v>31059.28131389042</c:v>
                      </c:pt>
                      <c:pt idx="213">
                        <c:v>33028.544222223696</c:v>
                      </c:pt>
                      <c:pt idx="214">
                        <c:v>34889.487105337364</c:v>
                      </c:pt>
                      <c:pt idx="215">
                        <c:v>36651.129040362284</c:v>
                      </c:pt>
                      <c:pt idx="216">
                        <c:v>38321.162308757135</c:v>
                      </c:pt>
                      <c:pt idx="217">
                        <c:v>39906.177760229417</c:v>
                      </c:pt>
                      <c:pt idx="218">
                        <c:v>41411.853820682467</c:v>
                      </c:pt>
                      <c:pt idx="219">
                        <c:v>42843.111138414504</c:v>
                      </c:pt>
                      <c:pt idx="220">
                        <c:v>44204.237916491038</c:v>
                      </c:pt>
                      <c:pt idx="221">
                        <c:v>45498.991290969556</c:v>
                      </c:pt>
                      <c:pt idx="222">
                        <c:v>46730.679500676371</c:v>
                      </c:pt>
                      <c:pt idx="223">
                        <c:v>47902.22876517554</c:v>
                      </c:pt>
                      <c:pt idx="224">
                        <c:v>49016.238002458434</c:v>
                      </c:pt>
                      <c:pt idx="225">
                        <c:v>50075.023854466657</c:v>
                      </c:pt>
                      <c:pt idx="226">
                        <c:v>51080.657955072973</c:v>
                      </c:pt>
                      <c:pt idx="227">
                        <c:v>52034.997956087325</c:v>
                      </c:pt>
                      <c:pt idx="228">
                        <c:v>52939.713501197257</c:v>
                      </c:pt>
                      <c:pt idx="229">
                        <c:v>53796.308085648641</c:v>
                      </c:pt>
                      <c:pt idx="230">
                        <c:v>54606.137544286816</c:v>
                      </c:pt>
                      <c:pt idx="231">
                        <c:v>55370.425759081736</c:v>
                      </c:pt>
                      <c:pt idx="232">
                        <c:v>56090.278059211014</c:v>
                      </c:pt>
                      <c:pt idx="233">
                        <c:v>56766.692694341989</c:v>
                      </c:pt>
                      <c:pt idx="234">
                        <c:v>57400.570688989807</c:v>
                      </c:pt>
                      <c:pt idx="235">
                        <c:v>57992.724328219636</c:v>
                      </c:pt>
                      <c:pt idx="236">
                        <c:v>58543.884479080152</c:v>
                      </c:pt>
                      <c:pt idx="237">
                        <c:v>59054.706915391958</c:v>
                      </c:pt>
                      <c:pt idx="238">
                        <c:v>59525.777783872443</c:v>
                      </c:pt>
                      <c:pt idx="239">
                        <c:v>59957.618325524934</c:v>
                      </c:pt>
                      <c:pt idx="240">
                        <c:v>60350.688946570561</c:v>
                      </c:pt>
                      <c:pt idx="241">
                        <c:v>60705.39271703636</c:v>
                      </c:pt>
                      <c:pt idx="242">
                        <c:v>61022.078361714557</c:v>
                      </c:pt>
                      <c:pt idx="243">
                        <c:v>61301.04279700941</c:v>
                      </c:pt>
                      <c:pt idx="244">
                        <c:v>61542.533257742281</c:v>
                      </c:pt>
                      <c:pt idx="245">
                        <c:v>61746.749049932769</c:v>
                      </c:pt>
                      <c:pt idx="246">
                        <c:v>61913.842958625872</c:v>
                      </c:pt>
                      <c:pt idx="247">
                        <c:v>62043.922333754024</c:v>
                      </c:pt>
                      <c:pt idx="248">
                        <c:v>62137.049871613257</c:v>
                      </c:pt>
                      <c:pt idx="249">
                        <c:v>62193.244104627709</c:v>
                      </c:pt>
                      <c:pt idx="250">
                        <c:v>62212.479607533212</c:v>
                      </c:pt>
                      <c:pt idx="251">
                        <c:v>62194.686923800582</c:v>
                      </c:pt>
                      <c:pt idx="252">
                        <c:v>62139.752211924781</c:v>
                      </c:pt>
                      <c:pt idx="253">
                        <c:v>62047.516607015517</c:v>
                      </c:pt>
                      <c:pt idx="254">
                        <c:v>61917.775288825411</c:v>
                      </c:pt>
                      <c:pt idx="255">
                        <c:v>61750.276242828688</c:v>
                      </c:pt>
                      <c:pt idx="256">
                        <c:v>61544.718696091026</c:v>
                      </c:pt>
                      <c:pt idx="257">
                        <c:v>61300.751204311695</c:v>
                      </c:pt>
                      <c:pt idx="258">
                        <c:v>61017.969360413052</c:v>
                      </c:pt>
                      <c:pt idx="259">
                        <c:v>60695.913088213485</c:v>
                      </c:pt>
                      <c:pt idx="260">
                        <c:v>60334.063476825948</c:v>
                      </c:pt>
                      <c:pt idx="261">
                        <c:v>59931.839102204438</c:v>
                      </c:pt>
                      <c:pt idx="262">
                        <c:v>59488.591771384265</c:v>
                      </c:pt>
                      <c:pt idx="263">
                        <c:v>59003.601612017759</c:v>
                      </c:pt>
                      <c:pt idx="264">
                        <c:v>58476.071414281898</c:v>
                      </c:pt>
                      <c:pt idx="265">
                        <c:v>57905.120113482219</c:v>
                      </c:pt>
                      <c:pt idx="266">
                        <c:v>57289.775278881185</c:v>
                      </c:pt>
                      <c:pt idx="267">
                        <c:v>56628.964446398895</c:v>
                      </c:pt>
                      <c:pt idx="268">
                        <c:v>55921.505098540089</c:v>
                      </c:pt>
                      <c:pt idx="269">
                        <c:v>55166.093052488781</c:v>
                      </c:pt>
                      <c:pt idx="270">
                        <c:v>54361.288964586063</c:v>
                      </c:pt>
                      <c:pt idx="271">
                        <c:v>53505.502593539328</c:v>
                      </c:pt>
                      <c:pt idx="272">
                        <c:v>52596.974382058055</c:v>
                      </c:pt>
                      <c:pt idx="273">
                        <c:v>51633.753812488656</c:v>
                      </c:pt>
                      <c:pt idx="274">
                        <c:v>50613.673860453469</c:v>
                      </c:pt>
                      <c:pt idx="275">
                        <c:v>49534.320703968326</c:v>
                      </c:pt>
                      <c:pt idx="276">
                        <c:v>48392.997634810548</c:v>
                      </c:pt>
                      <c:pt idx="277">
                        <c:v>47186.681853319104</c:v>
                      </c:pt>
                      <c:pt idx="278">
                        <c:v>45911.972496167713</c:v>
                      </c:pt>
                      <c:pt idx="279">
                        <c:v>44565.027840486218</c:v>
                      </c:pt>
                      <c:pt idx="280">
                        <c:v>43141.489149144283</c:v>
                      </c:pt>
                      <c:pt idx="281">
                        <c:v>41636.388102502802</c:v>
                      </c:pt>
                      <c:pt idx="282">
                        <c:v>40044.034305423447</c:v>
                      </c:pt>
                      <c:pt idx="283">
                        <c:v>38357.879240223869</c:v>
                      </c:pt>
                      <c:pt idx="284">
                        <c:v>36570.353931695179</c:v>
                      </c:pt>
                      <c:pt idx="285">
                        <c:v>34672.681106923636</c:v>
                      </c:pt>
                      <c:pt idx="286">
                        <c:v>32654.672574924378</c:v>
                      </c:pt>
                      <c:pt idx="287">
                        <c:v>30504.547966296494</c:v>
                      </c:pt>
                      <c:pt idx="288">
                        <c:v>28208.873543965772</c:v>
                      </c:pt>
                      <c:pt idx="289">
                        <c:v>25752.871464085234</c:v>
                      </c:pt>
                      <c:pt idx="290">
                        <c:v>23121.711123847064</c:v>
                      </c:pt>
                      <c:pt idx="291">
                        <c:v>20304.209142964864</c:v>
                      </c:pt>
                      <c:pt idx="292">
                        <c:v>17301.882039121709</c:v>
                      </c:pt>
                      <c:pt idx="293">
                        <c:v>14147.232834408454</c:v>
                      </c:pt>
                      <c:pt idx="294">
                        <c:v>10926.641999828687</c:v>
                      </c:pt>
                      <c:pt idx="295">
                        <c:v>7773.0570673405191</c:v>
                      </c:pt>
                      <c:pt idx="296">
                        <c:v>4797.857871505601</c:v>
                      </c:pt>
                      <c:pt idx="297">
                        <c:v>2029.4191830697764</c:v>
                      </c:pt>
                      <c:pt idx="298">
                        <c:v>-570.29991048949648</c:v>
                      </c:pt>
                      <c:pt idx="299">
                        <c:v>-3057.1854842343323</c:v>
                      </c:pt>
                      <c:pt idx="300">
                        <c:v>-5477.2334645784413</c:v>
                      </c:pt>
                      <c:pt idx="301">
                        <c:v>-7857.9912098187888</c:v>
                      </c:pt>
                      <c:pt idx="302">
                        <c:v>-10209.456845348272</c:v>
                      </c:pt>
                      <c:pt idx="303">
                        <c:v>-12529.849266542658</c:v>
                      </c:pt>
                      <c:pt idx="304">
                        <c:v>-14812.319498203771</c:v>
                      </c:pt>
                      <c:pt idx="305">
                        <c:v>-17049.650880618934</c:v>
                      </c:pt>
                      <c:pt idx="306">
                        <c:v>-19236.356860340074</c:v>
                      </c:pt>
                      <c:pt idx="307">
                        <c:v>-21369.066407356142</c:v>
                      </c:pt>
                      <c:pt idx="308">
                        <c:v>-23446.182401864549</c:v>
                      </c:pt>
                      <c:pt idx="309">
                        <c:v>-25467.38031410363</c:v>
                      </c:pt>
                      <c:pt idx="310">
                        <c:v>-27433.169758391265</c:v>
                      </c:pt>
                      <c:pt idx="311">
                        <c:v>-29344.56986051975</c:v>
                      </c:pt>
                      <c:pt idx="312">
                        <c:v>-31202.886975464051</c:v>
                      </c:pt>
                      <c:pt idx="313">
                        <c:v>-33009.569006292375</c:v>
                      </c:pt>
                      <c:pt idx="314">
                        <c:v>-34766.1127295677</c:v>
                      </c:pt>
                      <c:pt idx="315">
                        <c:v>-36474.006402646854</c:v>
                      </c:pt>
                      <c:pt idx="316">
                        <c:v>-38134.695366726693</c:v>
                      </c:pt>
                      <c:pt idx="317">
                        <c:v>-39749.56244516783</c:v>
                      </c:pt>
                      <c:pt idx="318">
                        <c:v>-41319.917763656027</c:v>
                      </c:pt>
                      <c:pt idx="319">
                        <c:v>-42846.994502300637</c:v>
                      </c:pt>
                      <c:pt idx="320">
                        <c:v>-44331.948322676079</c:v>
                      </c:pt>
                      <c:pt idx="321">
                        <c:v>-45775.859013787711</c:v>
                      </c:pt>
                      <c:pt idx="322">
                        <c:v>-47179.733420172277</c:v>
                      </c:pt>
                      <c:pt idx="323">
                        <c:v>-48544.509052091526</c:v>
                      </c:pt>
                      <c:pt idx="324">
                        <c:v>-49871.057996507654</c:v>
                      </c:pt>
                      <c:pt idx="325">
                        <c:v>-51160.190889806079</c:v>
                      </c:pt>
                      <c:pt idx="326">
                        <c:v>-52412.660805822336</c:v>
                      </c:pt>
                      <c:pt idx="327">
                        <c:v>-53629.166972909974</c:v>
                      </c:pt>
                      <c:pt idx="328">
                        <c:v>-54810.358272745209</c:v>
                      </c:pt>
                      <c:pt idx="329">
                        <c:v>-55956.836498585442</c:v>
                      </c:pt>
                      <c:pt idx="330">
                        <c:v>-57069.159366547836</c:v>
                      </c:pt>
                      <c:pt idx="331">
                        <c:v>-58147.843283283226</c:v>
                      </c:pt>
                      <c:pt idx="332">
                        <c:v>-59193.365879258054</c:v>
                      </c:pt>
                      <c:pt idx="333">
                        <c:v>-60206.168320094053</c:v>
                      </c:pt>
                      <c:pt idx="334">
                        <c:v>-61186.657409962696</c:v>
                      </c:pt>
                      <c:pt idx="335">
                        <c:v>-62135.207501495461</c:v>
                      </c:pt>
                      <c:pt idx="336">
                        <c:v>-63052.162226455264</c:v>
                      </c:pt>
                      <c:pt idx="337">
                        <c:v>-63937.836060786452</c:v>
                      </c:pt>
                      <c:pt idx="338">
                        <c:v>-64792.515736797279</c:v>
                      </c:pt>
                      <c:pt idx="339">
                        <c:v>-65616.461514245748</c:v>
                      </c:pt>
                      <c:pt idx="340">
                        <c:v>-66409.908321071023</c:v>
                      </c:pt>
                      <c:pt idx="341">
                        <c:v>-67173.066773485785</c:v>
                      </c:pt>
                      <c:pt idx="342">
                        <c:v>-67906.124084147246</c:v>
                      </c:pt>
                      <c:pt idx="343">
                        <c:v>-68609.244866172769</c:v>
                      </c:pt>
                      <c:pt idx="344">
                        <c:v>-69282.571839867494</c:v>
                      </c:pt>
                      <c:pt idx="345">
                        <c:v>-69926.226448187852</c:v>
                      </c:pt>
                      <c:pt idx="346">
                        <c:v>-70540.309386175286</c:v>
                      </c:pt>
                      <c:pt idx="347">
                        <c:v>-71124.901048856031</c:v>
                      </c:pt>
                      <c:pt idx="348">
                        <c:v>-71680.061901409441</c:v>
                      </c:pt>
                      <c:pt idx="349">
                        <c:v>-72205.832774753741</c:v>
                      </c:pt>
                      <c:pt idx="350">
                        <c:v>-72702.235089078909</c:v>
                      </c:pt>
                      <c:pt idx="351">
                        <c:v>-73169.271007263611</c:v>
                      </c:pt>
                      <c:pt idx="352">
                        <c:v>-73606.92351954164</c:v>
                      </c:pt>
                      <c:pt idx="353">
                        <c:v>-74015.156460225378</c:v>
                      </c:pt>
                      <c:pt idx="354">
                        <c:v>-74393.914456742918</c:v>
                      </c:pt>
                      <c:pt idx="355">
                        <c:v>-74743.122810695044</c:v>
                      </c:pt>
                      <c:pt idx="356">
                        <c:v>-75062.687310079724</c:v>
                      </c:pt>
                      <c:pt idx="357">
                        <c:v>-75352.493971259333</c:v>
                      </c:pt>
                      <c:pt idx="358">
                        <c:v>-75612.408708649062</c:v>
                      </c:pt>
                      <c:pt idx="359">
                        <c:v>-75842.27692947723</c:v>
                      </c:pt>
                      <c:pt idx="360">
                        <c:v>-76041.92305029837</c:v>
                      </c:pt>
                      <c:pt idx="361">
                        <c:v>-76211.149931217209</c:v>
                      </c:pt>
                      <c:pt idx="362">
                        <c:v>-76349.738222995366</c:v>
                      </c:pt>
                      <c:pt idx="363">
                        <c:v>-76457.445621346735</c:v>
                      </c:pt>
                      <c:pt idx="364">
                        <c:v>-76534.006021768029</c:v>
                      </c:pt>
                      <c:pt idx="365">
                        <c:v>-76579.128567178879</c:v>
                      </c:pt>
                      <c:pt idx="366">
                        <c:v>-76592.496579439234</c:v>
                      </c:pt>
                      <c:pt idx="367">
                        <c:v>-76573.766364446245</c:v>
                      </c:pt>
                      <c:pt idx="368">
                        <c:v>-76522.565878958267</c:v>
                      </c:pt>
                      <c:pt idx="369">
                        <c:v>-76438.493245514124</c:v>
                      </c:pt>
                      <c:pt idx="370">
                        <c:v>-76321.115099770526</c:v>
                      </c:pt>
                      <c:pt idx="371">
                        <c:v>-76169.964752216678</c:v>
                      </c:pt>
                      <c:pt idx="372">
                        <c:v>-75984.540143484337</c:v>
                      </c:pt>
                      <c:pt idx="373">
                        <c:v>-75764.301569277202</c:v>
                      </c:pt>
                      <c:pt idx="374">
                        <c:v>-75508.669147207664</c:v>
                      </c:pt>
                      <c:pt idx="375">
                        <c:v>-75217.019993441543</c:v>
                      </c:pt>
                      <c:pt idx="376">
                        <c:v>-74888.685071877131</c:v>
                      </c:pt>
                      <c:pt idx="377">
                        <c:v>-74522.945672460191</c:v>
                      </c:pt>
                      <c:pt idx="378">
                        <c:v>-74119.029467955217</c:v>
                      </c:pt>
                      <c:pt idx="379">
                        <c:v>-73676.106089803478</c:v>
                      </c:pt>
                      <c:pt idx="380">
                        <c:v>-73193.282153282984</c:v>
                      </c:pt>
                      <c:pt idx="381">
                        <c:v>-72669.595649649666</c:v>
                      </c:pt>
                      <c:pt idx="382">
                        <c:v>-72104.009607786138</c:v>
                      </c:pt>
                      <c:pt idx="383">
                        <c:v>-71495.404909487159</c:v>
                      </c:pt>
                      <c:pt idx="384">
                        <c:v>-70842.57212007542</c:v>
                      </c:pt>
                      <c:pt idx="385">
                        <c:v>-70144.202168558157</c:v>
                      </c:pt>
                      <c:pt idx="386">
                        <c:v>-69398.875677716031</c:v>
                      </c:pt>
                      <c:pt idx="387">
                        <c:v>-68605.050702713197</c:v>
                      </c:pt>
                      <c:pt idx="388">
                        <c:v>-67761.048584918011</c:v>
                      </c:pt>
                      <c:pt idx="389">
                        <c:v>-66865.037562917962</c:v>
                      </c:pt>
                      <c:pt idx="390">
                        <c:v>-65915.013701721575</c:v>
                      </c:pt>
                      <c:pt idx="391">
                        <c:v>-64908.778599424208</c:v>
                      </c:pt>
                      <c:pt idx="392">
                        <c:v>-63843.913202535754</c:v>
                      </c:pt>
                      <c:pt idx="393">
                        <c:v>-62717.746899677259</c:v>
                      </c:pt>
                      <c:pt idx="394">
                        <c:v>-61527.320859843159</c:v>
                      </c:pt>
                      <c:pt idx="395">
                        <c:v>-60269.344325868609</c:v>
                      </c:pt>
                      <c:pt idx="396">
                        <c:v>-58940.142255477753</c:v>
                      </c:pt>
                      <c:pt idx="397">
                        <c:v>-57535.592312345019</c:v>
                      </c:pt>
                      <c:pt idx="398">
                        <c:v>-56051.048746265202</c:v>
                      </c:pt>
                      <c:pt idx="399">
                        <c:v>-54481.250182805292</c:v>
                      </c:pt>
                      <c:pt idx="400">
                        <c:v>-52820.207833047658</c:v>
                      </c:pt>
                      <c:pt idx="401">
                        <c:v>-51061.07029920099</c:v>
                      </c:pt>
                      <c:pt idx="402">
                        <c:v>-49195.961371390971</c:v>
                      </c:pt>
                      <c:pt idx="403">
                        <c:v>-47215.788796254034</c:v>
                      </c:pt>
                      <c:pt idx="404">
                        <c:v>-45110.026594041949</c:v>
                      </c:pt>
                      <c:pt idx="405">
                        <c:v>-42866.484233186427</c:v>
                      </c:pt>
                      <c:pt idx="406">
                        <c:v>-40471.098139480557</c:v>
                      </c:pt>
                      <c:pt idx="407">
                        <c:v>-37907.821403267488</c:v>
                      </c:pt>
                      <c:pt idx="408">
                        <c:v>-35158.746670143752</c:v>
                      </c:pt>
                      <c:pt idx="409">
                        <c:v>-32204.638554658304</c:v>
                      </c:pt>
                      <c:pt idx="410">
                        <c:v>-29025.924301552215</c:v>
                      </c:pt>
                      <c:pt idx="411">
                        <c:v>-25603.551531378467</c:v>
                      </c:pt>
                      <c:pt idx="412">
                        <c:v>-21917.732294269699</c:v>
                      </c:pt>
                      <c:pt idx="413">
                        <c:v>-17941.579979176044</c:v>
                      </c:pt>
                      <c:pt idx="414">
                        <c:v>-13629.665781411341</c:v>
                      </c:pt>
                      <c:pt idx="415">
                        <c:v>-8915.9371341681162</c:v>
                      </c:pt>
                      <c:pt idx="416">
                        <c:v>-3787.6818648222593</c:v>
                      </c:pt>
                      <c:pt idx="417">
                        <c:v>1494.3199316250827</c:v>
                      </c:pt>
                      <c:pt idx="418">
                        <c:v>6517.3386451820379</c:v>
                      </c:pt>
                      <c:pt idx="419">
                        <c:v>11137.28282780755</c:v>
                      </c:pt>
                      <c:pt idx="420">
                        <c:v>15437.343842561493</c:v>
                      </c:pt>
                      <c:pt idx="421">
                        <c:v>19498.771696380161</c:v>
                      </c:pt>
                      <c:pt idx="422">
                        <c:v>23368.089858025331</c:v>
                      </c:pt>
                      <c:pt idx="423">
                        <c:v>27070.92947373338</c:v>
                      </c:pt>
                      <c:pt idx="424">
                        <c:v>30622.938837550642</c:v>
                      </c:pt>
                      <c:pt idx="425">
                        <c:v>34035.341562806534</c:v>
                      </c:pt>
                      <c:pt idx="426">
                        <c:v>37317.395086855751</c:v>
                      </c:pt>
                      <c:pt idx="427">
                        <c:v>40477.368540087533</c:v>
                      </c:pt>
                      <c:pt idx="428">
                        <c:v>43522.887570493469</c:v>
                      </c:pt>
                      <c:pt idx="429">
                        <c:v>46461.037663601863</c:v>
                      </c:pt>
                      <c:pt idx="430">
                        <c:v>49298.390514709288</c:v>
                      </c:pt>
                      <c:pt idx="431">
                        <c:v>52041.015515159015</c:v>
                      </c:pt>
                      <c:pt idx="432">
                        <c:v>54694.495761888815</c:v>
                      </c:pt>
                      <c:pt idx="433">
                        <c:v>57263.951897490493</c:v>
                      </c:pt>
                      <c:pt idx="434">
                        <c:v>59754.071968111464</c:v>
                      </c:pt>
                      <c:pt idx="435">
                        <c:v>62169.144537240165</c:v>
                      </c:pt>
                      <c:pt idx="436">
                        <c:v>64513.092707322983</c:v>
                      </c:pt>
                      <c:pt idx="437">
                        <c:v>66789.507403702926</c:v>
                      </c:pt>
                      <c:pt idx="438">
                        <c:v>69001.678905003399</c:v>
                      </c:pt>
                      <c:pt idx="439">
                        <c:v>71152.62607448356</c:v>
                      </c:pt>
                      <c:pt idx="440">
                        <c:v>73245.123066886299</c:v>
                      </c:pt>
                      <c:pt idx="441">
                        <c:v>75281.723488743533</c:v>
                      </c:pt>
                      <c:pt idx="442">
                        <c:v>77264.782111058346</c:v>
                      </c:pt>
                      <c:pt idx="443">
                        <c:v>79196.474298958841</c:v>
                      </c:pt>
                      <c:pt idx="444">
                        <c:v>81078.813353042729</c:v>
                      </c:pt>
                      <c:pt idx="445">
                        <c:v>82913.6659652737</c:v>
                      </c:pt>
                      <c:pt idx="446">
                        <c:v>84702.765987462568</c:v>
                      </c:pt>
                      <c:pt idx="447">
                        <c:v>86447.726698399856</c:v>
                      </c:pt>
                      <c:pt idx="448">
                        <c:v>88150.051740278592</c:v>
                      </c:pt>
                      <c:pt idx="449">
                        <c:v>89811.144878413004</c:v>
                      </c:pt>
                      <c:pt idx="450">
                        <c:v>91432.318721753007</c:v>
                      </c:pt>
                      <c:pt idx="451">
                        <c:v>93014.802526059677</c:v>
                      </c:pt>
                      <c:pt idx="452">
                        <c:v>94559.74918721705</c:v>
                      </c:pt>
                      <c:pt idx="453">
                        <c:v>96068.241519159099</c:v>
                      </c:pt>
                      <c:pt idx="454">
                        <c:v>97541.297899300553</c:v>
                      </c:pt>
                      <c:pt idx="455">
                        <c:v>98979.877354114025</c:v>
                      </c:pt>
                      <c:pt idx="456">
                        <c:v>100384.88414849252</c:v>
                      </c:pt>
                      <c:pt idx="457">
                        <c:v>101757.17193465585</c:v>
                      </c:pt>
                      <c:pt idx="458">
                        <c:v>103097.54750948222</c:v>
                      </c:pt>
                      <c:pt idx="459">
                        <c:v>104406.77422315184</c:v>
                      </c:pt>
                      <c:pt idx="460">
                        <c:v>105685.57507677093</c:v>
                      </c:pt>
                      <c:pt idx="461">
                        <c:v>106934.63554210206</c:v>
                      </c:pt>
                      <c:pt idx="462">
                        <c:v>108154.60613257118</c:v>
                      </c:pt>
                      <c:pt idx="463">
                        <c:v>109346.10475127716</c:v>
                      </c:pt>
                      <c:pt idx="464">
                        <c:v>110509.71883872581</c:v>
                      </c:pt>
                      <c:pt idx="465">
                        <c:v>111646.00734038922</c:v>
                      </c:pt>
                      <c:pt idx="466">
                        <c:v>112755.50251190158</c:v>
                      </c:pt>
                      <c:pt idx="467">
                        <c:v>113838.71157769875</c:v>
                      </c:pt>
                      <c:pt idx="468">
                        <c:v>114896.11825715417</c:v>
                      </c:pt>
                      <c:pt idx="469">
                        <c:v>115928.18417072372</c:v>
                      </c:pt>
                      <c:pt idx="470">
                        <c:v>116935.35013725916</c:v>
                      </c:pt>
                      <c:pt idx="471">
                        <c:v>117918.03737245953</c:v>
                      </c:pt>
                      <c:pt idx="472">
                        <c:v>118876.64859738007</c:v>
                      </c:pt>
                      <c:pt idx="473">
                        <c:v>119811.56906499245</c:v>
                      </c:pt>
                      <c:pt idx="474">
                        <c:v>120723.16751197056</c:v>
                      </c:pt>
                      <c:pt idx="475">
                        <c:v>121611.79704215127</c:v>
                      </c:pt>
                      <c:pt idx="476">
                        <c:v>122477.79594747614</c:v>
                      </c:pt>
                      <c:pt idx="477">
                        <c:v>123321.48847164839</c:v>
                      </c:pt>
                      <c:pt idx="478">
                        <c:v>124143.1855212315</c:v>
                      </c:pt>
                      <c:pt idx="479">
                        <c:v>124943.18532846226</c:v>
                      </c:pt>
                      <c:pt idx="480">
                        <c:v>125721.77406964732</c:v>
                      </c:pt>
                      <c:pt idx="481">
                        <c:v>126479.22644265047</c:v>
                      </c:pt>
                      <c:pt idx="482">
                        <c:v>127215.80620665489</c:v>
                      </c:pt>
                      <c:pt idx="483">
                        <c:v>127931.76668709438</c:v>
                      </c:pt>
                      <c:pt idx="484">
                        <c:v>128627.35124838773</c:v>
                      </c:pt>
                      <c:pt idx="485">
                        <c:v>129302.79373687615</c:v>
                      </c:pt>
                      <c:pt idx="486">
                        <c:v>129958.31889615336</c:v>
                      </c:pt>
                      <c:pt idx="487">
                        <c:v>130594.14275678813</c:v>
                      </c:pt>
                      <c:pt idx="488">
                        <c:v>131210.4730022678</c:v>
                      </c:pt>
                      <c:pt idx="489">
                        <c:v>131807.50931283631</c:v>
                      </c:pt>
                      <c:pt idx="490">
                        <c:v>132385.44368876083</c:v>
                      </c:pt>
                      <c:pt idx="491">
                        <c:v>132944.46075443318</c:v>
                      </c:pt>
                      <c:pt idx="492">
                        <c:v>133484.73804459805</c:v>
                      </c:pt>
                      <c:pt idx="493">
                        <c:v>134006.44627389504</c:v>
                      </c:pt>
                      <c:pt idx="494">
                        <c:v>134509.74959080614</c:v>
                      </c:pt>
                      <c:pt idx="495">
                        <c:v>134994.80581701448</c:v>
                      </c:pt>
                      <c:pt idx="496">
                        <c:v>135461.76667310027</c:v>
                      </c:pt>
                      <c:pt idx="497">
                        <c:v>135910.77799142865</c:v>
                      </c:pt>
                      <c:pt idx="498">
                        <c:v>136341.97991701768</c:v>
                      </c:pt>
                      <c:pt idx="499">
                        <c:v>136755.50709711487</c:v>
                      </c:pt>
                      <c:pt idx="500">
                        <c:v>137151.48886015548</c:v>
                      </c:pt>
                      <c:pt idx="501">
                        <c:v>137530.0493847249</c:v>
                      </c:pt>
                      <c:pt idx="502">
                        <c:v>137891.30785910125</c:v>
                      </c:pt>
                      <c:pt idx="503">
                        <c:v>138235.37863191165</c:v>
                      </c:pt>
                      <c:pt idx="504">
                        <c:v>138562.3713543964</c:v>
                      </c:pt>
                      <c:pt idx="505">
                        <c:v>138872.39111473871</c:v>
                      </c:pt>
                      <c:pt idx="506">
                        <c:v>139165.5385648848</c:v>
                      </c:pt>
                      <c:pt idx="507">
                        <c:v>139441.91004024804</c:v>
                      </c:pt>
                      <c:pt idx="508">
                        <c:v>139701.59767266235</c:v>
                      </c:pt>
                      <c:pt idx="509">
                        <c:v>139944.68949692382</c:v>
                      </c:pt>
                      <c:pt idx="510">
                        <c:v>140171.26955123487</c:v>
                      </c:pt>
                      <c:pt idx="511">
                        <c:v>140381.41797184275</c:v>
                      </c:pt>
                      <c:pt idx="512">
                        <c:v>140575.21108214269</c:v>
                      </c:pt>
                      <c:pt idx="513">
                        <c:v>140752.72147649733</c:v>
                      </c:pt>
                      <c:pt idx="514">
                        <c:v>140914.01809900429</c:v>
                      </c:pt>
                      <c:pt idx="515">
                        <c:v>141059.16631742797</c:v>
                      </c:pt>
                      <c:pt idx="516">
                        <c:v>141188.22799249494</c:v>
                      </c:pt>
                      <c:pt idx="517">
                        <c:v>141301.26154273754</c:v>
                      </c:pt>
                      <c:pt idx="518">
                        <c:v>141398.32200505614</c:v>
                      </c:pt>
                      <c:pt idx="519">
                        <c:v>141479.4610911574</c:v>
                      </c:pt>
                      <c:pt idx="520">
                        <c:v>141544.7272400134</c:v>
                      </c:pt>
                      <c:pt idx="521">
                        <c:v>141594.16566647447</c:v>
                      </c:pt>
                      <c:pt idx="522">
                        <c:v>141627.81840615792</c:v>
                      </c:pt>
                      <c:pt idx="523">
                        <c:v>141645.72435672363</c:v>
                      </c:pt>
                      <c:pt idx="524">
                        <c:v>141647.91931563808</c:v>
                      </c:pt>
                      <c:pt idx="525">
                        <c:v>141634.43601451823</c:v>
                      </c:pt>
                      <c:pt idx="526">
                        <c:v>141605.30415013782</c:v>
                      </c:pt>
                      <c:pt idx="527">
                        <c:v>141560.55041216954</c:v>
                      </c:pt>
                      <c:pt idx="528">
                        <c:v>141500.19850772855</c:v>
                      </c:pt>
                      <c:pt idx="529">
                        <c:v>141424.26918277369</c:v>
                      </c:pt>
                      <c:pt idx="530">
                        <c:v>141332.78024041586</c:v>
                      </c:pt>
                      <c:pt idx="531">
                        <c:v>141225.74655617439</c:v>
                      </c:pt>
                      <c:pt idx="532">
                        <c:v>141103.180090215</c:v>
                      </c:pt>
                      <c:pt idx="533">
                        <c:v>140965.08989659548</c:v>
                      </c:pt>
                      <c:pt idx="534">
                        <c:v>140811.48212953805</c:v>
                      </c:pt>
                      <c:pt idx="535">
                        <c:v>140642.36004673946</c:v>
                      </c:pt>
                      <c:pt idx="536">
                        <c:v>140457.72400972346</c:v>
                      </c:pt>
                      <c:pt idx="537">
                        <c:v>140257.57148123247</c:v>
                      </c:pt>
                      <c:pt idx="538">
                        <c:v>140041.89701964817</c:v>
                      </c:pt>
                      <c:pt idx="539">
                        <c:v>139810.69227042352</c:v>
                      </c:pt>
                      <c:pt idx="540">
                        <c:v>139563.94595450148</c:v>
                      </c:pt>
                      <c:pt idx="541">
                        <c:v>139301.64385368739</c:v>
                      </c:pt>
                      <c:pt idx="542">
                        <c:v>139023.7687929355</c:v>
                      </c:pt>
                      <c:pt idx="543">
                        <c:v>138730.30061950121</c:v>
                      </c:pt>
                      <c:pt idx="544">
                        <c:v>138421.21617890318</c:v>
                      </c:pt>
                      <c:pt idx="545">
                        <c:v>138096.48928763051</c:v>
                      </c:pt>
                      <c:pt idx="546">
                        <c:v>137756.0907025222</c:v>
                      </c:pt>
                      <c:pt idx="547">
                        <c:v>137399.98808673656</c:v>
                      </c:pt>
                      <c:pt idx="548">
                        <c:v>137028.14597221886</c:v>
                      </c:pt>
                      <c:pt idx="549">
                        <c:v>136640.52571856603</c:v>
                      </c:pt>
                      <c:pt idx="550">
                        <c:v>136237.08546817649</c:v>
                      </c:pt>
                      <c:pt idx="551">
                        <c:v>135817.78009756227</c:v>
                      </c:pt>
                      <c:pt idx="552">
                        <c:v>135382.56116468934</c:v>
                      </c:pt>
                      <c:pt idx="553">
                        <c:v>134931.37685219999</c:v>
                      </c:pt>
                      <c:pt idx="554">
                        <c:v>134464.17190635719</c:v>
                      </c:pt>
                      <c:pt idx="555">
                        <c:v>133980.88757153862</c:v>
                      </c:pt>
                      <c:pt idx="556">
                        <c:v>133481.46152009213</c:v>
                      </c:pt>
                      <c:pt idx="557">
                        <c:v>132965.82777734922</c:v>
                      </c:pt>
                      <c:pt idx="558">
                        <c:v>132433.91664157668</c:v>
                      </c:pt>
                      <c:pt idx="559">
                        <c:v>131885.65459862788</c:v>
                      </c:pt>
                      <c:pt idx="560">
                        <c:v>131320.96423103669</c:v>
                      </c:pt>
                      <c:pt idx="561">
                        <c:v>130739.76412127569</c:v>
                      </c:pt>
                      <c:pt idx="562">
                        <c:v>130141.96874887843</c:v>
                      </c:pt>
                      <c:pt idx="563">
                        <c:v>129527.48838110131</c:v>
                      </c:pt>
                      <c:pt idx="564">
                        <c:v>128896.22895677466</c:v>
                      </c:pt>
                      <c:pt idx="565">
                        <c:v>128248.09196296467</c:v>
                      </c:pt>
                      <c:pt idx="566">
                        <c:v>127582.97430403714</c:v>
                      </c:pt>
                      <c:pt idx="567">
                        <c:v>126900.76816268152</c:v>
                      </c:pt>
                      <c:pt idx="568">
                        <c:v>126201.36085241752</c:v>
                      </c:pt>
                      <c:pt idx="569">
                        <c:v>125484.63466106786</c:v>
                      </c:pt>
                      <c:pt idx="570">
                        <c:v>124750.46668463862</c:v>
                      </c:pt>
                      <c:pt idx="571">
                        <c:v>123998.72865100233</c:v>
                      </c:pt>
                      <c:pt idx="572">
                        <c:v>123229.28673272862</c:v>
                      </c:pt>
                      <c:pt idx="573">
                        <c:v>122442.00134835308</c:v>
                      </c:pt>
                      <c:pt idx="574">
                        <c:v>121636.72695131386</c:v>
                      </c:pt>
                      <c:pt idx="575">
                        <c:v>120813.31180572107</c:v>
                      </c:pt>
                      <c:pt idx="576">
                        <c:v>119971.59774805138</c:v>
                      </c:pt>
                      <c:pt idx="577">
                        <c:v>119111.41993378167</c:v>
                      </c:pt>
                      <c:pt idx="578">
                        <c:v>118232.60656788891</c:v>
                      </c:pt>
                      <c:pt idx="579">
                        <c:v>117334.97861804826</c:v>
                      </c:pt>
                      <c:pt idx="580">
                        <c:v>116418.3495092565</c:v>
                      </c:pt>
                      <c:pt idx="581">
                        <c:v>115482.52479849271</c:v>
                      </c:pt>
                      <c:pt idx="582">
                        <c:v>114527.30182790033</c:v>
                      </c:pt>
                      <c:pt idx="583">
                        <c:v>113552.46935483455</c:v>
                      </c:pt>
                      <c:pt idx="584">
                        <c:v>112557.80715696326</c:v>
                      </c:pt>
                      <c:pt idx="585">
                        <c:v>111543.08561043775</c:v>
                      </c:pt>
                      <c:pt idx="586">
                        <c:v>110508.06523895875</c:v>
                      </c:pt>
                      <c:pt idx="587">
                        <c:v>109452.49623135205</c:v>
                      </c:pt>
                      <c:pt idx="588">
                        <c:v>108376.11792503302</c:v>
                      </c:pt>
                      <c:pt idx="589">
                        <c:v>107278.65825247861</c:v>
                      </c:pt>
                      <c:pt idx="590">
                        <c:v>106159.83314753523</c:v>
                      </c:pt>
                      <c:pt idx="591">
                        <c:v>105019.34590806761</c:v>
                      </c:pt>
                      <c:pt idx="592">
                        <c:v>103856.8865110937</c:v>
                      </c:pt>
                      <c:pt idx="593">
                        <c:v>102672.13087614911</c:v>
                      </c:pt>
                      <c:pt idx="594">
                        <c:v>101464.74007217612</c:v>
                      </c:pt>
                      <c:pt idx="595">
                        <c:v>100234.35946273216</c:v>
                      </c:pt>
                      <c:pt idx="596">
                        <c:v>98980.61778375307</c:v>
                      </c:pt>
                      <c:pt idx="597">
                        <c:v>97703.126147482093</c:v>
                      </c:pt>
                      <c:pt idx="598">
                        <c:v>96401.476965477661</c:v>
                      </c:pt>
                      <c:pt idx="599">
                        <c:v>95075.242782833404</c:v>
                      </c:pt>
                      <c:pt idx="600">
                        <c:v>93723.975014874333</c:v>
                      </c:pt>
                      <c:pt idx="601">
                        <c:v>92347.202576623822</c:v>
                      </c:pt>
                      <c:pt idx="602">
                        <c:v>90944.430394257812</c:v>
                      </c:pt>
                      <c:pt idx="603">
                        <c:v>89515.137786567328</c:v>
                      </c:pt>
                      <c:pt idx="604">
                        <c:v>88058.776703129057</c:v>
                      </c:pt>
                      <c:pt idx="605">
                        <c:v>86574.769804433236</c:v>
                      </c:pt>
                      <c:pt idx="606">
                        <c:v>85062.508367635979</c:v>
                      </c:pt>
                      <c:pt idx="607">
                        <c:v>83521.349999898201</c:v>
                      </c:pt>
                      <c:pt idx="608">
                        <c:v>81950.616139462698</c:v>
                      </c:pt>
                      <c:pt idx="609">
                        <c:v>80349.589322743064</c:v>
                      </c:pt>
                      <c:pt idx="610">
                        <c:v>78717.510193818132</c:v>
                      </c:pt>
                      <c:pt idx="611">
                        <c:v>77053.57423095149</c:v>
                      </c:pt>
                      <c:pt idx="612">
                        <c:v>75356.928163262739</c:v>
                      </c:pt>
                      <c:pt idx="613">
                        <c:v>73626.666049734777</c:v>
                      </c:pt>
                      <c:pt idx="614">
                        <c:v>71861.824992771988</c:v>
                      </c:pt>
                      <c:pt idx="615">
                        <c:v>70061.380460168613</c:v>
                      </c:pt>
                      <c:pt idx="616">
                        <c:v>68224.241193586699</c:v>
                      </c:pt>
                      <c:pt idx="617">
                        <c:v>66349.243689972107</c:v>
                      </c:pt>
                      <c:pt idx="618">
                        <c:v>64435.146257032364</c:v>
                      </c:pt>
                      <c:pt idx="619">
                        <c:v>62480.622668439653</c:v>
                      </c:pt>
                      <c:pt idx="620">
                        <c:v>60484.255484142341</c:v>
                      </c:pt>
                      <c:pt idx="621">
                        <c:v>58444.529164293723</c:v>
                      </c:pt>
                      <c:pt idx="622">
                        <c:v>56359.823204593202</c:v>
                      </c:pt>
                      <c:pt idx="623">
                        <c:v>54228.405676198214</c:v>
                      </c:pt>
                      <c:pt idx="624">
                        <c:v>52048.427796127842</c:v>
                      </c:pt>
                      <c:pt idx="625">
                        <c:v>49817.920533877412</c:v>
                      </c:pt>
                      <c:pt idx="626">
                        <c:v>47534.794856043984</c:v>
                      </c:pt>
                      <c:pt idx="627">
                        <c:v>45196.84815050412</c:v>
                      </c:pt>
                      <c:pt idx="628">
                        <c:v>42801.780860908089</c:v>
                      </c:pt>
                      <c:pt idx="629">
                        <c:v>40347.229734294357</c:v>
                      </c:pt>
                      <c:pt idx="630">
                        <c:v>37830.827877696844</c:v>
                      </c:pt>
                      <c:pt idx="631">
                        <c:v>35250.307891648685</c:v>
                      </c:pt>
                      <c:pt idx="632">
                        <c:v>32603.674024343116</c:v>
                      </c:pt>
                      <c:pt idx="633">
                        <c:v>29889.484472224627</c:v>
                      </c:pt>
                      <c:pt idx="634">
                        <c:v>27107.307907269256</c:v>
                      </c:pt>
                      <c:pt idx="635">
                        <c:v>24258.450189283205</c:v>
                      </c:pt>
                      <c:pt idx="636">
                        <c:v>21347.082637547399</c:v>
                      </c:pt>
                      <c:pt idx="637">
                        <c:v>18381.91447596213</c:v>
                      </c:pt>
                      <c:pt idx="638">
                        <c:v>15378.452196416003</c:v>
                      </c:pt>
                      <c:pt idx="639">
                        <c:v>12361.476232525087</c:v>
                      </c:pt>
                      <c:pt idx="640">
                        <c:v>9366.3579963935244</c:v>
                      </c:pt>
                      <c:pt idx="641">
                        <c:v>6436.3789250375548</c:v>
                      </c:pt>
                      <c:pt idx="642">
                        <c:v>3613.0832042526504</c:v>
                      </c:pt>
                      <c:pt idx="643">
                        <c:v>921.01376646589551</c:v>
                      </c:pt>
                      <c:pt idx="644">
                        <c:v>-1644.3033889950391</c:v>
                      </c:pt>
                      <c:pt idx="645">
                        <c:v>-4113.9242893928249</c:v>
                      </c:pt>
                      <c:pt idx="646">
                        <c:v>-6523.5751050243143</c:v>
                      </c:pt>
                      <c:pt idx="647">
                        <c:v>-8876.6994242746496</c:v>
                      </c:pt>
                      <c:pt idx="648">
                        <c:v>-11104.73944593186</c:v>
                      </c:pt>
                      <c:pt idx="649">
                        <c:v>-13046.741029745113</c:v>
                      </c:pt>
                      <c:pt idx="650">
                        <c:v>-14524.941646126263</c:v>
                      </c:pt>
                      <c:pt idx="651">
                        <c:v>-15500.489633492911</c:v>
                      </c:pt>
                      <c:pt idx="652">
                        <c:v>-16080.667806411144</c:v>
                      </c:pt>
                      <c:pt idx="653">
                        <c:v>-16392.111709479046</c:v>
                      </c:pt>
                      <c:pt idx="654">
                        <c:v>-16522.87179925666</c:v>
                      </c:pt>
                      <c:pt idx="655">
                        <c:v>-16527.664660937717</c:v>
                      </c:pt>
                      <c:pt idx="656">
                        <c:v>-16440.834258139639</c:v>
                      </c:pt>
                      <c:pt idx="657">
                        <c:v>-16284.826073650847</c:v>
                      </c:pt>
                      <c:pt idx="658">
                        <c:v>-16074.96080543364</c:v>
                      </c:pt>
                      <c:pt idx="659">
                        <c:v>-15822.114208639903</c:v>
                      </c:pt>
                      <c:pt idx="660">
                        <c:v>-15534.270958933117</c:v>
                      </c:pt>
                      <c:pt idx="661">
                        <c:v>-15217.462499182604</c:v>
                      </c:pt>
                      <c:pt idx="662">
                        <c:v>-14876.355801388383</c:v>
                      </c:pt>
                      <c:pt idx="663">
                        <c:v>-14514.636547236199</c:v>
                      </c:pt>
                      <c:pt idx="664">
                        <c:v>-14135.266674894643</c:v>
                      </c:pt>
                      <c:pt idx="665">
                        <c:v>-13740.662492916308</c:v>
                      </c:pt>
                      <c:pt idx="666">
                        <c:v>-13332.821005499456</c:v>
                      </c:pt>
                      <c:pt idx="667">
                        <c:v>-12913.411529180721</c:v>
                      </c:pt>
                      <c:pt idx="668">
                        <c:v>-12483.843466586388</c:v>
                      </c:pt>
                      <c:pt idx="669">
                        <c:v>-12045.317334768893</c:v>
                      </c:pt>
                      <c:pt idx="670">
                        <c:v>-11598.863796601992</c:v>
                      </c:pt>
                      <c:pt idx="671">
                        <c:v>-11145.373941733134</c:v>
                      </c:pt>
                      <c:pt idx="672">
                        <c:v>-10685.623080789686</c:v>
                      </c:pt>
                      <c:pt idx="673">
                        <c:v>-10220.289659742126</c:v>
                      </c:pt>
                      <c:pt idx="674">
                        <c:v>-9749.9704538542974</c:v>
                      </c:pt>
                      <c:pt idx="675">
                        <c:v>-9275.1928903533972</c:v>
                      </c:pt>
                      <c:pt idx="676">
                        <c:v>-8796.4251302588727</c:v>
                      </c:pt>
                      <c:pt idx="677">
                        <c:v>-8314.0843833585968</c:v>
                      </c:pt>
                      <c:pt idx="678">
                        <c:v>-7828.5438168448909</c:v>
                      </c:pt>
                      <c:pt idx="679">
                        <c:v>-7340.1383347627225</c:v>
                      </c:pt>
                      <c:pt idx="680">
                        <c:v>-6849.1694434581532</c:v>
                      </c:pt>
                      <c:pt idx="681">
                        <c:v>-6355.9093716475181</c:v>
                      </c:pt>
                      <c:pt idx="682">
                        <c:v>-5860.6045783724567</c:v>
                      </c:pt>
                      <c:pt idx="683">
                        <c:v>-5363.4787550065603</c:v>
                      </c:pt>
                      <c:pt idx="684">
                        <c:v>-4864.7354065227901</c:v>
                      </c:pt>
                      <c:pt idx="685">
                        <c:v>-4364.5600808892013</c:v>
                      </c:pt>
                      <c:pt idx="686">
                        <c:v>-3863.1223026177372</c:v>
                      </c:pt>
                      <c:pt idx="687">
                        <c:v>-3360.5772563236951</c:v>
                      </c:pt>
                      <c:pt idx="688">
                        <c:v>-2857.0672580487394</c:v>
                      </c:pt>
                      <c:pt idx="689">
                        <c:v>-2352.7230455976242</c:v>
                      </c:pt>
                      <c:pt idx="690">
                        <c:v>-1847.6649138893356</c:v>
                      </c:pt>
                      <c:pt idx="691">
                        <c:v>-1342.0037170610237</c:v>
                      </c:pt>
                      <c:pt idx="692">
                        <c:v>-835.84175558322659</c:v>
                      </c:pt>
                      <c:pt idx="693">
                        <c:v>-329.27356378903272</c:v>
                      </c:pt>
                      <c:pt idx="694">
                        <c:v>177.61338913546601</c:v>
                      </c:pt>
                      <c:pt idx="695">
                        <c:v>684.7380736036946</c:v>
                      </c:pt>
                      <c:pt idx="696">
                        <c:v>1192.0253400526769</c:v>
                      </c:pt>
                      <c:pt idx="697">
                        <c:v>1699.4054172249455</c:v>
                      </c:pt>
                      <c:pt idx="698">
                        <c:v>2206.8134613339448</c:v>
                      </c:pt>
                      <c:pt idx="699">
                        <c:v>2714.1891500985071</c:v>
                      </c:pt>
                      <c:pt idx="700">
                        <c:v>3221.4763164436513</c:v>
                      </c:pt>
                      <c:pt idx="701">
                        <c:v>3728.622617353753</c:v>
                      </c:pt>
                      <c:pt idx="702">
                        <c:v>4235.5792339505451</c:v>
                      </c:pt>
                      <c:pt idx="703">
                        <c:v>4742.3005993693778</c:v>
                      </c:pt>
                      <c:pt idx="704">
                        <c:v>5248.7441514363691</c:v>
                      </c:pt>
                      <c:pt idx="705">
                        <c:v>5754.8701075179733</c:v>
                      </c:pt>
                      <c:pt idx="706">
                        <c:v>6260.6412592324068</c:v>
                      </c:pt>
                      <c:pt idx="707">
                        <c:v>6766.0227849871108</c:v>
                      </c:pt>
                      <c:pt idx="708">
                        <c:v>7270.9820785445445</c:v>
                      </c:pt>
                      <c:pt idx="709">
                        <c:v>7775.4885920253828</c:v>
                      </c:pt>
                      <c:pt idx="710">
                        <c:v>8279.513691938344</c:v>
                      </c:pt>
                      <c:pt idx="711">
                        <c:v>8783.0305269830606</c:v>
                      </c:pt>
                      <c:pt idx="712">
                        <c:v>9286.0139065099902</c:v>
                      </c:pt>
                      <c:pt idx="713">
                        <c:v>9788.4401886419419</c:v>
                      </c:pt>
                      <c:pt idx="714">
                        <c:v>10290.287177167804</c:v>
                      </c:pt>
                      <c:pt idx="715">
                        <c:v>10791.534026412341</c:v>
                      </c:pt>
                      <c:pt idx="716">
                        <c:v>11292.161153368279</c:v>
                      </c:pt>
                      <c:pt idx="717">
                        <c:v>11792.150156449658</c:v>
                      </c:pt>
                      <c:pt idx="718">
                        <c:v>12291.483740289852</c:v>
                      </c:pt>
                      <c:pt idx="719">
                        <c:v>12790.145646064893</c:v>
                      </c:pt>
                      <c:pt idx="720">
                        <c:v>13288.120586873461</c:v>
                      </c:pt>
                      <c:pt idx="721">
                        <c:v>13785.394187750204</c:v>
                      </c:pt>
                      <c:pt idx="722">
                        <c:v>14281.952929929359</c:v>
                      </c:pt>
                      <c:pt idx="723">
                        <c:v>14777.784099011677</c:v>
                      </c:pt>
                      <c:pt idx="724">
                        <c:v>15272.875736719845</c:v>
                      </c:pt>
                      <c:pt idx="725">
                        <c:v>15767.216595956543</c:v>
                      </c:pt>
                      <c:pt idx="726">
                        <c:v>16260.796098905052</c:v>
                      </c:pt>
                      <c:pt idx="727">
                        <c:v>16753.604297935726</c:v>
                      </c:pt>
                      <c:pt idx="728">
                        <c:v>17245.631839102469</c:v>
                      </c:pt>
                      <c:pt idx="729">
                        <c:v>17736.869928032262</c:v>
                      </c:pt>
                      <c:pt idx="730">
                        <c:v>18227.31029802782</c:v>
                      </c:pt>
                      <c:pt idx="731">
                        <c:v>18716.945180218718</c:v>
                      </c:pt>
                      <c:pt idx="732">
                        <c:v>19205.767275610382</c:v>
                      </c:pt>
                      <c:pt idx="733">
                        <c:v>19693.76972889273</c:v>
                      </c:pt>
                      <c:pt idx="734">
                        <c:v>20180.946103881844</c:v>
                      </c:pt>
                      <c:pt idx="735">
                        <c:v>20667.290360478197</c:v>
                      </c:pt>
                      <c:pt idx="736">
                        <c:v>21152.796833034572</c:v>
                      </c:pt>
                      <c:pt idx="737">
                        <c:v>21637.460210035177</c:v>
                      </c:pt>
                      <c:pt idx="738">
                        <c:v>22121.275514995352</c:v>
                      </c:pt>
                      <c:pt idx="739">
                        <c:v>22604.238088498321</c:v>
                      </c:pt>
                      <c:pt idx="740">
                        <c:v>23086.343571291934</c:v>
                      </c:pt>
                      <c:pt idx="741">
                        <c:v>23567.587888374237</c:v>
                      </c:pt>
                      <c:pt idx="742">
                        <c:v>24047.967234002102</c:v>
                      </c:pt>
                      <c:pt idx="743">
                        <c:v>24527.478057562144</c:v>
                      </c:pt>
                      <c:pt idx="744">
                        <c:v>25006.11705024762</c:v>
                      </c:pt>
                      <c:pt idx="745">
                        <c:v>25483.881132489183</c:v>
                      </c:pt>
                      <c:pt idx="746">
                        <c:v>25960.767442091204</c:v>
                      </c:pt>
                      <c:pt idx="747">
                        <c:v>26436.773323028799</c:v>
                      </c:pt>
                      <c:pt idx="748">
                        <c:v>26911.896314863989</c:v>
                      </c:pt>
                      <c:pt idx="749">
                        <c:v>27386.134142742307</c:v>
                      </c:pt>
                      <c:pt idx="750">
                        <c:v>27859.484707933978</c:v>
                      </c:pt>
                      <c:pt idx="751">
                        <c:v>28331.946078886187</c:v>
                      </c:pt>
                      <c:pt idx="752">
                        <c:v>28803.516482755364</c:v>
                      </c:pt>
                      <c:pt idx="753">
                        <c:v>29274.194297390513</c:v>
                      </c:pt>
                      <c:pt idx="754">
                        <c:v>29743.978043740568</c:v>
                      </c:pt>
                      <c:pt idx="755">
                        <c:v>30212.866378660576</c:v>
                      </c:pt>
                      <c:pt idx="756">
                        <c:v>30680.858088093235</c:v>
                      </c:pt>
                      <c:pt idx="757">
                        <c:v>31147.952080603827</c:v>
                      </c:pt>
                      <c:pt idx="758">
                        <c:v>31614.147381248022</c:v>
                      </c:pt>
                      <c:pt idx="759">
                        <c:v>32079.443125753438</c:v>
                      </c:pt>
                      <c:pt idx="760">
                        <c:v>32543.838554996979</c:v>
                      </c:pt>
                      <c:pt idx="761">
                        <c:v>33007.333009761205</c:v>
                      </c:pt>
                      <c:pt idx="762">
                        <c:v>33469.925925754011</c:v>
                      </c:pt>
                      <c:pt idx="763">
                        <c:v>33931.616828876911</c:v>
                      </c:pt>
                      <c:pt idx="764">
                        <c:v>34392.405330728106</c:v>
                      </c:pt>
                      <c:pt idx="765">
                        <c:v>34852.291124327458</c:v>
                      </c:pt>
                      <c:pt idx="766">
                        <c:v>35311.273980051126</c:v>
                      </c:pt>
                      <c:pt idx="767">
                        <c:v>35769.353741764593</c:v>
                      </c:pt>
                      <c:pt idx="768">
                        <c:v>36226.530323143292</c:v>
                      </c:pt>
                      <c:pt idx="769">
                        <c:v>36682.803704170801</c:v>
                      </c:pt>
                      <c:pt idx="770">
                        <c:v>37138.173927805175</c:v>
                      </c:pt>
                      <c:pt idx="771">
                        <c:v>37592.641096804473</c:v>
                      </c:pt>
                      <c:pt idx="772">
                        <c:v>38046.205370703166</c:v>
                      </c:pt>
                      <c:pt idx="773">
                        <c:v>38498.866962931519</c:v>
                      </c:pt>
                      <c:pt idx="774">
                        <c:v>38950.626138070525</c:v>
                      </c:pt>
                      <c:pt idx="775">
                        <c:v>39401.483209235419</c:v>
                      </c:pt>
                      <c:pt idx="776">
                        <c:v>39851.438535581183</c:v>
                      </c:pt>
                      <c:pt idx="777">
                        <c:v>40300.492519923821</c:v>
                      </c:pt>
                      <c:pt idx="778">
                        <c:v>40748.645606471524</c:v>
                      </c:pt>
                      <c:pt idx="779">
                        <c:v>41195.898278660257</c:v>
                      </c:pt>
                      <c:pt idx="780">
                        <c:v>41642.251057088484</c:v>
                      </c:pt>
                      <c:pt idx="781">
                        <c:v>42087.704497546125</c:v>
                      </c:pt>
                      <c:pt idx="782">
                        <c:v>42532.259189133074</c:v>
                      </c:pt>
                      <c:pt idx="783">
                        <c:v>42975.91575246289</c:v>
                      </c:pt>
                      <c:pt idx="784">
                        <c:v>43418.674837947518</c:v>
                      </c:pt>
                      <c:pt idx="785">
                        <c:v>43860.537124159011</c:v>
                      </c:pt>
                      <c:pt idx="786">
                        <c:v>44301.503316264658</c:v>
                      </c:pt>
                      <c:pt idx="787">
                        <c:v>44741.574144531878</c:v>
                      </c:pt>
                      <c:pt idx="788">
                        <c:v>45180.750362899598</c:v>
                      </c:pt>
                      <c:pt idx="789">
                        <c:v>45619.032747612946</c:v>
                      </c:pt>
                      <c:pt idx="790">
                        <c:v>46056.42209591822</c:v>
                      </c:pt>
                      <c:pt idx="791">
                        <c:v>46492.919224815385</c:v>
                      </c:pt>
                      <c:pt idx="792">
                        <c:v>46928.524969865277</c:v>
                      </c:pt>
                      <c:pt idx="793">
                        <c:v>47363.240184049071</c:v>
                      </c:pt>
                      <c:pt idx="794">
                        <c:v>47797.065736677556</c:v>
                      </c:pt>
                      <c:pt idx="795">
                        <c:v>48230.002512347848</c:v>
                      </c:pt>
                      <c:pt idx="796">
                        <c:v>48662.051409945489</c:v>
                      </c:pt>
                      <c:pt idx="797">
                        <c:v>49093.213341689734</c:v>
                      </c:pt>
                      <c:pt idx="798">
                        <c:v>49523.489232220119</c:v>
                      </c:pt>
                      <c:pt idx="799">
                        <c:v>49952.880017722469</c:v>
                      </c:pt>
                      <c:pt idx="800">
                        <c:v>50381.386645092476</c:v>
                      </c:pt>
                      <c:pt idx="801">
                        <c:v>50809.010071135221</c:v>
                      </c:pt>
                      <c:pt idx="802">
                        <c:v>51235.751261799043</c:v>
                      </c:pt>
                      <c:pt idx="803">
                        <c:v>51661.611191442207</c:v>
                      </c:pt>
                      <c:pt idx="804">
                        <c:v>52086.590842130856</c:v>
                      </c:pt>
                      <c:pt idx="805">
                        <c:v>52510.691202966991</c:v>
                      </c:pt>
                      <c:pt idx="806">
                        <c:v>52933.913269445031</c:v>
                      </c:pt>
                      <c:pt idx="807">
                        <c:v>53356.258042835791</c:v>
                      </c:pt>
                      <c:pt idx="808">
                        <c:v>53777.72652959665</c:v>
                      </c:pt>
                      <c:pt idx="809">
                        <c:v>54198.319740806735</c:v>
                      </c:pt>
                      <c:pt idx="810">
                        <c:v>54618.038691626112</c:v>
                      </c:pt>
                      <c:pt idx="811">
                        <c:v>55036.884400777853</c:v>
                      </c:pt>
                      <c:pt idx="812">
                        <c:v>55454.857890052102</c:v>
                      </c:pt>
                      <c:pt idx="813">
                        <c:v>55871.960183831136</c:v>
                      </c:pt>
                      <c:pt idx="814">
                        <c:v>56288.192308634476</c:v>
                      </c:pt>
                      <c:pt idx="815">
                        <c:v>56703.555292683326</c:v>
                      </c:pt>
                      <c:pt idx="816">
                        <c:v>57118.050165483408</c:v>
                      </c:pt>
                      <c:pt idx="817">
                        <c:v>57531.677957425461</c:v>
                      </c:pt>
                      <c:pt idx="818">
                        <c:v>57944.439699402625</c:v>
                      </c:pt>
                      <c:pt idx="819">
                        <c:v>58356.336422444088</c:v>
                      </c:pt>
                      <c:pt idx="820">
                        <c:v>58767.369157364199</c:v>
                      </c:pt>
                      <c:pt idx="821">
                        <c:v>59177.538934426491</c:v>
                      </c:pt>
                      <c:pt idx="822">
                        <c:v>59586.846783021938</c:v>
                      </c:pt>
                      <c:pt idx="823">
                        <c:v>59995.293731360907</c:v>
                      </c:pt>
                      <c:pt idx="824">
                        <c:v>60402.880806178175</c:v>
                      </c:pt>
                      <c:pt idx="825">
                        <c:v>60809.60903245052</c:v>
                      </c:pt>
                      <c:pt idx="826">
                        <c:v>61215.479433126377</c:v>
                      </c:pt>
                      <c:pt idx="827">
                        <c:v>61620.493028867008</c:v>
                      </c:pt>
                      <c:pt idx="828">
                        <c:v>62024.650837798741</c:v>
                      </c:pt>
                      <c:pt idx="829">
                        <c:v>62427.953875275889</c:v>
                      </c:pt>
                      <c:pt idx="830">
                        <c:v>62830.403153653788</c:v>
                      </c:pt>
                      <c:pt idx="831">
                        <c:v>63231.999682071655</c:v>
                      </c:pt>
                      <c:pt idx="832">
                        <c:v>63632.744466244825</c:v>
                      </c:pt>
                      <c:pt idx="833">
                        <c:v>64032.63850826594</c:v>
                      </c:pt>
                      <c:pt idx="834">
                        <c:v>64431.682806414843</c:v>
                      </c:pt>
                      <c:pt idx="835">
                        <c:v>64829.878354976689</c:v>
                      </c:pt>
                      <c:pt idx="836">
                        <c:v>65227.22614406806</c:v>
                      </c:pt>
                      <c:pt idx="837">
                        <c:v>65623.727159470684</c:v>
                      </c:pt>
                      <c:pt idx="838">
                        <c:v>66019.382382472511</c:v>
                      </c:pt>
                      <c:pt idx="839">
                        <c:v>66414.192789715788</c:v>
                      </c:pt>
                      <c:pt idx="840">
                        <c:v>66808.159353051888</c:v>
                      </c:pt>
                      <c:pt idx="841">
                        <c:v>67201.283039402668</c:v>
                      </c:pt>
                      <c:pt idx="842">
                        <c:v>67593.564810627999</c:v>
                      </c:pt>
                      <c:pt idx="843">
                        <c:v>67985.005623399251</c:v>
                      </c:pt>
                      <c:pt idx="844">
                        <c:v>68375.606429078616</c:v>
                      </c:pt>
                      <c:pt idx="845">
                        <c:v>68765.368173603842</c:v>
                      </c:pt>
                      <c:pt idx="846">
                        <c:v>69154.291797378304</c:v>
                      </c:pt>
                      <c:pt idx="847">
                        <c:v>69542.378235166121</c:v>
                      </c:pt>
                      <c:pt idx="848">
                        <c:v>69929.628415992192</c:v>
                      </c:pt>
                      <c:pt idx="849">
                        <c:v>70316.043263046915</c:v>
                      </c:pt>
                      <c:pt idx="850">
                        <c:v>70701.623693595349</c:v>
                      </c:pt>
                      <c:pt idx="851">
                        <c:v>71086.370618890767</c:v>
                      </c:pt>
                      <c:pt idx="852">
                        <c:v>71470.284944092302</c:v>
                      </c:pt>
                      <c:pt idx="853">
                        <c:v>71853.36756818663</c:v>
                      </c:pt>
                      <c:pt idx="854">
                        <c:v>72235.61938391345</c:v>
                      </c:pt>
                      <c:pt idx="855">
                        <c:v>72617.041277694618</c:v>
                      </c:pt>
                      <c:pt idx="856">
                        <c:v>72997.634129566854</c:v>
                      </c:pt>
                      <c:pt idx="857">
                        <c:v>73377.398813117819</c:v>
                      </c:pt>
                      <c:pt idx="858">
                        <c:v>73756.336195425436</c:v>
                      </c:pt>
                      <c:pt idx="859">
                        <c:v>74134.447137000374</c:v>
                      </c:pt>
                      <c:pt idx="860">
                        <c:v>74511.732491731469</c:v>
                      </c:pt>
                      <c:pt idx="861">
                        <c:v>74888.193106834093</c:v>
                      </c:pt>
                      <c:pt idx="862">
                        <c:v>75263.829822801286</c:v>
                      </c:pt>
                      <c:pt idx="863">
                        <c:v>75638.643473357457</c:v>
                      </c:pt>
                      <c:pt idx="864">
                        <c:v>76012.634885414736</c:v>
                      </c:pt>
                      <c:pt idx="865">
                        <c:v>76385.804879031741</c:v>
                      </c:pt>
                      <c:pt idx="866">
                        <c:v>76758.154267374703</c:v>
                      </c:pt>
                      <c:pt idx="867">
                        <c:v>77129.683856680786</c:v>
                      </c:pt>
                      <c:pt idx="868">
                        <c:v>77500.394446223654</c:v>
                      </c:pt>
                      <c:pt idx="869">
                        <c:v>77870.286828281111</c:v>
                      </c:pt>
                      <c:pt idx="870">
                        <c:v>78239.361788104623</c:v>
                      </c:pt>
                      <c:pt idx="871">
                        <c:v>78607.620103890935</c:v>
                      </c:pt>
                      <c:pt idx="872">
                        <c:v>78975.062546755333</c:v>
                      </c:pt>
                      <c:pt idx="873">
                        <c:v>79341.689880706777</c:v>
                      </c:pt>
                      <c:pt idx="874">
                        <c:v>79707.502862624751</c:v>
                      </c:pt>
                      <c:pt idx="875">
                        <c:v>80072.502242237621</c:v>
                      </c:pt>
                      <c:pt idx="876">
                        <c:v>80436.688762102596</c:v>
                      </c:pt>
                      <c:pt idx="877">
                        <c:v>80800.063157587239</c:v>
                      </c:pt>
                      <c:pt idx="878">
                        <c:v>81162.62615685226</c:v>
                      </c:pt>
                      <c:pt idx="879">
                        <c:v>81524.378480835818</c:v>
                      </c:pt>
                      <c:pt idx="880">
                        <c:v>81885.320843239038</c:v>
                      </c:pt>
                      <c:pt idx="881">
                        <c:v>82245.453950512849</c:v>
                      </c:pt>
                      <c:pt idx="882">
                        <c:v>82604.778501845925</c:v>
                      </c:pt>
                      <c:pt idx="883">
                        <c:v>82963.295189153883</c:v>
                      </c:pt>
                      <c:pt idx="884">
                        <c:v>83321.004697069511</c:v>
                      </c:pt>
                      <c:pt idx="885">
                        <c:v>83677.907702934026</c:v>
                      </c:pt>
                      <c:pt idx="886">
                        <c:v>84034.004876789419</c:v>
                      </c:pt>
                      <c:pt idx="887">
                        <c:v>84389.296881371702</c:v>
                      </c:pt>
                      <c:pt idx="888">
                        <c:v>84743.784372105045</c:v>
                      </c:pt>
                      <c:pt idx="889">
                        <c:v>85097.467997096901</c:v>
                      </c:pt>
                      <c:pt idx="890">
                        <c:v>85450.348397133814</c:v>
                      </c:pt>
                      <c:pt idx="891">
                        <c:v>85802.426205678144</c:v>
                      </c:pt>
                      <c:pt idx="892">
                        <c:v>86153.70204886554</c:v>
                      </c:pt>
                      <c:pt idx="893">
                        <c:v>86504.17654550304</c:v>
                      </c:pt>
                      <c:pt idx="894">
                        <c:v>86853.850307068002</c:v>
                      </c:pt>
                      <c:pt idx="895">
                        <c:v>87202.723937707604</c:v>
                      </c:pt>
                      <c:pt idx="896">
                        <c:v>87550.798034239007</c:v>
                      </c:pt>
                      <c:pt idx="897">
                        <c:v>87898.073186150083</c:v>
                      </c:pt>
                      <c:pt idx="898">
                        <c:v>88244.549975600748</c:v>
                      </c:pt>
                      <c:pt idx="899">
                        <c:v>88590.22897742482</c:v>
                      </c:pt>
                      <c:pt idx="900">
                        <c:v>88935.110759132338</c:v>
                      </c:pt>
                      <c:pt idx="901">
                        <c:v>89279.195880912492</c:v>
                      </c:pt>
                      <c:pt idx="902">
                        <c:v>89622.484895636851</c:v>
                      </c:pt>
                      <c:pt idx="903">
                        <c:v>89964.978348863166</c:v>
                      </c:pt>
                      <c:pt idx="904">
                        <c:v>90306.676778839479</c:v>
                      </c:pt>
                      <c:pt idx="905">
                        <c:v>90647.580716508703</c:v>
                      </c:pt>
                      <c:pt idx="906">
                        <c:v>90987.690685513488</c:v>
                      </c:pt>
                      <c:pt idx="907">
                        <c:v>91327.007202201508</c:v>
                      </c:pt>
                      <c:pt idx="908">
                        <c:v>91665.530775631021</c:v>
                      </c:pt>
                      <c:pt idx="909">
                        <c:v>92003.261907576758</c:v>
                      </c:pt>
                      <c:pt idx="910">
                        <c:v>92340.201092536052</c:v>
                      </c:pt>
                      <c:pt idx="911">
                        <c:v>92676.348817735314</c:v>
                      </c:pt>
                      <c:pt idx="912">
                        <c:v>93011.705563136682</c:v>
                      </c:pt>
                      <c:pt idx="913">
                        <c:v>93346.271801444906</c:v>
                      </c:pt>
                      <c:pt idx="914">
                        <c:v>93680.047998114533</c:v>
                      </c:pt>
                      <c:pt idx="915">
                        <c:v>94013.034611357187</c:v>
                      </c:pt>
                      <c:pt idx="916">
                        <c:v>94345.232092149075</c:v>
                      </c:pt>
                      <c:pt idx="917">
                        <c:v>94676.640884238645</c:v>
                      </c:pt>
                      <c:pt idx="918">
                        <c:v>95007.261424154451</c:v>
                      </c:pt>
                      <c:pt idx="919">
                        <c:v>95337.094141213107</c:v>
                      </c:pt>
                      <c:pt idx="920">
                        <c:v>95666.139457527344</c:v>
                      </c:pt>
                      <c:pt idx="921">
                        <c:v>95994.397788014263</c:v>
                      </c:pt>
                      <c:pt idx="922">
                        <c:v>96321.869540403583</c:v>
                      </c:pt>
                      <c:pt idx="923">
                        <c:v>96648.555115246083</c:v>
                      </c:pt>
                      <c:pt idx="924">
                        <c:v>96974.45490592203</c:v>
                      </c:pt>
                      <c:pt idx="925">
                        <c:v>97299.569298649789</c:v>
                      </c:pt>
                      <c:pt idx="926">
                        <c:v>97623.89867249431</c:v>
                      </c:pt>
                      <c:pt idx="927">
                        <c:v>97947.443399375843</c:v>
                      </c:pt>
                      <c:pt idx="928">
                        <c:v>98270.203844078569</c:v>
                      </c:pt>
                      <c:pt idx="929">
                        <c:v>98592.180364259286</c:v>
                      </c:pt>
                      <c:pt idx="930">
                        <c:v>98913.373310456154</c:v>
                      </c:pt>
                      <c:pt idx="931">
                        <c:v>99233.783026097371</c:v>
                      </c:pt>
                      <c:pt idx="932">
                        <c:v>99553.409847509902</c:v>
                      </c:pt>
                      <c:pt idx="933">
                        <c:v>99872.25410392815</c:v>
                      </c:pt>
                      <c:pt idx="934">
                        <c:v>100190.31611750266</c:v>
                      </c:pt>
                      <c:pt idx="935">
                        <c:v>100507.59620330876</c:v>
                      </c:pt>
                      <c:pt idx="936">
                        <c:v>100824.09466935515</c:v>
                      </c:pt>
                      <c:pt idx="937">
                        <c:v>101139.81181659253</c:v>
                      </c:pt>
                      <c:pt idx="938">
                        <c:v>101454.74793892201</c:v>
                      </c:pt>
                      <c:pt idx="939">
                        <c:v>101768.90332320372</c:v>
                      </c:pt>
                      <c:pt idx="940">
                        <c:v>102082.27824926507</c:v>
                      </c:pt>
                      <c:pt idx="941">
                        <c:v>102394.87298990917</c:v>
                      </c:pt>
                      <c:pt idx="942">
                        <c:v>102706.68781092299</c:v>
                      </c:pt>
                      <c:pt idx="943">
                        <c:v>103017.72297108562</c:v>
                      </c:pt>
                      <c:pt idx="944">
                        <c:v>103327.97872217627</c:v>
                      </c:pt>
                      <c:pt idx="945">
                        <c:v>103637.4553089823</c:v>
                      </c:pt>
                      <c:pt idx="946">
                        <c:v>103946.15296930706</c:v>
                      </c:pt>
                      <c:pt idx="947">
                        <c:v>104254.07193397771</c:v>
                      </c:pt>
                      <c:pt idx="948">
                        <c:v>104561.21242685286</c:v>
                      </c:pt>
                      <c:pt idx="949">
                        <c:v>104867.57466483008</c:v>
                      </c:pt>
                      <c:pt idx="950">
                        <c:v>105173.15885785343</c:v>
                      </c:pt>
                      <c:pt idx="951">
                        <c:v>105477.96520892062</c:v>
                      </c:pt>
                      <c:pt idx="952">
                        <c:v>105781.99391409034</c:v>
                      </c:pt>
                      <c:pt idx="953">
                        <c:v>106085.24516248918</c:v>
                      </c:pt>
                      <c:pt idx="954">
                        <c:v>106387.71913631857</c:v>
                      </c:pt>
                      <c:pt idx="955">
                        <c:v>106689.41601086152</c:v>
                      </c:pt>
                      <c:pt idx="956">
                        <c:v>106990.33595448924</c:v>
                      </c:pt>
                      <c:pt idx="957">
                        <c:v>107290.47912866765</c:v>
                      </c:pt>
                      <c:pt idx="958">
                        <c:v>107589.84568796361</c:v>
                      </c:pt>
                      <c:pt idx="959">
                        <c:v>107888.43578005106</c:v>
                      </c:pt>
                      <c:pt idx="960">
                        <c:v>108186.24954571712</c:v>
                      </c:pt>
                      <c:pt idx="961">
                        <c:v>108483.28711886775</c:v>
                      </c:pt>
                      <c:pt idx="962">
                        <c:v>108779.54862653353</c:v>
                      </c:pt>
                      <c:pt idx="963">
                        <c:v>109075.03418887508</c:v>
                      </c:pt>
                      <c:pt idx="964">
                        <c:v>109369.7439191884</c:v>
                      </c:pt>
                      <c:pt idx="965">
                        <c:v>109663.67792390996</c:v>
                      </c:pt>
                      <c:pt idx="966">
                        <c:v>109956.83630262165</c:v>
                      </c:pt>
                      <c:pt idx="967">
                        <c:v>110249.21914805559</c:v>
                      </c:pt>
                      <c:pt idx="968">
                        <c:v>110540.82654609867</c:v>
                      </c:pt>
                      <c:pt idx="969">
                        <c:v>110831.65857579696</c:v>
                      </c:pt>
                      <c:pt idx="970">
                        <c:v>111121.71530935988</c:v>
                      </c:pt>
                      <c:pt idx="971">
                        <c:v>111410.9968121642</c:v>
                      </c:pt>
                      <c:pt idx="972">
                        <c:v>111699.50314275792</c:v>
                      </c:pt>
                      <c:pt idx="973">
                        <c:v>111987.23435286377</c:v>
                      </c:pt>
                      <c:pt idx="974">
                        <c:v>112274.1904873827</c:v>
                      </c:pt>
                      <c:pt idx="975">
                        <c:v>112560.37158439704</c:v>
                      </c:pt>
                      <c:pt idx="976">
                        <c:v>112845.77767517349</c:v>
                      </c:pt>
                      <c:pt idx="977">
                        <c:v>113130.40878416595</c:v>
                      </c:pt>
                      <c:pt idx="978">
                        <c:v>113414.26492901803</c:v>
                      </c:pt>
                      <c:pt idx="979">
                        <c:v>113697.34612056547</c:v>
                      </c:pt>
                      <c:pt idx="980">
                        <c:v>113979.65236283829</c:v>
                      </c:pt>
                      <c:pt idx="981">
                        <c:v>114261.18365306266</c:v>
                      </c:pt>
                      <c:pt idx="982">
                        <c:v>114541.9399816627</c:v>
                      </c:pt>
                      <c:pt idx="983">
                        <c:v>114821.92133226189</c:v>
                      </c:pt>
                      <c:pt idx="984">
                        <c:v>115101.12768168439</c:v>
                      </c:pt>
                      <c:pt idx="985">
                        <c:v>115379.55899995609</c:v>
                      </c:pt>
                      <c:pt idx="986">
                        <c:v>115657.21525030538</c:v>
                      </c:pt>
                      <c:pt idx="987">
                        <c:v>115934.09638916378</c:v>
                      </c:pt>
                      <c:pt idx="988">
                        <c:v>116210.2023661663</c:v>
                      </c:pt>
                      <c:pt idx="989">
                        <c:v>116485.53312415154</c:v>
                      </c:pt>
                      <c:pt idx="990">
                        <c:v>116760.08859916165</c:v>
                      </c:pt>
                      <c:pt idx="991">
                        <c:v>117033.86872044193</c:v>
                      </c:pt>
                      <c:pt idx="992">
                        <c:v>117306.87341044024</c:v>
                      </c:pt>
                      <c:pt idx="993">
                        <c:v>117579.10258480626</c:v>
                      </c:pt>
                      <c:pt idx="994">
                        <c:v>117850.55615239036</c:v>
                      </c:pt>
                      <c:pt idx="995">
                        <c:v>118121.23401524236</c:v>
                      </c:pt>
                      <c:pt idx="996">
                        <c:v>118391.13606860995</c:v>
                      </c:pt>
                      <c:pt idx="997">
                        <c:v>118660.26220093692</c:v>
                      </c:pt>
                      <c:pt idx="998">
                        <c:v>118928.61229386115</c:v>
                      </c:pt>
                      <c:pt idx="999">
                        <c:v>119196.1862222123</c:v>
                      </c:pt>
                      <c:pt idx="1000">
                        <c:v>119462.98385400932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Conditions!$Q$4:$Q$1004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</c:v>
                      </c:pt>
                      <c:pt idx="10">
                        <c:v>-10087.228798265896</c:v>
                      </c:pt>
                      <c:pt idx="11">
                        <c:v>-12335.933792409636</c:v>
                      </c:pt>
                      <c:pt idx="12">
                        <c:v>-14751.379595688097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-11686.793527809152</c:v>
                      </c:pt>
                      <c:pt idx="26">
                        <c:v>-9285.7153541049338</c:v>
                      </c:pt>
                      <c:pt idx="27">
                        <c:v>-7163.1148305357437</c:v>
                      </c:pt>
                      <c:pt idx="28">
                        <c:v>-5405.2766438255867</c:v>
                      </c:pt>
                      <c:pt idx="29">
                        <c:v>-3988.1713399098685</c:v>
                      </c:pt>
                      <c:pt idx="30">
                        <c:v>-2836.4229574485039</c:v>
                      </c:pt>
                      <c:pt idx="31">
                        <c:v>-1865.7641451009611</c:v>
                      </c:pt>
                      <c:pt idx="32">
                        <c:v>-995.84077041905152</c:v>
                      </c:pt>
                      <c:pt idx="33">
                        <c:v>-149.45993862992248</c:v>
                      </c:pt>
                      <c:pt idx="34">
                        <c:v>752.01156069469027</c:v>
                      </c:pt>
                      <c:pt idx="35">
                        <c:v>1793.2222480232322</c:v>
                      </c:pt>
                      <c:pt idx="36">
                        <c:v>3064.3548369665623</c:v>
                      </c:pt>
                      <c:pt idx="37">
                        <c:v>4640.3231022983018</c:v>
                      </c:pt>
                      <c:pt idx="38">
                        <c:v>6517.1108696313831</c:v>
                      </c:pt>
                      <c:pt idx="39">
                        <c:v>8555.3303777479141</c:v>
                      </c:pt>
                      <c:pt idx="40">
                        <c:v>10552.98943923076</c:v>
                      </c:pt>
                      <c:pt idx="41">
                        <c:v>12370.753548935425</c:v>
                      </c:pt>
                      <c:pt idx="42">
                        <c:v>13951.290731552557</c:v>
                      </c:pt>
                      <c:pt idx="43">
                        <c:v>15277.624296741069</c:v>
                      </c:pt>
                      <c:pt idx="44">
                        <c:v>16345.252759825298</c:v>
                      </c:pt>
                      <c:pt idx="45">
                        <c:v>17150.887667056944</c:v>
                      </c:pt>
                      <c:pt idx="46">
                        <c:v>17688.144891965741</c:v>
                      </c:pt>
                      <c:pt idx="47">
                        <c:v>17945.461661525402</c:v>
                      </c:pt>
                      <c:pt idx="48">
                        <c:v>17904.443116994153</c:v>
                      </c:pt>
                      <c:pt idx="49">
                        <c:v>17537.921990304272</c:v>
                      </c:pt>
                      <c:pt idx="50">
                        <c:v>16807.512750085352</c:v>
                      </c:pt>
                      <c:pt idx="51">
                        <c:v>15661.293878573837</c:v>
                      </c:pt>
                      <c:pt idx="52">
                        <c:v>14035.274457262465</c:v>
                      </c:pt>
                      <c:pt idx="53">
                        <c:v>11871.726623805827</c:v>
                      </c:pt>
                      <c:pt idx="54">
                        <c:v>9180.1518731433462</c:v>
                      </c:pt>
                      <c:pt idx="55">
                        <c:v>6115.9544614118458</c:v>
                      </c:pt>
                      <c:pt idx="56">
                        <c:v>2928.9194495981719</c:v>
                      </c:pt>
                      <c:pt idx="57">
                        <c:v>-203.40622836486085</c:v>
                      </c:pt>
                      <c:pt idx="58">
                        <c:v>-3233.8735887973971</c:v>
                      </c:pt>
                      <c:pt idx="59">
                        <c:v>-6187.5767136038558</c:v>
                      </c:pt>
                      <c:pt idx="60">
                        <c:v>-9109.857566672581</c:v>
                      </c:pt>
                      <c:pt idx="61">
                        <c:v>-12037.950819069592</c:v>
                      </c:pt>
                      <c:pt idx="62">
                        <c:v>-14973.647614880996</c:v>
                      </c:pt>
                      <c:pt idx="63">
                        <c:v>-17841.986679037112</c:v>
                      </c:pt>
                      <c:pt idx="64">
                        <c:v>-20461.303674818173</c:v>
                      </c:pt>
                      <c:pt idx="65">
                        <c:v>-22614.237885687086</c:v>
                      </c:pt>
                      <c:pt idx="66">
                        <c:v>-24193.519811073329</c:v>
                      </c:pt>
                      <c:pt idx="67">
                        <c:v>-25233.655823418067</c:v>
                      </c:pt>
                      <c:pt idx="68">
                        <c:v>-25825.20363425705</c:v>
                      </c:pt>
                      <c:pt idx="69">
                        <c:v>-26053.234388595061</c:v>
                      </c:pt>
                      <c:pt idx="70">
                        <c:v>-25983.187953881563</c:v>
                      </c:pt>
                      <c:pt idx="71">
                        <c:v>-25663.360789517981</c:v>
                      </c:pt>
                      <c:pt idx="72">
                        <c:v>-25129.631419452409</c:v>
                      </c:pt>
                      <c:pt idx="73">
                        <c:v>-24409.228859563762</c:v>
                      </c:pt>
                      <c:pt idx="74">
                        <c:v>-23523.352137807593</c:v>
                      </c:pt>
                      <c:pt idx="75">
                        <c:v>-22488.951393801563</c:v>
                      </c:pt>
                      <c:pt idx="76">
                        <c:v>-21319.958242699835</c:v>
                      </c:pt>
                      <c:pt idx="77">
                        <c:v>-20028.165312849134</c:v>
                      </c:pt>
                      <c:pt idx="78">
                        <c:v>-18623.885856717661</c:v>
                      </c:pt>
                      <c:pt idx="79">
                        <c:v>-17116.479184938689</c:v>
                      </c:pt>
                      <c:pt idx="80">
                        <c:v>-15514.798796081664</c:v>
                      </c:pt>
                      <c:pt idx="81">
                        <c:v>-13827.59954239808</c:v>
                      </c:pt>
                      <c:pt idx="82">
                        <c:v>-12063.920408815266</c:v>
                      </c:pt>
                      <c:pt idx="83">
                        <c:v>-10233.431953868108</c:v>
                      </c:pt>
                      <c:pt idx="84">
                        <c:v>-8346.69408180951</c:v>
                      </c:pt>
                      <c:pt idx="85">
                        <c:v>-6415.2201001053554</c:v>
                      </c:pt>
                      <c:pt idx="86">
                        <c:v>-4451.2873606244757</c:v>
                      </c:pt>
                      <c:pt idx="87">
                        <c:v>-2467.9440497754454</c:v>
                      </c:pt>
                      <c:pt idx="88">
                        <c:v>-481.17231754240237</c:v>
                      </c:pt>
                      <c:pt idx="89">
                        <c:v>1483.208122924867</c:v>
                      </c:pt>
                      <c:pt idx="90">
                        <c:v>3382.992426666593</c:v>
                      </c:pt>
                      <c:pt idx="91">
                        <c:v>5167.6443952452728</c:v>
                      </c:pt>
                      <c:pt idx="92">
                        <c:v>6798.0595336048073</c:v>
                      </c:pt>
                      <c:pt idx="93">
                        <c:v>8255.863378417811</c:v>
                      </c:pt>
                      <c:pt idx="94">
                        <c:v>9536.3502339163624</c:v>
                      </c:pt>
                      <c:pt idx="95">
                        <c:v>10635.835458909787</c:v>
                      </c:pt>
                      <c:pt idx="96">
                        <c:v>11538.955607886246</c:v>
                      </c:pt>
                      <c:pt idx="97">
                        <c:v>12204.286018096769</c:v>
                      </c:pt>
                      <c:pt idx="98">
                        <c:v>12548.577570667647</c:v>
                      </c:pt>
                      <c:pt idx="99">
                        <c:v>12453.293705291604</c:v>
                      </c:pt>
                      <c:pt idx="100">
                        <c:v>11847.765648576325</c:v>
                      </c:pt>
                      <c:pt idx="101">
                        <c:v>10803.937300069749</c:v>
                      </c:pt>
                      <c:pt idx="102">
                        <c:v>9482.5547395789308</c:v>
                      </c:pt>
                      <c:pt idx="103">
                        <c:v>8017.0772215880752</c:v>
                      </c:pt>
                      <c:pt idx="104">
                        <c:v>6485.8648801435629</c:v>
                      </c:pt>
                      <c:pt idx="105">
                        <c:v>4931.6882811091054</c:v>
                      </c:pt>
                      <c:pt idx="106">
                        <c:v>3378.6501475904929</c:v>
                      </c:pt>
                      <c:pt idx="107">
                        <c:v>1841.1911824075953</c:v>
                      </c:pt>
                      <c:pt idx="108">
                        <c:v>328.56661446185274</c:v>
                      </c:pt>
                      <c:pt idx="109">
                        <c:v>-1152.8722885649381</c:v>
                      </c:pt>
                      <c:pt idx="110">
                        <c:v>-2598.458275478933</c:v>
                      </c:pt>
                      <c:pt idx="111">
                        <c:v>-4004.5211441135757</c:v>
                      </c:pt>
                      <c:pt idx="112">
                        <c:v>-5367.9806791408764</c:v>
                      </c:pt>
                      <c:pt idx="113">
                        <c:v>-6686.0929623111424</c:v>
                      </c:pt>
                      <c:pt idx="114">
                        <c:v>-7956.2837947810149</c:v>
                      </c:pt>
                      <c:pt idx="115">
                        <c:v>-9176.0329303323106</c:v>
                      </c:pt>
                      <c:pt idx="116">
                        <c:v>-10342.788340021158</c:v>
                      </c:pt>
                      <c:pt idx="117">
                        <c:v>-11453.89807652769</c:v>
                      </c:pt>
                      <c:pt idx="118">
                        <c:v>-12506.551940213414</c:v>
                      </c:pt>
                      <c:pt idx="119">
                        <c:v>-13497.727784782885</c:v>
                      </c:pt>
                      <c:pt idx="120">
                        <c:v>-14424.1388241691</c:v>
                      </c:pt>
                      <c:pt idx="121">
                        <c:v>-15282.179190791801</c:v>
                      </c:pt>
                      <c:pt idx="122">
                        <c:v>-16067.865520871588</c:v>
                      </c:pt>
                      <c:pt idx="123">
                        <c:v>-16776.772677572473</c:v>
                      </c:pt>
                      <c:pt idx="124">
                        <c:v>-17403.962001279411</c:v>
                      </c:pt>
                      <c:pt idx="125">
                        <c:v>-17943.900838061862</c:v>
                      </c:pt>
                      <c:pt idx="126">
                        <c:v>-18390.372733381533</c:v>
                      </c:pt>
                      <c:pt idx="127">
                        <c:v>-18736.378892233432</c:v>
                      </c:pt>
                      <c:pt idx="128">
                        <c:v>-18974.033812005979</c:v>
                      </c:pt>
                      <c:pt idx="129">
                        <c:v>-19094.462269072894</c:v>
                      </c:pt>
                      <c:pt idx="130">
                        <c:v>-19087.712582790351</c:v>
                      </c:pt>
                      <c:pt idx="131">
                        <c:v>-18942.714804663454</c:v>
                      </c:pt>
                      <c:pt idx="132">
                        <c:v>-18647.336294858589</c:v>
                      </c:pt>
                      <c:pt idx="133">
                        <c:v>-18188.627561814261</c:v>
                      </c:pt>
                      <c:pt idx="134">
                        <c:v>-17553.418402053801</c:v>
                      </c:pt>
                      <c:pt idx="135">
                        <c:v>-16729.535329883613</c:v>
                      </c:pt>
                      <c:pt idx="136">
                        <c:v>-15708.103610527756</c:v>
                      </c:pt>
                      <c:pt idx="137">
                        <c:v>-14487.785823814207</c:v>
                      </c:pt>
                      <c:pt idx="138">
                        <c:v>-13082.765452978987</c:v>
                      </c:pt>
                      <c:pt idx="139">
                        <c:v>-11538.586873206264</c:v>
                      </c:pt>
                      <c:pt idx="140">
                        <c:v>-9961.2833272943772</c:v>
                      </c:pt>
                      <c:pt idx="141">
                        <c:v>-8535.9358821305723</c:v>
                      </c:pt>
                      <c:pt idx="142">
                        <c:v>-7431.3231169243281</c:v>
                      </c:pt>
                      <c:pt idx="143">
                        <c:v>-6648.5105592306027</c:v>
                      </c:pt>
                      <c:pt idx="144">
                        <c:v>-6055.2013786970829</c:v>
                      </c:pt>
                      <c:pt idx="145">
                        <c:v>-5522.686888878653</c:v>
                      </c:pt>
                      <c:pt idx="146">
                        <c:v>-4973.5648439959023</c:v>
                      </c:pt>
                      <c:pt idx="147">
                        <c:v>-4374.8380365870198</c:v>
                      </c:pt>
                      <c:pt idx="148">
                        <c:v>-3721.1325508034593</c:v>
                      </c:pt>
                      <c:pt idx="149">
                        <c:v>-3019.8520523214352</c:v>
                      </c:pt>
                      <c:pt idx="150">
                        <c:v>-2282.0340450309268</c:v>
                      </c:pt>
                      <c:pt idx="151">
                        <c:v>-1518.2399421427717</c:v>
                      </c:pt>
                      <c:pt idx="152">
                        <c:v>-737.27842005730508</c:v>
                      </c:pt>
                      <c:pt idx="153">
                        <c:v>53.881036694182676</c:v>
                      </c:pt>
                      <c:pt idx="154">
                        <c:v>849.81942886894103</c:v>
                      </c:pt>
                      <c:pt idx="155">
                        <c:v>1646.3248328128407</c:v>
                      </c:pt>
                      <c:pt idx="156">
                        <c:v>2440.0952127706623</c:v>
                      </c:pt>
                      <c:pt idx="157">
                        <c:v>3228.5061810677494</c:v>
                      </c:pt>
                      <c:pt idx="158">
                        <c:v>4009.4365409558472</c:v>
                      </c:pt>
                      <c:pt idx="159">
                        <c:v>4781.1389877725214</c:v>
                      </c:pt>
                      <c:pt idx="160">
                        <c:v>5542.1443421263411</c:v>
                      </c:pt>
                      <c:pt idx="161">
                        <c:v>6291.1901634850519</c:v>
                      </c:pt>
                      <c:pt idx="162">
                        <c:v>7027.1669593546567</c:v>
                      </c:pt>
                      <c:pt idx="163">
                        <c:v>7749.0770794122755</c:v>
                      </c:pt>
                      <c:pt idx="164">
                        <c:v>8456.002765564288</c:v>
                      </c:pt>
                      <c:pt idx="165">
                        <c:v>9147.0808158517848</c:v>
                      </c:pt>
                      <c:pt idx="166">
                        <c:v>9821.4820151733256</c:v>
                      </c:pt>
                      <c:pt idx="167">
                        <c:v>10478.393971944137</c:v>
                      </c:pt>
                      <c:pt idx="168">
                        <c:v>11117.006338089619</c:v>
                      </c:pt>
                      <c:pt idx="169">
                        <c:v>11736.497623106054</c:v>
                      </c:pt>
                      <c:pt idx="170">
                        <c:v>12336.022970720827</c:v>
                      </c:pt>
                      <c:pt idx="171">
                        <c:v>12914.702368606648</c:v>
                      </c:pt>
                      <c:pt idx="172">
                        <c:v>13471.608820279424</c:v>
                      </c:pt>
                      <c:pt idx="173">
                        <c:v>14005.756031141984</c:v>
                      </c:pt>
                      <c:pt idx="174">
                        <c:v>14516.085150863208</c:v>
                      </c:pt>
                      <c:pt idx="175">
                        <c:v>15001.450071415396</c:v>
                      </c:pt>
                      <c:pt idx="176">
                        <c:v>15460.600699771512</c:v>
                      </c:pt>
                      <c:pt idx="177">
                        <c:v>15892.163497456817</c:v>
                      </c:pt>
                      <c:pt idx="178">
                        <c:v>16294.618390474765</c:v>
                      </c:pt>
                      <c:pt idx="179">
                        <c:v>16666.270877838273</c:v>
                      </c:pt>
                      <c:pt idx="180">
                        <c:v>17005.217765715835</c:v>
                      </c:pt>
                      <c:pt idx="181">
                        <c:v>17309.30436415962</c:v>
                      </c:pt>
                      <c:pt idx="182">
                        <c:v>17576.070102282785</c:v>
                      </c:pt>
                      <c:pt idx="183">
                        <c:v>17802.67817568473</c:v>
                      </c:pt>
                      <c:pt idx="184">
                        <c:v>17985.822747040649</c:v>
                      </c:pt>
                      <c:pt idx="185">
                        <c:v>18121.603867877027</c:v>
                      </c:pt>
                      <c:pt idx="186">
                        <c:v>18205.354752582811</c:v>
                      </c:pt>
                      <c:pt idx="187">
                        <c:v>18231.396577594038</c:v>
                      </c:pt>
                      <c:pt idx="188">
                        <c:v>18192.679209556882</c:v>
                      </c:pt>
                      <c:pt idx="189">
                        <c:v>18080.235313884834</c:v>
                      </c:pt>
                      <c:pt idx="190">
                        <c:v>17882.315736069784</c:v>
                      </c:pt>
                      <c:pt idx="191">
                        <c:v>17582.955002470757</c:v>
                      </c:pt>
                      <c:pt idx="192">
                        <c:v>17159.473195461229</c:v>
                      </c:pt>
                      <c:pt idx="193">
                        <c:v>16577.951921850967</c:v>
                      </c:pt>
                      <c:pt idx="194">
                        <c:v>15785.152089592993</c:v>
                      </c:pt>
                      <c:pt idx="195">
                        <c:v>14697.666904235428</c:v>
                      </c:pt>
                      <c:pt idx="196">
                        <c:v>13213.427474682574</c:v>
                      </c:pt>
                      <c:pt idx="197">
                        <c:v>11311.634631928247</c:v>
                      </c:pt>
                      <c:pt idx="198">
                        <c:v>9109.2189747455759</c:v>
                      </c:pt>
                      <c:pt idx="199">
                        <c:v>6724.0356366769593</c:v>
                      </c:pt>
                      <c:pt idx="200">
                        <c:v>4183.1020181491249</c:v>
                      </c:pt>
                      <c:pt idx="201">
                        <c:v>1471.1519262473378</c:v>
                      </c:pt>
                      <c:pt idx="202">
                        <c:v>-1422.042700554143</c:v>
                      </c:pt>
                      <c:pt idx="203">
                        <c:v>-4469.0212837779663</c:v>
                      </c:pt>
                      <c:pt idx="204">
                        <c:v>-7586.8205361089249</c:v>
                      </c:pt>
                      <c:pt idx="205">
                        <c:v>-10658.290339723617</c:v>
                      </c:pt>
                      <c:pt idx="206">
                        <c:v>-13584.183685316017</c:v>
                      </c:pt>
                      <c:pt idx="207">
                        <c:v>-16314.499180834389</c:v>
                      </c:pt>
                      <c:pt idx="208">
                        <c:v>-18840.536556476858</c:v>
                      </c:pt>
                      <c:pt idx="209">
                        <c:v>-21174.252757994313</c:v>
                      </c:pt>
                      <c:pt idx="210">
                        <c:v>-23334.207160992577</c:v>
                      </c:pt>
                      <c:pt idx="211">
                        <c:v>-25339.209403199508</c:v>
                      </c:pt>
                      <c:pt idx="212">
                        <c:v>-27206.124966980136</c:v>
                      </c:pt>
                      <c:pt idx="213">
                        <c:v>-28949.412857408162</c:v>
                      </c:pt>
                      <c:pt idx="214">
                        <c:v>-30581.277706481207</c:v>
                      </c:pt>
                      <c:pt idx="215">
                        <c:v>-32111.991658359919</c:v>
                      </c:pt>
                      <c:pt idx="216">
                        <c:v>-33550.225221868903</c:v>
                      </c:pt>
                      <c:pt idx="217">
                        <c:v>-34903.336889098886</c:v>
                      </c:pt>
                      <c:pt idx="218">
                        <c:v>-36177.6120688144</c:v>
                      </c:pt>
                      <c:pt idx="219">
                        <c:v>-37378.455562967865</c:v>
                      </c:pt>
                      <c:pt idx="220">
                        <c:v>-38510.545341559075</c:v>
                      </c:pt>
                      <c:pt idx="221">
                        <c:v>-39577.955315386003</c:v>
                      </c:pt>
                      <c:pt idx="222">
                        <c:v>-40584.253674075459</c:v>
                      </c:pt>
                      <c:pt idx="223">
                        <c:v>-41532.582066048773</c:v>
                      </c:pt>
                      <c:pt idx="224">
                        <c:v>-42425.719750190736</c:v>
                      </c:pt>
                      <c:pt idx="225">
                        <c:v>-43266.135916272382</c:v>
                      </c:pt>
                      <c:pt idx="226">
                        <c:v>-44056.032641576458</c:v>
                      </c:pt>
                      <c:pt idx="227">
                        <c:v>-44797.38039046272</c:v>
                      </c:pt>
                      <c:pt idx="228">
                        <c:v>-45491.94753574043</c:v>
                      </c:pt>
                      <c:pt idx="229">
                        <c:v>-46141.325054643872</c:v>
                      </c:pt>
                      <c:pt idx="230">
                        <c:v>-46746.947303217865</c:v>
                      </c:pt>
                      <c:pt idx="231">
                        <c:v>-47310.109582040292</c:v>
                      </c:pt>
                      <c:pt idx="232">
                        <c:v>-47831.983059128834</c:v>
                      </c:pt>
                      <c:pt idx="233">
                        <c:v>-48313.627501893643</c:v>
                      </c:pt>
                      <c:pt idx="234">
                        <c:v>-48756.002181116339</c:v>
                      </c:pt>
                      <c:pt idx="235">
                        <c:v>-49159.975240189029</c:v>
                      </c:pt>
                      <c:pt idx="236">
                        <c:v>-49526.331767763528</c:v>
                      </c:pt>
                      <c:pt idx="237">
                        <c:v>-49855.780768175166</c:v>
                      </c:pt>
                      <c:pt idx="238">
                        <c:v>-50148.961188974514</c:v>
                      </c:pt>
                      <c:pt idx="239">
                        <c:v>-50406.447136688344</c:v>
                      </c:pt>
                      <c:pt idx="240">
                        <c:v>-50628.752389059955</c:v>
                      </c:pt>
                      <c:pt idx="241">
                        <c:v>-50816.334293348868</c:v>
                      </c:pt>
                      <c:pt idx="242">
                        <c:v>-50969.597124919659</c:v>
                      </c:pt>
                      <c:pt idx="243">
                        <c:v>-51088.894967630498</c:v>
                      </c:pt>
                      <c:pt idx="244">
                        <c:v>-51174.534166904137</c:v>
                      </c:pt>
                      <c:pt idx="245">
                        <c:v>-51226.775397398429</c:v>
                      </c:pt>
                      <c:pt idx="246">
                        <c:v>-51245.835379548575</c:v>
                      </c:pt>
                      <c:pt idx="247">
                        <c:v>-51231.888272651391</c:v>
                      </c:pt>
                      <c:pt idx="248">
                        <c:v>-51185.066766377364</c:v>
                      </c:pt>
                      <c:pt idx="249">
                        <c:v>-51105.462887439484</c:v>
                      </c:pt>
                      <c:pt idx="250">
                        <c:v>-50993.128533459058</c:v>
                      </c:pt>
                      <c:pt idx="251">
                        <c:v>-50848.075741707777</c:v>
                      </c:pt>
                      <c:pt idx="252">
                        <c:v>-50670.276696246103</c:v>
                      </c:pt>
                      <c:pt idx="253">
                        <c:v>-50459.663472903769</c:v>
                      </c:pt>
                      <c:pt idx="254">
                        <c:v>-50216.127517443281</c:v>
                      </c:pt>
                      <c:pt idx="255">
                        <c:v>-49939.518847996711</c:v>
                      </c:pt>
                      <c:pt idx="256">
                        <c:v>-49629.644968345121</c:v>
                      </c:pt>
                      <c:pt idx="257">
                        <c:v>-49286.269473683846</c:v>
                      </c:pt>
                      <c:pt idx="258">
                        <c:v>-48909.110325028909</c:v>
                      </c:pt>
                      <c:pt idx="259">
                        <c:v>-48497.837762188698</c:v>
                      </c:pt>
                      <c:pt idx="260">
                        <c:v>-48052.071818030323</c:v>
                      </c:pt>
                      <c:pt idx="261">
                        <c:v>-47571.379388344161</c:v>
                      </c:pt>
                      <c:pt idx="262">
                        <c:v>-47055.270801617829</c:v>
                      </c:pt>
                      <c:pt idx="263">
                        <c:v>-46503.195821052679</c:v>
                      </c:pt>
                      <c:pt idx="264">
                        <c:v>-45914.538996655472</c:v>
                      </c:pt>
                      <c:pt idx="265">
                        <c:v>-45288.614267527257</c:v>
                      </c:pt>
                      <c:pt idx="266">
                        <c:v>-44624.658692657496</c:v>
                      </c:pt>
                      <c:pt idx="267">
                        <c:v>-43921.82516144518</c:v>
                      </c:pt>
                      <c:pt idx="268">
                        <c:v>-43179.173901267059</c:v>
                      </c:pt>
                      <c:pt idx="269">
                        <c:v>-42395.662556641531</c:v>
                      </c:pt>
                      <c:pt idx="270">
                        <c:v>-41570.13456013328</c:v>
                      </c:pt>
                      <c:pt idx="271">
                        <c:v>-40701.305445364138</c:v>
                      </c:pt>
                      <c:pt idx="272">
                        <c:v>-39787.746662211001</c:v>
                      </c:pt>
                      <c:pt idx="273">
                        <c:v>-38827.866336389918</c:v>
                      </c:pt>
                      <c:pt idx="274">
                        <c:v>-37819.886260233412</c:v>
                      </c:pt>
                      <c:pt idx="275">
                        <c:v>-36761.814194562234</c:v>
                      </c:pt>
                      <c:pt idx="276">
                        <c:v>-35651.410283126694</c:v>
                      </c:pt>
                      <c:pt idx="277">
                        <c:v>-34486.146002239242</c:v>
                      </c:pt>
                      <c:pt idx="278">
                        <c:v>-33263.153546690322</c:v>
                      </c:pt>
                      <c:pt idx="279">
                        <c:v>-31979.162826401425</c:v>
                      </c:pt>
                      <c:pt idx="280">
                        <c:v>-30630.422223333342</c:v>
                      </c:pt>
                      <c:pt idx="281">
                        <c:v>-29212.597794741716</c:v>
                      </c:pt>
                      <c:pt idx="282">
                        <c:v>-27720.643495343716</c:v>
                      </c:pt>
                      <c:pt idx="283">
                        <c:v>-26148.631909696418</c:v>
                      </c:pt>
                      <c:pt idx="284">
                        <c:v>-24489.530471977665</c:v>
                      </c:pt>
                      <c:pt idx="285">
                        <c:v>-22734.901569239788</c:v>
                      </c:pt>
                      <c:pt idx="286">
                        <c:v>-20874.495585285851</c:v>
                      </c:pt>
                      <c:pt idx="287">
                        <c:v>-18895.693769382036</c:v>
                      </c:pt>
                      <c:pt idx="288">
                        <c:v>-16782.746095797636</c:v>
                      </c:pt>
                      <c:pt idx="289">
                        <c:v>-14515.754891142324</c:v>
                      </c:pt>
                      <c:pt idx="290">
                        <c:v>-12069.444930436573</c:v>
                      </c:pt>
                      <c:pt idx="291">
                        <c:v>-9412.1758119482492</c:v>
                      </c:pt>
                      <c:pt idx="292">
                        <c:v>-6507.1581126570545</c:v>
                      </c:pt>
                      <c:pt idx="293">
                        <c:v>-3322.0735546600581</c:v>
                      </c:pt>
                      <c:pt idx="294">
                        <c:v>141.4158007279654</c:v>
                      </c:pt>
                      <c:pt idx="295">
                        <c:v>3804.8368553184491</c:v>
                      </c:pt>
                      <c:pt idx="296">
                        <c:v>7518.1603126979908</c:v>
                      </c:pt>
                      <c:pt idx="297">
                        <c:v>11137.270225495586</c:v>
                      </c:pt>
                      <c:pt idx="298">
                        <c:v>14580.93365662665</c:v>
                      </c:pt>
                      <c:pt idx="299">
                        <c:v>17818.84876503444</c:v>
                      </c:pt>
                      <c:pt idx="300">
                        <c:v>20841.63115376767</c:v>
                      </c:pt>
                      <c:pt idx="301">
                        <c:v>23645.983550276043</c:v>
                      </c:pt>
                      <c:pt idx="302">
                        <c:v>26232.733850070705</c:v>
                      </c:pt>
                      <c:pt idx="303">
                        <c:v>28608.463614505879</c:v>
                      </c:pt>
                      <c:pt idx="304">
                        <c:v>30785.454132613719</c:v>
                      </c:pt>
                      <c:pt idx="305">
                        <c:v>32779.618275638495</c:v>
                      </c:pt>
                      <c:pt idx="306">
                        <c:v>34608.049221740526</c:v>
                      </c:pt>
                      <c:pt idx="307">
                        <c:v>36287.26764781621</c:v>
                      </c:pt>
                      <c:pt idx="308">
                        <c:v>37832.320176554371</c:v>
                      </c:pt>
                      <c:pt idx="309">
                        <c:v>39256.477385354716</c:v>
                      </c:pt>
                      <c:pt idx="310">
                        <c:v>40571.257469731536</c:v>
                      </c:pt>
                      <c:pt idx="311">
                        <c:v>41786.592613943976</c:v>
                      </c:pt>
                      <c:pt idx="312">
                        <c:v>42911.038795953864</c:v>
                      </c:pt>
                      <c:pt idx="313">
                        <c:v>43951.982331849969</c:v>
                      </c:pt>
                      <c:pt idx="314">
                        <c:v>44915.824574799575</c:v>
                      </c:pt>
                      <c:pt idx="315">
                        <c:v>45808.139751501934</c:v>
                      </c:pt>
                      <c:pt idx="316">
                        <c:v>46633.806844595965</c:v>
                      </c:pt>
                      <c:pt idx="317">
                        <c:v>47397.118628170028</c:v>
                      </c:pt>
                      <c:pt idx="318">
                        <c:v>48101.871461205446</c:v>
                      </c:pt>
                      <c:pt idx="319">
                        <c:v>48751.43923221164</c:v>
                      </c:pt>
                      <c:pt idx="320">
                        <c:v>49348.834391326258</c:v>
                      </c:pt>
                      <c:pt idx="321">
                        <c:v>49896.758508836618</c:v>
                      </c:pt>
                      <c:pt idx="322">
                        <c:v>50397.644343674816</c:v>
                      </c:pt>
                      <c:pt idx="323">
                        <c:v>50853.691017998324</c:v>
                      </c:pt>
                      <c:pt idx="324">
                        <c:v>51266.893576282127</c:v>
                      </c:pt>
                      <c:pt idx="325">
                        <c:v>51639.067951885016</c:v>
                      </c:pt>
                      <c:pt idx="326">
                        <c:v>51971.872160683612</c:v>
                      </c:pt>
                      <c:pt idx="327">
                        <c:v>52266.824380206665</c:v>
                      </c:pt>
                      <c:pt idx="328">
                        <c:v>52525.318445138633</c:v>
                      </c:pt>
                      <c:pt idx="329">
                        <c:v>52748.637188992143</c:v>
                      </c:pt>
                      <c:pt idx="330">
                        <c:v>52937.963981480665</c:v>
                      </c:pt>
                      <c:pt idx="331">
                        <c:v>53094.392747165875</c:v>
                      </c:pt>
                      <c:pt idx="332">
                        <c:v>53218.936699797727</c:v>
                      </c:pt>
                      <c:pt idx="333">
                        <c:v>53312.535985675422</c:v>
                      </c:pt>
                      <c:pt idx="334">
                        <c:v>53376.064396207621</c:v>
                      </c:pt>
                      <c:pt idx="335">
                        <c:v>53410.335282985521</c:v>
                      </c:pt>
                      <c:pt idx="336">
                        <c:v>53416.106786812787</c:v>
                      </c:pt>
                      <c:pt idx="337">
                        <c:v>53394.08647425205</c:v>
                      </c:pt>
                      <c:pt idx="338">
                        <c:v>53344.935460558016</c:v>
                      </c:pt>
                      <c:pt idx="339">
                        <c:v>53269.272085748664</c:v>
                      </c:pt>
                      <c:pt idx="340">
                        <c:v>53167.675200525562</c:v>
                      </c:pt>
                      <c:pt idx="341">
                        <c:v>53040.687110401515</c:v>
                      </c:pt>
                      <c:pt idx="342">
                        <c:v>52888.816219416432</c:v>
                      </c:pt>
                      <c:pt idx="343">
                        <c:v>52712.53940897133</c:v>
                      </c:pt>
                      <c:pt idx="344">
                        <c:v>52512.304182385073</c:v>
                      </c:pt>
                      <c:pt idx="345">
                        <c:v>52288.530601617298</c:v>
                      </c:pt>
                      <c:pt idx="346">
                        <c:v>52041.613039072436</c:v>
                      </c:pt>
                      <c:pt idx="347">
                        <c:v>51771.921764397834</c:v>
                      </c:pt>
                      <c:pt idx="348">
                        <c:v>51479.804383626179</c:v>
                      </c:pt>
                      <c:pt idx="349">
                        <c:v>51165.587145817328</c:v>
                      </c:pt>
                      <c:pt idx="350">
                        <c:v>50829.576130469221</c:v>
                      </c:pt>
                      <c:pt idx="351">
                        <c:v>50472.058327342427</c:v>
                      </c:pt>
                      <c:pt idx="352">
                        <c:v>50093.302618938826</c:v>
                      </c:pt>
                      <c:pt idx="353">
                        <c:v>49693.560674658045</c:v>
                      </c:pt>
                      <c:pt idx="354">
                        <c:v>49273.067764598352</c:v>
                      </c:pt>
                      <c:pt idx="355">
                        <c:v>48832.043500048087</c:v>
                      </c:pt>
                      <c:pt idx="356">
                        <c:v>48370.692506910666</c:v>
                      </c:pt>
                      <c:pt idx="357">
                        <c:v>47889.205037604304</c:v>
                      </c:pt>
                      <c:pt idx="358">
                        <c:v>47387.757526363115</c:v>
                      </c:pt>
                      <c:pt idx="359">
                        <c:v>46866.513092328707</c:v>
                      </c:pt>
                      <c:pt idx="360">
                        <c:v>46325.621994350833</c:v>
                      </c:pt>
                      <c:pt idx="361">
                        <c:v>45765.222041004607</c:v>
                      </c:pt>
                      <c:pt idx="362">
                        <c:v>45185.438958974715</c:v>
                      </c:pt>
                      <c:pt idx="363">
                        <c:v>44586.386722648356</c:v>
                      </c:pt>
                      <c:pt idx="364">
                        <c:v>43968.167847495592</c:v>
                      </c:pt>
                      <c:pt idx="365">
                        <c:v>43330.873649595909</c:v>
                      </c:pt>
                      <c:pt idx="366">
                        <c:v>42674.584473492301</c:v>
                      </c:pt>
                      <c:pt idx="367">
                        <c:v>41999.36989041925</c:v>
                      </c:pt>
                      <c:pt idx="368">
                        <c:v>41305.288868861418</c:v>
                      </c:pt>
                      <c:pt idx="369">
                        <c:v>40592.389919358415</c:v>
                      </c:pt>
                      <c:pt idx="370">
                        <c:v>39860.711215484567</c:v>
                      </c:pt>
                      <c:pt idx="371">
                        <c:v>39110.280693009059</c:v>
                      </c:pt>
                      <c:pt idx="372">
                        <c:v>38341.116129393427</c:v>
                      </c:pt>
                      <c:pt idx="373">
                        <c:v>37553.22520602568</c:v>
                      </c:pt>
                      <c:pt idx="374">
                        <c:v>36746.605555945054</c:v>
                      </c:pt>
                      <c:pt idx="375">
                        <c:v>35921.244800306777</c:v>
                      </c:pt>
                      <c:pt idx="376">
                        <c:v>35077.120577509479</c:v>
                      </c:pt>
                      <c:pt idx="377">
                        <c:v>34214.200569809385</c:v>
                      </c:pt>
                      <c:pt idx="378">
                        <c:v>33332.442533440415</c:v>
                      </c:pt>
                      <c:pt idx="379">
                        <c:v>32431.794339836339</c:v>
                      </c:pt>
                      <c:pt idx="380">
                        <c:v>31512.194037626883</c:v>
                      </c:pt>
                      <c:pt idx="381">
                        <c:v>30573.569947812372</c:v>
                      </c:pt>
                      <c:pt idx="382">
                        <c:v>29615.84080812299</c:v>
                      </c:pt>
                      <c:pt idx="383">
                        <c:v>28638.915987328284</c:v>
                      </c:pt>
                      <c:pt idx="384">
                        <c:v>27642.695796573378</c:v>
                      </c:pt>
                      <c:pt idx="385">
                        <c:v>26627.071933222353</c:v>
                      </c:pt>
                      <c:pt idx="386">
                        <c:v>25591.928103935326</c:v>
                      </c:pt>
                      <c:pt idx="387">
                        <c:v>24537.140888838068</c:v>
                      </c:pt>
                      <c:pt idx="388">
                        <c:v>23462.580929127671</c:v>
                      </c:pt>
                      <c:pt idx="389">
                        <c:v>22368.114548369616</c:v>
                      </c:pt>
                      <c:pt idx="390">
                        <c:v>21253.605956039497</c:v>
                      </c:pt>
                      <c:pt idx="391">
                        <c:v>20118.920234801339</c:v>
                      </c:pt>
                      <c:pt idx="392">
                        <c:v>18963.927386760359</c:v>
                      </c:pt>
                      <c:pt idx="393">
                        <c:v>17788.507817488022</c:v>
                      </c:pt>
                      <c:pt idx="394">
                        <c:v>16592.559783246303</c:v>
                      </c:pt>
                      <c:pt idx="395">
                        <c:v>15376.009536165877</c:v>
                      </c:pt>
                      <c:pt idx="396">
                        <c:v>14138.825203376658</c:v>
                      </c:pt>
                      <c:pt idx="397">
                        <c:v>12881.035872831751</c:v>
                      </c:pt>
                      <c:pt idx="398">
                        <c:v>11602.757995677614</c:v>
                      </c:pt>
                      <c:pt idx="399">
                        <c:v>10304.232148092935</c:v>
                      </c:pt>
                      <c:pt idx="400">
                        <c:v>8985.8745619888341</c:v>
                      </c:pt>
                      <c:pt idx="401">
                        <c:v>7648.3498210235221</c:v>
                      </c:pt>
                      <c:pt idx="402">
                        <c:v>6292.6739502281916</c:v>
                      </c:pt>
                      <c:pt idx="403">
                        <c:v>4920.3609797167592</c:v>
                      </c:pt>
                      <c:pt idx="404">
                        <c:v>3533.6307589517623</c:v>
                      </c:pt>
                      <c:pt idx="405">
                        <c:v>2135.6999113688335</c:v>
                      </c:pt>
                      <c:pt idx="406">
                        <c:v>731.17627977052871</c:v>
                      </c:pt>
                      <c:pt idx="407">
                        <c:v>-673.44441484381605</c:v>
                      </c:pt>
                      <c:pt idx="408">
                        <c:v>-2069.2578341450144</c:v>
                      </c:pt>
                      <c:pt idx="409">
                        <c:v>-3444.6854006876656</c:v>
                      </c:pt>
                      <c:pt idx="410">
                        <c:v>-4786.148695347636</c:v>
                      </c:pt>
                      <c:pt idx="411">
                        <c:v>-6080.8961638954761</c:v>
                      </c:pt>
                      <c:pt idx="412">
                        <c:v>-7323.2161584857686</c:v>
                      </c:pt>
                      <c:pt idx="413">
                        <c:v>-8523.8380233283206</c:v>
                      </c:pt>
                      <c:pt idx="414">
                        <c:v>-9720.4160254858471</c:v>
                      </c:pt>
                      <c:pt idx="415">
                        <c:v>-10987.270227047909</c:v>
                      </c:pt>
                      <c:pt idx="416">
                        <c:v>-12429.707348818691</c:v>
                      </c:pt>
                      <c:pt idx="417">
                        <c:v>-14079.300794648912</c:v>
                      </c:pt>
                      <c:pt idx="418">
                        <c:v>-15787.958180520616</c:v>
                      </c:pt>
                      <c:pt idx="419">
                        <c:v>-17375.479725273901</c:v>
                      </c:pt>
                      <c:pt idx="420">
                        <c:v>-18770.469132609735</c:v>
                      </c:pt>
                      <c:pt idx="421">
                        <c:v>-19961.550826760904</c:v>
                      </c:pt>
                      <c:pt idx="422">
                        <c:v>-20957.534215991764</c:v>
                      </c:pt>
                      <c:pt idx="423">
                        <c:v>-21774.927278944469</c:v>
                      </c:pt>
                      <c:pt idx="424">
                        <c:v>-22432.918017612214</c:v>
                      </c:pt>
                      <c:pt idx="425">
                        <c:v>-22950.732675531439</c:v>
                      </c:pt>
                      <c:pt idx="426">
                        <c:v>-23346.25087504687</c:v>
                      </c:pt>
                      <c:pt idx="427">
                        <c:v>-23635.409126070655</c:v>
                      </c:pt>
                      <c:pt idx="428">
                        <c:v>-23832.068688036623</c:v>
                      </c:pt>
                      <c:pt idx="429">
                        <c:v>-23948.124430850472</c:v>
                      </c:pt>
                      <c:pt idx="430">
                        <c:v>-23993.717303833299</c:v>
                      </c:pt>
                      <c:pt idx="431">
                        <c:v>-23977.474719102727</c:v>
                      </c:pt>
                      <c:pt idx="432">
                        <c:v>-23906.741585402062</c:v>
                      </c:pt>
                      <c:pt idx="433">
                        <c:v>-23787.786381272377</c:v>
                      </c:pt>
                      <c:pt idx="434">
                        <c:v>-23625.977888621375</c:v>
                      </c:pt>
                      <c:pt idx="435">
                        <c:v>-23425.933526999841</c:v>
                      </c:pt>
                      <c:pt idx="436">
                        <c:v>-23191.642406300911</c:v>
                      </c:pt>
                      <c:pt idx="437">
                        <c:v>-22926.566823078985</c:v>
                      </c:pt>
                      <c:pt idx="438">
                        <c:v>-22633.725808162701</c:v>
                      </c:pt>
                      <c:pt idx="439">
                        <c:v>-22315.763924797164</c:v>
                      </c:pt>
                      <c:pt idx="440">
                        <c:v>-21975.008029315522</c:v>
                      </c:pt>
                      <c:pt idx="441">
                        <c:v>-21613.514236600691</c:v>
                      </c:pt>
                      <c:pt idx="442">
                        <c:v>-21233.106918260914</c:v>
                      </c:pt>
                      <c:pt idx="443">
                        <c:v>-20835.411212275321</c:v>
                      </c:pt>
                      <c:pt idx="444">
                        <c:v>-20421.880236029778</c:v>
                      </c:pt>
                      <c:pt idx="445">
                        <c:v>-19993.817962458637</c:v>
                      </c:pt>
                      <c:pt idx="446">
                        <c:v>-19552.398532568892</c:v>
                      </c:pt>
                      <c:pt idx="447">
                        <c:v>-19098.682628554558</c:v>
                      </c:pt>
                      <c:pt idx="448">
                        <c:v>-18633.631412705519</c:v>
                      </c:pt>
                      <c:pt idx="449">
                        <c:v>-18158.118442291339</c:v>
                      </c:pt>
                      <c:pt idx="450">
                        <c:v>-17672.939894617331</c:v>
                      </c:pt>
                      <c:pt idx="451">
                        <c:v>-17178.823375554719</c:v>
                      </c:pt>
                      <c:pt idx="452">
                        <c:v>-16676.435535906043</c:v>
                      </c:pt>
                      <c:pt idx="453">
                        <c:v>-16166.388680507762</c:v>
                      </c:pt>
                      <c:pt idx="454">
                        <c:v>-15649.246523047728</c:v>
                      </c:pt>
                      <c:pt idx="455">
                        <c:v>-15125.529213653517</c:v>
                      </c:pt>
                      <c:pt idx="456">
                        <c:v>-14595.717745182063</c:v>
                      </c:pt>
                      <c:pt idx="457">
                        <c:v>-14060.257826859806</c:v>
                      </c:pt>
                      <c:pt idx="458">
                        <c:v>-13519.563299733225</c:v>
                      </c:pt>
                      <c:pt idx="459">
                        <c:v>-12974.019156695726</c:v>
                      </c:pt>
                      <c:pt idx="460">
                        <c:v>-12423.984220184204</c:v>
                      </c:pt>
                      <c:pt idx="461">
                        <c:v>-11869.793522609007</c:v>
                      </c:pt>
                      <c:pt idx="462">
                        <c:v>-11311.76042789177</c:v>
                      </c:pt>
                      <c:pt idx="463">
                        <c:v>-10750.17852689384</c:v>
                      </c:pt>
                      <c:pt idx="464">
                        <c:v>-10185.32333482775</c:v>
                      </c:pt>
                      <c:pt idx="465">
                        <c:v>-9617.4538147972944</c:v>
                      </c:pt>
                      <c:pt idx="466">
                        <c:v>-9046.8137482798011</c:v>
                      </c:pt>
                      <c:pt idx="467">
                        <c:v>-8473.632970542476</c:v>
                      </c:pt>
                      <c:pt idx="468">
                        <c:v>-7898.128486588028</c:v>
                      </c:pt>
                      <c:pt idx="469">
                        <c:v>-7320.5054811830896</c:v>
                      </c:pt>
                      <c:pt idx="470">
                        <c:v>-6740.9582347786509</c:v>
                      </c:pt>
                      <c:pt idx="471">
                        <c:v>-6159.6709556374899</c:v>
                      </c:pt>
                      <c:pt idx="472">
                        <c:v>-5576.8185372000562</c:v>
                      </c:pt>
                      <c:pt idx="473">
                        <c:v>-4992.5672486148305</c:v>
                      </c:pt>
                      <c:pt idx="474">
                        <c:v>-4407.0753654048376</c:v>
                      </c:pt>
                      <c:pt idx="475">
                        <c:v>-3820.4937464159361</c:v>
                      </c:pt>
                      <c:pt idx="476">
                        <c:v>-3232.9663624758759</c:v>
                      </c:pt>
                      <c:pt idx="477">
                        <c:v>-2644.6307815699538</c:v>
                      </c:pt>
                      <c:pt idx="478">
                        <c:v>-2055.6186147959943</c:v>
                      </c:pt>
                      <c:pt idx="479">
                        <c:v>-1466.0559268870259</c:v>
                      </c:pt>
                      <c:pt idx="480">
                        <c:v>-876.06361467484408</c:v>
                      </c:pt>
                      <c:pt idx="481">
                        <c:v>-285.7577565035146</c:v>
                      </c:pt>
                      <c:pt idx="482">
                        <c:v>304.75006471813128</c:v>
                      </c:pt>
                      <c:pt idx="483">
                        <c:v>895.3524624177162</c:v>
                      </c:pt>
                      <c:pt idx="484">
                        <c:v>1485.9459690555104</c:v>
                      </c:pt>
                      <c:pt idx="485">
                        <c:v>2076.4307786765144</c:v>
                      </c:pt>
                      <c:pt idx="486">
                        <c:v>2666.7105075738054</c:v>
                      </c:pt>
                      <c:pt idx="487">
                        <c:v>3256.6919714909754</c:v>
                      </c:pt>
                      <c:pt idx="488">
                        <c:v>3846.2849779446769</c:v>
                      </c:pt>
                      <c:pt idx="489">
                        <c:v>4435.4021323845782</c:v>
                      </c:pt>
                      <c:pt idx="490">
                        <c:v>5023.9586570294823</c:v>
                      </c:pt>
                      <c:pt idx="491">
                        <c:v>5611.872221326752</c:v>
                      </c:pt>
                      <c:pt idx="492">
                        <c:v>6199.0627830790472</c:v>
                      </c:pt>
                      <c:pt idx="493">
                        <c:v>6785.4524393690681</c:v>
                      </c:pt>
                      <c:pt idx="494">
                        <c:v>7370.9652864907221</c:v>
                      </c:pt>
                      <c:pt idx="495">
                        <c:v>7955.5272881648179</c:v>
                      </c:pt>
                      <c:pt idx="496">
                        <c:v>8539.066151380066</c:v>
                      </c:pt>
                      <c:pt idx="497">
                        <c:v>9121.5112092564996</c:v>
                      </c:pt>
                      <c:pt idx="498">
                        <c:v>9702.7933103791929</c:v>
                      </c:pt>
                      <c:pt idx="499">
                        <c:v>10282.844714095902</c:v>
                      </c:pt>
                      <c:pt idx="500">
                        <c:v>10861.598991313544</c:v>
                      </c:pt>
                      <c:pt idx="501">
                        <c:v>11438.990930365744</c:v>
                      </c:pt>
                      <c:pt idx="502">
                        <c:v>12014.956447557402</c:v>
                      </c:pt>
                      <c:pt idx="503">
                        <c:v>12589.432502022728</c:v>
                      </c:pt>
                      <c:pt idx="504">
                        <c:v>13162.357014560863</c:v>
                      </c:pt>
                      <c:pt idx="505">
                        <c:v>13733.668790138219</c:v>
                      </c:pt>
                      <c:pt idx="506">
                        <c:v>14303.307443769378</c:v>
                      </c:pt>
                      <c:pt idx="507">
                        <c:v>14871.213329508977</c:v>
                      </c:pt>
                      <c:pt idx="508">
                        <c:v>15437.327472305684</c:v>
                      </c:pt>
                      <c:pt idx="509">
                        <c:v>16001.591502486308</c:v>
                      </c:pt>
                      <c:pt idx="510">
                        <c:v>16563.947592653494</c:v>
                      </c:pt>
                      <c:pt idx="511">
                        <c:v>17124.338396794345</c:v>
                      </c:pt>
                      <c:pt idx="512">
                        <c:v>17682.706991410036</c:v>
                      </c:pt>
                      <c:pt idx="513">
                        <c:v>18238.996818487853</c:v>
                      </c:pt>
                      <c:pt idx="514">
                        <c:v>18793.151630147582</c:v>
                      </c:pt>
                      <c:pt idx="515">
                        <c:v>19345.115434803422</c:v>
                      </c:pt>
                      <c:pt idx="516">
                        <c:v>19894.832444691172</c:v>
                      </c:pt>
                      <c:pt idx="517">
                        <c:v>20442.247024617995</c:v>
                      </c:pt>
                      <c:pt idx="518">
                        <c:v>20987.303641798902</c:v>
                      </c:pt>
                      <c:pt idx="519">
                        <c:v>21529.946816650292</c:v>
                      </c:pt>
                      <c:pt idx="520">
                        <c:v>22070.121074416224</c:v>
                      </c:pt>
                      <c:pt idx="521">
                        <c:v>22607.770897507969</c:v>
                      </c:pt>
                      <c:pt idx="522">
                        <c:v>23142.840678441662</c:v>
                      </c:pt>
                      <c:pt idx="523">
                        <c:v>23675.274673262429</c:v>
                      </c:pt>
                      <c:pt idx="524">
                        <c:v>24205.016955346659</c:v>
                      </c:pt>
                      <c:pt idx="525">
                        <c:v>24732.011369476604</c:v>
                      </c:pt>
                      <c:pt idx="526">
                        <c:v>25256.201486083784</c:v>
                      </c:pt>
                      <c:pt idx="527">
                        <c:v>25777.530555559304</c:v>
                      </c:pt>
                      <c:pt idx="528">
                        <c:v>26295.941462530533</c:v>
                      </c:pt>
                      <c:pt idx="529">
                        <c:v>26811.376680004378</c:v>
                      </c:pt>
                      <c:pt idx="530">
                        <c:v>27323.778223277834</c:v>
                      </c:pt>
                      <c:pt idx="531">
                        <c:v>27833.087603516531</c:v>
                      </c:pt>
                      <c:pt idx="532">
                        <c:v>28339.24578090155</c:v>
                      </c:pt>
                      <c:pt idx="533">
                        <c:v>28842.193117243936</c:v>
                      </c:pt>
                      <c:pt idx="534">
                        <c:v>29341.869327965214</c:v>
                      </c:pt>
                      <c:pt idx="535">
                        <c:v>29838.213433340417</c:v>
                      </c:pt>
                      <c:pt idx="536">
                        <c:v>30331.16370889817</c:v>
                      </c:pt>
                      <c:pt idx="537">
                        <c:v>30820.657634869778</c:v>
                      </c:pt>
                      <c:pt idx="538">
                        <c:v>31306.631844576357</c:v>
                      </c:pt>
                      <c:pt idx="539">
                        <c:v>31789.022071639523</c:v>
                      </c:pt>
                      <c:pt idx="540">
                        <c:v>32267.76309589732</c:v>
                      </c:pt>
                      <c:pt idx="541">
                        <c:v>32742.788687902539</c:v>
                      </c:pt>
                      <c:pt idx="542">
                        <c:v>33214.031551875611</c:v>
                      </c:pt>
                      <c:pt idx="543">
                        <c:v>33681.423266978709</c:v>
                      </c:pt>
                      <c:pt idx="544">
                        <c:v>34144.89422677159</c:v>
                      </c:pt>
                      <c:pt idx="545">
                        <c:v>34604.373576702666</c:v>
                      </c:pt>
                      <c:pt idx="546">
                        <c:v>35059.789149481636</c:v>
                      </c:pt>
                      <c:pt idx="547">
                        <c:v>35511.067398171333</c:v>
                      </c:pt>
                      <c:pt idx="548">
                        <c:v>35958.133326827832</c:v>
                      </c:pt>
                      <c:pt idx="549">
                        <c:v>36400.910418507512</c:v>
                      </c:pt>
                      <c:pt idx="550">
                        <c:v>36839.320560449232</c:v>
                      </c:pt>
                      <c:pt idx="551">
                        <c:v>37273.283966227791</c:v>
                      </c:pt>
                      <c:pt idx="552">
                        <c:v>37702.719094661814</c:v>
                      </c:pt>
                      <c:pt idx="553">
                        <c:v>38127.542565245116</c:v>
                      </c:pt>
                      <c:pt idx="554">
                        <c:v>38547.669069855168</c:v>
                      </c:pt>
                      <c:pt idx="555">
                        <c:v>38963.011280475257</c:v>
                      </c:pt>
                      <c:pt idx="556">
                        <c:v>39373.479752648571</c:v>
                      </c:pt>
                      <c:pt idx="557">
                        <c:v>39778.982824362232</c:v>
                      </c:pt>
                      <c:pt idx="558">
                        <c:v>40179.426510037272</c:v>
                      </c:pt>
                      <c:pt idx="559">
                        <c:v>40574.714389276436</c:v>
                      </c:pt>
                      <c:pt idx="560">
                        <c:v>40964.747489995243</c:v>
                      </c:pt>
                      <c:pt idx="561">
                        <c:v>41349.424165532932</c:v>
                      </c:pt>
                      <c:pt idx="562">
                        <c:v>41728.639965308284</c:v>
                      </c:pt>
                      <c:pt idx="563">
                        <c:v>42102.287498550431</c:v>
                      </c:pt>
                      <c:pt idx="564">
                        <c:v>42470.256290596852</c:v>
                      </c:pt>
                      <c:pt idx="565">
                        <c:v>42832.432631208816</c:v>
                      </c:pt>
                      <c:pt idx="566">
                        <c:v>43188.699414308474</c:v>
                      </c:pt>
                      <c:pt idx="567">
                        <c:v>43538.935968491227</c:v>
                      </c:pt>
                      <c:pt idx="568">
                        <c:v>43883.017877611121</c:v>
                      </c:pt>
                      <c:pt idx="569">
                        <c:v>44220.816790675453</c:v>
                      </c:pt>
                      <c:pt idx="570">
                        <c:v>44552.200220216779</c:v>
                      </c:pt>
                      <c:pt idx="571">
                        <c:v>44877.03132823536</c:v>
                      </c:pt>
                      <c:pt idx="572">
                        <c:v>45195.168698721754</c:v>
                      </c:pt>
                      <c:pt idx="573">
                        <c:v>45506.466095677111</c:v>
                      </c:pt>
                      <c:pt idx="574">
                        <c:v>45810.772205446206</c:v>
                      </c:pt>
                      <c:pt idx="575">
                        <c:v>46107.930362064464</c:v>
                      </c:pt>
                      <c:pt idx="576">
                        <c:v>46397.778254193494</c:v>
                      </c:pt>
                      <c:pt idx="577">
                        <c:v>46680.147612078355</c:v>
                      </c:pt>
                      <c:pt idx="578">
                        <c:v>46954.863872802198</c:v>
                      </c:pt>
                      <c:pt idx="579">
                        <c:v>47221.745821937373</c:v>
                      </c:pt>
                      <c:pt idx="580">
                        <c:v>47480.60520949481</c:v>
                      </c:pt>
                      <c:pt idx="581">
                        <c:v>47731.246337851713</c:v>
                      </c:pt>
                      <c:pt idx="582">
                        <c:v>47973.465619088762</c:v>
                      </c:pt>
                      <c:pt idx="583">
                        <c:v>48207.051098887569</c:v>
                      </c:pt>
                      <c:pt idx="584">
                        <c:v>48431.781943823044</c:v>
                      </c:pt>
                      <c:pt idx="585">
                        <c:v>48647.427888528007</c:v>
                      </c:pt>
                      <c:pt idx="586">
                        <c:v>48853.748638803081</c:v>
                      </c:pt>
                      <c:pt idx="587">
                        <c:v>49050.493226285755</c:v>
                      </c:pt>
                      <c:pt idx="588">
                        <c:v>49237.39930977123</c:v>
                      </c:pt>
                      <c:pt idx="589">
                        <c:v>49414.192417683247</c:v>
                      </c:pt>
                      <c:pt idx="590">
                        <c:v>49580.585125514677</c:v>
                      </c:pt>
                      <c:pt idx="591">
                        <c:v>49736.276161281363</c:v>
                      </c:pt>
                      <c:pt idx="592">
                        <c:v>49880.949431142159</c:v>
                      </c:pt>
                      <c:pt idx="593">
                        <c:v>50014.272956314278</c:v>
                      </c:pt>
                      <c:pt idx="594">
                        <c:v>50135.897711232625</c:v>
                      </c:pt>
                      <c:pt idx="595">
                        <c:v>50245.456351537985</c:v>
                      </c:pt>
                      <c:pt idx="596">
                        <c:v>50342.561818898015</c:v>
                      </c:pt>
                      <c:pt idx="597">
                        <c:v>50426.805807828299</c:v>
                      </c:pt>
                      <c:pt idx="598">
                        <c:v>50497.757077539929</c:v>
                      </c:pt>
                      <c:pt idx="599">
                        <c:v>50554.959589338017</c:v>
                      </c:pt>
                      <c:pt idx="600">
                        <c:v>50597.930447161489</c:v>
                      </c:pt>
                      <c:pt idx="601">
                        <c:v>50626.157615403667</c:v>
                      </c:pt>
                      <c:pt idx="602">
                        <c:v>50639.097384080174</c:v>
                      </c:pt>
                      <c:pt idx="603">
                        <c:v>50636.171546587684</c:v>
                      </c:pt>
                      <c:pt idx="604">
                        <c:v>50616.764249564498</c:v>
                      </c:pt>
                      <c:pt idx="605">
                        <c:v>50580.218467526298</c:v>
                      </c:pt>
                      <c:pt idx="606">
                        <c:v>50525.832046762065</c:v>
                      </c:pt>
                      <c:pt idx="607">
                        <c:v>50452.853253131441</c:v>
                      </c:pt>
                      <c:pt idx="608">
                        <c:v>50360.475746521253</c:v>
                      </c:pt>
                      <c:pt idx="609">
                        <c:v>50247.832890312282</c:v>
                      </c:pt>
                      <c:pt idx="610">
                        <c:v>50113.991286664539</c:v>
                      </c:pt>
                      <c:pt idx="611">
                        <c:v>49957.943406969804</c:v>
                      </c:pt>
                      <c:pt idx="612">
                        <c:v>49778.599160446232</c:v>
                      </c:pt>
                      <c:pt idx="613">
                        <c:v>49574.776211278288</c:v>
                      </c:pt>
                      <c:pt idx="614">
                        <c:v>49345.188814279521</c:v>
                      </c:pt>
                      <c:pt idx="615">
                        <c:v>49088.434888625787</c:v>
                      </c:pt>
                      <c:pt idx="616">
                        <c:v>48802.980985970782</c:v>
                      </c:pt>
                      <c:pt idx="617">
                        <c:v>48487.144729547457</c:v>
                      </c:pt>
                      <c:pt idx="618">
                        <c:v>48139.074199860894</c:v>
                      </c:pt>
                      <c:pt idx="619">
                        <c:v>47756.723613948561</c:v>
                      </c:pt>
                      <c:pt idx="620">
                        <c:v>47337.824480553223</c:v>
                      </c:pt>
                      <c:pt idx="621">
                        <c:v>46879.851201890895</c:v>
                      </c:pt>
                      <c:pt idx="622">
                        <c:v>46379.979819501204</c:v>
                      </c:pt>
                      <c:pt idx="623">
                        <c:v>45835.038248041405</c:v>
                      </c:pt>
                      <c:pt idx="624">
                        <c:v>45241.445882580119</c:v>
                      </c:pt>
                      <c:pt idx="625">
                        <c:v>44595.139871769985</c:v>
                      </c:pt>
                      <c:pt idx="626">
                        <c:v>43891.484585755956</c:v>
                      </c:pt>
                      <c:pt idx="627">
                        <c:v>43125.159837082188</c:v>
                      </c:pt>
                      <c:pt idx="628">
                        <c:v>42290.022209381263</c:v>
                      </c:pt>
                      <c:pt idx="629">
                        <c:v>41378.932428136774</c:v>
                      </c:pt>
                      <c:pt idx="630">
                        <c:v>40383.540200061383</c:v>
                      </c:pt>
                      <c:pt idx="631">
                        <c:v>39294.016758817728</c:v>
                      </c:pt>
                      <c:pt idx="632">
                        <c:v>38098.725523233144</c:v>
                      </c:pt>
                      <c:pt idx="633">
                        <c:v>36783.825226681271</c:v>
                      </c:pt>
                      <c:pt idx="634">
                        <c:v>35332.812971196414</c:v>
                      </c:pt>
                      <c:pt idx="635">
                        <c:v>33726.048094002479</c:v>
                      </c:pt>
                      <c:pt idx="636">
                        <c:v>31940.373095595343</c:v>
                      </c:pt>
                      <c:pt idx="637">
                        <c:v>29949.10062228384</c:v>
                      </c:pt>
                      <c:pt idx="638">
                        <c:v>27722.901866583587</c:v>
                      </c:pt>
                      <c:pt idx="639">
                        <c:v>25232.468431799436</c:v>
                      </c:pt>
                      <c:pt idx="640">
                        <c:v>22453.868953497884</c:v>
                      </c:pt>
                      <c:pt idx="641">
                        <c:v>19376.338079371832</c:v>
                      </c:pt>
                      <c:pt idx="642">
                        <c:v>16009.034209380043</c:v>
                      </c:pt>
                      <c:pt idx="643">
                        <c:v>12380.473673633247</c:v>
                      </c:pt>
                      <c:pt idx="644">
                        <c:v>8527.8266400379653</c:v>
                      </c:pt>
                      <c:pt idx="645">
                        <c:v>4482.0863640939842</c:v>
                      </c:pt>
                      <c:pt idx="646">
                        <c:v>256.1421762517021</c:v>
                      </c:pt>
                      <c:pt idx="647">
                        <c:v>-4166.1736352326407</c:v>
                      </c:pt>
                      <c:pt idx="648">
                        <c:v>-8829.3669567652996</c:v>
                      </c:pt>
                      <c:pt idx="649">
                        <c:v>-13738.956867091612</c:v>
                      </c:pt>
                      <c:pt idx="650">
                        <c:v>-18746.928213996354</c:v>
                      </c:pt>
                      <c:pt idx="651">
                        <c:v>-23614.264002914355</c:v>
                      </c:pt>
                      <c:pt idx="652">
                        <c:v>-28200.919703323034</c:v>
                      </c:pt>
                      <c:pt idx="653">
                        <c:v>-32493.263344660019</c:v>
                      </c:pt>
                      <c:pt idx="654">
                        <c:v>-36525.226881039656</c:v>
                      </c:pt>
                      <c:pt idx="655">
                        <c:v>-40335.94366512799</c:v>
                      </c:pt>
                      <c:pt idx="656">
                        <c:v>-43958.867773550272</c:v>
                      </c:pt>
                      <c:pt idx="657">
                        <c:v>-47420.76464918346</c:v>
                      </c:pt>
                      <c:pt idx="658">
                        <c:v>-50742.839926294087</c:v>
                      </c:pt>
                      <c:pt idx="659">
                        <c:v>-53942.023579849687</c:v>
                      </c:pt>
                      <c:pt idx="660">
                        <c:v>-57032.008882196045</c:v>
                      </c:pt>
                      <c:pt idx="661">
                        <c:v>-60024.02792751987</c:v>
                      </c:pt>
                      <c:pt idx="662">
                        <c:v>-62927.419490996836</c:v>
                      </c:pt>
                      <c:pt idx="663">
                        <c:v>-65750.045581393686</c:v>
                      </c:pt>
                      <c:pt idx="664">
                        <c:v>-68498.600040151141</c:v>
                      </c:pt>
                      <c:pt idx="665">
                        <c:v>-71178.840133142847</c:v>
                      </c:pt>
                      <c:pt idx="666">
                        <c:v>-73795.762752295559</c:v>
                      </c:pt>
                      <c:pt idx="667">
                        <c:v>-76353.740302950071</c:v>
                      </c:pt>
                      <c:pt idx="668">
                        <c:v>-78856.626864174803</c:v>
                      </c:pt>
                      <c:pt idx="669">
                        <c:v>-81307.842137214218</c:v>
                      </c:pt>
                      <c:pt idx="670">
                        <c:v>-83710.438582499657</c:v>
                      </c:pt>
                      <c:pt idx="671">
                        <c:v>-86067.15567561709</c:v>
                      </c:pt>
                      <c:pt idx="672">
                        <c:v>-88380.464178942842</c:v>
                      </c:pt>
                      <c:pt idx="673">
                        <c:v>-90652.602589930801</c:v>
                      </c:pt>
                      <c:pt idx="674">
                        <c:v>-92885.607396962863</c:v>
                      </c:pt>
                      <c:pt idx="675">
                        <c:v>-95081.338387199212</c:v>
                      </c:pt>
                      <c:pt idx="676">
                        <c:v>-97241.499965837327</c:v>
                      </c:pt>
                      <c:pt idx="677">
                        <c:v>-99367.659233667146</c:v>
                      </c:pt>
                      <c:pt idx="678">
                        <c:v>-101461.26140969388</c:v>
                      </c:pt>
                      <c:pt idx="679">
                        <c:v>-103523.64306377577</c:v>
                      </c:pt>
                      <c:pt idx="680">
                        <c:v>-105556.04353066791</c:v>
                      </c:pt>
                      <c:pt idx="681">
                        <c:v>-107559.61480438284</c:v>
                      </c:pt>
                      <c:pt idx="682">
                        <c:v>-109535.43015515886</c:v>
                      </c:pt>
                      <c:pt idx="683">
                        <c:v>-111484.49166675024</c:v>
                      </c:pt>
                      <c:pt idx="684">
                        <c:v>-113407.73685639759</c:v>
                      </c:pt>
                      <c:pt idx="685">
                        <c:v>-115306.04451159781</c:v>
                      </c:pt>
                      <c:pt idx="686">
                        <c:v>-117180.2398550896</c:v>
                      </c:pt>
                      <c:pt idx="687">
                        <c:v>-119031.09913110231</c:v>
                      </c:pt>
                      <c:pt idx="688">
                        <c:v>-120859.35369096704</c:v>
                      </c:pt>
                      <c:pt idx="689">
                        <c:v>-122665.69364395487</c:v>
                      </c:pt>
                      <c:pt idx="690">
                        <c:v>-124450.77112914016</c:v>
                      </c:pt>
                      <c:pt idx="691">
                        <c:v>-126215.20325576198</c:v>
                      </c:pt>
                      <c:pt idx="692">
                        <c:v>-127959.574752639</c:v>
                      </c:pt>
                      <c:pt idx="693">
                        <c:v>-129684.44036141782</c:v>
                      </c:pt>
                      <c:pt idx="694">
                        <c:v>-131390.32700359239</c:v>
                      </c:pt>
                      <c:pt idx="695">
                        <c:v>-133077.7357471555</c:v>
                      </c:pt>
                      <c:pt idx="696">
                        <c:v>-134747.14359529564</c:v>
                      </c:pt>
                      <c:pt idx="697">
                        <c:v>-136399.00511662939</c:v>
                      </c:pt>
                      <c:pt idx="698">
                        <c:v>-138033.75393396718</c:v>
                      </c:pt>
                      <c:pt idx="699">
                        <c:v>-139651.80408648268</c:v>
                      </c:pt>
                      <c:pt idx="700">
                        <c:v>-141253.55127832931</c:v>
                      </c:pt>
                      <c:pt idx="701">
                        <c:v>-142839.37402517867</c:v>
                      </c:pt>
                      <c:pt idx="702">
                        <c:v>-144409.63470879884</c:v>
                      </c:pt>
                      <c:pt idx="703">
                        <c:v>-145964.68054861907</c:v>
                      </c:pt>
                      <c:pt idx="704">
                        <c:v>-147504.84449820896</c:v>
                      </c:pt>
                      <c:pt idx="705">
                        <c:v>-149030.446073714</c:v>
                      </c:pt>
                      <c:pt idx="706">
                        <c:v>-150541.79212051746</c:v>
                      </c:pt>
                      <c:pt idx="707">
                        <c:v>-152039.17752372116</c:v>
                      </c:pt>
                      <c:pt idx="708">
                        <c:v>-153522.88586744547</c:v>
                      </c:pt>
                      <c:pt idx="709">
                        <c:v>-154993.19004742763</c:v>
                      </c:pt>
                      <c:pt idx="710">
                        <c:v>-156450.35284093776</c:v>
                      </c:pt>
                      <c:pt idx="711">
                        <c:v>-157894.62743762715</c:v>
                      </c:pt>
                      <c:pt idx="712">
                        <c:v>-159326.25793456426</c:v>
                      </c:pt>
                      <c:pt idx="713">
                        <c:v>-160745.47979839591</c:v>
                      </c:pt>
                      <c:pt idx="714">
                        <c:v>-162152.52029728881</c:v>
                      </c:pt>
                      <c:pt idx="715">
                        <c:v>-163547.59890505474</c:v>
                      </c:pt>
                      <c:pt idx="716">
                        <c:v>-164930.92767963879</c:v>
                      </c:pt>
                      <c:pt idx="717">
                        <c:v>-166302.71161794954</c:v>
                      </c:pt>
                      <c:pt idx="718">
                        <c:v>-167663.14898883083</c:v>
                      </c:pt>
                      <c:pt idx="719">
                        <c:v>-169012.43164581433</c:v>
                      </c:pt>
                      <c:pt idx="720">
                        <c:v>-170350.7453211472</c:v>
                      </c:pt>
                      <c:pt idx="721">
                        <c:v>-171678.26990246039</c:v>
                      </c:pt>
                      <c:pt idx="722">
                        <c:v>-172995.17969332539</c:v>
                      </c:pt>
                      <c:pt idx="723">
                        <c:v>-174301.64365884205</c:v>
                      </c:pt>
                      <c:pt idx="724">
                        <c:v>-175597.82565730534</c:v>
                      </c:pt>
                      <c:pt idx="725">
                        <c:v>-176883.88465891246</c:v>
                      </c:pt>
                      <c:pt idx="726">
                        <c:v>-178159.97495239327</c:v>
                      </c:pt>
                      <c:pt idx="727">
                        <c:v>-179426.24634037711</c:v>
                      </c:pt>
                      <c:pt idx="728">
                        <c:v>-180682.84432424424</c:v>
                      </c:pt>
                      <c:pt idx="729">
                        <c:v>-181929.91027915187</c:v>
                      </c:pt>
                      <c:pt idx="730">
                        <c:v>-183167.58161987117</c:v>
                      </c:pt>
                      <c:pt idx="731">
                        <c:v>-184395.99195802404</c:v>
                      </c:pt>
                      <c:pt idx="732">
                        <c:v>-185615.27125126289</c:v>
                      </c:pt>
                      <c:pt idx="733">
                        <c:v>-186825.54594489755</c:v>
                      </c:pt>
                      <c:pt idx="734">
                        <c:v>-188026.93910643511</c:v>
                      </c:pt>
                      <c:pt idx="735">
                        <c:v>-189219.57055346586</c:v>
                      </c:pt>
                      <c:pt idx="736">
                        <c:v>-190403.55697529644</c:v>
                      </c:pt>
                      <c:pt idx="737">
                        <c:v>-191579.0120487033</c:v>
                      </c:pt>
                      <c:pt idx="738">
                        <c:v>-192746.04654815339</c:v>
                      </c:pt>
                      <c:pt idx="739">
                        <c:v>-193904.76845081482</c:v>
                      </c:pt>
                      <c:pt idx="740">
                        <c:v>-195055.28303665787</c:v>
                      </c:pt>
                      <c:pt idx="741">
                        <c:v>-196197.69298392674</c:v>
                      </c:pt>
                      <c:pt idx="742">
                        <c:v>-197332.09846024337</c:v>
                      </c:pt>
                      <c:pt idx="743">
                        <c:v>-198458.59720958714</c:v>
                      </c:pt>
                      <c:pt idx="744">
                        <c:v>-199577.28463537857</c:v>
                      </c:pt>
                      <c:pt idx="745">
                        <c:v>-200688.2538798801</c:v>
                      </c:pt>
                      <c:pt idx="746">
                        <c:v>-201791.59590011326</c:v>
                      </c:pt>
                      <c:pt idx="747">
                        <c:v>-202887.39954047886</c:v>
                      </c:pt>
                      <c:pt idx="748">
                        <c:v>-203975.75160225513</c:v>
                      </c:pt>
                      <c:pt idx="749">
                        <c:v>-205056.7369101379</c:v>
                      </c:pt>
                      <c:pt idx="750">
                        <c:v>-206130.43837597637</c:v>
                      </c:pt>
                      <c:pt idx="751">
                        <c:v>-207196.93705984898</c:v>
                      </c:pt>
                      <c:pt idx="752">
                        <c:v>-208256.31222861519</c:v>
                      </c:pt>
                      <c:pt idx="753">
                        <c:v>-209308.64141207034</c:v>
                      </c:pt>
                      <c:pt idx="754">
                        <c:v>-210354.00045682356</c:v>
                      </c:pt>
                      <c:pt idx="755">
                        <c:v>-211392.4635780119</c:v>
                      </c:pt>
                      <c:pt idx="756">
                        <c:v>-212424.10340895629</c:v>
                      </c:pt>
                      <c:pt idx="757">
                        <c:v>-213448.99104886007</c:v>
                      </c:pt>
                      <c:pt idx="758">
                        <c:v>-214467.19610864393</c:v>
                      </c:pt>
                      <c:pt idx="759">
                        <c:v>-215478.7867550065</c:v>
                      </c:pt>
                      <c:pt idx="760">
                        <c:v>-216483.82975279473</c:v>
                      </c:pt>
                      <c:pt idx="761">
                        <c:v>-217482.39050576277</c:v>
                      </c:pt>
                      <c:pt idx="762">
                        <c:v>-218474.53309579496</c:v>
                      </c:pt>
                      <c:pt idx="763">
                        <c:v>-219460.32032066333</c:v>
                      </c:pt>
                      <c:pt idx="764">
                        <c:v>-220439.81373038652</c:v>
                      </c:pt>
                      <c:pt idx="765">
                        <c:v>-221413.07366225374</c:v>
                      </c:pt>
                      <c:pt idx="766">
                        <c:v>-222380.1592745735</c:v>
                      </c:pt>
                      <c:pt idx="767">
                        <c:v>-223341.12857920394</c:v>
                      </c:pt>
                      <c:pt idx="768">
                        <c:v>-224296.03847291868</c:v>
                      </c:pt>
                      <c:pt idx="769">
                        <c:v>-225244.94476765901</c:v>
                      </c:pt>
                      <c:pt idx="770">
                        <c:v>-226187.90221972097</c:v>
                      </c:pt>
                      <c:pt idx="771">
                        <c:v>-227124.96455792306</c:v>
                      </c:pt>
                      <c:pt idx="772">
                        <c:v>-228056.18451079811</c:v>
                      </c:pt>
                      <c:pt idx="773">
                        <c:v>-228981.61383285088</c:v>
                      </c:pt>
                      <c:pt idx="774">
                        <c:v>-229901.3033299204</c:v>
                      </c:pt>
                      <c:pt idx="775">
                        <c:v>-230815.30288368464</c:v>
                      </c:pt>
                      <c:pt idx="776">
                        <c:v>-231723.6614753429</c:v>
                      </c:pt>
                      <c:pt idx="777">
                        <c:v>-232626.42720850959</c:v>
                      </c:pt>
                      <c:pt idx="778">
                        <c:v>-233523.64733135168</c:v>
                      </c:pt>
                      <c:pt idx="779">
                        <c:v>-234415.36825800041</c:v>
                      </c:pt>
                      <c:pt idx="780">
                        <c:v>-235301.63558926622</c:v>
                      </c:pt>
                      <c:pt idx="781">
                        <c:v>-236182.49413268481</c:v>
                      </c:pt>
                      <c:pt idx="782">
                        <c:v>-237057.98792192072</c:v>
                      </c:pt>
                      <c:pt idx="783">
                        <c:v>-237928.16023555357</c:v>
                      </c:pt>
                      <c:pt idx="784">
                        <c:v>-238793.05361527123</c:v>
                      </c:pt>
                      <c:pt idx="785">
                        <c:v>-239652.70988349241</c:v>
                      </c:pt>
                      <c:pt idx="786">
                        <c:v>-240507.17016044102</c:v>
                      </c:pt>
                      <c:pt idx="787">
                        <c:v>-241356.47488069299</c:v>
                      </c:pt>
                      <c:pt idx="788">
                        <c:v>-242200.66380921539</c:v>
                      </c:pt>
                      <c:pt idx="789">
                        <c:v>-243039.77605691727</c:v>
                      </c:pt>
                      <c:pt idx="790">
                        <c:v>-243873.85009572995</c:v>
                      </c:pt>
                      <c:pt idx="791">
                        <c:v>-244702.92377323462</c:v>
                      </c:pt>
                      <c:pt idx="792">
                        <c:v>-245527.03432685358</c:v>
                      </c:pt>
                      <c:pt idx="793">
                        <c:v>-246346.2183976213</c:v>
                      </c:pt>
                      <c:pt idx="794">
                        <c:v>-247160.51204355044</c:v>
                      </c:pt>
                      <c:pt idx="795">
                        <c:v>-247969.95075260717</c:v>
                      </c:pt>
                      <c:pt idx="796">
                        <c:v>-248774.56945531035</c:v>
                      </c:pt>
                      <c:pt idx="797">
                        <c:v>-249574.40253696733</c:v>
                      </c:pt>
                      <c:pt idx="798">
                        <c:v>-250369.48384955953</c:v>
                      </c:pt>
                      <c:pt idx="799">
                        <c:v>-251159.84672329007</c:v>
                      </c:pt>
                      <c:pt idx="800">
                        <c:v>-251945.52397780502</c:v>
                      </c:pt>
                      <c:pt idx="801">
                        <c:v>-252726.54793309973</c:v>
                      </c:pt>
                      <c:pt idx="802">
                        <c:v>-253502.95042012125</c:v>
                      </c:pt>
                      <c:pt idx="803">
                        <c:v>-254274.76279107662</c:v>
                      </c:pt>
                      <c:pt idx="804">
                        <c:v>-255042.01592945767</c:v>
                      </c:pt>
                      <c:pt idx="805">
                        <c:v>-255804.74025979155</c:v>
                      </c:pt>
                      <c:pt idx="806">
                        <c:v>-256562.96575712613</c:v>
                      </c:pt>
                      <c:pt idx="807">
                        <c:v>-257316.72195625943</c:v>
                      </c:pt>
                      <c:pt idx="808">
                        <c:v>-258066.03796072101</c:v>
                      </c:pt>
                      <c:pt idx="809">
                        <c:v>-258810.94245151404</c:v>
                      </c:pt>
                      <c:pt idx="810">
                        <c:v>-259551.46369562557</c:v>
                      </c:pt>
                      <c:pt idx="811">
                        <c:v>-260287.62955431244</c:v>
                      </c:pt>
                      <c:pt idx="812">
                        <c:v>-261019.46749117036</c:v>
                      </c:pt>
                      <c:pt idx="813">
                        <c:v>-261747.00457999279</c:v>
                      </c:pt>
                      <c:pt idx="814">
                        <c:v>-262470.26751242671</c:v>
                      </c:pt>
                      <c:pt idx="815">
                        <c:v>-263189.28260543128</c:v>
                      </c:pt>
                      <c:pt idx="816">
                        <c:v>-263904.07580854598</c:v>
                      </c:pt>
                      <c:pt idx="817">
                        <c:v>-264614.67271097377</c:v>
                      </c:pt>
                      <c:pt idx="818">
                        <c:v>-265321.09854848566</c:v>
                      </c:pt>
                      <c:pt idx="819">
                        <c:v>-266023.37821015145</c:v>
                      </c:pt>
                      <c:pt idx="820">
                        <c:v>-266721.53624490282</c:v>
                      </c:pt>
                      <c:pt idx="821">
                        <c:v>-267415.59686793294</c:v>
                      </c:pt>
                      <c:pt idx="822">
                        <c:v>-268105.58396693843</c:v>
                      </c:pt>
                      <c:pt idx="823">
                        <c:v>-268791.52110820822</c:v>
                      </c:pt>
                      <c:pt idx="824">
                        <c:v>-269473.43154256331</c:v>
                      </c:pt>
                      <c:pt idx="825">
                        <c:v>-270151.33821115276</c:v>
                      </c:pt>
                      <c:pt idx="826">
                        <c:v>-270825.2637511096</c:v>
                      </c:pt>
                      <c:pt idx="827">
                        <c:v>-271495.23050107114</c:v>
                      </c:pt>
                      <c:pt idx="828">
                        <c:v>-272161.26050656725</c:v>
                      </c:pt>
                      <c:pt idx="829">
                        <c:v>-272823.37552528118</c:v>
                      </c:pt>
                      <c:pt idx="830">
                        <c:v>-273481.59703218553</c:v>
                      </c:pt>
                      <c:pt idx="831">
                        <c:v>-274135.94622455823</c:v>
                      </c:pt>
                      <c:pt idx="832">
                        <c:v>-274786.44402688096</c:v>
                      </c:pt>
                      <c:pt idx="833">
                        <c:v>-275433.1110956241</c:v>
                      </c:pt>
                      <c:pt idx="834">
                        <c:v>-276075.96782392089</c:v>
                      </c:pt>
                      <c:pt idx="835">
                        <c:v>-276715.03434613417</c:v>
                      </c:pt>
                      <c:pt idx="836">
                        <c:v>-277350.33054231876</c:v>
                      </c:pt>
                      <c:pt idx="837">
                        <c:v>-277981.87604258244</c:v>
                      </c:pt>
                      <c:pt idx="838">
                        <c:v>-278609.69023134816</c:v>
                      </c:pt>
                      <c:pt idx="839">
                        <c:v>-279233.79225152044</c:v>
                      </c:pt>
                      <c:pt idx="840">
                        <c:v>-279854.20100855822</c:v>
                      </c:pt>
                      <c:pt idx="841">
                        <c:v>-280470.93517445732</c:v>
                      </c:pt>
                      <c:pt idx="842">
                        <c:v>-281084.01319164428</c:v>
                      </c:pt>
                      <c:pt idx="843">
                        <c:v>-281693.45327678462</c:v>
                      </c:pt>
                      <c:pt idx="844">
                        <c:v>-282299.27342450753</c:v>
                      </c:pt>
                      <c:pt idx="845">
                        <c:v>-282901.49141104909</c:v>
                      </c:pt>
                      <c:pt idx="846">
                        <c:v>-283500.12479781633</c:v>
                      </c:pt>
                      <c:pt idx="847">
                        <c:v>-284095.19093487447</c:v>
                      </c:pt>
                      <c:pt idx="848">
                        <c:v>-284686.70696435904</c:v>
                      </c:pt>
                      <c:pt idx="849">
                        <c:v>-285274.68982381502</c:v>
                      </c:pt>
                      <c:pt idx="850">
                        <c:v>-285859.15624946461</c:v>
                      </c:pt>
                      <c:pt idx="851">
                        <c:v>-286440.12277940608</c:v>
                      </c:pt>
                      <c:pt idx="852">
                        <c:v>-287017.60575674515</c:v>
                      </c:pt>
                      <c:pt idx="853">
                        <c:v>-287591.62133266026</c:v>
                      </c:pt>
                      <c:pt idx="854">
                        <c:v>-288162.1854694041</c:v>
                      </c:pt>
                      <c:pt idx="855">
                        <c:v>-288729.31394324271</c:v>
                      </c:pt>
                      <c:pt idx="856">
                        <c:v>-289293.02234733361</c:v>
                      </c:pt>
                      <c:pt idx="857">
                        <c:v>-289853.32609454484</c:v>
                      </c:pt>
                      <c:pt idx="858">
                        <c:v>-290410.24042021605</c:v>
                      </c:pt>
                      <c:pt idx="859">
                        <c:v>-290963.78038486326</c:v>
                      </c:pt>
                      <c:pt idx="860">
                        <c:v>-291513.9608768287</c:v>
                      </c:pt>
                      <c:pt idx="861">
                        <c:v>-292060.79661487712</c:v>
                      </c:pt>
                      <c:pt idx="862">
                        <c:v>-292604.30215073976</c:v>
                      </c:pt>
                      <c:pt idx="863">
                        <c:v>-293144.49187160726</c:v>
                      </c:pt>
                      <c:pt idx="864">
                        <c:v>-293681.38000257319</c:v>
                      </c:pt>
                      <c:pt idx="865">
                        <c:v>-294214.98060902854</c:v>
                      </c:pt>
                      <c:pt idx="866">
                        <c:v>-294745.30759900931</c:v>
                      </c:pt>
                      <c:pt idx="867">
                        <c:v>-295272.37472549768</c:v>
                      </c:pt>
                      <c:pt idx="868">
                        <c:v>-295796.19558867818</c:v>
                      </c:pt>
                      <c:pt idx="869">
                        <c:v>-296316.78363814973</c:v>
                      </c:pt>
                      <c:pt idx="870">
                        <c:v>-296834.15217509464</c:v>
                      </c:pt>
                      <c:pt idx="871">
                        <c:v>-297348.31435440615</c:v>
                      </c:pt>
                      <c:pt idx="872">
                        <c:v>-297859.28318677429</c:v>
                      </c:pt>
                      <c:pt idx="873">
                        <c:v>-298367.07154073217</c:v>
                      </c:pt>
                      <c:pt idx="874">
                        <c:v>-298871.69214466325</c:v>
                      </c:pt>
                      <c:pt idx="875">
                        <c:v>-299373.15758877021</c:v>
                      </c:pt>
                      <c:pt idx="876">
                        <c:v>-299871.4803270066</c:v>
                      </c:pt>
                      <c:pt idx="877">
                        <c:v>-300366.67267897213</c:v>
                      </c:pt>
                      <c:pt idx="878">
                        <c:v>-300858.7468317725</c:v>
                      </c:pt>
                      <c:pt idx="879">
                        <c:v>-301347.71484184405</c:v>
                      </c:pt>
                      <c:pt idx="880">
                        <c:v>-301833.58863674494</c:v>
                      </c:pt>
                      <c:pt idx="881">
                        <c:v>-302316.38001691265</c:v>
                      </c:pt>
                      <c:pt idx="882">
                        <c:v>-302796.10065738932</c:v>
                      </c:pt>
                      <c:pt idx="883">
                        <c:v>-303272.76210951537</c:v>
                      </c:pt>
                      <c:pt idx="884">
                        <c:v>-303746.37580259185</c:v>
                      </c:pt>
                      <c:pt idx="885">
                        <c:v>-304216.95304551249</c:v>
                      </c:pt>
                      <c:pt idx="886">
                        <c:v>-304684.5050283664</c:v>
                      </c:pt>
                      <c:pt idx="887">
                        <c:v>-305149.04282401141</c:v>
                      </c:pt>
                      <c:pt idx="888">
                        <c:v>-305610.57738961925</c:v>
                      </c:pt>
                      <c:pt idx="889">
                        <c:v>-306069.11956819269</c:v>
                      </c:pt>
                      <c:pt idx="890">
                        <c:v>-306524.68009005603</c:v>
                      </c:pt>
                      <c:pt idx="891">
                        <c:v>-306977.26957431843</c:v>
                      </c:pt>
                      <c:pt idx="892">
                        <c:v>-307426.89853031165</c:v>
                      </c:pt>
                      <c:pt idx="893">
                        <c:v>-307873.57735900237</c:v>
                      </c:pt>
                      <c:pt idx="894">
                        <c:v>-308317.31635437941</c:v>
                      </c:pt>
                      <c:pt idx="895">
                        <c:v>-308758.12570481648</c:v>
                      </c:pt>
                      <c:pt idx="896">
                        <c:v>-309196.01549441181</c:v>
                      </c:pt>
                      <c:pt idx="897">
                        <c:v>-309630.99570430344</c:v>
                      </c:pt>
                      <c:pt idx="898">
                        <c:v>-310063.0762139624</c:v>
                      </c:pt>
                      <c:pt idx="899">
                        <c:v>-310492.26680246327</c:v>
                      </c:pt>
                      <c:pt idx="900">
                        <c:v>-310918.57714973291</c:v>
                      </c:pt>
                      <c:pt idx="901">
                        <c:v>-311342.01683777757</c:v>
                      </c:pt>
                      <c:pt idx="902">
                        <c:v>-311762.59535188915</c:v>
                      </c:pt>
                      <c:pt idx="903">
                        <c:v>-312180.32208183105</c:v>
                      </c:pt>
                      <c:pt idx="904">
                        <c:v>-312595.2063230034</c:v>
                      </c:pt>
                      <c:pt idx="905">
                        <c:v>-313007.25727758912</c:v>
                      </c:pt>
                      <c:pt idx="906">
                        <c:v>-313416.48405568028</c:v>
                      </c:pt>
                      <c:pt idx="907">
                        <c:v>-313822.89567638561</c:v>
                      </c:pt>
                      <c:pt idx="908">
                        <c:v>-314226.50106891955</c:v>
                      </c:pt>
                      <c:pt idx="909">
                        <c:v>-314627.30907367286</c:v>
                      </c:pt>
                      <c:pt idx="910">
                        <c:v>-315025.32844326587</c:v>
                      </c:pt>
                      <c:pt idx="911">
                        <c:v>-315420.56784358376</c:v>
                      </c:pt>
                      <c:pt idx="912">
                        <c:v>-315813.03585479513</c:v>
                      </c:pt>
                      <c:pt idx="913">
                        <c:v>-316202.74097235344</c:v>
                      </c:pt>
                      <c:pt idx="914">
                        <c:v>-316589.69160798221</c:v>
                      </c:pt>
                      <c:pt idx="915">
                        <c:v>-316973.89609064424</c:v>
                      </c:pt>
                      <c:pt idx="916">
                        <c:v>-317355.36266749474</c:v>
                      </c:pt>
                      <c:pt idx="917">
                        <c:v>-317734.09950481902</c:v>
                      </c:pt>
                      <c:pt idx="918">
                        <c:v>-318110.11468895519</c:v>
                      </c:pt>
                      <c:pt idx="919">
                        <c:v>-318483.41622720158</c:v>
                      </c:pt>
                      <c:pt idx="920">
                        <c:v>-318854.01204870996</c:v>
                      </c:pt>
                      <c:pt idx="921">
                        <c:v>-319221.91000536416</c:v>
                      </c:pt>
                      <c:pt idx="922">
                        <c:v>-319587.11787264468</c:v>
                      </c:pt>
                      <c:pt idx="923">
                        <c:v>-319949.6433504796</c:v>
                      </c:pt>
                      <c:pt idx="924">
                        <c:v>-320309.49406408169</c:v>
                      </c:pt>
                      <c:pt idx="925">
                        <c:v>-320666.67756477254</c:v>
                      </c:pt>
                      <c:pt idx="926">
                        <c:v>-321021.20133079361</c:v>
                      </c:pt>
                      <c:pt idx="927">
                        <c:v>-321373.07276810438</c:v>
                      </c:pt>
                      <c:pt idx="928">
                        <c:v>-321722.29921116796</c:v>
                      </c:pt>
                      <c:pt idx="929">
                        <c:v>-322068.88792372443</c:v>
                      </c:pt>
                      <c:pt idx="930">
                        <c:v>-322412.84609955217</c:v>
                      </c:pt>
                      <c:pt idx="931">
                        <c:v>-322754.18086321722</c:v>
                      </c:pt>
                      <c:pt idx="932">
                        <c:v>-323092.89927081094</c:v>
                      </c:pt>
                      <c:pt idx="933">
                        <c:v>-323429.00831067649</c:v>
                      </c:pt>
                      <c:pt idx="934">
                        <c:v>-323762.51490412379</c:v>
                      </c:pt>
                      <c:pt idx="935">
                        <c:v>-324093.42590613366</c:v>
                      </c:pt>
                      <c:pt idx="936">
                        <c:v>-324421.74810605106</c:v>
                      </c:pt>
                      <c:pt idx="937">
                        <c:v>-324747.48822826776</c:v>
                      </c:pt>
                      <c:pt idx="938">
                        <c:v>-325070.65293289442</c:v>
                      </c:pt>
                      <c:pt idx="939">
                        <c:v>-325391.24881642265</c:v>
                      </c:pt>
                      <c:pt idx="940">
                        <c:v>-325709.28241237695</c:v>
                      </c:pt>
                      <c:pt idx="941">
                        <c:v>-326024.76019195642</c:v>
                      </c:pt>
                      <c:pt idx="942">
                        <c:v>-326337.68856466736</c:v>
                      </c:pt>
                      <c:pt idx="943">
                        <c:v>-326648.0738789459</c:v>
                      </c:pt>
                      <c:pt idx="944">
                        <c:v>-326955.92242277123</c:v>
                      </c:pt>
                      <c:pt idx="945">
                        <c:v>-327261.24042427004</c:v>
                      </c:pt>
                      <c:pt idx="946">
                        <c:v>-327564.03405231138</c:v>
                      </c:pt>
                      <c:pt idx="947">
                        <c:v>-327864.309417093</c:v>
                      </c:pt>
                      <c:pt idx="948">
                        <c:v>-328162.07257071877</c:v>
                      </c:pt>
                      <c:pt idx="949">
                        <c:v>-328457.32950776751</c:v>
                      </c:pt>
                      <c:pt idx="950">
                        <c:v>-328750.08616585366</c:v>
                      </c:pt>
                      <c:pt idx="951">
                        <c:v>-329040.3484261792</c:v>
                      </c:pt>
                      <c:pt idx="952">
                        <c:v>-329328.12211407773</c:v>
                      </c:pt>
                      <c:pt idx="953">
                        <c:v>-329613.41299955035</c:v>
                      </c:pt>
                      <c:pt idx="954">
                        <c:v>-329896.22679779388</c:v>
                      </c:pt>
                      <c:pt idx="955">
                        <c:v>-330176.5691697211</c:v>
                      </c:pt>
                      <c:pt idx="956">
                        <c:v>-330454.44572247355</c:v>
                      </c:pt>
                      <c:pt idx="957">
                        <c:v>-330729.86200992664</c:v>
                      </c:pt>
                      <c:pt idx="958">
                        <c:v>-331002.82353318756</c:v>
                      </c:pt>
                      <c:pt idx="959">
                        <c:v>-331273.33574108582</c:v>
                      </c:pt>
                      <c:pt idx="960">
                        <c:v>-331541.40403065691</c:v>
                      </c:pt>
                      <c:pt idx="961">
                        <c:v>-331807.03374761844</c:v>
                      </c:pt>
                      <c:pt idx="962">
                        <c:v>-332070.23018683988</c:v>
                      </c:pt>
                      <c:pt idx="963">
                        <c:v>-332330.99859280547</c:v>
                      </c:pt>
                      <c:pt idx="964">
                        <c:v>-332589.34416007012</c:v>
                      </c:pt>
                      <c:pt idx="965">
                        <c:v>-332845.27203370887</c:v>
                      </c:pt>
                      <c:pt idx="966">
                        <c:v>-333098.78730976029</c:v>
                      </c:pt>
                      <c:pt idx="967">
                        <c:v>-333349.89503566286</c:v>
                      </c:pt>
                      <c:pt idx="968">
                        <c:v>-333598.60021068563</c:v>
                      </c:pt>
                      <c:pt idx="969">
                        <c:v>-333844.90778635233</c:v>
                      </c:pt>
                      <c:pt idx="970">
                        <c:v>-334088.82266685984</c:v>
                      </c:pt>
                      <c:pt idx="971">
                        <c:v>-334330.34970949026</c:v>
                      </c:pt>
                      <c:pt idx="972">
                        <c:v>-334569.49372501741</c:v>
                      </c:pt>
                      <c:pt idx="973">
                        <c:v>-334806.2594781075</c:v>
                      </c:pt>
                      <c:pt idx="974">
                        <c:v>-335040.65168771392</c:v>
                      </c:pt>
                      <c:pt idx="975">
                        <c:v>-335272.67502746673</c:v>
                      </c:pt>
                      <c:pt idx="976">
                        <c:v>-335502.33412605629</c:v>
                      </c:pt>
                      <c:pt idx="977">
                        <c:v>-335729.6335676118</c:v>
                      </c:pt>
                      <c:pt idx="978">
                        <c:v>-335954.57789207442</c:v>
                      </c:pt>
                      <c:pt idx="979">
                        <c:v>-336177.17159556469</c:v>
                      </c:pt>
                      <c:pt idx="980">
                        <c:v>-336397.41913074552</c:v>
                      </c:pt>
                      <c:pt idx="981">
                        <c:v>-336615.32490717951</c:v>
                      </c:pt>
                      <c:pt idx="982">
                        <c:v>-336830.89329168125</c:v>
                      </c:pt>
                      <c:pt idx="983">
                        <c:v>-337044.12860866514</c:v>
                      </c:pt>
                      <c:pt idx="984">
                        <c:v>-337255.03514048771</c:v>
                      </c:pt>
                      <c:pt idx="985">
                        <c:v>-337463.61712778563</c:v>
                      </c:pt>
                      <c:pt idx="986">
                        <c:v>-337669.87876980868</c:v>
                      </c:pt>
                      <c:pt idx="987">
                        <c:v>-337873.82422474818</c:v>
                      </c:pt>
                      <c:pt idx="988">
                        <c:v>-338075.45761006081</c:v>
                      </c:pt>
                      <c:pt idx="989">
                        <c:v>-338274.78300278791</c:v>
                      </c:pt>
                      <c:pt idx="990">
                        <c:v>-338471.80443987017</c:v>
                      </c:pt>
                      <c:pt idx="991">
                        <c:v>-338666.52591845818</c:v>
                      </c:pt>
                      <c:pt idx="992">
                        <c:v>-338858.9513962185</c:v>
                      </c:pt>
                      <c:pt idx="993">
                        <c:v>-339049.08479163534</c:v>
                      </c:pt>
                      <c:pt idx="994">
                        <c:v>-339236.92998430808</c:v>
                      </c:pt>
                      <c:pt idx="995">
                        <c:v>-339422.49081524496</c:v>
                      </c:pt>
                      <c:pt idx="996">
                        <c:v>-339605.7710871523</c:v>
                      </c:pt>
                      <c:pt idx="997">
                        <c:v>-339786.77456471964</c:v>
                      </c:pt>
                      <c:pt idx="998">
                        <c:v>-339965.50497490121</c:v>
                      </c:pt>
                      <c:pt idx="999">
                        <c:v>-340141.96600719332</c:v>
                      </c:pt>
                      <c:pt idx="1000">
                        <c:v>-340316.16131390765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1C9-4712-B1F7-A16C19E27AB9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.000" sourceLinked="1"/>
        <c:majorTickMark val="none"/>
        <c:minorTickMark val="none"/>
        <c:tickLblPos val="nextTo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.000" sourceLinked="1"/>
        <c:majorTickMark val="none"/>
        <c:minorTickMark val="none"/>
        <c:tickLblPos val="nextTo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</xdr:row>
      <xdr:rowOff>57149</xdr:rowOff>
    </xdr:from>
    <xdr:to>
      <xdr:col>22</xdr:col>
      <xdr:colOff>400050</xdr:colOff>
      <xdr:row>40</xdr:row>
      <xdr:rowOff>9524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209550</xdr:colOff>
      <xdr:row>0</xdr:row>
      <xdr:rowOff>104775</xdr:rowOff>
    </xdr:from>
    <xdr:to>
      <xdr:col>38</xdr:col>
      <xdr:colOff>152400</xdr:colOff>
      <xdr:row>38</xdr:row>
      <xdr:rowOff>107177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247650</xdr:colOff>
          <xdr:row>6</xdr:row>
          <xdr:rowOff>28575</xdr:rowOff>
        </xdr:from>
        <xdr:to>
          <xdr:col>49</xdr:col>
          <xdr:colOff>276225</xdr:colOff>
          <xdr:row>10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12</xdr:row>
          <xdr:rowOff>95250</xdr:rowOff>
        </xdr:from>
        <xdr:to>
          <xdr:col>50</xdr:col>
          <xdr:colOff>85725</xdr:colOff>
          <xdr:row>20</xdr:row>
          <xdr:rowOff>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19051</xdr:colOff>
          <xdr:row>21</xdr:row>
          <xdr:rowOff>28575</xdr:rowOff>
        </xdr:from>
        <xdr:to>
          <xdr:col>50</xdr:col>
          <xdr:colOff>152401</xdr:colOff>
          <xdr:row>27</xdr:row>
          <xdr:rowOff>142875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9946-F3CD-4A42-A4B0-3638A31815E7}">
  <sheetPr codeName="Feuil3"/>
  <dimension ref="C1:J41"/>
  <sheetViews>
    <sheetView workbookViewId="0">
      <selection activeCell="G4" sqref="G4:H4"/>
    </sheetView>
  </sheetViews>
  <sheetFormatPr baseColWidth="10" defaultRowHeight="15" x14ac:dyDescent="0.25"/>
  <cols>
    <col min="3" max="3" width="25.140625" customWidth="1"/>
    <col min="4" max="9" width="11.5703125" customWidth="1"/>
    <col min="10" max="10" width="15.42578125" bestFit="1" customWidth="1"/>
  </cols>
  <sheetData>
    <row r="1" spans="3:10" x14ac:dyDescent="0.25">
      <c r="C1" s="139" t="s">
        <v>0</v>
      </c>
      <c r="D1" s="140"/>
      <c r="E1" s="140"/>
      <c r="F1" s="140"/>
      <c r="G1" s="140"/>
      <c r="H1" s="140"/>
      <c r="I1" s="140"/>
      <c r="J1" s="141"/>
    </row>
    <row r="2" spans="3:10" x14ac:dyDescent="0.25">
      <c r="C2" s="38" t="s">
        <v>1</v>
      </c>
      <c r="D2" s="39"/>
      <c r="E2" s="40"/>
      <c r="F2" s="41" t="s">
        <v>19</v>
      </c>
      <c r="G2" s="125">
        <v>0.5</v>
      </c>
      <c r="H2" s="126"/>
      <c r="I2" s="125" t="s">
        <v>21</v>
      </c>
      <c r="J2" s="126"/>
    </row>
    <row r="3" spans="3:10" x14ac:dyDescent="0.25">
      <c r="C3" s="43" t="s">
        <v>2</v>
      </c>
      <c r="D3" s="44"/>
      <c r="E3" s="45"/>
      <c r="F3" s="6" t="s">
        <v>35</v>
      </c>
      <c r="G3" s="127">
        <v>0</v>
      </c>
      <c r="H3" s="128"/>
      <c r="I3" s="127" t="s">
        <v>23</v>
      </c>
      <c r="J3" s="128"/>
    </row>
    <row r="4" spans="3:10" x14ac:dyDescent="0.25">
      <c r="C4" s="46" t="s">
        <v>3</v>
      </c>
      <c r="D4" s="47"/>
      <c r="E4" s="47"/>
      <c r="F4" s="42" t="s">
        <v>30</v>
      </c>
      <c r="G4" s="125">
        <f>'Graphique animé'!A9</f>
        <v>2</v>
      </c>
      <c r="H4" s="126"/>
      <c r="I4" s="125" t="s">
        <v>24</v>
      </c>
      <c r="J4" s="126"/>
    </row>
    <row r="6" spans="3:10" x14ac:dyDescent="0.25">
      <c r="F6" s="2"/>
      <c r="H6" s="2"/>
      <c r="I6" s="1"/>
      <c r="J6" s="2"/>
    </row>
    <row r="7" spans="3:10" x14ac:dyDescent="0.25">
      <c r="C7" s="153" t="s">
        <v>77</v>
      </c>
      <c r="D7" s="154"/>
      <c r="E7" s="154"/>
      <c r="F7" s="154"/>
      <c r="G7" s="154"/>
      <c r="H7" s="154"/>
      <c r="I7" s="154"/>
      <c r="J7" s="155"/>
    </row>
    <row r="8" spans="3:10" x14ac:dyDescent="0.25">
      <c r="C8" s="75" t="s">
        <v>4</v>
      </c>
      <c r="D8" s="76"/>
      <c r="E8" s="76"/>
      <c r="F8" s="77" t="s">
        <v>20</v>
      </c>
      <c r="G8" s="129">
        <v>1</v>
      </c>
      <c r="H8" s="130"/>
      <c r="I8" s="129" t="s">
        <v>25</v>
      </c>
      <c r="J8" s="130"/>
    </row>
    <row r="9" spans="3:10" ht="18" x14ac:dyDescent="0.25">
      <c r="C9" s="83" t="s">
        <v>5</v>
      </c>
      <c r="D9" s="84"/>
      <c r="E9" s="79"/>
      <c r="F9" s="6" t="s">
        <v>32</v>
      </c>
      <c r="G9" s="6">
        <v>0</v>
      </c>
      <c r="H9" s="119">
        <v>0</v>
      </c>
      <c r="I9" s="131" t="s">
        <v>22</v>
      </c>
      <c r="J9" s="132"/>
    </row>
    <row r="10" spans="3:10" ht="18" x14ac:dyDescent="0.25">
      <c r="C10" s="80" t="s">
        <v>6</v>
      </c>
      <c r="D10" s="81"/>
      <c r="E10" s="82"/>
      <c r="F10" s="77" t="s">
        <v>33</v>
      </c>
      <c r="G10" s="77">
        <v>0</v>
      </c>
      <c r="H10" s="8">
        <v>0</v>
      </c>
      <c r="I10" s="133" t="s">
        <v>23</v>
      </c>
      <c r="J10" s="134"/>
    </row>
    <row r="11" spans="3:10" ht="18" x14ac:dyDescent="0.25">
      <c r="C11" s="83" t="s">
        <v>7</v>
      </c>
      <c r="D11" s="84"/>
      <c r="E11" s="79"/>
      <c r="F11" s="6" t="s">
        <v>31</v>
      </c>
      <c r="G11" s="6">
        <v>0</v>
      </c>
      <c r="H11" s="120">
        <v>0</v>
      </c>
      <c r="I11" s="131" t="s">
        <v>26</v>
      </c>
      <c r="J11" s="132"/>
    </row>
    <row r="12" spans="3:10" x14ac:dyDescent="0.25">
      <c r="C12" s="121" t="s">
        <v>8</v>
      </c>
      <c r="D12" s="87"/>
      <c r="E12" s="87"/>
      <c r="F12" s="88" t="s">
        <v>34</v>
      </c>
      <c r="G12" s="129">
        <v>2500</v>
      </c>
      <c r="H12" s="130"/>
      <c r="I12" s="133" t="s">
        <v>22</v>
      </c>
      <c r="J12" s="134"/>
    </row>
    <row r="14" spans="3:10" x14ac:dyDescent="0.25">
      <c r="F14" s="2"/>
      <c r="H14" s="2"/>
      <c r="I14" s="2"/>
      <c r="J14" s="1"/>
    </row>
    <row r="15" spans="3:10" x14ac:dyDescent="0.25">
      <c r="C15" s="10" t="s">
        <v>9</v>
      </c>
      <c r="D15" s="11"/>
      <c r="E15" s="11"/>
      <c r="F15" s="11"/>
      <c r="G15" s="11"/>
      <c r="H15" s="11"/>
      <c r="I15" s="11"/>
      <c r="J15" s="12"/>
    </row>
    <row r="16" spans="3:10" ht="18" x14ac:dyDescent="0.25">
      <c r="C16" s="48" t="s">
        <v>10</v>
      </c>
      <c r="D16" s="49"/>
      <c r="E16" s="49"/>
      <c r="F16" s="50" t="s">
        <v>36</v>
      </c>
      <c r="G16" s="50">
        <v>20000</v>
      </c>
      <c r="H16" s="50">
        <v>7500</v>
      </c>
      <c r="I16" s="135" t="s">
        <v>22</v>
      </c>
      <c r="J16" s="136"/>
    </row>
    <row r="17" spans="3:10" ht="18" x14ac:dyDescent="0.25">
      <c r="C17" s="51" t="s">
        <v>11</v>
      </c>
      <c r="D17" s="52"/>
      <c r="E17" s="52"/>
      <c r="F17" s="6" t="s">
        <v>37</v>
      </c>
      <c r="G17" s="127">
        <v>5000</v>
      </c>
      <c r="H17" s="128"/>
      <c r="I17" s="131" t="s">
        <v>22</v>
      </c>
      <c r="J17" s="132"/>
    </row>
    <row r="18" spans="3:10" ht="18" x14ac:dyDescent="0.25">
      <c r="C18" s="53" t="s">
        <v>12</v>
      </c>
      <c r="D18" s="54"/>
      <c r="E18" s="54"/>
      <c r="F18" s="50" t="s">
        <v>38</v>
      </c>
      <c r="G18" s="137">
        <v>1</v>
      </c>
      <c r="H18" s="138"/>
      <c r="I18" s="135" t="s">
        <v>27</v>
      </c>
      <c r="J18" s="136"/>
    </row>
    <row r="19" spans="3:10" ht="18" x14ac:dyDescent="0.25">
      <c r="C19" s="51" t="s">
        <v>13</v>
      </c>
      <c r="D19" s="52"/>
      <c r="E19" s="52"/>
      <c r="F19" s="6" t="s">
        <v>39</v>
      </c>
      <c r="G19" s="147">
        <f>(4/3)*PI()*G17^3</f>
        <v>523598775598.29883</v>
      </c>
      <c r="H19" s="148"/>
      <c r="I19" s="131" t="s">
        <v>28</v>
      </c>
      <c r="J19" s="132"/>
    </row>
    <row r="20" spans="3:10" ht="18" x14ac:dyDescent="0.25">
      <c r="C20" s="53" t="s">
        <v>14</v>
      </c>
      <c r="D20" s="54"/>
      <c r="E20" s="49"/>
      <c r="F20" s="50" t="s">
        <v>40</v>
      </c>
      <c r="G20" s="158">
        <f>G18*G19</f>
        <v>523598775598.29883</v>
      </c>
      <c r="H20" s="159"/>
      <c r="I20" s="135" t="s">
        <v>25</v>
      </c>
      <c r="J20" s="136"/>
    </row>
    <row r="21" spans="3:10" ht="18" x14ac:dyDescent="0.25">
      <c r="C21" s="55" t="s">
        <v>15</v>
      </c>
      <c r="D21" s="56"/>
      <c r="E21" s="52"/>
      <c r="F21" s="6" t="s">
        <v>41</v>
      </c>
      <c r="G21" s="127">
        <f>G17*G4</f>
        <v>10000</v>
      </c>
      <c r="H21" s="128"/>
      <c r="I21" s="131" t="s">
        <v>22</v>
      </c>
      <c r="J21" s="132"/>
    </row>
    <row r="22" spans="3:10" x14ac:dyDescent="0.25">
      <c r="C22" s="57" t="s">
        <v>16</v>
      </c>
      <c r="D22" s="58"/>
      <c r="E22" s="59"/>
      <c r="F22" s="60"/>
      <c r="G22" s="160" t="s">
        <v>29</v>
      </c>
      <c r="H22" s="161"/>
      <c r="I22" s="135" t="s">
        <v>24</v>
      </c>
      <c r="J22" s="136"/>
    </row>
    <row r="23" spans="3:10" x14ac:dyDescent="0.25">
      <c r="F23" s="2"/>
      <c r="H23" s="2"/>
      <c r="I23" s="2"/>
      <c r="J23" s="1"/>
    </row>
    <row r="24" spans="3:10" x14ac:dyDescent="0.25">
      <c r="C24" s="122" t="s">
        <v>17</v>
      </c>
      <c r="D24" s="123"/>
      <c r="E24" s="123"/>
      <c r="F24" s="123"/>
      <c r="G24" s="123"/>
      <c r="H24" s="123"/>
      <c r="I24" s="123"/>
      <c r="J24" s="124"/>
    </row>
    <row r="25" spans="3:10" ht="18" x14ac:dyDescent="0.25">
      <c r="C25" s="61" t="s">
        <v>10</v>
      </c>
      <c r="D25" s="62"/>
      <c r="E25" s="62"/>
      <c r="F25" s="63" t="s">
        <v>42</v>
      </c>
      <c r="G25" s="63">
        <v>-20000</v>
      </c>
      <c r="H25" s="63">
        <v>10000</v>
      </c>
      <c r="I25" s="142" t="s">
        <v>22</v>
      </c>
      <c r="J25" s="143"/>
    </row>
    <row r="26" spans="3:10" ht="18" x14ac:dyDescent="0.25">
      <c r="C26" s="64" t="s">
        <v>11</v>
      </c>
      <c r="D26" s="65"/>
      <c r="E26" s="65"/>
      <c r="F26" s="6" t="s">
        <v>43</v>
      </c>
      <c r="G26" s="127">
        <v>3500</v>
      </c>
      <c r="H26" s="128"/>
      <c r="I26" s="131" t="s">
        <v>22</v>
      </c>
      <c r="J26" s="132"/>
    </row>
    <row r="27" spans="3:10" ht="18" x14ac:dyDescent="0.25">
      <c r="C27" s="66" t="s">
        <v>12</v>
      </c>
      <c r="D27" s="67"/>
      <c r="E27" s="67"/>
      <c r="F27" s="63" t="s">
        <v>44</v>
      </c>
      <c r="G27" s="151">
        <v>1</v>
      </c>
      <c r="H27" s="152"/>
      <c r="I27" s="142" t="s">
        <v>27</v>
      </c>
      <c r="J27" s="143"/>
    </row>
    <row r="28" spans="3:10" ht="18" x14ac:dyDescent="0.25">
      <c r="C28" s="64" t="s">
        <v>13</v>
      </c>
      <c r="D28" s="65"/>
      <c r="E28" s="65"/>
      <c r="F28" s="6" t="s">
        <v>45</v>
      </c>
      <c r="G28" s="147">
        <f>(4/3)*PI()*G26^3</f>
        <v>179594380030.21649</v>
      </c>
      <c r="H28" s="148"/>
      <c r="I28" s="131" t="s">
        <v>28</v>
      </c>
      <c r="J28" s="132"/>
    </row>
    <row r="29" spans="3:10" ht="18" x14ac:dyDescent="0.25">
      <c r="C29" s="66" t="s">
        <v>14</v>
      </c>
      <c r="D29" s="67"/>
      <c r="E29" s="68"/>
      <c r="F29" s="63" t="s">
        <v>46</v>
      </c>
      <c r="G29" s="156">
        <f>G27*G28</f>
        <v>179594380030.21649</v>
      </c>
      <c r="H29" s="157"/>
      <c r="I29" s="142" t="s">
        <v>25</v>
      </c>
      <c r="J29" s="143"/>
    </row>
    <row r="30" spans="3:10" ht="18" x14ac:dyDescent="0.25">
      <c r="C30" s="69" t="s">
        <v>15</v>
      </c>
      <c r="D30" s="70"/>
      <c r="E30" s="65"/>
      <c r="F30" s="6" t="s">
        <v>47</v>
      </c>
      <c r="G30" s="127">
        <f>G26*G4</f>
        <v>7000</v>
      </c>
      <c r="H30" s="128"/>
      <c r="I30" s="131" t="s">
        <v>22</v>
      </c>
      <c r="J30" s="132"/>
    </row>
    <row r="31" spans="3:10" x14ac:dyDescent="0.25">
      <c r="C31" s="71" t="s">
        <v>16</v>
      </c>
      <c r="D31" s="72"/>
      <c r="E31" s="73"/>
      <c r="F31" s="74"/>
      <c r="G31" s="151" t="s">
        <v>29</v>
      </c>
      <c r="H31" s="152"/>
      <c r="I31" s="142" t="s">
        <v>24</v>
      </c>
      <c r="J31" s="143"/>
    </row>
    <row r="33" spans="3:10" x14ac:dyDescent="0.25">
      <c r="F33" s="2"/>
      <c r="G33" s="2"/>
      <c r="H33" s="2"/>
      <c r="I33" s="1"/>
    </row>
    <row r="34" spans="3:10" x14ac:dyDescent="0.25">
      <c r="C34" s="144" t="s">
        <v>18</v>
      </c>
      <c r="D34" s="145"/>
      <c r="E34" s="145"/>
      <c r="F34" s="145"/>
      <c r="G34" s="145"/>
      <c r="H34" s="145"/>
      <c r="I34" s="145"/>
      <c r="J34" s="146"/>
    </row>
    <row r="35" spans="3:10" ht="18" x14ac:dyDescent="0.25">
      <c r="C35" s="75" t="s">
        <v>10</v>
      </c>
      <c r="D35" s="76"/>
      <c r="E35" s="76"/>
      <c r="F35" s="77" t="s">
        <v>48</v>
      </c>
      <c r="G35" s="77">
        <v>-5000</v>
      </c>
      <c r="H35" s="77">
        <v>-15000</v>
      </c>
      <c r="I35" s="133" t="s">
        <v>22</v>
      </c>
      <c r="J35" s="134"/>
    </row>
    <row r="36" spans="3:10" ht="18" x14ac:dyDescent="0.25">
      <c r="C36" s="78" t="s">
        <v>11</v>
      </c>
      <c r="D36" s="79"/>
      <c r="E36" s="79"/>
      <c r="F36" s="6" t="s">
        <v>49</v>
      </c>
      <c r="G36" s="127">
        <v>5000</v>
      </c>
      <c r="H36" s="128"/>
      <c r="I36" s="131" t="s">
        <v>22</v>
      </c>
      <c r="J36" s="132"/>
    </row>
    <row r="37" spans="3:10" ht="18" x14ac:dyDescent="0.25">
      <c r="C37" s="80" t="s">
        <v>12</v>
      </c>
      <c r="D37" s="81"/>
      <c r="E37" s="81"/>
      <c r="F37" s="77" t="s">
        <v>50</v>
      </c>
      <c r="G37" s="129">
        <v>1</v>
      </c>
      <c r="H37" s="130"/>
      <c r="I37" s="133" t="s">
        <v>27</v>
      </c>
      <c r="J37" s="134"/>
    </row>
    <row r="38" spans="3:10" ht="18" x14ac:dyDescent="0.25">
      <c r="C38" s="78" t="s">
        <v>13</v>
      </c>
      <c r="D38" s="79"/>
      <c r="E38" s="79"/>
      <c r="F38" s="6" t="s">
        <v>51</v>
      </c>
      <c r="G38" s="147">
        <f>(4/3)*PI()*G36^3</f>
        <v>523598775598.29883</v>
      </c>
      <c r="H38" s="148"/>
      <c r="I38" s="131" t="s">
        <v>28</v>
      </c>
      <c r="J38" s="132"/>
    </row>
    <row r="39" spans="3:10" ht="18" x14ac:dyDescent="0.25">
      <c r="C39" s="80" t="s">
        <v>14</v>
      </c>
      <c r="D39" s="81"/>
      <c r="E39" s="82"/>
      <c r="F39" s="77" t="s">
        <v>52</v>
      </c>
      <c r="G39" s="149">
        <f>G37*G38</f>
        <v>523598775598.29883</v>
      </c>
      <c r="H39" s="150"/>
      <c r="I39" s="133" t="s">
        <v>25</v>
      </c>
      <c r="J39" s="134"/>
    </row>
    <row r="40" spans="3:10" ht="18" x14ac:dyDescent="0.25">
      <c r="C40" s="83" t="s">
        <v>15</v>
      </c>
      <c r="D40" s="84"/>
      <c r="E40" s="79"/>
      <c r="F40" s="6" t="s">
        <v>53</v>
      </c>
      <c r="G40" s="127">
        <f>G36*G4</f>
        <v>10000</v>
      </c>
      <c r="H40" s="128"/>
      <c r="I40" s="131" t="s">
        <v>22</v>
      </c>
      <c r="J40" s="132"/>
    </row>
    <row r="41" spans="3:10" x14ac:dyDescent="0.25">
      <c r="C41" s="85" t="s">
        <v>16</v>
      </c>
      <c r="D41" s="86"/>
      <c r="E41" s="87"/>
      <c r="F41" s="88"/>
      <c r="G41" s="129" t="s">
        <v>29</v>
      </c>
      <c r="H41" s="130"/>
      <c r="I41" s="133" t="s">
        <v>24</v>
      </c>
      <c r="J41" s="134"/>
    </row>
  </sheetData>
  <mergeCells count="56">
    <mergeCell ref="I18:J18"/>
    <mergeCell ref="I19:J19"/>
    <mergeCell ref="I20:J20"/>
    <mergeCell ref="I31:J31"/>
    <mergeCell ref="G19:H19"/>
    <mergeCell ref="G20:H20"/>
    <mergeCell ref="G21:H21"/>
    <mergeCell ref="G22:H22"/>
    <mergeCell ref="I38:J38"/>
    <mergeCell ref="I39:J39"/>
    <mergeCell ref="I40:J40"/>
    <mergeCell ref="I41:J41"/>
    <mergeCell ref="G36:H36"/>
    <mergeCell ref="G37:H37"/>
    <mergeCell ref="G38:H38"/>
    <mergeCell ref="G39:H39"/>
    <mergeCell ref="G40:H40"/>
    <mergeCell ref="G41:H41"/>
    <mergeCell ref="I35:J35"/>
    <mergeCell ref="I36:J36"/>
    <mergeCell ref="I37:J37"/>
    <mergeCell ref="I25:J25"/>
    <mergeCell ref="I26:J26"/>
    <mergeCell ref="I27:J27"/>
    <mergeCell ref="I28:J28"/>
    <mergeCell ref="I29:J29"/>
    <mergeCell ref="C34:J34"/>
    <mergeCell ref="G31:H31"/>
    <mergeCell ref="G26:H26"/>
    <mergeCell ref="G27:H27"/>
    <mergeCell ref="G28:H28"/>
    <mergeCell ref="G29:H29"/>
    <mergeCell ref="G30:H30"/>
    <mergeCell ref="I30:J30"/>
    <mergeCell ref="C1:J1"/>
    <mergeCell ref="G2:H2"/>
    <mergeCell ref="G3:H3"/>
    <mergeCell ref="G4:H4"/>
    <mergeCell ref="I16:J16"/>
    <mergeCell ref="C7:J7"/>
    <mergeCell ref="C24:J24"/>
    <mergeCell ref="I2:J2"/>
    <mergeCell ref="I3:J3"/>
    <mergeCell ref="I4:J4"/>
    <mergeCell ref="I8:J8"/>
    <mergeCell ref="I9:J9"/>
    <mergeCell ref="I10:J10"/>
    <mergeCell ref="I11:J11"/>
    <mergeCell ref="I12:J12"/>
    <mergeCell ref="G8:H8"/>
    <mergeCell ref="G12:H12"/>
    <mergeCell ref="I21:J21"/>
    <mergeCell ref="I22:J22"/>
    <mergeCell ref="G17:H17"/>
    <mergeCell ref="G18:H18"/>
    <mergeCell ref="I17:J1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E1005"/>
  <sheetViews>
    <sheetView zoomScaleNormal="100" workbookViewId="0">
      <selection activeCell="F30" sqref="F30"/>
    </sheetView>
  </sheetViews>
  <sheetFormatPr baseColWidth="10" defaultRowHeight="15" x14ac:dyDescent="0.25"/>
  <cols>
    <col min="1" max="1" width="15.42578125" bestFit="1" customWidth="1"/>
    <col min="2" max="2" width="13.85546875" bestFit="1" customWidth="1"/>
    <col min="3" max="3" width="12.85546875" bestFit="1" customWidth="1"/>
    <col min="4" max="4" width="11.5703125" customWidth="1"/>
    <col min="6" max="6" width="13.85546875" bestFit="1" customWidth="1"/>
    <col min="7" max="8" width="11.5703125" customWidth="1"/>
    <col min="10" max="10" width="13.85546875" bestFit="1" customWidth="1"/>
    <col min="11" max="12" width="11.5703125" customWidth="1"/>
    <col min="14" max="14" width="15.7109375" customWidth="1"/>
    <col min="16" max="16" width="17.28515625" bestFit="1" customWidth="1"/>
    <col min="17" max="17" width="17.140625" bestFit="1" customWidth="1"/>
    <col min="18" max="18" width="14.28515625" bestFit="1" customWidth="1"/>
    <col min="19" max="19" width="11.42578125" customWidth="1"/>
    <col min="20" max="21" width="13.28515625" bestFit="1" customWidth="1"/>
    <col min="22" max="22" width="12.5703125" bestFit="1" customWidth="1"/>
    <col min="23" max="23" width="13.28515625" bestFit="1" customWidth="1"/>
    <col min="24" max="24" width="13" bestFit="1" customWidth="1"/>
    <col min="25" max="25" width="12.28515625" bestFit="1" customWidth="1"/>
    <col min="26" max="27" width="13.28515625" bestFit="1" customWidth="1"/>
    <col min="29" max="31" width="10.5703125" bestFit="1" customWidth="1"/>
  </cols>
  <sheetData>
    <row r="2" spans="2:31" x14ac:dyDescent="0.25">
      <c r="B2" s="162" t="s">
        <v>9</v>
      </c>
      <c r="C2" s="163"/>
      <c r="D2" s="164"/>
      <c r="F2" s="165" t="s">
        <v>17</v>
      </c>
      <c r="G2" s="166"/>
      <c r="H2" s="167"/>
      <c r="J2" s="168" t="s">
        <v>18</v>
      </c>
      <c r="K2" s="169"/>
      <c r="L2" s="170"/>
      <c r="P2" s="4"/>
    </row>
    <row r="3" spans="2:31" x14ac:dyDescent="0.25">
      <c r="B3" s="13" t="s">
        <v>54</v>
      </c>
      <c r="C3" s="14" t="s">
        <v>55</v>
      </c>
      <c r="D3" s="15" t="s">
        <v>56</v>
      </c>
      <c r="F3" s="22" t="s">
        <v>54</v>
      </c>
      <c r="G3" s="23" t="s">
        <v>55</v>
      </c>
      <c r="H3" s="24" t="s">
        <v>56</v>
      </c>
      <c r="J3" s="30" t="s">
        <v>54</v>
      </c>
      <c r="K3" s="31" t="s">
        <v>55</v>
      </c>
      <c r="L3" s="32" t="s">
        <v>56</v>
      </c>
      <c r="N3" s="89" t="s">
        <v>54</v>
      </c>
      <c r="O3" s="90" t="s">
        <v>57</v>
      </c>
      <c r="P3" s="90" t="s">
        <v>71</v>
      </c>
      <c r="Q3" s="90" t="s">
        <v>72</v>
      </c>
      <c r="R3" s="90" t="s">
        <v>59</v>
      </c>
      <c r="S3" s="90" t="s">
        <v>60</v>
      </c>
      <c r="T3" s="90" t="s">
        <v>58</v>
      </c>
      <c r="U3" s="90" t="s">
        <v>61</v>
      </c>
      <c r="V3" s="90" t="s">
        <v>62</v>
      </c>
      <c r="W3" s="90" t="s">
        <v>64</v>
      </c>
      <c r="X3" s="90" t="s">
        <v>63</v>
      </c>
      <c r="Y3" s="90" t="s">
        <v>65</v>
      </c>
      <c r="Z3" s="90" t="s">
        <v>66</v>
      </c>
      <c r="AA3" s="91" t="s">
        <v>67</v>
      </c>
      <c r="AC3" s="107" t="s">
        <v>68</v>
      </c>
      <c r="AD3" s="108" t="s">
        <v>69</v>
      </c>
      <c r="AE3" s="109" t="s">
        <v>70</v>
      </c>
    </row>
    <row r="4" spans="2:31" x14ac:dyDescent="0.25">
      <c r="B4" s="16">
        <v>1</v>
      </c>
      <c r="C4" s="17">
        <f>Tableau!$G$17*COS(B4*PI()/180)+Tableau!$G$16</f>
        <v>24999.238475781956</v>
      </c>
      <c r="D4" s="17">
        <f>Tableau!$G$17*SIN(B4*PI()/180)+Tableau!$H$16</f>
        <v>7587.2620321864179</v>
      </c>
      <c r="F4" s="7">
        <v>1</v>
      </c>
      <c r="G4" s="25">
        <f>Tableau!$G$26*COS(F4*PI()/180)+Tableau!$G$25</f>
        <v>-16500.53306695263</v>
      </c>
      <c r="H4" s="25">
        <f>Tableau!$G$26*SIN(F4*PI()/180)+Tableau!$H$25</f>
        <v>10061.083422530492</v>
      </c>
      <c r="J4" s="8">
        <v>1</v>
      </c>
      <c r="K4" s="33">
        <f>Tableau!$G$36*COS(J4*PI()/180)+Tableau!$G$35</f>
        <v>-0.76152421804363257</v>
      </c>
      <c r="L4" s="33">
        <f>Tableau!$G$36*SIN(J4*PI()/180)+Tableau!$H$35</f>
        <v>-14912.737967813582</v>
      </c>
      <c r="N4" s="92">
        <v>0</v>
      </c>
      <c r="O4" s="93">
        <v>0</v>
      </c>
      <c r="P4" s="94">
        <v>0</v>
      </c>
      <c r="Q4" s="94">
        <v>0</v>
      </c>
      <c r="R4" s="95">
        <v>0</v>
      </c>
      <c r="S4" s="95">
        <v>0</v>
      </c>
      <c r="T4" s="96">
        <f t="shared" ref="T4:T67" si="0">V4+X4+Z4</f>
        <v>119.16853330342633</v>
      </c>
      <c r="U4" s="96">
        <f t="shared" ref="U4:U67" si="1">W4+Y4+AA4</f>
        <v>-760.51678598645651</v>
      </c>
      <c r="V4" s="96">
        <f>((Tableau!$G$16-P4)/(AC4^2+Tableau!$G$21^2)^(3/2))*Tableau!$G$20</f>
        <v>798.22179539145645</v>
      </c>
      <c r="W4" s="96">
        <f>((Tableau!$H$16-Q4)/(AC4^2+Tableau!$G$21^2)^(3/2))*Tableau!$G$20</f>
        <v>299.33317327179617</v>
      </c>
      <c r="X4" s="96">
        <f>((Tableau!$G$25-P4)/(AD4^2+Tableau!$G$30^2)^(3/2))*Tableau!$G$29</f>
        <v>-279.23137914452502</v>
      </c>
      <c r="Y4" s="96">
        <f>((Tableau!$H$25-Q4)/(AD4^2+Tableau!$G$30^2)^(3/2))*Tableau!$G$29</f>
        <v>139.61568957226251</v>
      </c>
      <c r="Z4" s="96">
        <f>((Tableau!$G$35-P4)/(AE4^2+Tableau!$G$40^2)^(3/2))*Tableau!$G$39</f>
        <v>-399.8218829435051</v>
      </c>
      <c r="AA4" s="97">
        <f>((Tableau!$H$35-Q4)/(AE4^2+Tableau!$G$40^2)^(3/2))*Tableau!$G$39</f>
        <v>-1199.4656488305152</v>
      </c>
      <c r="AC4" s="110">
        <f>SQRT((Tableau!$G$16-P4)^2+(Tableau!$H$16-Q4)^2)</f>
        <v>21360.00936329383</v>
      </c>
      <c r="AD4" s="111">
        <f>SQRT((Tableau!$G$25-P4)^2+(Tableau!$H$25-Q4)^2)</f>
        <v>22360.679774997898</v>
      </c>
      <c r="AE4" s="112">
        <f>SQRT((Tableau!$G$35-P4)^2+(Tableau!$H$35-Q4)^2)</f>
        <v>15811.388300841896</v>
      </c>
    </row>
    <row r="5" spans="2:31" x14ac:dyDescent="0.25">
      <c r="B5" s="18">
        <v>2</v>
      </c>
      <c r="C5" s="19">
        <f>Tableau!$G$17*COS(B5*PI()/180)+Tableau!$G$16</f>
        <v>24996.954135095479</v>
      </c>
      <c r="D5" s="19">
        <f>Tableau!$G$17*SIN(B5*PI()/180)+Tableau!$H$16</f>
        <v>7674.4974835125049</v>
      </c>
      <c r="F5" s="26">
        <v>2</v>
      </c>
      <c r="G5" s="27">
        <f>Tableau!$G$26*COS(F5*PI()/180)+Tableau!$G$25</f>
        <v>-16502.132105433164</v>
      </c>
      <c r="H5" s="27">
        <f>Tableau!$G$26*SIN(F5*PI()/180)+Tableau!$H$25</f>
        <v>10122.148238458753</v>
      </c>
      <c r="J5" s="34">
        <v>2</v>
      </c>
      <c r="K5" s="35">
        <f>Tableau!$G$36*COS(J5*PI()/180)+Tableau!$G$35</f>
        <v>-3.0458649045212951</v>
      </c>
      <c r="L5" s="35">
        <f>Tableau!$G$36*SIN(J5*PI()/180)+Tableau!$H$35</f>
        <v>-14825.502516487495</v>
      </c>
      <c r="N5" s="98">
        <v>1</v>
      </c>
      <c r="O5" s="99">
        <v>0.5</v>
      </c>
      <c r="P5" s="100">
        <f>P4+R4*Tableau!$G$2+((1/2)*T4)*Tableau!$G$2^2</f>
        <v>14.896066662928291</v>
      </c>
      <c r="Q5" s="100">
        <f>Q4+S4*Tableau!$G$2+((1/2)*U4)*Tableau!$G$2^2</f>
        <v>-95.064598248307064</v>
      </c>
      <c r="R5" s="100">
        <f>R4+T4*Tableau!$G$2</f>
        <v>59.584266651713165</v>
      </c>
      <c r="S5" s="100">
        <f>S4+U4*Tableau!$G$2</f>
        <v>-380.25839299322826</v>
      </c>
      <c r="T5" s="101">
        <f t="shared" si="0"/>
        <v>112.60116813851005</v>
      </c>
      <c r="U5" s="101">
        <f t="shared" si="1"/>
        <v>-763.33122122422583</v>
      </c>
      <c r="V5" s="101">
        <f>((Tableau!$G$16-P5)/(AC5^2+Tableau!$G$21^2)^(3/2))*Tableau!$G$20</f>
        <v>795.8252382422603</v>
      </c>
      <c r="W5" s="101">
        <f>((Tableau!$H$16-Q5)/(AC5^2+Tableau!$G$21^2)^(3/2))*Tableau!$G$20</f>
        <v>302.44246482420186</v>
      </c>
      <c r="X5" s="101">
        <f>((Tableau!$G$25-P5)/(AD5^2+Tableau!$G$30^2)^(3/2))*Tableau!$G$29</f>
        <v>-277.53659386448641</v>
      </c>
      <c r="Y5" s="101">
        <f>((Tableau!$H$25-Q5)/(AD5^2+Tableau!$G$30^2)^(3/2))*Tableau!$G$29</f>
        <v>139.983232194067</v>
      </c>
      <c r="Z5" s="101">
        <f>((Tableau!$G$35-P5)/(AE5^2+Tableau!$G$40^2)^(3/2))*Tableau!$G$39</f>
        <v>-405.68747623926379</v>
      </c>
      <c r="AA5" s="102">
        <f>((Tableau!$H$35-Q5)/(AE5^2+Tableau!$G$40^2)^(3/2))*Tableau!$G$39</f>
        <v>-1205.7569182424947</v>
      </c>
      <c r="AC5" s="113">
        <f>SQRT((Tableau!$G$16-P5)^2+(Tableau!$H$16-Q5)^2)</f>
        <v>21379.6488623609</v>
      </c>
      <c r="AD5" s="114">
        <f>SQRT((Tableau!$G$25-P5)^2+(Tableau!$H$25-Q5)^2)</f>
        <v>22416.654384678492</v>
      </c>
      <c r="AE5" s="115">
        <f>SQRT((Tableau!$G$35-P5)^2+(Tableau!$H$35-Q5)^2)</f>
        <v>15725.974751659187</v>
      </c>
    </row>
    <row r="6" spans="2:31" x14ac:dyDescent="0.25">
      <c r="B6" s="20">
        <v>3</v>
      </c>
      <c r="C6" s="21">
        <f>Tableau!$G$17*COS(B6*PI()/180)+Tableau!$G$16</f>
        <v>24993.14767377287</v>
      </c>
      <c r="D6" s="21">
        <f>Tableau!$G$17*SIN(B6*PI()/180)+Tableau!$H$16</f>
        <v>7761.6797812147188</v>
      </c>
      <c r="F6" s="28">
        <v>3</v>
      </c>
      <c r="G6" s="29">
        <f>Tableau!$G$26*COS(F6*PI()/180)+Tableau!$G$25</f>
        <v>-16504.796628358992</v>
      </c>
      <c r="H6" s="29">
        <f>Tableau!$G$26*SIN(F6*PI()/180)+Tableau!$H$25</f>
        <v>10183.175846850303</v>
      </c>
      <c r="J6" s="36">
        <v>3</v>
      </c>
      <c r="K6" s="37">
        <f>Tableau!$G$36*COS(J6*PI()/180)+Tableau!$G$35</f>
        <v>-6.8523262271310159</v>
      </c>
      <c r="L6" s="37">
        <f>Tableau!$G$36*SIN(J6*PI()/180)+Tableau!$H$35</f>
        <v>-14738.32021878528</v>
      </c>
      <c r="N6" s="92">
        <v>2</v>
      </c>
      <c r="O6" s="93">
        <v>1</v>
      </c>
      <c r="P6" s="96">
        <f>P5+R5*Tableau!$G$2+((1/2)*T5)*Tableau!$G$2^2</f>
        <v>58.763346006098629</v>
      </c>
      <c r="Q6" s="96">
        <f>Q5+S5*Tableau!$G$2+((1/2)*U5)*Tableau!$G$2^2</f>
        <v>-380.61019739794943</v>
      </c>
      <c r="R6" s="96">
        <f>R5+T5*Tableau!$G$2</f>
        <v>115.88485072096819</v>
      </c>
      <c r="S6" s="96">
        <f>S5+U5*Tableau!$G$2</f>
        <v>-761.92400360534111</v>
      </c>
      <c r="T6" s="96">
        <f t="shared" si="0"/>
        <v>92.146298330016918</v>
      </c>
      <c r="U6" s="96">
        <f t="shared" si="1"/>
        <v>-772.07890139735071</v>
      </c>
      <c r="V6" s="96">
        <f>((Tableau!$G$16-P6)/(AC6^2+Tableau!$G$21^2)^(3/2))*Tableau!$G$20</f>
        <v>788.40883777649003</v>
      </c>
      <c r="W6" s="96">
        <f>((Tableau!$H$16-Q6)/(AC6^2+Tableau!$G$21^2)^(3/2))*Tableau!$G$20</f>
        <v>311.57258872687225</v>
      </c>
      <c r="X6" s="96">
        <f>((Tableau!$G$25-P6)/(AD6^2+Tableau!$G$30^2)^(3/2))*Tableau!$G$29</f>
        <v>-272.48950361186826</v>
      </c>
      <c r="Y6" s="96">
        <f>((Tableau!$H$25-Q6)/(AD6^2+Tableau!$G$30^2)^(3/2))*Tableau!$G$29</f>
        <v>141.01603728429595</v>
      </c>
      <c r="Z6" s="96">
        <f>((Tableau!$G$35-P6)/(AE6^2+Tableau!$G$40^2)^(3/2))*Tableau!$G$39</f>
        <v>-423.77303583460485</v>
      </c>
      <c r="AA6" s="97">
        <f>((Tableau!$H$35-Q6)/(AE6^2+Tableau!$G$40^2)^(3/2))*Tableau!$G$39</f>
        <v>-1224.6675274085189</v>
      </c>
      <c r="AC6" s="110">
        <f>SQRT((Tableau!$G$16-P6)^2+(Tableau!$H$16-Q6)^2)</f>
        <v>21441.943390791854</v>
      </c>
      <c r="AD6" s="111">
        <f>SQRT((Tableau!$G$25-P6)^2+(Tableau!$H$25-Q6)^2)</f>
        <v>22585.638247377468</v>
      </c>
      <c r="AE6" s="112">
        <f>SQRT((Tableau!$G$35-P6)^2+(Tableau!$H$35-Q6)^2)</f>
        <v>15469.894789277645</v>
      </c>
    </row>
    <row r="7" spans="2:31" x14ac:dyDescent="0.25">
      <c r="B7" s="18">
        <v>4</v>
      </c>
      <c r="C7" s="19">
        <f>Tableau!$G$17*COS(B7*PI()/180)+Tableau!$G$16</f>
        <v>24987.820251299119</v>
      </c>
      <c r="D7" s="19">
        <f>Tableau!$G$17*SIN(B7*PI()/180)+Tableau!$H$16</f>
        <v>7848.7823687206264</v>
      </c>
      <c r="F7" s="26">
        <v>4</v>
      </c>
      <c r="G7" s="27">
        <f>Tableau!$G$26*COS(F7*PI()/180)+Tableau!$G$25</f>
        <v>-16508.525824090615</v>
      </c>
      <c r="H7" s="27">
        <f>Tableau!$G$26*SIN(F7*PI()/180)+Tableau!$H$25</f>
        <v>10244.147658104439</v>
      </c>
      <c r="J7" s="34">
        <v>4</v>
      </c>
      <c r="K7" s="35">
        <f>Tableau!$G$36*COS(J7*PI()/180)+Tableau!$G$35</f>
        <v>-12.179748700878918</v>
      </c>
      <c r="L7" s="35">
        <f>Tableau!$G$36*SIN(J7*PI()/180)+Tableau!$H$35</f>
        <v>-14651.217631279373</v>
      </c>
      <c r="N7" s="98">
        <v>3</v>
      </c>
      <c r="O7" s="99">
        <v>1.5</v>
      </c>
      <c r="P7" s="101">
        <f>P6+R6*Tableau!$G$2+((1/2)*T6)*Tableau!$G$2^2</f>
        <v>128.22405865783483</v>
      </c>
      <c r="Q7" s="101">
        <f>Q6+S6*Tableau!$G$2+((1/2)*U6)*Tableau!$G$2^2</f>
        <v>-858.08206187528879</v>
      </c>
      <c r="R7" s="101">
        <f>R6+T6*Tableau!$G$2</f>
        <v>161.95799988597665</v>
      </c>
      <c r="S7" s="101">
        <f>S6+U6*Tableau!$G$2</f>
        <v>-1147.9634543040165</v>
      </c>
      <c r="T7" s="101">
        <f t="shared" si="0"/>
        <v>55.493464814631807</v>
      </c>
      <c r="U7" s="101">
        <f t="shared" si="1"/>
        <v>-787.69775044318101</v>
      </c>
      <c r="V7" s="101">
        <f>((Tableau!$G$16-P7)/(AC7^2+Tableau!$G$21^2)^(3/2))*Tableau!$G$20</f>
        <v>775.27663424571824</v>
      </c>
      <c r="W7" s="101">
        <f>((Tableau!$H$16-Q7)/(AC7^2+Tableau!$G$21^2)^(3/2))*Tableau!$G$20</f>
        <v>326.0818634835378</v>
      </c>
      <c r="X7" s="101">
        <f>((Tableau!$G$25-P7)/(AD7^2+Tableau!$G$30^2)^(3/2))*Tableau!$G$29</f>
        <v>-264.21336898309431</v>
      </c>
      <c r="Y7" s="101">
        <f>((Tableau!$H$25-Q7)/(AD7^2+Tableau!$G$30^2)^(3/2))*Tableau!$G$29</f>
        <v>142.52874142808358</v>
      </c>
      <c r="Z7" s="101">
        <f>((Tableau!$G$35-P7)/(AE7^2+Tableau!$G$40^2)^(3/2))*Tableau!$G$39</f>
        <v>-455.56980044799212</v>
      </c>
      <c r="AA7" s="102">
        <f>((Tableau!$H$35-Q7)/(AE7^2+Tableau!$G$40^2)^(3/2))*Tableau!$G$39</f>
        <v>-1256.3083553548024</v>
      </c>
      <c r="AC7" s="113">
        <f>SQRT((Tableau!$G$16-P7)^2+(Tableau!$H$16-Q7)^2)</f>
        <v>21557.945514727206</v>
      </c>
      <c r="AD7" s="114">
        <f>SQRT((Tableau!$G$25-P7)^2+(Tableau!$H$25-Q7)^2)</f>
        <v>22870.141010014562</v>
      </c>
      <c r="AE7" s="115">
        <f>SQRT((Tableau!$G$35-P7)^2+(Tableau!$H$35-Q7)^2)</f>
        <v>15043.022467724048</v>
      </c>
    </row>
    <row r="8" spans="2:31" x14ac:dyDescent="0.25">
      <c r="B8" s="20">
        <v>5</v>
      </c>
      <c r="C8" s="21">
        <f>Tableau!$G$17*COS(B8*PI()/180)+Tableau!$G$16</f>
        <v>24980.973490458728</v>
      </c>
      <c r="D8" s="21">
        <f>Tableau!$G$17*SIN(B8*PI()/180)+Tableau!$H$16</f>
        <v>7935.7787137382911</v>
      </c>
      <c r="F8" s="28">
        <v>5</v>
      </c>
      <c r="G8" s="29">
        <f>Tableau!$G$26*COS(F8*PI()/180)+Tableau!$G$25</f>
        <v>-16513.318556678889</v>
      </c>
      <c r="H8" s="29">
        <f>Tableau!$G$26*SIN(F8*PI()/180)+Tableau!$H$25</f>
        <v>10305.045099616804</v>
      </c>
      <c r="J8" s="36">
        <v>5</v>
      </c>
      <c r="K8" s="37">
        <f>Tableau!$G$36*COS(J8*PI()/180)+Tableau!$G$35</f>
        <v>-19.026509541272389</v>
      </c>
      <c r="L8" s="37">
        <f>Tableau!$G$36*SIN(J8*PI()/180)+Tableau!$H$35</f>
        <v>-14564.221286261709</v>
      </c>
      <c r="N8" s="92">
        <v>4</v>
      </c>
      <c r="O8" s="93">
        <v>2</v>
      </c>
      <c r="P8" s="96">
        <f>P7+R7*Tableau!$G$2+((1/2)*T7)*Tableau!$G$2^2</f>
        <v>216.13974170265215</v>
      </c>
      <c r="Q8" s="96">
        <f>Q7+S7*Tableau!$G$2+((1/2)*U7)*Tableau!$G$2^2</f>
        <v>-1530.5260078326946</v>
      </c>
      <c r="R8" s="96">
        <f>R7+T7*Tableau!$G$2</f>
        <v>189.70473229329255</v>
      </c>
      <c r="S8" s="96">
        <f>S7+U7*Tableau!$G$2</f>
        <v>-1541.8123295256071</v>
      </c>
      <c r="T8" s="96">
        <f t="shared" si="0"/>
        <v>-1.3168566428028043</v>
      </c>
      <c r="U8" s="96">
        <f t="shared" si="1"/>
        <v>-811.67785049592135</v>
      </c>
      <c r="V8" s="96">
        <f>((Tableau!$G$16-P8)/(AC8^2+Tableau!$G$21^2)^(3/2))*Tableau!$G$20</f>
        <v>755.32322118471393</v>
      </c>
      <c r="W8" s="96">
        <f>((Tableau!$H$16-Q8)/(AC8^2+Tableau!$G$21^2)^(3/2))*Tableau!$G$20</f>
        <v>344.77427075273715</v>
      </c>
      <c r="X8" s="96">
        <f>((Tableau!$G$25-P8)/(AD8^2+Tableau!$G$30^2)^(3/2))*Tableau!$G$29</f>
        <v>-252.93026836046505</v>
      </c>
      <c r="Y8" s="96">
        <f>((Tableau!$H$25-Q8)/(AD8^2+Tableau!$G$30^2)^(3/2))*Tableau!$G$29</f>
        <v>144.26191522026039</v>
      </c>
      <c r="Z8" s="96">
        <f>((Tableau!$G$35-P8)/(AE8^2+Tableau!$G$40^2)^(3/2))*Tableau!$G$39</f>
        <v>-503.70980946705168</v>
      </c>
      <c r="AA8" s="97">
        <f>((Tableau!$H$35-Q8)/(AE8^2+Tableau!$G$40^2)^(3/2))*Tableau!$G$39</f>
        <v>-1300.7140364689189</v>
      </c>
      <c r="AC8" s="110">
        <f>SQRT((Tableau!$G$16-P8)^2+(Tableau!$H$16-Q8)^2)</f>
        <v>21747.448739978212</v>
      </c>
      <c r="AD8" s="111">
        <f>SQRT((Tableau!$G$25-P8)^2+(Tableau!$H$25-Q8)^2)</f>
        <v>23273.27514711575</v>
      </c>
      <c r="AE8" s="112">
        <f>SQRT((Tableau!$G$35-P8)^2+(Tableau!$H$35-Q8)^2)</f>
        <v>14444.197569634711</v>
      </c>
    </row>
    <row r="9" spans="2:31" x14ac:dyDescent="0.25">
      <c r="B9" s="18">
        <v>6</v>
      </c>
      <c r="C9" s="19">
        <f>Tableau!$G$17*COS(B9*PI()/180)+Tableau!$G$16</f>
        <v>24972.609476841368</v>
      </c>
      <c r="D9" s="19">
        <f>Tableau!$G$17*SIN(B9*PI()/180)+Tableau!$H$16</f>
        <v>8022.6423163382669</v>
      </c>
      <c r="F9" s="26">
        <v>6</v>
      </c>
      <c r="G9" s="27">
        <f>Tableau!$G$26*COS(F9*PI()/180)+Tableau!$G$25</f>
        <v>-16519.173366211042</v>
      </c>
      <c r="H9" s="27">
        <f>Tableau!$G$26*SIN(F9*PI()/180)+Tableau!$H$25</f>
        <v>10365.849621436788</v>
      </c>
      <c r="J9" s="34">
        <v>6</v>
      </c>
      <c r="K9" s="35">
        <f>Tableau!$G$36*COS(J9*PI()/180)+Tableau!$G$35</f>
        <v>-27.390523158633187</v>
      </c>
      <c r="L9" s="35">
        <f>Tableau!$G$36*SIN(J9*PI()/180)+Tableau!$H$35</f>
        <v>-14477.357683661732</v>
      </c>
      <c r="N9" s="98">
        <v>5</v>
      </c>
      <c r="O9" s="99">
        <v>2.5</v>
      </c>
      <c r="P9" s="101">
        <f>P8+R8*Tableau!$G$2+((1/2)*T8)*Tableau!$G$2^2</f>
        <v>310.82750076894808</v>
      </c>
      <c r="Q9" s="101">
        <f>Q8+S8*Tableau!$G$2+((1/2)*U8)*Tableau!$G$2^2</f>
        <v>-2402.8919039074885</v>
      </c>
      <c r="R9" s="101">
        <f>R8+T8*Tableau!$G$2</f>
        <v>189.04630397189115</v>
      </c>
      <c r="S9" s="101">
        <f>S8+U8*Tableau!$G$2</f>
        <v>-1947.6512547735679</v>
      </c>
      <c r="T9" s="101">
        <f t="shared" si="0"/>
        <v>-83.96420581372297</v>
      </c>
      <c r="U9" s="101">
        <f t="shared" si="1"/>
        <v>-845.65329638356116</v>
      </c>
      <c r="V9" s="101">
        <f>((Tableau!$G$16-P9)/(AC9^2+Tableau!$G$21^2)^(3/2))*Tableau!$G$20</f>
        <v>727.24210333376709</v>
      </c>
      <c r="W9" s="101">
        <f>((Tableau!$H$16-Q9)/(AC9^2+Tableau!$G$21^2)^(3/2))*Tableau!$G$20</f>
        <v>365.77463768809366</v>
      </c>
      <c r="X9" s="101">
        <f>((Tableau!$G$25-P9)/(AD9^2+Tableau!$G$30^2)^(3/2))*Tableau!$G$29</f>
        <v>-238.95985187350047</v>
      </c>
      <c r="Y9" s="101">
        <f>((Tableau!$H$25-Q9)/(AD9^2+Tableau!$G$30^2)^(3/2))*Tableau!$G$29</f>
        <v>145.92183464945313</v>
      </c>
      <c r="Z9" s="101">
        <f>((Tableau!$G$35-P9)/(AE9^2+Tableau!$G$40^2)^(3/2))*Tableau!$G$39</f>
        <v>-572.24645727398956</v>
      </c>
      <c r="AA9" s="102">
        <f>((Tableau!$H$35-Q9)/(AE9^2+Tableau!$G$40^2)^(3/2))*Tableau!$G$39</f>
        <v>-1357.3497687211079</v>
      </c>
      <c r="AC9" s="113">
        <f>SQRT((Tableau!$G$16-P9)^2+(Tableau!$H$16-Q9)^2)</f>
        <v>22039.300845647369</v>
      </c>
      <c r="AD9" s="114">
        <f>SQRT((Tableau!$G$25-P9)^2+(Tableau!$H$25-Q9)^2)</f>
        <v>23798.349550882853</v>
      </c>
      <c r="AE9" s="115">
        <f>SQRT((Tableau!$G$35-P9)^2+(Tableau!$H$35-Q9)^2)</f>
        <v>13670.845662487864</v>
      </c>
    </row>
    <row r="10" spans="2:31" x14ac:dyDescent="0.25">
      <c r="B10" s="20">
        <v>7</v>
      </c>
      <c r="C10" s="21">
        <f>Tableau!$G$17*COS(B10*PI()/180)+Tableau!$G$16</f>
        <v>24962.73075820661</v>
      </c>
      <c r="D10" s="21">
        <f>Tableau!$G$17*SIN(B10*PI()/180)+Tableau!$H$16</f>
        <v>8109.3467170257372</v>
      </c>
      <c r="F10" s="28">
        <v>7</v>
      </c>
      <c r="G10" s="29">
        <f>Tableau!$G$26*COS(F10*PI()/180)+Tableau!$G$25</f>
        <v>-16526.088469255374</v>
      </c>
      <c r="H10" s="29">
        <f>Tableau!$G$26*SIN(F10*PI()/180)+Tableau!$H$25</f>
        <v>10426.542701918017</v>
      </c>
      <c r="J10" s="36">
        <v>7</v>
      </c>
      <c r="K10" s="37">
        <f>Tableau!$G$36*COS(J10*PI()/180)+Tableau!$G$35</f>
        <v>-37.269241793390393</v>
      </c>
      <c r="L10" s="37">
        <f>Tableau!$G$36*SIN(J10*PI()/180)+Tableau!$H$35</f>
        <v>-14390.653282974263</v>
      </c>
      <c r="N10" s="92">
        <v>6</v>
      </c>
      <c r="O10" s="93">
        <v>3</v>
      </c>
      <c r="P10" s="96">
        <f>P9+R9*Tableau!$G$2+((1/2)*T9)*Tableau!$G$2^2</f>
        <v>394.85512702817829</v>
      </c>
      <c r="Q10" s="96">
        <f>Q9+S9*Tableau!$G$2+((1/2)*U9)*Tableau!$G$2^2</f>
        <v>-3482.4241933422177</v>
      </c>
      <c r="R10" s="96">
        <f>R9+T9*Tableau!$G$2</f>
        <v>147.06420106502966</v>
      </c>
      <c r="S10" s="96">
        <f>S9+U9*Tableau!$G$2</f>
        <v>-2370.4779029653482</v>
      </c>
      <c r="T10" s="96">
        <f t="shared" si="0"/>
        <v>-199.84481721265149</v>
      </c>
      <c r="U10" s="96">
        <f t="shared" si="1"/>
        <v>-890.31902387599291</v>
      </c>
      <c r="V10" s="96">
        <f>((Tableau!$G$16-P10)/(AC10^2+Tableau!$G$21^2)^(3/2))*Tableau!$G$20</f>
        <v>689.86190376956449</v>
      </c>
      <c r="W10" s="96">
        <f>((Tableau!$H$16-Q10)/(AC10^2+Tableau!$G$21^2)^(3/2))*Tableau!$G$20</f>
        <v>386.4473387528472</v>
      </c>
      <c r="X10" s="96">
        <f>((Tableau!$G$25-P10)/(AD10^2+Tableau!$G$30^2)^(3/2))*Tableau!$G$29</f>
        <v>-222.70655944156962</v>
      </c>
      <c r="Y10" s="96">
        <f>((Tableau!$H$25-Q10)/(AD10^2+Tableau!$G$30^2)^(3/2))*Tableau!$G$29</f>
        <v>147.22459592526414</v>
      </c>
      <c r="Z10" s="96">
        <f>((Tableau!$G$35-P10)/(AE10^2+Tableau!$G$40^2)^(3/2))*Tableau!$G$39</f>
        <v>-667.00016154064633</v>
      </c>
      <c r="AA10" s="97">
        <f>((Tableau!$H$35-Q10)/(AE10^2+Tableau!$G$40^2)^(3/2))*Tableau!$G$39</f>
        <v>-1423.9909585541043</v>
      </c>
      <c r="AC10" s="110">
        <f>SQRT((Tableau!$G$16-P10)^2+(Tableau!$H$16-Q10)^2)</f>
        <v>22471.656517771931</v>
      </c>
      <c r="AD10" s="111">
        <f>SQRT((Tableau!$G$25-P10)^2+(Tableau!$H$25-Q10)^2)</f>
        <v>24448.433033257716</v>
      </c>
      <c r="AE10" s="112">
        <f>SQRT((Tableau!$G$35-P10)^2+(Tableau!$H$35-Q10)^2)</f>
        <v>12718.451725887506</v>
      </c>
    </row>
    <row r="11" spans="2:31" x14ac:dyDescent="0.25">
      <c r="B11" s="18">
        <v>8</v>
      </c>
      <c r="C11" s="19">
        <f>Tableau!$G$17*COS(B11*PI()/180)+Tableau!$G$16</f>
        <v>24951.340343707852</v>
      </c>
      <c r="D11" s="19">
        <f>Tableau!$G$17*SIN(B11*PI()/180)+Tableau!$H$16</f>
        <v>8195.8655048003275</v>
      </c>
      <c r="F11" s="26">
        <v>8</v>
      </c>
      <c r="G11" s="27">
        <f>Tableau!$G$26*COS(F11*PI()/180)+Tableau!$G$25</f>
        <v>-16534.061759404503</v>
      </c>
      <c r="H11" s="27">
        <f>Tableau!$G$26*SIN(F11*PI()/180)+Tableau!$H$25</f>
        <v>10487.10585336023</v>
      </c>
      <c r="J11" s="34">
        <v>8</v>
      </c>
      <c r="K11" s="35">
        <f>Tableau!$G$36*COS(J11*PI()/180)+Tableau!$G$35</f>
        <v>-48.659656292148611</v>
      </c>
      <c r="L11" s="35">
        <f>Tableau!$G$36*SIN(J11*PI()/180)+Tableau!$H$35</f>
        <v>-14304.134495199673</v>
      </c>
      <c r="N11" s="98">
        <v>7</v>
      </c>
      <c r="O11" s="99">
        <v>3.5</v>
      </c>
      <c r="P11" s="101">
        <f>P10+R10*Tableau!$G$2+((1/2)*T10)*Tableau!$G$2^2</f>
        <v>443.40662540911171</v>
      </c>
      <c r="Q11" s="101">
        <f>Q10+S10*Tableau!$G$2+((1/2)*U10)*Tableau!$G$2^2</f>
        <v>-4778.9530228093909</v>
      </c>
      <c r="R11" s="101">
        <f>R10+T10*Tableau!$G$2</f>
        <v>47.141792458703918</v>
      </c>
      <c r="S11" s="101">
        <f>S10+U10*Tableau!$G$2</f>
        <v>-2815.6374149033445</v>
      </c>
      <c r="T11" s="101">
        <f t="shared" si="0"/>
        <v>-357.75553329731326</v>
      </c>
      <c r="U11" s="101">
        <f t="shared" si="1"/>
        <v>-942.73052379080013</v>
      </c>
      <c r="V11" s="101">
        <f>((Tableau!$G$16-P11)/(AC11^2+Tableau!$G$21^2)^(3/2))*Tableau!$G$20</f>
        <v>642.60853053385199</v>
      </c>
      <c r="W11" s="101">
        <f>((Tableau!$H$16-Q11)/(AC11^2+Tableau!$G$21^2)^(3/2))*Tableau!$G$20</f>
        <v>403.47313089475165</v>
      </c>
      <c r="X11" s="101">
        <f>((Tableau!$G$25-P11)/(AD11^2+Tableau!$G$30^2)^(3/2))*Tableau!$G$29</f>
        <v>-204.63366046169691</v>
      </c>
      <c r="Y11" s="101">
        <f>((Tableau!$H$25-Q11)/(AD11^2+Tableau!$G$30^2)^(3/2))*Tableau!$G$29</f>
        <v>147.93382092640462</v>
      </c>
      <c r="Z11" s="101">
        <f>((Tableau!$G$35-P11)/(AE11^2+Tableau!$G$40^2)^(3/2))*Tableau!$G$39</f>
        <v>-795.73040336946838</v>
      </c>
      <c r="AA11" s="102">
        <f>((Tableau!$H$35-Q11)/(AE11^2+Tableau!$G$40^2)^(3/2))*Tableau!$G$39</f>
        <v>-1494.1374756119565</v>
      </c>
      <c r="AC11" s="113">
        <f>SQRT((Tableau!$G$16-P11)^2+(Tableau!$H$16-Q11)^2)</f>
        <v>23091.839072612907</v>
      </c>
      <c r="AD11" s="114">
        <f>SQRT((Tableau!$G$25-P11)^2+(Tableau!$H$25-Q11)^2)</f>
        <v>25225.985152263685</v>
      </c>
      <c r="AE11" s="115">
        <f>SQRT((Tableau!$G$35-P11)^2+(Tableau!$H$35-Q11)^2)</f>
        <v>11580.176034909191</v>
      </c>
    </row>
    <row r="12" spans="2:31" x14ac:dyDescent="0.25">
      <c r="B12" s="20">
        <v>9</v>
      </c>
      <c r="C12" s="21">
        <f>Tableau!$G$17*COS(B12*PI()/180)+Tableau!$G$16</f>
        <v>24938.441702975688</v>
      </c>
      <c r="D12" s="21">
        <f>Tableau!$G$17*SIN(B12*PI()/180)+Tableau!$H$16</f>
        <v>8282.1723252011543</v>
      </c>
      <c r="F12" s="28">
        <v>9</v>
      </c>
      <c r="G12" s="29">
        <f>Tableau!$G$26*COS(F12*PI()/180)+Tableau!$G$25</f>
        <v>-16543.090807917019</v>
      </c>
      <c r="H12" s="29">
        <f>Tableau!$G$26*SIN(F12*PI()/180)+Tableau!$H$25</f>
        <v>10547.520627640808</v>
      </c>
      <c r="J12" s="36">
        <v>9</v>
      </c>
      <c r="K12" s="37">
        <f>Tableau!$G$36*COS(J12*PI()/180)+Tableau!$G$35</f>
        <v>-61.558297024311287</v>
      </c>
      <c r="L12" s="37">
        <f>Tableau!$G$36*SIN(J12*PI()/180)+Tableau!$H$35</f>
        <v>-14217.827674798846</v>
      </c>
      <c r="N12" s="92">
        <v>8</v>
      </c>
      <c r="O12" s="93">
        <v>4</v>
      </c>
      <c r="P12" s="96">
        <f>P11+R11*Tableau!$G$2+((1/2)*T11)*Tableau!$G$2^2</f>
        <v>422.25807997629948</v>
      </c>
      <c r="Q12" s="96">
        <f>Q11+S11*Tableau!$G$2+((1/2)*U11)*Tableau!$G$2^2</f>
        <v>-6304.6130457349136</v>
      </c>
      <c r="R12" s="96">
        <f>R11+T11*Tableau!$G$2</f>
        <v>-131.73597418995271</v>
      </c>
      <c r="S12" s="96">
        <f>S11+U11*Tableau!$G$2</f>
        <v>-3287.0026767987447</v>
      </c>
      <c r="T12" s="96">
        <f t="shared" si="0"/>
        <v>-566.40680704753868</v>
      </c>
      <c r="U12" s="96">
        <f t="shared" si="1"/>
        <v>-989.94508802537234</v>
      </c>
      <c r="V12" s="96">
        <f>((Tableau!$G$16-P12)/(AC12^2+Tableau!$G$21^2)^(3/2))*Tableau!$G$20</f>
        <v>586.01836897302167</v>
      </c>
      <c r="W12" s="96">
        <f>((Tableau!$H$16-Q12)/(AC12^2+Tableau!$G$21^2)^(3/2))*Tableau!$G$20</f>
        <v>413.21194519840094</v>
      </c>
      <c r="X12" s="96">
        <f>((Tableau!$G$25-P12)/(AD12^2+Tableau!$G$30^2)^(3/2))*Tableau!$G$29</f>
        <v>-185.22979369488903</v>
      </c>
      <c r="Y12" s="96">
        <f>((Tableau!$H$25-Q12)/(AD12^2+Tableau!$G$30^2)^(3/2))*Tableau!$G$29</f>
        <v>147.88277079397184</v>
      </c>
      <c r="Z12" s="96">
        <f>((Tableau!$G$35-P12)/(AE12^2+Tableau!$G$40^2)^(3/2))*Tableau!$G$39</f>
        <v>-967.19538232567129</v>
      </c>
      <c r="AA12" s="97">
        <f>((Tableau!$H$35-Q12)/(AE12^2+Tableau!$G$40^2)^(3/2))*Tableau!$G$39</f>
        <v>-1551.0398040177452</v>
      </c>
      <c r="AC12" s="110">
        <f>SQRT((Tableau!$G$16-P12)^2+(Tableau!$H$16-Q12)^2)</f>
        <v>23955.277498487216</v>
      </c>
      <c r="AD12" s="111">
        <f>SQRT((Tableau!$G$25-P12)^2+(Tableau!$H$25-Q12)^2)</f>
        <v>26132.528229321906</v>
      </c>
      <c r="AE12" s="112">
        <f>SQRT((Tableau!$G$35-P12)^2+(Tableau!$H$35-Q12)^2)</f>
        <v>10247.469783818429</v>
      </c>
    </row>
    <row r="13" spans="2:31" x14ac:dyDescent="0.25">
      <c r="B13" s="18">
        <v>10</v>
      </c>
      <c r="C13" s="19">
        <f>Tableau!$G$17*COS(B13*PI()/180)+Tableau!$G$16</f>
        <v>24924.038765061039</v>
      </c>
      <c r="D13" s="19">
        <f>Tableau!$G$17*SIN(B13*PI()/180)+Tableau!$H$16</f>
        <v>8368.2408883346525</v>
      </c>
      <c r="F13" s="26">
        <v>10</v>
      </c>
      <c r="G13" s="27">
        <f>Tableau!$G$26*COS(F13*PI()/180)+Tableau!$G$25</f>
        <v>-16553.172864457272</v>
      </c>
      <c r="H13" s="27">
        <f>Tableau!$G$26*SIN(F13*PI()/180)+Tableau!$H$25</f>
        <v>10607.768621834257</v>
      </c>
      <c r="J13" s="34">
        <v>10</v>
      </c>
      <c r="K13" s="35">
        <f>Tableau!$G$36*COS(J13*PI()/180)+Tableau!$G$35</f>
        <v>-75.961234938959933</v>
      </c>
      <c r="L13" s="35">
        <f>Tableau!$G$36*SIN(J13*PI()/180)+Tableau!$H$35</f>
        <v>-14131.759111665348</v>
      </c>
      <c r="N13" s="98">
        <v>9</v>
      </c>
      <c r="O13" s="99">
        <v>4.5</v>
      </c>
      <c r="P13" s="101">
        <f>P12+R12*Tableau!$G$2+((1/2)*T12)*Tableau!$G$2^2</f>
        <v>285.58924200038081</v>
      </c>
      <c r="Q13" s="101">
        <f>Q12+S12*Tableau!$G$2+((1/2)*U12)*Tableau!$G$2^2</f>
        <v>-8071.857520137457</v>
      </c>
      <c r="R13" s="101">
        <f>R12+T12*Tableau!$G$2</f>
        <v>-414.93937771372202</v>
      </c>
      <c r="S13" s="101">
        <f>S12+U12*Tableau!$G$2</f>
        <v>-3781.975220811431</v>
      </c>
      <c r="T13" s="101">
        <f t="shared" si="0"/>
        <v>-828.77600778486465</v>
      </c>
      <c r="U13" s="101">
        <f t="shared" si="1"/>
        <v>-995.06934178179381</v>
      </c>
      <c r="V13" s="101">
        <f>((Tableau!$G$16-P13)/(AC13^2+Tableau!$G$21^2)^(3/2))*Tableau!$G$20</f>
        <v>522.13276740854087</v>
      </c>
      <c r="W13" s="101">
        <f>((Tableau!$H$16-Q13)/(AC13^2+Tableau!$G$21^2)^(3/2))*Tableau!$G$20</f>
        <v>412.417959658352</v>
      </c>
      <c r="X13" s="101">
        <f>((Tableau!$G$25-P13)/(AD13^2+Tableau!$G$30^2)^(3/2))*Tableau!$G$29</f>
        <v>-164.98248751021697</v>
      </c>
      <c r="Y13" s="101">
        <f>((Tableau!$H$25-Q13)/(AD13^2+Tableau!$G$30^2)^(3/2))*Tableau!$G$29</f>
        <v>146.97823031087293</v>
      </c>
      <c r="Z13" s="101">
        <f>((Tableau!$G$35-P13)/(AE13^2+Tableau!$G$40^2)^(3/2))*Tableau!$G$39</f>
        <v>-1185.9262876831885</v>
      </c>
      <c r="AA13" s="102">
        <f>((Tableau!$H$35-Q13)/(AE13^2+Tableau!$G$40^2)^(3/2))*Tableau!$G$39</f>
        <v>-1554.4655317510187</v>
      </c>
      <c r="AC13" s="113">
        <f>SQRT((Tableau!$G$16-P13)^2+(Tableau!$H$16-Q13)^2)</f>
        <v>25122.514566869948</v>
      </c>
      <c r="AD13" s="114">
        <f>SQRT((Tableau!$G$25-P13)^2+(Tableau!$H$25-Q13)^2)</f>
        <v>27167.943704360667</v>
      </c>
      <c r="AE13" s="115">
        <f>SQRT((Tableau!$G$35-P13)^2+(Tableau!$H$35-Q13)^2)</f>
        <v>8714.161569332191</v>
      </c>
    </row>
    <row r="14" spans="2:31" x14ac:dyDescent="0.25">
      <c r="B14" s="20">
        <v>11</v>
      </c>
      <c r="C14" s="21">
        <f>Tableau!$G$17*COS(B14*PI()/180)+Tableau!$G$16</f>
        <v>24908.13591723832</v>
      </c>
      <c r="D14" s="21">
        <f>Tableau!$G$17*SIN(B14*PI()/180)+Tableau!$H$16</f>
        <v>8454.0449768827239</v>
      </c>
      <c r="F14" s="28">
        <v>11</v>
      </c>
      <c r="G14" s="29">
        <f>Tableau!$G$26*COS(F14*PI()/180)+Tableau!$G$25</f>
        <v>-16564.304857933177</v>
      </c>
      <c r="H14" s="29">
        <f>Tableau!$G$26*SIN(F14*PI()/180)+Tableau!$H$25</f>
        <v>10667.831483817907</v>
      </c>
      <c r="J14" s="36">
        <v>11</v>
      </c>
      <c r="K14" s="37">
        <f>Tableau!$G$36*COS(J14*PI()/180)+Tableau!$G$35</f>
        <v>-91.864082761680038</v>
      </c>
      <c r="L14" s="37">
        <f>Tableau!$G$36*SIN(J14*PI()/180)+Tableau!$H$35</f>
        <v>-14045.955023117276</v>
      </c>
      <c r="N14" s="92">
        <v>10</v>
      </c>
      <c r="O14" s="93">
        <v>5</v>
      </c>
      <c r="P14" s="96">
        <f>P13+R13*Tableau!$G$2+((1/2)*T13)*Tableau!$G$2^2</f>
        <v>-25.477447829588286</v>
      </c>
      <c r="Q14" s="96">
        <f>Q13+S13*Tableau!$G$2+((1/2)*U13)*Tableau!$G$2^2</f>
        <v>-10087.228798265896</v>
      </c>
      <c r="R14" s="96">
        <f>R13+T13*Tableau!$G$2</f>
        <v>-829.3273816061544</v>
      </c>
      <c r="S14" s="96">
        <f>S13+U13*Tableau!$G$2</f>
        <v>-4279.5098917023279</v>
      </c>
      <c r="T14" s="96">
        <f t="shared" si="0"/>
        <v>-1123.6291357065463</v>
      </c>
      <c r="U14" s="96">
        <f t="shared" si="1"/>
        <v>-871.60038634060834</v>
      </c>
      <c r="V14" s="96">
        <f>((Tableau!$G$16-P14)/(AC14^2+Tableau!$G$21^2)^(3/2))*Tableau!$G$20</f>
        <v>454.55698178624539</v>
      </c>
      <c r="W14" s="96">
        <f>((Tableau!$H$16-Q14)/(AC14^2+Tableau!$G$21^2)^(3/2))*Tableau!$G$20</f>
        <v>399.21133772470102</v>
      </c>
      <c r="X14" s="96">
        <f>((Tableau!$G$25-P14)/(AD14^2+Tableau!$G$30^2)^(3/2))*Tableau!$G$29</f>
        <v>-144.38057391759932</v>
      </c>
      <c r="Y14" s="96">
        <f>((Tableau!$H$25-Q14)/(AD14^2+Tableau!$G$30^2)^(3/2))*Tableau!$G$29</f>
        <v>145.19524132468564</v>
      </c>
      <c r="Z14" s="96">
        <f>((Tableau!$G$35-P14)/(AE14^2+Tableau!$G$40^2)^(3/2))*Tableau!$G$39</f>
        <v>-1433.8055435751924</v>
      </c>
      <c r="AA14" s="97">
        <f>((Tableau!$H$35-Q14)/(AE14^2+Tableau!$G$40^2)^(3/2))*Tableau!$G$39</f>
        <v>-1416.006965389995</v>
      </c>
      <c r="AC14" s="110">
        <f>SQRT((Tableau!$G$16-P14)^2+(Tableau!$H$16-Q14)^2)</f>
        <v>26652.02363454011</v>
      </c>
      <c r="AD14" s="111">
        <f>SQRT((Tableau!$G$25-P14)^2+(Tableau!$H$25-Q14)^2)</f>
        <v>28328.0481498646</v>
      </c>
      <c r="AE14" s="112">
        <f>SQRT((Tableau!$G$35-P14)^2+(Tableau!$H$35-Q14)^2)</f>
        <v>6991.5088144577194</v>
      </c>
    </row>
    <row r="15" spans="2:31" x14ac:dyDescent="0.25">
      <c r="B15" s="18">
        <v>12</v>
      </c>
      <c r="C15" s="19">
        <f>Tableau!$G$17*COS(B15*PI()/180)+Tableau!$G$16</f>
        <v>24890.73800366903</v>
      </c>
      <c r="D15" s="19">
        <f>Tableau!$G$17*SIN(B15*PI()/180)+Tableau!$H$16</f>
        <v>8539.5584540887976</v>
      </c>
      <c r="F15" s="26">
        <v>12</v>
      </c>
      <c r="G15" s="27">
        <f>Tableau!$G$26*COS(F15*PI()/180)+Tableau!$G$25</f>
        <v>-16576.483397431679</v>
      </c>
      <c r="H15" s="27">
        <f>Tableau!$G$26*SIN(F15*PI()/180)+Tableau!$H$25</f>
        <v>10727.690917862157</v>
      </c>
      <c r="J15" s="34">
        <v>12</v>
      </c>
      <c r="K15" s="35">
        <f>Tableau!$G$36*COS(J15*PI()/180)+Tableau!$G$35</f>
        <v>-109.26199633097167</v>
      </c>
      <c r="L15" s="35">
        <f>Tableau!$G$36*SIN(J15*PI()/180)+Tableau!$H$35</f>
        <v>-13960.441545911202</v>
      </c>
      <c r="N15" s="98">
        <v>11</v>
      </c>
      <c r="O15" s="99">
        <v>5.5</v>
      </c>
      <c r="P15" s="101">
        <f>P14+R14*Tableau!$G$2+((1/2)*T14)*Tableau!$G$2^2</f>
        <v>-580.59478059598382</v>
      </c>
      <c r="Q15" s="101">
        <f>Q14+S14*Tableau!$G$2+((1/2)*U14)*Tableau!$G$2^2</f>
        <v>-12335.933792409636</v>
      </c>
      <c r="R15" s="101">
        <f>R14+T14*Tableau!$G$2</f>
        <v>-1391.1419494594275</v>
      </c>
      <c r="S15" s="101">
        <f>S14+U14*Tableau!$G$2</f>
        <v>-4715.3100848726317</v>
      </c>
      <c r="T15" s="101">
        <f t="shared" si="0"/>
        <v>-1359.8455053048283</v>
      </c>
      <c r="U15" s="101">
        <f t="shared" si="1"/>
        <v>-462.32608673715288</v>
      </c>
      <c r="V15" s="101">
        <f>((Tableau!$G$16-P15)/(AC15^2+Tableau!$G$21^2)^(3/2))*Tableau!$G$20</f>
        <v>388.04730664497805</v>
      </c>
      <c r="W15" s="101">
        <f>((Tableau!$H$16-Q15)/(AC15^2+Tableau!$G$21^2)^(3/2))*Tableau!$G$20</f>
        <v>374.006716763594</v>
      </c>
      <c r="X15" s="101">
        <f>((Tableau!$G$25-P15)/(AD15^2+Tableau!$G$30^2)^(3/2))*Tableau!$G$29</f>
        <v>-123.96839267233051</v>
      </c>
      <c r="Y15" s="101">
        <f>((Tableau!$H$25-Q15)/(AD15^2+Tableau!$G$30^2)^(3/2))*Tableau!$G$29</f>
        <v>142.58674659684524</v>
      </c>
      <c r="Z15" s="101">
        <f>((Tableau!$G$35-P15)/(AE15^2+Tableau!$G$40^2)^(3/2))*Tableau!$G$39</f>
        <v>-1623.9244192774759</v>
      </c>
      <c r="AA15" s="102">
        <f>((Tableau!$H$35-Q15)/(AE15^2+Tableau!$G$40^2)^(3/2))*Tableau!$G$39</f>
        <v>-978.91955009759215</v>
      </c>
      <c r="AC15" s="113">
        <f>SQRT((Tableau!$G$16-P15)^2+(Tableau!$H$16-Q15)^2)</f>
        <v>28583.651812530064</v>
      </c>
      <c r="AD15" s="114">
        <f>SQRT((Tableau!$G$25-P15)^2+(Tableau!$H$25-Q15)^2)</f>
        <v>29597.419439105204</v>
      </c>
      <c r="AE15" s="115">
        <f>SQRT((Tableau!$G$35-P15)^2+(Tableau!$H$35-Q15)^2)</f>
        <v>5160.2704630397393</v>
      </c>
    </row>
    <row r="16" spans="2:31" x14ac:dyDescent="0.25">
      <c r="B16" s="20">
        <v>13</v>
      </c>
      <c r="C16" s="21">
        <f>Tableau!$G$17*COS(B16*PI()/180)+Tableau!$G$16</f>
        <v>24871.850323926177</v>
      </c>
      <c r="D16" s="21">
        <f>Tableau!$G$17*SIN(B16*PI()/180)+Tableau!$H$16</f>
        <v>8624.7552717193248</v>
      </c>
      <c r="F16" s="28">
        <v>13</v>
      </c>
      <c r="G16" s="29">
        <f>Tableau!$G$26*COS(F16*PI()/180)+Tableau!$G$25</f>
        <v>-16589.704773251677</v>
      </c>
      <c r="H16" s="29">
        <f>Tableau!$G$26*SIN(F16*PI()/180)+Tableau!$H$25</f>
        <v>10787.328690203527</v>
      </c>
      <c r="J16" s="36">
        <v>13</v>
      </c>
      <c r="K16" s="37">
        <f>Tableau!$G$36*COS(J16*PI()/180)+Tableau!$G$35</f>
        <v>-128.14967607382368</v>
      </c>
      <c r="L16" s="37">
        <f>Tableau!$G$36*SIN(J16*PI()/180)+Tableau!$H$35</f>
        <v>-13875.244728280675</v>
      </c>
      <c r="N16" s="92">
        <v>12</v>
      </c>
      <c r="O16" s="93">
        <v>6</v>
      </c>
      <c r="P16" s="96">
        <f>P15+R15*Tableau!$G$2+((1/2)*T15)*Tableau!$G$2^2</f>
        <v>-1446.1464434888012</v>
      </c>
      <c r="Q16" s="96">
        <f>Q15+S15*Tableau!$G$2+((1/2)*U15)*Tableau!$G$2^2</f>
        <v>-14751.379595688097</v>
      </c>
      <c r="R16" s="96">
        <f>R15+T15*Tableau!$G$2</f>
        <v>-2071.0647021118416</v>
      </c>
      <c r="S16" s="96">
        <f>S15+U15*Tableau!$G$2</f>
        <v>-4946.4731282412085</v>
      </c>
      <c r="T16" s="96">
        <f t="shared" si="0"/>
        <v>-1332.2496091808098</v>
      </c>
      <c r="U16" s="96">
        <f t="shared" si="1"/>
        <v>370.49150591336036</v>
      </c>
      <c r="V16" s="96">
        <f>((Tableau!$G$16-P16)/(AC16^2+Tableau!$G$21^2)^(3/2))*Tableau!$G$20</f>
        <v>327.66607473698099</v>
      </c>
      <c r="W16" s="96">
        <f>((Tableau!$H$16-Q16)/(AC16^2+Tableau!$G$21^2)^(3/2))*Tableau!$G$20</f>
        <v>339.96887174177044</v>
      </c>
      <c r="X16" s="96">
        <f>((Tableau!$G$25-P16)/(AD16^2+Tableau!$G$30^2)^(3/2))*Tableau!$G$29</f>
        <v>-104.45037905727233</v>
      </c>
      <c r="Y16" s="96">
        <f>((Tableau!$H$25-Q16)/(AD16^2+Tableau!$G$30^2)^(3/2))*Tableau!$G$29</f>
        <v>139.33983973118018</v>
      </c>
      <c r="Z16" s="96">
        <f>((Tableau!$G$35-P16)/(AE16^2+Tableau!$G$40^2)^(3/2))*Tableau!$G$39</f>
        <v>-1555.4653048605185</v>
      </c>
      <c r="AA16" s="97">
        <f>((Tableau!$H$35-Q16)/(AE16^2+Tableau!$G$40^2)^(3/2))*Tableau!$G$39</f>
        <v>-108.81720555959023</v>
      </c>
      <c r="AC16" s="110">
        <f>SQRT((Tableau!$G$16-P16)^2+(Tableau!$H$16-Q16)^2)</f>
        <v>30904.062697111069</v>
      </c>
      <c r="AD16" s="111">
        <f>SQRT((Tableau!$G$25-P16)^2+(Tableau!$H$25-Q16)^2)</f>
        <v>30933.416780018149</v>
      </c>
      <c r="AE16" s="112">
        <f>SQRT((Tableau!$G$35-P16)^2+(Tableau!$H$35-Q16)^2)</f>
        <v>3562.5394322824709</v>
      </c>
    </row>
    <row r="17" spans="2:31" x14ac:dyDescent="0.25">
      <c r="B17" s="18">
        <v>14</v>
      </c>
      <c r="C17" s="19">
        <f>Tableau!$G$17*COS(B17*PI()/180)+Tableau!$G$16</f>
        <v>24851.478631379981</v>
      </c>
      <c r="D17" s="19">
        <f>Tableau!$G$17*SIN(B17*PI()/180)+Tableau!$H$16</f>
        <v>8709.6094779983396</v>
      </c>
      <c r="F17" s="26">
        <v>14</v>
      </c>
      <c r="G17" s="27">
        <f>Tableau!$G$26*COS(F17*PI()/180)+Tableau!$G$25</f>
        <v>-16603.964958034012</v>
      </c>
      <c r="H17" s="27">
        <f>Tableau!$G$26*SIN(F17*PI()/180)+Tableau!$H$25</f>
        <v>10846.726634598837</v>
      </c>
      <c r="J17" s="34">
        <v>14</v>
      </c>
      <c r="K17" s="35">
        <f>Tableau!$G$36*COS(J17*PI()/180)+Tableau!$G$35</f>
        <v>-148.52136862001771</v>
      </c>
      <c r="L17" s="35">
        <f>Tableau!$G$36*SIN(J17*PI()/180)+Tableau!$H$35</f>
        <v>-13790.39052200166</v>
      </c>
      <c r="N17" s="98">
        <v>13</v>
      </c>
      <c r="O17" s="99">
        <v>6.5</v>
      </c>
      <c r="P17" s="101">
        <f>P16+R16*Tableau!$G$2+((1/2)*T16)*Tableau!$G$2^2</f>
        <v>-2648.2099956923234</v>
      </c>
      <c r="Q17" s="101">
        <f>Q16+S16*Tableau!$G$2+((1/2)*U16)*Tableau!$G$2^2</f>
        <v>-17178.304721569533</v>
      </c>
      <c r="R17" s="101">
        <f>R16+T16*Tableau!$G$2</f>
        <v>-2737.1895067022465</v>
      </c>
      <c r="S17" s="101">
        <f>S16+U16*Tableau!$G$2</f>
        <v>-4761.2273752845285</v>
      </c>
      <c r="T17" s="101">
        <f t="shared" si="0"/>
        <v>-872.47773551196622</v>
      </c>
      <c r="U17" s="101">
        <f t="shared" si="1"/>
        <v>1423.2819869014561</v>
      </c>
      <c r="V17" s="101">
        <f>((Tableau!$G$16-P17)/(AC17^2+Tableau!$G$21^2)^(3/2))*Tableau!$G$20</f>
        <v>277.61756850883444</v>
      </c>
      <c r="W17" s="101">
        <f>((Tableau!$H$16-Q17)/(AC17^2+Tableau!$G$21^2)^(3/2))*Tableau!$G$20</f>
        <v>302.50209411804741</v>
      </c>
      <c r="X17" s="101">
        <f>((Tableau!$G$25-P17)/(AD17^2+Tableau!$G$30^2)^(3/2))*Tableau!$G$29</f>
        <v>-86.745678154182173</v>
      </c>
      <c r="Y17" s="101">
        <f>((Tableau!$H$25-Q17)/(AD17^2+Tableau!$G$30^2)^(3/2))*Tableau!$G$29</f>
        <v>135.87073573206416</v>
      </c>
      <c r="Z17" s="101">
        <f>((Tableau!$G$35-P17)/(AE17^2+Tableau!$G$40^2)^(3/2))*Tableau!$G$39</f>
        <v>-1063.3496258666185</v>
      </c>
      <c r="AA17" s="102">
        <f>((Tableau!$H$35-Q17)/(AE17^2+Tableau!$G$40^2)^(3/2))*Tableau!$G$39</f>
        <v>984.90915705134466</v>
      </c>
      <c r="AC17" s="113">
        <f>SQRT((Tableau!$G$16-P17)^2+(Tableau!$H$16-Q17)^2)</f>
        <v>33495.673451053626</v>
      </c>
      <c r="AD17" s="114">
        <f>SQRT((Tableau!$G$25-P17)^2+(Tableau!$H$25-Q17)^2)</f>
        <v>32245.0750331284</v>
      </c>
      <c r="AE17" s="115">
        <f>SQRT((Tableau!$G$35-P17)^2+(Tableau!$H$35-Q17)^2)</f>
        <v>3205.6087852970495</v>
      </c>
    </row>
    <row r="18" spans="2:31" x14ac:dyDescent="0.25">
      <c r="B18" s="20">
        <v>15</v>
      </c>
      <c r="C18" s="21">
        <f>Tableau!$G$17*COS(B18*PI()/180)+Tableau!$G$16</f>
        <v>24829.629131445341</v>
      </c>
      <c r="D18" s="21">
        <f>Tableau!$G$17*SIN(B18*PI()/180)+Tableau!$H$16</f>
        <v>8794.0952255126031</v>
      </c>
      <c r="F18" s="28">
        <v>15</v>
      </c>
      <c r="G18" s="29">
        <f>Tableau!$G$26*COS(F18*PI()/180)+Tableau!$G$25</f>
        <v>-16619.259607988261</v>
      </c>
      <c r="H18" s="29">
        <f>Tableau!$G$26*SIN(F18*PI()/180)+Tableau!$H$25</f>
        <v>10905.866657858822</v>
      </c>
      <c r="J18" s="36">
        <v>15</v>
      </c>
      <c r="K18" s="37">
        <f>Tableau!$G$36*COS(J18*PI()/180)+Tableau!$G$35</f>
        <v>-170.37086855465805</v>
      </c>
      <c r="L18" s="37">
        <f>Tableau!$G$36*SIN(J18*PI()/180)+Tableau!$H$35</f>
        <v>-13705.904774487397</v>
      </c>
      <c r="N18" s="92">
        <v>14</v>
      </c>
      <c r="O18" s="93">
        <v>7</v>
      </c>
      <c r="P18" s="96">
        <f>P17+R17*Tableau!$G$2+((1/2)*T17)*Tableau!$G$2^2</f>
        <v>-4125.8644659824422</v>
      </c>
      <c r="Q18" s="96">
        <f>Q17+S17*Tableau!$G$2+((1/2)*U17)*Tableau!$G$2^2</f>
        <v>-19381.008160849116</v>
      </c>
      <c r="R18" s="96">
        <f>R17+T17*Tableau!$G$2</f>
        <v>-3173.4283744582294</v>
      </c>
      <c r="S18" s="96">
        <f>S17+U17*Tableau!$G$2</f>
        <v>-4049.5863818338003</v>
      </c>
      <c r="T18" s="96">
        <f t="shared" si="0"/>
        <v>-180.17812858232014</v>
      </c>
      <c r="U18" s="96">
        <f t="shared" si="1"/>
        <v>2146.14213028827</v>
      </c>
      <c r="V18" s="96">
        <f>((Tableau!$G$16-P18)/(AC18^2+Tableau!$G$21^2)^(3/2))*Tableau!$G$20</f>
        <v>239.95577445043651</v>
      </c>
      <c r="W18" s="96">
        <f>((Tableau!$H$16-Q18)/(AC18^2+Tableau!$G$21^2)^(3/2))*Tableau!$G$20</f>
        <v>267.35842524274869</v>
      </c>
      <c r="X18" s="96">
        <f>((Tableau!$G$25-P18)/(AD18^2+Tableau!$G$30^2)^(3/2))*Tableau!$G$29</f>
        <v>-71.766807806764248</v>
      </c>
      <c r="Y18" s="96">
        <f>((Tableau!$H$25-Q18)/(AD18^2+Tableau!$G$30^2)^(3/2))*Tableau!$G$29</f>
        <v>132.83124371277012</v>
      </c>
      <c r="Z18" s="96">
        <f>((Tableau!$G$35-P18)/(AE18^2+Tableau!$G$40^2)^(3/2))*Tableau!$G$39</f>
        <v>-348.36709522599239</v>
      </c>
      <c r="AA18" s="97">
        <f>((Tableau!$H$35-Q18)/(AE18^2+Tableau!$G$40^2)^(3/2))*Tableau!$G$39</f>
        <v>1745.9524613327512</v>
      </c>
      <c r="AC18" s="110">
        <f>SQRT((Tableau!$G$16-P18)^2+(Tableau!$H$16-Q18)^2)</f>
        <v>36119.882834452706</v>
      </c>
      <c r="AD18" s="111">
        <f>SQRT((Tableau!$G$25-P18)^2+(Tableau!$H$25-Q18)^2)</f>
        <v>33395.086756890472</v>
      </c>
      <c r="AE18" s="112">
        <f>SQRT((Tableau!$G$35-P18)^2+(Tableau!$H$35-Q18)^2)</f>
        <v>4467.3644844873261</v>
      </c>
    </row>
    <row r="19" spans="2:31" x14ac:dyDescent="0.25">
      <c r="B19" s="18">
        <v>16</v>
      </c>
      <c r="C19" s="19">
        <f>Tableau!$G$17*COS(B19*PI()/180)+Tableau!$G$16</f>
        <v>24806.308479691594</v>
      </c>
      <c r="D19" s="19">
        <f>Tableau!$G$17*SIN(B19*PI()/180)+Tableau!$H$16</f>
        <v>8878.1867790849956</v>
      </c>
      <c r="F19" s="26">
        <v>16</v>
      </c>
      <c r="G19" s="27">
        <f>Tableau!$G$26*COS(F19*PI()/180)+Tableau!$G$25</f>
        <v>-16635.584064215884</v>
      </c>
      <c r="H19" s="27">
        <f>Tableau!$G$26*SIN(F19*PI()/180)+Tableau!$H$25</f>
        <v>10964.730745359497</v>
      </c>
      <c r="J19" s="34">
        <v>16</v>
      </c>
      <c r="K19" s="35">
        <f>Tableau!$G$36*COS(J19*PI()/180)+Tableau!$G$35</f>
        <v>-193.69152030840542</v>
      </c>
      <c r="L19" s="35">
        <f>Tableau!$G$36*SIN(J19*PI()/180)+Tableau!$H$35</f>
        <v>-13621.813220915004</v>
      </c>
      <c r="N19" s="98">
        <v>15</v>
      </c>
      <c r="O19" s="99">
        <v>7.5</v>
      </c>
      <c r="P19" s="101">
        <f>P18+R18*Tableau!$G$2+((1/2)*T18)*Tableau!$G$2^2</f>
        <v>-5735.1009192843476</v>
      </c>
      <c r="Q19" s="101">
        <f>Q18+S18*Tableau!$G$2+((1/2)*U18)*Tableau!$G$2^2</f>
        <v>-21137.533585479981</v>
      </c>
      <c r="R19" s="101">
        <f>R18+T18*Tableau!$G$2</f>
        <v>-3263.5174387493894</v>
      </c>
      <c r="S19" s="101">
        <f>S18+U18*Tableau!$G$2</f>
        <v>-2976.5153166896653</v>
      </c>
      <c r="T19" s="101">
        <f t="shared" si="0"/>
        <v>390.98118215131149</v>
      </c>
      <c r="U19" s="101">
        <f t="shared" si="1"/>
        <v>2346.9237498752987</v>
      </c>
      <c r="V19" s="101">
        <f>((Tableau!$G$16-P19)/(AC19^2+Tableau!$G$21^2)^(3/2))*Tableau!$G$20</f>
        <v>214.06641854686353</v>
      </c>
      <c r="W19" s="101">
        <f>((Tableau!$H$16-Q19)/(AC19^2+Tableau!$G$21^2)^(3/2))*Tableau!$G$20</f>
        <v>238.20906200781644</v>
      </c>
      <c r="X19" s="101">
        <f>((Tableau!$G$25-P19)/(AD19^2+Tableau!$G$30^2)^(3/2))*Tableau!$G$29</f>
        <v>-59.970388456142473</v>
      </c>
      <c r="Y19" s="101">
        <f>((Tableau!$H$25-Q19)/(AD19^2+Tableau!$G$30^2)^(3/2))*Tableau!$G$29</f>
        <v>130.90383423825355</v>
      </c>
      <c r="Z19" s="101">
        <f>((Tableau!$G$35-P19)/(AE19^2+Tableau!$G$40^2)^(3/2))*Tableau!$G$39</f>
        <v>236.88515206059043</v>
      </c>
      <c r="AA19" s="102">
        <f>((Tableau!$H$35-Q19)/(AE19^2+Tableau!$G$40^2)^(3/2))*Tableau!$G$39</f>
        <v>1977.8108536292286</v>
      </c>
      <c r="AC19" s="113">
        <f>SQRT((Tableau!$G$16-P19)^2+(Tableau!$H$16-Q19)^2)</f>
        <v>38501.996690889217</v>
      </c>
      <c r="AD19" s="114">
        <f>SQRT((Tableau!$G$25-P19)^2+(Tableau!$H$25-Q19)^2)</f>
        <v>34249.574356039753</v>
      </c>
      <c r="AE19" s="115">
        <f>SQRT((Tableau!$G$35-P19)^2+(Tableau!$H$35-Q19)^2)</f>
        <v>6181.3988606485709</v>
      </c>
    </row>
    <row r="20" spans="2:31" x14ac:dyDescent="0.25">
      <c r="B20" s="20">
        <v>17</v>
      </c>
      <c r="C20" s="21">
        <f>Tableau!$G$17*COS(B20*PI()/180)+Tableau!$G$16</f>
        <v>24781.523779815179</v>
      </c>
      <c r="D20" s="21">
        <f>Tableau!$G$17*SIN(B20*PI()/180)+Tableau!$H$16</f>
        <v>8961.8585236136842</v>
      </c>
      <c r="F20" s="28">
        <v>17</v>
      </c>
      <c r="G20" s="29">
        <f>Tableau!$G$26*COS(F20*PI()/180)+Tableau!$G$25</f>
        <v>-16652.933354129374</v>
      </c>
      <c r="H20" s="29">
        <f>Tableau!$G$26*SIN(F20*PI()/180)+Tableau!$H$25</f>
        <v>11023.300966529579</v>
      </c>
      <c r="J20" s="36">
        <v>17</v>
      </c>
      <c r="K20" s="37">
        <f>Tableau!$G$36*COS(J20*PI()/180)+Tableau!$G$35</f>
        <v>-218.47622018482252</v>
      </c>
      <c r="L20" s="37">
        <f>Tableau!$G$36*SIN(J20*PI()/180)+Tableau!$H$35</f>
        <v>-13538.141476386316</v>
      </c>
      <c r="N20" s="92">
        <v>16</v>
      </c>
      <c r="O20" s="93">
        <v>8</v>
      </c>
      <c r="P20" s="96">
        <f>P19+R19*Tableau!$G$2+((1/2)*T19)*Tableau!$G$2^2</f>
        <v>-7317.9869908901283</v>
      </c>
      <c r="Q20" s="96">
        <f>Q19+S19*Tableau!$G$2+((1/2)*U19)*Tableau!$G$2^2</f>
        <v>-22332.4257750904</v>
      </c>
      <c r="R20" s="96">
        <f>R19+T19*Tableau!$G$2</f>
        <v>-3068.0268476737338</v>
      </c>
      <c r="S20" s="96">
        <f>S19+U19*Tableau!$G$2</f>
        <v>-1803.0534417520159</v>
      </c>
      <c r="T20" s="96">
        <f t="shared" si="0"/>
        <v>751.07099628410424</v>
      </c>
      <c r="U20" s="96">
        <f t="shared" si="1"/>
        <v>2258.9192906209232</v>
      </c>
      <c r="V20" s="96">
        <f>((Tableau!$G$16-P20)/(AC20^2+Tableau!$G$21^2)^(3/2))*Tableau!$G$20</f>
        <v>197.71080916798957</v>
      </c>
      <c r="W20" s="96">
        <f>((Tableau!$H$16-Q20)/(AC20^2+Tableau!$G$21^2)^(3/2))*Tableau!$G$20</f>
        <v>215.90877253891412</v>
      </c>
      <c r="X20" s="96">
        <f>((Tableau!$G$25-P20)/(AD20^2+Tableau!$G$30^2)^(3/2))*Tableau!$G$29</f>
        <v>-51.215518141821811</v>
      </c>
      <c r="Y20" s="96">
        <f>((Tableau!$H$25-Q20)/(AD20^2+Tableau!$G$30^2)^(3/2))*Tableau!$G$29</f>
        <v>130.5724838528198</v>
      </c>
      <c r="Z20" s="96">
        <f>((Tableau!$G$35-P20)/(AE20^2+Tableau!$G$40^2)^(3/2))*Tableau!$G$39</f>
        <v>604.57570525793653</v>
      </c>
      <c r="AA20" s="97">
        <f>((Tableau!$H$35-Q20)/(AE20^2+Tableau!$G$40^2)^(3/2))*Tableau!$G$39</f>
        <v>1912.4380342291893</v>
      </c>
      <c r="AC20" s="110">
        <f>SQRT((Tableau!$G$16-P20)^2+(Tableau!$H$16-Q20)^2)</f>
        <v>40450.538202361662</v>
      </c>
      <c r="AD20" s="111">
        <f>SQRT((Tableau!$G$25-P20)^2+(Tableau!$H$25-Q20)^2)</f>
        <v>34730.666714950377</v>
      </c>
      <c r="AE20" s="112">
        <f>SQRT((Tableau!$G$35-P20)^2+(Tableau!$H$35-Q20)^2)</f>
        <v>7690.0930707726757</v>
      </c>
    </row>
    <row r="21" spans="2:31" x14ac:dyDescent="0.25">
      <c r="B21" s="18">
        <v>18</v>
      </c>
      <c r="C21" s="19">
        <f>Tableau!$G$17*COS(B21*PI()/180)+Tableau!$G$16</f>
        <v>24755.282581475767</v>
      </c>
      <c r="D21" s="19">
        <f>Tableau!$G$17*SIN(B21*PI()/180)+Tableau!$H$16</f>
        <v>9045.0849718747377</v>
      </c>
      <c r="F21" s="26">
        <v>18</v>
      </c>
      <c r="G21" s="27">
        <f>Tableau!$G$26*COS(F21*PI()/180)+Tableau!$G$25</f>
        <v>-16671.302192966963</v>
      </c>
      <c r="H21" s="27">
        <f>Tableau!$G$26*SIN(F21*PI()/180)+Tableau!$H$25</f>
        <v>11081.559480312317</v>
      </c>
      <c r="J21" s="34">
        <v>18</v>
      </c>
      <c r="K21" s="35">
        <f>Tableau!$G$36*COS(J21*PI()/180)+Tableau!$G$35</f>
        <v>-244.71741852423202</v>
      </c>
      <c r="L21" s="35">
        <f>Tableau!$G$36*SIN(J21*PI()/180)+Tableau!$H$35</f>
        <v>-13454.915028125262</v>
      </c>
      <c r="N21" s="98">
        <v>17</v>
      </c>
      <c r="O21" s="99">
        <v>8.5</v>
      </c>
      <c r="P21" s="101">
        <f>P20+R20*Tableau!$G$2+((1/2)*T20)*Tableau!$G$2^2</f>
        <v>-8758.1165401914823</v>
      </c>
      <c r="Q21" s="101">
        <f>Q20+S20*Tableau!$G$2+((1/2)*U20)*Tableau!$G$2^2</f>
        <v>-22951.587584638793</v>
      </c>
      <c r="R21" s="101">
        <f>R20+T20*Tableau!$G$2</f>
        <v>-2692.4913495316814</v>
      </c>
      <c r="S21" s="101">
        <f>S20+U20*Tableau!$G$2</f>
        <v>-673.59379644155433</v>
      </c>
      <c r="T21" s="101">
        <f t="shared" si="0"/>
        <v>976.63452112088953</v>
      </c>
      <c r="U21" s="101">
        <f t="shared" si="1"/>
        <v>2094.599790931808</v>
      </c>
      <c r="V21" s="101">
        <f>((Tableau!$G$16-P21)/(AC21^2+Tableau!$G$21^2)^(3/2))*Tableau!$G$20</f>
        <v>188.5728080296347</v>
      </c>
      <c r="W21" s="101">
        <f>((Tableau!$H$16-Q21)/(AC21^2+Tableau!$G$21^2)^(3/2))*Tableau!$G$20</f>
        <v>199.67724144139876</v>
      </c>
      <c r="X21" s="101">
        <f>((Tableau!$G$25-P21)/(AD21^2+Tableau!$G$30^2)^(3/2))*Tableau!$G$29</f>
        <v>-45.077783953265154</v>
      </c>
      <c r="Y21" s="101">
        <f>((Tableau!$H$25-Q21)/(AD21^2+Tableau!$G$30^2)^(3/2))*Tableau!$G$29</f>
        <v>132.12950938051642</v>
      </c>
      <c r="Z21" s="101">
        <f>((Tableau!$G$35-P21)/(AE21^2+Tableau!$G$40^2)^(3/2))*Tableau!$G$39</f>
        <v>833.13949704452</v>
      </c>
      <c r="AA21" s="102">
        <f>((Tableau!$H$35-Q21)/(AE21^2+Tableau!$G$40^2)^(3/2))*Tableau!$G$39</f>
        <v>1762.7930401098927</v>
      </c>
      <c r="AC21" s="113">
        <f>SQRT((Tableau!$G$16-P21)^2+(Tableau!$H$16-Q21)^2)</f>
        <v>41884.704288847053</v>
      </c>
      <c r="AD21" s="114">
        <f>SQRT((Tableau!$G$25-P21)^2+(Tableau!$H$25-Q21)^2)</f>
        <v>34816.476962381443</v>
      </c>
      <c r="AE21" s="115">
        <f>SQRT((Tableau!$G$35-P21)^2+(Tableau!$H$35-Q21)^2)</f>
        <v>8794.9522480706273</v>
      </c>
    </row>
    <row r="22" spans="2:31" x14ac:dyDescent="0.25">
      <c r="B22" s="20">
        <v>19</v>
      </c>
      <c r="C22" s="21">
        <f>Tableau!$G$17*COS(B22*PI()/180)+Tableau!$G$16</f>
        <v>24727.592877996583</v>
      </c>
      <c r="D22" s="21">
        <f>Tableau!$G$17*SIN(B22*PI()/180)+Tableau!$H$16</f>
        <v>9127.8407722857828</v>
      </c>
      <c r="F22" s="28">
        <v>19</v>
      </c>
      <c r="G22" s="29">
        <f>Tableau!$G$26*COS(F22*PI()/180)+Tableau!$G$25</f>
        <v>-16690.684985402389</v>
      </c>
      <c r="H22" s="29">
        <f>Tableau!$G$26*SIN(F22*PI()/180)+Tableau!$H$25</f>
        <v>11139.488540600049</v>
      </c>
      <c r="J22" s="36">
        <v>19</v>
      </c>
      <c r="K22" s="37">
        <f>Tableau!$G$36*COS(J22*PI()/180)+Tableau!$G$35</f>
        <v>-272.40712200341568</v>
      </c>
      <c r="L22" s="37">
        <f>Tableau!$G$36*SIN(J22*PI()/180)+Tableau!$H$35</f>
        <v>-13372.159227714217</v>
      </c>
      <c r="N22" s="92">
        <v>18</v>
      </c>
      <c r="O22" s="93">
        <v>9</v>
      </c>
      <c r="P22" s="96">
        <f>P21+R21*Tableau!$G$2+((1/2)*T21)*Tableau!$G$2^2</f>
        <v>-9982.2828998172135</v>
      </c>
      <c r="Q22" s="96">
        <f>Q21+S21*Tableau!$G$2+((1/2)*U21)*Tableau!$G$2^2</f>
        <v>-23026.559508993098</v>
      </c>
      <c r="R22" s="96">
        <f>R21+T21*Tableau!$G$2</f>
        <v>-2204.1740889712364</v>
      </c>
      <c r="S22" s="96">
        <f>S21+U21*Tableau!$G$2</f>
        <v>373.70609902434967</v>
      </c>
      <c r="T22" s="96">
        <f t="shared" si="0"/>
        <v>1145.859813339905</v>
      </c>
      <c r="U22" s="96">
        <f t="shared" si="1"/>
        <v>1938.4933166347439</v>
      </c>
      <c r="V22" s="96">
        <f>((Tableau!$G$16-P22)/(AC22^2+Tableau!$G$21^2)^(3/2))*Tableau!$G$20</f>
        <v>185.03532360529621</v>
      </c>
      <c r="W22" s="96">
        <f>((Tableau!$H$16-Q22)/(AC22^2+Tableau!$G$21^2)^(3/2))*Tableau!$G$20</f>
        <v>188.39432061183393</v>
      </c>
      <c r="X22" s="96">
        <f>((Tableau!$G$25-P22)/(AD22^2+Tableau!$G$30^2)^(3/2))*Tableau!$G$29</f>
        <v>-41.197616442240943</v>
      </c>
      <c r="Y22" s="96">
        <f>((Tableau!$H$25-Q22)/(AD22^2+Tableau!$G$30^2)^(3/2))*Tableau!$G$29</f>
        <v>135.8209178250319</v>
      </c>
      <c r="Z22" s="96">
        <f>((Tableau!$G$35-P22)/(AE22^2+Tableau!$G$40^2)^(3/2))*Tableau!$G$39</f>
        <v>1002.0221061768497</v>
      </c>
      <c r="AA22" s="97">
        <f>((Tableau!$H$35-Q22)/(AE22^2+Tableau!$G$40^2)^(3/2))*Tableau!$G$39</f>
        <v>1614.2780781978781</v>
      </c>
      <c r="AC22" s="110">
        <f>SQRT((Tableau!$G$16-P22)^2+(Tableau!$H$16-Q22)^2)</f>
        <v>42787.943668056403</v>
      </c>
      <c r="AD22" s="111">
        <f>SQRT((Tableau!$G$25-P22)^2+(Tableau!$H$25-Q22)^2)</f>
        <v>34512.436727944281</v>
      </c>
      <c r="AE22" s="112">
        <f>SQRT((Tableau!$G$35-P22)^2+(Tableau!$H$35-Q22)^2)</f>
        <v>9447.1583264608489</v>
      </c>
    </row>
    <row r="23" spans="2:31" x14ac:dyDescent="0.25">
      <c r="B23" s="18">
        <v>20</v>
      </c>
      <c r="C23" s="19">
        <f>Tableau!$G$17*COS(B23*PI()/180)+Tableau!$G$16</f>
        <v>24698.463103929542</v>
      </c>
      <c r="D23" s="19">
        <f>Tableau!$G$17*SIN(B23*PI()/180)+Tableau!$H$16</f>
        <v>9210.1007166283434</v>
      </c>
      <c r="F23" s="26">
        <v>20</v>
      </c>
      <c r="G23" s="27">
        <f>Tableau!$G$26*COS(F23*PI()/180)+Tableau!$G$25</f>
        <v>-16711.075827249319</v>
      </c>
      <c r="H23" s="27">
        <f>Tableau!$G$26*SIN(F23*PI()/180)+Tableau!$H$25</f>
        <v>11197.070501639841</v>
      </c>
      <c r="J23" s="34">
        <v>20</v>
      </c>
      <c r="K23" s="35">
        <f>Tableau!$G$36*COS(J23*PI()/180)+Tableau!$G$35</f>
        <v>-301.53689607045817</v>
      </c>
      <c r="L23" s="35">
        <f>Tableau!$G$36*SIN(J23*PI()/180)+Tableau!$H$35</f>
        <v>-13289.899283371657</v>
      </c>
      <c r="N23" s="98">
        <v>19</v>
      </c>
      <c r="O23" s="99">
        <v>9.5</v>
      </c>
      <c r="P23" s="101">
        <f>P22+R22*Tableau!$G$2+((1/2)*T22)*Tableau!$G$2^2</f>
        <v>-10941.137467635343</v>
      </c>
      <c r="Q23" s="101">
        <f>Q22+S22*Tableau!$G$2+((1/2)*U22)*Tableau!$G$2^2</f>
        <v>-22597.394794901582</v>
      </c>
      <c r="R23" s="101">
        <f>R22+T22*Tableau!$G$2</f>
        <v>-1631.2441823012839</v>
      </c>
      <c r="S23" s="101">
        <f>S22+U22*Tableau!$G$2</f>
        <v>1342.9527573417217</v>
      </c>
      <c r="T23" s="101">
        <f t="shared" si="0"/>
        <v>1306.8356790349019</v>
      </c>
      <c r="U23" s="101">
        <f t="shared" si="1"/>
        <v>1806.5581552856934</v>
      </c>
      <c r="V23" s="101">
        <f>((Tableau!$G$16-P23)/(AC23^2+Tableau!$G$21^2)^(3/2))*Tableau!$G$20</f>
        <v>186.24546355077959</v>
      </c>
      <c r="W23" s="101">
        <f>((Tableau!$H$16-Q23)/(AC23^2+Tableau!$G$21^2)^(3/2))*Tableau!$G$20</f>
        <v>181.16668306427528</v>
      </c>
      <c r="X23" s="101">
        <f>((Tableau!$G$25-P23)/(AD23^2+Tableau!$G$30^2)^(3/2))*Tableau!$G$29</f>
        <v>-39.450198759995232</v>
      </c>
      <c r="Y23" s="101">
        <f>((Tableau!$H$25-Q23)/(AD23^2+Tableau!$G$30^2)^(3/2))*Tableau!$G$29</f>
        <v>141.95752492352042</v>
      </c>
      <c r="Z23" s="101">
        <f>((Tableau!$G$35-P23)/(AE23^2+Tableau!$G$40^2)^(3/2))*Tableau!$G$39</f>
        <v>1160.0404142441175</v>
      </c>
      <c r="AA23" s="102">
        <f>((Tableau!$H$35-Q23)/(AE23^2+Tableau!$G$40^2)^(3/2))*Tableau!$G$39</f>
        <v>1483.4339472978977</v>
      </c>
      <c r="AC23" s="113">
        <f>SQRT((Tableau!$G$16-P23)^2+(Tableau!$H$16-Q23)^2)</f>
        <v>43164.883426591994</v>
      </c>
      <c r="AD23" s="114">
        <f>SQRT((Tableau!$G$25-P23)^2+(Tableau!$H$25-Q23)^2)</f>
        <v>33832.722884730356</v>
      </c>
      <c r="AE23" s="115">
        <f>SQRT((Tableau!$G$35-P23)^2+(Tableau!$H$35-Q23)^2)</f>
        <v>9644.5591956780554</v>
      </c>
    </row>
    <row r="24" spans="2:31" x14ac:dyDescent="0.25">
      <c r="B24" s="20">
        <v>21</v>
      </c>
      <c r="C24" s="21">
        <f>Tableau!$G$17*COS(B24*PI()/180)+Tableau!$G$16</f>
        <v>24667.902132486008</v>
      </c>
      <c r="D24" s="21">
        <f>Tableau!$G$17*SIN(B24*PI()/180)+Tableau!$H$16</f>
        <v>9291.8397477265007</v>
      </c>
      <c r="F24" s="28">
        <v>21</v>
      </c>
      <c r="G24" s="29">
        <f>Tableau!$G$26*COS(F24*PI()/180)+Tableau!$G$25</f>
        <v>-16732.468507259793</v>
      </c>
      <c r="H24" s="29">
        <f>Tableau!$G$26*SIN(F24*PI()/180)+Tableau!$H$25</f>
        <v>11254.287823408551</v>
      </c>
      <c r="J24" s="36">
        <v>21</v>
      </c>
      <c r="K24" s="37">
        <f>Tableau!$G$36*COS(J24*PI()/180)+Tableau!$G$35</f>
        <v>-332.09786751399133</v>
      </c>
      <c r="L24" s="37">
        <f>Tableau!$G$36*SIN(J24*PI()/180)+Tableau!$H$35</f>
        <v>-13208.160252273499</v>
      </c>
      <c r="N24" s="92">
        <v>20</v>
      </c>
      <c r="O24" s="93">
        <v>10</v>
      </c>
      <c r="P24" s="96">
        <f>P23+R23*Tableau!$G$2+((1/2)*T23)*Tableau!$G$2^2</f>
        <v>-11593.405098906622</v>
      </c>
      <c r="Q24" s="96">
        <f>Q23+S23*Tableau!$G$2+((1/2)*U23)*Tableau!$G$2^2</f>
        <v>-21700.09864682001</v>
      </c>
      <c r="R24" s="96">
        <f>R23+T23*Tableau!$G$2</f>
        <v>-977.82634278383296</v>
      </c>
      <c r="S24" s="96">
        <f>S23+U23*Tableau!$G$2</f>
        <v>2246.2318349845682</v>
      </c>
      <c r="T24" s="96">
        <f t="shared" si="0"/>
        <v>1487.3530527875905</v>
      </c>
      <c r="U24" s="96">
        <f t="shared" si="1"/>
        <v>1685.4175391133942</v>
      </c>
      <c r="V24" s="96">
        <f>((Tableau!$G$16-P24)/(AC24^2+Tableau!$G$21^2)^(3/2))*Tableau!$G$20</f>
        <v>191.99044231157399</v>
      </c>
      <c r="W24" s="96">
        <f>((Tableau!$H$16-Q24)/(AC24^2+Tableau!$G$21^2)^(3/2))*Tableau!$G$20</f>
        <v>177.44652205718029</v>
      </c>
      <c r="X24" s="96">
        <f>((Tableau!$G$25-P24)/(AD24^2+Tableau!$G$30^2)^(3/2))*Tableau!$G$29</f>
        <v>-40.034536640023397</v>
      </c>
      <c r="Y24" s="96">
        <f>((Tableau!$H$25-Q24)/(AD24^2+Tableau!$G$30^2)^(3/2))*Tableau!$G$29</f>
        <v>150.96466235138917</v>
      </c>
      <c r="Z24" s="96">
        <f>((Tableau!$G$35-P24)/(AE24^2+Tableau!$G$40^2)^(3/2))*Tableau!$G$39</f>
        <v>1335.3971471160398</v>
      </c>
      <c r="AA24" s="97">
        <f>((Tableau!$H$35-Q24)/(AE24^2+Tableau!$G$40^2)^(3/2))*Tableau!$G$39</f>
        <v>1357.0063547048248</v>
      </c>
      <c r="AC24" s="110">
        <f>SQRT((Tableau!$G$16-P24)^2+(Tableau!$H$16-Q24)^2)</f>
        <v>43020.797374382062</v>
      </c>
      <c r="AD24" s="111">
        <f>SQRT((Tableau!$G$25-P24)^2+(Tableau!$H$25-Q24)^2)</f>
        <v>32795.839553961858</v>
      </c>
      <c r="AE24" s="112">
        <f>SQRT((Tableau!$G$35-P24)^2+(Tableau!$H$35-Q24)^2)</f>
        <v>9400.2293948289989</v>
      </c>
    </row>
    <row r="25" spans="2:31" x14ac:dyDescent="0.25">
      <c r="B25" s="18">
        <v>22</v>
      </c>
      <c r="C25" s="19">
        <f>Tableau!$G$17*COS(B25*PI()/180)+Tableau!$G$16</f>
        <v>24635.919272833937</v>
      </c>
      <c r="D25" s="19">
        <f>Tableau!$G$17*SIN(B25*PI()/180)+Tableau!$H$16</f>
        <v>9373.03296707956</v>
      </c>
      <c r="F25" s="26">
        <v>22</v>
      </c>
      <c r="G25" s="27">
        <f>Tableau!$G$26*COS(F25*PI()/180)+Tableau!$G$25</f>
        <v>-16754.856509016245</v>
      </c>
      <c r="H25" s="27">
        <f>Tableau!$G$26*SIN(F25*PI()/180)+Tableau!$H$25</f>
        <v>11311.123076955691</v>
      </c>
      <c r="J25" s="34">
        <v>22</v>
      </c>
      <c r="K25" s="35">
        <f>Tableau!$G$36*COS(J25*PI()/180)+Tableau!$G$35</f>
        <v>-364.0807271660633</v>
      </c>
      <c r="L25" s="35">
        <f>Tableau!$G$36*SIN(J25*PI()/180)+Tableau!$H$35</f>
        <v>-13126.96703292044</v>
      </c>
      <c r="N25" s="98">
        <v>21</v>
      </c>
      <c r="O25" s="99">
        <v>10.5</v>
      </c>
      <c r="P25" s="101">
        <f>P24+R24*Tableau!$G$2+((1/2)*T24)*Tableau!$G$2^2</f>
        <v>-11896.39913870009</v>
      </c>
      <c r="Q25" s="101">
        <f>Q24+S24*Tableau!$G$2+((1/2)*U24)*Tableau!$G$2^2</f>
        <v>-20366.305536938551</v>
      </c>
      <c r="R25" s="101">
        <f>R24+T24*Tableau!$G$2</f>
        <v>-234.1498163900377</v>
      </c>
      <c r="S25" s="101">
        <f>S24+U24*Tableau!$G$2</f>
        <v>3088.9406045412652</v>
      </c>
      <c r="T25" s="101">
        <f t="shared" si="0"/>
        <v>1700.8398880258594</v>
      </c>
      <c r="U25" s="101">
        <f t="shared" si="1"/>
        <v>1540.118143149296</v>
      </c>
      <c r="V25" s="101">
        <f>((Tableau!$G$16-P25)/(AC25^2+Tableau!$G$21^2)^(3/2))*Tableau!$G$20</f>
        <v>202.62864471486998</v>
      </c>
      <c r="W25" s="101">
        <f>((Tableau!$H$16-Q25)/(AC25^2+Tableau!$G$21^2)^(3/2))*Tableau!$G$20</f>
        <v>177.02661982648036</v>
      </c>
      <c r="X25" s="101">
        <f>((Tableau!$G$25-P25)/(AD25^2+Tableau!$G$30^2)^(3/2))*Tableau!$G$29</f>
        <v>-43.59536602562509</v>
      </c>
      <c r="Y25" s="101">
        <f>((Tableau!$H$25-Q25)/(AD25^2+Tableau!$G$30^2)^(3/2))*Tableau!$G$29</f>
        <v>163.36320450467554</v>
      </c>
      <c r="Z25" s="101">
        <f>((Tableau!$G$35-P25)/(AE25^2+Tableau!$G$40^2)^(3/2))*Tableau!$G$39</f>
        <v>1541.8066093366144</v>
      </c>
      <c r="AA25" s="102">
        <f>((Tableau!$H$35-Q25)/(AE25^2+Tableau!$G$40^2)^(3/2))*Tableau!$G$39</f>
        <v>1199.72831881814</v>
      </c>
      <c r="AC25" s="113">
        <f>SQRT((Tableau!$G$16-P25)^2+(Tableau!$H$16-Q25)^2)</f>
        <v>42354.589624895198</v>
      </c>
      <c r="AD25" s="114">
        <f>SQRT((Tableau!$G$25-P25)^2+(Tableau!$H$25-Q25)^2)</f>
        <v>31428.981193827545</v>
      </c>
      <c r="AE25" s="115">
        <f>SQRT((Tableau!$G$35-P25)^2+(Tableau!$H$35-Q25)^2)</f>
        <v>8738.2810778802886</v>
      </c>
    </row>
    <row r="26" spans="2:31" x14ac:dyDescent="0.25">
      <c r="B26" s="20">
        <v>23</v>
      </c>
      <c r="C26" s="21">
        <f>Tableau!$G$17*COS(B26*PI()/180)+Tableau!$G$16</f>
        <v>24602.524267262201</v>
      </c>
      <c r="D26" s="21">
        <f>Tableau!$G$17*SIN(B26*PI()/180)+Tableau!$H$16</f>
        <v>9453.6556424463688</v>
      </c>
      <c r="F26" s="28">
        <v>23</v>
      </c>
      <c r="G26" s="29">
        <f>Tableau!$G$26*COS(F26*PI()/180)+Tableau!$G$25</f>
        <v>-16778.233012916458</v>
      </c>
      <c r="H26" s="29">
        <f>Tableau!$G$26*SIN(F26*PI()/180)+Tableau!$H$25</f>
        <v>11367.558949712458</v>
      </c>
      <c r="J26" s="36">
        <v>23</v>
      </c>
      <c r="K26" s="37">
        <f>Tableau!$G$36*COS(J26*PI()/180)+Tableau!$G$35</f>
        <v>-397.47573273779835</v>
      </c>
      <c r="L26" s="37">
        <f>Tableau!$G$36*SIN(J26*PI()/180)+Tableau!$H$35</f>
        <v>-13046.344357553631</v>
      </c>
      <c r="N26" s="92">
        <v>22</v>
      </c>
      <c r="O26" s="93">
        <v>11</v>
      </c>
      <c r="P26" s="96">
        <f>P25+R25*Tableau!$G$2+((1/2)*T25)*Tableau!$G$2^2</f>
        <v>-11800.869060891875</v>
      </c>
      <c r="Q26" s="96">
        <f>Q25+S25*Tableau!$G$2+((1/2)*U25)*Tableau!$G$2^2</f>
        <v>-18629.320466774254</v>
      </c>
      <c r="R26" s="96">
        <f>R25+T25*Tableau!$G$2</f>
        <v>616.27012762289201</v>
      </c>
      <c r="S26" s="96">
        <f>S25+U25*Tableau!$G$2</f>
        <v>3858.9996761159132</v>
      </c>
      <c r="T26" s="96">
        <f t="shared" si="0"/>
        <v>1936.7138635855022</v>
      </c>
      <c r="U26" s="96">
        <f t="shared" si="1"/>
        <v>1303.6839737957985</v>
      </c>
      <c r="V26" s="96">
        <f>((Tableau!$G$16-P26)/(AC26^2+Tableau!$G$21^2)^(3/2))*Tableau!$G$20</f>
        <v>219.12434986171945</v>
      </c>
      <c r="W26" s="96">
        <f>((Tableau!$H$16-Q26)/(AC26^2+Tableau!$G$21^2)^(3/2))*Tableau!$G$20</f>
        <v>180.0444619499921</v>
      </c>
      <c r="X26" s="96">
        <f>((Tableau!$G$25-P26)/(AD26^2+Tableau!$G$30^2)^(3/2))*Tableau!$G$29</f>
        <v>-51.432973639756554</v>
      </c>
      <c r="Y26" s="96">
        <f>((Tableau!$H$25-Q26)/(AD26^2+Tableau!$G$30^2)^(3/2))*Tableau!$G$29</f>
        <v>179.59111713514309</v>
      </c>
      <c r="Z26" s="96">
        <f>((Tableau!$G$35-P26)/(AE26^2+Tableau!$G$40^2)^(3/2))*Tableau!$G$39</f>
        <v>1769.0224873635393</v>
      </c>
      <c r="AA26" s="97">
        <f>((Tableau!$H$35-Q26)/(AE26^2+Tableau!$G$40^2)^(3/2))*Tableau!$G$39</f>
        <v>944.04839471066339</v>
      </c>
      <c r="AC26" s="110">
        <f>SQRT((Tableau!$G$16-P26)^2+(Tableau!$H$16-Q26)^2)</f>
        <v>41158.67661967982</v>
      </c>
      <c r="AD26" s="111">
        <f>SQRT((Tableau!$G$25-P26)^2+(Tableau!$H$25-Q26)^2)</f>
        <v>29780.257529878738</v>
      </c>
      <c r="AE26" s="112">
        <f>SQRT((Tableau!$G$35-P26)^2+(Tableau!$H$35-Q26)^2)</f>
        <v>7708.6825744703501</v>
      </c>
    </row>
    <row r="27" spans="2:31" x14ac:dyDescent="0.25">
      <c r="B27" s="18">
        <v>24</v>
      </c>
      <c r="C27" s="19">
        <f>Tableau!$G$17*COS(B27*PI()/180)+Tableau!$G$16</f>
        <v>24567.727288213006</v>
      </c>
      <c r="D27" s="19">
        <f>Tableau!$G$17*SIN(B27*PI()/180)+Tableau!$H$16</f>
        <v>9533.6832153790001</v>
      </c>
      <c r="F27" s="26">
        <v>24</v>
      </c>
      <c r="G27" s="27">
        <f>Tableau!$G$26*COS(F27*PI()/180)+Tableau!$G$25</f>
        <v>-16802.590898250895</v>
      </c>
      <c r="H27" s="27">
        <f>Tableau!$G$26*SIN(F27*PI()/180)+Tableau!$H$25</f>
        <v>11423.5782507653</v>
      </c>
      <c r="J27" s="34">
        <v>24</v>
      </c>
      <c r="K27" s="35">
        <f>Tableau!$G$36*COS(J27*PI()/180)+Tableau!$G$35</f>
        <v>-432.27271178699539</v>
      </c>
      <c r="L27" s="35">
        <f>Tableau!$G$36*SIN(J27*PI()/180)+Tableau!$H$35</f>
        <v>-12966.316784621</v>
      </c>
      <c r="N27" s="98">
        <v>23</v>
      </c>
      <c r="O27" s="99">
        <v>11.5</v>
      </c>
      <c r="P27" s="101">
        <f>P26+R26*Tableau!$G$2+((1/2)*T26)*Tableau!$G$2^2</f>
        <v>-11250.644764132241</v>
      </c>
      <c r="Q27" s="101">
        <f>Q26+S26*Tableau!$G$2+((1/2)*U26)*Tableau!$G$2^2</f>
        <v>-16536.860131991823</v>
      </c>
      <c r="R27" s="101">
        <f>R26+T26*Tableau!$G$2</f>
        <v>1584.6270594156431</v>
      </c>
      <c r="S27" s="101">
        <f>S26+U26*Tableau!$G$2</f>
        <v>4510.8416630138126</v>
      </c>
      <c r="T27" s="101">
        <f t="shared" si="0"/>
        <v>2123.2328115318428</v>
      </c>
      <c r="U27" s="101">
        <f t="shared" si="1"/>
        <v>864.85220399511627</v>
      </c>
      <c r="V27" s="101">
        <f>((Tableau!$G$16-P27)/(AC27^2+Tableau!$G$21^2)^(3/2))*Tableau!$G$20</f>
        <v>243.16847967313578</v>
      </c>
      <c r="W27" s="101">
        <f>((Tableau!$H$16-Q27)/(AC27^2+Tableau!$G$21^2)^(3/2))*Tableau!$G$20</f>
        <v>187.03635648250167</v>
      </c>
      <c r="X27" s="101">
        <f>((Tableau!$G$25-P27)/(AD27^2+Tableau!$G$30^2)^(3/2))*Tableau!$G$29</f>
        <v>-65.742022733859301</v>
      </c>
      <c r="Y27" s="101">
        <f>((Tableau!$H$25-Q27)/(AD27^2+Tableau!$G$30^2)^(3/2))*Tableau!$G$29</f>
        <v>199.39604862890485</v>
      </c>
      <c r="Z27" s="101">
        <f>((Tableau!$G$35-P27)/(AE27^2+Tableau!$G$40^2)^(3/2))*Tableau!$G$39</f>
        <v>1945.8063545925663</v>
      </c>
      <c r="AA27" s="102">
        <f>((Tableau!$H$35-Q27)/(AE27^2+Tableau!$G$40^2)^(3/2))*Tableau!$G$39</f>
        <v>478.41979888370975</v>
      </c>
      <c r="AC27" s="113">
        <f>SQRT((Tableau!$G$16-P27)^2+(Tableau!$H$16-Q27)^2)</f>
        <v>39425.543029601045</v>
      </c>
      <c r="AD27" s="114">
        <f>SQRT((Tableau!$G$25-P27)^2+(Tableau!$H$25-Q27)^2)</f>
        <v>27942.014292250009</v>
      </c>
      <c r="AE27" s="115">
        <f>SQRT((Tableau!$G$35-P27)^2+(Tableau!$H$35-Q27)^2)</f>
        <v>6436.8081401172531</v>
      </c>
    </row>
    <row r="28" spans="2:31" x14ac:dyDescent="0.25">
      <c r="B28" s="20">
        <v>25</v>
      </c>
      <c r="C28" s="21">
        <f>Tableau!$G$17*COS(B28*PI()/180)+Tableau!$G$16</f>
        <v>24531.538935183249</v>
      </c>
      <c r="D28" s="21">
        <f>Tableau!$G$17*SIN(B28*PI()/180)+Tableau!$H$16</f>
        <v>9613.0913087034969</v>
      </c>
      <c r="F28" s="28">
        <v>25</v>
      </c>
      <c r="G28" s="29">
        <f>Tableau!$G$26*COS(F28*PI()/180)+Tableau!$G$25</f>
        <v>-16827.922745371725</v>
      </c>
      <c r="H28" s="29">
        <f>Tableau!$G$26*SIN(F28*PI()/180)+Tableau!$H$25</f>
        <v>11479.163916092448</v>
      </c>
      <c r="J28" s="36">
        <v>25</v>
      </c>
      <c r="K28" s="37">
        <f>Tableau!$G$36*COS(J28*PI()/180)+Tableau!$G$35</f>
        <v>-468.46106481674997</v>
      </c>
      <c r="L28" s="37">
        <f>Tableau!$G$36*SIN(J28*PI()/180)+Tableau!$H$35</f>
        <v>-12886.908691296503</v>
      </c>
      <c r="N28" s="92">
        <v>24</v>
      </c>
      <c r="O28" s="93">
        <v>12</v>
      </c>
      <c r="P28" s="96">
        <f>P27+R27*Tableau!$G$2+((1/2)*T27)*Tableau!$G$2^2</f>
        <v>-10192.927132982939</v>
      </c>
      <c r="Q28" s="96">
        <f>Q27+S27*Tableau!$G$2+((1/2)*U27)*Tableau!$G$2^2</f>
        <v>-14173.332774985527</v>
      </c>
      <c r="R28" s="96">
        <f>R27+T27*Tableau!$G$2</f>
        <v>2646.2434651815647</v>
      </c>
      <c r="S28" s="96">
        <f>S27+U27*Tableau!$G$2</f>
        <v>4943.267765011371</v>
      </c>
      <c r="T28" s="96">
        <f t="shared" si="0"/>
        <v>2073.1936642192481</v>
      </c>
      <c r="U28" s="96">
        <f t="shared" si="1"/>
        <v>119.24291736553175</v>
      </c>
      <c r="V28" s="96">
        <f>((Tableau!$G$16-P28)/(AC28^2+Tableau!$G$21^2)^(3/2))*Tableau!$G$20</f>
        <v>277.28028291677629</v>
      </c>
      <c r="W28" s="96">
        <f>((Tableau!$H$16-Q28)/(AC28^2+Tableau!$G$21^2)^(3/2))*Tableau!$G$20</f>
        <v>199.03959020364468</v>
      </c>
      <c r="X28" s="96">
        <f>((Tableau!$G$25-P28)/(AD28^2+Tableau!$G$30^2)^(3/2))*Tableau!$G$29</f>
        <v>-89.385809070763187</v>
      </c>
      <c r="Y28" s="96">
        <f>((Tableau!$H$25-Q28)/(AD28^2+Tableau!$G$30^2)^(3/2))*Tableau!$G$29</f>
        <v>220.32597670359689</v>
      </c>
      <c r="Z28" s="96">
        <f>((Tableau!$G$35-P28)/(AE28^2+Tableau!$G$40^2)^(3/2))*Tableau!$G$39</f>
        <v>1885.299190373235</v>
      </c>
      <c r="AA28" s="97">
        <f>((Tableau!$H$35-Q28)/(AE28^2+Tableau!$G$40^2)^(3/2))*Tableau!$G$39</f>
        <v>-300.12264954170985</v>
      </c>
      <c r="AC28" s="110">
        <f>SQRT((Tableau!$G$16-P28)^2+(Tableau!$H$16-Q28)^2)</f>
        <v>37166.466100947495</v>
      </c>
      <c r="AD28" s="111">
        <f>SQRT((Tableau!$G$25-P28)^2+(Tableau!$H$25-Q28)^2)</f>
        <v>26086.944927859447</v>
      </c>
      <c r="AE28" s="112">
        <f>SQRT((Tableau!$G$35-P28)^2+(Tableau!$H$35-Q28)^2)</f>
        <v>5258.3144551637015</v>
      </c>
    </row>
    <row r="29" spans="2:31" x14ac:dyDescent="0.25">
      <c r="B29" s="18">
        <v>26</v>
      </c>
      <c r="C29" s="19">
        <f>Tableau!$G$17*COS(B29*PI()/180)+Tableau!$G$16</f>
        <v>24493.970231495834</v>
      </c>
      <c r="D29" s="19">
        <f>Tableau!$G$17*SIN(B29*PI()/180)+Tableau!$H$16</f>
        <v>9691.8557339453873</v>
      </c>
      <c r="F29" s="26">
        <v>26</v>
      </c>
      <c r="G29" s="27">
        <f>Tableau!$G$26*COS(F29*PI()/180)+Tableau!$G$25</f>
        <v>-16854.220837952915</v>
      </c>
      <c r="H29" s="27">
        <f>Tableau!$G$26*SIN(F29*PI()/180)+Tableau!$H$25</f>
        <v>11534.299013761771</v>
      </c>
      <c r="J29" s="34">
        <v>26</v>
      </c>
      <c r="K29" s="35">
        <f>Tableau!$G$36*COS(J29*PI()/180)+Tableau!$G$35</f>
        <v>-506.02976850416508</v>
      </c>
      <c r="L29" s="35">
        <f>Tableau!$G$36*SIN(J29*PI()/180)+Tableau!$H$35</f>
        <v>-12808.144266054613</v>
      </c>
      <c r="N29" s="98">
        <v>25</v>
      </c>
      <c r="O29" s="99">
        <v>12.5</v>
      </c>
      <c r="P29" s="101">
        <f>P28+R28*Tableau!$G$2+((1/2)*T28)*Tableau!$G$2^2</f>
        <v>-8610.6561923647514</v>
      </c>
      <c r="Q29" s="101">
        <f>Q28+S28*Tableau!$G$2+((1/2)*U28)*Tableau!$G$2^2</f>
        <v>-11686.793527809152</v>
      </c>
      <c r="R29" s="101">
        <f>R28+T28*Tableau!$G$2</f>
        <v>3682.840297291189</v>
      </c>
      <c r="S29" s="101">
        <f>S28+U28*Tableau!$G$2</f>
        <v>5002.8892236941365</v>
      </c>
      <c r="T29" s="101">
        <f t="shared" si="0"/>
        <v>1569.7837907732405</v>
      </c>
      <c r="U29" s="101">
        <f t="shared" si="1"/>
        <v>-802.93150514279182</v>
      </c>
      <c r="V29" s="101">
        <f>((Tableau!$G$16-P29)/(AC29^2+Tableau!$G$21^2)^(3/2))*Tableau!$G$20</f>
        <v>324.57056064158638</v>
      </c>
      <c r="W29" s="101">
        <f>((Tableau!$H$16-Q29)/(AC29^2+Tableau!$G$21^2)^(3/2))*Tableau!$G$20</f>
        <v>217.66254819060339</v>
      </c>
      <c r="X29" s="101">
        <f>((Tableau!$G$25-P29)/(AD29^2+Tableau!$G$30^2)^(3/2))*Tableau!$G$29</f>
        <v>-123.70581268623707</v>
      </c>
      <c r="Y29" s="101">
        <f>((Tableau!$H$25-Q29)/(AD29^2+Tableau!$G$30^2)^(3/2))*Tableau!$G$29</f>
        <v>235.55197412846206</v>
      </c>
      <c r="Z29" s="101">
        <f>((Tableau!$G$35-P29)/(AE29^2+Tableau!$G$40^2)^(3/2))*Tableau!$G$39</f>
        <v>1368.9190428178913</v>
      </c>
      <c r="AA29" s="102">
        <f>((Tableau!$H$35-Q29)/(AE29^2+Tableau!$G$40^2)^(3/2))*Tableau!$G$39</f>
        <v>-1256.1460274618573</v>
      </c>
      <c r="AC29" s="113">
        <f>SQRT((Tableau!$G$16-P29)^2+(Tableau!$H$16-Q29)^2)</f>
        <v>34448.55140113266</v>
      </c>
      <c r="AD29" s="114">
        <f>SQRT((Tableau!$G$25-P29)^2+(Tableau!$H$25-Q29)^2)</f>
        <v>24495.594826138524</v>
      </c>
      <c r="AE29" s="115">
        <f>SQRT((Tableau!$G$35-P29)^2+(Tableau!$H$35-Q29)^2)</f>
        <v>4900.4260291151477</v>
      </c>
    </row>
    <row r="30" spans="2:31" x14ac:dyDescent="0.25">
      <c r="B30" s="20">
        <v>27</v>
      </c>
      <c r="C30" s="21">
        <f>Tableau!$G$17*COS(B30*PI()/180)+Tableau!$G$16</f>
        <v>24455.032620941842</v>
      </c>
      <c r="D30" s="21">
        <f>Tableau!$G$17*SIN(B30*PI()/180)+Tableau!$H$16</f>
        <v>9769.952498697734</v>
      </c>
      <c r="F30" s="28">
        <v>27</v>
      </c>
      <c r="G30" s="29">
        <f>Tableau!$G$26*COS(F30*PI()/180)+Tableau!$G$25</f>
        <v>-16881.477165340712</v>
      </c>
      <c r="H30" s="29">
        <f>Tableau!$G$26*SIN(F30*PI()/180)+Tableau!$H$25</f>
        <v>11588.966749088413</v>
      </c>
      <c r="J30" s="36">
        <v>27</v>
      </c>
      <c r="K30" s="37">
        <f>Tableau!$G$36*COS(J30*PI()/180)+Tableau!$G$35</f>
        <v>-544.96737905816008</v>
      </c>
      <c r="L30" s="37">
        <f>Tableau!$G$36*SIN(J30*PI()/180)+Tableau!$H$35</f>
        <v>-12730.047501302266</v>
      </c>
      <c r="N30" s="92">
        <v>26</v>
      </c>
      <c r="O30" s="93">
        <v>13</v>
      </c>
      <c r="P30" s="96">
        <f>P29+R29*Tableau!$G$2+((1/2)*T29)*Tableau!$G$2^2</f>
        <v>-6573.0130698725015</v>
      </c>
      <c r="Q30" s="96">
        <f>Q29+S29*Tableau!$G$2+((1/2)*U29)*Tableau!$G$2^2</f>
        <v>-9285.7153541049338</v>
      </c>
      <c r="R30" s="96">
        <f>R29+T29*Tableau!$G$2</f>
        <v>4467.7321926778095</v>
      </c>
      <c r="S30" s="96">
        <f>S29+U29*Tableau!$G$2</f>
        <v>4601.4234711227409</v>
      </c>
      <c r="T30" s="96">
        <f t="shared" si="0"/>
        <v>748.52943409548936</v>
      </c>
      <c r="U30" s="96">
        <f t="shared" si="1"/>
        <v>-1424.8896959374372</v>
      </c>
      <c r="V30" s="96">
        <f>((Tableau!$G$16-P30)/(AC30^2+Tableau!$G$21^2)^(3/2))*Tableau!$G$20</f>
        <v>387.76158564583545</v>
      </c>
      <c r="W30" s="96">
        <f>((Tableau!$H$16-Q30)/(AC30^2+Tableau!$G$21^2)^(3/2))*Tableau!$G$20</f>
        <v>244.94232493668076</v>
      </c>
      <c r="X30" s="96">
        <f>((Tableau!$G$25-P30)/(AD30^2+Tableau!$G$30^2)^(3/2))*Tableau!$G$29</f>
        <v>-163.57546044041376</v>
      </c>
      <c r="Y30" s="96">
        <f>((Tableau!$H$25-Q30)/(AD30^2+Tableau!$G$30^2)^(3/2))*Tableau!$G$29</f>
        <v>234.94993965414662</v>
      </c>
      <c r="Z30" s="96">
        <f>((Tableau!$G$35-P30)/(AE30^2+Tableau!$G$40^2)^(3/2))*Tableau!$G$39</f>
        <v>524.34330889006765</v>
      </c>
      <c r="AA30" s="97">
        <f>((Tableau!$H$35-Q30)/(AE30^2+Tableau!$G$40^2)^(3/2))*Tableau!$G$39</f>
        <v>-1904.7819605282646</v>
      </c>
      <c r="AC30" s="110">
        <f>SQRT((Tableau!$G$16-P30)^2+(Tableau!$H$16-Q30)^2)</f>
        <v>31430.642111809437</v>
      </c>
      <c r="AD30" s="111">
        <f>SQRT((Tableau!$G$25-P30)^2+(Tableau!$H$25-Q30)^2)</f>
        <v>23499.421157581171</v>
      </c>
      <c r="AE30" s="112">
        <f>SQRT((Tableau!$G$35-P30)^2+(Tableau!$H$35-Q30)^2)</f>
        <v>5926.8388819253232</v>
      </c>
    </row>
    <row r="31" spans="2:31" x14ac:dyDescent="0.25">
      <c r="B31" s="18">
        <v>28</v>
      </c>
      <c r="C31" s="19">
        <f>Tableau!$G$17*COS(B31*PI()/180)+Tableau!$G$16</f>
        <v>24414.737964294636</v>
      </c>
      <c r="D31" s="19">
        <f>Tableau!$G$17*SIN(B31*PI()/180)+Tableau!$H$16</f>
        <v>9847.357813929455</v>
      </c>
      <c r="F31" s="26">
        <v>28</v>
      </c>
      <c r="G31" s="27">
        <f>Tableau!$G$26*COS(F31*PI()/180)+Tableau!$G$25</f>
        <v>-16909.683424993756</v>
      </c>
      <c r="H31" s="27">
        <f>Tableau!$G$26*SIN(F31*PI()/180)+Tableau!$H$25</f>
        <v>11643.150469750617</v>
      </c>
      <c r="J31" s="34">
        <v>28</v>
      </c>
      <c r="K31" s="35">
        <f>Tableau!$G$36*COS(J31*PI()/180)+Tableau!$G$35</f>
        <v>-585.26203570536472</v>
      </c>
      <c r="L31" s="35">
        <f>Tableau!$G$36*SIN(J31*PI()/180)+Tableau!$H$35</f>
        <v>-12652.642186070545</v>
      </c>
      <c r="N31" s="98">
        <v>27</v>
      </c>
      <c r="O31" s="99">
        <v>13.5</v>
      </c>
      <c r="P31" s="101">
        <f>P30+R30*Tableau!$G$2+((1/2)*T30)*Tableau!$G$2^2</f>
        <v>-4245.580794271661</v>
      </c>
      <c r="Q31" s="101">
        <f>Q30+S30*Tableau!$G$2+((1/2)*U30)*Tableau!$G$2^2</f>
        <v>-7163.1148305357437</v>
      </c>
      <c r="R31" s="101">
        <f>R30+T30*Tableau!$G$2</f>
        <v>4841.9969097255544</v>
      </c>
      <c r="S31" s="101">
        <f>S30+U30*Tableau!$G$2</f>
        <v>3888.9786231540224</v>
      </c>
      <c r="T31" s="101">
        <f t="shared" si="0"/>
        <v>79.810464152280161</v>
      </c>
      <c r="U31" s="101">
        <f t="shared" si="1"/>
        <v>-1493.2089989348342</v>
      </c>
      <c r="V31" s="101">
        <f>((Tableau!$G$16-P31)/(AC31^2+Tableau!$G$21^2)^(3/2))*Tableau!$G$20</f>
        <v>467.9550227629137</v>
      </c>
      <c r="W31" s="101">
        <f>((Tableau!$H$16-Q31)/(AC31^2+Tableau!$G$21^2)^(3/2))*Tableau!$G$20</f>
        <v>283.00737740709155</v>
      </c>
      <c r="X31" s="101">
        <f>((Tableau!$G$25-P31)/(AD31^2+Tableau!$G$30^2)^(3/2))*Tableau!$G$29</f>
        <v>-196.54457476120498</v>
      </c>
      <c r="Y31" s="101">
        <f>((Tableau!$H$25-Q31)/(AD31^2+Tableau!$G$30^2)^(3/2))*Tableau!$G$29</f>
        <v>214.11878545918299</v>
      </c>
      <c r="Z31" s="101">
        <f>((Tableau!$G$35-P31)/(AE31^2+Tableau!$G$40^2)^(3/2))*Tableau!$G$39</f>
        <v>-191.59998384942853</v>
      </c>
      <c r="AA31" s="102">
        <f>((Tableau!$H$35-Q31)/(AE31^2+Tableau!$G$40^2)^(3/2))*Tableau!$G$39</f>
        <v>-1990.3351618011086</v>
      </c>
      <c r="AC31" s="113">
        <f>SQRT((Tableau!$G$16-P31)^2+(Tableau!$H$16-Q31)^2)</f>
        <v>28334.698244114621</v>
      </c>
      <c r="AD31" s="114">
        <f>SQRT((Tableau!$G$25-P31)^2+(Tableau!$H$25-Q31)^2)</f>
        <v>23297.515644290874</v>
      </c>
      <c r="AE31" s="115">
        <f>SQRT((Tableau!$G$35-P31)^2+(Tableau!$H$35-Q31)^2)</f>
        <v>7873.1135834141614</v>
      </c>
    </row>
    <row r="32" spans="2:31" x14ac:dyDescent="0.25">
      <c r="B32" s="20">
        <v>29</v>
      </c>
      <c r="C32" s="21">
        <f>Tableau!$G$17*COS(B32*PI()/180)+Tableau!$G$16</f>
        <v>24373.09853569698</v>
      </c>
      <c r="D32" s="21">
        <f>Tableau!$G$17*SIN(B32*PI()/180)+Tableau!$H$16</f>
        <v>9924.048101231685</v>
      </c>
      <c r="F32" s="28">
        <v>29</v>
      </c>
      <c r="G32" s="29">
        <f>Tableau!$G$26*COS(F32*PI()/180)+Tableau!$G$25</f>
        <v>-16938.831025012114</v>
      </c>
      <c r="H32" s="29">
        <f>Tableau!$G$26*SIN(F32*PI()/180)+Tableau!$H$25</f>
        <v>11696.833670862179</v>
      </c>
      <c r="J32" s="36">
        <v>29</v>
      </c>
      <c r="K32" s="37">
        <f>Tableau!$G$36*COS(J32*PI()/180)+Tableau!$G$35</f>
        <v>-626.90146430302138</v>
      </c>
      <c r="L32" s="37">
        <f>Tableau!$G$36*SIN(J32*PI()/180)+Tableau!$H$35</f>
        <v>-12575.951898768315</v>
      </c>
      <c r="N32" s="92">
        <v>28</v>
      </c>
      <c r="O32" s="93">
        <v>14</v>
      </c>
      <c r="P32" s="96">
        <f>P31+R31*Tableau!$G$2+((1/2)*T31)*Tableau!$G$2^2</f>
        <v>-1814.6060313898488</v>
      </c>
      <c r="Q32" s="96">
        <f>Q31+S31*Tableau!$G$2+((1/2)*U31)*Tableau!$G$2^2</f>
        <v>-5405.2766438255867</v>
      </c>
      <c r="R32" s="96">
        <f>R31+T31*Tableau!$G$2</f>
        <v>4881.9021418016946</v>
      </c>
      <c r="S32" s="96">
        <f>S31+U31*Tableau!$G$2</f>
        <v>3142.3741236866053</v>
      </c>
      <c r="T32" s="96">
        <f t="shared" si="0"/>
        <v>-228.50923531088239</v>
      </c>
      <c r="U32" s="96">
        <f t="shared" si="1"/>
        <v>-1232.6540634206754</v>
      </c>
      <c r="V32" s="96">
        <f>((Tableau!$G$16-P32)/(AC32^2+Tableau!$G$21^2)^(3/2))*Tableau!$G$20</f>
        <v>564.63616719073707</v>
      </c>
      <c r="W32" s="96">
        <f>((Tableau!$H$16-Q32)/(AC32^2+Tableau!$G$21^2)^(3/2))*Tableau!$G$20</f>
        <v>334.03243360070724</v>
      </c>
      <c r="X32" s="96">
        <f>((Tableau!$G$25-P32)/(AD32^2+Tableau!$G$30^2)^(3/2))*Tableau!$G$29</f>
        <v>-213.08597829159879</v>
      </c>
      <c r="Y32" s="96">
        <f>((Tableau!$H$25-Q32)/(AD32^2+Tableau!$G$30^2)^(3/2))*Tableau!$G$29</f>
        <v>180.51016382534684</v>
      </c>
      <c r="Z32" s="96">
        <f>((Tableau!$G$35-P32)/(AE32^2+Tableau!$G$40^2)^(3/2))*Tableau!$G$39</f>
        <v>-580.05942421002067</v>
      </c>
      <c r="AA32" s="97">
        <f>((Tableau!$H$35-Q32)/(AE32^2+Tableau!$G$40^2)^(3/2))*Tableau!$G$39</f>
        <v>-1747.1966608467294</v>
      </c>
      <c r="AC32" s="110">
        <f>SQRT((Tableau!$G$16-P32)^2+(Tableau!$H$16-Q32)^2)</f>
        <v>25346.068759443162</v>
      </c>
      <c r="AD32" s="111">
        <f>SQRT((Tableau!$G$25-P32)^2+(Tableau!$H$25-Q32)^2)</f>
        <v>23833.403077747007</v>
      </c>
      <c r="AE32" s="112">
        <f>SQRT((Tableau!$G$35-P32)^2+(Tableau!$H$35-Q32)^2)</f>
        <v>10109.671162643062</v>
      </c>
    </row>
    <row r="33" spans="2:31" x14ac:dyDescent="0.25">
      <c r="B33" s="18">
        <v>30</v>
      </c>
      <c r="C33" s="19">
        <f>Tableau!$G$17*COS(B33*PI()/180)+Tableau!$G$16</f>
        <v>24330.127018922194</v>
      </c>
      <c r="D33" s="19">
        <f>Tableau!$G$17*SIN(B33*PI()/180)+Tableau!$H$16</f>
        <v>10000</v>
      </c>
      <c r="F33" s="26">
        <v>30</v>
      </c>
      <c r="G33" s="27">
        <f>Tableau!$G$26*COS(F33*PI()/180)+Tableau!$G$25</f>
        <v>-16968.911086754466</v>
      </c>
      <c r="H33" s="27">
        <f>Tableau!$G$26*SIN(F33*PI()/180)+Tableau!$H$25</f>
        <v>11750</v>
      </c>
      <c r="J33" s="34">
        <v>30</v>
      </c>
      <c r="K33" s="35">
        <f>Tableau!$G$36*COS(J33*PI()/180)+Tableau!$G$35</f>
        <v>-669.8729810778068</v>
      </c>
      <c r="L33" s="35">
        <f>Tableau!$G$36*SIN(J33*PI()/180)+Tableau!$H$35</f>
        <v>-12500</v>
      </c>
      <c r="N33" s="98">
        <v>29</v>
      </c>
      <c r="O33" s="99">
        <v>14.5</v>
      </c>
      <c r="P33" s="101">
        <f>P32+R32*Tableau!$G$2+((1/2)*T32)*Tableau!$G$2^2</f>
        <v>597.78138509713824</v>
      </c>
      <c r="Q33" s="101">
        <f>Q32+S32*Tableau!$G$2+((1/2)*U32)*Tableau!$G$2^2</f>
        <v>-3988.1713399098685</v>
      </c>
      <c r="R33" s="101">
        <f>R32+T32*Tableau!$G$2</f>
        <v>4767.6475241462531</v>
      </c>
      <c r="S33" s="101">
        <f>S32+U32*Tableau!$G$2</f>
        <v>2526.0470919762674</v>
      </c>
      <c r="T33" s="101">
        <f t="shared" si="0"/>
        <v>-266.97815697482537</v>
      </c>
      <c r="U33" s="101">
        <f t="shared" si="1"/>
        <v>-890.20130821415216</v>
      </c>
      <c r="V33" s="101">
        <f>((Tableau!$G$16-P33)/(AC33^2+Tableau!$G$21^2)^(3/2))*Tableau!$G$20</f>
        <v>676.92465261180564</v>
      </c>
      <c r="W33" s="101">
        <f>((Tableau!$H$16-Q33)/(AC33^2+Tableau!$G$21^2)^(3/2))*Tableau!$G$20</f>
        <v>400.81119318180225</v>
      </c>
      <c r="X33" s="101">
        <f>((Tableau!$G$25-P33)/(AD33^2+Tableau!$G$30^2)^(3/2))*Tableau!$G$29</f>
        <v>-213.81335989715018</v>
      </c>
      <c r="Y33" s="101">
        <f>((Tableau!$H$25-Q33)/(AD33^2+Tableau!$G$30^2)^(3/2))*Tableau!$G$29</f>
        <v>145.20291564833721</v>
      </c>
      <c r="Z33" s="101">
        <f>((Tableau!$G$35-P33)/(AE33^2+Tableau!$G$40^2)^(3/2))*Tableau!$G$39</f>
        <v>-730.08944968948083</v>
      </c>
      <c r="AA33" s="102">
        <f>((Tableau!$H$35-Q33)/(AE33^2+Tableau!$G$40^2)^(3/2))*Tableau!$G$39</f>
        <v>-1436.2154170442916</v>
      </c>
      <c r="AC33" s="113">
        <f>SQRT((Tableau!$G$16-P33)^2+(Tableau!$H$16-Q33)^2)</f>
        <v>22548.263079794186</v>
      </c>
      <c r="AD33" s="114">
        <f>SQRT((Tableau!$G$25-P33)^2+(Tableau!$H$25-Q33)^2)</f>
        <v>24898.544845491073</v>
      </c>
      <c r="AE33" s="115">
        <f>SQRT((Tableau!$G$35-P33)^2+(Tableau!$H$35-Q33)^2)</f>
        <v>12352.956199813972</v>
      </c>
    </row>
    <row r="34" spans="2:31" x14ac:dyDescent="0.25">
      <c r="B34" s="20">
        <v>31</v>
      </c>
      <c r="C34" s="21">
        <f>Tableau!$G$17*COS(B34*PI()/180)+Tableau!$G$16</f>
        <v>24285.83650351056</v>
      </c>
      <c r="D34" s="21">
        <f>Tableau!$G$17*SIN(B34*PI()/180)+Tableau!$H$16</f>
        <v>10075.190374550271</v>
      </c>
      <c r="F34" s="28">
        <v>31</v>
      </c>
      <c r="G34" s="29">
        <f>Tableau!$G$26*COS(F34*PI()/180)+Tableau!$G$25</f>
        <v>-16999.914447542607</v>
      </c>
      <c r="H34" s="29">
        <f>Tableau!$G$26*SIN(F34*PI()/180)+Tableau!$H$25</f>
        <v>11802.633262185189</v>
      </c>
      <c r="J34" s="36">
        <v>31</v>
      </c>
      <c r="K34" s="37">
        <f>Tableau!$G$36*COS(J34*PI()/180)+Tableau!$G$35</f>
        <v>-714.16349648943833</v>
      </c>
      <c r="L34" s="37">
        <f>Tableau!$G$36*SIN(J34*PI()/180)+Tableau!$H$35</f>
        <v>-12424.809625449729</v>
      </c>
      <c r="N34" s="92">
        <v>30</v>
      </c>
      <c r="O34" s="93">
        <v>15</v>
      </c>
      <c r="P34" s="96">
        <f>P33+R33*Tableau!$G$2+((1/2)*T33)*Tableau!$G$2^2</f>
        <v>2948.2328775484116</v>
      </c>
      <c r="Q34" s="96">
        <f>Q33+S33*Tableau!$G$2+((1/2)*U33)*Tableau!$G$2^2</f>
        <v>-2836.4229574485039</v>
      </c>
      <c r="R34" s="96">
        <f>R33+T33*Tableau!$G$2</f>
        <v>4634.1584456588407</v>
      </c>
      <c r="S34" s="96">
        <f>S33+U33*Tableau!$G$2</f>
        <v>2080.9464378691914</v>
      </c>
      <c r="T34" s="96">
        <f t="shared" si="0"/>
        <v>-158.56612339967808</v>
      </c>
      <c r="U34" s="96">
        <f t="shared" si="1"/>
        <v>-558.5152526964232</v>
      </c>
      <c r="V34" s="96">
        <f>((Tableau!$G$16-P34)/(AC34^2+Tableau!$G$21^2)^(3/2))*Tableau!$G$20</f>
        <v>804.34375684142549</v>
      </c>
      <c r="W34" s="96">
        <f>((Tableau!$H$16-Q34)/(AC34^2+Tableau!$G$21^2)^(3/2))*Tableau!$G$20</f>
        <v>487.5762854483994</v>
      </c>
      <c r="X34" s="96">
        <f>((Tableau!$G$25-P34)/(AD34^2+Tableau!$G$30^2)^(3/2))*Tableau!$G$29</f>
        <v>-204.57221429083296</v>
      </c>
      <c r="Y34" s="96">
        <f>((Tableau!$H$25-Q34)/(AD34^2+Tableau!$G$30^2)^(3/2))*Tableau!$G$29</f>
        <v>114.43040002213273</v>
      </c>
      <c r="Z34" s="96">
        <f>((Tableau!$G$35-P34)/(AE34^2+Tableau!$G$40^2)^(3/2))*Tableau!$G$39</f>
        <v>-758.33766595027066</v>
      </c>
      <c r="AA34" s="97">
        <f>((Tableau!$H$35-Q34)/(AE34^2+Tableau!$G$40^2)^(3/2))*Tableau!$G$39</f>
        <v>-1160.5219381669554</v>
      </c>
      <c r="AC34" s="110">
        <f>SQRT((Tableau!$G$16-P34)^2+(Tableau!$H$16-Q34)^2)</f>
        <v>19940.020099127014</v>
      </c>
      <c r="AD34" s="111">
        <f>SQRT((Tableau!$G$25-P34)^2+(Tableau!$H$25-Q34)^2)</f>
        <v>26294.393823488401</v>
      </c>
      <c r="AE34" s="112">
        <f>SQRT((Tableau!$G$35-P34)^2+(Tableau!$H$35-Q34)^2)</f>
        <v>14530.210333846764</v>
      </c>
    </row>
    <row r="35" spans="2:31" x14ac:dyDescent="0.25">
      <c r="B35" s="18">
        <v>32</v>
      </c>
      <c r="C35" s="19">
        <f>Tableau!$G$17*COS(B35*PI()/180)+Tableau!$G$16</f>
        <v>24240.240480782129</v>
      </c>
      <c r="D35" s="19">
        <f>Tableau!$G$17*SIN(B35*PI()/180)+Tableau!$H$16</f>
        <v>10149.596321166024</v>
      </c>
      <c r="F35" s="26">
        <v>32</v>
      </c>
      <c r="G35" s="27">
        <f>Tableau!$G$26*COS(F35*PI()/180)+Tableau!$G$25</f>
        <v>-17031.831663452511</v>
      </c>
      <c r="H35" s="27">
        <f>Tableau!$G$26*SIN(F35*PI()/180)+Tableau!$H$25</f>
        <v>11854.717424816217</v>
      </c>
      <c r="J35" s="34">
        <v>32</v>
      </c>
      <c r="K35" s="35">
        <f>Tableau!$G$36*COS(J35*PI()/180)+Tableau!$G$35</f>
        <v>-759.75951921787055</v>
      </c>
      <c r="L35" s="35">
        <f>Tableau!$G$36*SIN(J35*PI()/180)+Tableau!$H$35</f>
        <v>-12350.403678833976</v>
      </c>
      <c r="N35" s="98">
        <v>31</v>
      </c>
      <c r="O35" s="99">
        <v>15.5</v>
      </c>
      <c r="P35" s="101">
        <f>P34+R34*Tableau!$G$2+((1/2)*T34)*Tableau!$G$2^2</f>
        <v>5245.4913349528724</v>
      </c>
      <c r="Q35" s="101">
        <f>Q34+S34*Tableau!$G$2+((1/2)*U34)*Tableau!$G$2^2</f>
        <v>-1865.7641451009611</v>
      </c>
      <c r="R35" s="101">
        <f>R34+T34*Tableau!$G$2</f>
        <v>4554.8753839590017</v>
      </c>
      <c r="S35" s="101">
        <f>S34+U34*Tableau!$G$2</f>
        <v>1801.6888115209799</v>
      </c>
      <c r="T35" s="101">
        <f t="shared" si="0"/>
        <v>24.342955029082759</v>
      </c>
      <c r="U35" s="101">
        <f t="shared" si="1"/>
        <v>-247.3682486286433</v>
      </c>
      <c r="V35" s="101">
        <f>((Tableau!$G$16-P35)/(AC35^2+Tableau!$G$21^2)^(3/2))*Tableau!$G$20</f>
        <v>946.40443165068473</v>
      </c>
      <c r="W35" s="101">
        <f>((Tableau!$H$16-Q35)/(AC35^2+Tableau!$G$21^2)^(3/2))*Tableau!$G$20</f>
        <v>600.75200699272648</v>
      </c>
      <c r="X35" s="101">
        <f>((Tableau!$G$25-P35)/(AD35^2+Tableau!$G$30^2)^(3/2))*Tableau!$G$29</f>
        <v>-190.59652225736636</v>
      </c>
      <c r="Y35" s="101">
        <f>((Tableau!$H$25-Q35)/(AD35^2+Tableau!$G$30^2)^(3/2))*Tableau!$G$29</f>
        <v>89.583258649088066</v>
      </c>
      <c r="Z35" s="101">
        <f>((Tableau!$G$35-P35)/(AE35^2+Tableau!$G$40^2)^(3/2))*Tableau!$G$39</f>
        <v>-731.46495436423561</v>
      </c>
      <c r="AA35" s="102">
        <f>((Tableau!$H$35-Q35)/(AE35^2+Tableau!$G$40^2)^(3/2))*Tableau!$G$39</f>
        <v>-937.70351427045784</v>
      </c>
      <c r="AC35" s="113">
        <f>SQRT((Tableau!$G$16-P35)^2+(Tableau!$H$16-Q35)^2)</f>
        <v>17476.071182294076</v>
      </c>
      <c r="AD35" s="114">
        <f>SQRT((Tableau!$G$25-P35)^2+(Tableau!$H$25-Q35)^2)</f>
        <v>27895.002984232571</v>
      </c>
      <c r="AE35" s="115">
        <f>SQRT((Tableau!$G$35-P35)^2+(Tableau!$H$35-Q35)^2)</f>
        <v>16657.678235177609</v>
      </c>
    </row>
    <row r="36" spans="2:31" x14ac:dyDescent="0.25">
      <c r="B36" s="20">
        <v>33</v>
      </c>
      <c r="C36" s="21">
        <f>Tableau!$G$17*COS(B36*PI()/180)+Tableau!$G$16</f>
        <v>24193.352839727122</v>
      </c>
      <c r="D36" s="21">
        <f>Tableau!$G$17*SIN(B36*PI()/180)+Tableau!$H$16</f>
        <v>10223.195175075136</v>
      </c>
      <c r="F36" s="28">
        <v>33</v>
      </c>
      <c r="G36" s="29">
        <f>Tableau!$G$26*COS(F36*PI()/180)+Tableau!$G$25</f>
        <v>-17064.653012191015</v>
      </c>
      <c r="H36" s="29">
        <f>Tableau!$G$26*SIN(F36*PI()/180)+Tableau!$H$25</f>
        <v>11906.236622552595</v>
      </c>
      <c r="J36" s="36">
        <v>33</v>
      </c>
      <c r="K36" s="37">
        <f>Tableau!$G$36*COS(J36*PI()/180)+Tableau!$G$35</f>
        <v>-806.64716027287977</v>
      </c>
      <c r="L36" s="37">
        <f>Tableau!$G$36*SIN(J36*PI()/180)+Tableau!$H$35</f>
        <v>-12276.804824924864</v>
      </c>
      <c r="N36" s="92">
        <v>32</v>
      </c>
      <c r="O36" s="93">
        <v>16</v>
      </c>
      <c r="P36" s="96">
        <f>P35+R35*Tableau!$G$2+((1/2)*T35)*Tableau!$G$2^2</f>
        <v>7525.971896311009</v>
      </c>
      <c r="Q36" s="96">
        <f>Q35+S35*Tableau!$G$2+((1/2)*U35)*Tableau!$G$2^2</f>
        <v>-995.84077041905152</v>
      </c>
      <c r="R36" s="96">
        <f>R35+T35*Tableau!$G$2</f>
        <v>4567.0468614735428</v>
      </c>
      <c r="S36" s="96">
        <f>S35+U35*Tableau!$G$2</f>
        <v>1678.0046872066582</v>
      </c>
      <c r="T36" s="96">
        <f t="shared" si="0"/>
        <v>245.41226128463438</v>
      </c>
      <c r="U36" s="96">
        <f t="shared" si="1"/>
        <v>59.027905486399504</v>
      </c>
      <c r="V36" s="96">
        <f>((Tableau!$G$16-P36)/(AC36^2+Tableau!$G$21^2)^(3/2))*Tableau!$G$20</f>
        <v>1100.6020001216391</v>
      </c>
      <c r="W36" s="96">
        <f>((Tableau!$H$16-Q36)/(AC36^2+Tableau!$G$21^2)^(3/2))*Tableau!$G$20</f>
        <v>749.60063156126023</v>
      </c>
      <c r="X36" s="96">
        <f>((Tableau!$G$25-P36)/(AD36^2+Tableau!$G$30^2)^(3/2))*Tableau!$G$29</f>
        <v>-174.98586661727813</v>
      </c>
      <c r="Y36" s="96">
        <f>((Tableau!$H$25-Q36)/(AD36^2+Tableau!$G$30^2)^(3/2))*Tableau!$G$29</f>
        <v>69.901863361825363</v>
      </c>
      <c r="Z36" s="96">
        <f>((Tableau!$G$35-P36)/(AE36^2+Tableau!$G$40^2)^(3/2))*Tableau!$G$39</f>
        <v>-680.20387221972658</v>
      </c>
      <c r="AA36" s="97">
        <f>((Tableau!$H$35-Q36)/(AE36^2+Tableau!$G$40^2)^(3/2))*Tableau!$G$39</f>
        <v>-760.47458943668607</v>
      </c>
      <c r="AC36" s="110">
        <f>SQRT((Tableau!$G$16-P36)^2+(Tableau!$H$16-Q36)^2)</f>
        <v>15092.404961699687</v>
      </c>
      <c r="AD36" s="111">
        <f>SQRT((Tableau!$G$25-P36)^2+(Tableau!$H$25-Q36)^2)</f>
        <v>29640.979118188949</v>
      </c>
      <c r="AE36" s="112">
        <f>SQRT((Tableau!$G$35-P36)^2+(Tableau!$H$35-Q36)^2)</f>
        <v>18788.731933651896</v>
      </c>
    </row>
    <row r="37" spans="2:31" x14ac:dyDescent="0.25">
      <c r="B37" s="18">
        <v>34</v>
      </c>
      <c r="C37" s="19">
        <f>Tableau!$G$17*COS(B37*PI()/180)+Tableau!$G$16</f>
        <v>24145.187862775208</v>
      </c>
      <c r="D37" s="19">
        <f>Tableau!$G$17*SIN(B37*PI()/180)+Tableau!$H$16</f>
        <v>10295.964517353736</v>
      </c>
      <c r="F37" s="26">
        <v>34</v>
      </c>
      <c r="G37" s="27">
        <f>Tableau!$G$26*COS(F37*PI()/180)+Tableau!$G$25</f>
        <v>-17098.368496057356</v>
      </c>
      <c r="H37" s="27">
        <f>Tableau!$G$26*SIN(F37*PI()/180)+Tableau!$H$25</f>
        <v>11957.175162147614</v>
      </c>
      <c r="J37" s="34">
        <v>34</v>
      </c>
      <c r="K37" s="35">
        <f>Tableau!$G$36*COS(J37*PI()/180)+Tableau!$G$35</f>
        <v>-854.81213722479151</v>
      </c>
      <c r="L37" s="35">
        <f>Tableau!$G$36*SIN(J37*PI()/180)+Tableau!$H$35</f>
        <v>-12204.035482646264</v>
      </c>
      <c r="N37" s="98">
        <v>33</v>
      </c>
      <c r="O37" s="99">
        <v>16.5</v>
      </c>
      <c r="P37" s="101">
        <f>P36+R36*Tableau!$G$2+((1/2)*T36)*Tableau!$G$2^2</f>
        <v>9840.17185970836</v>
      </c>
      <c r="Q37" s="101">
        <f>Q36+S36*Tableau!$G$2+((1/2)*U36)*Tableau!$G$2^2</f>
        <v>-149.45993862992248</v>
      </c>
      <c r="R37" s="101">
        <f>R36+T36*Tableau!$G$2</f>
        <v>4689.7529921158603</v>
      </c>
      <c r="S37" s="101">
        <f>S36+U36*Tableau!$G$2</f>
        <v>1707.518639949858</v>
      </c>
      <c r="T37" s="101">
        <f t="shared" si="0"/>
        <v>479.15964287297436</v>
      </c>
      <c r="U37" s="101">
        <f t="shared" si="1"/>
        <v>381.69743479747001</v>
      </c>
      <c r="V37" s="101">
        <f>((Tableau!$G$16-P37)/(AC37^2+Tableau!$G$21^2)^(3/2))*Tableau!$G$20</f>
        <v>1256.2871954979134</v>
      </c>
      <c r="W37" s="101">
        <f>((Tableau!$H$16-Q37)/(AC37^2+Tableau!$G$21^2)^(3/2))*Tableau!$G$20</f>
        <v>945.87412706955206</v>
      </c>
      <c r="X37" s="101">
        <f>((Tableau!$G$25-P37)/(AD37^2+Tableau!$G$30^2)^(3/2))*Tableau!$G$29</f>
        <v>-159.22558040428999</v>
      </c>
      <c r="Y37" s="101">
        <f>((Tableau!$H$25-Q37)/(AD37^2+Tableau!$G$30^2)^(3/2))*Tableau!$G$29</f>
        <v>54.1569819743737</v>
      </c>
      <c r="Z37" s="101">
        <f>((Tableau!$G$35-P37)/(AE37^2+Tableau!$G$40^2)^(3/2))*Tableau!$G$39</f>
        <v>-617.9019722206491</v>
      </c>
      <c r="AA37" s="102">
        <f>((Tableau!$H$35-Q37)/(AE37^2+Tableau!$G$40^2)^(3/2))*Tableau!$G$39</f>
        <v>-618.33367424645576</v>
      </c>
      <c r="AC37" s="113">
        <f>SQRT((Tableau!$G$16-P37)^2+(Tableau!$H$16-Q37)^2)</f>
        <v>12717.56050478888</v>
      </c>
      <c r="AD37" s="114">
        <f>SQRT((Tableau!$G$25-P37)^2+(Tableau!$H$25-Q37)^2)</f>
        <v>31519.000518144359</v>
      </c>
      <c r="AE37" s="115">
        <f>SQRT((Tableau!$G$35-P37)^2+(Tableau!$H$35-Q37)^2)</f>
        <v>20994.505017743035</v>
      </c>
    </row>
    <row r="38" spans="2:31" x14ac:dyDescent="0.25">
      <c r="B38" s="20">
        <v>35</v>
      </c>
      <c r="C38" s="21">
        <f>Tableau!$G$17*COS(B38*PI()/180)+Tableau!$G$16</f>
        <v>24095.760221444958</v>
      </c>
      <c r="D38" s="21">
        <f>Tableau!$G$17*SIN(B38*PI()/180)+Tableau!$H$16</f>
        <v>10367.882181755231</v>
      </c>
      <c r="F38" s="28">
        <v>35</v>
      </c>
      <c r="G38" s="29">
        <f>Tableau!$G$26*COS(F38*PI()/180)+Tableau!$G$25</f>
        <v>-17132.967844988529</v>
      </c>
      <c r="H38" s="29">
        <f>Tableau!$G$26*SIN(F38*PI()/180)+Tableau!$H$25</f>
        <v>12007.517527228661</v>
      </c>
      <c r="J38" s="36">
        <v>35</v>
      </c>
      <c r="K38" s="37">
        <f>Tableau!$G$36*COS(J38*PI()/180)+Tableau!$G$35</f>
        <v>-904.23977855504108</v>
      </c>
      <c r="L38" s="37">
        <f>Tableau!$G$36*SIN(J38*PI()/180)+Tableau!$H$35</f>
        <v>-12132.117818244769</v>
      </c>
      <c r="N38" s="92">
        <v>34</v>
      </c>
      <c r="O38" s="93">
        <v>17</v>
      </c>
      <c r="P38" s="96">
        <f>P37+R37*Tableau!$G$2+((1/2)*T37)*Tableau!$G$2^2</f>
        <v>12244.943311125411</v>
      </c>
      <c r="Q38" s="96">
        <f>Q37+S37*Tableau!$G$2+((1/2)*U37)*Tableau!$G$2^2</f>
        <v>752.01156069469027</v>
      </c>
      <c r="R38" s="96">
        <f>R37+T37*Tableau!$G$2</f>
        <v>4929.332813552347</v>
      </c>
      <c r="S38" s="96">
        <f>S37+U37*Tableau!$G$2</f>
        <v>1898.367357348593</v>
      </c>
      <c r="T38" s="96">
        <f t="shared" si="0"/>
        <v>682.12685643872169</v>
      </c>
      <c r="U38" s="96">
        <f t="shared" si="1"/>
        <v>736.21606923396484</v>
      </c>
      <c r="V38" s="96">
        <f>((Tableau!$G$16-P38)/(AC38^2+Tableau!$G$21^2)^(3/2))*Tableau!$G$20</f>
        <v>1376.598759817462</v>
      </c>
      <c r="W38" s="96">
        <f>((Tableau!$H$16-Q38)/(AC38^2+Tableau!$G$21^2)^(3/2))*Tableau!$G$20</f>
        <v>1197.8342505396072</v>
      </c>
      <c r="X38" s="96">
        <f>((Tableau!$G$25-P38)/(AD38^2+Tableau!$G$30^2)^(3/2))*Tableau!$G$29</f>
        <v>-143.91532361151013</v>
      </c>
      <c r="Y38" s="96">
        <f>((Tableau!$H$25-Q38)/(AD38^2+Tableau!$G$30^2)^(3/2))*Tableau!$G$29</f>
        <v>41.275533845919981</v>
      </c>
      <c r="Z38" s="96">
        <f>((Tableau!$G$35-P38)/(AE38^2+Tableau!$G$40^2)^(3/2))*Tableau!$G$39</f>
        <v>-550.55657976723023</v>
      </c>
      <c r="AA38" s="97">
        <f>((Tableau!$H$35-Q38)/(AE38^2+Tableau!$G$40^2)^(3/2))*Tableau!$G$39</f>
        <v>-502.89371515156216</v>
      </c>
      <c r="AC38" s="110">
        <f>SQRT((Tableau!$G$16-P38)^2+(Tableau!$H$16-Q38)^2)</f>
        <v>10279.895535687929</v>
      </c>
      <c r="AD38" s="111">
        <f>SQRT((Tableau!$G$25-P38)^2+(Tableau!$H$25-Q38)^2)</f>
        <v>33544.920022429869</v>
      </c>
      <c r="AE38" s="112">
        <f>SQRT((Tableau!$G$35-P38)^2+(Tableau!$H$35-Q38)^2)</f>
        <v>23356.239808928753</v>
      </c>
    </row>
    <row r="39" spans="2:31" x14ac:dyDescent="0.25">
      <c r="B39" s="18">
        <v>36</v>
      </c>
      <c r="C39" s="19">
        <f>Tableau!$G$17*COS(B39*PI()/180)+Tableau!$G$16</f>
        <v>24045.084971874738</v>
      </c>
      <c r="D39" s="19">
        <f>Tableau!$G$17*SIN(B39*PI()/180)+Tableau!$H$16</f>
        <v>10438.926261462366</v>
      </c>
      <c r="F39" s="26">
        <v>36</v>
      </c>
      <c r="G39" s="27">
        <f>Tableau!$G$26*COS(F39*PI()/180)+Tableau!$G$25</f>
        <v>-17168.440519687683</v>
      </c>
      <c r="H39" s="27">
        <f>Tableau!$G$26*SIN(F39*PI()/180)+Tableau!$H$25</f>
        <v>12057.248383023656</v>
      </c>
      <c r="J39" s="34">
        <v>36</v>
      </c>
      <c r="K39" s="35">
        <f>Tableau!$G$36*COS(J39*PI()/180)+Tableau!$G$35</f>
        <v>-954.91502812526278</v>
      </c>
      <c r="L39" s="35">
        <f>Tableau!$G$36*SIN(J39*PI()/180)+Tableau!$H$35</f>
        <v>-12061.073738537634</v>
      </c>
      <c r="N39" s="98">
        <v>35</v>
      </c>
      <c r="O39" s="99">
        <v>17.5</v>
      </c>
      <c r="P39" s="101">
        <f>P38+R38*Tableau!$G$2+((1/2)*T38)*Tableau!$G$2^2</f>
        <v>14794.875574956426</v>
      </c>
      <c r="Q39" s="101">
        <f>Q38+S38*Tableau!$G$2+((1/2)*U38)*Tableau!$G$2^2</f>
        <v>1793.2222480232322</v>
      </c>
      <c r="R39" s="101">
        <f>R38+T38*Tableau!$G$2</f>
        <v>5270.3962417717075</v>
      </c>
      <c r="S39" s="101">
        <f>S38+U38*Tableau!$G$2</f>
        <v>2266.4753919655755</v>
      </c>
      <c r="T39" s="101">
        <f t="shared" si="0"/>
        <v>740.19706682644949</v>
      </c>
      <c r="U39" s="101">
        <f t="shared" si="1"/>
        <v>1103.1591436843391</v>
      </c>
      <c r="V39" s="101">
        <f>((Tableau!$G$16-P39)/(AC39^2+Tableau!$G$21^2)^(3/2))*Tableau!$G$20</f>
        <v>1350.9303831870282</v>
      </c>
      <c r="W39" s="101">
        <f>((Tableau!$H$16-Q39)/(AC39^2+Tableau!$G$21^2)^(3/2))*Tableau!$G$20</f>
        <v>1481.1287542231316</v>
      </c>
      <c r="X39" s="101">
        <f>((Tableau!$G$25-P39)/(AD39^2+Tableau!$G$30^2)^(3/2))*Tableau!$G$29</f>
        <v>-129.26610902667704</v>
      </c>
      <c r="Y39" s="101">
        <f>((Tableau!$H$25-Q39)/(AD39^2+Tableau!$G$30^2)^(3/2))*Tableau!$G$29</f>
        <v>30.488921432105585</v>
      </c>
      <c r="Z39" s="101">
        <f>((Tableau!$G$35-P39)/(AE39^2+Tableau!$G$40^2)^(3/2))*Tableau!$G$39</f>
        <v>-481.46720733390168</v>
      </c>
      <c r="AA39" s="102">
        <f>((Tableau!$H$35-Q39)/(AE39^2+Tableau!$G$40^2)^(3/2))*Tableau!$G$39</f>
        <v>-408.45853197089821</v>
      </c>
      <c r="AC39" s="113">
        <f>SQRT((Tableau!$G$16-P39)^2+(Tableau!$H$16-Q39)^2)</f>
        <v>7724.0295565619253</v>
      </c>
      <c r="AD39" s="114">
        <f>SQRT((Tableau!$G$25-P39)^2+(Tableau!$H$25-Q39)^2)</f>
        <v>35749.609331390471</v>
      </c>
      <c r="AE39" s="115">
        <f>SQRT((Tableau!$G$35-P39)^2+(Tableau!$H$35-Q39)^2)</f>
        <v>25958.609602586748</v>
      </c>
    </row>
    <row r="40" spans="2:31" x14ac:dyDescent="0.25">
      <c r="B40" s="20">
        <v>37</v>
      </c>
      <c r="C40" s="21">
        <f>Tableau!$G$17*COS(B40*PI()/180)+Tableau!$G$16</f>
        <v>23993.177550236465</v>
      </c>
      <c r="D40" s="21">
        <f>Tableau!$G$17*SIN(B40*PI()/180)+Tableau!$H$16</f>
        <v>10509.075115760241</v>
      </c>
      <c r="F40" s="28">
        <v>37</v>
      </c>
      <c r="G40" s="29">
        <f>Tableau!$G$26*COS(F40*PI()/180)+Tableau!$G$25</f>
        <v>-17204.775714834475</v>
      </c>
      <c r="H40" s="29">
        <f>Tableau!$G$26*SIN(F40*PI()/180)+Tableau!$H$25</f>
        <v>12106.35258103217</v>
      </c>
      <c r="J40" s="36">
        <v>37</v>
      </c>
      <c r="K40" s="37">
        <f>Tableau!$G$36*COS(J40*PI()/180)+Tableau!$G$35</f>
        <v>-1006.822449763536</v>
      </c>
      <c r="L40" s="37">
        <f>Tableau!$G$36*SIN(J40*PI()/180)+Tableau!$H$35</f>
        <v>-11990.924884239759</v>
      </c>
      <c r="N40" s="92">
        <v>36</v>
      </c>
      <c r="O40" s="93">
        <v>18</v>
      </c>
      <c r="P40" s="96">
        <f>P39+R39*Tableau!$G$2+((1/2)*T39)*Tableau!$G$2^2</f>
        <v>17522.598329195585</v>
      </c>
      <c r="Q40" s="96">
        <f>Q39+S39*Tableau!$G$2+((1/2)*U39)*Tableau!$G$2^2</f>
        <v>3064.3548369665623</v>
      </c>
      <c r="R40" s="96">
        <f>R39+T39*Tableau!$G$2</f>
        <v>5640.4947751849322</v>
      </c>
      <c r="S40" s="96">
        <f>S39+U39*Tableau!$G$2</f>
        <v>2818.054963807745</v>
      </c>
      <c r="T40" s="96">
        <f t="shared" si="0"/>
        <v>390.37174960737912</v>
      </c>
      <c r="U40" s="96">
        <f t="shared" si="1"/>
        <v>1335.5262674229416</v>
      </c>
      <c r="V40" s="96">
        <f>((Tableau!$G$16-P40)/(AC40^2+Tableau!$G$21^2)^(3/2))*Tableau!$G$20</f>
        <v>919.19897357015896</v>
      </c>
      <c r="W40" s="96">
        <f>((Tableau!$H$16-Q40)/(AC40^2+Tableau!$G$21^2)^(3/2))*Tableau!$G$20</f>
        <v>1645.7728793158894</v>
      </c>
      <c r="X40" s="96">
        <f>((Tableau!$G$25-P40)/(AD40^2+Tableau!$G$30^2)^(3/2))*Tableau!$G$29</f>
        <v>-115.4143681263963</v>
      </c>
      <c r="Y40" s="96">
        <f>((Tableau!$H$25-Q40)/(AD40^2+Tableau!$G$30^2)^(3/2))*Tableau!$G$29</f>
        <v>21.333093647130742</v>
      </c>
      <c r="Z40" s="96">
        <f>((Tableau!$G$35-P40)/(AE40^2+Tableau!$G$40^2)^(3/2))*Tableau!$G$39</f>
        <v>-413.41285583638353</v>
      </c>
      <c r="AA40" s="97">
        <f>((Tableau!$H$35-Q40)/(AE40^2+Tableau!$G$40^2)^(3/2))*Tableau!$G$39</f>
        <v>-331.57970554007841</v>
      </c>
      <c r="AC40" s="110">
        <f>SQRT((Tableau!$G$16-P40)^2+(Tableau!$H$16-Q40)^2)</f>
        <v>5080.597115580651</v>
      </c>
      <c r="AD40" s="111">
        <f>SQRT((Tableau!$G$25-P40)^2+(Tableau!$H$25-Q40)^2)</f>
        <v>38158.204349807398</v>
      </c>
      <c r="AE40" s="112">
        <f>SQRT((Tableau!$G$35-P40)^2+(Tableau!$H$35-Q40)^2)</f>
        <v>28871.9301601767</v>
      </c>
    </row>
    <row r="41" spans="2:31" x14ac:dyDescent="0.25">
      <c r="B41" s="18">
        <v>38</v>
      </c>
      <c r="C41" s="19">
        <f>Tableau!$G$17*COS(B41*PI()/180)+Tableau!$G$16</f>
        <v>23940.053768033609</v>
      </c>
      <c r="D41" s="19">
        <f>Tableau!$G$17*SIN(B41*PI()/180)+Tableau!$H$16</f>
        <v>10578.307376628291</v>
      </c>
      <c r="F41" s="26">
        <v>38</v>
      </c>
      <c r="G41" s="27">
        <f>Tableau!$G$26*COS(F41*PI()/180)+Tableau!$G$25</f>
        <v>-17241.962362376471</v>
      </c>
      <c r="H41" s="27">
        <f>Tableau!$G$26*SIN(F41*PI()/180)+Tableau!$H$25</f>
        <v>12154.815163639803</v>
      </c>
      <c r="J41" s="34">
        <v>38</v>
      </c>
      <c r="K41" s="35">
        <f>Tableau!$G$36*COS(J41*PI()/180)+Tableau!$G$35</f>
        <v>-1059.9462319663899</v>
      </c>
      <c r="L41" s="35">
        <f>Tableau!$G$36*SIN(J41*PI()/180)+Tableau!$H$35</f>
        <v>-11921.692623371709</v>
      </c>
      <c r="N41" s="98">
        <v>37</v>
      </c>
      <c r="O41" s="99">
        <v>18.5</v>
      </c>
      <c r="P41" s="101">
        <f>P40+R40*Tableau!$G$2+((1/2)*T40)*Tableau!$G$2^2</f>
        <v>20391.642185488974</v>
      </c>
      <c r="Q41" s="101">
        <f>Q40+S40*Tableau!$G$2+((1/2)*U40)*Tableau!$G$2^2</f>
        <v>4640.3231022983018</v>
      </c>
      <c r="R41" s="101">
        <f>R40+T40*Tableau!$G$2</f>
        <v>5835.6806499886216</v>
      </c>
      <c r="S41" s="101">
        <f>S40+U40*Tableau!$G$2</f>
        <v>3485.8180975192158</v>
      </c>
      <c r="T41" s="101">
        <f t="shared" si="0"/>
        <v>-634.30741702951673</v>
      </c>
      <c r="U41" s="101">
        <f t="shared" si="1"/>
        <v>1071.0297485877873</v>
      </c>
      <c r="V41" s="101">
        <f>((Tableau!$G$16-P41)/(AC41^2+Tableau!$G$21^2)^(3/2))*Tableau!$G$20</f>
        <v>-181.86877616466538</v>
      </c>
      <c r="W41" s="101">
        <f>((Tableau!$H$16-Q41)/(AC41^2+Tableau!$G$21^2)^(3/2))*Tableau!$G$20</f>
        <v>1327.9619940891605</v>
      </c>
      <c r="X41" s="101">
        <f>((Tableau!$G$25-P41)/(AD41^2+Tableau!$G$30^2)^(3/2))*Tableau!$G$29</f>
        <v>-102.65752136464458</v>
      </c>
      <c r="Y41" s="101">
        <f>((Tableau!$H$25-Q41)/(AD41^2+Tableau!$G$30^2)^(3/2))*Tableau!$G$29</f>
        <v>13.621905816720467</v>
      </c>
      <c r="Z41" s="101">
        <f>((Tableau!$G$35-P41)/(AE41^2+Tableau!$G$40^2)^(3/2))*Tableau!$G$39</f>
        <v>-349.78111950020684</v>
      </c>
      <c r="AA41" s="102">
        <f>((Tableau!$H$35-Q41)/(AE41^2+Tableau!$G$40^2)^(3/2))*Tableau!$G$39</f>
        <v>-270.55415131809372</v>
      </c>
      <c r="AC41" s="113">
        <f>SQRT((Tableau!$G$16-P41)^2+(Tableau!$H$16-Q41)^2)</f>
        <v>2886.3706554604851</v>
      </c>
      <c r="AD41" s="114">
        <f>SQRT((Tableau!$G$25-P41)^2+(Tableau!$H$25-Q41)^2)</f>
        <v>40745.68559845729</v>
      </c>
      <c r="AE41" s="115">
        <f>SQRT((Tableau!$G$35-P41)^2+(Tableau!$H$35-Q41)^2)</f>
        <v>32101.055815012933</v>
      </c>
    </row>
    <row r="42" spans="2:31" x14ac:dyDescent="0.25">
      <c r="B42" s="20">
        <v>39</v>
      </c>
      <c r="C42" s="21">
        <f>Tableau!$G$17*COS(B42*PI()/180)+Tableau!$G$16</f>
        <v>23885.729807284853</v>
      </c>
      <c r="D42" s="21">
        <f>Tableau!$G$17*SIN(B42*PI()/180)+Tableau!$H$16</f>
        <v>10646.601955249187</v>
      </c>
      <c r="F42" s="28">
        <v>39</v>
      </c>
      <c r="G42" s="29">
        <f>Tableau!$G$26*COS(F42*PI()/180)+Tableau!$G$25</f>
        <v>-17279.989134900603</v>
      </c>
      <c r="H42" s="29">
        <f>Tableau!$G$26*SIN(F42*PI()/180)+Tableau!$H$25</f>
        <v>12202.62136867443</v>
      </c>
      <c r="J42" s="36">
        <v>39</v>
      </c>
      <c r="K42" s="37">
        <f>Tableau!$G$36*COS(J42*PI()/180)+Tableau!$G$35</f>
        <v>-1114.2701927151456</v>
      </c>
      <c r="L42" s="37">
        <f>Tableau!$G$36*SIN(J42*PI()/180)+Tableau!$H$35</f>
        <v>-11853.398044750813</v>
      </c>
      <c r="N42" s="92">
        <v>38</v>
      </c>
      <c r="O42" s="93">
        <v>19</v>
      </c>
      <c r="P42" s="96">
        <f>P41+R41*Tableau!$G$2+((1/2)*T41)*Tableau!$G$2^2</f>
        <v>23230.194083354596</v>
      </c>
      <c r="Q42" s="96">
        <f>Q41+S41*Tableau!$G$2+((1/2)*U41)*Tableau!$G$2^2</f>
        <v>6517.1108696313831</v>
      </c>
      <c r="R42" s="96">
        <f>R41+T41*Tableau!$G$2</f>
        <v>5518.5269414738632</v>
      </c>
      <c r="S42" s="96">
        <f>S41+U41*Tableau!$G$2</f>
        <v>4021.3329718131095</v>
      </c>
      <c r="T42" s="96">
        <f t="shared" si="0"/>
        <v>-1824.769673795548</v>
      </c>
      <c r="U42" s="96">
        <f t="shared" si="1"/>
        <v>220.42417767982229</v>
      </c>
      <c r="V42" s="96">
        <f>((Tableau!$G$16-P42)/(AC42^2+Tableau!$G$21^2)^(3/2))*Tableau!$G$20</f>
        <v>-1438.4611549708404</v>
      </c>
      <c r="W42" s="96">
        <f>((Tableau!$H$16-Q42)/(AC42^2+Tableau!$G$21^2)^(3/2))*Tableau!$G$20</f>
        <v>437.69748726987547</v>
      </c>
      <c r="X42" s="96">
        <f>((Tableau!$G$25-P42)/(AD42^2+Tableau!$G$30^2)^(3/2))*Tableau!$G$29</f>
        <v>-91.569458996503002</v>
      </c>
      <c r="Y42" s="96">
        <f>((Tableau!$H$25-Q42)/(AD42^2+Tableau!$G$30^2)^(3/2))*Tableau!$G$29</f>
        <v>7.3773962892166329</v>
      </c>
      <c r="Z42" s="96">
        <f>((Tableau!$G$35-P42)/(AE42^2+Tableau!$G$40^2)^(3/2))*Tableau!$G$39</f>
        <v>-294.73905982820463</v>
      </c>
      <c r="AA42" s="97">
        <f>((Tableau!$H$35-Q42)/(AE42^2+Tableau!$G$40^2)^(3/2))*Tableau!$G$39</f>
        <v>-224.65070587926979</v>
      </c>
      <c r="AC42" s="110">
        <f>SQRT((Tableau!$G$16-P42)^2+(Tableau!$H$16-Q42)^2)</f>
        <v>3376.4219017675819</v>
      </c>
      <c r="AD42" s="111">
        <f>SQRT((Tableau!$G$25-P42)^2+(Tableau!$H$25-Q42)^2)</f>
        <v>43370.268585506208</v>
      </c>
      <c r="AE42" s="112">
        <f>SQRT((Tableau!$G$35-P42)^2+(Tableau!$H$35-Q42)^2)</f>
        <v>35495.491518781339</v>
      </c>
    </row>
    <row r="43" spans="2:31" x14ac:dyDescent="0.25">
      <c r="B43" s="18">
        <v>40</v>
      </c>
      <c r="C43" s="19">
        <f>Tableau!$G$17*COS(B43*PI()/180)+Tableau!$G$16</f>
        <v>23830.222215594891</v>
      </c>
      <c r="D43" s="19">
        <f>Tableau!$G$17*SIN(B43*PI()/180)+Tableau!$H$16</f>
        <v>10713.938048432696</v>
      </c>
      <c r="F43" s="26">
        <v>40</v>
      </c>
      <c r="G43" s="27">
        <f>Tableau!$G$26*COS(F43*PI()/180)+Tableau!$G$25</f>
        <v>-17318.844449083575</v>
      </c>
      <c r="H43" s="27">
        <f>Tableau!$G$26*SIN(F43*PI()/180)+Tableau!$H$25</f>
        <v>12249.756633902887</v>
      </c>
      <c r="J43" s="34">
        <v>40</v>
      </c>
      <c r="K43" s="35">
        <f>Tableau!$G$36*COS(J43*PI()/180)+Tableau!$G$35</f>
        <v>-1169.7777844051097</v>
      </c>
      <c r="L43" s="35">
        <f>Tableau!$G$36*SIN(J43*PI()/180)+Tableau!$H$35</f>
        <v>-11786.061951567304</v>
      </c>
      <c r="N43" s="98">
        <v>39</v>
      </c>
      <c r="O43" s="99">
        <v>19.5</v>
      </c>
      <c r="P43" s="101">
        <f>P42+R42*Tableau!$G$2+((1/2)*T42)*Tableau!$G$2^2</f>
        <v>25761.361344867084</v>
      </c>
      <c r="Q43" s="101">
        <f>Q42+S42*Tableau!$G$2+((1/2)*U42)*Tableau!$G$2^2</f>
        <v>8555.3303777479141</v>
      </c>
      <c r="R43" s="101">
        <f>R42+T42*Tableau!$G$2</f>
        <v>4606.142104576089</v>
      </c>
      <c r="S43" s="101">
        <f>S42+U42*Tableau!$G$2</f>
        <v>4131.5450606530203</v>
      </c>
      <c r="T43" s="101">
        <f t="shared" si="0"/>
        <v>-2272.2176742244583</v>
      </c>
      <c r="U43" s="101">
        <f t="shared" si="1"/>
        <v>-544.90775074932037</v>
      </c>
      <c r="V43" s="101">
        <f>((Tableau!$G$16-P43)/(AC43^2+Tableau!$G$21^2)^(3/2))*Tableau!$G$20</f>
        <v>-1938.097990996471</v>
      </c>
      <c r="W43" s="101">
        <f>((Tableau!$H$16-Q43)/(AC43^2+Tableau!$G$21^2)^(3/2))*Tableau!$G$20</f>
        <v>-355.008749238235</v>
      </c>
      <c r="X43" s="101">
        <f>((Tableau!$G$25-P43)/(AD43^2+Tableau!$G$30^2)^(3/2))*Tableau!$G$29</f>
        <v>-82.716710765593078</v>
      </c>
      <c r="Y43" s="101">
        <f>((Tableau!$H$25-Q43)/(AD43^2+Tableau!$G$30^2)^(3/2))*Tableau!$G$29</f>
        <v>2.6113366338711028</v>
      </c>
      <c r="Z43" s="101">
        <f>((Tableau!$G$35-P43)/(AE43^2+Tableau!$G$40^2)^(3/2))*Tableau!$G$39</f>
        <v>-251.40297246239408</v>
      </c>
      <c r="AA43" s="102">
        <f>((Tableau!$H$35-Q43)/(AE43^2+Tableau!$G$40^2)^(3/2))*Tableau!$G$39</f>
        <v>-192.51033814495645</v>
      </c>
      <c r="AC43" s="113">
        <f>SQRT((Tableau!$G$16-P43)^2+(Tableau!$H$16-Q43)^2)</f>
        <v>5857.2183459664711</v>
      </c>
      <c r="AD43" s="114">
        <f>SQRT((Tableau!$G$25-P43)^2+(Tableau!$H$25-Q43)^2)</f>
        <v>45784.159514541192</v>
      </c>
      <c r="AE43" s="115">
        <f>SQRT((Tableau!$G$35-P43)^2+(Tableau!$H$35-Q43)^2)</f>
        <v>38744.224614700142</v>
      </c>
    </row>
    <row r="44" spans="2:31" x14ac:dyDescent="0.25">
      <c r="B44" s="20">
        <v>41</v>
      </c>
      <c r="C44" s="21">
        <f>Tableau!$G$17*COS(B44*PI()/180)+Tableau!$G$16</f>
        <v>23773.54790111386</v>
      </c>
      <c r="D44" s="21">
        <f>Tableau!$G$17*SIN(B44*PI()/180)+Tableau!$H$16</f>
        <v>10780.295144952535</v>
      </c>
      <c r="F44" s="28">
        <v>41</v>
      </c>
      <c r="G44" s="29">
        <f>Tableau!$G$26*COS(F44*PI()/180)+Tableau!$G$25</f>
        <v>-17358.516469220296</v>
      </c>
      <c r="H44" s="29">
        <f>Tableau!$G$26*SIN(F44*PI()/180)+Tableau!$H$25</f>
        <v>12296.206601466776</v>
      </c>
      <c r="J44" s="36">
        <v>41</v>
      </c>
      <c r="K44" s="37">
        <f>Tableau!$G$36*COS(J44*PI()/180)+Tableau!$G$35</f>
        <v>-1226.4520988861395</v>
      </c>
      <c r="L44" s="37">
        <f>Tableau!$G$36*SIN(J44*PI()/180)+Tableau!$H$35</f>
        <v>-11719.704855047465</v>
      </c>
      <c r="N44" s="92">
        <v>40</v>
      </c>
      <c r="O44" s="93">
        <v>20</v>
      </c>
      <c r="P44" s="96">
        <f>P43+R43*Tableau!$G$2+((1/2)*T43)*Tableau!$G$2^2</f>
        <v>27780.40518787707</v>
      </c>
      <c r="Q44" s="96">
        <f>Q43+S43*Tableau!$G$2+((1/2)*U43)*Tableau!$G$2^2</f>
        <v>10552.98943923076</v>
      </c>
      <c r="R44" s="96">
        <f>R43+T43*Tableau!$G$2</f>
        <v>3470.0332674638598</v>
      </c>
      <c r="S44" s="96">
        <f>S43+U43*Tableau!$G$2</f>
        <v>3859.0911852783602</v>
      </c>
      <c r="T44" s="96">
        <f t="shared" si="0"/>
        <v>-2136.1525173752793</v>
      </c>
      <c r="U44" s="96">
        <f t="shared" si="1"/>
        <v>-894.25186347612021</v>
      </c>
      <c r="V44" s="96">
        <f>((Tableau!$G$16-P44)/(AC44^2+Tableau!$G$21^2)^(3/2))*Tableau!$G$20</f>
        <v>-1840.2702697486188</v>
      </c>
      <c r="W44" s="96">
        <f>((Tableau!$H$16-Q44)/(AC44^2+Tableau!$G$21^2)^(3/2))*Tableau!$G$20</f>
        <v>-722.11222464698778</v>
      </c>
      <c r="X44" s="96">
        <f>((Tableau!$G$25-P44)/(AD44^2+Tableau!$G$30^2)^(3/2))*Tableau!$G$29</f>
        <v>-76.185709586549123</v>
      </c>
      <c r="Y44" s="96">
        <f>((Tableau!$H$25-Q44)/(AD44^2+Tableau!$G$30^2)^(3/2))*Tableau!$G$29</f>
        <v>-0.88173996549431899</v>
      </c>
      <c r="Z44" s="96">
        <f>((Tableau!$G$35-P44)/(AE44^2+Tableau!$G$40^2)^(3/2))*Tableau!$G$39</f>
        <v>-219.69653804011142</v>
      </c>
      <c r="AA44" s="97">
        <f>((Tableau!$H$35-Q44)/(AE44^2+Tableau!$G$40^2)^(3/2))*Tableau!$G$39</f>
        <v>-171.25789886363802</v>
      </c>
      <c r="AC44" s="110">
        <f>SQRT((Tableau!$G$16-P44)^2+(Tableau!$H$16-Q44)^2)</f>
        <v>8357.9572506443801</v>
      </c>
      <c r="AD44" s="111">
        <f>SQRT((Tableau!$G$25-P44)^2+(Tableau!$H$25-Q44)^2)</f>
        <v>47783.605109259079</v>
      </c>
      <c r="AE44" s="112">
        <f>SQRT((Tableau!$G$35-P44)^2+(Tableau!$H$35-Q44)^2)</f>
        <v>41563.327989500991</v>
      </c>
    </row>
    <row r="45" spans="2:31" x14ac:dyDescent="0.25">
      <c r="B45" s="18">
        <v>42</v>
      </c>
      <c r="C45" s="19">
        <f>Tableau!$G$17*COS(B45*PI()/180)+Tableau!$G$16</f>
        <v>23715.724127386973</v>
      </c>
      <c r="D45" s="19">
        <f>Tableau!$G$17*SIN(B45*PI()/180)+Tableau!$H$16</f>
        <v>10845.653031794291</v>
      </c>
      <c r="F45" s="26">
        <v>42</v>
      </c>
      <c r="G45" s="27">
        <f>Tableau!$G$26*COS(F45*PI()/180)+Tableau!$G$25</f>
        <v>-17398.99311082912</v>
      </c>
      <c r="H45" s="27">
        <f>Tableau!$G$26*SIN(F45*PI()/180)+Tableau!$H$25</f>
        <v>12341.957122256004</v>
      </c>
      <c r="J45" s="34">
        <v>42</v>
      </c>
      <c r="K45" s="35">
        <f>Tableau!$G$36*COS(J45*PI()/180)+Tableau!$G$35</f>
        <v>-1284.2758726130287</v>
      </c>
      <c r="L45" s="35">
        <f>Tableau!$G$36*SIN(J45*PI()/180)+Tableau!$H$35</f>
        <v>-11654.346968205709</v>
      </c>
      <c r="N45" s="98">
        <v>41</v>
      </c>
      <c r="O45" s="99">
        <v>20.5</v>
      </c>
      <c r="P45" s="101">
        <f>P44+R44*Tableau!$G$2+((1/2)*T44)*Tableau!$G$2^2</f>
        <v>29248.402756937092</v>
      </c>
      <c r="Q45" s="101">
        <f>Q44+S44*Tableau!$G$2+((1/2)*U44)*Tableau!$G$2^2</f>
        <v>12370.753548935425</v>
      </c>
      <c r="R45" s="101">
        <f>R44+T44*Tableau!$G$2</f>
        <v>2401.9570087762204</v>
      </c>
      <c r="S45" s="101">
        <f>S44+U44*Tableau!$G$2</f>
        <v>3411.9652535403002</v>
      </c>
      <c r="T45" s="101">
        <f t="shared" si="0"/>
        <v>-1868.5484558918324</v>
      </c>
      <c r="U45" s="101">
        <f t="shared" si="1"/>
        <v>-1003.5635532241417</v>
      </c>
      <c r="V45" s="101">
        <f>((Tableau!$G$16-P45)/(AC45^2+Tableau!$G$21^2)^(3/2))*Tableau!$G$20</f>
        <v>-1599.7228995425196</v>
      </c>
      <c r="W45" s="101">
        <f>((Tableau!$H$16-Q45)/(AC45^2+Tableau!$G$21^2)^(3/2))*Tableau!$G$20</f>
        <v>-842.50828981419943</v>
      </c>
      <c r="X45" s="101">
        <f>((Tableau!$G$25-P45)/(AD45^2+Tableau!$G$30^2)^(3/2))*Tableau!$G$29</f>
        <v>-71.614445604985335</v>
      </c>
      <c r="Y45" s="101">
        <f>((Tableau!$H$25-Q45)/(AD45^2+Tableau!$G$30^2)^(3/2))*Tableau!$G$29</f>
        <v>-3.4474255319711227</v>
      </c>
      <c r="Z45" s="101">
        <f>((Tableau!$G$35-P45)/(AE45^2+Tableau!$G$40^2)^(3/2))*Tableau!$G$39</f>
        <v>-197.21111074432756</v>
      </c>
      <c r="AA45" s="102">
        <f>((Tableau!$H$35-Q45)/(AE45^2+Tableau!$G$40^2)^(3/2))*Tableau!$G$39</f>
        <v>-157.60783787797112</v>
      </c>
      <c r="AC45" s="113">
        <f>SQRT((Tableau!$G$16-P45)^2+(Tableau!$H$16-Q45)^2)</f>
        <v>10452.616595330981</v>
      </c>
      <c r="AD45" s="114">
        <f>SQRT((Tableau!$G$25-P45)^2+(Tableau!$H$25-Q45)^2)</f>
        <v>49305.432220996496</v>
      </c>
      <c r="AE45" s="115">
        <f>SQRT((Tableau!$G$35-P45)^2+(Tableau!$H$35-Q45)^2)</f>
        <v>43841.889115752499</v>
      </c>
    </row>
    <row r="46" spans="2:31" x14ac:dyDescent="0.25">
      <c r="B46" s="20">
        <v>43</v>
      </c>
      <c r="C46" s="21">
        <f>Tableau!$G$17*COS(B46*PI()/180)+Tableau!$G$16</f>
        <v>23656.768508095854</v>
      </c>
      <c r="D46" s="21">
        <f>Tableau!$G$17*SIN(B46*PI()/180)+Tableau!$H$16</f>
        <v>10909.991800312491</v>
      </c>
      <c r="F46" s="28">
        <v>43</v>
      </c>
      <c r="G46" s="29">
        <f>Tableau!$G$26*COS(F46*PI()/180)+Tableau!$G$25</f>
        <v>-17440.262044332903</v>
      </c>
      <c r="H46" s="29">
        <f>Tableau!$G$26*SIN(F46*PI()/180)+Tableau!$H$25</f>
        <v>12386.994260218744</v>
      </c>
      <c r="J46" s="36">
        <v>43</v>
      </c>
      <c r="K46" s="37">
        <f>Tableau!$G$36*COS(J46*PI()/180)+Tableau!$G$35</f>
        <v>-1343.2314919041473</v>
      </c>
      <c r="L46" s="37">
        <f>Tableau!$G$36*SIN(J46*PI()/180)+Tableau!$H$35</f>
        <v>-11590.008199687509</v>
      </c>
      <c r="N46" s="92">
        <v>42</v>
      </c>
      <c r="O46" s="93">
        <v>21</v>
      </c>
      <c r="P46" s="96">
        <f>P45+R45*Tableau!$G$2+((1/2)*T45)*Tableau!$G$2^2</f>
        <v>30215.812704338721</v>
      </c>
      <c r="Q46" s="96">
        <f>Q45+S45*Tableau!$G$2+((1/2)*U45)*Tableau!$G$2^2</f>
        <v>13951.290731552557</v>
      </c>
      <c r="R46" s="96">
        <f>R45+T45*Tableau!$G$2</f>
        <v>1467.6827808303042</v>
      </c>
      <c r="S46" s="96">
        <f>S45+U45*Tableau!$G$2</f>
        <v>2910.1834769282295</v>
      </c>
      <c r="T46" s="96">
        <f t="shared" si="0"/>
        <v>-1636.4226811863662</v>
      </c>
      <c r="U46" s="96">
        <f t="shared" si="1"/>
        <v>-1030.0653862048139</v>
      </c>
      <c r="V46" s="96">
        <f>((Tableau!$G$16-P46)/(AC46^2+Tableau!$G$21^2)^(3/2))*Tableau!$G$20</f>
        <v>-1386.4895523431719</v>
      </c>
      <c r="W46" s="96">
        <f>((Tableau!$H$16-Q46)/(AC46^2+Tableau!$G$21^2)^(3/2))*Tableau!$G$20</f>
        <v>-875.56883209371188</v>
      </c>
      <c r="X46" s="96">
        <f>((Tableau!$G$25-P46)/(AD46^2+Tableau!$G$30^2)^(3/2))*Tableau!$G$29</f>
        <v>-68.569323456643247</v>
      </c>
      <c r="Y46" s="96">
        <f>((Tableau!$H$25-Q46)/(AD46^2+Tableau!$G$30^2)^(3/2))*Tableau!$G$29</f>
        <v>-5.3954584751678114</v>
      </c>
      <c r="Z46" s="96">
        <f>((Tableau!$G$35-P46)/(AE46^2+Tableau!$G$40^2)^(3/2))*Tableau!$G$39</f>
        <v>-181.36380538655084</v>
      </c>
      <c r="AA46" s="97">
        <f>((Tableau!$H$35-Q46)/(AE46^2+Tableau!$G$40^2)^(3/2))*Tableau!$G$39</f>
        <v>-149.10109563593414</v>
      </c>
      <c r="AC46" s="110">
        <f>SQRT((Tableau!$G$16-P46)^2+(Tableau!$H$16-Q46)^2)</f>
        <v>12082.300332020568</v>
      </c>
      <c r="AD46" s="111">
        <f>SQRT((Tableau!$G$25-P46)^2+(Tableau!$H$25-Q46)^2)</f>
        <v>50371.028816200283</v>
      </c>
      <c r="AE46" s="112">
        <f>SQRT((Tableau!$G$35-P46)^2+(Tableau!$H$35-Q46)^2)</f>
        <v>45588.712412722794</v>
      </c>
    </row>
    <row r="47" spans="2:31" x14ac:dyDescent="0.25">
      <c r="B47" s="18">
        <v>44</v>
      </c>
      <c r="C47" s="19">
        <f>Tableau!$G$17*COS(B47*PI()/180)+Tableau!$G$16</f>
        <v>23596.699001693254</v>
      </c>
      <c r="D47" s="19">
        <f>Tableau!$G$17*SIN(B47*PI()/180)+Tableau!$H$16</f>
        <v>10973.291852294986</v>
      </c>
      <c r="F47" s="26">
        <v>44</v>
      </c>
      <c r="G47" s="27">
        <f>Tableau!$G$26*COS(F47*PI()/180)+Tableau!$G$25</f>
        <v>-17482.310698814719</v>
      </c>
      <c r="H47" s="27">
        <f>Tableau!$G$26*SIN(F47*PI()/180)+Tableau!$H$25</f>
        <v>12431.30429660649</v>
      </c>
      <c r="J47" s="34">
        <v>44</v>
      </c>
      <c r="K47" s="35">
        <f>Tableau!$G$36*COS(J47*PI()/180)+Tableau!$G$35</f>
        <v>-1403.3009983067441</v>
      </c>
      <c r="L47" s="35">
        <f>Tableau!$G$36*SIN(J47*PI()/180)+Tableau!$H$35</f>
        <v>-11526.708147705014</v>
      </c>
      <c r="N47" s="98">
        <v>43</v>
      </c>
      <c r="O47" s="99">
        <v>21.5</v>
      </c>
      <c r="P47" s="101">
        <f>P46+R46*Tableau!$G$2+((1/2)*T46)*Tableau!$G$2^2</f>
        <v>30745.101259605577</v>
      </c>
      <c r="Q47" s="101">
        <f>Q46+S46*Tableau!$G$2+((1/2)*U46)*Tableau!$G$2^2</f>
        <v>15277.624296741069</v>
      </c>
      <c r="R47" s="101">
        <f>R46+T46*Tableau!$G$2</f>
        <v>649.4714402371211</v>
      </c>
      <c r="S47" s="101">
        <f>S46+U46*Tableau!$G$2</f>
        <v>2395.1507838258226</v>
      </c>
      <c r="T47" s="101">
        <f t="shared" si="0"/>
        <v>-1464.3726975207801</v>
      </c>
      <c r="U47" s="101">
        <f t="shared" si="1"/>
        <v>-1039.5754306294725</v>
      </c>
      <c r="V47" s="101">
        <f>((Tableau!$G$16-P47)/(AC47^2+Tableau!$G$21^2)^(3/2))*Tableau!$G$20</f>
        <v>-1227.3452495501833</v>
      </c>
      <c r="W47" s="101">
        <f>((Tableau!$H$16-Q47)/(AC47^2+Tableau!$G$21^2)^(3/2))*Tableau!$G$20</f>
        <v>-888.38904378474308</v>
      </c>
      <c r="X47" s="101">
        <f>((Tableau!$G$25-P47)/(AD47^2+Tableau!$G$30^2)^(3/2))*Tableau!$G$29</f>
        <v>-66.733910848600303</v>
      </c>
      <c r="Y47" s="101">
        <f>((Tableau!$H$25-Q47)/(AD47^2+Tableau!$G$30^2)^(3/2))*Tableau!$G$29</f>
        <v>-6.9405026410201085</v>
      </c>
      <c r="Z47" s="101">
        <f>((Tableau!$G$35-P47)/(AE47^2+Tableau!$G$40^2)^(3/2))*Tableau!$G$39</f>
        <v>-170.29353712199637</v>
      </c>
      <c r="AA47" s="102">
        <f>((Tableau!$H$35-Q47)/(AE47^2+Tableau!$G$40^2)^(3/2))*Tableau!$G$39</f>
        <v>-144.24588420370941</v>
      </c>
      <c r="AC47" s="113">
        <f>SQRT((Tableau!$G$16-P47)^2+(Tableau!$H$16-Q47)^2)</f>
        <v>13264.5633467685</v>
      </c>
      <c r="AD47" s="114">
        <f>SQRT((Tableau!$G$25-P47)^2+(Tableau!$H$25-Q47)^2)</f>
        <v>51018.806533132229</v>
      </c>
      <c r="AE47" s="115">
        <f>SQRT((Tableau!$G$35-P47)^2+(Tableau!$H$35-Q47)^2)</f>
        <v>46844.922853112497</v>
      </c>
    </row>
    <row r="48" spans="2:31" x14ac:dyDescent="0.25">
      <c r="B48" s="20">
        <v>45</v>
      </c>
      <c r="C48" s="21">
        <f>Tableau!$G$17*COS(B48*PI()/180)+Tableau!$G$16</f>
        <v>23535.533905932738</v>
      </c>
      <c r="D48" s="21">
        <f>Tableau!$G$17*SIN(B48*PI()/180)+Tableau!$H$16</f>
        <v>11035.533905932738</v>
      </c>
      <c r="F48" s="28">
        <v>45</v>
      </c>
      <c r="G48" s="29">
        <f>Tableau!$G$26*COS(F48*PI()/180)+Tableau!$G$25</f>
        <v>-17525.126265847084</v>
      </c>
      <c r="H48" s="29">
        <f>Tableau!$G$26*SIN(F48*PI()/180)+Tableau!$H$25</f>
        <v>12474.873734152916</v>
      </c>
      <c r="J48" s="36">
        <v>45</v>
      </c>
      <c r="K48" s="37">
        <f>Tableau!$G$36*COS(J48*PI()/180)+Tableau!$G$35</f>
        <v>-1464.466094067262</v>
      </c>
      <c r="L48" s="37">
        <f>Tableau!$G$36*SIN(J48*PI()/180)+Tableau!$H$35</f>
        <v>-11464.466094067262</v>
      </c>
      <c r="N48" s="92">
        <v>44</v>
      </c>
      <c r="O48" s="93">
        <v>22</v>
      </c>
      <c r="P48" s="96">
        <f>P47+R47*Tableau!$G$2+((1/2)*T47)*Tableau!$G$2^2</f>
        <v>30886.790392534043</v>
      </c>
      <c r="Q48" s="96">
        <f>Q47+S47*Tableau!$G$2+((1/2)*U47)*Tableau!$G$2^2</f>
        <v>16345.252759825298</v>
      </c>
      <c r="R48" s="96">
        <f>R47+T47*Tableau!$G$2</f>
        <v>-82.714908523268946</v>
      </c>
      <c r="S48" s="96">
        <f>S47+U47*Tableau!$G$2</f>
        <v>1875.3630685110863</v>
      </c>
      <c r="T48" s="96">
        <f t="shared" si="0"/>
        <v>-1343.7729390806751</v>
      </c>
      <c r="U48" s="96">
        <f t="shared" si="1"/>
        <v>-1056.3730161911672</v>
      </c>
      <c r="V48" s="96">
        <f>((Tableau!$G$16-P48)/(AC48^2+Tableau!$G$21^2)^(3/2))*Tableau!$G$20</f>
        <v>-1115.0360284066765</v>
      </c>
      <c r="W48" s="96">
        <f>((Tableau!$H$16-Q48)/(AC48^2+Tableau!$G$21^2)^(3/2))*Tableau!$G$20</f>
        <v>-905.93968947289568</v>
      </c>
      <c r="X48" s="96">
        <f>((Tableau!$G$25-P48)/(AD48^2+Tableau!$G$30^2)^(3/2))*Tableau!$G$29</f>
        <v>-65.918141783745838</v>
      </c>
      <c r="Y48" s="96">
        <f>((Tableau!$H$25-Q48)/(AD48^2+Tableau!$G$30^2)^(3/2))*Tableau!$G$29</f>
        <v>-8.2195647996151777</v>
      </c>
      <c r="Z48" s="96">
        <f>((Tableau!$G$35-P48)/(AE48^2+Tableau!$G$40^2)^(3/2))*Tableau!$G$39</f>
        <v>-162.81876889025287</v>
      </c>
      <c r="AA48" s="97">
        <f>((Tableau!$H$35-Q48)/(AE48^2+Tableau!$G$40^2)^(3/2))*Tableau!$G$39</f>
        <v>-142.21376191865622</v>
      </c>
      <c r="AC48" s="110">
        <f>SQRT((Tableau!$G$16-P48)^2+(Tableau!$H$16-Q48)^2)</f>
        <v>14027.141598920594</v>
      </c>
      <c r="AD48" s="111">
        <f>SQRT((Tableau!$G$25-P48)^2+(Tableau!$H$25-Q48)^2)</f>
        <v>51280.870400567161</v>
      </c>
      <c r="AE48" s="112">
        <f>SQRT((Tableau!$G$35-P48)^2+(Tableau!$H$35-Q48)^2)</f>
        <v>47648.57390578452</v>
      </c>
    </row>
    <row r="49" spans="2:31" x14ac:dyDescent="0.25">
      <c r="B49" s="18">
        <v>46</v>
      </c>
      <c r="C49" s="19">
        <f>Tableau!$G$17*COS(B49*PI()/180)+Tableau!$G$16</f>
        <v>23473.291852294988</v>
      </c>
      <c r="D49" s="19">
        <f>Tableau!$G$17*SIN(B49*PI()/180)+Tableau!$H$16</f>
        <v>11096.699001693256</v>
      </c>
      <c r="F49" s="26">
        <v>46</v>
      </c>
      <c r="G49" s="27">
        <f>Tableau!$G$26*COS(F49*PI()/180)+Tableau!$G$25</f>
        <v>-17568.69570339351</v>
      </c>
      <c r="H49" s="27">
        <f>Tableau!$G$26*SIN(F49*PI()/180)+Tableau!$H$25</f>
        <v>12517.689301185279</v>
      </c>
      <c r="J49" s="34">
        <v>46</v>
      </c>
      <c r="K49" s="35">
        <f>Tableau!$G$36*COS(J49*PI()/180)+Tableau!$G$35</f>
        <v>-1526.7081477050133</v>
      </c>
      <c r="L49" s="35">
        <f>Tableau!$G$36*SIN(J49*PI()/180)+Tableau!$H$35</f>
        <v>-11403.300998306744</v>
      </c>
      <c r="N49" s="98">
        <v>45</v>
      </c>
      <c r="O49" s="99">
        <v>22.5</v>
      </c>
      <c r="P49" s="101">
        <f>P48+R48*Tableau!$G$2+((1/2)*T48)*Tableau!$G$2^2</f>
        <v>30677.461320887327</v>
      </c>
      <c r="Q49" s="101">
        <f>Q48+S48*Tableau!$G$2+((1/2)*U48)*Tableau!$G$2^2</f>
        <v>17150.887667056944</v>
      </c>
      <c r="R49" s="101">
        <f>R48+T48*Tableau!$G$2</f>
        <v>-754.60137806360649</v>
      </c>
      <c r="S49" s="101">
        <f>S48+U48*Tableau!$G$2</f>
        <v>1347.1765604155028</v>
      </c>
      <c r="T49" s="101">
        <f t="shared" si="0"/>
        <v>-1262.8570001649853</v>
      </c>
      <c r="U49" s="101">
        <f t="shared" si="1"/>
        <v>-1090.6484423916409</v>
      </c>
      <c r="V49" s="101">
        <f>((Tableau!$G$16-P49)/(AC49^2+Tableau!$G$21^2)^(3/2))*Tableau!$G$20</f>
        <v>-1038.5932318641496</v>
      </c>
      <c r="W49" s="101">
        <f>((Tableau!$H$16-Q49)/(AC49^2+Tableau!$G$21^2)^(3/2))*Tableau!$G$20</f>
        <v>-938.73874240862779</v>
      </c>
      <c r="X49" s="101">
        <f>((Tableau!$G$25-P49)/(AD49^2+Tableau!$G$30^2)^(3/2))*Tableau!$G$29</f>
        <v>-66.03068077516437</v>
      </c>
      <c r="Y49" s="101">
        <f>((Tableau!$H$25-Q49)/(AD49^2+Tableau!$G$30^2)^(3/2))*Tableau!$G$29</f>
        <v>-9.3173171760260054</v>
      </c>
      <c r="Z49" s="101">
        <f>((Tableau!$G$35-P49)/(AE49^2+Tableau!$G$40^2)^(3/2))*Tableau!$G$39</f>
        <v>-158.23308752567112</v>
      </c>
      <c r="AA49" s="102">
        <f>((Tableau!$H$35-Q49)/(AE49^2+Tableau!$G$40^2)^(3/2))*Tableau!$G$39</f>
        <v>-142.5923828069871</v>
      </c>
      <c r="AC49" s="113">
        <f>SQRT((Tableau!$G$16-P49)^2+(Tableau!$H$16-Q49)^2)</f>
        <v>14392.630510827295</v>
      </c>
      <c r="AD49" s="114">
        <f>SQRT((Tableau!$G$25-P49)^2+(Tableau!$H$25-Q49)^2)</f>
        <v>51179.490817679092</v>
      </c>
      <c r="AE49" s="115">
        <f>SQRT((Tableau!$G$35-P49)^2+(Tableau!$H$35-Q49)^2)</f>
        <v>48026.667842805058</v>
      </c>
    </row>
    <row r="50" spans="2:31" x14ac:dyDescent="0.25">
      <c r="B50" s="20">
        <v>47</v>
      </c>
      <c r="C50" s="21">
        <f>Tableau!$G$17*COS(B50*PI()/180)+Tableau!$G$16</f>
        <v>23409.991800312491</v>
      </c>
      <c r="D50" s="21">
        <f>Tableau!$G$17*SIN(B50*PI()/180)+Tableau!$H$16</f>
        <v>11156.768508095853</v>
      </c>
      <c r="F50" s="28">
        <v>47</v>
      </c>
      <c r="G50" s="29">
        <f>Tableau!$G$26*COS(F50*PI()/180)+Tableau!$G$25</f>
        <v>-17613.005739781256</v>
      </c>
      <c r="H50" s="29">
        <f>Tableau!$G$26*SIN(F50*PI()/180)+Tableau!$H$25</f>
        <v>12559.737955667097</v>
      </c>
      <c r="J50" s="36">
        <v>47</v>
      </c>
      <c r="K50" s="37">
        <f>Tableau!$G$36*COS(J50*PI()/180)+Tableau!$G$35</f>
        <v>-1590.0081996875078</v>
      </c>
      <c r="L50" s="37">
        <f>Tableau!$G$36*SIN(J50*PI()/180)+Tableau!$H$35</f>
        <v>-11343.231491904147</v>
      </c>
      <c r="N50" s="92">
        <v>46</v>
      </c>
      <c r="O50" s="93">
        <v>23</v>
      </c>
      <c r="P50" s="96">
        <f>P49+R49*Tableau!$G$2+((1/2)*T49)*Tableau!$G$2^2</f>
        <v>30142.303506834902</v>
      </c>
      <c r="Q50" s="96">
        <f>Q49+S49*Tableau!$G$2+((1/2)*U49)*Tableau!$G$2^2</f>
        <v>17688.144891965741</v>
      </c>
      <c r="R50" s="96">
        <f>R49+T49*Tableau!$G$2</f>
        <v>-1386.0298781460992</v>
      </c>
      <c r="S50" s="96">
        <f>S49+U49*Tableau!$G$2</f>
        <v>801.85233921968234</v>
      </c>
      <c r="T50" s="96">
        <f t="shared" si="0"/>
        <v>-1212.0882718131134</v>
      </c>
      <c r="U50" s="96">
        <f t="shared" si="1"/>
        <v>-1148.8752004014325</v>
      </c>
      <c r="V50" s="96">
        <f>((Tableau!$G$16-P50)/(AC50^2+Tableau!$G$21^2)^(3/2))*Tableau!$G$20</f>
        <v>-988.87118153957476</v>
      </c>
      <c r="W50" s="96">
        <f>((Tableau!$H$16-Q50)/(AC50^2+Tableau!$G$21^2)^(3/2))*Tableau!$G$20</f>
        <v>-993.34070117554256</v>
      </c>
      <c r="X50" s="96">
        <f>((Tableau!$G$25-P50)/(AD50^2+Tableau!$G$30^2)^(3/2))*Tableau!$G$29</f>
        <v>-67.059299095091134</v>
      </c>
      <c r="Y50" s="96">
        <f>((Tableau!$H$25-Q50)/(AD50^2+Tableau!$G$30^2)^(3/2))*Tableau!$G$29</f>
        <v>-10.281968951156214</v>
      </c>
      <c r="Z50" s="96">
        <f>((Tableau!$G$35-P50)/(AE50^2+Tableau!$G$40^2)^(3/2))*Tableau!$G$39</f>
        <v>-156.15779117844738</v>
      </c>
      <c r="AA50" s="97">
        <f>((Tableau!$H$35-Q50)/(AE50^2+Tableau!$G$40^2)^(3/2))*Tableau!$G$39</f>
        <v>-145.25253027473372</v>
      </c>
      <c r="AC50" s="110">
        <f>SQRT((Tableau!$G$16-P50)^2+(Tableau!$H$16-Q50)^2)</f>
        <v>14375.834471933904</v>
      </c>
      <c r="AD50" s="111">
        <f>SQRT((Tableau!$G$25-P50)^2+(Tableau!$H$25-Q50)^2)</f>
        <v>50728.277842357376</v>
      </c>
      <c r="AE50" s="112">
        <f>SQRT((Tableau!$G$35-P50)^2+(Tableau!$H$35-Q50)^2)</f>
        <v>47994.752965763313</v>
      </c>
    </row>
    <row r="51" spans="2:31" x14ac:dyDescent="0.25">
      <c r="B51" s="18">
        <v>48</v>
      </c>
      <c r="C51" s="19">
        <f>Tableau!$G$17*COS(B51*PI()/180)+Tableau!$G$16</f>
        <v>23345.653031794292</v>
      </c>
      <c r="D51" s="19">
        <f>Tableau!$G$17*SIN(B51*PI()/180)+Tableau!$H$16</f>
        <v>11215.724127386971</v>
      </c>
      <c r="F51" s="26">
        <v>48</v>
      </c>
      <c r="G51" s="27">
        <f>Tableau!$G$26*COS(F51*PI()/180)+Tableau!$G$25</f>
        <v>-17658.042877743996</v>
      </c>
      <c r="H51" s="27">
        <f>Tableau!$G$26*SIN(F51*PI()/180)+Tableau!$H$25</f>
        <v>12601.00688917088</v>
      </c>
      <c r="J51" s="34">
        <v>48</v>
      </c>
      <c r="K51" s="35">
        <f>Tableau!$G$36*COS(J51*PI()/180)+Tableau!$G$35</f>
        <v>-1654.3469682057089</v>
      </c>
      <c r="L51" s="35">
        <f>Tableau!$G$36*SIN(J51*PI()/180)+Tableau!$H$35</f>
        <v>-11284.275872613029</v>
      </c>
      <c r="N51" s="98">
        <v>47</v>
      </c>
      <c r="O51" s="99">
        <v>23.5</v>
      </c>
      <c r="P51" s="101">
        <f>P50+R50*Tableau!$G$2+((1/2)*T50)*Tableau!$G$2^2</f>
        <v>29297.777533785211</v>
      </c>
      <c r="Q51" s="101">
        <f>Q50+S50*Tableau!$G$2+((1/2)*U50)*Tableau!$G$2^2</f>
        <v>17945.461661525402</v>
      </c>
      <c r="R51" s="101">
        <f>R50+T50*Tableau!$G$2</f>
        <v>-1992.0740140526559</v>
      </c>
      <c r="S51" s="101">
        <f>S50+U50*Tableau!$G$2</f>
        <v>227.41473901896609</v>
      </c>
      <c r="T51" s="101">
        <f t="shared" si="0"/>
        <v>-1183.643377664931</v>
      </c>
      <c r="U51" s="101">
        <f t="shared" si="1"/>
        <v>-1237.8073123258675</v>
      </c>
      <c r="V51" s="101">
        <f>((Tableau!$G$16-P51)/(AC51^2+Tableau!$G$21^2)^(3/2))*Tableau!$G$20</f>
        <v>-958.11438610474841</v>
      </c>
      <c r="W51" s="101">
        <f>((Tableau!$H$16-Q51)/(AC51^2+Tableau!$G$21^2)^(3/2))*Tableau!$G$20</f>
        <v>-1076.3805706307073</v>
      </c>
      <c r="X51" s="101">
        <f>((Tableau!$G$25-P51)/(AD51^2+Tableau!$G$30^2)^(3/2))*Tableau!$G$29</f>
        <v>-69.064353027683524</v>
      </c>
      <c r="Y51" s="101">
        <f>((Tableau!$H$25-Q51)/(AD51^2+Tableau!$G$30^2)^(3/2))*Tableau!$G$29</f>
        <v>-11.131296310131669</v>
      </c>
      <c r="Z51" s="101">
        <f>((Tableau!$G$35-P51)/(AE51^2+Tableau!$G$40^2)^(3/2))*Tableau!$G$39</f>
        <v>-156.46463853249898</v>
      </c>
      <c r="AA51" s="102">
        <f>((Tableau!$H$35-Q51)/(AE51^2+Tableau!$G$40^2)^(3/2))*Tableau!$G$39</f>
        <v>-150.29544538502861</v>
      </c>
      <c r="AC51" s="113">
        <f>SQRT((Tableau!$G$16-P51)^2+(Tableau!$H$16-Q51)^2)</f>
        <v>13984.14589419597</v>
      </c>
      <c r="AD51" s="114">
        <f>SQRT((Tableau!$G$25-P51)^2+(Tableau!$H$25-Q51)^2)</f>
        <v>49933.96870653631</v>
      </c>
      <c r="AE51" s="115">
        <f>SQRT((Tableau!$G$35-P51)^2+(Tableau!$H$35-Q51)^2)</f>
        <v>47557.764748230773</v>
      </c>
    </row>
    <row r="52" spans="2:31" x14ac:dyDescent="0.25">
      <c r="B52" s="20">
        <v>49</v>
      </c>
      <c r="C52" s="21">
        <f>Tableau!$G$17*COS(B52*PI()/180)+Tableau!$G$16</f>
        <v>23280.295144952535</v>
      </c>
      <c r="D52" s="21">
        <f>Tableau!$G$17*SIN(B52*PI()/180)+Tableau!$H$16</f>
        <v>11273.54790111386</v>
      </c>
      <c r="F52" s="28">
        <v>49</v>
      </c>
      <c r="G52" s="29">
        <f>Tableau!$G$26*COS(F52*PI()/180)+Tableau!$G$25</f>
        <v>-17703.793398533224</v>
      </c>
      <c r="H52" s="29">
        <f>Tableau!$G$26*SIN(F52*PI()/180)+Tableau!$H$25</f>
        <v>12641.483530779702</v>
      </c>
      <c r="J52" s="36">
        <v>49</v>
      </c>
      <c r="K52" s="37">
        <f>Tableau!$G$36*COS(J52*PI()/180)+Tableau!$G$35</f>
        <v>-1719.7048550474638</v>
      </c>
      <c r="L52" s="37">
        <f>Tableau!$G$36*SIN(J52*PI()/180)+Tableau!$H$35</f>
        <v>-11226.45209888614</v>
      </c>
      <c r="N52" s="92">
        <v>48</v>
      </c>
      <c r="O52" s="93">
        <v>24</v>
      </c>
      <c r="P52" s="96">
        <f>P51+R51*Tableau!$G$2+((1/2)*T51)*Tableau!$G$2^2</f>
        <v>28153.785104550767</v>
      </c>
      <c r="Q52" s="96">
        <f>Q51+S51*Tableau!$G$2+((1/2)*U51)*Tableau!$G$2^2</f>
        <v>17904.443116994153</v>
      </c>
      <c r="R52" s="96">
        <f>R51+T51*Tableau!$G$2</f>
        <v>-2583.8957028851214</v>
      </c>
      <c r="S52" s="96">
        <f>S51+U51*Tableau!$G$2</f>
        <v>-391.48891714396768</v>
      </c>
      <c r="T52" s="96">
        <f t="shared" si="0"/>
        <v>-1168.96472086638</v>
      </c>
      <c r="U52" s="96">
        <f t="shared" si="1"/>
        <v>-1366.2133449431822</v>
      </c>
      <c r="V52" s="96">
        <f>((Tableau!$G$16-P52)/(AC52^2+Tableau!$G$21^2)^(3/2))*Tableau!$G$20</f>
        <v>-937.52528735267606</v>
      </c>
      <c r="W52" s="96">
        <f>((Tableau!$H$16-Q52)/(AC52^2+Tableau!$G$21^2)^(3/2))*Tableau!$G$20</f>
        <v>-1196.3067946885678</v>
      </c>
      <c r="X52" s="96">
        <f>((Tableau!$G$25-P52)/(AD52^2+Tableau!$G$30^2)^(3/2))*Tableau!$G$29</f>
        <v>-72.184195978184036</v>
      </c>
      <c r="Y52" s="96">
        <f>((Tableau!$H$25-Q52)/(AD52^2+Tableau!$G$30^2)^(3/2))*Tableau!$G$29</f>
        <v>-11.849034708625458</v>
      </c>
      <c r="Z52" s="96">
        <f>((Tableau!$G$35-P52)/(AE52^2+Tableau!$G$40^2)^(3/2))*Tableau!$G$39</f>
        <v>-159.25523753551994</v>
      </c>
      <c r="AA52" s="97">
        <f>((Tableau!$H$35-Q52)/(AE52^2+Tableau!$G$40^2)^(3/2))*Tableau!$G$39</f>
        <v>-158.05751554598888</v>
      </c>
      <c r="AC52" s="110">
        <f>SQRT((Tableau!$G$16-P52)^2+(Tableau!$H$16-Q52)^2)</f>
        <v>13218.799041742066</v>
      </c>
      <c r="AD52" s="111">
        <f>SQRT((Tableau!$G$25-P52)^2+(Tableau!$H$25-Q52)^2)</f>
        <v>48798.229894997748</v>
      </c>
      <c r="AE52" s="112">
        <f>SQRT((Tableau!$G$35-P52)^2+(Tableau!$H$35-Q52)^2)</f>
        <v>46710.553878093073</v>
      </c>
    </row>
    <row r="53" spans="2:31" x14ac:dyDescent="0.25">
      <c r="B53" s="18">
        <v>50</v>
      </c>
      <c r="C53" s="19">
        <f>Tableau!$G$17*COS(B53*PI()/180)+Tableau!$G$16</f>
        <v>23213.938048432698</v>
      </c>
      <c r="D53" s="19">
        <f>Tableau!$G$17*SIN(B53*PI()/180)+Tableau!$H$16</f>
        <v>11330.222215594891</v>
      </c>
      <c r="F53" s="26">
        <v>50</v>
      </c>
      <c r="G53" s="27">
        <f>Tableau!$G$26*COS(F53*PI()/180)+Tableau!$G$25</f>
        <v>-17750.243366097111</v>
      </c>
      <c r="H53" s="27">
        <f>Tableau!$G$26*SIN(F53*PI()/180)+Tableau!$H$25</f>
        <v>12681.155550916423</v>
      </c>
      <c r="J53" s="34">
        <v>50</v>
      </c>
      <c r="K53" s="35">
        <f>Tableau!$G$36*COS(J53*PI()/180)+Tableau!$G$35</f>
        <v>-1786.0619515673034</v>
      </c>
      <c r="L53" s="35">
        <f>Tableau!$G$36*SIN(J53*PI()/180)+Tableau!$H$35</f>
        <v>-11169.777784405109</v>
      </c>
      <c r="N53" s="98">
        <v>49</v>
      </c>
      <c r="O53" s="99">
        <v>24.5</v>
      </c>
      <c r="P53" s="101">
        <f>P52+R52*Tableau!$G$2+((1/2)*T52)*Tableau!$G$2^2</f>
        <v>26715.716662999908</v>
      </c>
      <c r="Q53" s="101">
        <f>Q52+S52*Tableau!$G$2+((1/2)*U52)*Tableau!$G$2^2</f>
        <v>17537.921990304272</v>
      </c>
      <c r="R53" s="101">
        <f>R52+T52*Tableau!$G$2</f>
        <v>-3168.3780633183114</v>
      </c>
      <c r="S53" s="101">
        <f>S52+U52*Tableau!$G$2</f>
        <v>-1074.5955896155588</v>
      </c>
      <c r="T53" s="101">
        <f t="shared" si="0"/>
        <v>-1153.6769420010337</v>
      </c>
      <c r="U53" s="101">
        <f t="shared" si="1"/>
        <v>-1544.8915632891155</v>
      </c>
      <c r="V53" s="101">
        <f>((Tableau!$G$16-P53)/(AC53^2+Tableau!$G$21^2)^(3/2))*Tableau!$G$20</f>
        <v>-912.13105421293562</v>
      </c>
      <c r="W53" s="101">
        <f>((Tableau!$H$16-Q53)/(AC53^2+Tableau!$G$21^2)^(3/2))*Tableau!$G$20</f>
        <v>-1363.3541774577352</v>
      </c>
      <c r="X53" s="101">
        <f>((Tableau!$G$25-P53)/(AD53^2+Tableau!$G$30^2)^(3/2))*Tableau!$G$29</f>
        <v>-76.651546422651307</v>
      </c>
      <c r="Y53" s="101">
        <f>((Tableau!$H$25-Q53)/(AD53^2+Tableau!$G$30^2)^(3/2))*Tableau!$G$29</f>
        <v>-12.36828670612603</v>
      </c>
      <c r="Z53" s="101">
        <f>((Tableau!$G$35-P53)/(AE53^2+Tableau!$G$40^2)^(3/2))*Tableau!$G$39</f>
        <v>-164.89434136544673</v>
      </c>
      <c r="AA53" s="102">
        <f>((Tableau!$H$35-Q53)/(AE53^2+Tableau!$G$40^2)^(3/2))*Tableau!$G$39</f>
        <v>-169.16909912525423</v>
      </c>
      <c r="AC53" s="113">
        <f>SQRT((Tableau!$G$16-P53)^2+(Tableau!$H$16-Q53)^2)</f>
        <v>12077.281489686688</v>
      </c>
      <c r="AD53" s="114">
        <f>SQRT((Tableau!$G$25-P53)^2+(Tableau!$H$25-Q53)^2)</f>
        <v>47319.958276287609</v>
      </c>
      <c r="AE53" s="115">
        <f>SQRT((Tableau!$G$35-P53)^2+(Tableau!$H$35-Q53)^2)</f>
        <v>45437.903240519547</v>
      </c>
    </row>
    <row r="54" spans="2:31" x14ac:dyDescent="0.25">
      <c r="B54" s="20">
        <v>51</v>
      </c>
      <c r="C54" s="21">
        <f>Tableau!$G$17*COS(B54*PI()/180)+Tableau!$G$16</f>
        <v>23146.601955249189</v>
      </c>
      <c r="D54" s="21">
        <f>Tableau!$G$17*SIN(B54*PI()/180)+Tableau!$H$16</f>
        <v>11385.729807284853</v>
      </c>
      <c r="F54" s="28">
        <v>51</v>
      </c>
      <c r="G54" s="29">
        <f>Tableau!$G$26*COS(F54*PI()/180)+Tableau!$G$25</f>
        <v>-17797.37863132557</v>
      </c>
      <c r="H54" s="29">
        <f>Tableau!$G$26*SIN(F54*PI()/180)+Tableau!$H$25</f>
        <v>12720.010865099397</v>
      </c>
      <c r="J54" s="36">
        <v>51</v>
      </c>
      <c r="K54" s="37">
        <f>Tableau!$G$36*COS(J54*PI()/180)+Tableau!$G$35</f>
        <v>-1853.3980447508125</v>
      </c>
      <c r="L54" s="37">
        <f>Tableau!$G$36*SIN(J54*PI()/180)+Tableau!$H$35</f>
        <v>-11114.270192715147</v>
      </c>
      <c r="N54" s="92">
        <v>50</v>
      </c>
      <c r="O54" s="93">
        <v>25</v>
      </c>
      <c r="P54" s="96">
        <f>P53+R53*Tableau!$G$2+((1/2)*T53)*Tableau!$G$2^2</f>
        <v>24987.318013590622</v>
      </c>
      <c r="Q54" s="96">
        <f>Q53+S53*Tableau!$G$2+((1/2)*U53)*Tableau!$G$2^2</f>
        <v>16807.512750085352</v>
      </c>
      <c r="R54" s="96">
        <f>R53+T53*Tableau!$G$2</f>
        <v>-3745.2165343188281</v>
      </c>
      <c r="S54" s="96">
        <f>S53+U53*Tableau!$G$2</f>
        <v>-1847.0413712601166</v>
      </c>
      <c r="T54" s="96">
        <f t="shared" si="0"/>
        <v>-1105.8976526476877</v>
      </c>
      <c r="U54" s="96">
        <f t="shared" si="1"/>
        <v>-1781.5854870516664</v>
      </c>
      <c r="V54" s="96">
        <f>((Tableau!$G$16-P54)/(AC54^2+Tableau!$G$21^2)^(3/2))*Tableau!$G$20</f>
        <v>-848.96634021372506</v>
      </c>
      <c r="W54" s="96">
        <f>((Tableau!$H$16-Q54)/(AC54^2+Tableau!$G$21^2)^(3/2))*Tableau!$G$20</f>
        <v>-1584.3716030138742</v>
      </c>
      <c r="X54" s="96">
        <f>((Tableau!$G$25-P54)/(AD54^2+Tableau!$G$30^2)^(3/2))*Tableau!$G$29</f>
        <v>-82.817976699817692</v>
      </c>
      <c r="Y54" s="96">
        <f>((Tableau!$H$25-Q54)/(AD54^2+Tableau!$G$30^2)^(3/2))*Tableau!$G$29</f>
        <v>-12.532074753821998</v>
      </c>
      <c r="Z54" s="96">
        <f>((Tableau!$G$35-P54)/(AE54^2+Tableau!$G$40^2)^(3/2))*Tableau!$G$39</f>
        <v>-174.11333573414498</v>
      </c>
      <c r="AA54" s="97">
        <f>((Tableau!$H$35-Q54)/(AE54^2+Tableau!$G$40^2)^(3/2))*Tableau!$G$39</f>
        <v>-184.68180928397021</v>
      </c>
      <c r="AC54" s="110">
        <f>SQRT((Tableau!$G$16-P54)^2+(Tableau!$H$16-Q54)^2)</f>
        <v>10559.504465725979</v>
      </c>
      <c r="AD54" s="111">
        <f>SQRT((Tableau!$G$25-P54)^2+(Tableau!$H$25-Q54)^2)</f>
        <v>45499.46166602974</v>
      </c>
      <c r="AE54" s="112">
        <f>SQRT((Tableau!$G$35-P54)^2+(Tableau!$H$35-Q54)^2)</f>
        <v>43714.495410504955</v>
      </c>
    </row>
    <row r="55" spans="2:31" x14ac:dyDescent="0.25">
      <c r="B55" s="18">
        <v>52</v>
      </c>
      <c r="C55" s="19">
        <f>Tableau!$G$17*COS(B55*PI()/180)+Tableau!$G$16</f>
        <v>23078.307376628291</v>
      </c>
      <c r="D55" s="19">
        <f>Tableau!$G$17*SIN(B55*PI()/180)+Tableau!$H$16</f>
        <v>11440.053768033609</v>
      </c>
      <c r="F55" s="26">
        <v>52</v>
      </c>
      <c r="G55" s="27">
        <f>Tableau!$G$26*COS(F55*PI()/180)+Tableau!$G$25</f>
        <v>-17845.184836360197</v>
      </c>
      <c r="H55" s="27">
        <f>Tableau!$G$26*SIN(F55*PI()/180)+Tableau!$H$25</f>
        <v>12758.037637623527</v>
      </c>
      <c r="J55" s="34">
        <v>52</v>
      </c>
      <c r="K55" s="35">
        <f>Tableau!$G$36*COS(J55*PI()/180)+Tableau!$G$35</f>
        <v>-1921.6926233717086</v>
      </c>
      <c r="L55" s="35">
        <f>Tableau!$G$36*SIN(J55*PI()/180)+Tableau!$H$35</f>
        <v>-11059.946231966391</v>
      </c>
      <c r="N55" s="98">
        <v>51</v>
      </c>
      <c r="O55" s="99">
        <v>25.5</v>
      </c>
      <c r="P55" s="101">
        <f>P54+R54*Tableau!$G$2+((1/2)*T54)*Tableau!$G$2^2</f>
        <v>22976.472539850249</v>
      </c>
      <c r="Q55" s="101">
        <f>Q54+S54*Tableau!$G$2+((1/2)*U54)*Tableau!$G$2^2</f>
        <v>15661.293878573837</v>
      </c>
      <c r="R55" s="101">
        <f>R54+T54*Tableau!$G$2</f>
        <v>-4298.1653606426717</v>
      </c>
      <c r="S55" s="101">
        <f>S54+U54*Tableau!$G$2</f>
        <v>-2737.8341147859501</v>
      </c>
      <c r="T55" s="101">
        <f t="shared" si="0"/>
        <v>-949.91648176382614</v>
      </c>
      <c r="U55" s="101">
        <f t="shared" si="1"/>
        <v>-2056.818911347179</v>
      </c>
      <c r="V55" s="101">
        <f>((Tableau!$G$16-P55)/(AC55^2+Tableau!$G$21^2)^(3/2))*Tableau!$G$20</f>
        <v>-670.51831226300908</v>
      </c>
      <c r="W55" s="101">
        <f>((Tableau!$H$16-Q55)/(AC55^2+Tableau!$G$21^2)^(3/2))*Tableau!$G$20</f>
        <v>-1838.5175485674317</v>
      </c>
      <c r="X55" s="101">
        <f>((Tableau!$G$25-P55)/(AD55^2+Tableau!$G$30^2)^(3/2))*Tableau!$G$29</f>
        <v>-91.170364814428837</v>
      </c>
      <c r="Y55" s="101">
        <f>((Tableau!$H$25-Q55)/(AD55^2+Tableau!$G$30^2)^(3/2))*Tableau!$G$29</f>
        <v>-12.00987884132819</v>
      </c>
      <c r="Z55" s="101">
        <f>((Tableau!$G$35-P55)/(AE55^2+Tableau!$G$40^2)^(3/2))*Tableau!$G$39</f>
        <v>-188.22780468638823</v>
      </c>
      <c r="AA55" s="102">
        <f>((Tableau!$H$35-Q55)/(AE55^2+Tableau!$G$40^2)^(3/2))*Tableau!$G$39</f>
        <v>-206.29148393841933</v>
      </c>
      <c r="AC55" s="113">
        <f>SQRT((Tableau!$G$16-P55)^2+(Tableau!$H$16-Q55)^2)</f>
        <v>8687.1230308387694</v>
      </c>
      <c r="AD55" s="114">
        <f>SQRT((Tableau!$G$25-P55)^2+(Tableau!$H$25-Q55)^2)</f>
        <v>43347.750118640302</v>
      </c>
      <c r="AE55" s="115">
        <f>SQRT((Tableau!$G$35-P55)^2+(Tableau!$H$35-Q55)^2)</f>
        <v>41506.60137955485</v>
      </c>
    </row>
    <row r="56" spans="2:31" x14ac:dyDescent="0.25">
      <c r="B56" s="20">
        <v>53</v>
      </c>
      <c r="C56" s="21">
        <f>Tableau!$G$17*COS(B56*PI()/180)+Tableau!$G$16</f>
        <v>23009.075115760243</v>
      </c>
      <c r="D56" s="21">
        <f>Tableau!$G$17*SIN(B56*PI()/180)+Tableau!$H$16</f>
        <v>11493.177550236464</v>
      </c>
      <c r="F56" s="28">
        <v>53</v>
      </c>
      <c r="G56" s="29">
        <f>Tableau!$G$26*COS(F56*PI()/180)+Tableau!$G$25</f>
        <v>-17893.64741896783</v>
      </c>
      <c r="H56" s="29">
        <f>Tableau!$G$26*SIN(F56*PI()/180)+Tableau!$H$25</f>
        <v>12795.224285165525</v>
      </c>
      <c r="J56" s="36">
        <v>53</v>
      </c>
      <c r="K56" s="37">
        <f>Tableau!$G$36*COS(J56*PI()/180)+Tableau!$G$35</f>
        <v>-1990.9248842397583</v>
      </c>
      <c r="L56" s="37">
        <f>Tableau!$G$36*SIN(J56*PI()/180)+Tableau!$H$35</f>
        <v>-11006.822449763536</v>
      </c>
      <c r="N56" s="92">
        <v>52</v>
      </c>
      <c r="O56" s="93">
        <v>26</v>
      </c>
      <c r="P56" s="96">
        <f>P55+R55*Tableau!$G$2+((1/2)*T55)*Tableau!$G$2^2</f>
        <v>20708.650299308436</v>
      </c>
      <c r="Q56" s="96">
        <f>Q55+S55*Tableau!$G$2+((1/2)*U55)*Tableau!$G$2^2</f>
        <v>14035.274457262465</v>
      </c>
      <c r="R56" s="96">
        <f>R55+T55*Tableau!$G$2</f>
        <v>-4773.123601524585</v>
      </c>
      <c r="S56" s="96">
        <f>S55+U55*Tableau!$G$2</f>
        <v>-3766.2435704595396</v>
      </c>
      <c r="T56" s="96">
        <f t="shared" si="0"/>
        <v>-528.31766259607718</v>
      </c>
      <c r="U56" s="96">
        <f t="shared" si="1"/>
        <v>-2243.4083858149434</v>
      </c>
      <c r="V56" s="96">
        <f>((Tableau!$G$16-P56)/(AC56^2+Tableau!$G$21^2)^(3/2))*Tableau!$G$20</f>
        <v>-216.50179126371546</v>
      </c>
      <c r="W56" s="96">
        <f>((Tableau!$H$16-Q56)/(AC56^2+Tableau!$G$21^2)^(3/2))*Tableau!$G$20</f>
        <v>-1996.6104971353479</v>
      </c>
      <c r="X56" s="96">
        <f>((Tableau!$G$25-P56)/(AD56^2+Tableau!$G$30^2)^(3/2))*Tableau!$G$29</f>
        <v>-102.27018770854069</v>
      </c>
      <c r="Y56" s="96">
        <f>((Tableau!$H$25-Q56)/(AD56^2+Tableau!$G$30^2)^(3/2))*Tableau!$G$29</f>
        <v>-10.137606458711868</v>
      </c>
      <c r="Z56" s="96">
        <f>((Tableau!$G$35-P56)/(AE56^2+Tableau!$G$40^2)^(3/2))*Tableau!$G$39</f>
        <v>-209.54568362382105</v>
      </c>
      <c r="AA56" s="97">
        <f>((Tableau!$H$35-Q56)/(AE56^2+Tableau!$G$40^2)^(3/2))*Tableau!$G$39</f>
        <v>-236.66028222088343</v>
      </c>
      <c r="AC56" s="110">
        <f>SQRT((Tableau!$G$16-P56)^2+(Tableau!$H$16-Q56)^2)</f>
        <v>6573.5833058125263</v>
      </c>
      <c r="AD56" s="111">
        <f>SQRT((Tableau!$G$25-P56)^2+(Tableau!$H$25-Q56)^2)</f>
        <v>40908.161155652298</v>
      </c>
      <c r="AE56" s="112">
        <f>SQRT((Tableau!$G$35-P56)^2+(Tableau!$H$35-Q56)^2)</f>
        <v>38781.205022803122</v>
      </c>
    </row>
    <row r="57" spans="2:31" x14ac:dyDescent="0.25">
      <c r="B57" s="18">
        <v>54</v>
      </c>
      <c r="C57" s="19">
        <f>Tableau!$G$17*COS(B57*PI()/180)+Tableau!$G$16</f>
        <v>22938.926261462366</v>
      </c>
      <c r="D57" s="19">
        <f>Tableau!$G$17*SIN(B57*PI()/180)+Tableau!$H$16</f>
        <v>11545.084971874738</v>
      </c>
      <c r="F57" s="26">
        <v>54</v>
      </c>
      <c r="G57" s="27">
        <f>Tableau!$G$26*COS(F57*PI()/180)+Tableau!$G$25</f>
        <v>-17942.751616976344</v>
      </c>
      <c r="H57" s="27">
        <f>Tableau!$G$26*SIN(F57*PI()/180)+Tableau!$H$25</f>
        <v>12831.559480312317</v>
      </c>
      <c r="J57" s="34">
        <v>54</v>
      </c>
      <c r="K57" s="35">
        <f>Tableau!$G$36*COS(J57*PI()/180)+Tableau!$G$35</f>
        <v>-2061.0737385376342</v>
      </c>
      <c r="L57" s="35">
        <f>Tableau!$G$36*SIN(J57*PI()/180)+Tableau!$H$35</f>
        <v>-10954.915028125262</v>
      </c>
      <c r="N57" s="98">
        <v>53</v>
      </c>
      <c r="O57" s="99">
        <v>26.5</v>
      </c>
      <c r="P57" s="101">
        <f>P56+R56*Tableau!$G$2+((1/2)*T56)*Tableau!$G$2^2</f>
        <v>18256.048790721634</v>
      </c>
      <c r="Q57" s="101">
        <f>Q56+S56*Tableau!$G$2+((1/2)*U56)*Tableau!$G$2^2</f>
        <v>11871.726623805827</v>
      </c>
      <c r="R57" s="101">
        <f>R56+T56*Tableau!$G$2</f>
        <v>-5037.2824328226234</v>
      </c>
      <c r="S57" s="101">
        <f>S56+U56*Tableau!$G$2</f>
        <v>-4887.9477633670112</v>
      </c>
      <c r="T57" s="101">
        <f t="shared" si="0"/>
        <v>317.95687831415279</v>
      </c>
      <c r="U57" s="101">
        <f t="shared" si="1"/>
        <v>-1980.8069518318109</v>
      </c>
      <c r="V57" s="101">
        <f>((Tableau!$G$16-P57)/(AC57^2+Tableau!$G$21^2)^(3/2))*Tableau!$G$20</f>
        <v>676.355193914148</v>
      </c>
      <c r="W57" s="101">
        <f>((Tableau!$H$16-Q57)/(AC57^2+Tableau!$G$21^2)^(3/2))*Tableau!$G$20</f>
        <v>-1695.48321802383</v>
      </c>
      <c r="X57" s="101">
        <f>((Tableau!$G$25-P57)/(AD57^2+Tableau!$G$30^2)^(3/2))*Tableau!$G$29</f>
        <v>-116.39431016403557</v>
      </c>
      <c r="Y57" s="101">
        <f>((Tableau!$H$25-Q57)/(AD57^2+Tableau!$G$30^2)^(3/2))*Tableau!$G$29</f>
        <v>-5.6947420363593979</v>
      </c>
      <c r="Z57" s="101">
        <f>((Tableau!$G$35-P57)/(AE57^2+Tableau!$G$40^2)^(3/2))*Tableau!$G$39</f>
        <v>-242.00400543595964</v>
      </c>
      <c r="AA57" s="102">
        <f>((Tableau!$H$35-Q57)/(AE57^2+Tableau!$G$40^2)^(3/2))*Tableau!$G$39</f>
        <v>-279.62899177162149</v>
      </c>
      <c r="AC57" s="113">
        <f>SQRT((Tableau!$G$16-P57)^2+(Tableau!$H$16-Q57)^2)</f>
        <v>4706.7355453260989</v>
      </c>
      <c r="AD57" s="114">
        <f>SQRT((Tableau!$G$25-P57)^2+(Tableau!$H$25-Q57)^2)</f>
        <v>38301.809743566133</v>
      </c>
      <c r="AE57" s="115">
        <f>SQRT((Tableau!$G$35-P57)^2+(Tableau!$H$35-Q57)^2)</f>
        <v>35537.775635244536</v>
      </c>
    </row>
    <row r="58" spans="2:31" x14ac:dyDescent="0.25">
      <c r="B58" s="20">
        <v>55</v>
      </c>
      <c r="C58" s="21">
        <f>Tableau!$G$17*COS(B58*PI()/180)+Tableau!$G$16</f>
        <v>22867.882181755231</v>
      </c>
      <c r="D58" s="21">
        <f>Tableau!$G$17*SIN(B58*PI()/180)+Tableau!$H$16</f>
        <v>11595.760221444958</v>
      </c>
      <c r="F58" s="28">
        <v>55</v>
      </c>
      <c r="G58" s="29">
        <f>Tableau!$G$26*COS(F58*PI()/180)+Tableau!$G$25</f>
        <v>-17992.482472771339</v>
      </c>
      <c r="H58" s="29">
        <f>Tableau!$G$26*SIN(F58*PI()/180)+Tableau!$H$25</f>
        <v>12867.032155011471</v>
      </c>
      <c r="J58" s="36">
        <v>55</v>
      </c>
      <c r="K58" s="37">
        <f>Tableau!$G$36*COS(J58*PI()/180)+Tableau!$G$35</f>
        <v>-2132.1178182447693</v>
      </c>
      <c r="L58" s="37">
        <f>Tableau!$G$36*SIN(J58*PI()/180)+Tableau!$H$35</f>
        <v>-10904.239778555042</v>
      </c>
      <c r="N58" s="92">
        <v>54</v>
      </c>
      <c r="O58" s="93">
        <v>27</v>
      </c>
      <c r="P58" s="96">
        <f>P57+R57*Tableau!$G$2+((1/2)*T57)*Tableau!$G$2^2</f>
        <v>15777.152184099592</v>
      </c>
      <c r="Q58" s="96">
        <f>Q57+S57*Tableau!$G$2+((1/2)*U57)*Tableau!$G$2^2</f>
        <v>9180.1518731433462</v>
      </c>
      <c r="R58" s="96">
        <f>R57+T57*Tableau!$G$2</f>
        <v>-4878.3039936655468</v>
      </c>
      <c r="S58" s="96">
        <f>S57+U57*Tableau!$G$2</f>
        <v>-5878.351239282917</v>
      </c>
      <c r="T58" s="96">
        <f t="shared" si="0"/>
        <v>1244.1619772247263</v>
      </c>
      <c r="U58" s="96">
        <f t="shared" si="1"/>
        <v>-1000.1743367203323</v>
      </c>
      <c r="V58" s="96">
        <f>((Tableau!$G$16-P58)/(AC58^2+Tableau!$G$21^2)^(3/2))*Tableau!$G$20</f>
        <v>1668.3384365333341</v>
      </c>
      <c r="W58" s="96">
        <f>((Tableau!$H$16-Q58)/(AC58^2+Tableau!$G$21^2)^(3/2))*Tableau!$G$20</f>
        <v>-663.78474228317543</v>
      </c>
      <c r="X58" s="96">
        <f>((Tableau!$G$25-P58)/(AD58^2+Tableau!$G$30^2)^(3/2))*Tableau!$G$29</f>
        <v>-132.51937797599194</v>
      </c>
      <c r="Y58" s="96">
        <f>((Tableau!$H$25-Q58)/(AD58^2+Tableau!$G$30^2)^(3/2))*Tableau!$G$29</f>
        <v>3.0367359382536665</v>
      </c>
      <c r="Z58" s="96">
        <f>((Tableau!$G$35-P58)/(AE58^2+Tableau!$G$40^2)^(3/2))*Tableau!$G$39</f>
        <v>-291.65708133261575</v>
      </c>
      <c r="AA58" s="97">
        <f>((Tableau!$H$35-Q58)/(AE58^2+Tableau!$G$40^2)^(3/2))*Tableau!$G$39</f>
        <v>-339.42633037541049</v>
      </c>
      <c r="AC58" s="110">
        <f>SQRT((Tableau!$G$16-P58)^2+(Tableau!$H$16-Q58)^2)</f>
        <v>4544.8161671383305</v>
      </c>
      <c r="AD58" s="111">
        <f>SQRT((Tableau!$G$25-P58)^2+(Tableau!$H$25-Q58)^2)</f>
        <v>35786.544529408435</v>
      </c>
      <c r="AE58" s="112">
        <f>SQRT((Tableau!$G$35-P58)^2+(Tableau!$H$35-Q58)^2)</f>
        <v>31880.555162818484</v>
      </c>
    </row>
    <row r="59" spans="2:31" x14ac:dyDescent="0.25">
      <c r="B59" s="18">
        <v>56</v>
      </c>
      <c r="C59" s="19">
        <f>Tableau!$G$17*COS(B59*PI()/180)+Tableau!$G$16</f>
        <v>22795.964517353736</v>
      </c>
      <c r="D59" s="19">
        <f>Tableau!$G$17*SIN(B59*PI()/180)+Tableau!$H$16</f>
        <v>11645.187862775208</v>
      </c>
      <c r="F59" s="26">
        <v>56</v>
      </c>
      <c r="G59" s="27">
        <f>Tableau!$G$26*COS(F59*PI()/180)+Tableau!$G$25</f>
        <v>-18042.824837852386</v>
      </c>
      <c r="H59" s="27">
        <f>Tableau!$G$26*SIN(F59*PI()/180)+Tableau!$H$25</f>
        <v>12901.631503942646</v>
      </c>
      <c r="J59" s="34">
        <v>56</v>
      </c>
      <c r="K59" s="35">
        <f>Tableau!$G$36*COS(J59*PI()/180)+Tableau!$G$35</f>
        <v>-2204.0354826462662</v>
      </c>
      <c r="L59" s="35">
        <f>Tableau!$G$36*SIN(J59*PI()/180)+Tableau!$H$35</f>
        <v>-10854.812137224792</v>
      </c>
      <c r="N59" s="98">
        <v>55</v>
      </c>
      <c r="O59" s="99">
        <v>27.5</v>
      </c>
      <c r="P59" s="101">
        <f>P58+R58*Tableau!$G$2+((1/2)*T58)*Tableau!$G$2^2</f>
        <v>13493.520434419908</v>
      </c>
      <c r="Q59" s="101">
        <f>Q58+S58*Tableau!$G$2+((1/2)*U58)*Tableau!$G$2^2</f>
        <v>6115.9544614118458</v>
      </c>
      <c r="R59" s="101">
        <f>R58+T58*Tableau!$G$2</f>
        <v>-4256.2230050531834</v>
      </c>
      <c r="S59" s="101">
        <f>S58+U58*Tableau!$G$2</f>
        <v>-6378.4384076430833</v>
      </c>
      <c r="T59" s="101">
        <f t="shared" si="0"/>
        <v>1453.1100753541846</v>
      </c>
      <c r="U59" s="101">
        <f t="shared" si="1"/>
        <v>17.473536062940468</v>
      </c>
      <c r="V59" s="101">
        <f>((Tableau!$G$16-P59)/(AC59^2+Tableau!$G$21^2)^(3/2))*Tableau!$G$20</f>
        <v>1966.3987943048066</v>
      </c>
      <c r="W59" s="101">
        <f>((Tableau!$H$16-Q59)/(AC59^2+Tableau!$G$21^2)^(3/2))*Tableau!$G$20</f>
        <v>418.2884847191628</v>
      </c>
      <c r="X59" s="101">
        <f>((Tableau!$G$25-P59)/(AD59^2+Tableau!$G$30^2)^(3/2))*Tableau!$G$29</f>
        <v>-147.29245172831369</v>
      </c>
      <c r="Y59" s="101">
        <f>((Tableau!$H$25-Q59)/(AD59^2+Tableau!$G$30^2)^(3/2))*Tableau!$G$29</f>
        <v>17.080634778993073</v>
      </c>
      <c r="Z59" s="101">
        <f>((Tableau!$G$35-P59)/(AE59^2+Tableau!$G$40^2)^(3/2))*Tableau!$G$39</f>
        <v>-365.99626722230846</v>
      </c>
      <c r="AA59" s="102">
        <f>((Tableau!$H$35-Q59)/(AE59^2+Tableau!$G$40^2)^(3/2))*Tableau!$G$39</f>
        <v>-417.89558343521543</v>
      </c>
      <c r="AC59" s="113">
        <f>SQRT((Tableau!$G$16-P59)^2+(Tableau!$H$16-Q59)^2)</f>
        <v>6652.0567037719293</v>
      </c>
      <c r="AD59" s="114">
        <f>SQRT((Tableau!$G$25-P59)^2+(Tableau!$H$25-Q59)^2)</f>
        <v>33717.973261107058</v>
      </c>
      <c r="AE59" s="115">
        <f>SQRT((Tableau!$G$35-P59)^2+(Tableau!$H$35-Q59)^2)</f>
        <v>28069.446572291476</v>
      </c>
    </row>
    <row r="60" spans="2:31" x14ac:dyDescent="0.25">
      <c r="B60" s="20">
        <v>57</v>
      </c>
      <c r="C60" s="21">
        <f>Tableau!$G$17*COS(B60*PI()/180)+Tableau!$G$16</f>
        <v>22723.195175075136</v>
      </c>
      <c r="D60" s="21">
        <f>Tableau!$G$17*SIN(B60*PI()/180)+Tableau!$H$16</f>
        <v>11693.352839727118</v>
      </c>
      <c r="F60" s="28">
        <v>57</v>
      </c>
      <c r="G60" s="29">
        <f>Tableau!$G$26*COS(F60*PI()/180)+Tableau!$G$25</f>
        <v>-18093.763377447405</v>
      </c>
      <c r="H60" s="29">
        <f>Tableau!$G$26*SIN(F60*PI()/180)+Tableau!$H$25</f>
        <v>12935.346987808984</v>
      </c>
      <c r="J60" s="36">
        <v>57</v>
      </c>
      <c r="K60" s="37">
        <f>Tableau!$G$36*COS(J60*PI()/180)+Tableau!$G$35</f>
        <v>-2276.8048249248641</v>
      </c>
      <c r="L60" s="37">
        <f>Tableau!$G$36*SIN(J60*PI()/180)+Tableau!$H$35</f>
        <v>-10806.647160272882</v>
      </c>
      <c r="N60" s="92">
        <v>56</v>
      </c>
      <c r="O60" s="93">
        <v>28</v>
      </c>
      <c r="P60" s="96">
        <f>P59+R59*Tableau!$G$2+((1/2)*T59)*Tableau!$G$2^2</f>
        <v>11547.047691312589</v>
      </c>
      <c r="Q60" s="96">
        <f>Q59+S59*Tableau!$G$2+((1/2)*U59)*Tableau!$G$2^2</f>
        <v>2928.9194495981719</v>
      </c>
      <c r="R60" s="96">
        <f>R59+T59*Tableau!$G$2</f>
        <v>-3529.6679673760909</v>
      </c>
      <c r="S60" s="96">
        <f>S59+U59*Tableau!$G$2</f>
        <v>-6369.7016396116132</v>
      </c>
      <c r="T60" s="96">
        <f t="shared" si="0"/>
        <v>1029.9780802799694</v>
      </c>
      <c r="U60" s="96">
        <f t="shared" si="1"/>
        <v>420.20113474219079</v>
      </c>
      <c r="V60" s="96">
        <f>((Tableau!$G$16-P60)/(AC60^2+Tableau!$G$21^2)^(3/2))*Tableau!$G$20</f>
        <v>1659.1219358202225</v>
      </c>
      <c r="W60" s="96">
        <f>((Tableau!$H$16-Q60)/(AC60^2+Tableau!$G$21^2)^(3/2))*Tableau!$G$20</f>
        <v>897.19895896946139</v>
      </c>
      <c r="X60" s="96">
        <f>((Tableau!$G$25-P60)/(AD60^2+Tableau!$G$30^2)^(3/2))*Tableau!$G$29</f>
        <v>-156.52965797514733</v>
      </c>
      <c r="Y60" s="96">
        <f>((Tableau!$H$25-Q60)/(AD60^2+Tableau!$G$30^2)^(3/2))*Tableau!$G$29</f>
        <v>35.085179155256228</v>
      </c>
      <c r="Z60" s="96">
        <f>((Tableau!$G$35-P60)/(AE60^2+Tableau!$G$40^2)^(3/2))*Tableau!$G$39</f>
        <v>-472.61419756510577</v>
      </c>
      <c r="AA60" s="97">
        <f>((Tableau!$H$35-Q60)/(AE60^2+Tableau!$G$40^2)^(3/2))*Tableau!$G$39</f>
        <v>-512.08300338252684</v>
      </c>
      <c r="AC60" s="110">
        <f>SQRT((Tableau!$G$16-P60)^2+(Tableau!$H$16-Q60)^2)</f>
        <v>9609.7440200665951</v>
      </c>
      <c r="AD60" s="111">
        <f>SQRT((Tableau!$G$25-P60)^2+(Tableau!$H$25-Q60)^2)</f>
        <v>32329.806652502921</v>
      </c>
      <c r="AE60" s="112">
        <f>SQRT((Tableau!$G$35-P60)^2+(Tableau!$H$35-Q60)^2)</f>
        <v>24397.765060118782</v>
      </c>
    </row>
    <row r="61" spans="2:31" x14ac:dyDescent="0.25">
      <c r="B61" s="18">
        <v>58</v>
      </c>
      <c r="C61" s="19">
        <f>Tableau!$G$17*COS(B61*PI()/180)+Tableau!$G$16</f>
        <v>22649.596321166024</v>
      </c>
      <c r="D61" s="19">
        <f>Tableau!$G$17*SIN(B61*PI()/180)+Tableau!$H$16</f>
        <v>11740.240480782129</v>
      </c>
      <c r="F61" s="26">
        <v>58</v>
      </c>
      <c r="G61" s="27">
        <f>Tableau!$G$26*COS(F61*PI()/180)+Tableau!$G$25</f>
        <v>-18145.282575183785</v>
      </c>
      <c r="H61" s="27">
        <f>Tableau!$G$26*SIN(F61*PI()/180)+Tableau!$H$25</f>
        <v>12968.168336547491</v>
      </c>
      <c r="J61" s="34">
        <v>58</v>
      </c>
      <c r="K61" s="35">
        <f>Tableau!$G$36*COS(J61*PI()/180)+Tableau!$G$35</f>
        <v>-2350.4036788339754</v>
      </c>
      <c r="L61" s="35">
        <f>Tableau!$G$36*SIN(J61*PI()/180)+Tableau!$H$35</f>
        <v>-10759.759519217871</v>
      </c>
      <c r="N61" s="98">
        <v>57</v>
      </c>
      <c r="O61" s="99">
        <v>28.5</v>
      </c>
      <c r="P61" s="101">
        <f>P60+R60*Tableau!$G$2+((1/2)*T60)*Tableau!$G$2^2</f>
        <v>9910.9609676595392</v>
      </c>
      <c r="Q61" s="101">
        <f>Q60+S60*Tableau!$G$2+((1/2)*U60)*Tableau!$G$2^2</f>
        <v>-203.40622836486085</v>
      </c>
      <c r="R61" s="101">
        <f>R60+T60*Tableau!$G$2</f>
        <v>-3014.6789272361061</v>
      </c>
      <c r="S61" s="101">
        <f>S60+U60*Tableau!$G$2</f>
        <v>-6159.6010722405181</v>
      </c>
      <c r="T61" s="101">
        <f t="shared" si="0"/>
        <v>473.50780885044298</v>
      </c>
      <c r="U61" s="101">
        <f t="shared" si="1"/>
        <v>394.6654055017832</v>
      </c>
      <c r="V61" s="101">
        <f>((Tableau!$G$16-P61)/(AC61^2+Tableau!$G$21^2)^(3/2))*Tableau!$G$20</f>
        <v>1251.873186117431</v>
      </c>
      <c r="W61" s="101">
        <f>((Tableau!$H$16-Q61)/(AC61^2+Tableau!$G$21^2)^(3/2))*Tableau!$G$20</f>
        <v>955.85790362660873</v>
      </c>
      <c r="X61" s="101">
        <f>((Tableau!$G$25-P61)/(AD61^2+Tableau!$G$30^2)^(3/2))*Tableau!$G$29</f>
        <v>-158.38753792368809</v>
      </c>
      <c r="Y61" s="101">
        <f>((Tableau!$H$25-Q61)/(AD61^2+Tableau!$G$30^2)^(3/2))*Tableau!$G$29</f>
        <v>54.030105976644911</v>
      </c>
      <c r="Z61" s="101">
        <f>((Tableau!$G$35-P61)/(AE61^2+Tableau!$G$40^2)^(3/2))*Tableau!$G$39</f>
        <v>-619.97783934329993</v>
      </c>
      <c r="AA61" s="102">
        <f>((Tableau!$H$35-Q61)/(AE61^2+Tableau!$G$40^2)^(3/2))*Tableau!$G$39</f>
        <v>-615.22260410147044</v>
      </c>
      <c r="AC61" s="113">
        <f>SQRT((Tableau!$G$16-P61)^2+(Tableau!$H$16-Q61)^2)</f>
        <v>12693.745551069624</v>
      </c>
      <c r="AD61" s="114">
        <f>SQRT((Tableau!$G$25-P61)^2+(Tableau!$H$25-Q61)^2)</f>
        <v>31603.40305520732</v>
      </c>
      <c r="AE61" s="115">
        <f>SQRT((Tableau!$G$35-P61)^2+(Tableau!$H$35-Q61)^2)</f>
        <v>21006.569073074694</v>
      </c>
    </row>
    <row r="62" spans="2:31" x14ac:dyDescent="0.25">
      <c r="B62" s="20">
        <v>59</v>
      </c>
      <c r="C62" s="21">
        <f>Tableau!$G$17*COS(B62*PI()/180)+Tableau!$G$16</f>
        <v>22575.190374550271</v>
      </c>
      <c r="D62" s="21">
        <f>Tableau!$G$17*SIN(B62*PI()/180)+Tableau!$H$16</f>
        <v>11785.83650351056</v>
      </c>
      <c r="F62" s="28">
        <v>59</v>
      </c>
      <c r="G62" s="29">
        <f>Tableau!$G$26*COS(F62*PI()/180)+Tableau!$G$25</f>
        <v>-18197.366737814809</v>
      </c>
      <c r="H62" s="29">
        <f>Tableau!$G$26*SIN(F62*PI()/180)+Tableau!$H$25</f>
        <v>13000.085552457393</v>
      </c>
      <c r="J62" s="36">
        <v>59</v>
      </c>
      <c r="K62" s="37">
        <f>Tableau!$G$36*COS(J62*PI()/180)+Tableau!$G$35</f>
        <v>-2424.8096254497282</v>
      </c>
      <c r="L62" s="37">
        <f>Tableau!$G$36*SIN(J62*PI()/180)+Tableau!$H$35</f>
        <v>-10714.16349648944</v>
      </c>
      <c r="N62" s="92">
        <v>58</v>
      </c>
      <c r="O62" s="93">
        <v>29</v>
      </c>
      <c r="P62" s="96">
        <f>P61+R61*Tableau!$G$2+((1/2)*T61)*Tableau!$G$2^2</f>
        <v>8462.8099801477911</v>
      </c>
      <c r="Q62" s="96">
        <f>Q61+S61*Tableau!$G$2+((1/2)*U61)*Tableau!$G$2^2</f>
        <v>-3233.8735887973971</v>
      </c>
      <c r="R62" s="96">
        <f>R61+T61*Tableau!$G$2</f>
        <v>-2777.9250228108845</v>
      </c>
      <c r="S62" s="96">
        <f>S61+U61*Tableau!$G$2</f>
        <v>-5962.2683694896268</v>
      </c>
      <c r="T62" s="96">
        <f t="shared" si="0"/>
        <v>-44.312123668632012</v>
      </c>
      <c r="U62" s="96">
        <f t="shared" si="1"/>
        <v>219.44847950684084</v>
      </c>
      <c r="V62" s="96">
        <f>((Tableau!$G$16-P62)/(AC62^2+Tableau!$G$21^2)^(3/2))*Tableau!$G$20</f>
        <v>929.23556126693938</v>
      </c>
      <c r="W62" s="96">
        <f>((Tableau!$H$16-Q62)/(AC62^2+Tableau!$G$21^2)^(3/2))*Tableau!$G$20</f>
        <v>864.53434776506322</v>
      </c>
      <c r="X62" s="96">
        <f>((Tableau!$G$25-P62)/(AD62^2+Tableau!$G$30^2)^(3/2))*Tableau!$G$29</f>
        <v>-153.68148117982471</v>
      </c>
      <c r="Y62" s="96">
        <f>((Tableau!$H$25-Q62)/(AD62^2+Tableau!$G$30^2)^(3/2))*Tableau!$G$29</f>
        <v>71.454691096609224</v>
      </c>
      <c r="Z62" s="96">
        <f>((Tableau!$G$35-P62)/(AE62^2+Tableau!$G$40^2)^(3/2))*Tableau!$G$39</f>
        <v>-819.86620375574671</v>
      </c>
      <c r="AA62" s="97">
        <f>((Tableau!$H$35-Q62)/(AE62^2+Tableau!$G$40^2)^(3/2))*Tableau!$G$39</f>
        <v>-716.54055935483166</v>
      </c>
      <c r="AC62" s="110">
        <f>SQRT((Tableau!$G$16-P62)^2+(Tableau!$H$16-Q62)^2)</f>
        <v>15758.261191338965</v>
      </c>
      <c r="AD62" s="111">
        <f>SQRT((Tableau!$G$25-P62)^2+(Tableau!$H$25-Q62)^2)</f>
        <v>31388.962425194466</v>
      </c>
      <c r="AE62" s="112">
        <f>SQRT((Tableau!$G$35-P62)^2+(Tableau!$H$35-Q62)^2)</f>
        <v>17879.848525252288</v>
      </c>
    </row>
    <row r="63" spans="2:31" x14ac:dyDescent="0.25">
      <c r="B63" s="18">
        <v>60</v>
      </c>
      <c r="C63" s="19">
        <f>Tableau!$G$17*COS(B63*PI()/180)+Tableau!$G$16</f>
        <v>22500</v>
      </c>
      <c r="D63" s="19">
        <f>Tableau!$G$17*SIN(B63*PI()/180)+Tableau!$H$16</f>
        <v>11830.127018922194</v>
      </c>
      <c r="F63" s="26">
        <v>60</v>
      </c>
      <c r="G63" s="27">
        <f>Tableau!$G$26*COS(F63*PI()/180)+Tableau!$G$25</f>
        <v>-18250</v>
      </c>
      <c r="H63" s="27">
        <f>Tableau!$G$26*SIN(F63*PI()/180)+Tableau!$H$25</f>
        <v>13031.088913245534</v>
      </c>
      <c r="J63" s="34">
        <v>60</v>
      </c>
      <c r="K63" s="35">
        <f>Tableau!$G$36*COS(J63*PI()/180)+Tableau!$G$35</f>
        <v>-2499.9999999999995</v>
      </c>
      <c r="L63" s="35">
        <f>Tableau!$G$36*SIN(J63*PI()/180)+Tableau!$H$35</f>
        <v>-10669.872981077806</v>
      </c>
      <c r="N63" s="98">
        <v>59</v>
      </c>
      <c r="O63" s="99">
        <v>29.5</v>
      </c>
      <c r="P63" s="101">
        <f>P62+R62*Tableau!$G$2+((1/2)*T62)*Tableau!$G$2^2</f>
        <v>7068.3084532837693</v>
      </c>
      <c r="Q63" s="101">
        <f>Q62+S62*Tableau!$G$2+((1/2)*U62)*Tableau!$G$2^2</f>
        <v>-6187.5767136038558</v>
      </c>
      <c r="R63" s="101">
        <f>R62+T62*Tableau!$G$2</f>
        <v>-2800.0810846452005</v>
      </c>
      <c r="S63" s="101">
        <f>S62+U62*Tableau!$G$2</f>
        <v>-5852.5441297362067</v>
      </c>
      <c r="T63" s="101">
        <f t="shared" si="0"/>
        <v>-532.55195242445438</v>
      </c>
      <c r="U63" s="101">
        <f t="shared" si="1"/>
        <v>31.929694395019055</v>
      </c>
      <c r="V63" s="101">
        <f>((Tableau!$G$16-P63)/(AC63^2+Tableau!$G$21^2)^(3/2))*Tableau!$G$20</f>
        <v>698.61959422328891</v>
      </c>
      <c r="W63" s="101">
        <f>((Tableau!$H$16-Q63)/(AC63^2+Tableau!$G$21^2)^(3/2))*Tableau!$G$20</f>
        <v>739.45541115124001</v>
      </c>
      <c r="X63" s="101">
        <f>((Tableau!$G$25-P63)/(AD63^2+Tableau!$G$30^2)^(3/2))*Tableau!$G$29</f>
        <v>-144.16870870408181</v>
      </c>
      <c r="Y63" s="101">
        <f>((Tableau!$H$25-Q63)/(AD63^2+Tableau!$G$30^2)^(3/2))*Tableau!$G$29</f>
        <v>86.216766587991813</v>
      </c>
      <c r="Z63" s="101">
        <f>((Tableau!$G$35-P63)/(AE63^2+Tableau!$G$40^2)^(3/2))*Tableau!$G$39</f>
        <v>-1087.0028379436615</v>
      </c>
      <c r="AA63" s="102">
        <f>((Tableau!$H$35-Q63)/(AE63^2+Tableau!$G$40^2)^(3/2))*Tableau!$G$39</f>
        <v>-793.74248334421281</v>
      </c>
      <c r="AC63" s="113">
        <f>SQRT((Tableau!$G$16-P63)^2+(Tableau!$H$16-Q63)^2)</f>
        <v>18830.252323062548</v>
      </c>
      <c r="AD63" s="114">
        <f>SQRT((Tableau!$G$25-P63)^2+(Tableau!$H$25-Q63)^2)</f>
        <v>31539.355769909493</v>
      </c>
      <c r="AE63" s="115">
        <f>SQRT((Tableau!$G$35-P63)^2+(Tableau!$H$35-Q63)^2)</f>
        <v>14943.322023640443</v>
      </c>
    </row>
    <row r="64" spans="2:31" x14ac:dyDescent="0.25">
      <c r="B64" s="20">
        <v>61</v>
      </c>
      <c r="C64" s="21">
        <f>Tableau!$G$17*COS(B64*PI()/180)+Tableau!$G$16</f>
        <v>22424.048101231685</v>
      </c>
      <c r="D64" s="21">
        <f>Tableau!$G$17*SIN(B64*PI()/180)+Tableau!$H$16</f>
        <v>11873.09853569698</v>
      </c>
      <c r="F64" s="28">
        <v>61</v>
      </c>
      <c r="G64" s="29">
        <f>Tableau!$G$26*COS(F64*PI()/180)+Tableau!$G$25</f>
        <v>-18303.166329137821</v>
      </c>
      <c r="H64" s="29">
        <f>Tableau!$G$26*SIN(F64*PI()/180)+Tableau!$H$25</f>
        <v>13061.168974987886</v>
      </c>
      <c r="J64" s="36">
        <v>61</v>
      </c>
      <c r="K64" s="37">
        <f>Tableau!$G$36*COS(J64*PI()/180)+Tableau!$G$35</f>
        <v>-2575.9518987683145</v>
      </c>
      <c r="L64" s="37">
        <f>Tableau!$G$36*SIN(J64*PI()/180)+Tableau!$H$35</f>
        <v>-10626.90146430302</v>
      </c>
      <c r="N64" s="92">
        <v>60</v>
      </c>
      <c r="O64" s="93">
        <v>30</v>
      </c>
      <c r="P64" s="96">
        <f>P63+R63*Tableau!$G$2+((1/2)*T63)*Tableau!$G$2^2</f>
        <v>5601.6989169081126</v>
      </c>
      <c r="Q64" s="96">
        <f>Q63+S63*Tableau!$G$2+((1/2)*U63)*Tableau!$G$2^2</f>
        <v>-9109.857566672581</v>
      </c>
      <c r="R64" s="96">
        <f>R63+T63*Tableau!$G$2</f>
        <v>-3066.3570608574278</v>
      </c>
      <c r="S64" s="96">
        <f>S63+U63*Tableau!$G$2</f>
        <v>-5836.579282538697</v>
      </c>
      <c r="T64" s="96">
        <f t="shared" si="0"/>
        <v>-1025.3452898656715</v>
      </c>
      <c r="U64" s="96">
        <f t="shared" si="1"/>
        <v>-78.428889021304485</v>
      </c>
      <c r="V64" s="96">
        <f>((Tableau!$G$16-P64)/(AC64^2+Tableau!$G$21^2)^(3/2))*Tableau!$G$20</f>
        <v>535.28532839769252</v>
      </c>
      <c r="W64" s="96">
        <f>((Tableau!$H$16-Q64)/(AC64^2+Tableau!$G$21^2)^(3/2))*Tableau!$G$20</f>
        <v>617.5043160235108</v>
      </c>
      <c r="X64" s="96">
        <f>((Tableau!$G$25-P64)/(AD64^2+Tableau!$G$30^2)^(3/2))*Tableau!$G$29</f>
        <v>-131.43436958483588</v>
      </c>
      <c r="Y64" s="96">
        <f>((Tableau!$H$25-Q64)/(AD64^2+Tableau!$G$30^2)^(3/2))*Tableau!$G$29</f>
        <v>98.106461226790728</v>
      </c>
      <c r="Z64" s="96">
        <f>((Tableau!$G$35-P64)/(AE64^2+Tableau!$G$40^2)^(3/2))*Tableau!$G$39</f>
        <v>-1429.1962486785283</v>
      </c>
      <c r="AA64" s="97">
        <f>((Tableau!$H$35-Q64)/(AE64^2+Tableau!$G$40^2)^(3/2))*Tableau!$G$39</f>
        <v>-794.03966627160605</v>
      </c>
      <c r="AC64" s="110">
        <f>SQRT((Tableau!$G$16-P64)^2+(Tableau!$H$16-Q64)^2)</f>
        <v>21981.775234600944</v>
      </c>
      <c r="AD64" s="111">
        <f>SQRT((Tableau!$G$25-P64)^2+(Tableau!$H$25-Q64)^2)</f>
        <v>31947.357381331676</v>
      </c>
      <c r="AE64" s="112">
        <f>SQRT((Tableau!$G$35-P64)^2+(Tableau!$H$35-Q64)^2)</f>
        <v>12128.058286867479</v>
      </c>
    </row>
    <row r="65" spans="2:31" x14ac:dyDescent="0.25">
      <c r="B65" s="18">
        <v>62</v>
      </c>
      <c r="C65" s="19">
        <f>Tableau!$G$17*COS(B65*PI()/180)+Tableau!$G$16</f>
        <v>22347.357813929455</v>
      </c>
      <c r="D65" s="19">
        <f>Tableau!$G$17*SIN(B65*PI()/180)+Tableau!$H$16</f>
        <v>11914.737964294634</v>
      </c>
      <c r="F65" s="26">
        <v>62</v>
      </c>
      <c r="G65" s="27">
        <f>Tableau!$G$26*COS(F65*PI()/180)+Tableau!$G$25</f>
        <v>-18356.849530249383</v>
      </c>
      <c r="H65" s="27">
        <f>Tableau!$G$26*SIN(F65*PI()/180)+Tableau!$H$25</f>
        <v>13090.316575006244</v>
      </c>
      <c r="J65" s="34">
        <v>62</v>
      </c>
      <c r="K65" s="35">
        <f>Tableau!$G$36*COS(J65*PI()/180)+Tableau!$G$35</f>
        <v>-2652.6421860705459</v>
      </c>
      <c r="L65" s="35">
        <f>Tableau!$G$36*SIN(J65*PI()/180)+Tableau!$H$35</f>
        <v>-10585.262035705366</v>
      </c>
      <c r="N65" s="98">
        <v>61</v>
      </c>
      <c r="O65" s="99">
        <v>30.5</v>
      </c>
      <c r="P65" s="101">
        <f>P64+R64*Tableau!$G$2+((1/2)*T64)*Tableau!$G$2^2</f>
        <v>3940.3522252461894</v>
      </c>
      <c r="Q65" s="101">
        <f>Q64+S64*Tableau!$G$2+((1/2)*U64)*Tableau!$G$2^2</f>
        <v>-12037.950819069592</v>
      </c>
      <c r="R65" s="101">
        <f>R64+T64*Tableau!$G$2</f>
        <v>-3579.0297057902635</v>
      </c>
      <c r="S65" s="101">
        <f>S64+U64*Tableau!$G$2</f>
        <v>-5875.7937270493494</v>
      </c>
      <c r="T65" s="101">
        <f t="shared" si="0"/>
        <v>-1504.438347484059</v>
      </c>
      <c r="U65" s="101">
        <f t="shared" si="1"/>
        <v>17.600541706169224</v>
      </c>
      <c r="V65" s="101">
        <f>((Tableau!$G$16-P65)/(AC65^2+Tableau!$G$21^2)^(3/2))*Tableau!$G$20</f>
        <v>418.02350149935631</v>
      </c>
      <c r="W65" s="101">
        <f>((Tableau!$H$16-Q65)/(AC65^2+Tableau!$G$21^2)^(3/2))*Tableau!$G$20</f>
        <v>508.56175229128831</v>
      </c>
      <c r="X65" s="101">
        <f>((Tableau!$G$25-P65)/(AD65^2+Tableau!$G$30^2)^(3/2))*Tableau!$G$29</f>
        <v>-116.60692224682224</v>
      </c>
      <c r="Y65" s="101">
        <f>((Tableau!$H$25-Q65)/(AD65^2+Tableau!$G$30^2)^(3/2))*Tableau!$G$29</f>
        <v>107.34084417223374</v>
      </c>
      <c r="Z65" s="101">
        <f>((Tableau!$G$35-P65)/(AE65^2+Tableau!$G$40^2)^(3/2))*Tableau!$G$39</f>
        <v>-1805.8549267365931</v>
      </c>
      <c r="AA65" s="102">
        <f>((Tableau!$H$35-Q65)/(AE65^2+Tableau!$G$40^2)^(3/2))*Tableau!$G$39</f>
        <v>-598.30205475735283</v>
      </c>
      <c r="AC65" s="113">
        <f>SQRT((Tableau!$G$16-P65)^2+(Tableau!$H$16-Q65)^2)</f>
        <v>25291.180455991711</v>
      </c>
      <c r="AD65" s="114">
        <f>SQRT((Tableau!$G$25-P65)^2+(Tableau!$H$25-Q65)^2)</f>
        <v>32539.387532229</v>
      </c>
      <c r="AE65" s="115">
        <f>SQRT((Tableau!$G$35-P65)^2+(Tableau!$H$35-Q65)^2)</f>
        <v>9418.2606282537654</v>
      </c>
    </row>
    <row r="66" spans="2:31" x14ac:dyDescent="0.25">
      <c r="B66" s="20">
        <v>63</v>
      </c>
      <c r="C66" s="21">
        <f>Tableau!$G$17*COS(B66*PI()/180)+Tableau!$G$16</f>
        <v>22269.952498697734</v>
      </c>
      <c r="D66" s="21">
        <f>Tableau!$G$17*SIN(B66*PI()/180)+Tableau!$H$16</f>
        <v>11955.032620941838</v>
      </c>
      <c r="F66" s="28">
        <v>63</v>
      </c>
      <c r="G66" s="29">
        <f>Tableau!$G$26*COS(F66*PI()/180)+Tableau!$G$25</f>
        <v>-18411.033250911587</v>
      </c>
      <c r="H66" s="29">
        <f>Tableau!$G$26*SIN(F66*PI()/180)+Tableau!$H$25</f>
        <v>13118.522834659287</v>
      </c>
      <c r="J66" s="36">
        <v>63</v>
      </c>
      <c r="K66" s="37">
        <f>Tableau!$G$36*COS(J66*PI()/180)+Tableau!$G$35</f>
        <v>-2730.047501302266</v>
      </c>
      <c r="L66" s="37">
        <f>Tableau!$G$36*SIN(J66*PI()/180)+Tableau!$H$35</f>
        <v>-10544.967379058162</v>
      </c>
      <c r="N66" s="92">
        <v>62</v>
      </c>
      <c r="O66" s="93">
        <v>31</v>
      </c>
      <c r="P66" s="96">
        <f>P65+R65*Tableau!$G$2+((1/2)*T65)*Tableau!$G$2^2</f>
        <v>1962.7825789155502</v>
      </c>
      <c r="Q66" s="96">
        <f>Q65+S65*Tableau!$G$2+((1/2)*U65)*Tableau!$G$2^2</f>
        <v>-14973.647614880996</v>
      </c>
      <c r="R66" s="96">
        <f>R65+T65*Tableau!$G$2</f>
        <v>-4331.2488795322934</v>
      </c>
      <c r="S66" s="96">
        <f>S65+U65*Tableau!$G$2</f>
        <v>-5866.9934561962646</v>
      </c>
      <c r="T66" s="96">
        <f t="shared" si="0"/>
        <v>-1782.6982363465831</v>
      </c>
      <c r="U66" s="96">
        <f t="shared" si="1"/>
        <v>521.2613115361346</v>
      </c>
      <c r="V66" s="96">
        <f>((Tableau!$G$16-P66)/(AC66^2+Tableau!$G$21^2)^(3/2))*Tableau!$G$20</f>
        <v>332.78165281799249</v>
      </c>
      <c r="W66" s="96">
        <f>((Tableau!$H$16-Q66)/(AC66^2+Tableau!$G$21^2)^(3/2))*Tableau!$G$20</f>
        <v>414.63255797908903</v>
      </c>
      <c r="X66" s="96">
        <f>((Tableau!$G$25-P66)/(AD66^2+Tableau!$G$30^2)^(3/2))*Tableau!$G$29</f>
        <v>-100.48024373159431</v>
      </c>
      <c r="Y66" s="96">
        <f>((Tableau!$H$25-Q66)/(AD66^2+Tableau!$G$30^2)^(3/2))*Tableau!$G$29</f>
        <v>114.25502165737396</v>
      </c>
      <c r="Z66" s="96">
        <f>((Tableau!$G$35-P66)/(AE66^2+Tableau!$G$40^2)^(3/2))*Tableau!$G$39</f>
        <v>-2014.9996454329814</v>
      </c>
      <c r="AA66" s="97">
        <f>((Tableau!$H$35-Q66)/(AE66^2+Tableau!$G$40^2)^(3/2))*Tableau!$G$39</f>
        <v>-7.6262681003284323</v>
      </c>
      <c r="AC66" s="110">
        <f>SQRT((Tableau!$G$16-P66)^2+(Tableau!$H$16-Q66)^2)</f>
        <v>28816.766810544839</v>
      </c>
      <c r="AD66" s="111">
        <f>SQRT((Tableau!$G$25-P66)^2+(Tableau!$H$25-Q66)^2)</f>
        <v>33257.283319612376</v>
      </c>
      <c r="AE66" s="112">
        <f>SQRT((Tableau!$G$35-P66)^2+(Tableau!$H$35-Q66)^2)</f>
        <v>6962.8324473199373</v>
      </c>
    </row>
    <row r="67" spans="2:31" x14ac:dyDescent="0.25">
      <c r="B67" s="18">
        <v>64</v>
      </c>
      <c r="C67" s="19">
        <f>Tableau!$G$17*COS(B67*PI()/180)+Tableau!$G$16</f>
        <v>22191.855733945387</v>
      </c>
      <c r="D67" s="19">
        <f>Tableau!$G$17*SIN(B67*PI()/180)+Tableau!$H$16</f>
        <v>11993.970231495834</v>
      </c>
      <c r="F67" s="26">
        <v>64</v>
      </c>
      <c r="G67" s="27">
        <f>Tableau!$G$26*COS(F67*PI()/180)+Tableau!$G$25</f>
        <v>-18465.700986238229</v>
      </c>
      <c r="H67" s="27">
        <f>Tableau!$G$26*SIN(F67*PI()/180)+Tableau!$H$25</f>
        <v>13145.779162047085</v>
      </c>
      <c r="J67" s="34">
        <v>64</v>
      </c>
      <c r="K67" s="35">
        <f>Tableau!$G$36*COS(J67*PI()/180)+Tableau!$G$35</f>
        <v>-2808.1442660546127</v>
      </c>
      <c r="L67" s="35">
        <f>Tableau!$G$36*SIN(J67*PI()/180)+Tableau!$H$35</f>
        <v>-10506.029768504166</v>
      </c>
      <c r="N67" s="98">
        <v>63</v>
      </c>
      <c r="O67" s="99">
        <v>31.5</v>
      </c>
      <c r="P67" s="101">
        <f>P66+R66*Tableau!$G$2+((1/2)*T66)*Tableau!$G$2^2</f>
        <v>-425.6791403939194</v>
      </c>
      <c r="Q67" s="101">
        <f>Q66+S66*Tableau!$G$2+((1/2)*U66)*Tableau!$G$2^2</f>
        <v>-17841.986679037112</v>
      </c>
      <c r="R67" s="101">
        <f>R66+T66*Tableau!$G$2</f>
        <v>-5222.5979977055849</v>
      </c>
      <c r="S67" s="101">
        <f>S66+U66*Tableau!$G$2</f>
        <v>-5606.3628004281973</v>
      </c>
      <c r="T67" s="101">
        <f t="shared" si="0"/>
        <v>-1447.5829892571762</v>
      </c>
      <c r="U67" s="101">
        <f t="shared" si="1"/>
        <v>1470.9152354643256</v>
      </c>
      <c r="V67" s="101">
        <f>((Tableau!$G$16-P67)/(AC67^2+Tableau!$G$21^2)^(3/2))*Tableau!$G$20</f>
        <v>270.90144994807162</v>
      </c>
      <c r="W67" s="101">
        <f>((Tableau!$H$16-Q67)/(AC67^2+Tableau!$G$21^2)^(3/2))*Tableau!$G$20</f>
        <v>336.10539403506323</v>
      </c>
      <c r="X67" s="101">
        <f>((Tableau!$G$25-P67)/(AD67^2+Tableau!$G$30^2)^(3/2))*Tableau!$G$29</f>
        <v>-83.799285755929859</v>
      </c>
      <c r="Y67" s="101">
        <f>((Tableau!$H$25-Q67)/(AD67^2+Tableau!$G$30^2)^(3/2))*Tableau!$G$29</f>
        <v>119.19384659439859</v>
      </c>
      <c r="Z67" s="101">
        <f>((Tableau!$G$35-P67)/(AE67^2+Tableau!$G$40^2)^(3/2))*Tableau!$G$39</f>
        <v>-1634.685153449318</v>
      </c>
      <c r="AA67" s="102">
        <f>((Tableau!$H$35-Q67)/(AE67^2+Tableau!$G$40^2)^(3/2))*Tableau!$G$39</f>
        <v>1015.615994834864</v>
      </c>
      <c r="AC67" s="113">
        <f>SQRT((Tableau!$G$16-P67)^2+(Tableau!$H$16-Q67)^2)</f>
        <v>32548.804235898097</v>
      </c>
      <c r="AD67" s="114">
        <f>SQRT((Tableau!$G$25-P67)^2+(Tableau!$H$25-Q67)^2)</f>
        <v>34034.251267664018</v>
      </c>
      <c r="AE67" s="115">
        <f>SQRT((Tableau!$G$35-P67)^2+(Tableau!$H$35-Q67)^2)</f>
        <v>5385.2854715838148</v>
      </c>
    </row>
    <row r="68" spans="2:31" x14ac:dyDescent="0.25">
      <c r="B68" s="20">
        <v>65</v>
      </c>
      <c r="C68" s="21">
        <f>Tableau!$G$17*COS(B68*PI()/180)+Tableau!$G$16</f>
        <v>22113.091308703497</v>
      </c>
      <c r="D68" s="21">
        <f>Tableau!$G$17*SIN(B68*PI()/180)+Tableau!$H$16</f>
        <v>12031.538935183249</v>
      </c>
      <c r="F68" s="28">
        <v>65</v>
      </c>
      <c r="G68" s="29">
        <f>Tableau!$G$26*COS(F68*PI()/180)+Tableau!$G$25</f>
        <v>-18520.83608390755</v>
      </c>
      <c r="H68" s="29">
        <f>Tableau!$G$26*SIN(F68*PI()/180)+Tableau!$H$25</f>
        <v>13172.077254628275</v>
      </c>
      <c r="J68" s="36">
        <v>65</v>
      </c>
      <c r="K68" s="37">
        <f>Tableau!$G$36*COS(J68*PI()/180)+Tableau!$G$35</f>
        <v>-2886.9086912965026</v>
      </c>
      <c r="L68" s="37">
        <f>Tableau!$G$36*SIN(J68*PI()/180)+Tableau!$H$35</f>
        <v>-10468.461064816751</v>
      </c>
      <c r="N68" s="92">
        <v>64</v>
      </c>
      <c r="O68" s="93">
        <v>32</v>
      </c>
      <c r="P68" s="96">
        <f>P67+R67*Tableau!$G$2+((1/2)*T67)*Tableau!$G$2^2</f>
        <v>-3217.9260129038589</v>
      </c>
      <c r="Q68" s="96">
        <f>Q67+S67*Tableau!$G$2+((1/2)*U67)*Tableau!$G$2^2</f>
        <v>-20461.303674818173</v>
      </c>
      <c r="R68" s="96">
        <f>R67+T67*Tableau!$G$2</f>
        <v>-5946.3894923341732</v>
      </c>
      <c r="S68" s="96">
        <f>S67+U67*Tableau!$G$2</f>
        <v>-4870.9051826960349</v>
      </c>
      <c r="T68" s="96">
        <f t="shared" ref="T68:T131" si="2">V68+X68+Z68</f>
        <v>-448.86298423602335</v>
      </c>
      <c r="U68" s="96">
        <f t="shared" ref="U68:U131" si="3">W68+Y68+AA68</f>
        <v>2260.1470438328411</v>
      </c>
      <c r="V68" s="96">
        <f>((Tableau!$G$16-P68)/(AC68^2+Tableau!$G$21^2)^(3/2))*Tableau!$G$20</f>
        <v>226.97276684530431</v>
      </c>
      <c r="W68" s="96">
        <f>((Tableau!$H$16-Q68)/(AC68^2+Tableau!$G$21^2)^(3/2))*Tableau!$G$20</f>
        <v>273.34286689293776</v>
      </c>
      <c r="X68" s="96">
        <f>((Tableau!$G$25-P68)/(AD68^2+Tableau!$G$30^2)^(3/2))*Tableau!$G$29</f>
        <v>-67.506177626499834</v>
      </c>
      <c r="Y68" s="96">
        <f>((Tableau!$H$25-Q68)/(AD68^2+Tableau!$G$30^2)^(3/2))*Tableau!$G$29</f>
        <v>122.53111136252598</v>
      </c>
      <c r="Z68" s="96">
        <f>((Tableau!$G$35-P68)/(AE68^2+Tableau!$G$40^2)^(3/2))*Tableau!$G$39</f>
        <v>-608.32957345482782</v>
      </c>
      <c r="AA68" s="97">
        <f>((Tableau!$H$35-Q68)/(AE68^2+Tableau!$G$40^2)^(3/2))*Tableau!$G$39</f>
        <v>1864.2730655773773</v>
      </c>
      <c r="AC68" s="110">
        <f>SQRT((Tableau!$G$16-P68)^2+(Tableau!$H$16-Q68)^2)</f>
        <v>36344.278663031379</v>
      </c>
      <c r="AD68" s="111">
        <f>SQRT((Tableau!$G$25-P68)^2+(Tableau!$H$25-Q68)^2)</f>
        <v>34778.28386907353</v>
      </c>
      <c r="AE68" s="112">
        <f>SQRT((Tableau!$G$35-P68)^2+(Tableau!$H$35-Q68)^2)</f>
        <v>5744.7041285054202</v>
      </c>
    </row>
    <row r="69" spans="2:31" x14ac:dyDescent="0.25">
      <c r="B69" s="18">
        <v>66</v>
      </c>
      <c r="C69" s="19">
        <f>Tableau!$G$17*COS(B69*PI()/180)+Tableau!$G$16</f>
        <v>22033.683215379002</v>
      </c>
      <c r="D69" s="19">
        <f>Tableau!$G$17*SIN(B69*PI()/180)+Tableau!$H$16</f>
        <v>12067.727288213006</v>
      </c>
      <c r="F69" s="26">
        <v>66</v>
      </c>
      <c r="G69" s="27">
        <f>Tableau!$G$26*COS(F69*PI()/180)+Tableau!$G$25</f>
        <v>-18576.421749234698</v>
      </c>
      <c r="H69" s="27">
        <f>Tableau!$G$26*SIN(F69*PI()/180)+Tableau!$H$25</f>
        <v>13197.409101749103</v>
      </c>
      <c r="J69" s="34">
        <v>66</v>
      </c>
      <c r="K69" s="35">
        <f>Tableau!$G$36*COS(J69*PI()/180)+Tableau!$G$35</f>
        <v>-2966.316784620999</v>
      </c>
      <c r="L69" s="35">
        <f>Tableau!$G$36*SIN(J69*PI()/180)+Tableau!$H$35</f>
        <v>-10432.272711786994</v>
      </c>
      <c r="N69" s="98">
        <v>65</v>
      </c>
      <c r="O69" s="99">
        <v>32.5</v>
      </c>
      <c r="P69" s="101">
        <f>P68+R68*Tableau!$G$2+((1/2)*T68)*Tableau!$G$2^2</f>
        <v>-6247.2286321004485</v>
      </c>
      <c r="Q69" s="101">
        <f>Q68+S68*Tableau!$G$2+((1/2)*U68)*Tableau!$G$2^2</f>
        <v>-22614.237885687086</v>
      </c>
      <c r="R69" s="101">
        <f>R68+T68*Tableau!$G$2</f>
        <v>-6170.8209844521853</v>
      </c>
      <c r="S69" s="101">
        <f>S68+U68*Tableau!$G$2</f>
        <v>-3740.8316607796141</v>
      </c>
      <c r="T69" s="101">
        <f t="shared" si="2"/>
        <v>468.31144157512085</v>
      </c>
      <c r="U69" s="101">
        <f t="shared" si="3"/>
        <v>2329.0712400284992</v>
      </c>
      <c r="V69" s="101">
        <f>((Tableau!$G$16-P69)/(AC69^2+Tableau!$G$21^2)^(3/2))*Tableau!$G$20</f>
        <v>196.80047766972135</v>
      </c>
      <c r="W69" s="101">
        <f>((Tableau!$H$16-Q69)/(AC69^2+Tableau!$G$21^2)^(3/2))*Tableau!$G$20</f>
        <v>225.79512997858802</v>
      </c>
      <c r="X69" s="101">
        <f>((Tableau!$G$25-P69)/(AD69^2+Tableau!$G$30^2)^(3/2))*Tableau!$G$29</f>
        <v>-52.583917381693695</v>
      </c>
      <c r="Y69" s="101">
        <f>((Tableau!$H$25-Q69)/(AD69^2+Tableau!$G$30^2)^(3/2))*Tableau!$G$29</f>
        <v>124.70100349743558</v>
      </c>
      <c r="Z69" s="101">
        <f>((Tableau!$G$35-P69)/(AE69^2+Tableau!$G$40^2)^(3/2))*Tableau!$G$39</f>
        <v>324.09488128709319</v>
      </c>
      <c r="AA69" s="102">
        <f>((Tableau!$H$35-Q69)/(AE69^2+Tableau!$G$40^2)^(3/2))*Tableau!$G$39</f>
        <v>1978.5751065524755</v>
      </c>
      <c r="AC69" s="113">
        <f>SQRT((Tableau!$G$16-P69)^2+(Tableau!$H$16-Q69)^2)</f>
        <v>39947.269422346064</v>
      </c>
      <c r="AD69" s="114">
        <f>SQRT((Tableau!$G$25-P69)^2+(Tableau!$H$25-Q69)^2)</f>
        <v>35395.299591356823</v>
      </c>
      <c r="AE69" s="115">
        <f>SQRT((Tableau!$G$35-P69)^2+(Tableau!$H$35-Q69)^2)</f>
        <v>7715.7111040113268</v>
      </c>
    </row>
    <row r="70" spans="2:31" x14ac:dyDescent="0.25">
      <c r="B70" s="20">
        <v>67</v>
      </c>
      <c r="C70" s="21">
        <f>Tableau!$G$17*COS(B70*PI()/180)+Tableau!$G$16</f>
        <v>21953.655642446371</v>
      </c>
      <c r="D70" s="21">
        <f>Tableau!$G$17*SIN(B70*PI()/180)+Tableau!$H$16</f>
        <v>12102.524267262201</v>
      </c>
      <c r="F70" s="28">
        <v>67</v>
      </c>
      <c r="G70" s="29">
        <f>Tableau!$G$26*COS(F70*PI()/180)+Tableau!$G$25</f>
        <v>-18632.44105028754</v>
      </c>
      <c r="H70" s="29">
        <f>Tableau!$G$26*SIN(F70*PI()/180)+Tableau!$H$25</f>
        <v>13221.766987083542</v>
      </c>
      <c r="J70" s="36">
        <v>67</v>
      </c>
      <c r="K70" s="37">
        <f>Tableau!$G$36*COS(J70*PI()/180)+Tableau!$G$35</f>
        <v>-3046.3443575536303</v>
      </c>
      <c r="L70" s="37">
        <f>Tableau!$G$36*SIN(J70*PI()/180)+Tableau!$H$35</f>
        <v>-10397.475732737799</v>
      </c>
      <c r="N70" s="92">
        <v>66</v>
      </c>
      <c r="O70" s="93">
        <v>33</v>
      </c>
      <c r="P70" s="96">
        <f>P69+R69*Tableau!$G$2+((1/2)*T69)*Tableau!$G$2^2</f>
        <v>-9274.1001941296508</v>
      </c>
      <c r="Q70" s="96">
        <f>Q69+S69*Tableau!$G$2+((1/2)*U69)*Tableau!$G$2^2</f>
        <v>-24193.519811073329</v>
      </c>
      <c r="R70" s="96">
        <f>R69+T69*Tableau!$G$2</f>
        <v>-5936.6652636646249</v>
      </c>
      <c r="S70" s="96">
        <f>S69+U69*Tableau!$G$2</f>
        <v>-2576.2960407653645</v>
      </c>
      <c r="T70" s="96">
        <f t="shared" si="2"/>
        <v>911.83473911861824</v>
      </c>
      <c r="U70" s="96">
        <f t="shared" si="3"/>
        <v>1984.0960643035562</v>
      </c>
      <c r="V70" s="96">
        <f>((Tableau!$G$16-P70)/(AC70^2+Tableau!$G$21^2)^(3/2))*Tableau!$G$20</f>
        <v>176.44753827845304</v>
      </c>
      <c r="W70" s="96">
        <f>((Tableau!$H$16-Q70)/(AC70^2+Tableau!$G$21^2)^(3/2))*Tableau!$G$20</f>
        <v>191.03041640763007</v>
      </c>
      <c r="X70" s="96">
        <f>((Tableau!$G$25-P70)/(AD70^2+Tableau!$G$30^2)^(3/2))*Tableau!$G$29</f>
        <v>-39.569734243219258</v>
      </c>
      <c r="Y70" s="96">
        <f>((Tableau!$H$25-Q70)/(AD70^2+Tableau!$G$30^2)^(3/2))*Tableau!$G$29</f>
        <v>126.14591934038988</v>
      </c>
      <c r="Z70" s="96">
        <f>((Tableau!$G$35-P70)/(AE70^2+Tableau!$G$40^2)^(3/2))*Tableau!$G$39</f>
        <v>774.95693508338445</v>
      </c>
      <c r="AA70" s="97">
        <f>((Tableau!$H$35-Q70)/(AE70^2+Tableau!$G$40^2)^(3/2))*Tableau!$G$39</f>
        <v>1666.9197285555363</v>
      </c>
      <c r="AC70" s="110">
        <f>SQRT((Tableau!$G$16-P70)^2+(Tableau!$H$16-Q70)^2)</f>
        <v>43144.549368267129</v>
      </c>
      <c r="AD70" s="111">
        <f>SQRT((Tableau!$G$25-P70)^2+(Tableau!$H$25-Q70)^2)</f>
        <v>35836.318501149559</v>
      </c>
      <c r="AE70" s="112">
        <f>SQRT((Tableau!$G$35-P70)^2+(Tableau!$H$35-Q70)^2)</f>
        <v>10138.478139546236</v>
      </c>
    </row>
    <row r="71" spans="2:31" x14ac:dyDescent="0.25">
      <c r="B71" s="18">
        <v>68</v>
      </c>
      <c r="C71" s="19">
        <f>Tableau!$G$17*COS(B71*PI()/180)+Tableau!$G$16</f>
        <v>21873.032967079558</v>
      </c>
      <c r="D71" s="19">
        <f>Tableau!$G$17*SIN(B71*PI()/180)+Tableau!$H$16</f>
        <v>12135.919272833937</v>
      </c>
      <c r="F71" s="26">
        <v>68</v>
      </c>
      <c r="G71" s="27">
        <f>Tableau!$G$26*COS(F71*PI()/180)+Tableau!$G$25</f>
        <v>-18688.876923044307</v>
      </c>
      <c r="H71" s="27">
        <f>Tableau!$G$26*SIN(F71*PI()/180)+Tableau!$H$25</f>
        <v>13245.143490983755</v>
      </c>
      <c r="J71" s="34">
        <v>68</v>
      </c>
      <c r="K71" s="35">
        <f>Tableau!$G$36*COS(J71*PI()/180)+Tableau!$G$35</f>
        <v>-3126.96703292044</v>
      </c>
      <c r="L71" s="35">
        <f>Tableau!$G$36*SIN(J71*PI()/180)+Tableau!$H$35</f>
        <v>-10364.080727166063</v>
      </c>
      <c r="N71" s="98">
        <v>67</v>
      </c>
      <c r="O71" s="99">
        <v>33.5</v>
      </c>
      <c r="P71" s="101">
        <f>P70+R70*Tableau!$G$2+((1/2)*T70)*Tableau!$G$2^2</f>
        <v>-12128.453483572135</v>
      </c>
      <c r="Q71" s="101">
        <f>Q70+S70*Tableau!$G$2+((1/2)*U70)*Tableau!$G$2^2</f>
        <v>-25233.655823418067</v>
      </c>
      <c r="R71" s="101">
        <f>R70+T70*Tableau!$G$2</f>
        <v>-5480.7478941053159</v>
      </c>
      <c r="S71" s="101">
        <f>S70+U70*Tableau!$G$2</f>
        <v>-1584.2480086135865</v>
      </c>
      <c r="T71" s="101">
        <f t="shared" si="2"/>
        <v>1047.8762818831856</v>
      </c>
      <c r="U71" s="101">
        <f t="shared" si="3"/>
        <v>1604.6095477424703</v>
      </c>
      <c r="V71" s="101">
        <f>((Tableau!$G$16-P71)/(AC71^2+Tableau!$G$21^2)^(3/2))*Tableau!$G$20</f>
        <v>162.61138261507372</v>
      </c>
      <c r="W71" s="101">
        <f>((Tableau!$H$16-Q71)/(AC71^2+Tableau!$G$21^2)^(3/2))*Tableau!$G$20</f>
        <v>165.67448645524283</v>
      </c>
      <c r="X71" s="101">
        <f>((Tableau!$G$25-P71)/(AD71^2+Tableau!$G$30^2)^(3/2))*Tableau!$G$29</f>
        <v>-28.425536793626577</v>
      </c>
      <c r="Y71" s="101">
        <f>((Tableau!$H$25-Q71)/(AD71^2+Tableau!$G$30^2)^(3/2))*Tableau!$G$29</f>
        <v>127.23491856299744</v>
      </c>
      <c r="Z71" s="101">
        <f>((Tableau!$G$35-P71)/(AE71^2+Tableau!$G$40^2)^(3/2))*Tableau!$G$39</f>
        <v>913.69043606173852</v>
      </c>
      <c r="AA71" s="102">
        <f>((Tableau!$H$35-Q71)/(AE71^2+Tableau!$G$40^2)^(3/2))*Tableau!$G$39</f>
        <v>1311.7001427242301</v>
      </c>
      <c r="AC71" s="113">
        <f>SQRT((Tableau!$G$16-P71)^2+(Tableau!$H$16-Q71)^2)</f>
        <v>45866.433770373405</v>
      </c>
      <c r="AD71" s="114">
        <f>SQRT((Tableau!$G$25-P71)^2+(Tableau!$H$25-Q71)^2)</f>
        <v>36102.240197020597</v>
      </c>
      <c r="AE71" s="115">
        <f>SQRT((Tableau!$G$35-P71)^2+(Tableau!$H$35-Q71)^2)</f>
        <v>12471.670320355259</v>
      </c>
    </row>
    <row r="72" spans="2:31" x14ac:dyDescent="0.25">
      <c r="B72" s="20">
        <v>69</v>
      </c>
      <c r="C72" s="21">
        <f>Tableau!$G$17*COS(B72*PI()/180)+Tableau!$G$16</f>
        <v>21791.839747726503</v>
      </c>
      <c r="D72" s="21">
        <f>Tableau!$G$17*SIN(B72*PI()/180)+Tableau!$H$16</f>
        <v>12167.902132486008</v>
      </c>
      <c r="F72" s="28">
        <v>69</v>
      </c>
      <c r="G72" s="29">
        <f>Tableau!$G$26*COS(F72*PI()/180)+Tableau!$G$25</f>
        <v>-18745.712176591449</v>
      </c>
      <c r="H72" s="29">
        <f>Tableau!$G$26*SIN(F72*PI()/180)+Tableau!$H$25</f>
        <v>13267.531492740207</v>
      </c>
      <c r="J72" s="36">
        <v>69</v>
      </c>
      <c r="K72" s="37">
        <f>Tableau!$G$36*COS(J72*PI()/180)+Tableau!$G$35</f>
        <v>-3208.1602522734984</v>
      </c>
      <c r="L72" s="37">
        <f>Tableau!$G$36*SIN(J72*PI()/180)+Tableau!$H$35</f>
        <v>-10332.097867513992</v>
      </c>
      <c r="N72" s="92">
        <v>68</v>
      </c>
      <c r="O72" s="93">
        <v>34</v>
      </c>
      <c r="P72" s="96">
        <f>P71+R71*Tableau!$G$2+((1/2)*T71)*Tableau!$G$2^2</f>
        <v>-14737.842895389394</v>
      </c>
      <c r="Q72" s="96">
        <f>Q71+S71*Tableau!$G$2+((1/2)*U71)*Tableau!$G$2^2</f>
        <v>-25825.20363425705</v>
      </c>
      <c r="R72" s="96">
        <f>R71+T71*Tableau!$G$2</f>
        <v>-4956.8097531637231</v>
      </c>
      <c r="S72" s="96">
        <f>S71+U71*Tableau!$G$2</f>
        <v>-781.94323474235136</v>
      </c>
      <c r="T72" s="96">
        <f t="shared" si="2"/>
        <v>1059.341094988042</v>
      </c>
      <c r="U72" s="96">
        <f t="shared" si="3"/>
        <v>1303.5269042653235</v>
      </c>
      <c r="V72" s="96">
        <f>((Tableau!$G$16-P72)/(AC72^2+Tableau!$G$21^2)^(3/2))*Tableau!$G$20</f>
        <v>153.04148256873981</v>
      </c>
      <c r="W72" s="96">
        <f>((Tableau!$H$16-Q72)/(AC72^2+Tableau!$G$21^2)^(3/2))*Tableau!$G$20</f>
        <v>146.81794106935678</v>
      </c>
      <c r="X72" s="96">
        <f>((Tableau!$G$25-P72)/(AD72^2+Tableau!$G$30^2)^(3/2))*Tableau!$G$29</f>
        <v>-18.840103411330794</v>
      </c>
      <c r="Y72" s="96">
        <f>((Tableau!$H$25-Q72)/(AD72^2+Tableau!$G$30^2)^(3/2))*Tableau!$G$29</f>
        <v>128.26499243247741</v>
      </c>
      <c r="Z72" s="96">
        <f>((Tableau!$G$35-P72)/(AE72^2+Tableau!$G$40^2)^(3/2))*Tableau!$G$39</f>
        <v>925.13971583063301</v>
      </c>
      <c r="AA72" s="97">
        <f>((Tableau!$H$35-Q72)/(AE72^2+Tableau!$G$40^2)^(3/2))*Tableau!$G$39</f>
        <v>1028.4439707634895</v>
      </c>
      <c r="AC72" s="110">
        <f>SQRT((Tableau!$G$16-P72)^2+(Tableau!$H$16-Q72)^2)</f>
        <v>48138.206513012658</v>
      </c>
      <c r="AD72" s="111">
        <f>SQRT((Tableau!$G$25-P72)^2+(Tableau!$H$25-Q72)^2)</f>
        <v>36209.605256472882</v>
      </c>
      <c r="AE72" s="112">
        <f>SQRT((Tableau!$G$35-P72)^2+(Tableau!$H$35-Q72)^2)</f>
        <v>14560.5843968715</v>
      </c>
    </row>
    <row r="73" spans="2:31" x14ac:dyDescent="0.25">
      <c r="B73" s="18">
        <v>70</v>
      </c>
      <c r="C73" s="19">
        <f>Tableau!$G$17*COS(B73*PI()/180)+Tableau!$G$16</f>
        <v>21710.100716628345</v>
      </c>
      <c r="D73" s="19">
        <f>Tableau!$G$17*SIN(B73*PI()/180)+Tableau!$H$16</f>
        <v>12198.463103929542</v>
      </c>
      <c r="F73" s="26">
        <v>70</v>
      </c>
      <c r="G73" s="27">
        <f>Tableau!$G$26*COS(F73*PI()/180)+Tableau!$G$25</f>
        <v>-18802.929498360158</v>
      </c>
      <c r="H73" s="27">
        <f>Tableau!$G$26*SIN(F73*PI()/180)+Tableau!$H$25</f>
        <v>13288.92417275068</v>
      </c>
      <c r="J73" s="34">
        <v>70</v>
      </c>
      <c r="K73" s="35">
        <f>Tableau!$G$36*COS(J73*PI()/180)+Tableau!$G$35</f>
        <v>-3289.8992833716557</v>
      </c>
      <c r="L73" s="35">
        <f>Tableau!$G$36*SIN(J73*PI()/180)+Tableau!$H$35</f>
        <v>-10301.536896070458</v>
      </c>
      <c r="N73" s="98">
        <v>69</v>
      </c>
      <c r="O73" s="99">
        <v>34.5</v>
      </c>
      <c r="P73" s="101">
        <f>P72+R72*Tableau!$G$2+((1/2)*T72)*Tableau!$G$2^2</f>
        <v>-17083.830135097749</v>
      </c>
      <c r="Q73" s="101">
        <f>Q72+S72*Tableau!$G$2+((1/2)*U72)*Tableau!$G$2^2</f>
        <v>-26053.234388595061</v>
      </c>
      <c r="R73" s="101">
        <f>R72+T72*Tableau!$G$2</f>
        <v>-4427.1392056697023</v>
      </c>
      <c r="S73" s="101">
        <f>S72+U72*Tableau!$G$2</f>
        <v>-130.1797826096896</v>
      </c>
      <c r="T73" s="101">
        <f t="shared" si="2"/>
        <v>1031.4518037136324</v>
      </c>
      <c r="U73" s="101">
        <f t="shared" si="3"/>
        <v>1081.090608146734</v>
      </c>
      <c r="V73" s="101">
        <f>((Tableau!$G$16-P73)/(AC73^2+Tableau!$G$21^2)^(3/2))*Tableau!$G$20</f>
        <v>146.37441236190799</v>
      </c>
      <c r="W73" s="101">
        <f>((Tableau!$H$16-Q73)/(AC73^2+Tableau!$G$21^2)^(3/2))*Tableau!$G$20</f>
        <v>132.43871920941803</v>
      </c>
      <c r="X73" s="101">
        <f>((Tableau!$G$25-P73)/(AD73^2+Tableau!$G$30^2)^(3/2))*Tableau!$G$29</f>
        <v>-10.473038629230357</v>
      </c>
      <c r="Y73" s="101">
        <f>((Tableau!$H$25-Q73)/(AD73^2+Tableau!$G$30^2)^(3/2))*Tableau!$G$29</f>
        <v>129.480426022134</v>
      </c>
      <c r="Z73" s="101">
        <f>((Tableau!$G$35-P73)/(AE73^2+Tableau!$G$40^2)^(3/2))*Tableau!$G$39</f>
        <v>895.55042998095485</v>
      </c>
      <c r="AA73" s="102">
        <f>((Tableau!$H$35-Q73)/(AE73^2+Tableau!$G$40^2)^(3/2))*Tableau!$G$39</f>
        <v>819.17146291518202</v>
      </c>
      <c r="AC73" s="113">
        <f>SQRT((Tableau!$G$16-P73)^2+(Tableau!$H$16-Q73)^2)</f>
        <v>50010.298893575731</v>
      </c>
      <c r="AD73" s="114">
        <f>SQRT((Tableau!$G$25-P73)^2+(Tableau!$H$25-Q73)^2)</f>
        <v>36170.979480239919</v>
      </c>
      <c r="AE73" s="115">
        <f>SQRT((Tableau!$G$35-P73)^2+(Tableau!$H$35-Q73)^2)</f>
        <v>16376.59736279539</v>
      </c>
    </row>
    <row r="74" spans="2:31" x14ac:dyDescent="0.25">
      <c r="B74" s="20">
        <v>71</v>
      </c>
      <c r="C74" s="21">
        <f>Tableau!$G$17*COS(B74*PI()/180)+Tableau!$G$16</f>
        <v>21627.840772285785</v>
      </c>
      <c r="D74" s="21">
        <f>Tableau!$G$17*SIN(B74*PI()/180)+Tableau!$H$16</f>
        <v>12227.592877996583</v>
      </c>
      <c r="F74" s="28">
        <v>71</v>
      </c>
      <c r="G74" s="29">
        <f>Tableau!$G$26*COS(F74*PI()/180)+Tableau!$G$25</f>
        <v>-18860.51145939995</v>
      </c>
      <c r="H74" s="29">
        <f>Tableau!$G$26*SIN(F74*PI()/180)+Tableau!$H$25</f>
        <v>13309.315014597609</v>
      </c>
      <c r="J74" s="36">
        <v>71</v>
      </c>
      <c r="K74" s="37">
        <f>Tableau!$G$36*COS(J74*PI()/180)+Tableau!$G$35</f>
        <v>-3372.1592277142163</v>
      </c>
      <c r="L74" s="37">
        <f>Tableau!$G$36*SIN(J74*PI()/180)+Tableau!$H$35</f>
        <v>-10272.407122003417</v>
      </c>
      <c r="N74" s="92">
        <v>70</v>
      </c>
      <c r="O74" s="93">
        <v>35</v>
      </c>
      <c r="P74" s="96">
        <f>P73+R73*Tableau!$G$2+((1/2)*T73)*Tableau!$G$2^2</f>
        <v>-19168.468262468396</v>
      </c>
      <c r="Q74" s="96">
        <f>Q73+S73*Tableau!$G$2+((1/2)*U73)*Tableau!$G$2^2</f>
        <v>-25983.187953881563</v>
      </c>
      <c r="R74" s="96">
        <f>R73+T73*Tableau!$G$2</f>
        <v>-3911.4133038128862</v>
      </c>
      <c r="S74" s="96">
        <f>S73+U73*Tableau!$G$2</f>
        <v>410.3655214636774</v>
      </c>
      <c r="T74" s="96">
        <f t="shared" si="2"/>
        <v>996.43669808538607</v>
      </c>
      <c r="U74" s="96">
        <f t="shared" si="3"/>
        <v>917.15522905394346</v>
      </c>
      <c r="V74" s="96">
        <f>((Tableau!$G$16-P74)/(AC74^2+Tableau!$G$21^2)^(3/2))*Tableau!$G$20</f>
        <v>141.80239919341182</v>
      </c>
      <c r="W74" s="96">
        <f>((Tableau!$H$16-Q74)/(AC74^2+Tableau!$G$21^2)^(3/2))*Tableau!$G$20</f>
        <v>121.219863709961</v>
      </c>
      <c r="X74" s="96">
        <f>((Tableau!$G$25-P74)/(AD74^2+Tableau!$G$30^2)^(3/2))*Tableau!$G$29</f>
        <v>-3.0292801719619327</v>
      </c>
      <c r="Y74" s="96">
        <f>((Tableau!$H$25-Q74)/(AD74^2+Tableau!$G$30^2)^(3/2))*Tableau!$G$29</f>
        <v>131.08718870580682</v>
      </c>
      <c r="Z74" s="96">
        <f>((Tableau!$G$35-P74)/(AE74^2+Tableau!$G$40^2)^(3/2))*Tableau!$G$39</f>
        <v>857.66357906393625</v>
      </c>
      <c r="AA74" s="97">
        <f>((Tableau!$H$35-Q74)/(AE74^2+Tableau!$G$40^2)^(3/2))*Tableau!$G$39</f>
        <v>664.84817663817557</v>
      </c>
      <c r="AC74" s="110">
        <f>SQRT((Tableau!$G$16-P74)^2+(Tableau!$H$16-Q74)^2)</f>
        <v>51529.533100766137</v>
      </c>
      <c r="AD74" s="111">
        <f>SQRT((Tableau!$G$25-P74)^2+(Tableau!$H$25-Q74)^2)</f>
        <v>35992.794561618713</v>
      </c>
      <c r="AE74" s="112">
        <f>SQRT((Tableau!$G$35-P74)^2+(Tableau!$H$35-Q74)^2)</f>
        <v>17926.960437700061</v>
      </c>
    </row>
    <row r="75" spans="2:31" x14ac:dyDescent="0.25">
      <c r="B75" s="18">
        <v>72</v>
      </c>
      <c r="C75" s="19">
        <f>Tableau!$G$17*COS(B75*PI()/180)+Tableau!$G$16</f>
        <v>21545.084971874738</v>
      </c>
      <c r="D75" s="19">
        <f>Tableau!$G$17*SIN(B75*PI()/180)+Tableau!$H$16</f>
        <v>12255.282581475767</v>
      </c>
      <c r="F75" s="26">
        <v>72</v>
      </c>
      <c r="G75" s="27">
        <f>Tableau!$G$26*COS(F75*PI()/180)+Tableau!$G$25</f>
        <v>-18918.440519687683</v>
      </c>
      <c r="H75" s="27">
        <f>Tableau!$G$26*SIN(F75*PI()/180)+Tableau!$H$25</f>
        <v>13328.697807033037</v>
      </c>
      <c r="J75" s="34">
        <v>72</v>
      </c>
      <c r="K75" s="35">
        <f>Tableau!$G$36*COS(J75*PI()/180)+Tableau!$G$35</f>
        <v>-3454.9150281252628</v>
      </c>
      <c r="L75" s="35">
        <f>Tableau!$G$36*SIN(J75*PI()/180)+Tableau!$H$35</f>
        <v>-10244.717418524233</v>
      </c>
      <c r="N75" s="98">
        <v>71</v>
      </c>
      <c r="O75" s="99">
        <v>35.5</v>
      </c>
      <c r="P75" s="101">
        <f>P74+R74*Tableau!$G$2+((1/2)*T74)*Tableau!$G$2^2</f>
        <v>-20999.620327114164</v>
      </c>
      <c r="Q75" s="101">
        <f>Q74+S74*Tableau!$G$2+((1/2)*U74)*Tableau!$G$2^2</f>
        <v>-25663.360789517981</v>
      </c>
      <c r="R75" s="101">
        <f>R74+T74*Tableau!$G$2</f>
        <v>-3413.1949547701934</v>
      </c>
      <c r="S75" s="101">
        <f>S74+U74*Tableau!$G$2</f>
        <v>868.94313599064913</v>
      </c>
      <c r="T75" s="101">
        <f t="shared" si="2"/>
        <v>965.54566368216513</v>
      </c>
      <c r="U75" s="101">
        <f t="shared" si="3"/>
        <v>794.06241656197813</v>
      </c>
      <c r="V75" s="101">
        <f>((Tableau!$G$16-P75)/(AC75^2+Tableau!$G$21^2)^(3/2))*Tableau!$G$20</f>
        <v>138.83977880632523</v>
      </c>
      <c r="W75" s="101">
        <f>((Tableau!$H$16-Q75)/(AC75^2+Tableau!$G$21^2)^(3/2))*Tableau!$G$20</f>
        <v>112.30332475654721</v>
      </c>
      <c r="X75" s="101">
        <f>((Tableau!$G$25-P75)/(AD75^2+Tableau!$G$30^2)^(3/2))*Tableau!$G$29</f>
        <v>3.7354459996391043</v>
      </c>
      <c r="Y75" s="101">
        <f>((Tableau!$H$25-Q75)/(AD75^2+Tableau!$G$30^2)^(3/2))*Tableau!$G$29</f>
        <v>133.26915708035267</v>
      </c>
      <c r="Z75" s="101">
        <f>((Tableau!$G$35-P75)/(AE75^2+Tableau!$G$40^2)^(3/2))*Tableau!$G$39</f>
        <v>822.97043887620077</v>
      </c>
      <c r="AA75" s="102">
        <f>((Tableau!$H$35-Q75)/(AE75^2+Tableau!$G$40^2)^(3/2))*Tableau!$G$39</f>
        <v>548.48993472507823</v>
      </c>
      <c r="AC75" s="113">
        <f>SQRT((Tableau!$G$16-P75)^2+(Tableau!$H$16-Q75)^2)</f>
        <v>52733.076582191294</v>
      </c>
      <c r="AD75" s="114">
        <f>SQRT((Tableau!$G$25-P75)^2+(Tableau!$H$25-Q75)^2)</f>
        <v>35677.367386085374</v>
      </c>
      <c r="AE75" s="115">
        <f>SQRT((Tableau!$G$35-P75)^2+(Tableau!$H$35-Q75)^2)</f>
        <v>19227.457292612413</v>
      </c>
    </row>
    <row r="76" spans="2:31" x14ac:dyDescent="0.25">
      <c r="B76" s="20">
        <v>73</v>
      </c>
      <c r="C76" s="21">
        <f>Tableau!$G$17*COS(B76*PI()/180)+Tableau!$G$16</f>
        <v>21461.858523613682</v>
      </c>
      <c r="D76" s="21">
        <f>Tableau!$G$17*SIN(B76*PI()/180)+Tableau!$H$16</f>
        <v>12281.523779815177</v>
      </c>
      <c r="F76" s="28">
        <v>73</v>
      </c>
      <c r="G76" s="29">
        <f>Tableau!$G$26*COS(F76*PI()/180)+Tableau!$G$25</f>
        <v>-18976.699033470421</v>
      </c>
      <c r="H76" s="29">
        <f>Tableau!$G$26*SIN(F76*PI()/180)+Tableau!$H$25</f>
        <v>13347.066645870624</v>
      </c>
      <c r="J76" s="36">
        <v>73</v>
      </c>
      <c r="K76" s="37">
        <f>Tableau!$G$36*COS(J76*PI()/180)+Tableau!$G$35</f>
        <v>-3538.1414763863158</v>
      </c>
      <c r="L76" s="37">
        <f>Tableau!$G$36*SIN(J76*PI()/180)+Tableau!$H$35</f>
        <v>-10218.476220184823</v>
      </c>
      <c r="N76" s="92">
        <v>72</v>
      </c>
      <c r="O76" s="93">
        <v>36</v>
      </c>
      <c r="P76" s="96">
        <f>P75+R75*Tableau!$G$2+((1/2)*T75)*Tableau!$G$2^2</f>
        <v>-22585.524596538991</v>
      </c>
      <c r="Q76" s="96">
        <f>Q75+S75*Tableau!$G$2+((1/2)*U75)*Tableau!$G$2^2</f>
        <v>-25129.631419452409</v>
      </c>
      <c r="R76" s="96">
        <f>R75+T75*Tableau!$G$2</f>
        <v>-2930.4221229291106</v>
      </c>
      <c r="S76" s="96">
        <f>S75+U75*Tableau!$G$2</f>
        <v>1265.9743442716381</v>
      </c>
      <c r="T76" s="96">
        <f t="shared" si="2"/>
        <v>942.32528487011541</v>
      </c>
      <c r="U76" s="96">
        <f t="shared" si="3"/>
        <v>699.32310202263</v>
      </c>
      <c r="V76" s="96">
        <f>((Tableau!$G$16-P76)/(AC76^2+Tableau!$G$21^2)^(3/2))*Tableau!$G$20</f>
        <v>137.19096612530271</v>
      </c>
      <c r="W76" s="96">
        <f>((Tableau!$H$16-Q76)/(AC76^2+Tableau!$G$21^2)^(3/2))*Tableau!$G$20</f>
        <v>105.11765913788983</v>
      </c>
      <c r="X76" s="96">
        <f>((Tableau!$G$25-P76)/(AD76^2+Tableau!$G$30^2)^(3/2))*Tableau!$G$29</f>
        <v>10.02466823654057</v>
      </c>
      <c r="Y76" s="96">
        <f>((Tableau!$H$25-Q76)/(AD76^2+Tableau!$G$30^2)^(3/2))*Tableau!$G$29</f>
        <v>136.20558888643757</v>
      </c>
      <c r="Z76" s="96">
        <f>((Tableau!$G$35-P76)/(AE76^2+Tableau!$G$40^2)^(3/2))*Tableau!$G$39</f>
        <v>795.10965050827213</v>
      </c>
      <c r="AA76" s="97">
        <f>((Tableau!$H$35-Q76)/(AE76^2+Tableau!$G$40^2)^(3/2))*Tableau!$G$39</f>
        <v>457.99985399830263</v>
      </c>
      <c r="AC76" s="110">
        <f>SQRT((Tableau!$G$16-P76)^2+(Tableau!$H$16-Q76)^2)</f>
        <v>53649.04241206681</v>
      </c>
      <c r="AD76" s="111">
        <f>SQRT((Tableau!$G$25-P76)^2+(Tableau!$H$25-Q76)^2)</f>
        <v>35224.649623607133</v>
      </c>
      <c r="AE76" s="112">
        <f>SQRT((Tableau!$G$35-P76)^2+(Tableau!$H$35-Q76)^2)</f>
        <v>20294.336846259237</v>
      </c>
    </row>
    <row r="77" spans="2:31" x14ac:dyDescent="0.25">
      <c r="B77" s="18">
        <v>74</v>
      </c>
      <c r="C77" s="19">
        <f>Tableau!$G$17*COS(B77*PI()/180)+Tableau!$G$16</f>
        <v>21378.186779084997</v>
      </c>
      <c r="D77" s="19">
        <f>Tableau!$G$17*SIN(B77*PI()/180)+Tableau!$H$16</f>
        <v>12306.308479691594</v>
      </c>
      <c r="F77" s="26">
        <v>74</v>
      </c>
      <c r="G77" s="27">
        <f>Tableau!$G$26*COS(F77*PI()/180)+Tableau!$G$25</f>
        <v>-19035.269254640501</v>
      </c>
      <c r="H77" s="27">
        <f>Tableau!$G$26*SIN(F77*PI()/180)+Tableau!$H$25</f>
        <v>13364.415935784116</v>
      </c>
      <c r="J77" s="34">
        <v>74</v>
      </c>
      <c r="K77" s="35">
        <f>Tableau!$G$36*COS(J77*PI()/180)+Tableau!$G$35</f>
        <v>-3621.8132209150044</v>
      </c>
      <c r="L77" s="35">
        <f>Tableau!$G$36*SIN(J77*PI()/180)+Tableau!$H$35</f>
        <v>-10193.691520308406</v>
      </c>
      <c r="N77" s="98">
        <v>73</v>
      </c>
      <c r="O77" s="99">
        <v>36.5</v>
      </c>
      <c r="P77" s="101">
        <f>P76+R76*Tableau!$G$2+((1/2)*T76)*Tableau!$G$2^2</f>
        <v>-23932.944997394785</v>
      </c>
      <c r="Q77" s="101">
        <f>Q76+S76*Tableau!$G$2+((1/2)*U76)*Tableau!$G$2^2</f>
        <v>-24409.228859563762</v>
      </c>
      <c r="R77" s="101">
        <f>R76+T76*Tableau!$G$2</f>
        <v>-2459.2594804940527</v>
      </c>
      <c r="S77" s="101">
        <f>S76+U76*Tableau!$G$2</f>
        <v>1615.635895282953</v>
      </c>
      <c r="T77" s="101">
        <f t="shared" si="2"/>
        <v>927.5947468726315</v>
      </c>
      <c r="U77" s="101">
        <f t="shared" si="3"/>
        <v>624.47019291753247</v>
      </c>
      <c r="V77" s="101">
        <f>((Tableau!$G$16-P77)/(AC77^2+Tableau!$G$21^2)^(3/2))*Tableau!$G$20</f>
        <v>136.67901380487805</v>
      </c>
      <c r="W77" s="101">
        <f>((Tableau!$H$16-Q77)/(AC77^2+Tableau!$G$21^2)^(3/2))*Tableau!$G$20</f>
        <v>99.272241641391304</v>
      </c>
      <c r="X77" s="101">
        <f>((Tableau!$G$25-P77)/(AD77^2+Tableau!$G$30^2)^(3/2))*Tableau!$G$29</f>
        <v>16.012054359425612</v>
      </c>
      <c r="Y77" s="101">
        <f>((Tableau!$H$25-Q77)/(AD77^2+Tableau!$G$30^2)^(3/2))*Tableau!$G$29</f>
        <v>140.08902828038879</v>
      </c>
      <c r="Z77" s="101">
        <f>((Tableau!$G$35-P77)/(AE77^2+Tableau!$G$40^2)^(3/2))*Tableau!$G$39</f>
        <v>774.90367870832779</v>
      </c>
      <c r="AA77" s="102">
        <f>((Tableau!$H$35-Q77)/(AE77^2+Tableau!$G$40^2)^(3/2))*Tableau!$G$39</f>
        <v>385.10892299575238</v>
      </c>
      <c r="AC77" s="113">
        <f>SQRT((Tableau!$G$16-P77)^2+(Tableau!$H$16-Q77)^2)</f>
        <v>54298.273845087679</v>
      </c>
      <c r="AD77" s="114">
        <f>SQRT((Tableau!$G$25-P77)^2+(Tableau!$H$25-Q77)^2)</f>
        <v>34633.265613602896</v>
      </c>
      <c r="AE77" s="115">
        <f>SQRT((Tableau!$G$35-P77)^2+(Tableau!$H$35-Q77)^2)</f>
        <v>21142.137876904118</v>
      </c>
    </row>
    <row r="78" spans="2:31" x14ac:dyDescent="0.25">
      <c r="B78" s="20">
        <v>75</v>
      </c>
      <c r="C78" s="21">
        <f>Tableau!$G$17*COS(B78*PI()/180)+Tableau!$G$16</f>
        <v>21294.095225512603</v>
      </c>
      <c r="D78" s="21">
        <f>Tableau!$G$17*SIN(B78*PI()/180)+Tableau!$H$16</f>
        <v>12329.629131445341</v>
      </c>
      <c r="F78" s="28">
        <v>75</v>
      </c>
      <c r="G78" s="29">
        <f>Tableau!$G$26*COS(F78*PI()/180)+Tableau!$G$25</f>
        <v>-19094.133342141176</v>
      </c>
      <c r="H78" s="29">
        <f>Tableau!$G$26*SIN(F78*PI()/180)+Tableau!$H$25</f>
        <v>13380.740392011739</v>
      </c>
      <c r="J78" s="36">
        <v>75</v>
      </c>
      <c r="K78" s="37">
        <f>Tableau!$G$36*COS(J78*PI()/180)+Tableau!$G$35</f>
        <v>-3705.904774487396</v>
      </c>
      <c r="L78" s="37">
        <f>Tableau!$G$36*SIN(J78*PI()/180)+Tableau!$H$35</f>
        <v>-10170.370868554659</v>
      </c>
      <c r="N78" s="92">
        <v>74</v>
      </c>
      <c r="O78" s="93">
        <v>37</v>
      </c>
      <c r="P78" s="96">
        <f>P77+R77*Tableau!$G$2+((1/2)*T77)*Tableau!$G$2^2</f>
        <v>-25046.625394282732</v>
      </c>
      <c r="Q78" s="96">
        <f>Q77+S77*Tableau!$G$2+((1/2)*U77)*Tableau!$G$2^2</f>
        <v>-23523.352137807593</v>
      </c>
      <c r="R78" s="96">
        <f>R77+T77*Tableau!$G$2</f>
        <v>-1995.4621070577368</v>
      </c>
      <c r="S78" s="96">
        <f>S77+U77*Tableau!$G$2</f>
        <v>1927.8709917417193</v>
      </c>
      <c r="T78" s="96">
        <f t="shared" si="2"/>
        <v>921.29080124160737</v>
      </c>
      <c r="U78" s="96">
        <f t="shared" si="3"/>
        <v>563.72198508135489</v>
      </c>
      <c r="V78" s="96">
        <f>((Tableau!$G$16-P78)/(AC78^2+Tableau!$G$21^2)^(3/2))*Tableau!$G$20</f>
        <v>137.20693633258261</v>
      </c>
      <c r="W78" s="96">
        <f>((Tableau!$H$16-Q78)/(AC78^2+Tableau!$G$21^2)^(3/2))*Tableau!$G$20</f>
        <v>94.493628864276744</v>
      </c>
      <c r="X78" s="96">
        <f>((Tableau!$G$25-P78)/(AD78^2+Tableau!$G$30^2)^(3/2))*Tableau!$G$29</f>
        <v>21.850149161868483</v>
      </c>
      <c r="Y78" s="96">
        <f>((Tableau!$H$25-Q78)/(AD78^2+Tableau!$G$30^2)^(3/2))*Tableau!$G$29</f>
        <v>145.14456441462229</v>
      </c>
      <c r="Z78" s="96">
        <f>((Tableau!$G$35-P78)/(AE78^2+Tableau!$G$40^2)^(3/2))*Tableau!$G$39</f>
        <v>762.23371574715634</v>
      </c>
      <c r="AA78" s="97">
        <f>((Tableau!$H$35-Q78)/(AE78^2+Tableau!$G$40^2)^(3/2))*Tableau!$G$39</f>
        <v>324.08379180245589</v>
      </c>
      <c r="AC78" s="110">
        <f>SQRT((Tableau!$G$16-P78)^2+(Tableau!$H$16-Q78)^2)</f>
        <v>54695.949002455825</v>
      </c>
      <c r="AD78" s="111">
        <f>SQRT((Tableau!$G$25-P78)^2+(Tableau!$H$25-Q78)^2)</f>
        <v>33901.08503316182</v>
      </c>
      <c r="AE78" s="112">
        <f>SQRT((Tableau!$G$35-P78)^2+(Tableau!$H$35-Q78)^2)</f>
        <v>21783.358817312139</v>
      </c>
    </row>
    <row r="79" spans="2:31" x14ac:dyDescent="0.25">
      <c r="B79" s="18">
        <v>76</v>
      </c>
      <c r="C79" s="19">
        <f>Tableau!$G$17*COS(B79*PI()/180)+Tableau!$G$16</f>
        <v>21209.60947799834</v>
      </c>
      <c r="D79" s="19">
        <f>Tableau!$G$17*SIN(B79*PI()/180)+Tableau!$H$16</f>
        <v>12351.478631379981</v>
      </c>
      <c r="F79" s="26">
        <v>76</v>
      </c>
      <c r="G79" s="27">
        <f>Tableau!$G$26*COS(F79*PI()/180)+Tableau!$G$25</f>
        <v>-19153.273365401161</v>
      </c>
      <c r="H79" s="27">
        <f>Tableau!$G$26*SIN(F79*PI()/180)+Tableau!$H$25</f>
        <v>13396.035041965988</v>
      </c>
      <c r="J79" s="34">
        <v>76</v>
      </c>
      <c r="K79" s="35">
        <f>Tableau!$G$36*COS(J79*PI()/180)+Tableau!$G$35</f>
        <v>-3790.3905220016604</v>
      </c>
      <c r="L79" s="35">
        <f>Tableau!$G$36*SIN(J79*PI()/180)+Tableau!$H$35</f>
        <v>-10148.521368620019</v>
      </c>
      <c r="N79" s="98">
        <v>75</v>
      </c>
      <c r="O79" s="99">
        <v>37.5</v>
      </c>
      <c r="P79" s="101">
        <f>P78+R78*Tableau!$G$2+((1/2)*T78)*Tableau!$G$2^2</f>
        <v>-25929.195097656397</v>
      </c>
      <c r="Q79" s="101">
        <f>Q78+S78*Tableau!$G$2+((1/2)*U78)*Tableau!$G$2^2</f>
        <v>-22488.951393801563</v>
      </c>
      <c r="R79" s="101">
        <f>R78+T78*Tableau!$G$2</f>
        <v>-1534.8167064369331</v>
      </c>
      <c r="S79" s="101">
        <f>S78+U78*Tableau!$G$2</f>
        <v>2209.7319842823968</v>
      </c>
      <c r="T79" s="101">
        <f t="shared" si="2"/>
        <v>923.15000166615823</v>
      </c>
      <c r="U79" s="101">
        <f t="shared" si="3"/>
        <v>513.01727168421871</v>
      </c>
      <c r="V79" s="101">
        <f>((Tableau!$G$16-P79)/(AC79^2+Tableau!$G$21^2)^(3/2))*Tableau!$G$20</f>
        <v>138.73702562518753</v>
      </c>
      <c r="W79" s="101">
        <f>((Tableau!$H$16-Q79)/(AC79^2+Tableau!$G$21^2)^(3/2))*Tableau!$G$20</f>
        <v>90.586780568393863</v>
      </c>
      <c r="X79" s="101">
        <f>((Tableau!$G$25-P79)/(AD79^2+Tableau!$G$30^2)^(3/2))*Tableau!$G$29</f>
        <v>27.676419850796602</v>
      </c>
      <c r="Y79" s="101">
        <f>((Tableau!$H$25-Q79)/(AD79^2+Tableau!$G$30^2)^(3/2))*Tableau!$G$29</f>
        <v>151.65260115026217</v>
      </c>
      <c r="Z79" s="101">
        <f>((Tableau!$G$35-P79)/(AE79^2+Tableau!$G$40^2)^(3/2))*Tableau!$G$39</f>
        <v>756.73655619017404</v>
      </c>
      <c r="AA79" s="102">
        <f>((Tableau!$H$35-Q79)/(AE79^2+Tableau!$G$40^2)^(3/2))*Tableau!$G$39</f>
        <v>270.77788996556274</v>
      </c>
      <c r="AC79" s="113">
        <f>SQRT((Tableau!$G$16-P79)^2+(Tableau!$H$16-Q79)^2)</f>
        <v>54852.786328666814</v>
      </c>
      <c r="AD79" s="114">
        <f>SQRT((Tableau!$G$25-P79)^2+(Tableau!$H$25-Q79)^2)</f>
        <v>33025.555516521948</v>
      </c>
      <c r="AE79" s="115">
        <f>SQRT((Tableau!$G$35-P79)^2+(Tableau!$H$35-Q79)^2)</f>
        <v>22228.711173041203</v>
      </c>
    </row>
    <row r="80" spans="2:31" x14ac:dyDescent="0.25">
      <c r="B80" s="20">
        <v>77</v>
      </c>
      <c r="C80" s="21">
        <f>Tableau!$G$17*COS(B80*PI()/180)+Tableau!$G$16</f>
        <v>21124.755271719325</v>
      </c>
      <c r="D80" s="21">
        <f>Tableau!$G$17*SIN(B80*PI()/180)+Tableau!$H$16</f>
        <v>12371.850323926177</v>
      </c>
      <c r="F80" s="28">
        <v>77</v>
      </c>
      <c r="G80" s="29">
        <f>Tableau!$G$26*COS(F80*PI()/180)+Tableau!$G$25</f>
        <v>-19212.671309796471</v>
      </c>
      <c r="H80" s="29">
        <f>Tableau!$G$26*SIN(F80*PI()/180)+Tableau!$H$25</f>
        <v>13410.295226748323</v>
      </c>
      <c r="J80" s="36">
        <v>77</v>
      </c>
      <c r="K80" s="37">
        <f>Tableau!$G$36*COS(J80*PI()/180)+Tableau!$G$35</f>
        <v>-3875.2447282806752</v>
      </c>
      <c r="L80" s="37">
        <f>Tableau!$G$36*SIN(J80*PI()/180)+Tableau!$H$35</f>
        <v>-10128.149676073823</v>
      </c>
      <c r="N80" s="92">
        <v>76</v>
      </c>
      <c r="O80" s="93">
        <v>38</v>
      </c>
      <c r="P80" s="96">
        <f>P79+R79*Tableau!$G$2+((1/2)*T79)*Tableau!$G$2^2</f>
        <v>-26581.209700666594</v>
      </c>
      <c r="Q80" s="96">
        <f>Q79+S79*Tableau!$G$2+((1/2)*U79)*Tableau!$G$2^2</f>
        <v>-21319.958242699835</v>
      </c>
      <c r="R80" s="96">
        <f>R79+T79*Tableau!$G$2</f>
        <v>-1073.2417056038539</v>
      </c>
      <c r="S80" s="96">
        <f>S79+U79*Tableau!$G$2</f>
        <v>2466.2406201245062</v>
      </c>
      <c r="T80" s="96">
        <f t="shared" si="2"/>
        <v>932.94748147333007</v>
      </c>
      <c r="U80" s="96">
        <f t="shared" si="3"/>
        <v>469.3809583076029</v>
      </c>
      <c r="V80" s="96">
        <f>((Tableau!$G$16-P80)/(AC80^2+Tableau!$G$21^2)^(3/2))*Tableau!$G$20</f>
        <v>141.28074747942728</v>
      </c>
      <c r="W80" s="96">
        <f>((Tableau!$H$16-Q80)/(AC80^2+Tableau!$G$21^2)^(3/2))*Tableau!$G$20</f>
        <v>87.410895273427087</v>
      </c>
      <c r="X80" s="96">
        <f>((Tableau!$G$25-P80)/(AD80^2+Tableau!$G$30^2)^(3/2))*Tableau!$G$29</f>
        <v>33.61598550858136</v>
      </c>
      <c r="Y80" s="96">
        <f>((Tableau!$H$25-Q80)/(AD80^2+Tableau!$G$30^2)^(3/2))*Tableau!$G$29</f>
        <v>159.97837940178849</v>
      </c>
      <c r="Z80" s="96">
        <f>((Tableau!$G$35-P80)/(AE80^2+Tableau!$G$40^2)^(3/2))*Tableau!$G$39</f>
        <v>758.05074848532149</v>
      </c>
      <c r="AA80" s="97">
        <f>((Tableau!$H$35-Q80)/(AE80^2+Tableau!$G$40^2)^(3/2))*Tableau!$G$39</f>
        <v>221.99168363238735</v>
      </c>
      <c r="AC80" s="110">
        <f>SQRT((Tableau!$G$16-P80)^2+(Tableau!$H$16-Q80)^2)</f>
        <v>54775.898808585858</v>
      </c>
      <c r="AD80" s="111">
        <f>SQRT((Tableau!$G$25-P80)^2+(Tableau!$H$25-Q80)^2)</f>
        <v>32003.938905213046</v>
      </c>
      <c r="AE80" s="112">
        <f>SQRT((Tableau!$G$35-P80)^2+(Tableau!$H$35-Q80)^2)</f>
        <v>22487.562881148671</v>
      </c>
    </row>
    <row r="81" spans="2:31" x14ac:dyDescent="0.25">
      <c r="B81" s="18">
        <v>78</v>
      </c>
      <c r="C81" s="19">
        <f>Tableau!$G$17*COS(B81*PI()/180)+Tableau!$G$16</f>
        <v>21039.558454088798</v>
      </c>
      <c r="D81" s="19">
        <f>Tableau!$G$17*SIN(B81*PI()/180)+Tableau!$H$16</f>
        <v>12390.738003669028</v>
      </c>
      <c r="F81" s="26">
        <v>78</v>
      </c>
      <c r="G81" s="27">
        <f>Tableau!$G$26*COS(F81*PI()/180)+Tableau!$G$25</f>
        <v>-19272.309082137843</v>
      </c>
      <c r="H81" s="27">
        <f>Tableau!$G$26*SIN(F81*PI()/180)+Tableau!$H$25</f>
        <v>13423.516602568319</v>
      </c>
      <c r="J81" s="34">
        <v>78</v>
      </c>
      <c r="K81" s="35">
        <f>Tableau!$G$36*COS(J81*PI()/180)+Tableau!$G$35</f>
        <v>-3960.4415459112024</v>
      </c>
      <c r="L81" s="35">
        <f>Tableau!$G$36*SIN(J81*PI()/180)+Tableau!$H$35</f>
        <v>-10109.261996330972</v>
      </c>
      <c r="N81" s="98">
        <v>77</v>
      </c>
      <c r="O81" s="99">
        <v>38.5</v>
      </c>
      <c r="P81" s="101">
        <f>P80+R80*Tableau!$G$2+((1/2)*T80)*Tableau!$G$2^2</f>
        <v>-27001.212118284355</v>
      </c>
      <c r="Q81" s="101">
        <f>Q80+S80*Tableau!$G$2+((1/2)*U80)*Tableau!$G$2^2</f>
        <v>-20028.165312849134</v>
      </c>
      <c r="R81" s="101">
        <f>R80+T80*Tableau!$G$2</f>
        <v>-606.76796486718888</v>
      </c>
      <c r="S81" s="101">
        <f>S80+U80*Tableau!$G$2</f>
        <v>2700.9310992783076</v>
      </c>
      <c r="T81" s="101">
        <f t="shared" si="2"/>
        <v>950.55395946001499</v>
      </c>
      <c r="U81" s="101">
        <f t="shared" si="3"/>
        <v>430.51125193857024</v>
      </c>
      <c r="V81" s="101">
        <f>((Tableau!$G$16-P81)/(AC81^2+Tableau!$G$21^2)^(3/2))*Tableau!$G$20</f>
        <v>144.89564096845862</v>
      </c>
      <c r="W81" s="101">
        <f>((Tableau!$H$16-Q81)/(AC81^2+Tableau!$G$21^2)^(3/2))*Tableau!$G$20</f>
        <v>84.864006222922086</v>
      </c>
      <c r="X81" s="101">
        <f>((Tableau!$G$25-P81)/(AD81^2+Tableau!$G$30^2)^(3/2))*Tableau!$G$29</f>
        <v>39.77923559558112</v>
      </c>
      <c r="Y81" s="101">
        <f>((Tableau!$H$25-Q81)/(AD81^2+Tableau!$G$30^2)^(3/2))*Tableau!$G$29</f>
        <v>170.61295134357306</v>
      </c>
      <c r="Z81" s="101">
        <f>((Tableau!$G$35-P81)/(AE81^2+Tableau!$G$40^2)^(3/2))*Tableau!$G$39</f>
        <v>765.87908289597522</v>
      </c>
      <c r="AA81" s="102">
        <f>((Tableau!$H$35-Q81)/(AE81^2+Tableau!$G$40^2)^(3/2))*Tableau!$G$39</f>
        <v>175.0342943720751</v>
      </c>
      <c r="AC81" s="113">
        <f>SQRT((Tableau!$G$16-P81)^2+(Tableau!$H$16-Q81)^2)</f>
        <v>54469.384300536301</v>
      </c>
      <c r="AD81" s="114">
        <f>SQRT((Tableau!$G$25-P81)^2+(Tableau!$H$25-Q81)^2)</f>
        <v>30833.548014800497</v>
      </c>
      <c r="AE81" s="115">
        <f>SQRT((Tableau!$G$35-P81)^2+(Tableau!$H$35-Q81)^2)</f>
        <v>22568.468735983875</v>
      </c>
    </row>
    <row r="82" spans="2:31" x14ac:dyDescent="0.25">
      <c r="B82" s="20">
        <v>79</v>
      </c>
      <c r="C82" s="21">
        <f>Tableau!$G$17*COS(B82*PI()/180)+Tableau!$G$16</f>
        <v>20954.044976882724</v>
      </c>
      <c r="D82" s="21">
        <f>Tableau!$G$17*SIN(B82*PI()/180)+Tableau!$H$16</f>
        <v>12408.13591723832</v>
      </c>
      <c r="F82" s="28">
        <v>79</v>
      </c>
      <c r="G82" s="29">
        <f>Tableau!$G$26*COS(F82*PI()/180)+Tableau!$G$25</f>
        <v>-19332.168516182093</v>
      </c>
      <c r="H82" s="29">
        <f>Tableau!$G$26*SIN(F82*PI()/180)+Tableau!$H$25</f>
        <v>13435.695142066823</v>
      </c>
      <c r="J82" s="36">
        <v>79</v>
      </c>
      <c r="K82" s="37">
        <f>Tableau!$G$36*COS(J82*PI()/180)+Tableau!$G$35</f>
        <v>-4045.9550231172752</v>
      </c>
      <c r="L82" s="37">
        <f>Tableau!$G$36*SIN(J82*PI()/180)+Tableau!$H$35</f>
        <v>-10091.86408276168</v>
      </c>
      <c r="N82" s="92">
        <v>78</v>
      </c>
      <c r="O82" s="93">
        <v>39</v>
      </c>
      <c r="P82" s="96">
        <f>P81+R81*Tableau!$G$2+((1/2)*T81)*Tableau!$G$2^2</f>
        <v>-27185.776855785447</v>
      </c>
      <c r="Q82" s="96">
        <f>Q81+S81*Tableau!$G$2+((1/2)*U81)*Tableau!$G$2^2</f>
        <v>-18623.885856717661</v>
      </c>
      <c r="R82" s="96">
        <f>R81+T81*Tableau!$G$2</f>
        <v>-131.49098513718138</v>
      </c>
      <c r="S82" s="96">
        <f>S81+U81*Tableau!$G$2</f>
        <v>2916.1867252475927</v>
      </c>
      <c r="T82" s="96">
        <f t="shared" si="2"/>
        <v>975.89866403944291</v>
      </c>
      <c r="U82" s="96">
        <f t="shared" si="3"/>
        <v>394.50647324141681</v>
      </c>
      <c r="V82" s="96">
        <f>((Tableau!$G$16-P82)/(AC82^2+Tableau!$G$21^2)^(3/2))*Tableau!$G$20</f>
        <v>149.68773042009821</v>
      </c>
      <c r="W82" s="96">
        <f>((Tableau!$H$16-Q82)/(AC82^2+Tableau!$G$21^2)^(3/2))*Tableau!$G$20</f>
        <v>82.872963935663449</v>
      </c>
      <c r="X82" s="96">
        <f>((Tableau!$G$25-P82)/(AD82^2+Tableau!$G$30^2)^(3/2))*Tableau!$G$29</f>
        <v>46.249971842866749</v>
      </c>
      <c r="Y82" s="96">
        <f>((Tableau!$H$25-Q82)/(AD82^2+Tableau!$G$30^2)^(3/2))*Tableau!$G$29</f>
        <v>184.23253901083166</v>
      </c>
      <c r="Z82" s="96">
        <f>((Tableau!$G$35-P82)/(AE82^2+Tableau!$G$40^2)^(3/2))*Tableau!$G$39</f>
        <v>779.96096177647792</v>
      </c>
      <c r="AA82" s="97">
        <f>((Tableau!$H$35-Q82)/(AE82^2+Tableau!$G$40^2)^(3/2))*Tableau!$G$39</f>
        <v>127.40097029492169</v>
      </c>
      <c r="AC82" s="110">
        <f>SQRT((Tableau!$G$16-P82)^2+(Tableau!$H$16-Q82)^2)</f>
        <v>53934.728605405908</v>
      </c>
      <c r="AD82" s="111">
        <f>SQRT((Tableau!$G$25-P82)^2+(Tableau!$H$25-Q82)^2)</f>
        <v>29512.06923547624</v>
      </c>
      <c r="AE82" s="112">
        <f>SQRT((Tableau!$G$35-P82)^2+(Tableau!$H$35-Q82)^2)</f>
        <v>22479.796337983658</v>
      </c>
    </row>
    <row r="83" spans="2:31" x14ac:dyDescent="0.25">
      <c r="B83" s="18">
        <v>80</v>
      </c>
      <c r="C83" s="19">
        <f>Tableau!$G$17*COS(B83*PI()/180)+Tableau!$G$16</f>
        <v>20868.240888334651</v>
      </c>
      <c r="D83" s="19">
        <f>Tableau!$G$17*SIN(B83*PI()/180)+Tableau!$H$16</f>
        <v>12424.038765061039</v>
      </c>
      <c r="F83" s="26">
        <v>80</v>
      </c>
      <c r="G83" s="27">
        <f>Tableau!$G$26*COS(F83*PI()/180)+Tableau!$G$25</f>
        <v>-19392.231378165743</v>
      </c>
      <c r="H83" s="27">
        <f>Tableau!$G$26*SIN(F83*PI()/180)+Tableau!$H$25</f>
        <v>13446.827135542728</v>
      </c>
      <c r="J83" s="34">
        <v>80</v>
      </c>
      <c r="K83" s="35">
        <f>Tableau!$G$36*COS(J83*PI()/180)+Tableau!$G$35</f>
        <v>-4131.7591116653475</v>
      </c>
      <c r="L83" s="35">
        <f>Tableau!$G$36*SIN(J83*PI()/180)+Tableau!$H$35</f>
        <v>-10075.961234938961</v>
      </c>
      <c r="N83" s="98">
        <v>79</v>
      </c>
      <c r="O83" s="99">
        <v>39.5</v>
      </c>
      <c r="P83" s="101">
        <f>P82+R82*Tableau!$G$2+((1/2)*T82)*Tableau!$G$2^2</f>
        <v>-27129.535015349109</v>
      </c>
      <c r="Q83" s="101">
        <f>Q82+S82*Tableau!$G$2+((1/2)*U82)*Tableau!$G$2^2</f>
        <v>-17116.479184938689</v>
      </c>
      <c r="R83" s="101">
        <f>R82+T82*Tableau!$G$2</f>
        <v>356.45834688254007</v>
      </c>
      <c r="S83" s="101">
        <f>S82+U82*Tableau!$G$2</f>
        <v>3113.439961868301</v>
      </c>
      <c r="T83" s="101">
        <f t="shared" si="2"/>
        <v>1008.848719682426</v>
      </c>
      <c r="U83" s="101">
        <f t="shared" si="3"/>
        <v>359.68326338298988</v>
      </c>
      <c r="V83" s="101">
        <f>((Tableau!$G$16-P83)/(AC83^2+Tableau!$G$21^2)^(3/2))*Tableau!$G$20</f>
        <v>155.81927095170622</v>
      </c>
      <c r="W83" s="101">
        <f>((Tableau!$H$16-Q83)/(AC83^2+Tableau!$G$21^2)^(3/2))*Tableau!$G$20</f>
        <v>81.386795748054439</v>
      </c>
      <c r="X83" s="101">
        <f>((Tableau!$G$25-P83)/(AD83^2+Tableau!$G$30^2)^(3/2))*Tableau!$G$29</f>
        <v>53.0542189090623</v>
      </c>
      <c r="Y83" s="101">
        <f>((Tableau!$H$25-Q83)/(AD83^2+Tableau!$G$30^2)^(3/2))*Tableau!$G$29</f>
        <v>201.7864586713616</v>
      </c>
      <c r="Z83" s="101">
        <f>((Tableau!$G$35-P83)/(AE83^2+Tableau!$G$40^2)^(3/2))*Tableau!$G$39</f>
        <v>799.97522982165742</v>
      </c>
      <c r="AA83" s="102">
        <f>((Tableau!$H$35-Q83)/(AE83^2+Tableau!$G$40^2)^(3/2))*Tableau!$G$39</f>
        <v>76.510008963573867</v>
      </c>
      <c r="AC83" s="113">
        <f>SQRT((Tableau!$G$16-P83)^2+(Tableau!$H$16-Q83)^2)</f>
        <v>53171.083478010274</v>
      </c>
      <c r="AD83" s="114">
        <f>SQRT((Tableau!$G$25-P83)^2+(Tableau!$H$25-Q83)^2)</f>
        <v>28038.076127336237</v>
      </c>
      <c r="AE83" s="115">
        <f>SQRT((Tableau!$G$35-P83)^2+(Tableau!$H$35-Q83)^2)</f>
        <v>22230.515156780355</v>
      </c>
    </row>
    <row r="84" spans="2:31" x14ac:dyDescent="0.25">
      <c r="B84" s="20">
        <v>81</v>
      </c>
      <c r="C84" s="21">
        <f>Tableau!$G$17*COS(B84*PI()/180)+Tableau!$G$16</f>
        <v>20782.172325201154</v>
      </c>
      <c r="D84" s="21">
        <f>Tableau!$G$17*SIN(B84*PI()/180)+Tableau!$H$16</f>
        <v>12438.441702975688</v>
      </c>
      <c r="F84" s="28">
        <v>81</v>
      </c>
      <c r="G84" s="29">
        <f>Tableau!$G$26*COS(F84*PI()/180)+Tableau!$G$25</f>
        <v>-19452.47937235919</v>
      </c>
      <c r="H84" s="29">
        <f>Tableau!$G$26*SIN(F84*PI()/180)+Tableau!$H$25</f>
        <v>13456.909192082981</v>
      </c>
      <c r="J84" s="36">
        <v>81</v>
      </c>
      <c r="K84" s="37">
        <f>Tableau!$G$36*COS(J84*PI()/180)+Tableau!$G$35</f>
        <v>-4217.8276747988457</v>
      </c>
      <c r="L84" s="37">
        <f>Tableau!$G$36*SIN(J84*PI()/180)+Tableau!$H$35</f>
        <v>-10061.558297024312</v>
      </c>
      <c r="N84" s="92">
        <v>80</v>
      </c>
      <c r="O84" s="93">
        <v>40</v>
      </c>
      <c r="P84" s="96">
        <f>P83+R83*Tableau!$G$2+((1/2)*T83)*Tableau!$G$2^2</f>
        <v>-26825.199751947537</v>
      </c>
      <c r="Q84" s="96">
        <f>Q83+S83*Tableau!$G$2+((1/2)*U83)*Tableau!$G$2^2</f>
        <v>-15514.798796081664</v>
      </c>
      <c r="R84" s="96">
        <f>R83+T83*Tableau!$G$2</f>
        <v>860.88270672375302</v>
      </c>
      <c r="S84" s="96">
        <f>S83+U83*Tableau!$G$2</f>
        <v>3293.281593559796</v>
      </c>
      <c r="T84" s="96">
        <f t="shared" si="2"/>
        <v>1048.9639396332941</v>
      </c>
      <c r="U84" s="96">
        <f t="shared" si="3"/>
        <v>324.46765522947766</v>
      </c>
      <c r="V84" s="96">
        <f>((Tableau!$G$16-P84)/(AC84^2+Tableau!$G$21^2)^(3/2))*Tableau!$G$20</f>
        <v>163.52269858384992</v>
      </c>
      <c r="W84" s="96">
        <f>((Tableau!$H$16-Q84)/(AC84^2+Tableau!$G$21^2)^(3/2))*Tableau!$G$20</f>
        <v>80.372150603438399</v>
      </c>
      <c r="X84" s="96">
        <f>((Tableau!$G$25-P84)/(AD84^2+Tableau!$G$30^2)^(3/2))*Tableau!$G$29</f>
        <v>60.087803821290471</v>
      </c>
      <c r="Y84" s="96">
        <f>((Tableau!$H$25-Q84)/(AD84^2+Tableau!$G$30^2)^(3/2))*Tableau!$G$29</f>
        <v>224.62759777267803</v>
      </c>
      <c r="Z84" s="96">
        <f>((Tableau!$G$35-P84)/(AE84^2+Tableau!$G$40^2)^(3/2))*Tableau!$G$39</f>
        <v>825.35343722815378</v>
      </c>
      <c r="AA84" s="97">
        <f>((Tableau!$H$35-Q84)/(AE84^2+Tableau!$G$40^2)^(3/2))*Tableau!$G$39</f>
        <v>19.467906853361228</v>
      </c>
      <c r="AC84" s="110">
        <f>SQRT((Tableau!$G$16-P84)^2+(Tableau!$H$16-Q84)^2)</f>
        <v>52175.475996237066</v>
      </c>
      <c r="AD84" s="111">
        <f>SQRT((Tableau!$G$25-P84)^2+(Tableau!$H$25-Q84)^2)</f>
        <v>26411.897115855103</v>
      </c>
      <c r="AE84" s="112">
        <f>SQRT((Tableau!$G$35-P84)^2+(Tableau!$H$35-Q84)^2)</f>
        <v>21831.270279414752</v>
      </c>
    </row>
    <row r="85" spans="2:31" x14ac:dyDescent="0.25">
      <c r="B85" s="18">
        <v>82</v>
      </c>
      <c r="C85" s="19">
        <f>Tableau!$G$17*COS(B85*PI()/180)+Tableau!$G$16</f>
        <v>20695.865504800327</v>
      </c>
      <c r="D85" s="19">
        <f>Tableau!$G$17*SIN(B85*PI()/180)+Tableau!$H$16</f>
        <v>12451.340343707852</v>
      </c>
      <c r="F85" s="26">
        <v>82</v>
      </c>
      <c r="G85" s="27">
        <f>Tableau!$G$26*COS(F85*PI()/180)+Tableau!$G$25</f>
        <v>-19512.89414663977</v>
      </c>
      <c r="H85" s="27">
        <f>Tableau!$G$26*SIN(F85*PI()/180)+Tableau!$H$25</f>
        <v>13465.938240595497</v>
      </c>
      <c r="J85" s="34">
        <v>82</v>
      </c>
      <c r="K85" s="35">
        <f>Tableau!$G$36*COS(J85*PI()/180)+Tableau!$G$35</f>
        <v>-4304.1344951996716</v>
      </c>
      <c r="L85" s="35">
        <f>Tableau!$G$36*SIN(J85*PI()/180)+Tableau!$H$35</f>
        <v>-10048.659656292148</v>
      </c>
      <c r="N85" s="98">
        <v>81</v>
      </c>
      <c r="O85" s="99">
        <v>40.5</v>
      </c>
      <c r="P85" s="101">
        <f>P84+R84*Tableau!$G$2+((1/2)*T84)*Tableau!$G$2^2</f>
        <v>-26263.637906131498</v>
      </c>
      <c r="Q85" s="101">
        <f>Q84+S84*Tableau!$G$2+((1/2)*U84)*Tableau!$G$2^2</f>
        <v>-13827.59954239808</v>
      </c>
      <c r="R85" s="101">
        <f>R84+T84*Tableau!$G$2</f>
        <v>1385.3646765404001</v>
      </c>
      <c r="S85" s="101">
        <f>S84+U84*Tableau!$G$2</f>
        <v>3455.5154211745348</v>
      </c>
      <c r="T85" s="101">
        <f t="shared" si="2"/>
        <v>1095.0251596258565</v>
      </c>
      <c r="U85" s="101">
        <f t="shared" si="3"/>
        <v>287.37138396437518</v>
      </c>
      <c r="V85" s="101">
        <f>((Tableau!$G$16-P85)/(AC85^2+Tableau!$G$21^2)^(3/2))*Tableau!$G$20</f>
        <v>173.12275502535434</v>
      </c>
      <c r="W85" s="101">
        <f>((Tableau!$H$16-Q85)/(AC85^2+Tableau!$G$21^2)^(3/2))*Tableau!$G$20</f>
        <v>79.809823826415695</v>
      </c>
      <c r="X85" s="101">
        <f>((Tableau!$G$25-P85)/(AD85^2+Tableau!$G$30^2)^(3/2))*Tableau!$G$29</f>
        <v>66.953900349417765</v>
      </c>
      <c r="Y85" s="101">
        <f>((Tableau!$H$25-Q85)/(AD85^2+Tableau!$G$30^2)^(3/2))*Tableau!$G$29</f>
        <v>254.70034335252021</v>
      </c>
      <c r="Z85" s="101">
        <f>((Tableau!$G$35-P85)/(AE85^2+Tableau!$G$40^2)^(3/2))*Tableau!$G$39</f>
        <v>854.94850425108439</v>
      </c>
      <c r="AA85" s="102">
        <f>((Tableau!$H$35-Q85)/(AE85^2+Tableau!$G$40^2)^(3/2))*Tableau!$G$39</f>
        <v>-47.138783214560704</v>
      </c>
      <c r="AC85" s="113">
        <f>SQRT((Tableau!$G$16-P85)^2+(Tableau!$H$16-Q85)^2)</f>
        <v>50943.014187919289</v>
      </c>
      <c r="AD85" s="114">
        <f>SQRT((Tableau!$G$25-P85)^2+(Tableau!$H$25-Q85)^2)</f>
        <v>24637.119551035517</v>
      </c>
      <c r="AE85" s="115">
        <f>SQRT((Tableau!$G$35-P85)^2+(Tableau!$H$35-Q85)^2)</f>
        <v>21295.934349918942</v>
      </c>
    </row>
    <row r="86" spans="2:31" x14ac:dyDescent="0.25">
      <c r="B86" s="20">
        <v>83</v>
      </c>
      <c r="C86" s="21">
        <f>Tableau!$G$17*COS(B86*PI()/180)+Tableau!$G$16</f>
        <v>20609.346717025739</v>
      </c>
      <c r="D86" s="21">
        <f>Tableau!$G$17*SIN(B86*PI()/180)+Tableau!$H$16</f>
        <v>12462.73075820661</v>
      </c>
      <c r="F86" s="28">
        <v>83</v>
      </c>
      <c r="G86" s="29">
        <f>Tableau!$G$26*COS(F86*PI()/180)+Tableau!$G$25</f>
        <v>-19573.457298081983</v>
      </c>
      <c r="H86" s="29">
        <f>Tableau!$G$26*SIN(F86*PI()/180)+Tableau!$H$25</f>
        <v>13473.911530744626</v>
      </c>
      <c r="J86" s="36">
        <v>83</v>
      </c>
      <c r="K86" s="37">
        <f>Tableau!$G$36*COS(J86*PI()/180)+Tableau!$G$35</f>
        <v>-4390.6532829742628</v>
      </c>
      <c r="L86" s="37">
        <f>Tableau!$G$36*SIN(J86*PI()/180)+Tableau!$H$35</f>
        <v>-10037.26924179339</v>
      </c>
      <c r="N86" s="92">
        <v>82</v>
      </c>
      <c r="O86" s="93">
        <v>41</v>
      </c>
      <c r="P86" s="96">
        <f>P85+R85*Tableau!$G$2+((1/2)*T85)*Tableau!$G$2^2</f>
        <v>-25434.077422908067</v>
      </c>
      <c r="Q86" s="96">
        <f>Q85+S85*Tableau!$G$2+((1/2)*U85)*Tableau!$G$2^2</f>
        <v>-12063.920408815266</v>
      </c>
      <c r="R86" s="96">
        <f>R85+T85*Tableau!$G$2</f>
        <v>1932.8772563533284</v>
      </c>
      <c r="S86" s="96">
        <f>S85+U85*Tableau!$G$2</f>
        <v>3599.2011131567224</v>
      </c>
      <c r="T86" s="96">
        <f t="shared" si="2"/>
        <v>1144.1376472607546</v>
      </c>
      <c r="U86" s="96">
        <f t="shared" si="3"/>
        <v>247.1031869503708</v>
      </c>
      <c r="V86" s="96">
        <f>((Tableau!$G$16-P86)/(AC86^2+Tableau!$G$21^2)^(3/2))*Tableau!$G$20</f>
        <v>185.07012218235329</v>
      </c>
      <c r="W86" s="96">
        <f>((Tableau!$H$16-Q86)/(AC86^2+Tableau!$G$21^2)^(3/2))*Tableau!$G$20</f>
        <v>79.69122178322705</v>
      </c>
      <c r="X86" s="96">
        <f>((Tableau!$G$25-P86)/(AD86^2+Tableau!$G$30^2)^(3/2))*Tableau!$G$29</f>
        <v>72.601790372880671</v>
      </c>
      <c r="Y86" s="96">
        <f>((Tableau!$H$25-Q86)/(AD86^2+Tableau!$G$30^2)^(3/2))*Tableau!$G$29</f>
        <v>294.78419235835571</v>
      </c>
      <c r="Z86" s="96">
        <f>((Tableau!$G$35-P86)/(AE86^2+Tableau!$G$40^2)^(3/2))*Tableau!$G$39</f>
        <v>886.46573470552073</v>
      </c>
      <c r="AA86" s="97">
        <f>((Tableau!$H$35-Q86)/(AE86^2+Tableau!$G$40^2)^(3/2))*Tableau!$G$39</f>
        <v>-127.37222719121193</v>
      </c>
      <c r="AC86" s="110">
        <f>SQRT((Tableau!$G$16-P86)^2+(Tableau!$H$16-Q86)^2)</f>
        <v>49467.184810066392</v>
      </c>
      <c r="AD86" s="111">
        <f>SQRT((Tableau!$G$25-P86)^2+(Tableau!$H$25-Q86)^2)</f>
        <v>22723.243193802551</v>
      </c>
      <c r="AE86" s="112">
        <f>SQRT((Tableau!$G$35-P86)^2+(Tableau!$H$35-Q86)^2)</f>
        <v>20643.935755838149</v>
      </c>
    </row>
    <row r="87" spans="2:31" x14ac:dyDescent="0.25">
      <c r="B87" s="18">
        <v>84</v>
      </c>
      <c r="C87" s="19">
        <f>Tableau!$G$17*COS(B87*PI()/180)+Tableau!$G$16</f>
        <v>20522.642316338268</v>
      </c>
      <c r="D87" s="19">
        <f>Tableau!$G$17*SIN(B87*PI()/180)+Tableau!$H$16</f>
        <v>12472.609476841368</v>
      </c>
      <c r="F87" s="26">
        <v>84</v>
      </c>
      <c r="G87" s="27">
        <f>Tableau!$G$26*COS(F87*PI()/180)+Tableau!$G$25</f>
        <v>-19634.150378563212</v>
      </c>
      <c r="H87" s="27">
        <f>Tableau!$G$26*SIN(F87*PI()/180)+Tableau!$H$25</f>
        <v>13480.826633788956</v>
      </c>
      <c r="J87" s="34">
        <v>84</v>
      </c>
      <c r="K87" s="35">
        <f>Tableau!$G$36*COS(J87*PI()/180)+Tableau!$G$35</f>
        <v>-4477.3576836617331</v>
      </c>
      <c r="L87" s="35">
        <f>Tableau!$G$36*SIN(J87*PI()/180)+Tableau!$H$35</f>
        <v>-10027.390523158632</v>
      </c>
      <c r="N87" s="98">
        <v>83</v>
      </c>
      <c r="O87" s="99">
        <v>41.5</v>
      </c>
      <c r="P87" s="101">
        <f>P86+R86*Tableau!$G$2+((1/2)*T86)*Tableau!$G$2^2</f>
        <v>-24324.621588823808</v>
      </c>
      <c r="Q87" s="101">
        <f>Q86+S86*Tableau!$G$2+((1/2)*U86)*Tableau!$G$2^2</f>
        <v>-10233.431953868108</v>
      </c>
      <c r="R87" s="101">
        <f>R86+T86*Tableau!$G$2</f>
        <v>2504.9460799837057</v>
      </c>
      <c r="S87" s="101">
        <f>S86+U86*Tableau!$G$2</f>
        <v>3722.7527066319076</v>
      </c>
      <c r="T87" s="101">
        <f t="shared" si="2"/>
        <v>1190.0583313273025</v>
      </c>
      <c r="U87" s="101">
        <f t="shared" si="3"/>
        <v>202.89214994115494</v>
      </c>
      <c r="V87" s="101">
        <f>((Tableau!$G$16-P87)/(AC87^2+Tableau!$G$21^2)^(3/2))*Tableau!$G$20</f>
        <v>199.99163436964017</v>
      </c>
      <c r="W87" s="101">
        <f>((Tableau!$H$16-Q87)/(AC87^2+Tableau!$G$21^2)^(3/2))*Tableau!$G$20</f>
        <v>80.012821594648941</v>
      </c>
      <c r="X87" s="101">
        <f>((Tableau!$G$25-P87)/(AD87^2+Tableau!$G$30^2)^(3/2))*Tableau!$G$29</f>
        <v>74.53062403558512</v>
      </c>
      <c r="Y87" s="101">
        <f>((Tableau!$H$25-Q87)/(AD87^2+Tableau!$G$30^2)^(3/2))*Tableau!$G$29</f>
        <v>348.70341345021143</v>
      </c>
      <c r="Z87" s="101">
        <f>((Tableau!$G$35-P87)/(AE87^2+Tableau!$G$40^2)^(3/2))*Tableau!$G$39</f>
        <v>915.53607292207721</v>
      </c>
      <c r="AA87" s="102">
        <f>((Tableau!$H$35-Q87)/(AE87^2+Tableau!$G$40^2)^(3/2))*Tableau!$G$39</f>
        <v>-225.82408510370541</v>
      </c>
      <c r="AC87" s="113">
        <f>SQRT((Tableau!$G$16-P87)^2+(Tableau!$H$16-Q87)^2)</f>
        <v>47740.409380889228</v>
      </c>
      <c r="AD87" s="114">
        <f>SQRT((Tableau!$G$25-P87)^2+(Tableau!$H$25-Q87)^2)</f>
        <v>20690.435484018504</v>
      </c>
      <c r="AE87" s="115">
        <f>SQRT((Tableau!$G$35-P87)^2+(Tableau!$H$35-Q87)^2)</f>
        <v>19903.797891097085</v>
      </c>
    </row>
    <row r="88" spans="2:31" x14ac:dyDescent="0.25">
      <c r="B88" s="20">
        <v>85</v>
      </c>
      <c r="C88" s="21">
        <f>Tableau!$G$17*COS(B88*PI()/180)+Tableau!$G$16</f>
        <v>20435.778713738291</v>
      </c>
      <c r="D88" s="21">
        <f>Tableau!$G$17*SIN(B88*PI()/180)+Tableau!$H$16</f>
        <v>12480.973490458728</v>
      </c>
      <c r="F88" s="28">
        <v>85</v>
      </c>
      <c r="G88" s="29">
        <f>Tableau!$G$26*COS(F88*PI()/180)+Tableau!$G$25</f>
        <v>-19694.954900383196</v>
      </c>
      <c r="H88" s="29">
        <f>Tableau!$G$26*SIN(F88*PI()/180)+Tableau!$H$25</f>
        <v>13486.681443321109</v>
      </c>
      <c r="J88" s="36">
        <v>85</v>
      </c>
      <c r="K88" s="37">
        <f>Tableau!$G$36*COS(J88*PI()/180)+Tableau!$G$35</f>
        <v>-4564.2212862617089</v>
      </c>
      <c r="L88" s="37">
        <f>Tableau!$G$36*SIN(J88*PI()/180)+Tableau!$H$35</f>
        <v>-10019.026509541272</v>
      </c>
      <c r="N88" s="92">
        <v>84</v>
      </c>
      <c r="O88" s="93">
        <v>42</v>
      </c>
      <c r="P88" s="96">
        <f>P87+R87*Tableau!$G$2+((1/2)*T87)*Tableau!$G$2^2</f>
        <v>-22923.391257416042</v>
      </c>
      <c r="Q88" s="96">
        <f>Q87+S87*Tableau!$G$2+((1/2)*U87)*Tableau!$G$2^2</f>
        <v>-8346.69408180951</v>
      </c>
      <c r="R88" s="96">
        <f>R87+T87*Tableau!$G$2</f>
        <v>3099.975245647357</v>
      </c>
      <c r="S88" s="96">
        <f>S87+U87*Tableau!$G$2</f>
        <v>3824.1987816024853</v>
      </c>
      <c r="T88" s="96">
        <f t="shared" si="2"/>
        <v>1220.2295908728649</v>
      </c>
      <c r="U88" s="96">
        <f t="shared" si="3"/>
        <v>154.99672722329382</v>
      </c>
      <c r="V88" s="96">
        <f>((Tableau!$G$16-P88)/(AC88^2+Tableau!$G$21^2)^(3/2))*Tableau!$G$20</f>
        <v>218.76393587895802</v>
      </c>
      <c r="W88" s="96">
        <f>((Tableau!$H$16-Q88)/(AC88^2+Tableau!$G$21^2)^(3/2))*Tableau!$G$20</f>
        <v>80.764475183621158</v>
      </c>
      <c r="X88" s="96">
        <f>((Tableau!$G$25-P88)/(AD88^2+Tableau!$G$30^2)^(3/2))*Tableau!$G$29</f>
        <v>67.095236305507754</v>
      </c>
      <c r="Y88" s="96">
        <f>((Tableau!$H$25-Q88)/(AD88^2+Tableau!$G$30^2)^(3/2))*Tableau!$G$29</f>
        <v>421.07801058826368</v>
      </c>
      <c r="Z88" s="96">
        <f>((Tableau!$G$35-P88)/(AE88^2+Tableau!$G$40^2)^(3/2))*Tableau!$G$39</f>
        <v>934.37041868839913</v>
      </c>
      <c r="AA88" s="97">
        <f>((Tableau!$H$35-Q88)/(AE88^2+Tableau!$G$40^2)^(3/2))*Tableau!$G$39</f>
        <v>-346.84575854859105</v>
      </c>
      <c r="AC88" s="110">
        <f>SQRT((Tableau!$G$16-P88)^2+(Tableau!$H$16-Q88)^2)</f>
        <v>45755.166160332941</v>
      </c>
      <c r="AD88" s="111">
        <f>SQRT((Tableau!$G$25-P88)^2+(Tableau!$H$25-Q88)^2)</f>
        <v>18578.143076622073</v>
      </c>
      <c r="AE88" s="112">
        <f>SQRT((Tableau!$G$35-P88)^2+(Tableau!$H$35-Q88)^2)</f>
        <v>19118.431782116608</v>
      </c>
    </row>
    <row r="89" spans="2:31" x14ac:dyDescent="0.25">
      <c r="B89" s="18">
        <v>86</v>
      </c>
      <c r="C89" s="19">
        <f>Tableau!$G$17*COS(B89*PI()/180)+Tableau!$G$16</f>
        <v>20348.782368720626</v>
      </c>
      <c r="D89" s="19">
        <f>Tableau!$G$17*SIN(B89*PI()/180)+Tableau!$H$16</f>
        <v>12487.820251299121</v>
      </c>
      <c r="F89" s="26">
        <v>86</v>
      </c>
      <c r="G89" s="27">
        <f>Tableau!$G$26*COS(F89*PI()/180)+Tableau!$G$25</f>
        <v>-19755.852341895559</v>
      </c>
      <c r="H89" s="27">
        <f>Tableau!$G$26*SIN(F89*PI()/180)+Tableau!$H$25</f>
        <v>13491.474175909385</v>
      </c>
      <c r="J89" s="34">
        <v>86</v>
      </c>
      <c r="K89" s="35">
        <f>Tableau!$G$36*COS(J89*PI()/180)+Tableau!$G$35</f>
        <v>-4651.2176312793727</v>
      </c>
      <c r="L89" s="35">
        <f>Tableau!$G$36*SIN(J89*PI()/180)+Tableau!$H$35</f>
        <v>-10012.179748700879</v>
      </c>
      <c r="N89" s="98">
        <v>85</v>
      </c>
      <c r="O89" s="99">
        <v>42.5</v>
      </c>
      <c r="P89" s="101">
        <f>P88+R88*Tableau!$G$2+((1/2)*T88)*Tableau!$G$2^2</f>
        <v>-21220.874935733256</v>
      </c>
      <c r="Q89" s="101">
        <f>Q88+S88*Tableau!$G$2+((1/2)*U88)*Tableau!$G$2^2</f>
        <v>-6415.2201001053554</v>
      </c>
      <c r="R89" s="101">
        <f>R88+T88*Tableau!$G$2</f>
        <v>3710.0900410837894</v>
      </c>
      <c r="S89" s="101">
        <f>S88+U88*Tableau!$G$2</f>
        <v>3901.697145214132</v>
      </c>
      <c r="T89" s="101">
        <f t="shared" si="2"/>
        <v>1211.2369963692213</v>
      </c>
      <c r="U89" s="101">
        <f t="shared" si="3"/>
        <v>104.67333499051227</v>
      </c>
      <c r="V89" s="101">
        <f>((Tableau!$G$16-P89)/(AC89^2+Tableau!$G$21^2)^(3/2))*Tableau!$G$20</f>
        <v>242.6175744114646</v>
      </c>
      <c r="W89" s="101">
        <f>((Tableau!$H$16-Q89)/(AC89^2+Tableau!$G$21^2)^(3/2))*Tableau!$G$20</f>
        <v>81.902117637066198</v>
      </c>
      <c r="X89" s="101">
        <f>((Tableau!$G$25-P89)/(AD89^2+Tableau!$G$30^2)^(3/2))*Tableau!$G$29</f>
        <v>38.312525053590029</v>
      </c>
      <c r="Y89" s="101">
        <f>((Tableau!$H$25-Q89)/(AD89^2+Tableau!$G$30^2)^(3/2))*Tableau!$G$29</f>
        <v>515.12936578369442</v>
      </c>
      <c r="Z89" s="101">
        <f>((Tableau!$G$35-P89)/(AE89^2+Tableau!$G$40^2)^(3/2))*Tableau!$G$39</f>
        <v>930.30689690416659</v>
      </c>
      <c r="AA89" s="102">
        <f>((Tableau!$H$35-Q89)/(AE89^2+Tableau!$G$40^2)^(3/2))*Tableau!$G$39</f>
        <v>-492.35814843024838</v>
      </c>
      <c r="AC89" s="113">
        <f>SQRT((Tableau!$G$16-P89)^2+(Tableau!$H$16-Q89)^2)</f>
        <v>43506.251055471766</v>
      </c>
      <c r="AD89" s="114">
        <f>SQRT((Tableau!$G$25-P89)^2+(Tableau!$H$25-Q89)^2)</f>
        <v>16460.558512505115</v>
      </c>
      <c r="AE89" s="115">
        <f>SQRT((Tableau!$G$35-P89)^2+(Tableau!$H$35-Q89)^2)</f>
        <v>18352.526518447932</v>
      </c>
    </row>
    <row r="90" spans="2:31" x14ac:dyDescent="0.25">
      <c r="B90" s="20">
        <v>87</v>
      </c>
      <c r="C90" s="21">
        <f>Tableau!$G$17*COS(B90*PI()/180)+Tableau!$G$16</f>
        <v>20261.67978121472</v>
      </c>
      <c r="D90" s="21">
        <f>Tableau!$G$17*SIN(B90*PI()/180)+Tableau!$H$16</f>
        <v>12493.14767377287</v>
      </c>
      <c r="F90" s="28">
        <v>87</v>
      </c>
      <c r="G90" s="29">
        <f>Tableau!$G$26*COS(F90*PI()/180)+Tableau!$G$25</f>
        <v>-19816.824153149697</v>
      </c>
      <c r="H90" s="29">
        <f>Tableau!$G$26*SIN(F90*PI()/180)+Tableau!$H$25</f>
        <v>13495.203371641008</v>
      </c>
      <c r="J90" s="36">
        <v>87</v>
      </c>
      <c r="K90" s="37">
        <f>Tableau!$G$36*COS(J90*PI()/180)+Tableau!$G$35</f>
        <v>-4738.3202187852803</v>
      </c>
      <c r="L90" s="37">
        <f>Tableau!$G$36*SIN(J90*PI()/180)+Tableau!$H$35</f>
        <v>-10006.85232622713</v>
      </c>
      <c r="N90" s="92">
        <v>86</v>
      </c>
      <c r="O90" s="93">
        <v>43</v>
      </c>
      <c r="P90" s="96">
        <f>P89+R89*Tableau!$G$2+((1/2)*T89)*Tableau!$G$2^2</f>
        <v>-19214.425290645206</v>
      </c>
      <c r="Q90" s="96">
        <f>Q89+S89*Tableau!$G$2+((1/2)*U89)*Tableau!$G$2^2</f>
        <v>-4451.2873606244757</v>
      </c>
      <c r="R90" s="96">
        <f>R89+T89*Tableau!$G$2</f>
        <v>4315.7085392684003</v>
      </c>
      <c r="S90" s="96">
        <f>S89+U89*Tableau!$G$2</f>
        <v>3954.0338127093883</v>
      </c>
      <c r="T90" s="96">
        <f t="shared" si="2"/>
        <v>1125.0232501759651</v>
      </c>
      <c r="U90" s="96">
        <f t="shared" si="3"/>
        <v>50.611235954690414</v>
      </c>
      <c r="V90" s="96">
        <f>((Tableau!$G$16-P90)/(AC90^2+Tableau!$G$21^2)^(3/2))*Tableau!$G$20</f>
        <v>273.27084900302094</v>
      </c>
      <c r="W90" s="96">
        <f>((Tableau!$H$16-Q90)/(AC90^2+Tableau!$G$21^2)^(3/2))*Tableau!$G$20</f>
        <v>83.28410832265925</v>
      </c>
      <c r="X90" s="96">
        <f>((Tableau!$G$25-P90)/(AD90^2+Tableau!$G$30^2)^(3/2))*Tableau!$G$29</f>
        <v>-33.954567709127694</v>
      </c>
      <c r="Y90" s="96">
        <f>((Tableau!$H$25-Q90)/(AD90^2+Tableau!$G$30^2)^(3/2))*Tableau!$G$29</f>
        <v>624.62196061962675</v>
      </c>
      <c r="Z90" s="96">
        <f>((Tableau!$G$35-P90)/(AE90^2+Tableau!$G$40^2)^(3/2))*Tableau!$G$39</f>
        <v>885.70696888207181</v>
      </c>
      <c r="AA90" s="97">
        <f>((Tableau!$H$35-Q90)/(AE90^2+Tableau!$G$40^2)^(3/2))*Tableau!$G$39</f>
        <v>-657.29483298759556</v>
      </c>
      <c r="AC90" s="110">
        <f>SQRT((Tableau!$G$16-P90)^2+(Tableau!$H$16-Q90)^2)</f>
        <v>40995.175575326139</v>
      </c>
      <c r="AD90" s="111">
        <f>SQRT((Tableau!$G$25-P90)^2+(Tableau!$H$25-Q90)^2)</f>
        <v>14472.623604700102</v>
      </c>
      <c r="AE90" s="112">
        <f>SQRT((Tableau!$G$35-P90)^2+(Tableau!$H$35-Q90)^2)</f>
        <v>17700.995019813294</v>
      </c>
    </row>
    <row r="91" spans="2:31" x14ac:dyDescent="0.25">
      <c r="B91" s="18">
        <v>88</v>
      </c>
      <c r="C91" s="19">
        <f>Tableau!$G$17*COS(B91*PI()/180)+Tableau!$G$16</f>
        <v>20174.497483512507</v>
      </c>
      <c r="D91" s="19">
        <f>Tableau!$G$17*SIN(B91*PI()/180)+Tableau!$H$16</f>
        <v>12496.954135095479</v>
      </c>
      <c r="F91" s="26">
        <v>88</v>
      </c>
      <c r="G91" s="27">
        <f>Tableau!$G$26*COS(F91*PI()/180)+Tableau!$G$25</f>
        <v>-19877.851761541246</v>
      </c>
      <c r="H91" s="27">
        <f>Tableau!$G$26*SIN(F91*PI()/180)+Tableau!$H$25</f>
        <v>13497.867894566836</v>
      </c>
      <c r="J91" s="34">
        <v>88</v>
      </c>
      <c r="K91" s="35">
        <f>Tableau!$G$36*COS(J91*PI()/180)+Tableau!$G$35</f>
        <v>-4825.5025164874942</v>
      </c>
      <c r="L91" s="35">
        <f>Tableau!$G$36*SIN(J91*PI()/180)+Tableau!$H$35</f>
        <v>-10003.045864904521</v>
      </c>
      <c r="N91" s="98">
        <v>87</v>
      </c>
      <c r="O91" s="99">
        <v>43.5</v>
      </c>
      <c r="P91" s="101">
        <f>P90+R90*Tableau!$G$2+((1/2)*T90)*Tableau!$G$2^2</f>
        <v>-16915.94311473901</v>
      </c>
      <c r="Q91" s="101">
        <f>Q90+S90*Tableau!$G$2+((1/2)*U90)*Tableau!$G$2^2</f>
        <v>-2467.9440497754454</v>
      </c>
      <c r="R91" s="101">
        <f>R90+T90*Tableau!$G$2</f>
        <v>4878.2201643563831</v>
      </c>
      <c r="S91" s="101">
        <f>S90+U90*Tableau!$G$2</f>
        <v>3979.3394306867335</v>
      </c>
      <c r="T91" s="101">
        <f t="shared" si="2"/>
        <v>918.79262452570993</v>
      </c>
      <c r="U91" s="101">
        <f t="shared" si="3"/>
        <v>-23.183864882590115</v>
      </c>
      <c r="V91" s="101">
        <f>((Tableau!$G$16-P91)/(AC91^2+Tableau!$G$21^2)^(3/2))*Tableau!$G$20</f>
        <v>313.06162837513443</v>
      </c>
      <c r="W91" s="101">
        <f>((Tableau!$H$16-Q91)/(AC91^2+Tableau!$G$21^2)^(3/2))*Tableau!$G$20</f>
        <v>84.532062097826071</v>
      </c>
      <c r="X91" s="101">
        <f>((Tableau!$G$25-P91)/(AD91^2+Tableau!$G$30^2)^(3/2))*Tableau!$G$29</f>
        <v>-176.97547438445648</v>
      </c>
      <c r="Y91" s="101">
        <f>((Tableau!$H$25-Q91)/(AD91^2+Tableau!$G$30^2)^(3/2))*Tableau!$G$29</f>
        <v>715.46031571371066</v>
      </c>
      <c r="Z91" s="101">
        <f>((Tableau!$G$35-P91)/(AE91^2+Tableau!$G$40^2)^(3/2))*Tableau!$G$39</f>
        <v>782.70647053503194</v>
      </c>
      <c r="AA91" s="102">
        <f>((Tableau!$H$35-Q91)/(AE91^2+Tableau!$G$40^2)^(3/2))*Tableau!$G$39</f>
        <v>-823.17624269412681</v>
      </c>
      <c r="AC91" s="113">
        <f>SQRT((Tableau!$G$16-P91)^2+(Tableau!$H$16-Q91)^2)</f>
        <v>38238.027729344256</v>
      </c>
      <c r="AD91" s="114">
        <f>SQRT((Tableau!$G$25-P91)^2+(Tableau!$H$25-Q91)^2)</f>
        <v>12843.715805788319</v>
      </c>
      <c r="AE91" s="115">
        <f>SQRT((Tableau!$G$35-P91)^2+(Tableau!$H$35-Q91)^2)</f>
        <v>17292.834546518239</v>
      </c>
    </row>
    <row r="92" spans="2:31" x14ac:dyDescent="0.25">
      <c r="B92" s="20">
        <v>89</v>
      </c>
      <c r="C92" s="21">
        <f>Tableau!$G$17*COS(B92*PI()/180)+Tableau!$G$16</f>
        <v>20087.262032186416</v>
      </c>
      <c r="D92" s="21">
        <f>Tableau!$G$17*SIN(B92*PI()/180)+Tableau!$H$16</f>
        <v>12499.238475781956</v>
      </c>
      <c r="F92" s="28">
        <v>89</v>
      </c>
      <c r="G92" s="29">
        <f>Tableau!$G$26*COS(F92*PI()/180)+Tableau!$G$25</f>
        <v>-19938.916577469507</v>
      </c>
      <c r="H92" s="29">
        <f>Tableau!$G$26*SIN(F92*PI()/180)+Tableau!$H$25</f>
        <v>13499.46693304737</v>
      </c>
      <c r="J92" s="36">
        <v>89</v>
      </c>
      <c r="K92" s="37">
        <f>Tableau!$G$36*COS(J92*PI()/180)+Tableau!$G$35</f>
        <v>-4912.7379678135831</v>
      </c>
      <c r="L92" s="37">
        <f>Tableau!$G$36*SIN(J92*PI()/180)+Tableau!$H$35</f>
        <v>-10000.761524218044</v>
      </c>
      <c r="N92" s="92">
        <v>88</v>
      </c>
      <c r="O92" s="93">
        <v>44</v>
      </c>
      <c r="P92" s="96">
        <f>P91+R91*Tableau!$G$2+((1/2)*T91)*Tableau!$G$2^2</f>
        <v>-14361.983954495105</v>
      </c>
      <c r="Q92" s="96">
        <f>Q91+S91*Tableau!$G$2+((1/2)*U91)*Tableau!$G$2^2</f>
        <v>-481.17231754240237</v>
      </c>
      <c r="R92" s="96">
        <f>R91+T91*Tableau!$G$2</f>
        <v>5337.6164766192378</v>
      </c>
      <c r="S92" s="96">
        <f>S91+U91*Tableau!$G$2</f>
        <v>3967.7474982454387</v>
      </c>
      <c r="T92" s="96">
        <f t="shared" si="2"/>
        <v>596.63766480469121</v>
      </c>
      <c r="U92" s="96">
        <f t="shared" si="3"/>
        <v>-155.94646924360029</v>
      </c>
      <c r="V92" s="96">
        <f>((Tableau!$G$16-P92)/(AC92^2+Tableau!$G$21^2)^(3/2))*Tableau!$G$20</f>
        <v>364.97428538349652</v>
      </c>
      <c r="W92" s="96">
        <f>((Tableau!$H$16-Q92)/(AC92^2+Tableau!$G$21^2)^(3/2))*Tableau!$G$20</f>
        <v>84.77166705435603</v>
      </c>
      <c r="X92" s="96">
        <f>((Tableau!$G$25-P92)/(AD92^2+Tableau!$G$30^2)^(3/2))*Tableau!$G$29</f>
        <v>-384.6719285298056</v>
      </c>
      <c r="Y92" s="96">
        <f>((Tableau!$H$25-Q92)/(AD92^2+Tableau!$G$30^2)^(3/2))*Tableau!$G$29</f>
        <v>715.11197132132168</v>
      </c>
      <c r="Z92" s="96">
        <f>((Tableau!$G$35-P92)/(AE92^2+Tableau!$G$40^2)^(3/2))*Tableau!$G$39</f>
        <v>616.33530795100023</v>
      </c>
      <c r="AA92" s="97">
        <f>((Tableau!$H$35-Q92)/(AE92^2+Tableau!$G$40^2)^(3/2))*Tableau!$G$39</f>
        <v>-955.83010761927801</v>
      </c>
      <c r="AC92" s="110">
        <f>SQRT((Tableau!$G$16-P92)^2+(Tableau!$H$16-Q92)^2)</f>
        <v>35276.692770883215</v>
      </c>
      <c r="AD92" s="111">
        <f>SQRT((Tableau!$G$25-P92)^2+(Tableau!$H$25-Q92)^2)</f>
        <v>11901.352783586741</v>
      </c>
      <c r="AE92" s="112">
        <f>SQRT((Tableau!$G$35-P92)^2+(Tableau!$H$35-Q92)^2)</f>
        <v>17275.50580553637</v>
      </c>
    </row>
    <row r="93" spans="2:31" x14ac:dyDescent="0.25">
      <c r="B93" s="18">
        <v>90</v>
      </c>
      <c r="C93" s="19">
        <f>Tableau!$G$17*COS(B93*PI()/180)+Tableau!$G$16</f>
        <v>20000</v>
      </c>
      <c r="D93" s="19">
        <f>Tableau!$G$17*SIN(B93*PI()/180)+Tableau!$H$16</f>
        <v>12500</v>
      </c>
      <c r="F93" s="26">
        <v>90</v>
      </c>
      <c r="G93" s="27">
        <f>Tableau!$G$26*COS(F93*PI()/180)+Tableau!$G$25</f>
        <v>-20000</v>
      </c>
      <c r="H93" s="27">
        <f>Tableau!$G$26*SIN(F93*PI()/180)+Tableau!$H$25</f>
        <v>13500</v>
      </c>
      <c r="J93" s="34">
        <v>90</v>
      </c>
      <c r="K93" s="35">
        <f>Tableau!$G$36*COS(J93*PI()/180)+Tableau!$G$35</f>
        <v>-5000</v>
      </c>
      <c r="L93" s="35">
        <f>Tableau!$G$36*SIN(J93*PI()/180)+Tableau!$H$35</f>
        <v>-10000</v>
      </c>
      <c r="N93" s="98">
        <v>89</v>
      </c>
      <c r="O93" s="99">
        <v>44.5</v>
      </c>
      <c r="P93" s="101">
        <f>P92+R92*Tableau!$G$2+((1/2)*T92)*Tableau!$G$2^2</f>
        <v>-11618.5960080849</v>
      </c>
      <c r="Q93" s="101">
        <f>Q92+S92*Tableau!$G$2+((1/2)*U92)*Tableau!$G$2^2</f>
        <v>1483.208122924867</v>
      </c>
      <c r="R93" s="101">
        <f>R92+T92*Tableau!$G$2</f>
        <v>5635.9353090215836</v>
      </c>
      <c r="S93" s="101">
        <f>S92+U92*Tableau!$G$2</f>
        <v>3889.7742636236385</v>
      </c>
      <c r="T93" s="101">
        <f t="shared" si="2"/>
        <v>274.84415769883043</v>
      </c>
      <c r="U93" s="101">
        <f t="shared" si="3"/>
        <v>-360.82262456074534</v>
      </c>
      <c r="V93" s="101">
        <f>((Tableau!$G$16-P93)/(AC93^2+Tableau!$G$21^2)^(3/2))*Tableau!$G$20</f>
        <v>432.42381812279086</v>
      </c>
      <c r="W93" s="101">
        <f>((Tableau!$H$16-Q93)/(AC93^2+Tableau!$G$21^2)^(3/2))*Tableau!$G$20</f>
        <v>82.287148856000428</v>
      </c>
      <c r="X93" s="101">
        <f>((Tableau!$G$25-P93)/(AD93^2+Tableau!$G$30^2)^(3/2))*Tableau!$G$29</f>
        <v>-566.75068845774126</v>
      </c>
      <c r="Y93" s="101">
        <f>((Tableau!$H$25-Q93)/(AD93^2+Tableau!$G$30^2)^(3/2))*Tableau!$G$29</f>
        <v>575.90561968373902</v>
      </c>
      <c r="Z93" s="101">
        <f>((Tableau!$G$35-P93)/(AE93^2+Tableau!$G$40^2)^(3/2))*Tableau!$G$39</f>
        <v>409.17102803378083</v>
      </c>
      <c r="AA93" s="102">
        <f>((Tableau!$H$35-Q93)/(AE93^2+Tableau!$G$40^2)^(3/2))*Tableau!$G$39</f>
        <v>-1019.0153931004847</v>
      </c>
      <c r="AC93" s="113">
        <f>SQRT((Tableau!$G$16-P93)^2+(Tableau!$H$16-Q93)^2)</f>
        <v>32185.981389644152</v>
      </c>
      <c r="AD93" s="114">
        <f>SQRT((Tableau!$G$25-P93)^2+(Tableau!$H$25-Q93)^2)</f>
        <v>11949.212390492661</v>
      </c>
      <c r="AE93" s="115">
        <f>SQRT((Tableau!$G$35-P93)^2+(Tableau!$H$35-Q93)^2)</f>
        <v>17762.374929662237</v>
      </c>
    </row>
    <row r="94" spans="2:31" x14ac:dyDescent="0.25">
      <c r="B94" s="20">
        <v>91</v>
      </c>
      <c r="C94" s="21">
        <f>Tableau!$G$17*COS(B94*PI()/180)+Tableau!$G$16</f>
        <v>19912.737967813584</v>
      </c>
      <c r="D94" s="21">
        <f>Tableau!$G$17*SIN(B94*PI()/180)+Tableau!$H$16</f>
        <v>12499.238475781956</v>
      </c>
      <c r="F94" s="28">
        <v>91</v>
      </c>
      <c r="G94" s="29">
        <f>Tableau!$G$26*COS(F94*PI()/180)+Tableau!$G$25</f>
        <v>-20061.083422530493</v>
      </c>
      <c r="H94" s="29">
        <f>Tableau!$G$26*SIN(F94*PI()/180)+Tableau!$H$25</f>
        <v>13499.46693304737</v>
      </c>
      <c r="J94" s="36">
        <v>91</v>
      </c>
      <c r="K94" s="37">
        <f>Tableau!$G$36*COS(J94*PI()/180)+Tableau!$G$35</f>
        <v>-5087.2620321864169</v>
      </c>
      <c r="L94" s="37">
        <f>Tableau!$G$36*SIN(J94*PI()/180)+Tableau!$H$35</f>
        <v>-10000.761524218044</v>
      </c>
      <c r="N94" s="92">
        <v>90</v>
      </c>
      <c r="O94" s="93">
        <v>45</v>
      </c>
      <c r="P94" s="96">
        <f>P93+R93*Tableau!$G$2+((1/2)*T93)*Tableau!$G$2^2</f>
        <v>-8766.2728338617544</v>
      </c>
      <c r="Q94" s="96">
        <f>Q93+S93*Tableau!$G$2+((1/2)*U93)*Tableau!$G$2^2</f>
        <v>3382.992426666593</v>
      </c>
      <c r="R94" s="96">
        <f>R93+T93*Tableau!$G$2</f>
        <v>5773.3573878709985</v>
      </c>
      <c r="S94" s="96">
        <f>S93+U93*Tableau!$G$2</f>
        <v>3709.3629513432656</v>
      </c>
      <c r="T94" s="96">
        <f t="shared" si="2"/>
        <v>101.47312560728622</v>
      </c>
      <c r="U94" s="96">
        <f t="shared" si="3"/>
        <v>-560.23605674362284</v>
      </c>
      <c r="V94" s="96">
        <f>((Tableau!$G$16-P94)/(AC94^2+Tableau!$G$21^2)^(3/2))*Tableau!$G$20</f>
        <v>518.93743376206987</v>
      </c>
      <c r="W94" s="96">
        <f>((Tableau!$H$16-Q94)/(AC94^2+Tableau!$G$21^2)^(3/2))*Tableau!$G$20</f>
        <v>74.269939565119273</v>
      </c>
      <c r="X94" s="96">
        <f>((Tableau!$G$25-P94)/(AD94^2+Tableau!$G$30^2)^(3/2))*Tableau!$G$29</f>
        <v>-622.59514093349662</v>
      </c>
      <c r="Y94" s="96">
        <f>((Tableau!$H$25-Q94)/(AD94^2+Tableau!$G$30^2)^(3/2))*Tableau!$G$29</f>
        <v>366.72750742029444</v>
      </c>
      <c r="Z94" s="96">
        <f>((Tableau!$G$35-P94)/(AE94^2+Tableau!$G$40^2)^(3/2))*Tableau!$G$39</f>
        <v>205.13083277871297</v>
      </c>
      <c r="AA94" s="97">
        <f>((Tableau!$H$35-Q94)/(AE94^2+Tableau!$G$40^2)^(3/2))*Tableau!$G$39</f>
        <v>-1001.2335037290366</v>
      </c>
      <c r="AC94" s="110">
        <f>SQRT((Tableau!$G$16-P94)^2+(Tableau!$H$16-Q94)^2)</f>
        <v>29059.390979699787</v>
      </c>
      <c r="AD94" s="111">
        <f>SQRT((Tableau!$G$25-P94)^2+(Tableau!$H$25-Q94)^2)</f>
        <v>13037.692099017528</v>
      </c>
      <c r="AE94" s="112">
        <f>SQRT((Tableau!$G$35-P94)^2+(Tableau!$H$35-Q94)^2)</f>
        <v>18764.840037100403</v>
      </c>
    </row>
    <row r="95" spans="2:31" x14ac:dyDescent="0.25">
      <c r="B95" s="18">
        <v>92</v>
      </c>
      <c r="C95" s="19">
        <f>Tableau!$G$17*COS(B95*PI()/180)+Tableau!$G$16</f>
        <v>19825.502516487497</v>
      </c>
      <c r="D95" s="19">
        <f>Tableau!$G$17*SIN(B95*PI()/180)+Tableau!$H$16</f>
        <v>12496.954135095479</v>
      </c>
      <c r="F95" s="26">
        <v>92</v>
      </c>
      <c r="G95" s="27">
        <f>Tableau!$G$26*COS(F95*PI()/180)+Tableau!$G$25</f>
        <v>-20122.148238458754</v>
      </c>
      <c r="H95" s="27">
        <f>Tableau!$G$26*SIN(F95*PI()/180)+Tableau!$H$25</f>
        <v>13497.867894566836</v>
      </c>
      <c r="J95" s="34">
        <v>92</v>
      </c>
      <c r="K95" s="35">
        <f>Tableau!$G$36*COS(J95*PI()/180)+Tableau!$G$35</f>
        <v>-5174.497483512504</v>
      </c>
      <c r="L95" s="35">
        <f>Tableau!$G$36*SIN(J95*PI()/180)+Tableau!$H$35</f>
        <v>-10003.045864904521</v>
      </c>
      <c r="N95" s="98">
        <v>91</v>
      </c>
      <c r="O95" s="99">
        <v>45.5</v>
      </c>
      <c r="P95" s="101">
        <f>P94+R94*Tableau!$G$2+((1/2)*T94)*Tableau!$G$2^2</f>
        <v>-5866.909999225345</v>
      </c>
      <c r="Q95" s="101">
        <f>Q94+S94*Tableau!$G$2+((1/2)*U94)*Tableau!$G$2^2</f>
        <v>5167.6443952452728</v>
      </c>
      <c r="R95" s="101">
        <f>R94+T94*Tableau!$G$2</f>
        <v>5824.0939506746417</v>
      </c>
      <c r="S95" s="101">
        <f>S94+U94*Tableau!$G$2</f>
        <v>3429.2449229714543</v>
      </c>
      <c r="T95" s="101">
        <f t="shared" si="2"/>
        <v>102.50439645357983</v>
      </c>
      <c r="U95" s="101">
        <f t="shared" si="3"/>
        <v>-673.65858500954425</v>
      </c>
      <c r="V95" s="101">
        <f>((Tableau!$G$16-P95)/(AC95^2+Tableau!$G$21^2)^(3/2))*Tableau!$G$20</f>
        <v>628.31870925071098</v>
      </c>
      <c r="W95" s="101">
        <f>((Tableau!$H$16-Q95)/(AC95^2+Tableau!$G$21^2)^(3/2))*Tableau!$G$20</f>
        <v>56.653951443641269</v>
      </c>
      <c r="X95" s="101">
        <f>((Tableau!$G$25-P95)/(AD95^2+Tableau!$G$30^2)^(3/2))*Tableau!$G$29</f>
        <v>-565.5185894928228</v>
      </c>
      <c r="Y95" s="101">
        <f>((Tableau!$H$25-Q95)/(AD95^2+Tableau!$G$30^2)^(3/2))*Tableau!$G$29</f>
        <v>193.36089456579151</v>
      </c>
      <c r="Z95" s="101">
        <f>((Tableau!$G$35-P95)/(AE95^2+Tableau!$G$40^2)^(3/2))*Tableau!$G$39</f>
        <v>39.704276695691654</v>
      </c>
      <c r="AA95" s="102">
        <f>((Tableau!$H$35-Q95)/(AE95^2+Tableau!$G$40^2)^(3/2))*Tableau!$G$39</f>
        <v>-923.673431018977</v>
      </c>
      <c r="AC95" s="113">
        <f>SQRT((Tableau!$G$16-P95)^2+(Tableau!$H$16-Q95)^2)</f>
        <v>25971.8485205627</v>
      </c>
      <c r="AD95" s="114">
        <f>SQRT((Tableau!$G$25-P95)^2+(Tableau!$H$25-Q95)^2)</f>
        <v>14936.394935217833</v>
      </c>
      <c r="AE95" s="115">
        <f>SQRT((Tableau!$G$35-P95)^2+(Tableau!$H$35-Q95)^2)</f>
        <v>20186.267941346287</v>
      </c>
    </row>
    <row r="96" spans="2:31" x14ac:dyDescent="0.25">
      <c r="B96" s="20">
        <v>93</v>
      </c>
      <c r="C96" s="21">
        <f>Tableau!$G$17*COS(B96*PI()/180)+Tableau!$G$16</f>
        <v>19738.32021878528</v>
      </c>
      <c r="D96" s="21">
        <f>Tableau!$G$17*SIN(B96*PI()/180)+Tableau!$H$16</f>
        <v>12493.14767377287</v>
      </c>
      <c r="F96" s="28">
        <v>93</v>
      </c>
      <c r="G96" s="29">
        <f>Tableau!$G$26*COS(F96*PI()/180)+Tableau!$G$25</f>
        <v>-20183.175846850303</v>
      </c>
      <c r="H96" s="29">
        <f>Tableau!$G$26*SIN(F96*PI()/180)+Tableau!$H$25</f>
        <v>13495.203371641008</v>
      </c>
      <c r="J96" s="36">
        <v>93</v>
      </c>
      <c r="K96" s="37">
        <f>Tableau!$G$36*COS(J96*PI()/180)+Tableau!$G$35</f>
        <v>-5261.6797812147179</v>
      </c>
      <c r="L96" s="37">
        <f>Tableau!$G$36*SIN(J96*PI()/180)+Tableau!$H$35</f>
        <v>-10006.85232622713</v>
      </c>
      <c r="N96" s="92">
        <v>92</v>
      </c>
      <c r="O96" s="93">
        <v>46</v>
      </c>
      <c r="P96" s="96">
        <f>P95+R95*Tableau!$G$2+((1/2)*T95)*Tableau!$G$2^2</f>
        <v>-2942.0499743313267</v>
      </c>
      <c r="Q96" s="96">
        <f>Q95+S95*Tableau!$G$2+((1/2)*U95)*Tableau!$G$2^2</f>
        <v>6798.0595336048073</v>
      </c>
      <c r="R96" s="96">
        <f>R95+T95*Tableau!$G$2</f>
        <v>5875.3461489014317</v>
      </c>
      <c r="S96" s="96">
        <f>S95+U95*Tableau!$G$2</f>
        <v>3092.4156304666822</v>
      </c>
      <c r="T96" s="96">
        <f t="shared" si="2"/>
        <v>220.75793724714703</v>
      </c>
      <c r="U96" s="96">
        <f t="shared" si="3"/>
        <v>-707.23176336268955</v>
      </c>
      <c r="V96" s="96">
        <f>((Tableau!$G$16-P96)/(AC96^2+Tableau!$G$21^2)^(3/2))*Tableau!$G$20</f>
        <v>765.43054870491608</v>
      </c>
      <c r="W96" s="96">
        <f>((Tableau!$H$16-Q96)/(AC96^2+Tableau!$G$21^2)^(3/2))*Tableau!$G$20</f>
        <v>23.419296747770986</v>
      </c>
      <c r="X96" s="96">
        <f>((Tableau!$G$25-P96)/(AD96^2+Tableau!$G$30^2)^(3/2))*Tableau!$G$29</f>
        <v>-467.40876469244819</v>
      </c>
      <c r="Y96" s="96">
        <f>((Tableau!$H$25-Q96)/(AD96^2+Tableau!$G$30^2)^(3/2))*Tableau!$G$29</f>
        <v>87.737098289328046</v>
      </c>
      <c r="Z96" s="96">
        <f>((Tableau!$G$35-P96)/(AE96^2+Tableau!$G$40^2)^(3/2))*Tableau!$G$39</f>
        <v>-77.263846765320849</v>
      </c>
      <c r="AA96" s="97">
        <f>((Tableau!$H$35-Q96)/(AE96^2+Tableau!$G$40^2)^(3/2))*Tableau!$G$39</f>
        <v>-818.38815839978861</v>
      </c>
      <c r="AC96" s="110">
        <f>SQRT((Tableau!$G$16-P96)^2+(Tableau!$H$16-Q96)^2)</f>
        <v>22952.785831856643</v>
      </c>
      <c r="AD96" s="111">
        <f>SQRT((Tableau!$G$25-P96)^2+(Tableau!$H$25-Q96)^2)</f>
        <v>17355.86591987127</v>
      </c>
      <c r="AE96" s="112">
        <f>SQRT((Tableau!$G$35-P96)^2+(Tableau!$H$35-Q96)^2)</f>
        <v>21894.989329495667</v>
      </c>
    </row>
    <row r="97" spans="2:31" x14ac:dyDescent="0.25">
      <c r="B97" s="18">
        <v>94</v>
      </c>
      <c r="C97" s="19">
        <f>Tableau!$G$17*COS(B97*PI()/180)+Tableau!$G$16</f>
        <v>19651.217631279374</v>
      </c>
      <c r="D97" s="19">
        <f>Tableau!$G$17*SIN(B97*PI()/180)+Tableau!$H$16</f>
        <v>12487.820251299121</v>
      </c>
      <c r="F97" s="26">
        <v>94</v>
      </c>
      <c r="G97" s="27">
        <f>Tableau!$G$26*COS(F97*PI()/180)+Tableau!$G$25</f>
        <v>-20244.147658104437</v>
      </c>
      <c r="H97" s="27">
        <f>Tableau!$G$26*SIN(F97*PI()/180)+Tableau!$H$25</f>
        <v>13491.474175909385</v>
      </c>
      <c r="J97" s="34">
        <v>94</v>
      </c>
      <c r="K97" s="35">
        <f>Tableau!$G$36*COS(J97*PI()/180)+Tableau!$G$35</f>
        <v>-5348.7823687206264</v>
      </c>
      <c r="L97" s="35">
        <f>Tableau!$G$36*SIN(J97*PI()/180)+Tableau!$H$35</f>
        <v>-10012.179748700879</v>
      </c>
      <c r="N97" s="98">
        <v>93</v>
      </c>
      <c r="O97" s="99">
        <v>46.5</v>
      </c>
      <c r="P97" s="101">
        <f>P96+R96*Tableau!$G$2+((1/2)*T96)*Tableau!$G$2^2</f>
        <v>23.217842275282543</v>
      </c>
      <c r="Q97" s="101">
        <f>Q96+S96*Tableau!$G$2+((1/2)*U96)*Tableau!$G$2^2</f>
        <v>8255.863378417811</v>
      </c>
      <c r="R97" s="101">
        <f>R96+T96*Tableau!$G$2</f>
        <v>5985.7251175250049</v>
      </c>
      <c r="S97" s="101">
        <f>S96+U96*Tableau!$G$2</f>
        <v>2738.7997487853372</v>
      </c>
      <c r="T97" s="101">
        <f t="shared" si="2"/>
        <v>410.54289145197663</v>
      </c>
      <c r="U97" s="101">
        <f t="shared" si="3"/>
        <v>-711.30415115295125</v>
      </c>
      <c r="V97" s="101">
        <f>((Tableau!$G$16-P97)/(AC97^2+Tableau!$G$21^2)^(3/2))*Tableau!$G$20</f>
        <v>936.55706256767996</v>
      </c>
      <c r="W97" s="101">
        <f>((Tableau!$H$16-Q97)/(AC97^2+Tableau!$G$21^2)^(3/2))*Tableau!$G$20</f>
        <v>-35.436597336059457</v>
      </c>
      <c r="X97" s="101">
        <f>((Tableau!$G$25-P97)/(AD97^2+Tableau!$G$30^2)^(3/2))*Tableau!$G$29</f>
        <v>-373.0101376210884</v>
      </c>
      <c r="Y97" s="101">
        <f>((Tableau!$H$25-Q97)/(AD97^2+Tableau!$G$30^2)^(3/2))*Tableau!$G$29</f>
        <v>32.49131315311233</v>
      </c>
      <c r="Z97" s="101">
        <f>((Tableau!$G$35-P97)/(AE97^2+Tableau!$G$40^2)^(3/2))*Tableau!$G$39</f>
        <v>-153.00403349461496</v>
      </c>
      <c r="AA97" s="102">
        <f>((Tableau!$H$35-Q97)/(AE97^2+Tableau!$G$40^2)^(3/2))*Tableau!$G$39</f>
        <v>-708.3588669700041</v>
      </c>
      <c r="AC97" s="113">
        <f>SQRT((Tableau!$G$16-P97)^2+(Tableau!$H$16-Q97)^2)</f>
        <v>19991.076880048804</v>
      </c>
      <c r="AD97" s="114">
        <f>SQRT((Tableau!$G$25-P97)^2+(Tableau!$H$25-Q97)^2)</f>
        <v>20099.036427499588</v>
      </c>
      <c r="AE97" s="115">
        <f>SQRT((Tableau!$G$35-P97)^2+(Tableau!$H$35-Q97)^2)</f>
        <v>23792.181467166633</v>
      </c>
    </row>
    <row r="98" spans="2:31" x14ac:dyDescent="0.25">
      <c r="B98" s="20">
        <v>95</v>
      </c>
      <c r="C98" s="21">
        <f>Tableau!$G$17*COS(B98*PI()/180)+Tableau!$G$16</f>
        <v>19564.221286261709</v>
      </c>
      <c r="D98" s="21">
        <f>Tableau!$G$17*SIN(B98*PI()/180)+Tableau!$H$16</f>
        <v>12480.973490458728</v>
      </c>
      <c r="F98" s="28">
        <v>95</v>
      </c>
      <c r="G98" s="29">
        <f>Tableau!$G$26*COS(F98*PI()/180)+Tableau!$G$25</f>
        <v>-20305.045099616804</v>
      </c>
      <c r="H98" s="29">
        <f>Tableau!$G$26*SIN(F98*PI()/180)+Tableau!$H$25</f>
        <v>13486.681443321109</v>
      </c>
      <c r="J98" s="36">
        <v>95</v>
      </c>
      <c r="K98" s="37">
        <f>Tableau!$G$36*COS(J98*PI()/180)+Tableau!$G$35</f>
        <v>-5435.7787137382911</v>
      </c>
      <c r="L98" s="37">
        <f>Tableau!$G$36*SIN(J98*PI()/180)+Tableau!$H$35</f>
        <v>-10019.026509541272</v>
      </c>
      <c r="N98" s="92">
        <v>94</v>
      </c>
      <c r="O98" s="93">
        <v>47</v>
      </c>
      <c r="P98" s="96">
        <f>P97+R97*Tableau!$G$2+((1/2)*T97)*Tableau!$G$2^2</f>
        <v>3067.3982624692821</v>
      </c>
      <c r="Q98" s="96">
        <f>Q97+S97*Tableau!$G$2+((1/2)*U97)*Tableau!$G$2^2</f>
        <v>9536.3502339163624</v>
      </c>
      <c r="R98" s="96">
        <f>R97+T97*Tableau!$G$2</f>
        <v>6190.9965632509929</v>
      </c>
      <c r="S98" s="96">
        <f>S97+U97*Tableau!$G$2</f>
        <v>2383.1476732088618</v>
      </c>
      <c r="T98" s="96">
        <f t="shared" si="2"/>
        <v>652.94988301187402</v>
      </c>
      <c r="U98" s="96">
        <f t="shared" si="3"/>
        <v>-736.7088928880529</v>
      </c>
      <c r="V98" s="96">
        <f>((Tableau!$G$16-P98)/(AC98^2+Tableau!$G$21^2)^(3/2))*Tableau!$G$20</f>
        <v>1147.3368295627802</v>
      </c>
      <c r="W98" s="96">
        <f>((Tableau!$H$16-Q98)/(AC98^2+Tableau!$G$21^2)^(3/2))*Tableau!$G$20</f>
        <v>-137.98113588666615</v>
      </c>
      <c r="X98" s="96">
        <f>((Tableau!$G$25-P98)/(AD98^2+Tableau!$G$30^2)^(3/2))*Tableau!$G$29</f>
        <v>-295.57564450605747</v>
      </c>
      <c r="Y98" s="96">
        <f>((Tableau!$H$25-Q98)/(AD98^2+Tableau!$G$30^2)^(3/2))*Tableau!$G$29</f>
        <v>5.941007168468766</v>
      </c>
      <c r="Z98" s="96">
        <f>((Tableau!$G$35-P98)/(AE98^2+Tableau!$G$40^2)^(3/2))*Tableau!$G$39</f>
        <v>-198.81130204484873</v>
      </c>
      <c r="AA98" s="97">
        <f>((Tableau!$H$35-Q98)/(AE98^2+Tableau!$G$40^2)^(3/2))*Tableau!$G$39</f>
        <v>-604.66876416985554</v>
      </c>
      <c r="AC98" s="110">
        <f>SQRT((Tableau!$G$16-P98)^2+(Tableau!$H$16-Q98)^2)</f>
        <v>17054.610047638129</v>
      </c>
      <c r="AD98" s="111">
        <f>SQRT((Tableau!$G$25-P98)^2+(Tableau!$H$25-Q98)^2)</f>
        <v>23072.057422452821</v>
      </c>
      <c r="AE98" s="112">
        <f>SQRT((Tableau!$G$35-P98)^2+(Tableau!$H$35-Q98)^2)</f>
        <v>25828.577148706812</v>
      </c>
    </row>
    <row r="99" spans="2:31" x14ac:dyDescent="0.25">
      <c r="B99" s="18">
        <v>96</v>
      </c>
      <c r="C99" s="19">
        <f>Tableau!$G$17*COS(B99*PI()/180)+Tableau!$G$16</f>
        <v>19477.357683661732</v>
      </c>
      <c r="D99" s="19">
        <f>Tableau!$G$17*SIN(B99*PI()/180)+Tableau!$H$16</f>
        <v>12472.609476841368</v>
      </c>
      <c r="F99" s="26">
        <v>96</v>
      </c>
      <c r="G99" s="27">
        <f>Tableau!$G$26*COS(F99*PI()/180)+Tableau!$G$25</f>
        <v>-20365.849621436788</v>
      </c>
      <c r="H99" s="27">
        <f>Tableau!$G$26*SIN(F99*PI()/180)+Tableau!$H$25</f>
        <v>13480.826633788956</v>
      </c>
      <c r="J99" s="34">
        <v>96</v>
      </c>
      <c r="K99" s="35">
        <f>Tableau!$G$36*COS(J99*PI()/180)+Tableau!$G$35</f>
        <v>-5522.6423163382669</v>
      </c>
      <c r="L99" s="35">
        <f>Tableau!$G$36*SIN(J99*PI()/180)+Tableau!$H$35</f>
        <v>-10027.390523158632</v>
      </c>
      <c r="N99" s="98">
        <v>95</v>
      </c>
      <c r="O99" s="99">
        <v>47.5</v>
      </c>
      <c r="P99" s="101">
        <f>P98+R98*Tableau!$G$2+((1/2)*T98)*Tableau!$G$2^2</f>
        <v>6244.5152794712631</v>
      </c>
      <c r="Q99" s="101">
        <f>Q98+S98*Tableau!$G$2+((1/2)*U98)*Tableau!$G$2^2</f>
        <v>10635.835458909787</v>
      </c>
      <c r="R99" s="101">
        <f>R98+T98*Tableau!$G$2</f>
        <v>6517.4715047569298</v>
      </c>
      <c r="S99" s="101">
        <f>S98+U98*Tableau!$G$2</f>
        <v>2014.7932267648353</v>
      </c>
      <c r="T99" s="101">
        <f t="shared" si="2"/>
        <v>933.56935716194482</v>
      </c>
      <c r="U99" s="101">
        <f t="shared" si="3"/>
        <v>-834.21171524767533</v>
      </c>
      <c r="V99" s="101">
        <f>((Tableau!$G$16-P99)/(AC99^2+Tableau!$G$21^2)^(3/2))*Tableau!$G$20</f>
        <v>1392.7261489623579</v>
      </c>
      <c r="W99" s="101">
        <f>((Tableau!$H$16-Q99)/(AC99^2+Tableau!$G$21^2)^(3/2))*Tableau!$G$20</f>
        <v>-317.4995379078988</v>
      </c>
      <c r="X99" s="101">
        <f>((Tableau!$G$25-P99)/(AD99^2+Tableau!$G$30^2)^(3/2))*Tableau!$G$29</f>
        <v>-235.01137577901488</v>
      </c>
      <c r="Y99" s="101">
        <f>((Tableau!$H$25-Q99)/(AD99^2+Tableau!$G$30^2)^(3/2))*Tableau!$G$29</f>
        <v>-5.693706451662111</v>
      </c>
      <c r="Z99" s="101">
        <f>((Tableau!$G$35-P99)/(AE99^2+Tableau!$G$40^2)^(3/2))*Tableau!$G$39</f>
        <v>-224.14541602139806</v>
      </c>
      <c r="AA99" s="102">
        <f>((Tableau!$H$35-Q99)/(AE99^2+Tableau!$G$40^2)^(3/2))*Tableau!$G$39</f>
        <v>-511.01847088811434</v>
      </c>
      <c r="AC99" s="113">
        <f>SQRT((Tableau!$G$16-P99)^2+(Tableau!$H$16-Q99)^2)</f>
        <v>14108.395511965757</v>
      </c>
      <c r="AD99" s="114">
        <f>SQRT((Tableau!$G$25-P99)^2+(Tableau!$H$25-Q99)^2)</f>
        <v>26252.216458524177</v>
      </c>
      <c r="AE99" s="115">
        <f>SQRT((Tableau!$G$35-P99)^2+(Tableau!$H$35-Q99)^2)</f>
        <v>27993.48466244528</v>
      </c>
    </row>
    <row r="100" spans="2:31" x14ac:dyDescent="0.25">
      <c r="B100" s="20">
        <v>97</v>
      </c>
      <c r="C100" s="21">
        <f>Tableau!$G$17*COS(B100*PI()/180)+Tableau!$G$16</f>
        <v>19390.653282974265</v>
      </c>
      <c r="D100" s="21">
        <f>Tableau!$G$17*SIN(B100*PI()/180)+Tableau!$H$16</f>
        <v>12462.73075820661</v>
      </c>
      <c r="F100" s="28">
        <v>97</v>
      </c>
      <c r="G100" s="29">
        <f>Tableau!$G$26*COS(F100*PI()/180)+Tableau!$G$25</f>
        <v>-20426.542701918017</v>
      </c>
      <c r="H100" s="29">
        <f>Tableau!$G$26*SIN(F100*PI()/180)+Tableau!$H$25</f>
        <v>13473.911530744626</v>
      </c>
      <c r="J100" s="36">
        <v>97</v>
      </c>
      <c r="K100" s="37">
        <f>Tableau!$G$36*COS(J100*PI()/180)+Tableau!$G$35</f>
        <v>-5609.3467170257372</v>
      </c>
      <c r="L100" s="37">
        <f>Tableau!$G$36*SIN(J100*PI()/180)+Tableau!$H$35</f>
        <v>-10037.26924179339</v>
      </c>
      <c r="N100" s="92">
        <v>96</v>
      </c>
      <c r="O100" s="93">
        <v>48</v>
      </c>
      <c r="P100" s="96">
        <f>P99+R99*Tableau!$G$2+((1/2)*T99)*Tableau!$G$2^2</f>
        <v>9619.9472014949715</v>
      </c>
      <c r="Q100" s="96">
        <f>Q99+S99*Tableau!$G$2+((1/2)*U99)*Tableau!$G$2^2</f>
        <v>11538.955607886246</v>
      </c>
      <c r="R100" s="96">
        <f>R99+T99*Tableau!$G$2</f>
        <v>6984.2561833379023</v>
      </c>
      <c r="S100" s="96">
        <f>S99+U99*Tableau!$G$2</f>
        <v>1597.6873691409976</v>
      </c>
      <c r="T100" s="96">
        <f t="shared" si="2"/>
        <v>1196.9085441347397</v>
      </c>
      <c r="U100" s="96">
        <f t="shared" si="3"/>
        <v>-1068.1061948798088</v>
      </c>
      <c r="V100" s="96">
        <f>((Tableau!$G$16-P100)/(AC100^2+Tableau!$G$21^2)^(3/2))*Tableau!$G$20</f>
        <v>1620.524449412472</v>
      </c>
      <c r="W100" s="96">
        <f>((Tableau!$H$16-Q100)/(AC100^2+Tableau!$G$21^2)^(3/2))*Tableau!$G$20</f>
        <v>-630.55809442645045</v>
      </c>
      <c r="X100" s="96">
        <f>((Tableau!$G$25-P100)/(AD100^2+Tableau!$G$30^2)^(3/2))*Tableau!$G$29</f>
        <v>-187.95638365000909</v>
      </c>
      <c r="Y100" s="96">
        <f>((Tableau!$H$25-Q100)/(AD100^2+Tableau!$G$30^2)^(3/2))*Tableau!$G$29</f>
        <v>-9.7655991311693118</v>
      </c>
      <c r="Z100" s="96">
        <f>((Tableau!$G$35-P100)/(AE100^2+Tableau!$G$40^2)^(3/2))*Tableau!$G$39</f>
        <v>-235.65952162772328</v>
      </c>
      <c r="AA100" s="97">
        <f>((Tableau!$H$35-Q100)/(AE100^2+Tableau!$G$40^2)^(3/2))*Tableau!$G$39</f>
        <v>-427.78250132218898</v>
      </c>
      <c r="AC100" s="110">
        <f>SQRT((Tableau!$G$16-P100)^2+(Tableau!$H$16-Q100)^2)</f>
        <v>11138.162258749324</v>
      </c>
      <c r="AD100" s="111">
        <f>SQRT((Tableau!$G$25-P100)^2+(Tableau!$H$25-Q100)^2)</f>
        <v>29659.899807355963</v>
      </c>
      <c r="AE100" s="112">
        <f>SQRT((Tableau!$G$35-P100)^2+(Tableau!$H$35-Q100)^2)</f>
        <v>30299.488789942599</v>
      </c>
    </row>
    <row r="101" spans="2:31" x14ac:dyDescent="0.25">
      <c r="B101" s="18">
        <v>98</v>
      </c>
      <c r="C101" s="19">
        <f>Tableau!$G$17*COS(B101*PI()/180)+Tableau!$G$16</f>
        <v>19304.134495199673</v>
      </c>
      <c r="D101" s="19">
        <f>Tableau!$G$17*SIN(B101*PI()/180)+Tableau!$H$16</f>
        <v>12451.340343707852</v>
      </c>
      <c r="F101" s="26">
        <v>98</v>
      </c>
      <c r="G101" s="27">
        <f>Tableau!$G$26*COS(F101*PI()/180)+Tableau!$G$25</f>
        <v>-20487.10585336023</v>
      </c>
      <c r="H101" s="27">
        <f>Tableau!$G$26*SIN(F101*PI()/180)+Tableau!$H$25</f>
        <v>13465.938240595497</v>
      </c>
      <c r="J101" s="34">
        <v>98</v>
      </c>
      <c r="K101" s="35">
        <f>Tableau!$G$36*COS(J101*PI()/180)+Tableau!$G$35</f>
        <v>-5695.8655048003266</v>
      </c>
      <c r="L101" s="35">
        <f>Tableau!$G$36*SIN(J101*PI()/180)+Tableau!$H$35</f>
        <v>-10048.659656292148</v>
      </c>
      <c r="N101" s="98">
        <v>97</v>
      </c>
      <c r="O101" s="99">
        <v>48.5</v>
      </c>
      <c r="P101" s="101">
        <f>P100+R100*Tableau!$G$2+((1/2)*T100)*Tableau!$G$2^2</f>
        <v>13261.688861180764</v>
      </c>
      <c r="Q101" s="101">
        <f>Q100+S100*Tableau!$G$2+((1/2)*U100)*Tableau!$G$2^2</f>
        <v>12204.286018096769</v>
      </c>
      <c r="R101" s="101">
        <f>R100+T100*Tableau!$G$2</f>
        <v>7582.7104554052721</v>
      </c>
      <c r="S101" s="101">
        <f>S100+U100*Tableau!$G$2</f>
        <v>1063.6342717010932</v>
      </c>
      <c r="T101" s="101">
        <f t="shared" si="2"/>
        <v>1238.0141713423573</v>
      </c>
      <c r="U101" s="101">
        <f t="shared" si="3"/>
        <v>-1500.2046662373455</v>
      </c>
      <c r="V101" s="101">
        <f>((Tableau!$G$16-P101)/(AC101^2+Tableau!$G$21^2)^(3/2))*Tableau!$G$20</f>
        <v>1627.0121573930126</v>
      </c>
      <c r="W101" s="101">
        <f>((Tableau!$H$16-Q101)/(AC101^2+Tableau!$G$21^2)^(3/2))*Tableau!$G$20</f>
        <v>-1135.8826248321056</v>
      </c>
      <c r="X101" s="101">
        <f>((Tableau!$G$25-P101)/(AD101^2+Tableau!$G$30^2)^(3/2))*Tableau!$G$29</f>
        <v>-151.16053084603774</v>
      </c>
      <c r="Y101" s="101">
        <f>((Tableau!$H$25-Q101)/(AD101^2+Tableau!$G$30^2)^(3/2))*Tableau!$G$29</f>
        <v>-10.017562428132761</v>
      </c>
      <c r="Z101" s="101">
        <f>((Tableau!$G$35-P101)/(AE101^2+Tableau!$G$40^2)^(3/2))*Tableau!$G$39</f>
        <v>-237.83745520461747</v>
      </c>
      <c r="AA101" s="102">
        <f>((Tableau!$H$35-Q101)/(AE101^2+Tableau!$G$40^2)^(3/2))*Tableau!$G$39</f>
        <v>-354.30447897710712</v>
      </c>
      <c r="AC101" s="113">
        <f>SQRT((Tableau!$G$16-P101)^2+(Tableau!$H$16-Q101)^2)</f>
        <v>8217.9768765552108</v>
      </c>
      <c r="AD101" s="114">
        <f>SQRT((Tableau!$G$25-P101)^2+(Tableau!$H$25-Q101)^2)</f>
        <v>33334.648981916303</v>
      </c>
      <c r="AE101" s="115">
        <f>SQRT((Tableau!$G$35-P101)^2+(Tableau!$H$35-Q101)^2)</f>
        <v>32765.262974940229</v>
      </c>
    </row>
    <row r="102" spans="2:31" x14ac:dyDescent="0.25">
      <c r="B102" s="20">
        <v>99</v>
      </c>
      <c r="C102" s="21">
        <f>Tableau!$G$17*COS(B102*PI()/180)+Tableau!$G$16</f>
        <v>19217.827674798846</v>
      </c>
      <c r="D102" s="21">
        <f>Tableau!$G$17*SIN(B102*PI()/180)+Tableau!$H$16</f>
        <v>12438.441702975688</v>
      </c>
      <c r="F102" s="28">
        <v>99</v>
      </c>
      <c r="G102" s="29">
        <f>Tableau!$G$26*COS(F102*PI()/180)+Tableau!$G$25</f>
        <v>-20547.52062764081</v>
      </c>
      <c r="H102" s="29">
        <f>Tableau!$G$26*SIN(F102*PI()/180)+Tableau!$H$25</f>
        <v>13456.909192082981</v>
      </c>
      <c r="J102" s="36">
        <v>99</v>
      </c>
      <c r="K102" s="37">
        <f>Tableau!$G$36*COS(J102*PI()/180)+Tableau!$G$35</f>
        <v>-5782.1723252011552</v>
      </c>
      <c r="L102" s="37">
        <f>Tableau!$G$36*SIN(J102*PI()/180)+Tableau!$H$35</f>
        <v>-10061.558297024312</v>
      </c>
      <c r="N102" s="92">
        <v>98</v>
      </c>
      <c r="O102" s="93">
        <v>49</v>
      </c>
      <c r="P102" s="96">
        <f>P101+R101*Tableau!$G$2+((1/2)*T101)*Tableau!$G$2^2</f>
        <v>17207.795860301198</v>
      </c>
      <c r="Q102" s="96">
        <f>Q101+S101*Tableau!$G$2+((1/2)*U101)*Tableau!$G$2^2</f>
        <v>12548.577570667647</v>
      </c>
      <c r="R102" s="96">
        <f>R101+T101*Tableau!$G$2</f>
        <v>8201.7175410764503</v>
      </c>
      <c r="S102" s="96">
        <f>S101+U101*Tableau!$G$2</f>
        <v>313.53193858242048</v>
      </c>
      <c r="T102" s="96">
        <f t="shared" si="2"/>
        <v>593.94023368174317</v>
      </c>
      <c r="U102" s="96">
        <f t="shared" si="3"/>
        <v>-2016.3986773380107</v>
      </c>
      <c r="V102" s="96">
        <f>((Tableau!$G$16-P102)/(AC102^2+Tableau!$G$21^2)^(3/2))*Tableau!$G$20</f>
        <v>950.11489254535206</v>
      </c>
      <c r="W102" s="96">
        <f>((Tableau!$H$16-Q102)/(AC102^2+Tableau!$G$21^2)^(3/2))*Tableau!$G$20</f>
        <v>-1717.9004456956334</v>
      </c>
      <c r="X102" s="96">
        <f>((Tableau!$G$25-P102)/(AD102^2+Tableau!$G$30^2)^(3/2))*Tableau!$G$29</f>
        <v>-122.29853573234766</v>
      </c>
      <c r="Y102" s="96">
        <f>((Tableau!$H$25-Q102)/(AD102^2+Tableau!$G$30^2)^(3/2))*Tableau!$G$29</f>
        <v>-8.3769354751140011</v>
      </c>
      <c r="Z102" s="96">
        <f>((Tableau!$G$35-P102)/(AE102^2+Tableau!$G$40^2)^(3/2))*Tableau!$G$39</f>
        <v>-233.87612313126121</v>
      </c>
      <c r="AA102" s="97">
        <f>((Tableau!$H$35-Q102)/(AE102^2+Tableau!$G$40^2)^(3/2))*Tableau!$G$39</f>
        <v>-290.12129616726327</v>
      </c>
      <c r="AC102" s="110">
        <f>SQRT((Tableau!$G$16-P102)^2+(Tableau!$H$16-Q102)^2)</f>
        <v>5769.275469658176</v>
      </c>
      <c r="AD102" s="111">
        <f>SQRT((Tableau!$G$25-P102)^2+(Tableau!$H$25-Q102)^2)</f>
        <v>37294.97714727222</v>
      </c>
      <c r="AE102" s="112">
        <f>SQRT((Tableau!$G$35-P102)^2+(Tableau!$H$35-Q102)^2)</f>
        <v>35385.170949705804</v>
      </c>
    </row>
    <row r="103" spans="2:31" x14ac:dyDescent="0.25">
      <c r="B103" s="18">
        <v>100</v>
      </c>
      <c r="C103" s="19">
        <f>Tableau!$G$17*COS(B103*PI()/180)+Tableau!$G$16</f>
        <v>19131.759111665349</v>
      </c>
      <c r="D103" s="19">
        <f>Tableau!$G$17*SIN(B103*PI()/180)+Tableau!$H$16</f>
        <v>12424.038765061039</v>
      </c>
      <c r="F103" s="26">
        <v>100</v>
      </c>
      <c r="G103" s="27">
        <f>Tableau!$G$26*COS(F103*PI()/180)+Tableau!$G$25</f>
        <v>-20607.768621834257</v>
      </c>
      <c r="H103" s="27">
        <f>Tableau!$G$26*SIN(F103*PI()/180)+Tableau!$H$25</f>
        <v>13446.827135542728</v>
      </c>
      <c r="J103" s="34">
        <v>100</v>
      </c>
      <c r="K103" s="35">
        <f>Tableau!$G$36*COS(J103*PI()/180)+Tableau!$G$35</f>
        <v>-5868.2408883346516</v>
      </c>
      <c r="L103" s="35">
        <f>Tableau!$G$36*SIN(J103*PI()/180)+Tableau!$H$35</f>
        <v>-10075.961234938961</v>
      </c>
      <c r="N103" s="98">
        <v>99</v>
      </c>
      <c r="O103" s="99">
        <v>49.5</v>
      </c>
      <c r="P103" s="101">
        <f>P102+R102*Tableau!$G$2+((1/2)*T102)*Tableau!$G$2^2</f>
        <v>21382.897160049641</v>
      </c>
      <c r="Q103" s="101">
        <f>Q102+S102*Tableau!$G$2+((1/2)*U102)*Tableau!$G$2^2</f>
        <v>12453.293705291604</v>
      </c>
      <c r="R103" s="101">
        <f>R102+T102*Tableau!$G$2</f>
        <v>8498.6876579173222</v>
      </c>
      <c r="S103" s="101">
        <f>S102+U102*Tableau!$G$2</f>
        <v>-694.66740008658485</v>
      </c>
      <c r="T103" s="101">
        <f t="shared" si="2"/>
        <v>-835.68170170741325</v>
      </c>
      <c r="U103" s="101">
        <f t="shared" si="3"/>
        <v>-2065.554853375892</v>
      </c>
      <c r="V103" s="101">
        <f>((Tableau!$G$16-P103)/(AC103^2+Tableau!$G$21^2)^(3/2))*Tableau!$G$20</f>
        <v>-509.24059530510698</v>
      </c>
      <c r="W103" s="101">
        <f>((Tableau!$H$16-Q103)/(AC103^2+Tableau!$G$21^2)^(3/2))*Tableau!$G$20</f>
        <v>-1824.0099900944119</v>
      </c>
      <c r="X103" s="101">
        <f>((Tableau!$G$25-P103)/(AD103^2+Tableau!$G$30^2)^(3/2))*Tableau!$G$29</f>
        <v>-100.01182326250232</v>
      </c>
      <c r="Y103" s="101">
        <f>((Tableau!$H$25-Q103)/(AD103^2+Tableau!$G$30^2)^(3/2))*Tableau!$G$29</f>
        <v>-5.9289801657844832</v>
      </c>
      <c r="Z103" s="101">
        <f>((Tableau!$G$35-P103)/(AE103^2+Tableau!$G$40^2)^(3/2))*Tableau!$G$39</f>
        <v>-226.42928313980391</v>
      </c>
      <c r="AA103" s="102">
        <f>((Tableau!$H$35-Q103)/(AE103^2+Tableau!$G$40^2)^(3/2))*Tableau!$G$39</f>
        <v>-235.61588311569545</v>
      </c>
      <c r="AC103" s="113">
        <f>SQRT((Tableau!$G$16-P103)^2+(Tableau!$H$16-Q103)^2)</f>
        <v>5142.7155361885216</v>
      </c>
      <c r="AD103" s="114">
        <f>SQRT((Tableau!$G$25-P103)^2+(Tableau!$H$25-Q103)^2)</f>
        <v>41455.552431051598</v>
      </c>
      <c r="AE103" s="115">
        <f>SQRT((Tableau!$G$35-P103)^2+(Tableau!$H$35-Q103)^2)</f>
        <v>38075.459259564537</v>
      </c>
    </row>
    <row r="104" spans="2:31" x14ac:dyDescent="0.25">
      <c r="B104" s="20">
        <v>101</v>
      </c>
      <c r="C104" s="21">
        <f>Tableau!$G$17*COS(B104*PI()/180)+Tableau!$G$16</f>
        <v>19045.955023117276</v>
      </c>
      <c r="D104" s="21">
        <f>Tableau!$G$17*SIN(B104*PI()/180)+Tableau!$H$16</f>
        <v>12408.13591723832</v>
      </c>
      <c r="F104" s="28">
        <v>101</v>
      </c>
      <c r="G104" s="29">
        <f>Tableau!$G$26*COS(F104*PI()/180)+Tableau!$G$25</f>
        <v>-20667.831483817907</v>
      </c>
      <c r="H104" s="29">
        <f>Tableau!$G$26*SIN(F104*PI()/180)+Tableau!$H$25</f>
        <v>13435.695142066823</v>
      </c>
      <c r="J104" s="36">
        <v>101</v>
      </c>
      <c r="K104" s="37">
        <f>Tableau!$G$36*COS(J104*PI()/180)+Tableau!$G$35</f>
        <v>-5954.0449768827239</v>
      </c>
      <c r="L104" s="37">
        <f>Tableau!$G$36*SIN(J104*PI()/180)+Tableau!$H$35</f>
        <v>-10091.86408276168</v>
      </c>
      <c r="N104" s="92">
        <v>100</v>
      </c>
      <c r="O104" s="93">
        <v>50</v>
      </c>
      <c r="P104" s="96">
        <f>P103+R103*Tableau!$G$2+((1/2)*T103)*Tableau!$G$2^2</f>
        <v>25527.780776294872</v>
      </c>
      <c r="Q104" s="96">
        <f>Q103+S103*Tableau!$G$2+((1/2)*U103)*Tableau!$G$2^2</f>
        <v>11847.765648576325</v>
      </c>
      <c r="R104" s="96">
        <f>R103+T103*Tableau!$G$2</f>
        <v>8080.8468070636154</v>
      </c>
      <c r="S104" s="96">
        <f>S103+U103*Tableau!$G$2</f>
        <v>-1727.4448267745308</v>
      </c>
      <c r="T104" s="96">
        <f t="shared" si="2"/>
        <v>-1885.3210685857275</v>
      </c>
      <c r="U104" s="96">
        <f t="shared" si="3"/>
        <v>-1440.8474809544869</v>
      </c>
      <c r="V104" s="96">
        <f>((Tableau!$G$16-P104)/(AC104^2+Tableau!$G$21^2)^(3/2))*Tableau!$G$20</f>
        <v>-1584.0338812480074</v>
      </c>
      <c r="W104" s="96">
        <f>((Tableau!$H$16-Q104)/(AC104^2+Tableau!$G$21^2)^(3/2))*Tableau!$G$20</f>
        <v>-1245.89023584385</v>
      </c>
      <c r="X104" s="96">
        <f>((Tableau!$G$25-P104)/(AD104^2+Tableau!$G$30^2)^(3/2))*Tableau!$G$29</f>
        <v>-83.458704714527329</v>
      </c>
      <c r="Y104" s="96">
        <f>((Tableau!$H$25-Q104)/(AD104^2+Tableau!$G$30^2)^(3/2))*Tableau!$G$29</f>
        <v>-3.3872094140479794</v>
      </c>
      <c r="Z104" s="96">
        <f>((Tableau!$G$35-P104)/(AE104^2+Tableau!$G$40^2)^(3/2))*Tableau!$G$39</f>
        <v>-217.82848262319263</v>
      </c>
      <c r="AA104" s="97">
        <f>((Tableau!$H$35-Q104)/(AE104^2+Tableau!$G$40^2)^(3/2))*Tableau!$G$39</f>
        <v>-191.57003569658909</v>
      </c>
      <c r="AC104" s="110">
        <f>SQRT((Tableau!$G$16-P104)^2+(Tableau!$H$16-Q104)^2)</f>
        <v>7032.7396116815999</v>
      </c>
      <c r="AD104" s="111">
        <f>SQRT((Tableau!$G$25-P104)^2+(Tableau!$H$25-Q104)^2)</f>
        <v>45565.261552046679</v>
      </c>
      <c r="AE104" s="112">
        <f>SQRT((Tableau!$G$35-P104)^2+(Tableau!$H$35-Q104)^2)</f>
        <v>40654.002502169373</v>
      </c>
    </row>
    <row r="105" spans="2:31" x14ac:dyDescent="0.25">
      <c r="B105" s="18">
        <v>102</v>
      </c>
      <c r="C105" s="19">
        <f>Tableau!$G$17*COS(B105*PI()/180)+Tableau!$G$16</f>
        <v>18960.441545911206</v>
      </c>
      <c r="D105" s="19">
        <f>Tableau!$G$17*SIN(B105*PI()/180)+Tableau!$H$16</f>
        <v>12390.738003669028</v>
      </c>
      <c r="F105" s="26">
        <v>102</v>
      </c>
      <c r="G105" s="27">
        <f>Tableau!$G$26*COS(F105*PI()/180)+Tableau!$G$25</f>
        <v>-20727.690917862157</v>
      </c>
      <c r="H105" s="27">
        <f>Tableau!$G$26*SIN(F105*PI()/180)+Tableau!$H$25</f>
        <v>13423.516602568319</v>
      </c>
      <c r="J105" s="34">
        <v>102</v>
      </c>
      <c r="K105" s="35">
        <f>Tableau!$G$36*COS(J105*PI()/180)+Tableau!$G$35</f>
        <v>-6039.5584540887958</v>
      </c>
      <c r="L105" s="35">
        <f>Tableau!$G$36*SIN(J105*PI()/180)+Tableau!$H$35</f>
        <v>-10109.261996330972</v>
      </c>
      <c r="N105" s="98">
        <v>101</v>
      </c>
      <c r="O105" s="99">
        <v>50.5</v>
      </c>
      <c r="P105" s="101">
        <f>P104+R104*Tableau!$G$2+((1/2)*T104)*Tableau!$G$2^2</f>
        <v>29332.539046253463</v>
      </c>
      <c r="Q105" s="101">
        <f>Q104+S104*Tableau!$G$2+((1/2)*U104)*Tableau!$G$2^2</f>
        <v>10803.937300069749</v>
      </c>
      <c r="R105" s="101">
        <f>R104+T104*Tableau!$G$2</f>
        <v>7138.1862727707521</v>
      </c>
      <c r="S105" s="101">
        <f>S104+U104*Tableau!$G$2</f>
        <v>-2447.868567251774</v>
      </c>
      <c r="T105" s="101">
        <f t="shared" si="2"/>
        <v>-2034.9510513251832</v>
      </c>
      <c r="U105" s="101">
        <f t="shared" si="3"/>
        <v>-779.58621491944689</v>
      </c>
      <c r="V105" s="101">
        <f>((Tableau!$G$16-P105)/(AC105^2+Tableau!$G$21^2)^(3/2))*Tableau!$G$20</f>
        <v>-1753.7198960975063</v>
      </c>
      <c r="W105" s="101">
        <f>((Tableau!$H$16-Q105)/(AC105^2+Tableau!$G$21^2)^(3/2))*Tableau!$G$20</f>
        <v>-620.85789835693868</v>
      </c>
      <c r="X105" s="101">
        <f>((Tableau!$G$25-P105)/(AD105^2+Tableau!$G$30^2)^(3/2))*Tableau!$G$29</f>
        <v>-71.59297889465627</v>
      </c>
      <c r="Y105" s="101">
        <f>((Tableau!$H$25-Q105)/(AD105^2+Tableau!$G$30^2)^(3/2))*Tableau!$G$29</f>
        <v>-1.1666998550907051</v>
      </c>
      <c r="Z105" s="101">
        <f>((Tableau!$G$35-P105)/(AE105^2+Tableau!$G$40^2)^(3/2))*Tableau!$G$39</f>
        <v>-209.63817633302082</v>
      </c>
      <c r="AA105" s="102">
        <f>((Tableau!$H$35-Q105)/(AE105^2+Tableau!$G$40^2)^(3/2))*Tableau!$G$39</f>
        <v>-157.56161670741756</v>
      </c>
      <c r="AC105" s="113">
        <f>SQRT((Tableau!$G$16-P105)^2+(Tableau!$H$16-Q105)^2)</f>
        <v>9900.1154908737153</v>
      </c>
      <c r="AD105" s="114">
        <f>SQRT((Tableau!$G$25-P105)^2+(Tableau!$H$25-Q105)^2)</f>
        <v>49339.089208583551</v>
      </c>
      <c r="AE105" s="115">
        <f>SQRT((Tableau!$G$35-P105)^2+(Tableau!$H$35-Q105)^2)</f>
        <v>42948.415774606277</v>
      </c>
    </row>
    <row r="106" spans="2:31" x14ac:dyDescent="0.25">
      <c r="B106" s="20">
        <v>103</v>
      </c>
      <c r="C106" s="21">
        <f>Tableau!$G$17*COS(B106*PI()/180)+Tableau!$G$16</f>
        <v>18875.244728280675</v>
      </c>
      <c r="D106" s="21">
        <f>Tableau!$G$17*SIN(B106*PI()/180)+Tableau!$H$16</f>
        <v>12371.850323926177</v>
      </c>
      <c r="F106" s="28">
        <v>103</v>
      </c>
      <c r="G106" s="29">
        <f>Tableau!$G$26*COS(F106*PI()/180)+Tableau!$G$25</f>
        <v>-20787.328690203525</v>
      </c>
      <c r="H106" s="29">
        <f>Tableau!$G$26*SIN(F106*PI()/180)+Tableau!$H$25</f>
        <v>13410.295226748323</v>
      </c>
      <c r="J106" s="36">
        <v>103</v>
      </c>
      <c r="K106" s="37">
        <f>Tableau!$G$36*COS(J106*PI()/180)+Tableau!$G$35</f>
        <v>-6124.7552717193239</v>
      </c>
      <c r="L106" s="37">
        <f>Tableau!$G$36*SIN(J106*PI()/180)+Tableau!$H$35</f>
        <v>-10128.149676073823</v>
      </c>
      <c r="N106" s="92">
        <v>102</v>
      </c>
      <c r="O106" s="93">
        <v>51</v>
      </c>
      <c r="P106" s="96">
        <f>P105+R105*Tableau!$G$2+((1/2)*T105)*Tableau!$G$2^2</f>
        <v>32647.263301223189</v>
      </c>
      <c r="Q106" s="96">
        <f>Q105+S105*Tableau!$G$2+((1/2)*U105)*Tableau!$G$2^2</f>
        <v>9482.5547395789308</v>
      </c>
      <c r="R106" s="96">
        <f>R105+T105*Tableau!$G$2</f>
        <v>6120.7107471081608</v>
      </c>
      <c r="S106" s="96">
        <f>S105+U105*Tableau!$G$2</f>
        <v>-2837.6616747114977</v>
      </c>
      <c r="T106" s="96">
        <f t="shared" si="2"/>
        <v>-1810.3320987293282</v>
      </c>
      <c r="U106" s="96">
        <f t="shared" si="3"/>
        <v>-373.17344508085648</v>
      </c>
      <c r="V106" s="96">
        <f>((Tableau!$G$16-P106)/(AC106^2+Tableau!$G$21^2)^(3/2))*Tableau!$G$20</f>
        <v>-1544.8136824274727</v>
      </c>
      <c r="W106" s="96">
        <f>((Tableau!$H$16-Q106)/(AC106^2+Tableau!$G$21^2)^(3/2))*Tableau!$G$20</f>
        <v>-242.16129726395101</v>
      </c>
      <c r="X106" s="96">
        <f>((Tableau!$G$25-P106)/(AD106^2+Tableau!$G$30^2)^(3/2))*Tableau!$G$29</f>
        <v>-63.104950858364973</v>
      </c>
      <c r="Y106" s="96">
        <f>((Tableau!$H$25-Q106)/(AD106^2+Tableau!$G$30^2)^(3/2))*Tableau!$G$29</f>
        <v>0.6202289669633555</v>
      </c>
      <c r="Z106" s="96">
        <f>((Tableau!$G$35-P106)/(AE106^2+Tableau!$G$40^2)^(3/2))*Tableau!$G$39</f>
        <v>-202.41346544349062</v>
      </c>
      <c r="AA106" s="97">
        <f>((Tableau!$H$35-Q106)/(AE106^2+Tableau!$G$40^2)^(3/2))*Tableau!$G$39</f>
        <v>-131.63237678386884</v>
      </c>
      <c r="AC106" s="110">
        <f>SQRT((Tableau!$G$16-P106)^2+(Tableau!$H$16-Q106)^2)</f>
        <v>12801.710522656484</v>
      </c>
      <c r="AD106" s="111">
        <f>SQRT((Tableau!$G$25-P106)^2+(Tableau!$H$25-Q106)^2)</f>
        <v>52649.80610321233</v>
      </c>
      <c r="AE106" s="112">
        <f>SQRT((Tableau!$G$35-P106)^2+(Tableau!$H$35-Q106)^2)</f>
        <v>44907.815808031737</v>
      </c>
    </row>
    <row r="107" spans="2:31" x14ac:dyDescent="0.25">
      <c r="B107" s="18">
        <v>104</v>
      </c>
      <c r="C107" s="19">
        <f>Tableau!$G$17*COS(B107*PI()/180)+Tableau!$G$16</f>
        <v>18790.39052200166</v>
      </c>
      <c r="D107" s="19">
        <f>Tableau!$G$17*SIN(B107*PI()/180)+Tableau!$H$16</f>
        <v>12351.478631379981</v>
      </c>
      <c r="F107" s="26">
        <v>104</v>
      </c>
      <c r="G107" s="27">
        <f>Tableau!$G$26*COS(F107*PI()/180)+Tableau!$G$25</f>
        <v>-20846.726634598836</v>
      </c>
      <c r="H107" s="27">
        <f>Tableau!$G$26*SIN(F107*PI()/180)+Tableau!$H$25</f>
        <v>13396.035041965988</v>
      </c>
      <c r="J107" s="34">
        <v>104</v>
      </c>
      <c r="K107" s="35">
        <f>Tableau!$G$36*COS(J107*PI()/180)+Tableau!$G$35</f>
        <v>-6209.6094779983387</v>
      </c>
      <c r="L107" s="35">
        <f>Tableau!$G$36*SIN(J107*PI()/180)+Tableau!$H$35</f>
        <v>-10148.521368620019</v>
      </c>
      <c r="N107" s="98">
        <v>103</v>
      </c>
      <c r="O107" s="99">
        <v>51.5</v>
      </c>
      <c r="P107" s="101">
        <f>P106+R106*Tableau!$G$2+((1/2)*T106)*Tableau!$G$2^2</f>
        <v>35481.3271624361</v>
      </c>
      <c r="Q107" s="101">
        <f>Q106+S106*Tableau!$G$2+((1/2)*U106)*Tableau!$G$2^2</f>
        <v>8017.0772215880752</v>
      </c>
      <c r="R107" s="101">
        <f>R106+T106*Tableau!$G$2</f>
        <v>5215.5446977434967</v>
      </c>
      <c r="S107" s="101">
        <f>S106+U106*Tableau!$G$2</f>
        <v>-3024.2483972519258</v>
      </c>
      <c r="T107" s="101">
        <f t="shared" si="2"/>
        <v>-1546.3625894324541</v>
      </c>
      <c r="U107" s="101">
        <f t="shared" si="3"/>
        <v>-152.70514254839756</v>
      </c>
      <c r="V107" s="101">
        <f>((Tableau!$G$16-P107)/(AC107^2+Tableau!$G$21^2)^(3/2))*Tableau!$G$20</f>
        <v>-1293.3188017684824</v>
      </c>
      <c r="W107" s="101">
        <f>((Tableau!$H$16-Q107)/(AC107^2+Tableau!$G$21^2)^(3/2))*Tableau!$G$20</f>
        <v>-43.196922694632434</v>
      </c>
      <c r="X107" s="101">
        <f>((Tableau!$G$25-P107)/(AD107^2+Tableau!$G$30^2)^(3/2))*Tableau!$G$29</f>
        <v>-56.871170826517471</v>
      </c>
      <c r="Y107" s="101">
        <f>((Tableau!$H$25-Q107)/(AD107^2+Tableau!$G$30^2)^(3/2))*Tableau!$G$29</f>
        <v>2.0325962956273598</v>
      </c>
      <c r="Z107" s="101">
        <f>((Tableau!$G$35-P107)/(AE107^2+Tableau!$G$40^2)^(3/2))*Tableau!$G$39</f>
        <v>-196.17261683745423</v>
      </c>
      <c r="AA107" s="102">
        <f>((Tableau!$H$35-Q107)/(AE107^2+Tableau!$G$40^2)^(3/2))*Tableau!$G$39</f>
        <v>-111.54081614939248</v>
      </c>
      <c r="AC107" s="113">
        <f>SQRT((Tableau!$G$16-P107)^2+(Tableau!$H$16-Q107)^2)</f>
        <v>15489.959960034341</v>
      </c>
      <c r="AD107" s="114">
        <f>SQRT((Tableau!$G$25-P107)^2+(Tableau!$H$25-Q107)^2)</f>
        <v>55516.751043720258</v>
      </c>
      <c r="AE107" s="115">
        <f>SQRT((Tableau!$G$35-P107)^2+(Tableau!$H$35-Q107)^2)</f>
        <v>46567.410199158978</v>
      </c>
    </row>
    <row r="108" spans="2:31" x14ac:dyDescent="0.25">
      <c r="B108" s="20">
        <v>105</v>
      </c>
      <c r="C108" s="21">
        <f>Tableau!$G$17*COS(B108*PI()/180)+Tableau!$G$16</f>
        <v>18705.904774487397</v>
      </c>
      <c r="D108" s="21">
        <f>Tableau!$G$17*SIN(B108*PI()/180)+Tableau!$H$16</f>
        <v>12329.629131445341</v>
      </c>
      <c r="F108" s="28">
        <v>105</v>
      </c>
      <c r="G108" s="29">
        <f>Tableau!$G$26*COS(F108*PI()/180)+Tableau!$G$25</f>
        <v>-20905.866657858824</v>
      </c>
      <c r="H108" s="29">
        <f>Tableau!$G$26*SIN(F108*PI()/180)+Tableau!$H$25</f>
        <v>13380.740392011739</v>
      </c>
      <c r="J108" s="36">
        <v>105</v>
      </c>
      <c r="K108" s="37">
        <f>Tableau!$G$36*COS(J108*PI()/180)+Tableau!$G$35</f>
        <v>-6294.095225512604</v>
      </c>
      <c r="L108" s="37">
        <f>Tableau!$G$36*SIN(J108*PI()/180)+Tableau!$H$35</f>
        <v>-10170.370868554659</v>
      </c>
      <c r="N108" s="92">
        <v>104</v>
      </c>
      <c r="O108" s="93">
        <v>52</v>
      </c>
      <c r="P108" s="96">
        <f>P107+R107*Tableau!$G$2+((1/2)*T107)*Tableau!$G$2^2</f>
        <v>37895.80418762879</v>
      </c>
      <c r="Q108" s="96">
        <f>Q107+S107*Tableau!$G$2+((1/2)*U107)*Tableau!$G$2^2</f>
        <v>6485.8648801435629</v>
      </c>
      <c r="R108" s="96">
        <f>R107+T107*Tableau!$G$2</f>
        <v>4442.3634030272697</v>
      </c>
      <c r="S108" s="96">
        <f>S107+U107*Tableau!$G$2</f>
        <v>-3100.6009685261247</v>
      </c>
      <c r="T108" s="96">
        <f t="shared" si="2"/>
        <v>-1326.5967828425728</v>
      </c>
      <c r="U108" s="96">
        <f t="shared" si="3"/>
        <v>-31.008918171158385</v>
      </c>
      <c r="V108" s="96">
        <f>((Tableau!$G$16-P108)/(AC108^2+Tableau!$G$21^2)^(3/2))*Tableau!$G$20</f>
        <v>-1083.6293990982213</v>
      </c>
      <c r="W108" s="96">
        <f>((Tableau!$H$16-Q108)/(AC108^2+Tableau!$G$21^2)^(3/2))*Tableau!$G$20</f>
        <v>61.408060739406473</v>
      </c>
      <c r="X108" s="96">
        <f>((Tableau!$G$25-P108)/(AD108^2+Tableau!$G$30^2)^(3/2))*Tableau!$G$29</f>
        <v>-52.141466304810528</v>
      </c>
      <c r="Y108" s="96">
        <f>((Tableau!$H$25-Q108)/(AD108^2+Tableau!$G$30^2)^(3/2))*Tableau!$G$29</f>
        <v>3.1648607444630481</v>
      </c>
      <c r="Z108" s="96">
        <f>((Tableau!$G$35-P108)/(AE108^2+Tableau!$G$40^2)^(3/2))*Tableau!$G$39</f>
        <v>-190.82591743954103</v>
      </c>
      <c r="AA108" s="97">
        <f>((Tableau!$H$35-Q108)/(AE108^2+Tableau!$G$40^2)^(3/2))*Tableau!$G$39</f>
        <v>-95.581839655027906</v>
      </c>
      <c r="AC108" s="110">
        <f>SQRT((Tableau!$G$16-P108)^2+(Tableau!$H$16-Q108)^2)</f>
        <v>17924.516104020167</v>
      </c>
      <c r="AD108" s="111">
        <f>SQRT((Tableau!$G$25-P108)^2+(Tableau!$H$25-Q108)^2)</f>
        <v>58002.355884678196</v>
      </c>
      <c r="AE108" s="112">
        <f>SQRT((Tableau!$G$35-P108)^2+(Tableau!$H$35-Q108)^2)</f>
        <v>47975.956546495014</v>
      </c>
    </row>
    <row r="109" spans="2:31" x14ac:dyDescent="0.25">
      <c r="B109" s="18">
        <v>106</v>
      </c>
      <c r="C109" s="19">
        <f>Tableau!$G$17*COS(B109*PI()/180)+Tableau!$G$16</f>
        <v>18621.813220915006</v>
      </c>
      <c r="D109" s="19">
        <f>Tableau!$G$17*SIN(B109*PI()/180)+Tableau!$H$16</f>
        <v>12306.308479691594</v>
      </c>
      <c r="F109" s="26">
        <v>106</v>
      </c>
      <c r="G109" s="27">
        <f>Tableau!$G$26*COS(F109*PI()/180)+Tableau!$G$25</f>
        <v>-20964.730745359499</v>
      </c>
      <c r="H109" s="27">
        <f>Tableau!$G$26*SIN(F109*PI()/180)+Tableau!$H$25</f>
        <v>13364.415935784116</v>
      </c>
      <c r="J109" s="34">
        <v>106</v>
      </c>
      <c r="K109" s="35">
        <f>Tableau!$G$36*COS(J109*PI()/180)+Tableau!$G$35</f>
        <v>-6378.1867790849956</v>
      </c>
      <c r="L109" s="35">
        <f>Tableau!$G$36*SIN(J109*PI()/180)+Tableau!$H$35</f>
        <v>-10193.691520308406</v>
      </c>
      <c r="N109" s="98">
        <v>105</v>
      </c>
      <c r="O109" s="99">
        <v>52.5</v>
      </c>
      <c r="P109" s="101">
        <f>P108+R108*Tableau!$G$2+((1/2)*T108)*Tableau!$G$2^2</f>
        <v>39951.161291287099</v>
      </c>
      <c r="Q109" s="101">
        <f>Q108+S108*Tableau!$G$2+((1/2)*U108)*Tableau!$G$2^2</f>
        <v>4931.6882811091054</v>
      </c>
      <c r="R109" s="101">
        <f>R108+T108*Tableau!$G$2</f>
        <v>3779.0650116059833</v>
      </c>
      <c r="S109" s="101">
        <f>S108+U108*Tableau!$G$2</f>
        <v>-3116.1054276117038</v>
      </c>
      <c r="T109" s="101">
        <f t="shared" si="2"/>
        <v>-1156.2235122575071</v>
      </c>
      <c r="U109" s="101">
        <f t="shared" si="3"/>
        <v>40.116642297916599</v>
      </c>
      <c r="V109" s="101">
        <f>((Tableau!$G$16-P109)/(AC109^2+Tableau!$G$21^2)^(3/2))*Tableau!$G$20</f>
        <v>-921.48391755153966</v>
      </c>
      <c r="W109" s="101">
        <f>((Tableau!$H$16-Q109)/(AC109^2+Tableau!$G$21^2)^(3/2))*Tableau!$G$20</f>
        <v>118.62256585789105</v>
      </c>
      <c r="X109" s="101">
        <f>((Tableau!$G$25-P109)/(AD109^2+Tableau!$G$30^2)^(3/2))*Tableau!$G$29</f>
        <v>-48.450587105727067</v>
      </c>
      <c r="Y109" s="101">
        <f>((Tableau!$H$25-Q109)/(AD109^2+Tableau!$G$30^2)^(3/2))*Tableau!$G$29</f>
        <v>4.0960453997208726</v>
      </c>
      <c r="Z109" s="101">
        <f>((Tableau!$G$35-P109)/(AE109^2+Tableau!$G$40^2)^(3/2))*Tableau!$G$39</f>
        <v>-186.2890076002403</v>
      </c>
      <c r="AA109" s="102">
        <f>((Tableau!$H$35-Q109)/(AE109^2+Tableau!$G$40^2)^(3/2))*Tableau!$G$39</f>
        <v>-82.601968959695327</v>
      </c>
      <c r="AC109" s="113">
        <f>SQRT((Tableau!$G$16-P109)^2+(Tableau!$H$16-Q109)^2)</f>
        <v>20115.791357944261</v>
      </c>
      <c r="AD109" s="114">
        <f>SQRT((Tableau!$G$25-P109)^2+(Tableau!$H$25-Q109)^2)</f>
        <v>60165.019104574108</v>
      </c>
      <c r="AE109" s="115">
        <f>SQRT((Tableau!$G$35-P109)^2+(Tableau!$H$35-Q109)^2)</f>
        <v>49171.934059691106</v>
      </c>
    </row>
    <row r="110" spans="2:31" x14ac:dyDescent="0.25">
      <c r="B110" s="20">
        <v>107</v>
      </c>
      <c r="C110" s="21">
        <f>Tableau!$G$17*COS(B110*PI()/180)+Tableau!$G$16</f>
        <v>18538.141476386318</v>
      </c>
      <c r="D110" s="21">
        <f>Tableau!$G$17*SIN(B110*PI()/180)+Tableau!$H$16</f>
        <v>12281.523779815177</v>
      </c>
      <c r="F110" s="28">
        <v>107</v>
      </c>
      <c r="G110" s="29">
        <f>Tableau!$G$26*COS(F110*PI()/180)+Tableau!$G$25</f>
        <v>-21023.300966529579</v>
      </c>
      <c r="H110" s="29">
        <f>Tableau!$G$26*SIN(F110*PI()/180)+Tableau!$H$25</f>
        <v>13347.066645870626</v>
      </c>
      <c r="J110" s="36">
        <v>107</v>
      </c>
      <c r="K110" s="37">
        <f>Tableau!$G$36*COS(J110*PI()/180)+Tableau!$G$35</f>
        <v>-6461.8585236136832</v>
      </c>
      <c r="L110" s="37">
        <f>Tableau!$G$36*SIN(J110*PI()/180)+Tableau!$H$35</f>
        <v>-10218.476220184823</v>
      </c>
      <c r="N110" s="92">
        <v>106</v>
      </c>
      <c r="O110" s="93">
        <v>53</v>
      </c>
      <c r="P110" s="96">
        <f>P109+R109*Tableau!$G$2+((1/2)*T109)*Tableau!$G$2^2</f>
        <v>41696.165858057902</v>
      </c>
      <c r="Q110" s="96">
        <f>Q109+S109*Tableau!$G$2+((1/2)*U109)*Tableau!$G$2^2</f>
        <v>3378.6501475904929</v>
      </c>
      <c r="R110" s="96">
        <f>R109+T109*Tableau!$G$2</f>
        <v>3200.9532554772295</v>
      </c>
      <c r="S110" s="96">
        <f>S109+U109*Tableau!$G$2</f>
        <v>-3096.0471064627454</v>
      </c>
      <c r="T110" s="96">
        <f t="shared" si="2"/>
        <v>-1025.3308720165996</v>
      </c>
      <c r="U110" s="96">
        <f t="shared" si="3"/>
        <v>84.516704387801312</v>
      </c>
      <c r="V110" s="96">
        <f>((Tableau!$G$16-P110)/(AC110^2+Tableau!$G$21^2)^(3/2))*Tableau!$G$20</f>
        <v>-797.32971531149838</v>
      </c>
      <c r="W110" s="96">
        <f>((Tableau!$H$16-Q110)/(AC110^2+Tableau!$G$21^2)^(3/2))*Tableau!$G$20</f>
        <v>151.45877506740749</v>
      </c>
      <c r="X110" s="96">
        <f>((Tableau!$G$25-P110)/(AD110^2+Tableau!$G$30^2)^(3/2))*Tableau!$G$29</f>
        <v>-45.50695398737016</v>
      </c>
      <c r="Y110" s="96">
        <f>((Tableau!$H$25-Q110)/(AD110^2+Tableau!$G$30^2)^(3/2))*Tableau!$G$29</f>
        <v>4.8838928461309834</v>
      </c>
      <c r="Z110" s="96">
        <f>((Tableau!$G$35-P110)/(AE110^2+Tableau!$G$40^2)^(3/2))*Tableau!$G$39</f>
        <v>-182.49420271773121</v>
      </c>
      <c r="AA110" s="97">
        <f>((Tableau!$H$35-Q110)/(AE110^2+Tableau!$G$40^2)^(3/2))*Tableau!$G$39</f>
        <v>-71.825963525737151</v>
      </c>
      <c r="AC110" s="110">
        <f>SQRT((Tableau!$G$16-P110)^2+(Tableau!$H$16-Q110)^2)</f>
        <v>22084.137690802265</v>
      </c>
      <c r="AD110" s="111">
        <f>SQRT((Tableau!$G$25-P110)^2+(Tableau!$H$25-Q110)^2)</f>
        <v>62050.456528965144</v>
      </c>
      <c r="AE110" s="112">
        <f>SQRT((Tableau!$G$35-P110)^2+(Tableau!$H$35-Q110)^2)</f>
        <v>50182.732957569984</v>
      </c>
    </row>
    <row r="111" spans="2:31" x14ac:dyDescent="0.25">
      <c r="B111" s="18">
        <v>108</v>
      </c>
      <c r="C111" s="19">
        <f>Tableau!$G$17*COS(B111*PI()/180)+Tableau!$G$16</f>
        <v>18454.915028125262</v>
      </c>
      <c r="D111" s="19">
        <f>Tableau!$G$17*SIN(B111*PI()/180)+Tableau!$H$16</f>
        <v>12255.282581475767</v>
      </c>
      <c r="F111" s="26">
        <v>108</v>
      </c>
      <c r="G111" s="27">
        <f>Tableau!$G$26*COS(F111*PI()/180)+Tableau!$G$25</f>
        <v>-21081.559480312317</v>
      </c>
      <c r="H111" s="27">
        <f>Tableau!$G$26*SIN(F111*PI()/180)+Tableau!$H$25</f>
        <v>13328.697807033037</v>
      </c>
      <c r="J111" s="34">
        <v>108</v>
      </c>
      <c r="K111" s="35">
        <f>Tableau!$G$36*COS(J111*PI()/180)+Tableau!$G$35</f>
        <v>-6545.0849718747368</v>
      </c>
      <c r="L111" s="35">
        <f>Tableau!$G$36*SIN(J111*PI()/180)+Tableau!$H$35</f>
        <v>-10244.717418524233</v>
      </c>
      <c r="N111" s="98">
        <v>107</v>
      </c>
      <c r="O111" s="99">
        <v>53.5</v>
      </c>
      <c r="P111" s="101">
        <f>P110+R110*Tableau!$G$2+((1/2)*T110)*Tableau!$G$2^2</f>
        <v>43168.476126794441</v>
      </c>
      <c r="Q111" s="101">
        <f>Q110+S110*Tableau!$G$2+((1/2)*U110)*Tableau!$G$2^2</f>
        <v>1841.1911824075953</v>
      </c>
      <c r="R111" s="101">
        <f>R110+T110*Tableau!$G$2</f>
        <v>2688.2878194689297</v>
      </c>
      <c r="S111" s="101">
        <f>S110+U110*Tableau!$G$2</f>
        <v>-3053.788754268845</v>
      </c>
      <c r="T111" s="101">
        <f t="shared" si="2"/>
        <v>-923.88588400913136</v>
      </c>
      <c r="U111" s="101">
        <f t="shared" si="3"/>
        <v>114.15847350943918</v>
      </c>
      <c r="V111" s="101">
        <f>((Tableau!$G$16-P111)/(AC111^2+Tableau!$G$21^2)^(3/2))*Tableau!$G$20</f>
        <v>-701.37664853940748</v>
      </c>
      <c r="W111" s="101">
        <f>((Tableau!$H$16-Q111)/(AC111^2+Tableau!$G$21^2)^(3/2))*Tableau!$G$20</f>
        <v>171.30847715176628</v>
      </c>
      <c r="X111" s="101">
        <f>((Tableau!$G$25-P111)/(AD111^2+Tableau!$G$30^2)^(3/2))*Tableau!$G$29</f>
        <v>-43.12140284069428</v>
      </c>
      <c r="Y111" s="101">
        <f>((Tableau!$H$25-Q111)/(AD111^2+Tableau!$G$30^2)^(3/2))*Tableau!$G$29</f>
        <v>5.5695388474691727</v>
      </c>
      <c r="Z111" s="101">
        <f>((Tableau!$G$35-P111)/(AE111^2+Tableau!$G$40^2)^(3/2))*Tableau!$G$39</f>
        <v>-179.38783262902956</v>
      </c>
      <c r="AA111" s="102">
        <f>((Tableau!$H$35-Q111)/(AE111^2+Tableau!$G$40^2)^(3/2))*Tableau!$G$39</f>
        <v>-62.719542489796289</v>
      </c>
      <c r="AC111" s="113">
        <f>SQRT((Tableau!$G$16-P111)^2+(Tableau!$H$16-Q111)^2)</f>
        <v>23849.536751725504</v>
      </c>
      <c r="AD111" s="114">
        <f>SQRT((Tableau!$G$25-P111)^2+(Tableau!$H$25-Q111)^2)</f>
        <v>63693.190668260788</v>
      </c>
      <c r="AE111" s="115">
        <f>SQRT((Tableau!$G$35-P111)^2+(Tableau!$H$35-Q111)^2)</f>
        <v>51027.716123886727</v>
      </c>
    </row>
    <row r="112" spans="2:31" x14ac:dyDescent="0.25">
      <c r="B112" s="20">
        <v>109</v>
      </c>
      <c r="C112" s="21">
        <f>Tableau!$G$17*COS(B112*PI()/180)+Tableau!$G$16</f>
        <v>18372.159227714219</v>
      </c>
      <c r="D112" s="21">
        <f>Tableau!$G$17*SIN(B112*PI()/180)+Tableau!$H$16</f>
        <v>12227.592877996583</v>
      </c>
      <c r="F112" s="28">
        <v>109</v>
      </c>
      <c r="G112" s="29">
        <f>Tableau!$G$26*COS(F112*PI()/180)+Tableau!$G$25</f>
        <v>-21139.488540600047</v>
      </c>
      <c r="H112" s="29">
        <f>Tableau!$G$26*SIN(F112*PI()/180)+Tableau!$H$25</f>
        <v>13309.315014597609</v>
      </c>
      <c r="J112" s="36">
        <v>109</v>
      </c>
      <c r="K112" s="37">
        <f>Tableau!$G$36*COS(J112*PI()/180)+Tableau!$G$35</f>
        <v>-6627.8407722857819</v>
      </c>
      <c r="L112" s="37">
        <f>Tableau!$G$36*SIN(J112*PI()/180)+Tableau!$H$35</f>
        <v>-10272.407122003417</v>
      </c>
      <c r="N112" s="92">
        <v>108</v>
      </c>
      <c r="O112" s="93">
        <v>54</v>
      </c>
      <c r="P112" s="96">
        <f>P111+R111*Tableau!$G$2+((1/2)*T111)*Tableau!$G$2^2</f>
        <v>44397.134301027763</v>
      </c>
      <c r="Q112" s="96">
        <f>Q111+S111*Tableau!$G$2+((1/2)*U111)*Tableau!$G$2^2</f>
        <v>328.56661446185274</v>
      </c>
      <c r="R112" s="96">
        <f>R111+T111*Tableau!$G$2</f>
        <v>2226.3448774643639</v>
      </c>
      <c r="S112" s="96">
        <f>S111+U111*Tableau!$G$2</f>
        <v>-2996.7095175141253</v>
      </c>
      <c r="T112" s="96">
        <f t="shared" si="2"/>
        <v>-844.2210272298845</v>
      </c>
      <c r="U112" s="96">
        <f t="shared" si="3"/>
        <v>135.32684584217265</v>
      </c>
      <c r="V112" s="96">
        <f>((Tableau!$G$16-P112)/(AC112^2+Tableau!$G$21^2)^(3/2))*Tableau!$G$20</f>
        <v>-626.1266188383928</v>
      </c>
      <c r="W112" s="96">
        <f>((Tableau!$H$16-Q112)/(AC112^2+Tableau!$G$21^2)^(3/2))*Tableau!$G$20</f>
        <v>184.04724434060321</v>
      </c>
      <c r="X112" s="96">
        <f>((Tableau!$G$25-P112)/(AD112^2+Tableau!$G$30^2)^(3/2))*Tableau!$G$29</f>
        <v>-41.166609017040301</v>
      </c>
      <c r="Y112" s="96">
        <f>((Tableau!$H$25-Q112)/(AD112^2+Tableau!$G$30^2)^(3/2))*Tableau!$G$29</f>
        <v>6.1825750654628902</v>
      </c>
      <c r="Z112" s="96">
        <f>((Tableau!$G$35-P112)/(AE112^2+Tableau!$G$40^2)^(3/2))*Tableau!$G$39</f>
        <v>-176.92779937445141</v>
      </c>
      <c r="AA112" s="97">
        <f>((Tableau!$H$35-Q112)/(AE112^2+Tableau!$G$40^2)^(3/2))*Tableau!$G$39</f>
        <v>-54.90297356389344</v>
      </c>
      <c r="AC112" s="110">
        <f>SQRT((Tableau!$G$16-P112)^2+(Tableau!$H$16-Q112)^2)</f>
        <v>25429.306300125383</v>
      </c>
      <c r="AD112" s="111">
        <f>SQRT((Tableau!$G$25-P112)^2+(Tableau!$H$25-Q112)^2)</f>
        <v>65119.332996549558</v>
      </c>
      <c r="AE112" s="112">
        <f>SQRT((Tableau!$G$35-P112)^2+(Tableau!$H$35-Q112)^2)</f>
        <v>51720.806563778264</v>
      </c>
    </row>
    <row r="113" spans="2:31" x14ac:dyDescent="0.25">
      <c r="B113" s="18">
        <v>110</v>
      </c>
      <c r="C113" s="19">
        <f>Tableau!$G$17*COS(B113*PI()/180)+Tableau!$G$16</f>
        <v>18289.899283371655</v>
      </c>
      <c r="D113" s="19">
        <f>Tableau!$G$17*SIN(B113*PI()/180)+Tableau!$H$16</f>
        <v>12198.463103929542</v>
      </c>
      <c r="F113" s="26">
        <v>110</v>
      </c>
      <c r="G113" s="27">
        <f>Tableau!$G$26*COS(F113*PI()/180)+Tableau!$G$25</f>
        <v>-21197.070501639842</v>
      </c>
      <c r="H113" s="27">
        <f>Tableau!$G$26*SIN(F113*PI()/180)+Tableau!$H$25</f>
        <v>13288.92417275068</v>
      </c>
      <c r="J113" s="34">
        <v>110</v>
      </c>
      <c r="K113" s="35">
        <f>Tableau!$G$36*COS(J113*PI()/180)+Tableau!$G$35</f>
        <v>-6710.1007166283434</v>
      </c>
      <c r="L113" s="35">
        <f>Tableau!$G$36*SIN(J113*PI()/180)+Tableau!$H$35</f>
        <v>-10301.536896070458</v>
      </c>
      <c r="N113" s="98">
        <v>109</v>
      </c>
      <c r="O113" s="99">
        <v>54.5</v>
      </c>
      <c r="P113" s="101">
        <f>P112+R112*Tableau!$G$2+((1/2)*T112)*Tableau!$G$2^2</f>
        <v>45404.779111356205</v>
      </c>
      <c r="Q113" s="101">
        <f>Q112+S112*Tableau!$G$2+((1/2)*U112)*Tableau!$G$2^2</f>
        <v>-1152.8722885649381</v>
      </c>
      <c r="R113" s="101">
        <f>R112+T112*Tableau!$G$2</f>
        <v>1804.2343638494217</v>
      </c>
      <c r="S113" s="101">
        <f>S112+U112*Tableau!$G$2</f>
        <v>-2929.046094593039</v>
      </c>
      <c r="T113" s="101">
        <f t="shared" si="2"/>
        <v>-780.84269542515494</v>
      </c>
      <c r="U113" s="101">
        <f t="shared" si="3"/>
        <v>151.49648306019583</v>
      </c>
      <c r="V113" s="101">
        <f>((Tableau!$G$16-P113)/(AC113^2+Tableau!$G$21^2)^(3/2))*Tableau!$G$20</f>
        <v>-566.20647532908572</v>
      </c>
      <c r="W113" s="101">
        <f>((Tableau!$H$16-Q113)/(AC113^2+Tableau!$G$21^2)^(3/2))*Tableau!$G$20</f>
        <v>192.8500263082795</v>
      </c>
      <c r="X113" s="101">
        <f>((Tableau!$G$25-P113)/(AD113^2+Tableau!$G$30^2)^(3/2))*Tableau!$G$29</f>
        <v>-39.55402705576406</v>
      </c>
      <c r="Y113" s="101">
        <f>((Tableau!$H$25-Q113)/(AD113^2+Tableau!$G$30^2)^(3/2))*Tableau!$G$29</f>
        <v>6.7447825410480391</v>
      </c>
      <c r="Z113" s="101">
        <f>((Tableau!$G$35-P113)/(AE113^2+Tableau!$G$40^2)^(3/2))*Tableau!$G$39</f>
        <v>-175.0821930403051</v>
      </c>
      <c r="AA113" s="102">
        <f>((Tableau!$H$35-Q113)/(AE113^2+Tableau!$G$40^2)^(3/2))*Tableau!$G$39</f>
        <v>-48.098325789131714</v>
      </c>
      <c r="AC113" s="113">
        <f>SQRT((Tableau!$G$16-P113)^2+(Tableau!$H$16-Q113)^2)</f>
        <v>26837.939573279757</v>
      </c>
      <c r="AD113" s="114">
        <f>SQRT((Tableau!$G$25-P113)^2+(Tableau!$H$25-Q113)^2)</f>
        <v>66348.863523728403</v>
      </c>
      <c r="AE113" s="115">
        <f>SQRT((Tableau!$G$35-P113)^2+(Tableau!$H$35-Q113)^2)</f>
        <v>52272.217315906964</v>
      </c>
    </row>
    <row r="114" spans="2:31" x14ac:dyDescent="0.25">
      <c r="B114" s="20">
        <v>111</v>
      </c>
      <c r="C114" s="21">
        <f>Tableau!$G$17*COS(B114*PI()/180)+Tableau!$G$16</f>
        <v>18208.160252273497</v>
      </c>
      <c r="D114" s="21">
        <f>Tableau!$G$17*SIN(B114*PI()/180)+Tableau!$H$16</f>
        <v>12167.902132486008</v>
      </c>
      <c r="F114" s="28">
        <v>111</v>
      </c>
      <c r="G114" s="29">
        <f>Tableau!$G$26*COS(F114*PI()/180)+Tableau!$G$25</f>
        <v>-21254.287823408551</v>
      </c>
      <c r="H114" s="29">
        <f>Tableau!$G$26*SIN(F114*PI()/180)+Tableau!$H$25</f>
        <v>13267.531492740207</v>
      </c>
      <c r="J114" s="36">
        <v>111</v>
      </c>
      <c r="K114" s="37">
        <f>Tableau!$G$36*COS(J114*PI()/180)+Tableau!$G$35</f>
        <v>-6791.8397477265016</v>
      </c>
      <c r="L114" s="37">
        <f>Tableau!$G$36*SIN(J114*PI()/180)+Tableau!$H$35</f>
        <v>-10332.097867513992</v>
      </c>
      <c r="N114" s="92">
        <v>110</v>
      </c>
      <c r="O114" s="93">
        <v>55</v>
      </c>
      <c r="P114" s="96">
        <f>P113+R113*Tableau!$G$2+((1/2)*T113)*Tableau!$G$2^2</f>
        <v>46209.290956352772</v>
      </c>
      <c r="Q114" s="96">
        <f>Q113+S113*Tableau!$G$2+((1/2)*U113)*Tableau!$G$2^2</f>
        <v>-2598.458275478933</v>
      </c>
      <c r="R114" s="96">
        <f>R113+T113*Tableau!$G$2</f>
        <v>1413.8130161368442</v>
      </c>
      <c r="S114" s="96">
        <f>S113+U113*Tableau!$G$2</f>
        <v>-2853.2978530629412</v>
      </c>
      <c r="T114" s="96">
        <f t="shared" si="2"/>
        <v>-729.85877141869014</v>
      </c>
      <c r="U114" s="96">
        <f t="shared" si="3"/>
        <v>164.68846317462561</v>
      </c>
      <c r="V114" s="96">
        <f>((Tableau!$G$16-P114)/(AC114^2+Tableau!$G$21^2)^(3/2))*Tableau!$G$20</f>
        <v>-517.80982956877199</v>
      </c>
      <c r="W114" s="96">
        <f>((Tableau!$H$16-Q114)/(AC114^2+Tableau!$G$21^2)^(3/2))*Tableau!$G$20</f>
        <v>199.51249223953704</v>
      </c>
      <c r="X114" s="96">
        <f>((Tableau!$G$25-P114)/(AD114^2+Tableau!$G$30^2)^(3/2))*Tableau!$G$29</f>
        <v>-38.220398460073277</v>
      </c>
      <c r="Y114" s="96">
        <f>((Tableau!$H$25-Q114)/(AD114^2+Tableau!$G$30^2)^(3/2))*Tableau!$G$29</f>
        <v>7.2726665444709884</v>
      </c>
      <c r="Z114" s="96">
        <f>((Tableau!$G$35-P114)/(AE114^2+Tableau!$G$40^2)^(3/2))*Tableau!$G$39</f>
        <v>-173.82854338984484</v>
      </c>
      <c r="AA114" s="97">
        <f>((Tableau!$H$35-Q114)/(AE114^2+Tableau!$G$40^2)^(3/2))*Tableau!$G$39</f>
        <v>-42.096695609382394</v>
      </c>
      <c r="AC114" s="110">
        <f>SQRT((Tableau!$G$16-P114)^2+(Tableau!$H$16-Q114)^2)</f>
        <v>28087.466813088435</v>
      </c>
      <c r="AD114" s="111">
        <f>SQRT((Tableau!$G$25-P114)^2+(Tableau!$H$25-Q114)^2)</f>
        <v>67397.265225392941</v>
      </c>
      <c r="AE114" s="112">
        <f>SQRT((Tableau!$G$35-P114)^2+(Tableau!$H$35-Q114)^2)</f>
        <v>52689.559851999431</v>
      </c>
    </row>
    <row r="115" spans="2:31" x14ac:dyDescent="0.25">
      <c r="B115" s="18">
        <v>112</v>
      </c>
      <c r="C115" s="19">
        <f>Tableau!$G$17*COS(B115*PI()/180)+Tableau!$G$16</f>
        <v>18126.967032920438</v>
      </c>
      <c r="D115" s="19">
        <f>Tableau!$G$17*SIN(B115*PI()/180)+Tableau!$H$16</f>
        <v>12135.919272833937</v>
      </c>
      <c r="F115" s="26">
        <v>112</v>
      </c>
      <c r="G115" s="27">
        <f>Tableau!$G$26*COS(F115*PI()/180)+Tableau!$G$25</f>
        <v>-21311.123076955693</v>
      </c>
      <c r="H115" s="27">
        <f>Tableau!$G$26*SIN(F115*PI()/180)+Tableau!$H$25</f>
        <v>13245.143490983755</v>
      </c>
      <c r="J115" s="34">
        <v>112</v>
      </c>
      <c r="K115" s="35">
        <f>Tableau!$G$36*COS(J115*PI()/180)+Tableau!$G$35</f>
        <v>-6873.03296707956</v>
      </c>
      <c r="L115" s="35">
        <f>Tableau!$G$36*SIN(J115*PI()/180)+Tableau!$H$35</f>
        <v>-10364.080727166063</v>
      </c>
      <c r="N115" s="98">
        <v>111</v>
      </c>
      <c r="O115" s="99">
        <v>55.5</v>
      </c>
      <c r="P115" s="101">
        <f>P114+R114*Tableau!$G$2+((1/2)*T114)*Tableau!$G$2^2</f>
        <v>46824.965117993859</v>
      </c>
      <c r="Q115" s="101">
        <f>Q114+S114*Tableau!$G$2+((1/2)*U114)*Tableau!$G$2^2</f>
        <v>-4004.5211441135757</v>
      </c>
      <c r="R115" s="101">
        <f>R114+T114*Tableau!$G$2</f>
        <v>1048.8836304274992</v>
      </c>
      <c r="S115" s="101">
        <f>S114+U114*Tableau!$G$2</f>
        <v>-2770.9536214756286</v>
      </c>
      <c r="T115" s="101">
        <f t="shared" si="2"/>
        <v>-688.49372936861153</v>
      </c>
      <c r="U115" s="101">
        <f t="shared" si="3"/>
        <v>176.13820568410995</v>
      </c>
      <c r="V115" s="101">
        <f>((Tableau!$G$16-P115)/(AC115^2+Tableau!$G$21^2)^(3/2))*Tableau!$G$20</f>
        <v>-478.22070848083393</v>
      </c>
      <c r="W115" s="101">
        <f>((Tableau!$H$16-Q115)/(AC115^2+Tableau!$G$21^2)^(3/2))*Tableau!$G$20</f>
        <v>205.09626864641311</v>
      </c>
      <c r="X115" s="101">
        <f>((Tableau!$G$25-P115)/(AD115^2+Tableau!$G$30^2)^(3/2))*Tableau!$G$29</f>
        <v>-37.119571671016516</v>
      </c>
      <c r="Y115" s="101">
        <f>((Tableau!$H$25-Q115)/(AD115^2+Tableau!$G$30^2)^(3/2))*Tableau!$G$29</f>
        <v>7.7791559697681487</v>
      </c>
      <c r="Z115" s="101">
        <f>((Tableau!$G$35-P115)/(AE115^2+Tableau!$G$40^2)^(3/2))*Tableau!$G$39</f>
        <v>-173.153449216761</v>
      </c>
      <c r="AA115" s="102">
        <f>((Tableau!$H$35-Q115)/(AE115^2+Tableau!$G$40^2)^(3/2))*Tableau!$G$39</f>
        <v>-36.737218932071315</v>
      </c>
      <c r="AC115" s="113">
        <f>SQRT((Tableau!$G$16-P115)^2+(Tableau!$H$16-Q115)^2)</f>
        <v>29187.887219477598</v>
      </c>
      <c r="AD115" s="114">
        <f>SQRT((Tableau!$G$25-P115)^2+(Tableau!$H$25-Q115)^2)</f>
        <v>68276.662011971697</v>
      </c>
      <c r="AE115" s="115">
        <f>SQRT((Tableau!$G$35-P115)^2+(Tableau!$H$35-Q115)^2)</f>
        <v>52978.557594101461</v>
      </c>
    </row>
    <row r="116" spans="2:31" x14ac:dyDescent="0.25">
      <c r="B116" s="20">
        <v>113</v>
      </c>
      <c r="C116" s="21">
        <f>Tableau!$G$17*COS(B116*PI()/180)+Tableau!$G$16</f>
        <v>18046.344357553633</v>
      </c>
      <c r="D116" s="21">
        <f>Tableau!$G$17*SIN(B116*PI()/180)+Tableau!$H$16</f>
        <v>12102.524267262201</v>
      </c>
      <c r="F116" s="28">
        <v>113</v>
      </c>
      <c r="G116" s="29">
        <f>Tableau!$G$26*COS(F116*PI()/180)+Tableau!$G$25</f>
        <v>-21367.558949712457</v>
      </c>
      <c r="H116" s="29">
        <f>Tableau!$G$26*SIN(F116*PI()/180)+Tableau!$H$25</f>
        <v>13221.766987083542</v>
      </c>
      <c r="J116" s="36">
        <v>113</v>
      </c>
      <c r="K116" s="37">
        <f>Tableau!$G$36*COS(J116*PI()/180)+Tableau!$G$35</f>
        <v>-6953.6556424463679</v>
      </c>
      <c r="L116" s="37">
        <f>Tableau!$G$36*SIN(J116*PI()/180)+Tableau!$H$35</f>
        <v>-10397.475732737799</v>
      </c>
      <c r="N116" s="92">
        <v>112</v>
      </c>
      <c r="O116" s="93">
        <v>56</v>
      </c>
      <c r="P116" s="96">
        <f>P115+R115*Tableau!$G$2+((1/2)*T115)*Tableau!$G$2^2</f>
        <v>47263.345217036534</v>
      </c>
      <c r="Q116" s="96">
        <f>Q115+S115*Tableau!$G$2+((1/2)*U115)*Tableau!$G$2^2</f>
        <v>-5367.9806791408764</v>
      </c>
      <c r="R116" s="96">
        <f>R115+T115*Tableau!$G$2</f>
        <v>704.63676574319334</v>
      </c>
      <c r="S116" s="96">
        <f>S115+U115*Tableau!$G$2</f>
        <v>-2682.8845186335734</v>
      </c>
      <c r="T116" s="96">
        <f t="shared" si="2"/>
        <v>-654.74326157510347</v>
      </c>
      <c r="U116" s="96">
        <f t="shared" si="3"/>
        <v>186.63980917216068</v>
      </c>
      <c r="V116" s="96">
        <f>((Tableau!$G$16-P116)/(AC116^2+Tableau!$G$21^2)^(3/2))*Tableau!$G$20</f>
        <v>-445.47340013751659</v>
      </c>
      <c r="W116" s="96">
        <f>((Tableau!$H$16-Q116)/(AC116^2+Tableau!$G$21^2)^(3/2))*Tableau!$G$20</f>
        <v>210.25824455535576</v>
      </c>
      <c r="X116" s="96">
        <f>((Tableau!$G$25-P116)/(AD116^2+Tableau!$G$30^2)^(3/2))*Tableau!$G$29</f>
        <v>-36.217370602619411</v>
      </c>
      <c r="Y116" s="96">
        <f>((Tableau!$H$25-Q116)/(AD116^2+Tableau!$G$30^2)^(3/2))*Tableau!$G$29</f>
        <v>8.2747572228888604</v>
      </c>
      <c r="Z116" s="96">
        <f>((Tableau!$G$35-P116)/(AE116^2+Tableau!$G$40^2)^(3/2))*Tableau!$G$39</f>
        <v>-173.05249083496744</v>
      </c>
      <c r="AA116" s="97">
        <f>((Tableau!$H$35-Q116)/(AE116^2+Tableau!$G$40^2)^(3/2))*Tableau!$G$39</f>
        <v>-31.893192606083947</v>
      </c>
      <c r="AC116" s="110">
        <f>SQRT((Tableau!$G$16-P116)^2+(Tableau!$H$16-Q116)^2)</f>
        <v>30147.552457571939</v>
      </c>
      <c r="AD116" s="111">
        <f>SQRT((Tableau!$G$25-P116)^2+(Tableau!$H$25-Q116)^2)</f>
        <v>68996.611800440456</v>
      </c>
      <c r="AE116" s="112">
        <f>SQRT((Tableau!$G$35-P116)^2+(Tableau!$H$35-Q116)^2)</f>
        <v>53143.513710259496</v>
      </c>
    </row>
    <row r="117" spans="2:31" x14ac:dyDescent="0.25">
      <c r="B117" s="18">
        <v>114</v>
      </c>
      <c r="C117" s="19">
        <f>Tableau!$G$17*COS(B117*PI()/180)+Tableau!$G$16</f>
        <v>17966.316784620998</v>
      </c>
      <c r="D117" s="19">
        <f>Tableau!$G$17*SIN(B117*PI()/180)+Tableau!$H$16</f>
        <v>12067.727288213006</v>
      </c>
      <c r="F117" s="26">
        <v>114</v>
      </c>
      <c r="G117" s="27">
        <f>Tableau!$G$26*COS(F117*PI()/180)+Tableau!$G$25</f>
        <v>-21423.578250765298</v>
      </c>
      <c r="H117" s="27">
        <f>Tableau!$G$26*SIN(F117*PI()/180)+Tableau!$H$25</f>
        <v>13197.409101749103</v>
      </c>
      <c r="J117" s="34">
        <v>114</v>
      </c>
      <c r="K117" s="35">
        <f>Tableau!$G$36*COS(J117*PI()/180)+Tableau!$G$35</f>
        <v>-7033.6832153790001</v>
      </c>
      <c r="L117" s="35">
        <f>Tableau!$G$36*SIN(J117*PI()/180)+Tableau!$H$35</f>
        <v>-10432.272711786994</v>
      </c>
      <c r="N117" s="98">
        <v>113</v>
      </c>
      <c r="O117" s="99">
        <v>56.5</v>
      </c>
      <c r="P117" s="101">
        <f>P116+R116*Tableau!$G$2+((1/2)*T116)*Tableau!$G$2^2</f>
        <v>47533.820692211244</v>
      </c>
      <c r="Q117" s="101">
        <f>Q116+S116*Tableau!$G$2+((1/2)*U116)*Tableau!$G$2^2</f>
        <v>-6686.0929623111424</v>
      </c>
      <c r="R117" s="101">
        <f>R116+T116*Tableau!$G$2</f>
        <v>377.2651349556416</v>
      </c>
      <c r="S117" s="101">
        <f>S116+U116*Tableau!$G$2</f>
        <v>-2589.5646140474933</v>
      </c>
      <c r="T117" s="101">
        <f t="shared" si="2"/>
        <v>-627.13960192168713</v>
      </c>
      <c r="U117" s="101">
        <f t="shared" si="3"/>
        <v>196.73179643099047</v>
      </c>
      <c r="V117" s="101">
        <f>((Tableau!$G$16-P117)/(AC117^2+Tableau!$G$21^2)^(3/2))*Tableau!$G$20</f>
        <v>-418.12091213128662</v>
      </c>
      <c r="W117" s="101">
        <f>((Tableau!$H$16-Q117)/(AC117^2+Tableau!$G$21^2)^(3/2))*Tableau!$G$20</f>
        <v>215.42604621735848</v>
      </c>
      <c r="X117" s="101">
        <f>((Tableau!$G$25-P117)/(AD117^2+Tableau!$G$30^2)^(3/2))*Tableau!$G$29</f>
        <v>-35.48827834406238</v>
      </c>
      <c r="Y117" s="101">
        <f>((Tableau!$H$25-Q117)/(AD117^2+Tableau!$G$30^2)^(3/2))*Tableau!$G$29</f>
        <v>8.7683579198073254</v>
      </c>
      <c r="Z117" s="101">
        <f>((Tableau!$G$35-P117)/(AE117^2+Tableau!$G$40^2)^(3/2))*Tableau!$G$39</f>
        <v>-173.53041144633812</v>
      </c>
      <c r="AA117" s="102">
        <f>((Tableau!$H$35-Q117)/(AE117^2+Tableau!$G$40^2)^(3/2))*Tableau!$G$39</f>
        <v>-27.46260770617533</v>
      </c>
      <c r="AC117" s="113">
        <f>SQRT((Tableau!$G$16-P117)^2+(Tableau!$H$16-Q117)^2)</f>
        <v>30973.480841619559</v>
      </c>
      <c r="AD117" s="114">
        <f>SQRT((Tableau!$G$25-P117)^2+(Tableau!$H$25-Q117)^2)</f>
        <v>69564.665137083997</v>
      </c>
      <c r="AE117" s="115">
        <f>SQRT((Tableau!$G$35-P117)^2+(Tableau!$H$35-Q117)^2)</f>
        <v>53187.624187894828</v>
      </c>
    </row>
    <row r="118" spans="2:31" x14ac:dyDescent="0.25">
      <c r="B118" s="20">
        <v>115</v>
      </c>
      <c r="C118" s="21">
        <f>Tableau!$G$17*COS(B118*PI()/180)+Tableau!$G$16</f>
        <v>17886.908691296503</v>
      </c>
      <c r="D118" s="21">
        <f>Tableau!$G$17*SIN(B118*PI()/180)+Tableau!$H$16</f>
        <v>12031.538935183249</v>
      </c>
      <c r="F118" s="28">
        <v>115</v>
      </c>
      <c r="G118" s="29">
        <f>Tableau!$G$26*COS(F118*PI()/180)+Tableau!$G$25</f>
        <v>-21479.163916092446</v>
      </c>
      <c r="H118" s="29">
        <f>Tableau!$G$26*SIN(F118*PI()/180)+Tableau!$H$25</f>
        <v>13172.077254628275</v>
      </c>
      <c r="J118" s="36">
        <v>115</v>
      </c>
      <c r="K118" s="37">
        <f>Tableau!$G$36*COS(J118*PI()/180)+Tableau!$G$35</f>
        <v>-7113.0913087034969</v>
      </c>
      <c r="L118" s="37">
        <f>Tableau!$G$36*SIN(J118*PI()/180)+Tableau!$H$35</f>
        <v>-10468.461064816751</v>
      </c>
      <c r="N118" s="92">
        <v>114</v>
      </c>
      <c r="O118" s="93">
        <v>57</v>
      </c>
      <c r="P118" s="96">
        <f>P117+R117*Tableau!$G$2+((1/2)*T117)*Tableau!$G$2^2</f>
        <v>47644.060809448856</v>
      </c>
      <c r="Q118" s="96">
        <f>Q117+S117*Tableau!$G$2+((1/2)*U117)*Tableau!$G$2^2</f>
        <v>-7956.2837947810149</v>
      </c>
      <c r="R118" s="96">
        <f>R117+T117*Tableau!$G$2</f>
        <v>63.695333994798034</v>
      </c>
      <c r="S118" s="96">
        <f>S117+U117*Tableau!$G$2</f>
        <v>-2491.198715831998</v>
      </c>
      <c r="T118" s="96">
        <f t="shared" si="2"/>
        <v>-604.5934865963452</v>
      </c>
      <c r="U118" s="96">
        <f t="shared" si="3"/>
        <v>206.80177891762824</v>
      </c>
      <c r="V118" s="96">
        <f>((Tableau!$G$16-P118)/(AC118^2+Tableau!$G$21^2)^(3/2))*Tableau!$G$20</f>
        <v>-395.07865280827997</v>
      </c>
      <c r="W118" s="96">
        <f>((Tableau!$H$16-Q118)/(AC118^2+Tableau!$G$21^2)^(3/2))*Tableau!$G$20</f>
        <v>220.89546905414574</v>
      </c>
      <c r="X118" s="96">
        <f>((Tableau!$G$25-P118)/(AD118^2+Tableau!$G$30^2)^(3/2))*Tableau!$G$29</f>
        <v>-34.913242012225659</v>
      </c>
      <c r="Y118" s="96">
        <f>((Tableau!$H$25-Q118)/(AD118^2+Tableau!$G$30^2)^(3/2))*Tableau!$G$29</f>
        <v>9.2678067263493613</v>
      </c>
      <c r="Z118" s="96">
        <f>((Tableau!$G$35-P118)/(AE118^2+Tableau!$G$40^2)^(3/2))*Tableau!$G$39</f>
        <v>-174.60159177583955</v>
      </c>
      <c r="AA118" s="97">
        <f>((Tableau!$H$35-Q118)/(AE118^2+Tableau!$G$40^2)^(3/2))*Tableau!$G$39</f>
        <v>-23.361496862866847</v>
      </c>
      <c r="AC118" s="110">
        <f>SQRT((Tableau!$G$16-P118)^2+(Tableau!$H$16-Q118)^2)</f>
        <v>31671.60884422066</v>
      </c>
      <c r="AD118" s="111">
        <f>SQRT((Tableau!$G$25-P118)^2+(Tableau!$H$25-Q118)^2)</f>
        <v>69986.763680792748</v>
      </c>
      <c r="AE118" s="112">
        <f>SQRT((Tableau!$G$35-P118)^2+(Tableau!$H$35-Q118)^2)</f>
        <v>53113.191172143037</v>
      </c>
    </row>
    <row r="119" spans="2:31" x14ac:dyDescent="0.25">
      <c r="B119" s="18">
        <v>116</v>
      </c>
      <c r="C119" s="19">
        <f>Tableau!$G$17*COS(B119*PI()/180)+Tableau!$G$16</f>
        <v>17808.144266054613</v>
      </c>
      <c r="D119" s="19">
        <f>Tableau!$G$17*SIN(B119*PI()/180)+Tableau!$H$16</f>
        <v>11993.970231495834</v>
      </c>
      <c r="F119" s="26">
        <v>116</v>
      </c>
      <c r="G119" s="27">
        <f>Tableau!$G$26*COS(F119*PI()/180)+Tableau!$G$25</f>
        <v>-21534.299013761771</v>
      </c>
      <c r="H119" s="27">
        <f>Tableau!$G$26*SIN(F119*PI()/180)+Tableau!$H$25</f>
        <v>13145.779162047085</v>
      </c>
      <c r="J119" s="34">
        <v>116</v>
      </c>
      <c r="K119" s="35">
        <f>Tableau!$G$36*COS(J119*PI()/180)+Tableau!$G$35</f>
        <v>-7191.8557339453873</v>
      </c>
      <c r="L119" s="35">
        <f>Tableau!$G$36*SIN(J119*PI()/180)+Tableau!$H$35</f>
        <v>-10506.029768504166</v>
      </c>
      <c r="N119" s="98">
        <v>115</v>
      </c>
      <c r="O119" s="99">
        <v>57.5</v>
      </c>
      <c r="P119" s="101">
        <f>P118+R118*Tableau!$G$2+((1/2)*T118)*Tableau!$G$2^2</f>
        <v>47600.334290621708</v>
      </c>
      <c r="Q119" s="101">
        <f>Q118+S118*Tableau!$G$2+((1/2)*U118)*Tableau!$G$2^2</f>
        <v>-9176.0329303323106</v>
      </c>
      <c r="R119" s="101">
        <f>R118+T118*Tableau!$G$2</f>
        <v>-238.60140930337457</v>
      </c>
      <c r="S119" s="101">
        <f>S118+U118*Tableau!$G$2</f>
        <v>-2387.7978263731839</v>
      </c>
      <c r="T119" s="101">
        <f t="shared" si="2"/>
        <v>-586.28711572889756</v>
      </c>
      <c r="U119" s="101">
        <f t="shared" si="3"/>
        <v>217.14802798194523</v>
      </c>
      <c r="V119" s="101">
        <f>((Tableau!$G$16-P119)/(AC119^2+Tableau!$G$21^2)^(3/2))*Tableau!$G$20</f>
        <v>-375.51805310981052</v>
      </c>
      <c r="W119" s="101">
        <f>((Tableau!$H$16-Q119)/(AC119^2+Tableau!$G$21^2)^(3/2))*Tableau!$G$20</f>
        <v>226.88679614004849</v>
      </c>
      <c r="X119" s="101">
        <f>((Tableau!$G$25-P119)/(AD119^2+Tableau!$G$30^2)^(3/2))*Tableau!$G$29</f>
        <v>-34.478195508555054</v>
      </c>
      <c r="Y119" s="101">
        <f>((Tableau!$H$25-Q119)/(AD119^2+Tableau!$G$30^2)^(3/2))*Tableau!$G$29</f>
        <v>9.7803512273786222</v>
      </c>
      <c r="Z119" s="101">
        <f>((Tableau!$G$35-P119)/(AE119^2+Tableau!$G$40^2)^(3/2))*Tableau!$G$39</f>
        <v>-176.29086711053199</v>
      </c>
      <c r="AA119" s="102">
        <f>((Tableau!$H$35-Q119)/(AE119^2+Tableau!$G$40^2)^(3/2))*Tableau!$G$39</f>
        <v>-19.519119385481876</v>
      </c>
      <c r="AC119" s="113">
        <f>SQRT((Tableau!$G$16-P119)^2+(Tableau!$H$16-Q119)^2)</f>
        <v>32246.992530274758</v>
      </c>
      <c r="AD119" s="114">
        <f>SQRT((Tableau!$G$25-P119)^2+(Tableau!$H$25-Q119)^2)</f>
        <v>70267.527600940928</v>
      </c>
      <c r="AE119" s="115">
        <f>SQRT((Tableau!$G$35-P119)^2+(Tableau!$H$35-Q119)^2)</f>
        <v>52921.770188777009</v>
      </c>
    </row>
    <row r="120" spans="2:31" x14ac:dyDescent="0.25">
      <c r="B120" s="20">
        <v>117</v>
      </c>
      <c r="C120" s="21">
        <f>Tableau!$G$17*COS(B120*PI()/180)+Tableau!$G$16</f>
        <v>17730.047501302266</v>
      </c>
      <c r="D120" s="21">
        <f>Tableau!$G$17*SIN(B120*PI()/180)+Tableau!$H$16</f>
        <v>11955.03262094184</v>
      </c>
      <c r="F120" s="28">
        <v>117</v>
      </c>
      <c r="G120" s="29">
        <f>Tableau!$G$26*COS(F120*PI()/180)+Tableau!$G$25</f>
        <v>-21588.966749088413</v>
      </c>
      <c r="H120" s="29">
        <f>Tableau!$G$26*SIN(F120*PI()/180)+Tableau!$H$25</f>
        <v>13118.522834659288</v>
      </c>
      <c r="J120" s="36">
        <v>117</v>
      </c>
      <c r="K120" s="37">
        <f>Tableau!$G$36*COS(J120*PI()/180)+Tableau!$G$35</f>
        <v>-7269.952498697734</v>
      </c>
      <c r="L120" s="37">
        <f>Tableau!$G$36*SIN(J120*PI()/180)+Tableau!$H$35</f>
        <v>-10544.96737905816</v>
      </c>
      <c r="N120" s="92">
        <v>116</v>
      </c>
      <c r="O120" s="93">
        <v>58</v>
      </c>
      <c r="P120" s="96">
        <f>P119+R119*Tableau!$G$2+((1/2)*T119)*Tableau!$G$2^2</f>
        <v>47407.74769650391</v>
      </c>
      <c r="Q120" s="96">
        <f>Q119+S119*Tableau!$G$2+((1/2)*U119)*Tableau!$G$2^2</f>
        <v>-10342.788340021158</v>
      </c>
      <c r="R120" s="96">
        <f>R119+T119*Tableau!$G$2</f>
        <v>-531.74496716782335</v>
      </c>
      <c r="S120" s="96">
        <f>S119+U119*Tableau!$G$2</f>
        <v>-2279.2238123822112</v>
      </c>
      <c r="T120" s="96">
        <f t="shared" si="2"/>
        <v>-571.60079395654918</v>
      </c>
      <c r="U120" s="96">
        <f t="shared" si="3"/>
        <v>228.01735747658341</v>
      </c>
      <c r="V120" s="96">
        <f>((Tableau!$G$16-P120)/(AC120^2+Tableau!$G$21^2)^(3/2))*Tableau!$G$20</f>
        <v>-358.79297466079782</v>
      </c>
      <c r="W120" s="96">
        <f>((Tableau!$H$16-Q120)/(AC120^2+Tableau!$G$21^2)^(3/2))*Tableau!$G$20</f>
        <v>233.57873750333022</v>
      </c>
      <c r="X120" s="96">
        <f>((Tableau!$G$25-P120)/(AD120^2+Tableau!$G$30^2)^(3/2))*Tableau!$G$29</f>
        <v>-34.173059194423487</v>
      </c>
      <c r="Y120" s="96">
        <f>((Tableau!$H$25-Q120)/(AD120^2+Tableau!$G$30^2)^(3/2))*Tableau!$G$29</f>
        <v>10.312988252524361</v>
      </c>
      <c r="Z120" s="96">
        <f>((Tableau!$G$35-P120)/(AE120^2+Tableau!$G$40^2)^(3/2))*Tableau!$G$39</f>
        <v>-178.63476010132786</v>
      </c>
      <c r="AA120" s="97">
        <f>((Tableau!$H$35-Q120)/(AE120^2+Tableau!$G$40^2)^(3/2))*Tableau!$G$39</f>
        <v>-15.874368279271149</v>
      </c>
      <c r="AC120" s="110">
        <f>SQRT((Tableau!$G$16-P120)^2+(Tableau!$H$16-Q120)^2)</f>
        <v>32703.971158591892</v>
      </c>
      <c r="AD120" s="111">
        <f>SQRT((Tableau!$G$25-P120)^2+(Tableau!$H$25-Q120)^2)</f>
        <v>70410.46432855296</v>
      </c>
      <c r="AE120" s="112">
        <f>SQRT((Tableau!$G$35-P120)^2+(Tableau!$H$35-Q120)^2)</f>
        <v>52614.272199340114</v>
      </c>
    </row>
    <row r="121" spans="2:31" x14ac:dyDescent="0.25">
      <c r="B121" s="18">
        <v>118</v>
      </c>
      <c r="C121" s="19">
        <f>Tableau!$G$17*COS(B121*PI()/180)+Tableau!$G$16</f>
        <v>17652.642186070549</v>
      </c>
      <c r="D121" s="19">
        <f>Tableau!$G$17*SIN(B121*PI()/180)+Tableau!$H$16</f>
        <v>11914.737964294636</v>
      </c>
      <c r="F121" s="26">
        <v>118</v>
      </c>
      <c r="G121" s="27">
        <f>Tableau!$G$26*COS(F121*PI()/180)+Tableau!$G$25</f>
        <v>-21643.150469750617</v>
      </c>
      <c r="H121" s="27">
        <f>Tableau!$G$26*SIN(F121*PI()/180)+Tableau!$H$25</f>
        <v>13090.316575006245</v>
      </c>
      <c r="J121" s="34">
        <v>118</v>
      </c>
      <c r="K121" s="35">
        <f>Tableau!$G$36*COS(J121*PI()/180)+Tableau!$G$35</f>
        <v>-7347.3578139294532</v>
      </c>
      <c r="L121" s="35">
        <f>Tableau!$G$36*SIN(J121*PI()/180)+Tableau!$H$35</f>
        <v>-10585.262035705364</v>
      </c>
      <c r="N121" s="98">
        <v>117</v>
      </c>
      <c r="O121" s="99">
        <v>58.5</v>
      </c>
      <c r="P121" s="101">
        <f>P120+R120*Tableau!$G$2+((1/2)*T120)*Tableau!$G$2^2</f>
        <v>47070.425113675432</v>
      </c>
      <c r="Q121" s="101">
        <f>Q120+S120*Tableau!$G$2+((1/2)*U120)*Tableau!$G$2^2</f>
        <v>-11453.89807652769</v>
      </c>
      <c r="R121" s="101">
        <f>R120+T120*Tableau!$G$2</f>
        <v>-817.54536414609788</v>
      </c>
      <c r="S121" s="101">
        <f>S120+U120*Tableau!$G$2</f>
        <v>-2165.2151336439197</v>
      </c>
      <c r="T121" s="101">
        <f t="shared" si="2"/>
        <v>-560.06191911280155</v>
      </c>
      <c r="U121" s="101">
        <f t="shared" si="3"/>
        <v>239.62962508988818</v>
      </c>
      <c r="V121" s="101">
        <f>((Tableau!$G$16-P121)/(AC121^2+Tableau!$G$21^2)^(3/2))*Tableau!$G$20</f>
        <v>-344.38761627655782</v>
      </c>
      <c r="W121" s="101">
        <f>((Tableau!$H$16-Q121)/(AC121^2+Tableau!$G$21^2)^(3/2))*Tableau!$G$20</f>
        <v>241.12985851953431</v>
      </c>
      <c r="X121" s="101">
        <f>((Tableau!$G$25-P121)/(AD121^2+Tableau!$G$30^2)^(3/2))*Tableau!$G$29</f>
        <v>-33.991069422667373</v>
      </c>
      <c r="Y121" s="101">
        <f>((Tableau!$H$25-Q121)/(AD121^2+Tableau!$G$30^2)^(3/2))*Tableau!$G$29</f>
        <v>10.872764525796827</v>
      </c>
      <c r="Z121" s="101">
        <f>((Tableau!$G$35-P121)/(AE121^2+Tableau!$G$40^2)^(3/2))*Tableau!$G$39</f>
        <v>-181.68323341357635</v>
      </c>
      <c r="AA121" s="102">
        <f>((Tableau!$H$35-Q121)/(AE121^2+Tableau!$G$40^2)^(3/2))*Tableau!$G$39</f>
        <v>-12.372997955442957</v>
      </c>
      <c r="AC121" s="113">
        <f>SQRT((Tableau!$G$16-P121)^2+(Tableau!$H$16-Q121)^2)</f>
        <v>33046.303395849129</v>
      </c>
      <c r="AD121" s="114">
        <f>SQRT((Tableau!$G$25-P121)^2+(Tableau!$H$25-Q121)^2)</f>
        <v>70418.120307256017</v>
      </c>
      <c r="AE121" s="115">
        <f>SQRT((Tableau!$G$35-P121)^2+(Tableau!$H$35-Q121)^2)</f>
        <v>52191.033812049893</v>
      </c>
    </row>
    <row r="122" spans="2:31" x14ac:dyDescent="0.25">
      <c r="B122" s="20">
        <v>119</v>
      </c>
      <c r="C122" s="21">
        <f>Tableau!$G$17*COS(B122*PI()/180)+Tableau!$G$16</f>
        <v>17575.951898768315</v>
      </c>
      <c r="D122" s="21">
        <f>Tableau!$G$17*SIN(B122*PI()/180)+Tableau!$H$16</f>
        <v>11873.09853569698</v>
      </c>
      <c r="F122" s="28">
        <v>119</v>
      </c>
      <c r="G122" s="29">
        <f>Tableau!$G$26*COS(F122*PI()/180)+Tableau!$G$25</f>
        <v>-21696.833670862179</v>
      </c>
      <c r="H122" s="29">
        <f>Tableau!$G$26*SIN(F122*PI()/180)+Tableau!$H$25</f>
        <v>13061.168974987886</v>
      </c>
      <c r="J122" s="36">
        <v>119</v>
      </c>
      <c r="K122" s="37">
        <f>Tableau!$G$36*COS(J122*PI()/180)+Tableau!$G$35</f>
        <v>-7424.048101231685</v>
      </c>
      <c r="L122" s="37">
        <f>Tableau!$G$36*SIN(J122*PI()/180)+Tableau!$H$35</f>
        <v>-10626.90146430302</v>
      </c>
      <c r="N122" s="92">
        <v>118</v>
      </c>
      <c r="O122" s="93">
        <v>59</v>
      </c>
      <c r="P122" s="96">
        <f>P121+R121*Tableau!$G$2+((1/2)*T121)*Tableau!$G$2^2</f>
        <v>46591.644691713285</v>
      </c>
      <c r="Q122" s="96">
        <f>Q121+S121*Tableau!$G$2+((1/2)*U121)*Tableau!$G$2^2</f>
        <v>-12506.551940213414</v>
      </c>
      <c r="R122" s="96">
        <f>R121+T121*Tableau!$G$2</f>
        <v>-1097.5763237024987</v>
      </c>
      <c r="S122" s="96">
        <f>S121+U121*Tableau!$G$2</f>
        <v>-2045.4003210989756</v>
      </c>
      <c r="T122" s="96">
        <f t="shared" si="2"/>
        <v>-551.3089442384528</v>
      </c>
      <c r="U122" s="96">
        <f t="shared" si="3"/>
        <v>252.19452784014223</v>
      </c>
      <c r="V122" s="96">
        <f>((Tableau!$G$16-P122)/(AC122^2+Tableau!$G$21^2)^(3/2))*Tableau!$G$20</f>
        <v>-331.87848787351567</v>
      </c>
      <c r="W122" s="96">
        <f>((Tableau!$H$16-Q122)/(AC122^2+Tableau!$G$21^2)^(3/2))*Tableau!$G$20</f>
        <v>249.69287467766571</v>
      </c>
      <c r="X122" s="96">
        <f>((Tableau!$G$25-P122)/(AD122^2+Tableau!$G$30^2)^(3/2))*Tableau!$G$29</f>
        <v>-33.928347423747333</v>
      </c>
      <c r="Y122" s="96">
        <f>((Tableau!$H$25-Q122)/(AD122^2+Tableau!$G$30^2)^(3/2))*Tableau!$G$29</f>
        <v>11.467055920803825</v>
      </c>
      <c r="Z122" s="96">
        <f>((Tableau!$G$35-P122)/(AE122^2+Tableau!$G$40^2)^(3/2))*Tableau!$G$39</f>
        <v>-185.50210894118979</v>
      </c>
      <c r="AA122" s="97">
        <f>((Tableau!$H$35-Q122)/(AE122^2+Tableau!$G$40^2)^(3/2))*Tableau!$G$39</f>
        <v>-8.9654027583273255</v>
      </c>
      <c r="AC122" s="110">
        <f>SQRT((Tableau!$G$16-P122)^2+(Tableau!$H$16-Q122)^2)</f>
        <v>33277.284864405337</v>
      </c>
      <c r="AD122" s="111">
        <f>SQRT((Tableau!$G$25-P122)^2+(Tableau!$H$25-Q122)^2)</f>
        <v>70292.190341352354</v>
      </c>
      <c r="AE122" s="112">
        <f>SQRT((Tableau!$G$35-P122)^2+(Tableau!$H$35-Q122)^2)</f>
        <v>51651.864295713865</v>
      </c>
    </row>
    <row r="123" spans="2:31" x14ac:dyDescent="0.25">
      <c r="B123" s="18">
        <v>120</v>
      </c>
      <c r="C123" s="19">
        <f>Tableau!$G$17*COS(B123*PI()/180)+Tableau!$G$16</f>
        <v>17500</v>
      </c>
      <c r="D123" s="19">
        <f>Tableau!$G$17*SIN(B123*PI()/180)+Tableau!$H$16</f>
        <v>11830.127018922194</v>
      </c>
      <c r="F123" s="26">
        <v>120</v>
      </c>
      <c r="G123" s="27">
        <f>Tableau!$G$26*COS(F123*PI()/180)+Tableau!$G$25</f>
        <v>-21750</v>
      </c>
      <c r="H123" s="27">
        <f>Tableau!$G$26*SIN(F123*PI()/180)+Tableau!$H$25</f>
        <v>13031.088913245536</v>
      </c>
      <c r="J123" s="34">
        <v>120</v>
      </c>
      <c r="K123" s="35">
        <f>Tableau!$G$36*COS(J123*PI()/180)+Tableau!$G$35</f>
        <v>-7499.9999999999991</v>
      </c>
      <c r="L123" s="35">
        <f>Tableau!$G$36*SIN(J123*PI()/180)+Tableau!$H$35</f>
        <v>-10669.872981077806</v>
      </c>
      <c r="N123" s="98">
        <v>119</v>
      </c>
      <c r="O123" s="99">
        <v>59.5</v>
      </c>
      <c r="P123" s="101">
        <f>P122+R122*Tableau!$G$2+((1/2)*T122)*Tableau!$G$2^2</f>
        <v>45973.94291183223</v>
      </c>
      <c r="Q123" s="101">
        <f>Q122+S122*Tableau!$G$2+((1/2)*U122)*Tableau!$G$2^2</f>
        <v>-13497.727784782885</v>
      </c>
      <c r="R123" s="101">
        <f>R122+T122*Tableau!$G$2</f>
        <v>-1373.2307958217252</v>
      </c>
      <c r="S123" s="101">
        <f>S122+U122*Tableau!$G$2</f>
        <v>-1919.3030571789045</v>
      </c>
      <c r="T123" s="101">
        <f t="shared" si="2"/>
        <v>-545.06547733142975</v>
      </c>
      <c r="U123" s="101">
        <f t="shared" si="3"/>
        <v>265.92391362589126</v>
      </c>
      <c r="V123" s="101">
        <f>((Tableau!$G$16-P123)/(AC123^2+Tableau!$G$21^2)^(3/2))*Tableau!$G$20</f>
        <v>-320.90546345546608</v>
      </c>
      <c r="W123" s="101">
        <f>((Tableau!$H$16-Q123)/(AC123^2+Tableau!$G$21^2)^(3/2))*Tableau!$G$20</f>
        <v>259.42482391527449</v>
      </c>
      <c r="X123" s="101">
        <f>((Tableau!$G$25-P123)/(AD123^2+Tableau!$G$30^2)^(3/2))*Tableau!$G$29</f>
        <v>-33.983652742927944</v>
      </c>
      <c r="Y123" s="101">
        <f>((Tableau!$H$25-Q123)/(AD123^2+Tableau!$G$30^2)^(3/2))*Tableau!$G$29</f>
        <v>12.103848671786684</v>
      </c>
      <c r="Z123" s="101">
        <f>((Tableau!$G$35-P123)/(AE123^2+Tableau!$G$40^2)^(3/2))*Tableau!$G$39</f>
        <v>-190.1763611330357</v>
      </c>
      <c r="AA123" s="102">
        <f>((Tableau!$H$35-Q123)/(AE123^2+Tableau!$G$40^2)^(3/2))*Tableau!$G$39</f>
        <v>-5.6047589611699209</v>
      </c>
      <c r="AC123" s="113">
        <f>SQRT((Tableau!$G$16-P123)^2+(Tableau!$H$16-Q123)^2)</f>
        <v>33399.854528290431</v>
      </c>
      <c r="AD123" s="114">
        <f>SQRT((Tableau!$G$25-P123)^2+(Tableau!$H$25-Q123)^2)</f>
        <v>70033.594469950316</v>
      </c>
      <c r="AE123" s="115">
        <f>SQRT((Tableau!$G$35-P123)^2+(Tableau!$H$35-Q123)^2)</f>
        <v>50996.075121398746</v>
      </c>
    </row>
    <row r="124" spans="2:31" x14ac:dyDescent="0.25">
      <c r="B124" s="20">
        <v>121</v>
      </c>
      <c r="C124" s="21">
        <f>Tableau!$G$17*COS(B124*PI()/180)+Tableau!$G$16</f>
        <v>17424.809625449729</v>
      </c>
      <c r="D124" s="21">
        <f>Tableau!$G$17*SIN(B124*PI()/180)+Tableau!$H$16</f>
        <v>11785.836503510562</v>
      </c>
      <c r="F124" s="28">
        <v>121</v>
      </c>
      <c r="G124" s="29">
        <f>Tableau!$G$26*COS(F124*PI()/180)+Tableau!$G$25</f>
        <v>-21802.633262185191</v>
      </c>
      <c r="H124" s="29">
        <f>Tableau!$G$26*SIN(F124*PI()/180)+Tableau!$H$25</f>
        <v>13000.085552457393</v>
      </c>
      <c r="J124" s="36">
        <v>121</v>
      </c>
      <c r="K124" s="37">
        <f>Tableau!$G$36*COS(J124*PI()/180)+Tableau!$G$35</f>
        <v>-7575.1903745502714</v>
      </c>
      <c r="L124" s="37">
        <f>Tableau!$G$36*SIN(J124*PI()/180)+Tableau!$H$35</f>
        <v>-10714.163496489438</v>
      </c>
      <c r="N124" s="92">
        <v>120</v>
      </c>
      <c r="O124" s="93">
        <v>60</v>
      </c>
      <c r="P124" s="96">
        <f>P123+R123*Tableau!$G$2+((1/2)*T123)*Tableau!$G$2^2</f>
        <v>45219.19432925494</v>
      </c>
      <c r="Q124" s="96">
        <f>Q123+S123*Tableau!$G$2+((1/2)*U123)*Tableau!$G$2^2</f>
        <v>-14424.1388241691</v>
      </c>
      <c r="R124" s="96">
        <f>R123+T123*Tableau!$G$2</f>
        <v>-1645.7635344874402</v>
      </c>
      <c r="S124" s="96">
        <f>S123+U123*Tableau!$G$2</f>
        <v>-1786.3411003659589</v>
      </c>
      <c r="T124" s="96">
        <f t="shared" si="2"/>
        <v>-541.12130405683854</v>
      </c>
      <c r="U124" s="96">
        <f t="shared" si="3"/>
        <v>281.0414684822386</v>
      </c>
      <c r="V124" s="96">
        <f>((Tableau!$G$16-P124)/(AC124^2+Tableau!$G$21^2)^(3/2))*Tableau!$G$20</f>
        <v>-311.148433538794</v>
      </c>
      <c r="W124" s="96">
        <f>((Tableau!$H$16-Q124)/(AC124^2+Tableau!$G$21^2)^(3/2))*Tableau!$G$20</f>
        <v>270.49482084025038</v>
      </c>
      <c r="X124" s="96">
        <f>((Tableau!$G$25-P124)/(AD124^2+Tableau!$G$30^2)^(3/2))*Tableau!$G$29</f>
        <v>-34.15829042175708</v>
      </c>
      <c r="Y124" s="96">
        <f>((Tableau!$H$25-Q124)/(AD124^2+Tableau!$G$30^2)^(3/2))*Tableau!$G$29</f>
        <v>12.792044364201081</v>
      </c>
      <c r="Z124" s="96">
        <f>((Tableau!$G$35-P124)/(AE124^2+Tableau!$G$40^2)^(3/2))*Tableau!$G$39</f>
        <v>-195.81458009628747</v>
      </c>
      <c r="AA124" s="97">
        <f>((Tableau!$H$35-Q124)/(AE124^2+Tableau!$G$40^2)^(3/2))*Tableau!$G$39</f>
        <v>-2.2453967222129068</v>
      </c>
      <c r="AC124" s="110">
        <f>SQRT((Tableau!$G$16-P124)^2+(Tableau!$H$16-Q124)^2)</f>
        <v>33416.696811596499</v>
      </c>
      <c r="AD124" s="111">
        <f>SQRT((Tableau!$G$25-P124)^2+(Tableau!$H$25-Q124)^2)</f>
        <v>69642.52914892885</v>
      </c>
      <c r="AE124" s="112">
        <f>SQRT((Tableau!$G$35-P124)^2+(Tableau!$H$35-Q124)^2)</f>
        <v>50222.495907444711</v>
      </c>
    </row>
    <row r="125" spans="2:31" x14ac:dyDescent="0.25">
      <c r="B125" s="18">
        <v>122</v>
      </c>
      <c r="C125" s="19">
        <f>Tableau!$G$17*COS(B125*PI()/180)+Tableau!$G$16</f>
        <v>17350.403678833976</v>
      </c>
      <c r="D125" s="19">
        <f>Tableau!$G$17*SIN(B125*PI()/180)+Tableau!$H$16</f>
        <v>11740.240480782129</v>
      </c>
      <c r="F125" s="26">
        <v>122</v>
      </c>
      <c r="G125" s="27">
        <f>Tableau!$G$26*COS(F125*PI()/180)+Tableau!$G$25</f>
        <v>-21854.717424816215</v>
      </c>
      <c r="H125" s="27">
        <f>Tableau!$G$26*SIN(F125*PI()/180)+Tableau!$H$25</f>
        <v>12968.168336547491</v>
      </c>
      <c r="J125" s="34">
        <v>122</v>
      </c>
      <c r="K125" s="35">
        <f>Tableau!$G$36*COS(J125*PI()/180)+Tableau!$G$35</f>
        <v>-7649.5963211660237</v>
      </c>
      <c r="L125" s="35">
        <f>Tableau!$G$36*SIN(J125*PI()/180)+Tableau!$H$35</f>
        <v>-10759.759519217871</v>
      </c>
      <c r="N125" s="98">
        <v>121</v>
      </c>
      <c r="O125" s="99">
        <v>60.5</v>
      </c>
      <c r="P125" s="101">
        <f>P124+R124*Tableau!$G$2+((1/2)*T124)*Tableau!$G$2^2</f>
        <v>44328.672399004114</v>
      </c>
      <c r="Q125" s="101">
        <f>Q124+S124*Tableau!$G$2+((1/2)*U124)*Tableau!$G$2^2</f>
        <v>-15282.179190791801</v>
      </c>
      <c r="R125" s="101">
        <f>R124+T124*Tableau!$G$2</f>
        <v>-1916.3241865158595</v>
      </c>
      <c r="S125" s="101">
        <f>S124+U124*Tableau!$G$2</f>
        <v>-1645.8203661248397</v>
      </c>
      <c r="T125" s="101">
        <f t="shared" si="2"/>
        <v>-539.31816074134451</v>
      </c>
      <c r="U125" s="101">
        <f t="shared" si="3"/>
        <v>297.79082386106938</v>
      </c>
      <c r="V125" s="101">
        <f>((Tableau!$G$16-P125)/(AC125^2+Tableau!$G$21^2)^(3/2))*Tableau!$G$20</f>
        <v>-302.30697241822486</v>
      </c>
      <c r="W125" s="101">
        <f>((Tableau!$H$16-Q125)/(AC125^2+Tableau!$G$21^2)^(3/2))*Tableau!$G$20</f>
        <v>283.09031842360946</v>
      </c>
      <c r="X125" s="101">
        <f>((Tableau!$G$25-P125)/(AD125^2+Tableau!$G$30^2)^(3/2))*Tableau!$G$29</f>
        <v>-34.456158794884303</v>
      </c>
      <c r="Y125" s="101">
        <f>((Tableau!$H$25-Q125)/(AD125^2+Tableau!$G$30^2)^(3/2))*Tableau!$G$29</f>
        <v>13.541811891832669</v>
      </c>
      <c r="Z125" s="101">
        <f>((Tableau!$G$35-P125)/(AE125^2+Tableau!$G$40^2)^(3/2))*Tableau!$G$39</f>
        <v>-202.55502952823539</v>
      </c>
      <c r="AA125" s="102">
        <f>((Tableau!$H$35-Q125)/(AE125^2+Tableau!$G$40^2)^(3/2))*Tableau!$G$39</f>
        <v>1.1586935456272451</v>
      </c>
      <c r="AC125" s="113">
        <f>SQRT((Tableau!$G$16-P125)^2+(Tableau!$H$16-Q125)^2)</f>
        <v>33330.346373528904</v>
      </c>
      <c r="AD125" s="114">
        <f>SQRT((Tableau!$G$25-P125)^2+(Tableau!$H$25-Q125)^2)</f>
        <v>69118.497359633766</v>
      </c>
      <c r="AE125" s="115">
        <f>SQRT((Tableau!$G$35-P125)^2+(Tableau!$H$35-Q125)^2)</f>
        <v>49329.479479759219</v>
      </c>
    </row>
    <row r="126" spans="2:31" x14ac:dyDescent="0.25">
      <c r="B126" s="20">
        <v>123</v>
      </c>
      <c r="C126" s="21">
        <f>Tableau!$G$17*COS(B126*PI()/180)+Tableau!$G$16</f>
        <v>17276.804824924864</v>
      </c>
      <c r="D126" s="21">
        <f>Tableau!$G$17*SIN(B126*PI()/180)+Tableau!$H$16</f>
        <v>11693.352839727118</v>
      </c>
      <c r="F126" s="28">
        <v>123</v>
      </c>
      <c r="G126" s="29">
        <f>Tableau!$G$26*COS(F126*PI()/180)+Tableau!$G$25</f>
        <v>-21906.236622552595</v>
      </c>
      <c r="H126" s="29">
        <f>Tableau!$G$26*SIN(F126*PI()/180)+Tableau!$H$25</f>
        <v>12935.346987808984</v>
      </c>
      <c r="J126" s="36">
        <v>123</v>
      </c>
      <c r="K126" s="37">
        <f>Tableau!$G$36*COS(J126*PI()/180)+Tableau!$G$35</f>
        <v>-7723.1951750751359</v>
      </c>
      <c r="L126" s="37">
        <f>Tableau!$G$36*SIN(J126*PI()/180)+Tableau!$H$35</f>
        <v>-10806.647160272882</v>
      </c>
      <c r="N126" s="92">
        <v>122</v>
      </c>
      <c r="O126" s="93">
        <v>61</v>
      </c>
      <c r="P126" s="96">
        <f>P125+R125*Tableau!$G$2+((1/2)*T125)*Tableau!$G$2^2</f>
        <v>43303.095535653512</v>
      </c>
      <c r="Q126" s="96">
        <f>Q125+S125*Tableau!$G$2+((1/2)*U125)*Tableau!$G$2^2</f>
        <v>-16067.865520871588</v>
      </c>
      <c r="R126" s="96">
        <f>R125+T125*Tableau!$G$2</f>
        <v>-2185.983266886532</v>
      </c>
      <c r="S126" s="96">
        <f>S125+U125*Tableau!$G$2</f>
        <v>-1496.924954194305</v>
      </c>
      <c r="T126" s="96">
        <f t="shared" si="2"/>
        <v>-539.53877215779994</v>
      </c>
      <c r="U126" s="96">
        <f t="shared" si="3"/>
        <v>316.44256317011929</v>
      </c>
      <c r="V126" s="96">
        <f>((Tableau!$G$16-P126)/(AC126^2+Tableau!$G$21^2)^(3/2))*Tableau!$G$20</f>
        <v>-294.08091527309955</v>
      </c>
      <c r="W126" s="96">
        <f>((Tableau!$H$16-Q126)/(AC126^2+Tableau!$G$21^2)^(3/2))*Tableau!$G$20</f>
        <v>297.42226532981817</v>
      </c>
      <c r="X126" s="96">
        <f>((Tableau!$G$25-P126)/(AD126^2+Tableau!$G$30^2)^(3/2))*Tableau!$G$29</f>
        <v>-34.883939588149524</v>
      </c>
      <c r="Y126" s="96">
        <f>((Tableau!$H$25-Q126)/(AD126^2+Tableau!$G$30^2)^(3/2))*Tableau!$G$29</f>
        <v>14.365013880086277</v>
      </c>
      <c r="Z126" s="96">
        <f>((Tableau!$G$35-P126)/(AE126^2+Tableau!$G$40^2)^(3/2))*Tableau!$G$39</f>
        <v>-210.57391729655092</v>
      </c>
      <c r="AA126" s="97">
        <f>((Tableau!$H$35-Q126)/(AE126^2+Tableau!$G$40^2)^(3/2))*Tableau!$G$39</f>
        <v>4.6552839602148239</v>
      </c>
      <c r="AC126" s="110">
        <f>SQRT((Tableau!$G$16-P126)^2+(Tableau!$H$16-Q126)^2)</f>
        <v>33143.303196176486</v>
      </c>
      <c r="AD126" s="111">
        <f>SQRT((Tableau!$G$25-P126)^2+(Tableau!$H$25-Q126)^2)</f>
        <v>68460.320750127386</v>
      </c>
      <c r="AE126" s="112">
        <f>SQRT((Tableau!$G$35-P126)^2+(Tableau!$H$35-Q126)^2)</f>
        <v>48314.898065680907</v>
      </c>
    </row>
    <row r="127" spans="2:31" x14ac:dyDescent="0.25">
      <c r="B127" s="18">
        <v>124</v>
      </c>
      <c r="C127" s="19">
        <f>Tableau!$G$17*COS(B127*PI()/180)+Tableau!$G$16</f>
        <v>17204.035482646268</v>
      </c>
      <c r="D127" s="19">
        <f>Tableau!$G$17*SIN(B127*PI()/180)+Tableau!$H$16</f>
        <v>11645.187862775208</v>
      </c>
      <c r="F127" s="26">
        <v>124</v>
      </c>
      <c r="G127" s="27">
        <f>Tableau!$G$26*COS(F127*PI()/180)+Tableau!$G$25</f>
        <v>-21957.175162147614</v>
      </c>
      <c r="H127" s="27">
        <f>Tableau!$G$26*SIN(F127*PI()/180)+Tableau!$H$25</f>
        <v>12901.631503942646</v>
      </c>
      <c r="J127" s="34">
        <v>124</v>
      </c>
      <c r="K127" s="35">
        <f>Tableau!$G$36*COS(J127*PI()/180)+Tableau!$G$35</f>
        <v>-7795.9645173537338</v>
      </c>
      <c r="L127" s="35">
        <f>Tableau!$G$36*SIN(J127*PI()/180)+Tableau!$H$35</f>
        <v>-10854.812137224792</v>
      </c>
      <c r="N127" s="98">
        <v>123</v>
      </c>
      <c r="O127" s="99">
        <v>61.5</v>
      </c>
      <c r="P127" s="101">
        <f>P126+R126*Tableau!$G$2+((1/2)*T126)*Tableau!$G$2^2</f>
        <v>42142.661555690524</v>
      </c>
      <c r="Q127" s="101">
        <f>Q126+S126*Tableau!$G$2+((1/2)*U126)*Tableau!$G$2^2</f>
        <v>-16776.772677572473</v>
      </c>
      <c r="R127" s="101">
        <f>R126+T126*Tableau!$G$2</f>
        <v>-2455.7526529654319</v>
      </c>
      <c r="S127" s="101">
        <f>S126+U126*Tableau!$G$2</f>
        <v>-1338.7036726092454</v>
      </c>
      <c r="T127" s="101">
        <f t="shared" si="2"/>
        <v>-541.69815679568978</v>
      </c>
      <c r="U127" s="101">
        <f t="shared" si="3"/>
        <v>337.30010078149485</v>
      </c>
      <c r="V127" s="101">
        <f>((Tableau!$G$16-P127)/(AC127^2+Tableau!$G$21^2)^(3/2))*Tableau!$G$20</f>
        <v>-286.14992211665725</v>
      </c>
      <c r="W127" s="101">
        <f>((Tableau!$H$16-Q127)/(AC127^2+Tableau!$G$21^2)^(3/2))*Tableau!$G$20</f>
        <v>313.72906971727042</v>
      </c>
      <c r="X127" s="101">
        <f>((Tableau!$G$25-P127)/(AD127^2+Tableau!$G$30^2)^(3/2))*Tableau!$G$29</f>
        <v>-35.451446527942778</v>
      </c>
      <c r="Y127" s="101">
        <f>((Tableau!$H$25-Q127)/(AD127^2+Tableau!$G$30^2)^(3/2))*Tableau!$G$29</f>
        <v>15.275742959916926</v>
      </c>
      <c r="Z127" s="101">
        <f>((Tableau!$G$35-P127)/(AE127^2+Tableau!$G$40^2)^(3/2))*Tableau!$G$39</f>
        <v>-220.09678815108981</v>
      </c>
      <c r="AA127" s="102">
        <f>((Tableau!$H$35-Q127)/(AE127^2+Tableau!$G$40^2)^(3/2))*Tableau!$G$39</f>
        <v>8.2952881043074829</v>
      </c>
      <c r="AC127" s="113">
        <f>SQRT((Tableau!$G$16-P127)^2+(Tableau!$H$16-Q127)^2)</f>
        <v>32858.167210122723</v>
      </c>
      <c r="AD127" s="114">
        <f>SQRT((Tableau!$G$25-P127)^2+(Tableau!$H$25-Q127)^2)</f>
        <v>67666.13584542484</v>
      </c>
      <c r="AE127" s="115">
        <f>SQRT((Tableau!$G$35-P127)^2+(Tableau!$H$35-Q127)^2)</f>
        <v>47176.132309698187</v>
      </c>
    </row>
    <row r="128" spans="2:31" x14ac:dyDescent="0.25">
      <c r="B128" s="20">
        <v>125</v>
      </c>
      <c r="C128" s="21">
        <f>Tableau!$G$17*COS(B128*PI()/180)+Tableau!$G$16</f>
        <v>17132.117818244769</v>
      </c>
      <c r="D128" s="21">
        <f>Tableau!$G$17*SIN(B128*PI()/180)+Tableau!$H$16</f>
        <v>11595.76022144496</v>
      </c>
      <c r="F128" s="28">
        <v>125</v>
      </c>
      <c r="G128" s="29">
        <f>Tableau!$G$26*COS(F128*PI()/180)+Tableau!$G$25</f>
        <v>-22007.517527228661</v>
      </c>
      <c r="H128" s="29">
        <f>Tableau!$G$26*SIN(F128*PI()/180)+Tableau!$H$25</f>
        <v>12867.032155011471</v>
      </c>
      <c r="J128" s="36">
        <v>125</v>
      </c>
      <c r="K128" s="37">
        <f>Tableau!$G$36*COS(J128*PI()/180)+Tableau!$G$35</f>
        <v>-7867.8821817552289</v>
      </c>
      <c r="L128" s="37">
        <f>Tableau!$G$36*SIN(J128*PI()/180)+Tableau!$H$35</f>
        <v>-10904.23977855504</v>
      </c>
      <c r="N128" s="92">
        <v>124</v>
      </c>
      <c r="O128" s="93">
        <v>62</v>
      </c>
      <c r="P128" s="96">
        <f>P127+R127*Tableau!$G$2+((1/2)*T127)*Tableau!$G$2^2</f>
        <v>40847.072959608347</v>
      </c>
      <c r="Q128" s="96">
        <f>Q127+S127*Tableau!$G$2+((1/2)*U127)*Tableau!$G$2^2</f>
        <v>-17403.962001279411</v>
      </c>
      <c r="R128" s="96">
        <f>R127+T127*Tableau!$G$2</f>
        <v>-2726.6017313632769</v>
      </c>
      <c r="S128" s="96">
        <f>S127+U127*Tableau!$G$2</f>
        <v>-1170.0536222184978</v>
      </c>
      <c r="T128" s="96">
        <f t="shared" si="2"/>
        <v>-545.73662321245183</v>
      </c>
      <c r="U128" s="96">
        <f t="shared" si="3"/>
        <v>360.70379461437227</v>
      </c>
      <c r="V128" s="96">
        <f>((Tableau!$G$16-P128)/(AC128^2+Tableau!$G$21^2)^(3/2))*Tableau!$G$20</f>
        <v>-278.15006143635281</v>
      </c>
      <c r="W128" s="96">
        <f>((Tableau!$H$16-Q128)/(AC128^2+Tableau!$G$21^2)^(3/2))*Tableau!$G$20</f>
        <v>332.27871241616276</v>
      </c>
      <c r="X128" s="96">
        <f>((Tableau!$G$25-P128)/(AD128^2+Tableau!$G$30^2)^(3/2))*Tableau!$G$29</f>
        <v>-36.172165267574158</v>
      </c>
      <c r="Y128" s="96">
        <f>((Tableau!$H$25-Q128)/(AD128^2+Tableau!$G$30^2)^(3/2))*Tableau!$G$29</f>
        <v>16.291016055194998</v>
      </c>
      <c r="Z128" s="96">
        <f>((Tableau!$G$35-P128)/(AE128^2+Tableau!$G$40^2)^(3/2))*Tableau!$G$39</f>
        <v>-231.41439650852482</v>
      </c>
      <c r="AA128" s="97">
        <f>((Tableau!$H$35-Q128)/(AE128^2+Tableau!$G$40^2)^(3/2))*Tableau!$G$39</f>
        <v>12.134066143014527</v>
      </c>
      <c r="AC128" s="110">
        <f>SQRT((Tableau!$G$16-P128)^2+(Tableau!$H$16-Q128)^2)</f>
        <v>32477.804333796987</v>
      </c>
      <c r="AD128" s="111">
        <f>SQRT((Tableau!$G$25-P128)^2+(Tableau!$H$25-Q128)^2)</f>
        <v>66733.375616099831</v>
      </c>
      <c r="AE128" s="112">
        <f>SQRT((Tableau!$G$35-P128)^2+(Tableau!$H$35-Q128)^2)</f>
        <v>45910.054805753025</v>
      </c>
    </row>
    <row r="129" spans="2:31" x14ac:dyDescent="0.25">
      <c r="B129" s="18">
        <v>126</v>
      </c>
      <c r="C129" s="19">
        <f>Tableau!$G$17*COS(B129*PI()/180)+Tableau!$G$16</f>
        <v>17061.073738537634</v>
      </c>
      <c r="D129" s="19">
        <f>Tableau!$G$17*SIN(B129*PI()/180)+Tableau!$H$16</f>
        <v>11545.084971874738</v>
      </c>
      <c r="F129" s="26">
        <v>126</v>
      </c>
      <c r="G129" s="27">
        <f>Tableau!$G$26*COS(F129*PI()/180)+Tableau!$G$25</f>
        <v>-22057.248383023656</v>
      </c>
      <c r="H129" s="27">
        <f>Tableau!$G$26*SIN(F129*PI()/180)+Tableau!$H$25</f>
        <v>12831.559480312317</v>
      </c>
      <c r="J129" s="34">
        <v>126</v>
      </c>
      <c r="K129" s="35">
        <f>Tableau!$G$36*COS(J129*PI()/180)+Tableau!$G$35</f>
        <v>-7938.9262614623658</v>
      </c>
      <c r="L129" s="35">
        <f>Tableau!$G$36*SIN(J129*PI()/180)+Tableau!$H$35</f>
        <v>-10954.915028125262</v>
      </c>
      <c r="N129" s="98">
        <v>125</v>
      </c>
      <c r="O129" s="99">
        <v>62.5</v>
      </c>
      <c r="P129" s="101">
        <f>P128+R128*Tableau!$G$2+((1/2)*T128)*Tableau!$G$2^2</f>
        <v>39415.555016025151</v>
      </c>
      <c r="Q129" s="101">
        <f>Q128+S128*Tableau!$G$2+((1/2)*U128)*Tableau!$G$2^2</f>
        <v>-17943.900838061862</v>
      </c>
      <c r="R129" s="101">
        <f>R128+T128*Tableau!$G$2</f>
        <v>-2999.4700429695031</v>
      </c>
      <c r="S129" s="101">
        <f>S128+U128*Tableau!$G$2</f>
        <v>-989.70172491131166</v>
      </c>
      <c r="T129" s="101">
        <f t="shared" si="2"/>
        <v>-551.61439012819278</v>
      </c>
      <c r="U129" s="101">
        <f t="shared" si="3"/>
        <v>387.03173708788836</v>
      </c>
      <c r="V129" s="101">
        <f>((Tableau!$G$16-P129)/(AC129^2+Tableau!$G$21^2)^(3/2))*Tableau!$G$20</f>
        <v>-269.64523298208263</v>
      </c>
      <c r="W129" s="101">
        <f>((Tableau!$H$16-Q129)/(AC129^2+Tableau!$G$21^2)^(3/2))*Tableau!$G$20</f>
        <v>353.36752226703953</v>
      </c>
      <c r="X129" s="101">
        <f>((Tableau!$G$25-P129)/(AD129^2+Tableau!$G$30^2)^(3/2))*Tableau!$G$29</f>
        <v>-37.064038816357638</v>
      </c>
      <c r="Y129" s="101">
        <f>((Tableau!$H$25-Q129)/(AD129^2+Tableau!$G$30^2)^(3/2))*Tableau!$G$29</f>
        <v>17.431694866151261</v>
      </c>
      <c r="Z129" s="101">
        <f>((Tableau!$G$35-P129)/(AE129^2+Tableau!$G$40^2)^(3/2))*Tableau!$G$39</f>
        <v>-244.90511832975247</v>
      </c>
      <c r="AA129" s="102">
        <f>((Tableau!$H$35-Q129)/(AE129^2+Tableau!$G$40^2)^(3/2))*Tableau!$G$39</f>
        <v>16.232519954697604</v>
      </c>
      <c r="AC129" s="113">
        <f>SQRT((Tableau!$G$16-P129)^2+(Tableau!$H$16-Q129)^2)</f>
        <v>32005.559930071908</v>
      </c>
      <c r="AD129" s="114">
        <f>SQRT((Tableau!$G$25-P129)^2+(Tableau!$H$25-Q129)^2)</f>
        <v>65658.737209222556</v>
      </c>
      <c r="AE129" s="115">
        <f>SQRT((Tableau!$G$35-P129)^2+(Tableau!$H$35-Q129)^2)</f>
        <v>44513.010227639046</v>
      </c>
    </row>
    <row r="130" spans="2:31" x14ac:dyDescent="0.25">
      <c r="B130" s="20">
        <v>127</v>
      </c>
      <c r="C130" s="21">
        <f>Tableau!$G$17*COS(B130*PI()/180)+Tableau!$G$16</f>
        <v>16990.924884239757</v>
      </c>
      <c r="D130" s="21">
        <f>Tableau!$G$17*SIN(B130*PI()/180)+Tableau!$H$16</f>
        <v>11493.177550236464</v>
      </c>
      <c r="F130" s="28">
        <v>127</v>
      </c>
      <c r="G130" s="29">
        <f>Tableau!$G$26*COS(F130*PI()/180)+Tableau!$G$25</f>
        <v>-22106.35258103217</v>
      </c>
      <c r="H130" s="29">
        <f>Tableau!$G$26*SIN(F130*PI()/180)+Tableau!$H$25</f>
        <v>12795.224285165525</v>
      </c>
      <c r="J130" s="36">
        <v>127</v>
      </c>
      <c r="K130" s="37">
        <f>Tableau!$G$36*COS(J130*PI()/180)+Tableau!$G$35</f>
        <v>-8009.0751157602417</v>
      </c>
      <c r="L130" s="37">
        <f>Tableau!$G$36*SIN(J130*PI()/180)+Tableau!$H$35</f>
        <v>-11006.822449763536</v>
      </c>
      <c r="N130" s="92">
        <v>126</v>
      </c>
      <c r="O130" s="93">
        <v>63</v>
      </c>
      <c r="P130" s="96">
        <f>P129+R129*Tableau!$G$2+((1/2)*T129)*Tableau!$G$2^2</f>
        <v>37846.868195774376</v>
      </c>
      <c r="Q130" s="96">
        <f>Q129+S129*Tableau!$G$2+((1/2)*U129)*Tableau!$G$2^2</f>
        <v>-18390.372733381533</v>
      </c>
      <c r="R130" s="96">
        <f>R129+T129*Tableau!$G$2</f>
        <v>-3275.2772380335996</v>
      </c>
      <c r="S130" s="96">
        <f>S129+U129*Tableau!$G$2</f>
        <v>-796.18585636736748</v>
      </c>
      <c r="T130" s="96">
        <f t="shared" si="2"/>
        <v>-559.30861059800122</v>
      </c>
      <c r="U130" s="96">
        <f t="shared" si="3"/>
        <v>416.69415465428733</v>
      </c>
      <c r="V130" s="96">
        <f>((Tableau!$G$16-P130)/(AC130^2+Tableau!$G$21^2)^(3/2))*Tableau!$G$20</f>
        <v>-260.09095238423055</v>
      </c>
      <c r="W130" s="96">
        <f>((Tableau!$H$16-Q130)/(AC130^2+Tableau!$G$21^2)^(3/2))*Tableau!$G$20</f>
        <v>377.31279392774923</v>
      </c>
      <c r="X130" s="96">
        <f>((Tableau!$G$25-P130)/(AD130^2+Tableau!$G$30^2)^(3/2))*Tableau!$G$29</f>
        <v>-38.150582509904538</v>
      </c>
      <c r="Y130" s="96">
        <f>((Tableau!$H$25-Q130)/(AD130^2+Tableau!$G$30^2)^(3/2))*Tableau!$G$29</f>
        <v>18.723732005442184</v>
      </c>
      <c r="Z130" s="96">
        <f>((Tableau!$G$35-P130)/(AE130^2+Tableau!$G$40^2)^(3/2))*Tableau!$G$39</f>
        <v>-261.06707570386612</v>
      </c>
      <c r="AA130" s="97">
        <f>((Tableau!$H$35-Q130)/(AE130^2+Tableau!$G$40^2)^(3/2))*Tableau!$G$39</f>
        <v>20.657628721095925</v>
      </c>
      <c r="AC130" s="110">
        <f>SQRT((Tableau!$G$16-P130)^2+(Tableau!$H$16-Q130)^2)</f>
        <v>31445.541888648841</v>
      </c>
      <c r="AD130" s="111">
        <f>SQRT((Tableau!$G$25-P130)^2+(Tableau!$H$25-Q130)^2)</f>
        <v>64438.136410045459</v>
      </c>
      <c r="AE130" s="112">
        <f>SQRT((Tableau!$G$35-P130)^2+(Tableau!$H$35-Q130)^2)</f>
        <v>42980.795030540306</v>
      </c>
    </row>
    <row r="131" spans="2:31" x14ac:dyDescent="0.25">
      <c r="B131" s="18">
        <v>128</v>
      </c>
      <c r="C131" s="19">
        <f>Tableau!$G$17*COS(B131*PI()/180)+Tableau!$G$16</f>
        <v>16921.692623371709</v>
      </c>
      <c r="D131" s="19">
        <f>Tableau!$G$17*SIN(B131*PI()/180)+Tableau!$H$16</f>
        <v>11440.053768033609</v>
      </c>
      <c r="F131" s="26">
        <v>128</v>
      </c>
      <c r="G131" s="27">
        <f>Tableau!$G$26*COS(F131*PI()/180)+Tableau!$G$25</f>
        <v>-22154.815163639803</v>
      </c>
      <c r="H131" s="27">
        <f>Tableau!$G$26*SIN(F131*PI()/180)+Tableau!$H$25</f>
        <v>12758.037637623527</v>
      </c>
      <c r="J131" s="34">
        <v>128</v>
      </c>
      <c r="K131" s="35">
        <f>Tableau!$G$36*COS(J131*PI()/180)+Tableau!$G$35</f>
        <v>-8078.3073766282914</v>
      </c>
      <c r="L131" s="35">
        <f>Tableau!$G$36*SIN(J131*PI()/180)+Tableau!$H$35</f>
        <v>-11059.946231966391</v>
      </c>
      <c r="N131" s="98">
        <v>127</v>
      </c>
      <c r="O131" s="99">
        <v>63.5</v>
      </c>
      <c r="P131" s="101">
        <f>P130+R130*Tableau!$G$2+((1/2)*T130)*Tableau!$G$2^2</f>
        <v>36139.316000432831</v>
      </c>
      <c r="Q131" s="101">
        <f>Q130+S130*Tableau!$G$2+((1/2)*U130)*Tableau!$G$2^2</f>
        <v>-18736.378892233432</v>
      </c>
      <c r="R131" s="101">
        <f>R130+T130*Tableau!$G$2</f>
        <v>-3554.9315433326001</v>
      </c>
      <c r="S131" s="101">
        <f>S130+U130*Tableau!$G$2</f>
        <v>-587.83877904022381</v>
      </c>
      <c r="T131" s="101">
        <f t="shared" si="2"/>
        <v>-568.8152404641686</v>
      </c>
      <c r="U131" s="101">
        <f t="shared" si="3"/>
        <v>450.11575798052274</v>
      </c>
      <c r="V131" s="101">
        <f>((Tableau!$G$16-P131)/(AC131^2+Tableau!$G$21^2)^(3/2))*Tableau!$G$20</f>
        <v>-248.78783459222194</v>
      </c>
      <c r="W131" s="101">
        <f>((Tableau!$H$16-Q131)/(AC131^2+Tableau!$G$21^2)^(3/2))*Tableau!$G$20</f>
        <v>404.43423327015734</v>
      </c>
      <c r="X131" s="101">
        <f>((Tableau!$G$25-P131)/(AD131^2+Tableau!$G$30^2)^(3/2))*Tableau!$G$29</f>
        <v>-39.462456433773731</v>
      </c>
      <c r="Y131" s="101">
        <f>((Tableau!$H$25-Q131)/(AD131^2+Tableau!$G$30^2)^(3/2))*Tableau!$G$29</f>
        <v>20.199891642613416</v>
      </c>
      <c r="Z131" s="101">
        <f>((Tableau!$G$35-P131)/(AE131^2+Tableau!$G$40^2)^(3/2))*Tableau!$G$39</f>
        <v>-280.5649494381729</v>
      </c>
      <c r="AA131" s="102">
        <f>((Tableau!$H$35-Q131)/(AE131^2+Tableau!$G$40^2)^(3/2))*Tableau!$G$39</f>
        <v>25.481633067752025</v>
      </c>
      <c r="AC131" s="113">
        <f>SQRT((Tableau!$G$16-P131)^2+(Tableau!$H$16-Q131)^2)</f>
        <v>30803.004696598335</v>
      </c>
      <c r="AD131" s="114">
        <f>SQRT((Tableau!$G$25-P131)^2+(Tableau!$H$25-Q131)^2)</f>
        <v>63066.649449883196</v>
      </c>
      <c r="AE131" s="115">
        <f>SQRT((Tableau!$G$35-P131)^2+(Tableau!$H$35-Q131)^2)</f>
        <v>41308.641326117184</v>
      </c>
    </row>
    <row r="132" spans="2:31" x14ac:dyDescent="0.25">
      <c r="B132" s="20">
        <v>129</v>
      </c>
      <c r="C132" s="21">
        <f>Tableau!$G$17*COS(B132*PI()/180)+Tableau!$G$16</f>
        <v>16853.398044750815</v>
      </c>
      <c r="D132" s="21">
        <f>Tableau!$G$17*SIN(B132*PI()/180)+Tableau!$H$16</f>
        <v>11385.729807284855</v>
      </c>
      <c r="F132" s="28">
        <v>129</v>
      </c>
      <c r="G132" s="29">
        <f>Tableau!$G$26*COS(F132*PI()/180)+Tableau!$G$25</f>
        <v>-22202.62136867443</v>
      </c>
      <c r="H132" s="29">
        <f>Tableau!$G$26*SIN(F132*PI()/180)+Tableau!$H$25</f>
        <v>12720.010865099399</v>
      </c>
      <c r="J132" s="36">
        <v>129</v>
      </c>
      <c r="K132" s="37">
        <f>Tableau!$G$36*COS(J132*PI()/180)+Tableau!$G$35</f>
        <v>-8146.6019552491862</v>
      </c>
      <c r="L132" s="37">
        <f>Tableau!$G$36*SIN(J132*PI()/180)+Tableau!$H$35</f>
        <v>-11114.270192715145</v>
      </c>
      <c r="N132" s="92">
        <v>128</v>
      </c>
      <c r="O132" s="93">
        <v>64</v>
      </c>
      <c r="P132" s="96">
        <f>P131+R131*Tableau!$G$2+((1/2)*T131)*Tableau!$G$2^2</f>
        <v>34290.748323708511</v>
      </c>
      <c r="Q132" s="96">
        <f>Q131+S131*Tableau!$G$2+((1/2)*U131)*Tableau!$G$2^2</f>
        <v>-18974.033812005979</v>
      </c>
      <c r="R132" s="96">
        <f>R131+T131*Tableau!$G$2</f>
        <v>-3839.3391635646844</v>
      </c>
      <c r="S132" s="96">
        <f>S131+U131*Tableau!$G$2</f>
        <v>-362.78090004996244</v>
      </c>
      <c r="T132" s="96">
        <f t="shared" ref="T132:T195" si="4">V132+X132+Z132</f>
        <v>-580.1616061350262</v>
      </c>
      <c r="U132" s="96">
        <f t="shared" ref="U132:U195" si="5">W132+Y132+AA132</f>
        <v>487.69594366451611</v>
      </c>
      <c r="V132" s="96">
        <f>((Tableau!$G$16-P132)/(AC132^2+Tableau!$G$21^2)^(3/2))*Tableau!$G$20</f>
        <v>-234.82250333798061</v>
      </c>
      <c r="W132" s="96">
        <f>((Tableau!$H$16-Q132)/(AC132^2+Tableau!$G$21^2)^(3/2))*Tableau!$G$20</f>
        <v>435.0156305584091</v>
      </c>
      <c r="X132" s="96">
        <f>((Tableau!$G$25-P132)/(AD132^2+Tableau!$G$30^2)^(3/2))*Tableau!$G$29</f>
        <v>-41.03968992586266</v>
      </c>
      <c r="Y132" s="96">
        <f>((Tableau!$H$25-Q132)/(AD132^2+Tableau!$G$30^2)^(3/2))*Tableau!$G$29</f>
        <v>21.902173026908127</v>
      </c>
      <c r="Z132" s="96">
        <f>((Tableau!$G$35-P132)/(AE132^2+Tableau!$G$40^2)^(3/2))*Tableau!$G$39</f>
        <v>-304.29941287118299</v>
      </c>
      <c r="AA132" s="97">
        <f>((Tableau!$H$35-Q132)/(AE132^2+Tableau!$G$40^2)^(3/2))*Tableau!$G$39</f>
        <v>30.778140079198863</v>
      </c>
      <c r="AC132" s="110">
        <f>SQRT((Tableau!$G$16-P132)^2+(Tableau!$H$16-Q132)^2)</f>
        <v>30084.879157656815</v>
      </c>
      <c r="AD132" s="111">
        <f>SQRT((Tableau!$G$25-P132)^2+(Tableau!$H$25-Q132)^2)</f>
        <v>61538.443178939167</v>
      </c>
      <c r="AE132" s="112">
        <f>SQRT((Tableau!$G$35-P132)^2+(Tableau!$H$35-Q132)^2)</f>
        <v>39491.212295597739</v>
      </c>
    </row>
    <row r="133" spans="2:31" x14ac:dyDescent="0.25">
      <c r="B133" s="18">
        <v>130</v>
      </c>
      <c r="C133" s="19">
        <f>Tableau!$G$17*COS(B133*PI()/180)+Tableau!$G$16</f>
        <v>16786.061951567302</v>
      </c>
      <c r="D133" s="19">
        <f>Tableau!$G$17*SIN(B133*PI()/180)+Tableau!$H$16</f>
        <v>11330.222215594891</v>
      </c>
      <c r="F133" s="26">
        <v>130</v>
      </c>
      <c r="G133" s="27">
        <f>Tableau!$G$26*COS(F133*PI()/180)+Tableau!$G$25</f>
        <v>-22249.756633902889</v>
      </c>
      <c r="H133" s="27">
        <f>Tableau!$G$26*SIN(F133*PI()/180)+Tableau!$H$25</f>
        <v>12681.155550916423</v>
      </c>
      <c r="J133" s="34">
        <v>130</v>
      </c>
      <c r="K133" s="35">
        <f>Tableau!$G$36*COS(J133*PI()/180)+Tableau!$G$35</f>
        <v>-8213.9380484326975</v>
      </c>
      <c r="L133" s="35">
        <f>Tableau!$G$36*SIN(J133*PI()/180)+Tableau!$H$35</f>
        <v>-11169.777784405109</v>
      </c>
      <c r="N133" s="98">
        <v>129</v>
      </c>
      <c r="O133" s="99">
        <v>64.5</v>
      </c>
      <c r="P133" s="101">
        <f>P132+R132*Tableau!$G$2+((1/2)*T132)*Tableau!$G$2^2</f>
        <v>32298.558541159291</v>
      </c>
      <c r="Q133" s="101">
        <f>Q132+S132*Tableau!$G$2+((1/2)*U132)*Tableau!$G$2^2</f>
        <v>-19094.462269072894</v>
      </c>
      <c r="R133" s="101">
        <f>R132+T132*Tableau!$G$2</f>
        <v>-4129.4199666321974</v>
      </c>
      <c r="S133" s="101">
        <f>S132+U132*Tableau!$G$2</f>
        <v>-118.93292821770439</v>
      </c>
      <c r="T133" s="101">
        <f t="shared" si="4"/>
        <v>-593.44257632565655</v>
      </c>
      <c r="U133" s="101">
        <f t="shared" si="5"/>
        <v>529.72920313115992</v>
      </c>
      <c r="V133" s="101">
        <f>((Tableau!$G$16-P133)/(AC133^2+Tableau!$G$21^2)^(3/2))*Tableau!$G$20</f>
        <v>-216.9956809512511</v>
      </c>
      <c r="W133" s="101">
        <f>((Tableau!$H$16-Q133)/(AC133^2+Tableau!$G$21^2)^(3/2))*Tableau!$G$20</f>
        <v>469.23250641906935</v>
      </c>
      <c r="X133" s="101">
        <f>((Tableau!$G$25-P133)/(AD133^2+Tableau!$G$30^2)^(3/2))*Tableau!$G$29</f>
        <v>-42.934856811886227</v>
      </c>
      <c r="Y133" s="101">
        <f>((Tableau!$H$25-Q133)/(AD133^2+Tableau!$G$30^2)^(3/2))*Tableau!$G$29</f>
        <v>23.885296390308145</v>
      </c>
      <c r="Z133" s="101">
        <f>((Tableau!$G$35-P133)/(AE133^2+Tableau!$G$40^2)^(3/2))*Tableau!$G$39</f>
        <v>-333.51203856251919</v>
      </c>
      <c r="AA133" s="102">
        <f>((Tableau!$H$35-Q133)/(AE133^2+Tableau!$G$40^2)^(3/2))*Tableau!$G$39</f>
        <v>36.611400321782398</v>
      </c>
      <c r="AC133" s="113">
        <f>SQRT((Tableau!$G$16-P133)^2+(Tableau!$H$16-Q133)^2)</f>
        <v>29300.511353412654</v>
      </c>
      <c r="AD133" s="114">
        <f>SQRT((Tableau!$G$25-P133)^2+(Tableau!$H$25-Q133)^2)</f>
        <v>59846.69548278812</v>
      </c>
      <c r="AE133" s="115">
        <f>SQRT((Tableau!$G$35-P133)^2+(Tableau!$H$35-Q133)^2)</f>
        <v>37522.621050789458</v>
      </c>
    </row>
    <row r="134" spans="2:31" x14ac:dyDescent="0.25">
      <c r="B134" s="20">
        <v>131</v>
      </c>
      <c r="C134" s="21">
        <f>Tableau!$G$17*COS(B134*PI()/180)+Tableau!$G$16</f>
        <v>16719.704855047461</v>
      </c>
      <c r="D134" s="21">
        <f>Tableau!$G$17*SIN(B134*PI()/180)+Tableau!$H$16</f>
        <v>11273.54790111386</v>
      </c>
      <c r="F134" s="28">
        <v>131</v>
      </c>
      <c r="G134" s="29">
        <f>Tableau!$G$26*COS(F134*PI()/180)+Tableau!$G$25</f>
        <v>-22296.206601466776</v>
      </c>
      <c r="H134" s="29">
        <f>Tableau!$G$26*SIN(F134*PI()/180)+Tableau!$H$25</f>
        <v>12641.4835307797</v>
      </c>
      <c r="J134" s="36">
        <v>131</v>
      </c>
      <c r="K134" s="37">
        <f>Tableau!$G$36*COS(J134*PI()/180)+Tableau!$G$35</f>
        <v>-8280.2951449525372</v>
      </c>
      <c r="L134" s="37">
        <f>Tableau!$G$36*SIN(J134*PI()/180)+Tableau!$H$35</f>
        <v>-11226.45209888614</v>
      </c>
      <c r="N134" s="92">
        <v>130</v>
      </c>
      <c r="O134" s="93">
        <v>65</v>
      </c>
      <c r="P134" s="96">
        <f>P133+R133*Tableau!$G$2+((1/2)*T133)*Tableau!$G$2^2</f>
        <v>30159.668235802488</v>
      </c>
      <c r="Q134" s="96">
        <f>Q133+S133*Tableau!$G$2+((1/2)*U133)*Tableau!$G$2^2</f>
        <v>-19087.712582790351</v>
      </c>
      <c r="R134" s="96">
        <f>R133+T133*Tableau!$G$2</f>
        <v>-4426.1412547950258</v>
      </c>
      <c r="S134" s="96">
        <f>S133+U133*Tableau!$G$2</f>
        <v>145.93167334787557</v>
      </c>
      <c r="T134" s="96">
        <f t="shared" si="4"/>
        <v>-608.90757528621361</v>
      </c>
      <c r="U134" s="96">
        <f t="shared" si="5"/>
        <v>576.25553162366191</v>
      </c>
      <c r="V134" s="96">
        <f>((Tableau!$G$16-P134)/(AC134^2+Tableau!$G$21^2)^(3/2))*Tableau!$G$20</f>
        <v>-193.74314894905106</v>
      </c>
      <c r="W134" s="96">
        <f>((Tableau!$H$16-Q134)/(AC134^2+Tableau!$G$21^2)^(3/2))*Tableau!$G$20</f>
        <v>507.02316646417825</v>
      </c>
      <c r="X134" s="96">
        <f>((Tableau!$G$25-P134)/(AD134^2+Tableau!$G$30^2)^(3/2))*Tableau!$G$29</f>
        <v>-45.217665646181459</v>
      </c>
      <c r="Y134" s="96">
        <f>((Tableau!$H$25-Q134)/(AD134^2+Tableau!$G$30^2)^(3/2))*Tableau!$G$29</f>
        <v>26.221833362167907</v>
      </c>
      <c r="Z134" s="96">
        <f>((Tableau!$G$35-P134)/(AE134^2+Tableau!$G$40^2)^(3/2))*Tableau!$G$39</f>
        <v>-369.94676069098114</v>
      </c>
      <c r="AA134" s="97">
        <f>((Tableau!$H$35-Q134)/(AE134^2+Tableau!$G$40^2)^(3/2))*Tableau!$G$39</f>
        <v>43.010531797315728</v>
      </c>
      <c r="AC134" s="110">
        <f>SQRT((Tableau!$G$16-P134)^2+(Tableau!$H$16-Q134)^2)</f>
        <v>28462.700487596787</v>
      </c>
      <c r="AD134" s="111">
        <f>SQRT((Tableau!$G$25-P134)^2+(Tableau!$H$25-Q134)^2)</f>
        <v>57983.509214472288</v>
      </c>
      <c r="AE134" s="112">
        <f>SQRT((Tableau!$G$35-P134)^2+(Tableau!$H$35-Q134)^2)</f>
        <v>35396.49226422303</v>
      </c>
    </row>
    <row r="135" spans="2:31" x14ac:dyDescent="0.25">
      <c r="B135" s="18">
        <v>132</v>
      </c>
      <c r="C135" s="19">
        <f>Tableau!$G$17*COS(B135*PI()/180)+Tableau!$G$16</f>
        <v>16654.346968205708</v>
      </c>
      <c r="D135" s="19">
        <f>Tableau!$G$17*SIN(B135*PI()/180)+Tableau!$H$16</f>
        <v>11215.724127386971</v>
      </c>
      <c r="F135" s="26">
        <v>132</v>
      </c>
      <c r="G135" s="27">
        <f>Tableau!$G$26*COS(F135*PI()/180)+Tableau!$G$25</f>
        <v>-22341.957122256004</v>
      </c>
      <c r="H135" s="27">
        <f>Tableau!$G$26*SIN(F135*PI()/180)+Tableau!$H$25</f>
        <v>12601.00688917088</v>
      </c>
      <c r="J135" s="34">
        <v>132</v>
      </c>
      <c r="K135" s="35">
        <f>Tableau!$G$36*COS(J135*PI()/180)+Tableau!$G$35</f>
        <v>-8345.6530317942907</v>
      </c>
      <c r="L135" s="35">
        <f>Tableau!$G$36*SIN(J135*PI()/180)+Tableau!$H$35</f>
        <v>-11284.275872613029</v>
      </c>
      <c r="N135" s="98">
        <v>131</v>
      </c>
      <c r="O135" s="99">
        <v>65.5</v>
      </c>
      <c r="P135" s="101">
        <f>P134+R134*Tableau!$G$2+((1/2)*T134)*Tableau!$G$2^2</f>
        <v>27870.484161494198</v>
      </c>
      <c r="Q135" s="101">
        <f>Q134+S134*Tableau!$G$2+((1/2)*U134)*Tableau!$G$2^2</f>
        <v>-18942.714804663454</v>
      </c>
      <c r="R135" s="101">
        <f>R134+T134*Tableau!$G$2</f>
        <v>-4730.5950424381326</v>
      </c>
      <c r="S135" s="101">
        <f>S134+U134*Tableau!$G$2</f>
        <v>434.05943915970653</v>
      </c>
      <c r="T135" s="101">
        <f t="shared" si="4"/>
        <v>-627.15394813063028</v>
      </c>
      <c r="U135" s="101">
        <f t="shared" si="5"/>
        <v>626.79032180010495</v>
      </c>
      <c r="V135" s="101">
        <f>((Tableau!$G$16-P135)/(AC135^2+Tableau!$G$21^2)^(3/2))*Tableau!$G$20</f>
        <v>-163.06960591911439</v>
      </c>
      <c r="W135" s="101">
        <f>((Tableau!$H$16-Q135)/(AC135^2+Tableau!$G$21^2)^(3/2))*Tableau!$G$20</f>
        <v>547.87011753662887</v>
      </c>
      <c r="X135" s="101">
        <f>((Tableau!$G$25-P135)/(AD135^2+Tableau!$G$30^2)^(3/2))*Tableau!$G$29</f>
        <v>-47.98169772728788</v>
      </c>
      <c r="Y135" s="101">
        <f>((Tableau!$H$25-Q135)/(AD135^2+Tableau!$G$30^2)^(3/2))*Tableau!$G$29</f>
        <v>29.00995503783756</v>
      </c>
      <c r="Z135" s="101">
        <f>((Tableau!$G$35-P135)/(AE135^2+Tableau!$G$40^2)^(3/2))*Tableau!$G$39</f>
        <v>-416.10264448422799</v>
      </c>
      <c r="AA135" s="102">
        <f>((Tableau!$H$35-Q135)/(AE135^2+Tableau!$G$40^2)^(3/2))*Tableau!$G$39</f>
        <v>49.910249225638537</v>
      </c>
      <c r="AC135" s="113">
        <f>SQRT((Tableau!$G$16-P135)^2+(Tableau!$H$16-Q135)^2)</f>
        <v>27589.158870416817</v>
      </c>
      <c r="AD135" s="114">
        <f>SQRT((Tableau!$G$25-P135)^2+(Tableau!$H$25-Q135)^2)</f>
        <v>55939.824759467672</v>
      </c>
      <c r="AE135" s="115">
        <f>SQRT((Tableau!$G$35-P135)^2+(Tableau!$H$35-Q135)^2)</f>
        <v>33106.098064283462</v>
      </c>
    </row>
    <row r="136" spans="2:31" x14ac:dyDescent="0.25">
      <c r="B136" s="20">
        <v>133</v>
      </c>
      <c r="C136" s="21">
        <f>Tableau!$G$17*COS(B136*PI()/180)+Tableau!$G$16</f>
        <v>16590.008199687509</v>
      </c>
      <c r="D136" s="21">
        <f>Tableau!$G$17*SIN(B136*PI()/180)+Tableau!$H$16</f>
        <v>11156.768508095853</v>
      </c>
      <c r="F136" s="28">
        <v>133</v>
      </c>
      <c r="G136" s="29">
        <f>Tableau!$G$26*COS(F136*PI()/180)+Tableau!$G$25</f>
        <v>-22386.994260218744</v>
      </c>
      <c r="H136" s="29">
        <f>Tableau!$G$26*SIN(F136*PI()/180)+Tableau!$H$25</f>
        <v>12559.737955667097</v>
      </c>
      <c r="J136" s="36">
        <v>133</v>
      </c>
      <c r="K136" s="37">
        <f>Tableau!$G$36*COS(J136*PI()/180)+Tableau!$G$35</f>
        <v>-8409.9918003124913</v>
      </c>
      <c r="L136" s="37">
        <f>Tableau!$G$36*SIN(J136*PI()/180)+Tableau!$H$35</f>
        <v>-11343.231491904147</v>
      </c>
      <c r="N136" s="92">
        <v>132</v>
      </c>
      <c r="O136" s="93">
        <v>66</v>
      </c>
      <c r="P136" s="96">
        <f>P135+R135*Tableau!$G$2+((1/2)*T135)*Tableau!$G$2^2</f>
        <v>25426.792396758803</v>
      </c>
      <c r="Q136" s="96">
        <f>Q135+S135*Tableau!$G$2+((1/2)*U135)*Tableau!$G$2^2</f>
        <v>-18647.336294858589</v>
      </c>
      <c r="R136" s="96">
        <f>R135+T135*Tableau!$G$2</f>
        <v>-5044.1720165034476</v>
      </c>
      <c r="S136" s="96">
        <f>S135+U135*Tableau!$G$2</f>
        <v>747.45460005975906</v>
      </c>
      <c r="T136" s="96">
        <f t="shared" si="4"/>
        <v>-649.53495922257025</v>
      </c>
      <c r="U136" s="96">
        <f t="shared" si="5"/>
        <v>679.85146411558503</v>
      </c>
      <c r="V136" s="96">
        <f>((Tableau!$G$16-P136)/(AC136^2+Tableau!$G$21^2)^(3/2))*Tableau!$G$20</f>
        <v>-122.54602619665927</v>
      </c>
      <c r="W136" s="96">
        <f>((Tableau!$H$16-Q136)/(AC136^2+Tableau!$G$21^2)^(3/2))*Tableau!$G$20</f>
        <v>590.45047687403087</v>
      </c>
      <c r="X136" s="96">
        <f>((Tableau!$G$25-P136)/(AD136^2+Tableau!$G$30^2)^(3/2))*Tableau!$G$29</f>
        <v>-51.354467689411379</v>
      </c>
      <c r="Y136" s="96">
        <f>((Tableau!$H$25-Q136)/(AD136^2+Tableau!$G$30^2)^(3/2))*Tableau!$G$29</f>
        <v>32.385485052362739</v>
      </c>
      <c r="Z136" s="96">
        <f>((Tableau!$G$35-P136)/(AE136^2+Tableau!$G$40^2)^(3/2))*Tableau!$G$39</f>
        <v>-475.63446533649966</v>
      </c>
      <c r="AA136" s="97">
        <f>((Tableau!$H$35-Q136)/(AE136^2+Tableau!$G$40^2)^(3/2))*Tableau!$G$39</f>
        <v>57.01550218919143</v>
      </c>
      <c r="AC136" s="110">
        <f>SQRT((Tableau!$G$16-P136)^2+(Tableau!$H$16-Q136)^2)</f>
        <v>26704.555248757624</v>
      </c>
      <c r="AD136" s="111">
        <f>SQRT((Tableau!$G$25-P136)^2+(Tableau!$H$25-Q136)^2)</f>
        <v>53705.338135505161</v>
      </c>
      <c r="AE136" s="112">
        <f>SQRT((Tableau!$G$35-P136)^2+(Tableau!$H$35-Q136)^2)</f>
        <v>30644.620369703589</v>
      </c>
    </row>
    <row r="137" spans="2:31" x14ac:dyDescent="0.25">
      <c r="B137" s="18">
        <v>134</v>
      </c>
      <c r="C137" s="19">
        <f>Tableau!$G$17*COS(B137*PI()/180)+Tableau!$G$16</f>
        <v>16526.708147705016</v>
      </c>
      <c r="D137" s="19">
        <f>Tableau!$G$17*SIN(B137*PI()/180)+Tableau!$H$16</f>
        <v>11096.699001693258</v>
      </c>
      <c r="F137" s="26">
        <v>134</v>
      </c>
      <c r="G137" s="27">
        <f>Tableau!$G$26*COS(F137*PI()/180)+Tableau!$G$25</f>
        <v>-22431.30429660649</v>
      </c>
      <c r="H137" s="27">
        <f>Tableau!$G$26*SIN(F137*PI()/180)+Tableau!$H$25</f>
        <v>12517.689301185281</v>
      </c>
      <c r="J137" s="34">
        <v>134</v>
      </c>
      <c r="K137" s="35">
        <f>Tableau!$G$36*COS(J137*PI()/180)+Tableau!$G$35</f>
        <v>-8473.2918522949858</v>
      </c>
      <c r="L137" s="35">
        <f>Tableau!$G$36*SIN(J137*PI()/180)+Tableau!$H$35</f>
        <v>-11403.300998306742</v>
      </c>
      <c r="N137" s="98">
        <v>133</v>
      </c>
      <c r="O137" s="99">
        <v>66.5</v>
      </c>
      <c r="P137" s="101">
        <f>P136+R136*Tableau!$G$2+((1/2)*T136)*Tableau!$G$2^2</f>
        <v>22823.514518604257</v>
      </c>
      <c r="Q137" s="101">
        <f>Q136+S136*Tableau!$G$2+((1/2)*U136)*Tableau!$G$2^2</f>
        <v>-18188.627561814261</v>
      </c>
      <c r="R137" s="101">
        <f>R136+T136*Tableau!$G$2</f>
        <v>-5368.9394961147327</v>
      </c>
      <c r="S137" s="101">
        <f>S136+U136*Tableau!$G$2</f>
        <v>1087.3803321175515</v>
      </c>
      <c r="T137" s="101">
        <f t="shared" si="4"/>
        <v>-678.97863271301549</v>
      </c>
      <c r="U137" s="101">
        <f t="shared" si="5"/>
        <v>732.1519496134714</v>
      </c>
      <c r="V137" s="101">
        <f>((Tableau!$G$16-P137)/(AC137^2+Tableau!$G$21^2)^(3/2))*Tableau!$G$20</f>
        <v>-69.478504596877912</v>
      </c>
      <c r="W137" s="101">
        <f>((Tableau!$H$16-Q137)/(AC137^2+Tableau!$G$21^2)^(3/2))*Tableau!$G$20</f>
        <v>632.12263169919083</v>
      </c>
      <c r="X137" s="101">
        <f>((Tableau!$G$25-P137)/(AD137^2+Tableau!$G$30^2)^(3/2))*Tableau!$G$29</f>
        <v>-55.512716446643168</v>
      </c>
      <c r="Y137" s="101">
        <f>((Tableau!$H$25-Q137)/(AD137^2+Tableau!$G$30^2)^(3/2))*Tableau!$G$29</f>
        <v>36.541309288830121</v>
      </c>
      <c r="Z137" s="101">
        <f>((Tableau!$G$35-P137)/(AE137^2+Tableau!$G$40^2)^(3/2))*Tableau!$G$39</f>
        <v>-553.98741166949435</v>
      </c>
      <c r="AA137" s="102">
        <f>((Tableau!$H$35-Q137)/(AE137^2+Tableau!$G$40^2)^(3/2))*Tableau!$G$39</f>
        <v>63.488008625450462</v>
      </c>
      <c r="AC137" s="113">
        <f>SQRT((Tableau!$G$16-P137)^2+(Tableau!$H$16-Q137)^2)</f>
        <v>25843.332220253105</v>
      </c>
      <c r="AD137" s="114">
        <f>SQRT((Tableau!$G$25-P137)^2+(Tableau!$H$25-Q137)^2)</f>
        <v>51268.431998099804</v>
      </c>
      <c r="AE137" s="115">
        <f>SQRT((Tableau!$G$35-P137)^2+(Tableau!$H$35-Q137)^2)</f>
        <v>28005.629896414463</v>
      </c>
    </row>
    <row r="138" spans="2:31" x14ac:dyDescent="0.25">
      <c r="B138" s="20">
        <v>135</v>
      </c>
      <c r="C138" s="21">
        <f>Tableau!$G$17*COS(B138*PI()/180)+Tableau!$G$16</f>
        <v>16464.466094067262</v>
      </c>
      <c r="D138" s="21">
        <f>Tableau!$G$17*SIN(B138*PI()/180)+Tableau!$H$16</f>
        <v>11035.533905932738</v>
      </c>
      <c r="F138" s="28">
        <v>135</v>
      </c>
      <c r="G138" s="29">
        <f>Tableau!$G$26*COS(F138*PI()/180)+Tableau!$G$25</f>
        <v>-22474.873734152916</v>
      </c>
      <c r="H138" s="29">
        <f>Tableau!$G$26*SIN(F138*PI()/180)+Tableau!$H$25</f>
        <v>12474.873734152916</v>
      </c>
      <c r="J138" s="36">
        <v>135</v>
      </c>
      <c r="K138" s="37">
        <f>Tableau!$G$36*COS(J138*PI()/180)+Tableau!$G$35</f>
        <v>-8535.533905932738</v>
      </c>
      <c r="L138" s="37">
        <f>Tableau!$G$36*SIN(J138*PI()/180)+Tableau!$H$35</f>
        <v>-11464.466094067262</v>
      </c>
      <c r="N138" s="92">
        <v>134</v>
      </c>
      <c r="O138" s="93">
        <v>67</v>
      </c>
      <c r="P138" s="96">
        <f>P137+R137*Tableau!$G$2+((1/2)*T137)*Tableau!$G$2^2</f>
        <v>20054.172441457762</v>
      </c>
      <c r="Q138" s="96">
        <f>Q137+S137*Tableau!$G$2+((1/2)*U137)*Tableau!$G$2^2</f>
        <v>-17553.418402053801</v>
      </c>
      <c r="R138" s="96">
        <f>R137+T137*Tableau!$G$2</f>
        <v>-5708.4288124712402</v>
      </c>
      <c r="S138" s="96">
        <f>S137+U137*Tableau!$G$2</f>
        <v>1453.4563069242872</v>
      </c>
      <c r="T138" s="96">
        <f t="shared" si="4"/>
        <v>-721.5210376104626</v>
      </c>
      <c r="U138" s="96">
        <f t="shared" si="5"/>
        <v>777.23934966437366</v>
      </c>
      <c r="V138" s="96">
        <f>((Tableau!$G$16-P138)/(AC138^2+Tableau!$G$21^2)^(3/2))*Tableau!$G$20</f>
        <v>-1.4450049009964168</v>
      </c>
      <c r="W138" s="96">
        <f>((Tableau!$H$16-Q138)/(AC138^2+Tableau!$G$21^2)^(3/2))*Tableau!$G$20</f>
        <v>668.27913609742541</v>
      </c>
      <c r="X138" s="96">
        <f>((Tableau!$G$25-P138)/(AD138^2+Tableau!$G$30^2)^(3/2))*Tableau!$G$29</f>
        <v>-60.706063382371248</v>
      </c>
      <c r="Y138" s="96">
        <f>((Tableau!$H$25-Q138)/(AD138^2+Tableau!$G$30^2)^(3/2))*Tableau!$G$29</f>
        <v>41.759933159542669</v>
      </c>
      <c r="Z138" s="96">
        <f>((Tableau!$G$35-P138)/(AE138^2+Tableau!$G$40^2)^(3/2))*Tableau!$G$39</f>
        <v>-659.36996932709496</v>
      </c>
      <c r="AA138" s="97">
        <f>((Tableau!$H$35-Q138)/(AE138^2+Tableau!$G$40^2)^(3/2))*Tableau!$G$39</f>
        <v>67.200280407405586</v>
      </c>
      <c r="AC138" s="110">
        <f>SQRT((Tableau!$G$16-P138)^2+(Tableau!$H$16-Q138)^2)</f>
        <v>25053.476969909418</v>
      </c>
      <c r="AD138" s="111">
        <f>SQRT((Tableau!$G$25-P138)^2+(Tableau!$H$25-Q138)^2)</f>
        <v>48616.124851829474</v>
      </c>
      <c r="AE138" s="112">
        <f>SQRT((Tableau!$G$35-P138)^2+(Tableau!$H$35-Q138)^2)</f>
        <v>25183.95326914042</v>
      </c>
    </row>
    <row r="139" spans="2:31" x14ac:dyDescent="0.25">
      <c r="B139" s="18">
        <v>136</v>
      </c>
      <c r="C139" s="19">
        <f>Tableau!$G$17*COS(B139*PI()/180)+Tableau!$G$16</f>
        <v>16403.300998306746</v>
      </c>
      <c r="D139" s="19">
        <f>Tableau!$G$17*SIN(B139*PI()/180)+Tableau!$H$16</f>
        <v>10973.291852294986</v>
      </c>
      <c r="F139" s="26">
        <v>136</v>
      </c>
      <c r="G139" s="27">
        <f>Tableau!$G$26*COS(F139*PI()/180)+Tableau!$G$25</f>
        <v>-22517.689301185281</v>
      </c>
      <c r="H139" s="27">
        <f>Tableau!$G$26*SIN(F139*PI()/180)+Tableau!$H$25</f>
        <v>12431.30429660649</v>
      </c>
      <c r="J139" s="34">
        <v>136</v>
      </c>
      <c r="K139" s="35">
        <f>Tableau!$G$36*COS(J139*PI()/180)+Tableau!$G$35</f>
        <v>-8596.6990016932559</v>
      </c>
      <c r="L139" s="35">
        <f>Tableau!$G$36*SIN(J139*PI()/180)+Tableau!$H$35</f>
        <v>-11526.708147705014</v>
      </c>
      <c r="N139" s="98">
        <v>135</v>
      </c>
      <c r="O139" s="99">
        <v>67.5</v>
      </c>
      <c r="P139" s="101">
        <f>P138+R138*Tableau!$G$2+((1/2)*T138)*Tableau!$G$2^2</f>
        <v>17109.767905520835</v>
      </c>
      <c r="Q139" s="101">
        <f>Q138+S138*Tableau!$G$2+((1/2)*U138)*Tableau!$G$2^2</f>
        <v>-16729.535329883613</v>
      </c>
      <c r="R139" s="101">
        <f>R138+T138*Tableau!$G$2</f>
        <v>-6069.1893312764714</v>
      </c>
      <c r="S139" s="101">
        <f>S138+U138*Tableau!$G$2</f>
        <v>1842.075981756474</v>
      </c>
      <c r="T139" s="101">
        <f t="shared" si="4"/>
        <v>-788.82605214196064</v>
      </c>
      <c r="U139" s="101">
        <f t="shared" si="5"/>
        <v>803.14982782095308</v>
      </c>
      <c r="V139" s="101">
        <f>((Tableau!$G$16-P139)/(AC139^2+Tableau!$G$21^2)^(3/2))*Tableau!$G$20</f>
        <v>82.519577290672771</v>
      </c>
      <c r="W139" s="101">
        <f>((Tableau!$H$16-Q139)/(AC139^2+Tableau!$G$21^2)^(3/2))*Tableau!$G$20</f>
        <v>691.78216420426315</v>
      </c>
      <c r="X139" s="101">
        <f>((Tableau!$G$25-P139)/(AD139^2+Tableau!$G$30^2)^(3/2))*Tableau!$G$29</f>
        <v>-67.294071661821249</v>
      </c>
      <c r="Y139" s="101">
        <f>((Tableau!$H$25-Q139)/(AD139^2+Tableau!$G$30^2)^(3/2))*Tableau!$G$29</f>
        <v>48.470776496254281</v>
      </c>
      <c r="Z139" s="101">
        <f>((Tableau!$G$35-P139)/(AE139^2+Tableau!$G$40^2)^(3/2))*Tableau!$G$39</f>
        <v>-804.05155777081211</v>
      </c>
      <c r="AA139" s="102">
        <f>((Tableau!$H$35-Q139)/(AE139^2+Tableau!$G$40^2)^(3/2))*Tableau!$G$39</f>
        <v>62.896887120435608</v>
      </c>
      <c r="AC139" s="113">
        <f>SQRT((Tableau!$G$16-P139)^2+(Tableau!$H$16-Q139)^2)</f>
        <v>24401.307830975689</v>
      </c>
      <c r="AD139" s="114">
        <f>SQRT((Tableau!$G$25-P139)^2+(Tableau!$H$25-Q139)^2)</f>
        <v>45734.045665708611</v>
      </c>
      <c r="AE139" s="115">
        <f>SQRT((Tableau!$G$35-P139)^2+(Tableau!$H$35-Q139)^2)</f>
        <v>22177.311137586425</v>
      </c>
    </row>
    <row r="140" spans="2:31" x14ac:dyDescent="0.25">
      <c r="B140" s="20">
        <v>137</v>
      </c>
      <c r="C140" s="21">
        <f>Tableau!$G$17*COS(B140*PI()/180)+Tableau!$G$16</f>
        <v>16343.231491904147</v>
      </c>
      <c r="D140" s="21">
        <f>Tableau!$G$17*SIN(B140*PI()/180)+Tableau!$H$16</f>
        <v>10909.991800312493</v>
      </c>
      <c r="F140" s="28">
        <v>137</v>
      </c>
      <c r="G140" s="29">
        <f>Tableau!$G$26*COS(F140*PI()/180)+Tableau!$G$25</f>
        <v>-22559.737955667097</v>
      </c>
      <c r="H140" s="29">
        <f>Tableau!$G$26*SIN(F140*PI()/180)+Tableau!$H$25</f>
        <v>12386.994260218746</v>
      </c>
      <c r="J140" s="36">
        <v>137</v>
      </c>
      <c r="K140" s="37">
        <f>Tableau!$G$36*COS(J140*PI()/180)+Tableau!$G$35</f>
        <v>-8656.7685080958527</v>
      </c>
      <c r="L140" s="37">
        <f>Tableau!$G$36*SIN(J140*PI()/180)+Tableau!$H$35</f>
        <v>-11590.008199687507</v>
      </c>
      <c r="N140" s="92">
        <v>136</v>
      </c>
      <c r="O140" s="93">
        <v>68</v>
      </c>
      <c r="P140" s="96">
        <f>P139+R139*Tableau!$G$2+((1/2)*T139)*Tableau!$G$2^2</f>
        <v>13976.569983364854</v>
      </c>
      <c r="Q140" s="96">
        <f>Q139+S139*Tableau!$G$2+((1/2)*U139)*Tableau!$G$2^2</f>
        <v>-15708.103610527756</v>
      </c>
      <c r="R140" s="96">
        <f>R139+T139*Tableau!$G$2</f>
        <v>-6463.6023573474522</v>
      </c>
      <c r="S140" s="96">
        <f>S139+U139*Tableau!$G$2</f>
        <v>2243.6508956669504</v>
      </c>
      <c r="T140" s="96">
        <f t="shared" si="4"/>
        <v>-901.03414959876318</v>
      </c>
      <c r="U140" s="96">
        <f t="shared" si="5"/>
        <v>787.93871104059792</v>
      </c>
      <c r="V140" s="96">
        <f>((Tableau!$G$16-P140)/(AC140^2+Tableau!$G$21^2)^(3/2))*Tableau!$G$20</f>
        <v>179.88108128884832</v>
      </c>
      <c r="W140" s="96">
        <f>((Tableau!$H$16-Q140)/(AC140^2+Tableau!$G$21^2)^(3/2))*Tableau!$G$20</f>
        <v>693.07666239931837</v>
      </c>
      <c r="X140" s="96">
        <f>((Tableau!$G$25-P140)/(AD140^2+Tableau!$G$30^2)^(3/2))*Tableau!$G$29</f>
        <v>-75.804278746812585</v>
      </c>
      <c r="Y140" s="96">
        <f>((Tableau!$H$25-Q140)/(AD140^2+Tableau!$G$30^2)^(3/2))*Tableau!$G$29</f>
        <v>57.356709435311508</v>
      </c>
      <c r="Z140" s="96">
        <f>((Tableau!$G$35-P140)/(AE140^2+Tableau!$G$40^2)^(3/2))*Tableau!$G$39</f>
        <v>-1005.1109521407989</v>
      </c>
      <c r="AA140" s="97">
        <f>((Tableau!$H$35-Q140)/(AE140^2+Tableau!$G$40^2)^(3/2))*Tableau!$G$39</f>
        <v>37.505339205968056</v>
      </c>
      <c r="AC140" s="110">
        <f>SQRT((Tableau!$G$16-P140)^2+(Tableau!$H$16-Q140)^2)</f>
        <v>23977.026136747918</v>
      </c>
      <c r="AD140" s="111">
        <f>SQRT((Tableau!$G$25-P140)^2+(Tableau!$H$25-Q140)^2)</f>
        <v>42606.500666965359</v>
      </c>
      <c r="AE140" s="112">
        <f>SQRT((Tableau!$G$35-P140)^2+(Tableau!$H$35-Q140)^2)</f>
        <v>18989.776698444519</v>
      </c>
    </row>
    <row r="141" spans="2:31" x14ac:dyDescent="0.25">
      <c r="B141" s="18">
        <v>138</v>
      </c>
      <c r="C141" s="19">
        <f>Tableau!$G$17*COS(B141*PI()/180)+Tableau!$G$16</f>
        <v>16284.275872613031</v>
      </c>
      <c r="D141" s="19">
        <f>Tableau!$G$17*SIN(B141*PI()/180)+Tableau!$H$16</f>
        <v>10845.653031794292</v>
      </c>
      <c r="F141" s="26">
        <v>138</v>
      </c>
      <c r="G141" s="27">
        <f>Tableau!$G$26*COS(F141*PI()/180)+Tableau!$G$25</f>
        <v>-22601.00688917088</v>
      </c>
      <c r="H141" s="27">
        <f>Tableau!$G$26*SIN(F141*PI()/180)+Tableau!$H$25</f>
        <v>12341.957122256004</v>
      </c>
      <c r="J141" s="34">
        <v>138</v>
      </c>
      <c r="K141" s="35">
        <f>Tableau!$G$36*COS(J141*PI()/180)+Tableau!$G$35</f>
        <v>-8715.7241273869695</v>
      </c>
      <c r="L141" s="35">
        <f>Tableau!$G$36*SIN(J141*PI()/180)+Tableau!$H$35</f>
        <v>-11654.346968205708</v>
      </c>
      <c r="N141" s="98">
        <v>137</v>
      </c>
      <c r="O141" s="99">
        <v>68.5</v>
      </c>
      <c r="P141" s="101">
        <f>P140+R140*Tableau!$G$2+((1/2)*T140)*Tableau!$G$2^2</f>
        <v>10632.139535991282</v>
      </c>
      <c r="Q141" s="101">
        <f>Q140+S140*Tableau!$G$2+((1/2)*U140)*Tableau!$G$2^2</f>
        <v>-14487.785823814207</v>
      </c>
      <c r="R141" s="101">
        <f>R140+T140*Tableau!$G$2</f>
        <v>-6914.1194321468338</v>
      </c>
      <c r="S141" s="101">
        <f>S140+U140*Tableau!$G$2</f>
        <v>2637.6202511872493</v>
      </c>
      <c r="T141" s="101">
        <f t="shared" si="4"/>
        <v>-1084.3240678390614</v>
      </c>
      <c r="U141" s="101">
        <f t="shared" si="5"/>
        <v>689.68196193275764</v>
      </c>
      <c r="V141" s="101">
        <f>((Tableau!$G$16-P141)/(AC141^2+Tableau!$G$21^2)^(3/2))*Tableau!$G$20</f>
        <v>282.06042374715679</v>
      </c>
      <c r="W141" s="101">
        <f>((Tableau!$H$16-Q141)/(AC141^2+Tableau!$G$21^2)^(3/2))*Tableau!$G$20</f>
        <v>662.03848899696754</v>
      </c>
      <c r="X141" s="101">
        <f>((Tableau!$G$25-P141)/(AD141^2+Tableau!$G$30^2)^(3/2))*Tableau!$G$29</f>
        <v>-87.018791322833906</v>
      </c>
      <c r="Y141" s="101">
        <f>((Tableau!$H$25-Q141)/(AD141^2+Tableau!$G$30^2)^(3/2))*Tableau!$G$29</f>
        <v>69.564110011219995</v>
      </c>
      <c r="Z141" s="101">
        <f>((Tableau!$G$35-P141)/(AE141^2+Tableau!$G$40^2)^(3/2))*Tableau!$G$39</f>
        <v>-1279.3657002633843</v>
      </c>
      <c r="AA141" s="102">
        <f>((Tableau!$H$35-Q141)/(AE141^2+Tableau!$G$40^2)^(3/2))*Tableau!$G$39</f>
        <v>-41.920637075429887</v>
      </c>
      <c r="AC141" s="113">
        <f>SQRT((Tableau!$G$16-P141)^2+(Tableau!$H$16-Q141)^2)</f>
        <v>23900.199478394792</v>
      </c>
      <c r="AD141" s="114">
        <f>SQRT((Tableau!$G$25-P141)^2+(Tableau!$H$25-Q141)^2)</f>
        <v>39217.083357963231</v>
      </c>
      <c r="AE141" s="115">
        <f>SQRT((Tableau!$G$35-P141)^2+(Tableau!$H$35-Q141)^2)</f>
        <v>15640.529077847317</v>
      </c>
    </row>
    <row r="142" spans="2:31" x14ac:dyDescent="0.25">
      <c r="B142" s="20">
        <v>139</v>
      </c>
      <c r="C142" s="21">
        <f>Tableau!$G$17*COS(B142*PI()/180)+Tableau!$G$16</f>
        <v>16226.45209888614</v>
      </c>
      <c r="D142" s="21">
        <f>Tableau!$G$17*SIN(B142*PI()/180)+Tableau!$H$16</f>
        <v>10780.295144952535</v>
      </c>
      <c r="F142" s="28">
        <v>139</v>
      </c>
      <c r="G142" s="29">
        <f>Tableau!$G$26*COS(F142*PI()/180)+Tableau!$G$25</f>
        <v>-22641.483530779704</v>
      </c>
      <c r="H142" s="29">
        <f>Tableau!$G$26*SIN(F142*PI()/180)+Tableau!$H$25</f>
        <v>12296.206601466776</v>
      </c>
      <c r="J142" s="36">
        <v>139</v>
      </c>
      <c r="K142" s="37">
        <f>Tableau!$G$36*COS(J142*PI()/180)+Tableau!$G$35</f>
        <v>-8773.5479011138596</v>
      </c>
      <c r="L142" s="37">
        <f>Tableau!$G$36*SIN(J142*PI()/180)+Tableau!$H$35</f>
        <v>-11719.704855047465</v>
      </c>
      <c r="N142" s="92">
        <v>138</v>
      </c>
      <c r="O142" s="93">
        <v>69</v>
      </c>
      <c r="P142" s="96">
        <f>P141+R141*Tableau!$G$2+((1/2)*T141)*Tableau!$G$2^2</f>
        <v>7039.5393114379822</v>
      </c>
      <c r="Q142" s="96">
        <f>Q141+S141*Tableau!$G$2+((1/2)*U141)*Tableau!$G$2^2</f>
        <v>-13082.765452978987</v>
      </c>
      <c r="R142" s="96">
        <f>R141+T141*Tableau!$G$2</f>
        <v>-7456.2814660663644</v>
      </c>
      <c r="S142" s="96">
        <f>S141+U141*Tableau!$G$2</f>
        <v>2982.4612321536283</v>
      </c>
      <c r="T142" s="96">
        <f t="shared" si="4"/>
        <v>-1336.9913821382427</v>
      </c>
      <c r="U142" s="96">
        <f t="shared" si="5"/>
        <v>423.58370956726208</v>
      </c>
      <c r="V142" s="96">
        <f>((Tableau!$G$16-P142)/(AC142^2+Tableau!$G$21^2)^(3/2))*Tableau!$G$20</f>
        <v>373.09049975371516</v>
      </c>
      <c r="W142" s="96">
        <f>((Tableau!$H$16-Q142)/(AC142^2+Tableau!$G$21^2)^(3/2))*Tableau!$G$20</f>
        <v>592.51244486568146</v>
      </c>
      <c r="X142" s="96">
        <f>((Tableau!$G$25-P142)/(AD142^2+Tableau!$G$30^2)^(3/2))*Tableau!$G$29</f>
        <v>-102.07499759637768</v>
      </c>
      <c r="Y142" s="96">
        <f>((Tableau!$H$25-Q142)/(AD142^2+Tableau!$G$30^2)^(3/2))*Tableau!$G$29</f>
        <v>87.13806847788625</v>
      </c>
      <c r="Z142" s="96">
        <f>((Tableau!$G$35-P142)/(AE142^2+Tableau!$G$40^2)^(3/2))*Tableau!$G$39</f>
        <v>-1608.0068842955802</v>
      </c>
      <c r="AA142" s="97">
        <f>((Tableau!$H$35-Q142)/(AE142^2+Tableau!$G$40^2)^(3/2))*Tableau!$G$39</f>
        <v>-256.06680377630562</v>
      </c>
      <c r="AC142" s="110">
        <f>SQRT((Tableau!$G$16-P142)^2+(Tableau!$H$16-Q142)^2)</f>
        <v>24323.317515341256</v>
      </c>
      <c r="AD142" s="111">
        <f>SQRT((Tableau!$G$25-P142)^2+(Tableau!$H$25-Q142)^2)</f>
        <v>35552.084989941737</v>
      </c>
      <c r="AE142" s="112">
        <f>SQRT((Tableau!$G$35-P142)^2+(Tableau!$H$35-Q142)^2)</f>
        <v>12191.238458005464</v>
      </c>
    </row>
    <row r="143" spans="2:31" x14ac:dyDescent="0.25">
      <c r="B143" s="18">
        <v>140</v>
      </c>
      <c r="C143" s="19">
        <f>Tableau!$G$17*COS(B143*PI()/180)+Tableau!$G$16</f>
        <v>16169.777784405111</v>
      </c>
      <c r="D143" s="19">
        <f>Tableau!$G$17*SIN(B143*PI()/180)+Tableau!$H$16</f>
        <v>10713.938048432698</v>
      </c>
      <c r="F143" s="26">
        <v>140</v>
      </c>
      <c r="G143" s="27">
        <f>Tableau!$G$26*COS(F143*PI()/180)+Tableau!$G$25</f>
        <v>-22681.155550916425</v>
      </c>
      <c r="H143" s="27">
        <f>Tableau!$G$26*SIN(F143*PI()/180)+Tableau!$H$25</f>
        <v>12249.756633902889</v>
      </c>
      <c r="J143" s="34">
        <v>140</v>
      </c>
      <c r="K143" s="35">
        <f>Tableau!$G$36*COS(J143*PI()/180)+Tableau!$G$35</f>
        <v>-8830.2222155948893</v>
      </c>
      <c r="L143" s="35">
        <f>Tableau!$G$36*SIN(J143*PI()/180)+Tableau!$H$35</f>
        <v>-11786.061951567302</v>
      </c>
      <c r="N143" s="98">
        <v>139</v>
      </c>
      <c r="O143" s="99">
        <v>69.5</v>
      </c>
      <c r="P143" s="101">
        <f>P142+R142*Tableau!$G$2+((1/2)*T142)*Tableau!$G$2^2</f>
        <v>3144.2746556375196</v>
      </c>
      <c r="Q143" s="101">
        <f>Q142+S142*Tableau!$G$2+((1/2)*U142)*Tableau!$G$2^2</f>
        <v>-11538.586873206264</v>
      </c>
      <c r="R143" s="101">
        <f>R142+T142*Tableau!$G$2</f>
        <v>-8124.777157135486</v>
      </c>
      <c r="S143" s="101">
        <f>S142+U142*Tableau!$G$2</f>
        <v>3194.2530869372595</v>
      </c>
      <c r="T143" s="101">
        <f t="shared" si="4"/>
        <v>-1480.732558503762</v>
      </c>
      <c r="U143" s="101">
        <f t="shared" si="5"/>
        <v>-158.58398045394154</v>
      </c>
      <c r="V143" s="101">
        <f>((Tableau!$G$16-P143)/(AC143^2+Tableau!$G$21^2)^(3/2))*Tableau!$G$20</f>
        <v>432.6420127919277</v>
      </c>
      <c r="W143" s="101">
        <f>((Tableau!$H$16-Q143)/(AC143^2+Tableau!$G$21^2)^(3/2))*Tableau!$G$20</f>
        <v>488.67031096308307</v>
      </c>
      <c r="X143" s="101">
        <f>((Tableau!$G$25-P143)/(AD143^2+Tableau!$G$30^2)^(3/2))*Tableau!$G$29</f>
        <v>-122.41688069763026</v>
      </c>
      <c r="Y143" s="101">
        <f>((Tableau!$H$25-Q143)/(AD143^2+Tableau!$G$30^2)^(3/2))*Tableau!$G$29</f>
        <v>113.92392541498761</v>
      </c>
      <c r="Z143" s="101">
        <f>((Tableau!$G$35-P143)/(AE143^2+Tableau!$G$40^2)^(3/2))*Tableau!$G$39</f>
        <v>-1790.9576905980596</v>
      </c>
      <c r="AA143" s="102">
        <f>((Tableau!$H$35-Q143)/(AE143^2+Tableau!$G$40^2)^(3/2))*Tableau!$G$39</f>
        <v>-761.17821683201225</v>
      </c>
      <c r="AC143" s="113">
        <f>SQRT((Tableau!$G$16-P143)^2+(Tableau!$H$16-Q143)^2)</f>
        <v>25428.001632318759</v>
      </c>
      <c r="AD143" s="114">
        <f>SQRT((Tableau!$G$25-P143)^2+(Tableau!$H$25-Q143)^2)</f>
        <v>31615.948093173462</v>
      </c>
      <c r="AE143" s="115">
        <f>SQRT((Tableau!$G$35-P143)^2+(Tableau!$H$35-Q143)^2)</f>
        <v>8849.32712135785</v>
      </c>
    </row>
    <row r="144" spans="2:31" x14ac:dyDescent="0.25">
      <c r="B144" s="20">
        <v>141</v>
      </c>
      <c r="C144" s="21">
        <f>Tableau!$G$17*COS(B144*PI()/180)+Tableau!$G$16</f>
        <v>16114.270192715147</v>
      </c>
      <c r="D144" s="21">
        <f>Tableau!$G$17*SIN(B144*PI()/180)+Tableau!$H$16</f>
        <v>10646.601955249189</v>
      </c>
      <c r="F144" s="28">
        <v>141</v>
      </c>
      <c r="G144" s="29">
        <f>Tableau!$G$26*COS(F144*PI()/180)+Tableau!$G$25</f>
        <v>-22720.010865099397</v>
      </c>
      <c r="H144" s="29">
        <f>Tableau!$G$26*SIN(F144*PI()/180)+Tableau!$H$25</f>
        <v>12202.621368674432</v>
      </c>
      <c r="J144" s="36">
        <v>141</v>
      </c>
      <c r="K144" s="37">
        <f>Tableau!$G$36*COS(J144*PI()/180)+Tableau!$G$35</f>
        <v>-8885.7298072848535</v>
      </c>
      <c r="L144" s="37">
        <f>Tableau!$G$36*SIN(J144*PI()/180)+Tableau!$H$35</f>
        <v>-11853.398044750811</v>
      </c>
      <c r="N144" s="92">
        <v>140</v>
      </c>
      <c r="O144" s="93">
        <v>70</v>
      </c>
      <c r="P144" s="96">
        <f>P143+R143*Tableau!$G$2+((1/2)*T143)*Tableau!$G$2^2</f>
        <v>-1103.2054927431936</v>
      </c>
      <c r="Q144" s="96">
        <f>Q143+S143*Tableau!$G$2+((1/2)*U143)*Tableau!$G$2^2</f>
        <v>-9961.2833272943772</v>
      </c>
      <c r="R144" s="96">
        <f>R143+T143*Tableau!$G$2</f>
        <v>-8865.1434363873668</v>
      </c>
      <c r="S144" s="96">
        <f>S143+U143*Tableau!$G$2</f>
        <v>3114.9610967102885</v>
      </c>
      <c r="T144" s="96">
        <f t="shared" si="4"/>
        <v>-927.21924295551958</v>
      </c>
      <c r="U144" s="96">
        <f t="shared" si="5"/>
        <v>-1057.0648255307242</v>
      </c>
      <c r="V144" s="96">
        <f>((Tableau!$G$16-P144)/(AC144^2+Tableau!$G$21^2)^(3/2))*Tableau!$G$20</f>
        <v>445.6905753534258</v>
      </c>
      <c r="W144" s="96">
        <f>((Tableau!$H$16-Q144)/(AC144^2+Tableau!$G$21^2)^(3/2))*Tableau!$G$20</f>
        <v>368.77475392196413</v>
      </c>
      <c r="X144" s="96">
        <f>((Tableau!$G$25-P144)/(AD144^2+Tableau!$G$30^2)^(3/2))*Tableau!$G$29</f>
        <v>-148.71612642784669</v>
      </c>
      <c r="Y144" s="96">
        <f>((Tableau!$H$25-Q144)/(AD144^2+Tableau!$G$30^2)^(3/2))*Tableau!$G$29</f>
        <v>157.09356070014843</v>
      </c>
      <c r="Z144" s="96">
        <f>((Tableau!$G$35-P144)/(AE144^2+Tableau!$G$40^2)^(3/2))*Tableau!$G$39</f>
        <v>-1224.1936918810986</v>
      </c>
      <c r="AA144" s="97">
        <f>((Tableau!$H$35-Q144)/(AE144^2+Tableau!$G$40^2)^(3/2))*Tableau!$G$39</f>
        <v>-1582.9331401528368</v>
      </c>
      <c r="AC144" s="110">
        <f>SQRT((Tableau!$G$16-P144)^2+(Tableau!$H$16-Q144)^2)</f>
        <v>27390.54029231616</v>
      </c>
      <c r="AD144" s="111">
        <f>SQRT((Tableau!$G$25-P144)^2+(Tableau!$H$25-Q144)^2)</f>
        <v>27487.118341543399</v>
      </c>
      <c r="AE144" s="112">
        <f>SQRT((Tableau!$G$35-P144)^2+(Tableau!$H$35-Q144)^2)</f>
        <v>6369.7467092175993</v>
      </c>
    </row>
    <row r="145" spans="2:31" x14ac:dyDescent="0.25">
      <c r="B145" s="18">
        <v>142</v>
      </c>
      <c r="C145" s="19">
        <f>Tableau!$G$17*COS(B145*PI()/180)+Tableau!$G$16</f>
        <v>16059.946231966391</v>
      </c>
      <c r="D145" s="19">
        <f>Tableau!$G$17*SIN(B145*PI()/180)+Tableau!$H$16</f>
        <v>10578.307376628292</v>
      </c>
      <c r="F145" s="26">
        <v>142</v>
      </c>
      <c r="G145" s="27">
        <f>Tableau!$G$26*COS(F145*PI()/180)+Tableau!$G$25</f>
        <v>-22758.037637623525</v>
      </c>
      <c r="H145" s="27">
        <f>Tableau!$G$26*SIN(F145*PI()/180)+Tableau!$H$25</f>
        <v>12154.815163639803</v>
      </c>
      <c r="J145" s="34">
        <v>142</v>
      </c>
      <c r="K145" s="35">
        <f>Tableau!$G$36*COS(J145*PI()/180)+Tableau!$G$35</f>
        <v>-8940.0537680336092</v>
      </c>
      <c r="L145" s="35">
        <f>Tableau!$G$36*SIN(J145*PI()/180)+Tableau!$H$35</f>
        <v>-11921.692623371708</v>
      </c>
      <c r="N145" s="98">
        <v>141</v>
      </c>
      <c r="O145" s="99">
        <v>70.5</v>
      </c>
      <c r="P145" s="101">
        <f>P144+R144*Tableau!$G$2+((1/2)*T144)*Tableau!$G$2^2</f>
        <v>-5651.6796163063173</v>
      </c>
      <c r="Q145" s="101">
        <f>Q144+S144*Tableau!$G$2+((1/2)*U144)*Tableau!$G$2^2</f>
        <v>-8535.9358821305723</v>
      </c>
      <c r="R145" s="101">
        <f>R144+T144*Tableau!$G$2</f>
        <v>-9328.7530578651258</v>
      </c>
      <c r="S145" s="101">
        <f>S144+U144*Tableau!$G$2</f>
        <v>2586.4286839449264</v>
      </c>
      <c r="T145" s="101">
        <f t="shared" si="4"/>
        <v>440.44628771856355</v>
      </c>
      <c r="U145" s="101">
        <f t="shared" si="5"/>
        <v>-1508.8126141297507</v>
      </c>
      <c r="V145" s="101">
        <f>((Tableau!$G$16-P145)/(AC145^2+Tableau!$G$21^2)^(3/2))*Tableau!$G$20</f>
        <v>415.25296642470812</v>
      </c>
      <c r="W145" s="101">
        <f>((Tableau!$H$16-Q145)/(AC145^2+Tableau!$G$21^2)^(3/2))*Tableau!$G$20</f>
        <v>259.59196606440344</v>
      </c>
      <c r="X145" s="101">
        <f>((Tableau!$G$25-P145)/(AD145^2+Tableau!$G$30^2)^(3/2))*Tableau!$G$29</f>
        <v>-176.01363908585799</v>
      </c>
      <c r="Y145" s="101">
        <f>((Tableau!$H$25-Q145)/(AD145^2+Tableau!$G$30^2)^(3/2))*Tableau!$G$29</f>
        <v>227.38393353578374</v>
      </c>
      <c r="Z145" s="101">
        <f>((Tableau!$G$35-P145)/(AE145^2+Tableau!$G$40^2)^(3/2))*Tableau!$G$39</f>
        <v>201.20696037971345</v>
      </c>
      <c r="AA145" s="102">
        <f>((Tableau!$H$35-Q145)/(AE145^2+Tableau!$G$40^2)^(3/2))*Tableau!$G$39</f>
        <v>-1995.7885137299379</v>
      </c>
      <c r="AC145" s="113">
        <f>SQRT((Tableau!$G$16-P145)^2+(Tableau!$H$16-Q145)^2)</f>
        <v>30251.609986138392</v>
      </c>
      <c r="AD145" s="114">
        <f>SQRT((Tableau!$G$25-P145)^2+(Tableau!$H$25-Q145)^2)</f>
        <v>23440.461105950439</v>
      </c>
      <c r="AE145" s="115">
        <f>SQRT((Tableau!$G$35-P145)^2+(Tableau!$H$35-Q145)^2)</f>
        <v>6496.8308614459256</v>
      </c>
    </row>
    <row r="146" spans="2:31" x14ac:dyDescent="0.25">
      <c r="B146" s="20">
        <v>143</v>
      </c>
      <c r="C146" s="21">
        <f>Tableau!$G$17*COS(B146*PI()/180)+Tableau!$G$16</f>
        <v>16006.822449763535</v>
      </c>
      <c r="D146" s="21">
        <f>Tableau!$G$17*SIN(B146*PI()/180)+Tableau!$H$16</f>
        <v>10509.075115760241</v>
      </c>
      <c r="F146" s="28">
        <v>143</v>
      </c>
      <c r="G146" s="29">
        <f>Tableau!$G$26*COS(F146*PI()/180)+Tableau!$G$25</f>
        <v>-22795.224285165525</v>
      </c>
      <c r="H146" s="29">
        <f>Tableau!$G$26*SIN(F146*PI()/180)+Tableau!$H$25</f>
        <v>12106.352581032168</v>
      </c>
      <c r="J146" s="36">
        <v>143</v>
      </c>
      <c r="K146" s="37">
        <f>Tableau!$G$36*COS(J146*PI()/180)+Tableau!$G$35</f>
        <v>-8993.1775502364653</v>
      </c>
      <c r="L146" s="37">
        <f>Tableau!$G$36*SIN(J146*PI()/180)+Tableau!$H$35</f>
        <v>-11990.924884239759</v>
      </c>
      <c r="N146" s="92">
        <v>142</v>
      </c>
      <c r="O146" s="93">
        <v>71</v>
      </c>
      <c r="P146" s="96">
        <f>P145+R145*Tableau!$G$2+((1/2)*T145)*Tableau!$G$2^2</f>
        <v>-10261.00035927406</v>
      </c>
      <c r="Q146" s="96">
        <f>Q145+S145*Tableau!$G$2+((1/2)*U145)*Tableau!$G$2^2</f>
        <v>-7431.3231169243281</v>
      </c>
      <c r="R146" s="96">
        <f>R145+T145*Tableau!$G$2</f>
        <v>-9108.5299140058432</v>
      </c>
      <c r="S146" s="96">
        <f>S145+U145*Tableau!$G$2</f>
        <v>1832.0223768800511</v>
      </c>
      <c r="T146" s="96">
        <f t="shared" si="4"/>
        <v>1273.8756984397967</v>
      </c>
      <c r="U146" s="96">
        <f t="shared" si="5"/>
        <v>-1065.5890459703992</v>
      </c>
      <c r="V146" s="96">
        <f>((Tableau!$G$16-P146)/(AC146^2+Tableau!$G$21^2)^(3/2))*Tableau!$G$20</f>
        <v>363.45205729307122</v>
      </c>
      <c r="W146" s="96">
        <f>((Tableau!$H$16-Q146)/(AC146^2+Tableau!$G$21^2)^(3/2))*Tableau!$G$20</f>
        <v>179.33379731415877</v>
      </c>
      <c r="X146" s="96">
        <f>((Tableau!$G$25-P146)/(AD146^2+Tableau!$G$30^2)^(3/2))*Tableau!$G$29</f>
        <v>-184.64081248717349</v>
      </c>
      <c r="Y146" s="96">
        <f>((Tableau!$H$25-Q146)/(AD146^2+Tableau!$G$30^2)^(3/2))*Tableau!$G$29</f>
        <v>330.47887686290636</v>
      </c>
      <c r="Z146" s="96">
        <f>((Tableau!$G$35-P146)/(AE146^2+Tableau!$G$40^2)^(3/2))*Tableau!$G$39</f>
        <v>1095.0644536338989</v>
      </c>
      <c r="AA146" s="97">
        <f>((Tableau!$H$35-Q146)/(AE146^2+Tableau!$G$40^2)^(3/2))*Tableau!$G$39</f>
        <v>-1575.4017201474644</v>
      </c>
      <c r="AC146" s="110">
        <f>SQRT((Tableau!$G$16-P146)^2+(Tableau!$H$16-Q146)^2)</f>
        <v>33744.222509430911</v>
      </c>
      <c r="AD146" s="111">
        <f>SQRT((Tableau!$G$25-P146)^2+(Tableau!$H$25-Q146)^2)</f>
        <v>19967.452005919047</v>
      </c>
      <c r="AE146" s="112">
        <f>SQRT((Tableau!$G$35-P146)^2+(Tableau!$H$35-Q146)^2)</f>
        <v>9217.5373360071535</v>
      </c>
    </row>
    <row r="147" spans="2:31" x14ac:dyDescent="0.25">
      <c r="B147" s="18">
        <v>144</v>
      </c>
      <c r="C147" s="19">
        <f>Tableau!$G$17*COS(B147*PI()/180)+Tableau!$G$16</f>
        <v>15954.915028125262</v>
      </c>
      <c r="D147" s="19">
        <f>Tableau!$G$17*SIN(B147*PI()/180)+Tableau!$H$16</f>
        <v>10438.926261462366</v>
      </c>
      <c r="F147" s="26">
        <v>144</v>
      </c>
      <c r="G147" s="27">
        <f>Tableau!$G$26*COS(F147*PI()/180)+Tableau!$G$25</f>
        <v>-22831.559480312317</v>
      </c>
      <c r="H147" s="27">
        <f>Tableau!$G$26*SIN(F147*PI()/180)+Tableau!$H$25</f>
        <v>12057.248383023656</v>
      </c>
      <c r="J147" s="34">
        <v>144</v>
      </c>
      <c r="K147" s="35">
        <f>Tableau!$G$36*COS(J147*PI()/180)+Tableau!$G$35</f>
        <v>-9045.0849718747377</v>
      </c>
      <c r="L147" s="35">
        <f>Tableau!$G$36*SIN(J147*PI()/180)+Tableau!$H$35</f>
        <v>-12061.073738537634</v>
      </c>
      <c r="N147" s="98">
        <v>143</v>
      </c>
      <c r="O147" s="99">
        <v>71.5</v>
      </c>
      <c r="P147" s="101">
        <f>P146+R146*Tableau!$G$2+((1/2)*T146)*Tableau!$G$2^2</f>
        <v>-14656.030853972008</v>
      </c>
      <c r="Q147" s="101">
        <f>Q146+S146*Tableau!$G$2+((1/2)*U146)*Tableau!$G$2^2</f>
        <v>-6648.5105592306027</v>
      </c>
      <c r="R147" s="101">
        <f>R146+T146*Tableau!$G$2</f>
        <v>-8471.5920647859457</v>
      </c>
      <c r="S147" s="101">
        <f>S146+U146*Tableau!$G$2</f>
        <v>1299.2278538948515</v>
      </c>
      <c r="T147" s="101">
        <f t="shared" si="4"/>
        <v>1353.8066355521446</v>
      </c>
      <c r="U147" s="101">
        <f t="shared" si="5"/>
        <v>-450.4379713112512</v>
      </c>
      <c r="V147" s="101">
        <f>((Tableau!$G$16-P147)/(AC147^2+Tableau!$G$21^2)^(3/2))*Tableau!$G$20</f>
        <v>311.9683767182392</v>
      </c>
      <c r="W147" s="101">
        <f>((Tableau!$H$16-Q147)/(AC147^2+Tableau!$G$21^2)^(3/2))*Tableau!$G$20</f>
        <v>127.36276380704317</v>
      </c>
      <c r="X147" s="101">
        <f>((Tableau!$G$25-P147)/(AD147^2+Tableau!$G$30^2)^(3/2))*Tableau!$G$29</f>
        <v>-143.65082837474841</v>
      </c>
      <c r="Y147" s="101">
        <f>((Tableau!$H$25-Q147)/(AD147^2+Tableau!$G$30^2)^(3/2))*Tableau!$G$29</f>
        <v>447.5273467506459</v>
      </c>
      <c r="Z147" s="101">
        <f>((Tableau!$G$35-P147)/(AE147^2+Tableau!$G$40^2)^(3/2))*Tableau!$G$39</f>
        <v>1185.4890872086539</v>
      </c>
      <c r="AA147" s="102">
        <f>((Tableau!$H$35-Q147)/(AE147^2+Tableau!$G$40^2)^(3/2))*Tableau!$G$39</f>
        <v>-1025.3280818689402</v>
      </c>
      <c r="AC147" s="113">
        <f>SQRT((Tableau!$G$16-P147)^2+(Tableau!$H$16-Q147)^2)</f>
        <v>37432.884281018465</v>
      </c>
      <c r="AD147" s="114">
        <f>SQRT((Tableau!$G$25-P147)^2+(Tableau!$H$25-Q147)^2)</f>
        <v>17485.16256929034</v>
      </c>
      <c r="AE147" s="115">
        <f>SQRT((Tableau!$G$35-P147)^2+(Tableau!$H$35-Q147)^2)</f>
        <v>12766.609092947983</v>
      </c>
    </row>
    <row r="148" spans="2:31" x14ac:dyDescent="0.25">
      <c r="B148" s="20">
        <v>145</v>
      </c>
      <c r="C148" s="21">
        <f>Tableau!$G$17*COS(B148*PI()/180)+Tableau!$G$16</f>
        <v>15904.239778555042</v>
      </c>
      <c r="D148" s="21">
        <f>Tableau!$G$17*SIN(B148*PI()/180)+Tableau!$H$16</f>
        <v>10367.882181755233</v>
      </c>
      <c r="F148" s="28">
        <v>145</v>
      </c>
      <c r="G148" s="29">
        <f>Tableau!$G$26*COS(F148*PI()/180)+Tableau!$G$25</f>
        <v>-22867.032155011471</v>
      </c>
      <c r="H148" s="29">
        <f>Tableau!$G$26*SIN(F148*PI()/180)+Tableau!$H$25</f>
        <v>12007.517527228661</v>
      </c>
      <c r="J148" s="36">
        <v>145</v>
      </c>
      <c r="K148" s="37">
        <f>Tableau!$G$36*COS(J148*PI()/180)+Tableau!$G$35</f>
        <v>-9095.760221444958</v>
      </c>
      <c r="L148" s="37">
        <f>Tableau!$G$36*SIN(J148*PI()/180)+Tableau!$H$35</f>
        <v>-12132.117818244767</v>
      </c>
      <c r="N148" s="92">
        <v>144</v>
      </c>
      <c r="O148" s="93">
        <v>72</v>
      </c>
      <c r="P148" s="96">
        <f>P147+R147*Tableau!$G$2+((1/2)*T147)*Tableau!$G$2^2</f>
        <v>-18722.601056920961</v>
      </c>
      <c r="Q148" s="96">
        <f>Q147+S147*Tableau!$G$2+((1/2)*U147)*Tableau!$G$2^2</f>
        <v>-6055.2013786970829</v>
      </c>
      <c r="R148" s="96">
        <f>R147+T147*Tableau!$G$2</f>
        <v>-7794.6887470098736</v>
      </c>
      <c r="S148" s="96">
        <f>S147+U147*Tableau!$G$2</f>
        <v>1074.0088682392259</v>
      </c>
      <c r="T148" s="96">
        <f t="shared" si="4"/>
        <v>1243.3786426763731</v>
      </c>
      <c r="U148" s="96">
        <f t="shared" si="5"/>
        <v>-35.919554409465263</v>
      </c>
      <c r="V148" s="96">
        <f>((Tableau!$G$16-P148)/(AC148^2+Tableau!$G$21^2)^(3/2))*Tableau!$G$20</f>
        <v>269.25833480846495</v>
      </c>
      <c r="W148" s="96">
        <f>((Tableau!$H$16-Q148)/(AC148^2+Tableau!$G$21^2)^(3/2))*Tableau!$G$20</f>
        <v>94.256347755571028</v>
      </c>
      <c r="X148" s="96">
        <f>((Tableau!$G$25-P148)/(AD148^2+Tableau!$G$30^2)^(3/2))*Tableau!$G$29</f>
        <v>-42.358943817135589</v>
      </c>
      <c r="Y148" s="96">
        <f>((Tableau!$H$25-Q148)/(AD148^2+Tableau!$G$30^2)^(3/2))*Tableau!$G$29</f>
        <v>532.39544063952428</v>
      </c>
      <c r="Z148" s="96">
        <f>((Tableau!$G$35-P148)/(AE148^2+Tableau!$G$40^2)^(3/2))*Tableau!$G$39</f>
        <v>1016.4792516850439</v>
      </c>
      <c r="AA148" s="97">
        <f>((Tableau!$H$35-Q148)/(AE148^2+Tableau!$G$40^2)^(3/2))*Tableau!$G$39</f>
        <v>-662.57134280456057</v>
      </c>
      <c r="AC148" s="110">
        <f>SQRT((Tableau!$G$16-P148)^2+(Tableau!$H$16-Q148)^2)</f>
        <v>41026.617177516448</v>
      </c>
      <c r="AD148" s="111">
        <f>SQRT((Tableau!$G$25-P148)^2+(Tableau!$H$25-Q148)^2)</f>
        <v>16105.938015846707</v>
      </c>
      <c r="AE148" s="112">
        <f>SQRT((Tableau!$G$35-P148)^2+(Tableau!$H$35-Q148)^2)</f>
        <v>16380.451829637388</v>
      </c>
    </row>
    <row r="149" spans="2:31" x14ac:dyDescent="0.25">
      <c r="B149" s="18">
        <v>146</v>
      </c>
      <c r="C149" s="19">
        <f>Tableau!$G$17*COS(B149*PI()/180)+Tableau!$G$16</f>
        <v>15854.812137224792</v>
      </c>
      <c r="D149" s="19">
        <f>Tableau!$G$17*SIN(B149*PI()/180)+Tableau!$H$16</f>
        <v>10295.964517353736</v>
      </c>
      <c r="F149" s="26">
        <v>146</v>
      </c>
      <c r="G149" s="27">
        <f>Tableau!$G$26*COS(F149*PI()/180)+Tableau!$G$25</f>
        <v>-22901.631503942644</v>
      </c>
      <c r="H149" s="27">
        <f>Tableau!$G$26*SIN(F149*PI()/180)+Tableau!$H$25</f>
        <v>11957.175162147614</v>
      </c>
      <c r="J149" s="34">
        <v>146</v>
      </c>
      <c r="K149" s="35">
        <f>Tableau!$G$36*COS(J149*PI()/180)+Tableau!$G$35</f>
        <v>-9145.1878627752085</v>
      </c>
      <c r="L149" s="35">
        <f>Tableau!$G$36*SIN(J149*PI()/180)+Tableau!$H$35</f>
        <v>-12204.035482646264</v>
      </c>
      <c r="N149" s="98">
        <v>145</v>
      </c>
      <c r="O149" s="99">
        <v>72.5</v>
      </c>
      <c r="P149" s="101">
        <f>P148+R148*Tableau!$G$2+((1/2)*T148)*Tableau!$G$2^2</f>
        <v>-22464.523100091352</v>
      </c>
      <c r="Q149" s="101">
        <f>Q148+S148*Tableau!$G$2+((1/2)*U148)*Tableau!$G$2^2</f>
        <v>-5522.686888878653</v>
      </c>
      <c r="R149" s="101">
        <f>R148+T148*Tableau!$G$2</f>
        <v>-7172.9994256716873</v>
      </c>
      <c r="S149" s="101">
        <f>S148+U148*Tableau!$G$2</f>
        <v>1056.0490910344934</v>
      </c>
      <c r="T149" s="101">
        <f t="shared" si="4"/>
        <v>1153.2586400325142</v>
      </c>
      <c r="U149" s="101">
        <f t="shared" si="5"/>
        <v>168.77999492402586</v>
      </c>
      <c r="V149" s="101">
        <f>((Tableau!$G$16-P149)/(AC149^2+Tableau!$G$21^2)^(3/2))*Tableau!$G$20</f>
        <v>235.60286756529464</v>
      </c>
      <c r="W149" s="101">
        <f>((Tableau!$H$16-Q149)/(AC149^2+Tableau!$G$21^2)^(3/2))*Tableau!$G$20</f>
        <v>72.252839557220312</v>
      </c>
      <c r="X149" s="101">
        <f>((Tableau!$G$25-P149)/(AD149^2+Tableau!$G$30^2)^(3/2))*Tableau!$G$29</f>
        <v>86.901475017546645</v>
      </c>
      <c r="Y149" s="101">
        <f>((Tableau!$H$25-Q149)/(AD149^2+Tableau!$G$30^2)^(3/2))*Tableau!$G$29</f>
        <v>547.34499621005227</v>
      </c>
      <c r="Z149" s="101">
        <f>((Tableau!$G$35-P149)/(AE149^2+Tableau!$G$40^2)^(3/2))*Tableau!$G$39</f>
        <v>830.75429744967289</v>
      </c>
      <c r="AA149" s="102">
        <f>((Tableau!$H$35-Q149)/(AE149^2+Tableau!$G$40^2)^(3/2))*Tableau!$G$39</f>
        <v>-450.81784084324676</v>
      </c>
      <c r="AC149" s="113">
        <f>SQRT((Tableau!$G$16-P149)^2+(Tableau!$H$16-Q149)^2)</f>
        <v>44416.507020745827</v>
      </c>
      <c r="AD149" s="114">
        <f>SQRT((Tableau!$G$25-P149)^2+(Tableau!$H$25-Q149)^2)</f>
        <v>15717.114314054254</v>
      </c>
      <c r="AE149" s="115">
        <f>SQRT((Tableau!$G$35-P149)^2+(Tableau!$H$35-Q149)^2)</f>
        <v>19870.305254823263</v>
      </c>
    </row>
    <row r="150" spans="2:31" x14ac:dyDescent="0.25">
      <c r="B150" s="20">
        <v>147</v>
      </c>
      <c r="C150" s="21">
        <f>Tableau!$G$17*COS(B150*PI()/180)+Tableau!$G$16</f>
        <v>15806.647160272878</v>
      </c>
      <c r="D150" s="21">
        <f>Tableau!$G$17*SIN(B150*PI()/180)+Tableau!$H$16</f>
        <v>10223.195175075136</v>
      </c>
      <c r="F150" s="28">
        <v>147</v>
      </c>
      <c r="G150" s="29">
        <f>Tableau!$G$26*COS(F150*PI()/180)+Tableau!$G$25</f>
        <v>-22935.346987808985</v>
      </c>
      <c r="H150" s="29">
        <f>Tableau!$G$26*SIN(F150*PI()/180)+Tableau!$H$25</f>
        <v>11906.236622552595</v>
      </c>
      <c r="J150" s="36">
        <v>147</v>
      </c>
      <c r="K150" s="37">
        <f>Tableau!$G$36*COS(J150*PI()/180)+Tableau!$G$35</f>
        <v>-9193.352839727122</v>
      </c>
      <c r="L150" s="37">
        <f>Tableau!$G$36*SIN(J150*PI()/180)+Tableau!$H$35</f>
        <v>-12276.804824924864</v>
      </c>
      <c r="N150" s="92">
        <v>146</v>
      </c>
      <c r="O150" s="93">
        <v>73</v>
      </c>
      <c r="P150" s="96">
        <f>P149+R149*Tableau!$G$2+((1/2)*T149)*Tableau!$G$2^2</f>
        <v>-25906.865482923131</v>
      </c>
      <c r="Q150" s="96">
        <f>Q149+S149*Tableau!$G$2+((1/2)*U149)*Tableau!$G$2^2</f>
        <v>-4973.5648439959023</v>
      </c>
      <c r="R150" s="96">
        <f>R149+T149*Tableau!$G$2</f>
        <v>-6596.3701056554301</v>
      </c>
      <c r="S150" s="96">
        <f>S149+U149*Tableau!$G$2</f>
        <v>1140.4390884965062</v>
      </c>
      <c r="T150" s="96">
        <f t="shared" si="4"/>
        <v>1085.3045010258681</v>
      </c>
      <c r="U150" s="96">
        <f t="shared" si="5"/>
        <v>228.05810528503486</v>
      </c>
      <c r="V150" s="96">
        <f>((Tableau!$G$16-P150)/(AC150^2+Tableau!$G$21^2)^(3/2))*Tableau!$G$20</f>
        <v>209.25332950631801</v>
      </c>
      <c r="W150" s="96">
        <f>((Tableau!$H$16-Q150)/(AC150^2+Tableau!$G$21^2)^(3/2))*Tableau!$G$20</f>
        <v>56.857181316159377</v>
      </c>
      <c r="X150" s="96">
        <f>((Tableau!$G$25-P150)/(AD150^2+Tableau!$G$30^2)^(3/2))*Tableau!$G$29</f>
        <v>196.16206106252415</v>
      </c>
      <c r="Y150" s="96">
        <f>((Tableau!$H$25-Q150)/(AD150^2+Tableau!$G$30^2)^(3/2))*Tableau!$G$29</f>
        <v>497.25956173256799</v>
      </c>
      <c r="Z150" s="96">
        <f>((Tableau!$G$35-P150)/(AE150^2+Tableau!$G$40^2)^(3/2))*Tableau!$G$39</f>
        <v>679.88911045702594</v>
      </c>
      <c r="AA150" s="97">
        <f>((Tableau!$H$35-Q150)/(AE150^2+Tableau!$G$40^2)^(3/2))*Tableau!$G$39</f>
        <v>-326.0586377636925</v>
      </c>
      <c r="AC150" s="110">
        <f>SQRT((Tableau!$G$16-P150)^2+(Tableau!$H$16-Q150)^2)</f>
        <v>47571.316130464264</v>
      </c>
      <c r="AD150" s="111">
        <f>SQRT((Tableau!$G$25-P150)^2+(Tableau!$H$25-Q150)^2)</f>
        <v>16096.543230479603</v>
      </c>
      <c r="AE150" s="112">
        <f>SQRT((Tableau!$G$35-P150)^2+(Tableau!$H$35-Q150)^2)</f>
        <v>23186.772657241403</v>
      </c>
    </row>
    <row r="151" spans="2:31" x14ac:dyDescent="0.25">
      <c r="B151" s="18">
        <v>148</v>
      </c>
      <c r="C151" s="19">
        <f>Tableau!$G$17*COS(B151*PI()/180)+Tableau!$G$16</f>
        <v>15759.759519217871</v>
      </c>
      <c r="D151" s="19">
        <f>Tableau!$G$17*SIN(B151*PI()/180)+Tableau!$H$16</f>
        <v>10149.596321166024</v>
      </c>
      <c r="F151" s="26">
        <v>148</v>
      </c>
      <c r="G151" s="27">
        <f>Tableau!$G$26*COS(F151*PI()/180)+Tableau!$G$25</f>
        <v>-22968.168336547489</v>
      </c>
      <c r="H151" s="27">
        <f>Tableau!$G$26*SIN(F151*PI()/180)+Tableau!$H$25</f>
        <v>11854.717424816217</v>
      </c>
      <c r="J151" s="34">
        <v>148</v>
      </c>
      <c r="K151" s="35">
        <f>Tableau!$G$36*COS(J151*PI()/180)+Tableau!$G$35</f>
        <v>-9240.2404807821295</v>
      </c>
      <c r="L151" s="35">
        <f>Tableau!$G$36*SIN(J151*PI()/180)+Tableau!$H$35</f>
        <v>-12350.403678833976</v>
      </c>
      <c r="N151" s="98">
        <v>147</v>
      </c>
      <c r="O151" s="99">
        <v>73.5</v>
      </c>
      <c r="P151" s="101">
        <f>P150+R150*Tableau!$G$2+((1/2)*T150)*Tableau!$G$2^2</f>
        <v>-29069.38747312261</v>
      </c>
      <c r="Q151" s="101">
        <f>Q150+S150*Tableau!$G$2+((1/2)*U150)*Tableau!$G$2^2</f>
        <v>-4374.8380365870198</v>
      </c>
      <c r="R151" s="101">
        <f>R150+T150*Tableau!$G$2</f>
        <v>-6053.7178551424959</v>
      </c>
      <c r="S151" s="101">
        <f>S150+U150*Tableau!$G$2</f>
        <v>1254.4681411390236</v>
      </c>
      <c r="T151" s="101">
        <f t="shared" si="4"/>
        <v>1015.89137327376</v>
      </c>
      <c r="U151" s="101">
        <f t="shared" si="5"/>
        <v>211.77132171238742</v>
      </c>
      <c r="V151" s="101">
        <f>((Tableau!$G$16-P151)/(AC151^2+Tableau!$G$21^2)^(3/2))*Tableau!$G$20</f>
        <v>188.46531444245281</v>
      </c>
      <c r="W151" s="101">
        <f>((Tableau!$H$16-Q151)/(AC151^2+Tableau!$G$21^2)^(3/2))*Tableau!$G$20</f>
        <v>45.608783801192075</v>
      </c>
      <c r="X151" s="101">
        <f>((Tableau!$G$25-P151)/(AD151^2+Tableau!$G$30^2)^(3/2))*Tableau!$G$29</f>
        <v>262.24556841666794</v>
      </c>
      <c r="Y151" s="101">
        <f>((Tableau!$H$25-Q151)/(AD151^2+Tableau!$G$30^2)^(3/2))*Tableau!$G$29</f>
        <v>415.65514572776027</v>
      </c>
      <c r="Z151" s="101">
        <f>((Tableau!$G$35-P151)/(AE151^2+Tableau!$G$40^2)^(3/2))*Tableau!$G$39</f>
        <v>565.18049041463928</v>
      </c>
      <c r="AA151" s="102">
        <f>((Tableau!$H$35-Q151)/(AE151^2+Tableau!$G$40^2)^(3/2))*Tableau!$G$39</f>
        <v>-249.49260781656494</v>
      </c>
      <c r="AC151" s="113">
        <f>SQRT((Tableau!$G$16-P151)^2+(Tableau!$H$16-Q151)^2)</f>
        <v>50485.805583179674</v>
      </c>
      <c r="AD151" s="114">
        <f>SQRT((Tableau!$G$25-P151)^2+(Tableau!$H$25-Q151)^2)</f>
        <v>16996.757270601422</v>
      </c>
      <c r="AE151" s="115">
        <f>SQRT((Tableau!$G$35-P151)^2+(Tableau!$H$35-Q151)^2)</f>
        <v>26310.25427623362</v>
      </c>
    </row>
    <row r="152" spans="2:31" x14ac:dyDescent="0.25">
      <c r="B152" s="20">
        <v>149</v>
      </c>
      <c r="C152" s="21">
        <f>Tableau!$G$17*COS(B152*PI()/180)+Tableau!$G$16</f>
        <v>15714.16349648944</v>
      </c>
      <c r="D152" s="21">
        <f>Tableau!$G$17*SIN(B152*PI()/180)+Tableau!$H$16</f>
        <v>10075.190374550271</v>
      </c>
      <c r="F152" s="28">
        <v>149</v>
      </c>
      <c r="G152" s="29">
        <f>Tableau!$G$26*COS(F152*PI()/180)+Tableau!$G$25</f>
        <v>-23000.085552457393</v>
      </c>
      <c r="H152" s="29">
        <f>Tableau!$G$26*SIN(F152*PI()/180)+Tableau!$H$25</f>
        <v>11802.633262185191</v>
      </c>
      <c r="J152" s="36">
        <v>149</v>
      </c>
      <c r="K152" s="37">
        <f>Tableau!$G$36*COS(J152*PI()/180)+Tableau!$G$35</f>
        <v>-9285.8365035105599</v>
      </c>
      <c r="L152" s="37">
        <f>Tableau!$G$36*SIN(J152*PI()/180)+Tableau!$H$35</f>
        <v>-12424.809625449729</v>
      </c>
      <c r="N152" s="92">
        <v>148</v>
      </c>
      <c r="O152" s="93">
        <v>74</v>
      </c>
      <c r="P152" s="96">
        <f>P151+R151*Tableau!$G$2+((1/2)*T151)*Tableau!$G$2^2</f>
        <v>-31969.259979034636</v>
      </c>
      <c r="Q152" s="96">
        <f>Q151+S151*Tableau!$G$2+((1/2)*U151)*Tableau!$G$2^2</f>
        <v>-3721.1325508034593</v>
      </c>
      <c r="R152" s="96">
        <f>R151+T151*Tableau!$G$2</f>
        <v>-5545.7721685056158</v>
      </c>
      <c r="S152" s="96">
        <f>S151+U151*Tableau!$G$2</f>
        <v>1360.3538019952173</v>
      </c>
      <c r="T152" s="96">
        <f t="shared" si="4"/>
        <v>940.25620263270889</v>
      </c>
      <c r="U152" s="96">
        <f t="shared" si="5"/>
        <v>168.82877987532294</v>
      </c>
      <c r="V152" s="96">
        <f>((Tableau!$G$16-P152)/(AC152^2+Tableau!$G$21^2)^(3/2))*Tableau!$G$20</f>
        <v>171.85963376731937</v>
      </c>
      <c r="W152" s="96">
        <f>((Tableau!$H$16-Q152)/(AC152^2+Tableau!$G$21^2)^(3/2))*Tableau!$G$20</f>
        <v>37.107700425474697</v>
      </c>
      <c r="X152" s="96">
        <f>((Tableau!$G$25-P152)/(AD152^2+Tableau!$G$30^2)^(3/2))*Tableau!$G$29</f>
        <v>289.58237934791913</v>
      </c>
      <c r="Y152" s="96">
        <f>((Tableau!$H$25-Q152)/(AD152^2+Tableau!$G$30^2)^(3/2))*Tableau!$G$29</f>
        <v>331.96690675694697</v>
      </c>
      <c r="Z152" s="96">
        <f>((Tableau!$G$35-P152)/(AE152^2+Tableau!$G$40^2)^(3/2))*Tableau!$G$39</f>
        <v>478.81418951747031</v>
      </c>
      <c r="AA152" s="97">
        <f>((Tableau!$H$35-Q152)/(AE152^2+Tableau!$G$40^2)^(3/2))*Tableau!$G$39</f>
        <v>-200.24582730709875</v>
      </c>
      <c r="AC152" s="110">
        <f>SQRT((Tableau!$G$16-P152)^2+(Tableau!$H$16-Q152)^2)</f>
        <v>53166.886296746699</v>
      </c>
      <c r="AD152" s="111">
        <f>SQRT((Tableau!$G$25-P152)^2+(Tableau!$H$25-Q152)^2)</f>
        <v>18208.038415008861</v>
      </c>
      <c r="AE152" s="112">
        <f>SQRT((Tableau!$G$35-P152)^2+(Tableau!$H$35-Q152)^2)</f>
        <v>29232.752774128276</v>
      </c>
    </row>
    <row r="153" spans="2:31" x14ac:dyDescent="0.25">
      <c r="B153" s="18">
        <v>150</v>
      </c>
      <c r="C153" s="19">
        <f>Tableau!$G$17*COS(B153*PI()/180)+Tableau!$G$16</f>
        <v>15669.872981077806</v>
      </c>
      <c r="D153" s="19">
        <f>Tableau!$G$17*SIN(B153*PI()/180)+Tableau!$H$16</f>
        <v>10000</v>
      </c>
      <c r="F153" s="26">
        <v>150</v>
      </c>
      <c r="G153" s="27">
        <f>Tableau!$G$26*COS(F153*PI()/180)+Tableau!$G$25</f>
        <v>-23031.088913245534</v>
      </c>
      <c r="H153" s="27">
        <f>Tableau!$G$26*SIN(F153*PI()/180)+Tableau!$H$25</f>
        <v>11750</v>
      </c>
      <c r="J153" s="34">
        <v>150</v>
      </c>
      <c r="K153" s="35">
        <f>Tableau!$G$36*COS(J153*PI()/180)+Tableau!$G$35</f>
        <v>-9330.1270189221941</v>
      </c>
      <c r="L153" s="35">
        <f>Tableau!$G$36*SIN(J153*PI()/180)+Tableau!$H$35</f>
        <v>-12500</v>
      </c>
      <c r="N153" s="98">
        <v>149</v>
      </c>
      <c r="O153" s="99">
        <v>74.5</v>
      </c>
      <c r="P153" s="101">
        <f>P152+R152*Tableau!$G$2+((1/2)*T152)*Tableau!$G$2^2</f>
        <v>-34624.614037958352</v>
      </c>
      <c r="Q153" s="101">
        <f>Q152+S152*Tableau!$G$2+((1/2)*U152)*Tableau!$G$2^2</f>
        <v>-3019.8520523214352</v>
      </c>
      <c r="R153" s="101">
        <f>R152+T152*Tableau!$G$2</f>
        <v>-5075.6440671892615</v>
      </c>
      <c r="S153" s="101">
        <f>S152+U152*Tableau!$G$2</f>
        <v>1444.7681919328788</v>
      </c>
      <c r="T153" s="101">
        <f t="shared" si="4"/>
        <v>863.72474620513344</v>
      </c>
      <c r="U153" s="101">
        <f t="shared" si="5"/>
        <v>123.47129059255286</v>
      </c>
      <c r="V153" s="101">
        <f>((Tableau!$G$16-P153)/(AC153^2+Tableau!$G$21^2)^(3/2))*Tableau!$G$20</f>
        <v>158.40885468699614</v>
      </c>
      <c r="W153" s="101">
        <f>((Tableau!$H$16-Q153)/(AC153^2+Tableau!$G$21^2)^(3/2))*Tableau!$G$20</f>
        <v>30.507084478928959</v>
      </c>
      <c r="X153" s="101">
        <f>((Tableau!$G$25-P153)/(AD153^2+Tableau!$G$30^2)^(3/2))*Tableau!$G$29</f>
        <v>292.11565351456602</v>
      </c>
      <c r="Y153" s="101">
        <f>((Tableau!$H$25-Q153)/(AD153^2+Tableau!$G$30^2)^(3/2))*Tableau!$G$29</f>
        <v>260.06174118888367</v>
      </c>
      <c r="Z153" s="101">
        <f>((Tableau!$G$35-P153)/(AE153^2+Tableau!$G$40^2)^(3/2))*Tableau!$G$39</f>
        <v>413.20023800357131</v>
      </c>
      <c r="AA153" s="102">
        <f>((Tableau!$H$35-Q153)/(AE153^2+Tableau!$G$40^2)^(3/2))*Tableau!$G$39</f>
        <v>-167.09753507525977</v>
      </c>
      <c r="AC153" s="113">
        <f>SQRT((Tableau!$G$16-P153)^2+(Tableau!$H$16-Q153)^2)</f>
        <v>55628.37177195328</v>
      </c>
      <c r="AD153" s="114">
        <f>SQRT((Tableau!$G$25-P153)^2+(Tableau!$H$25-Q153)^2)</f>
        <v>19580.497522371261</v>
      </c>
      <c r="AE153" s="115">
        <f>SQRT((Tableau!$G$35-P153)^2+(Tableau!$H$35-Q153)^2)</f>
        <v>31955.30788063645</v>
      </c>
    </row>
    <row r="154" spans="2:31" x14ac:dyDescent="0.25">
      <c r="B154" s="20">
        <v>151</v>
      </c>
      <c r="C154" s="21">
        <f>Tableau!$G$17*COS(B154*PI()/180)+Tableau!$G$16</f>
        <v>15626.90146430302</v>
      </c>
      <c r="D154" s="21">
        <f>Tableau!$G$17*SIN(B154*PI()/180)+Tableau!$H$16</f>
        <v>9924.048101231685</v>
      </c>
      <c r="F154" s="28">
        <v>151</v>
      </c>
      <c r="G154" s="29">
        <f>Tableau!$G$26*COS(F154*PI()/180)+Tableau!$G$25</f>
        <v>-23061.168974987886</v>
      </c>
      <c r="H154" s="29">
        <f>Tableau!$G$26*SIN(F154*PI()/180)+Tableau!$H$25</f>
        <v>11696.833670862179</v>
      </c>
      <c r="J154" s="36">
        <v>151</v>
      </c>
      <c r="K154" s="37">
        <f>Tableau!$G$36*COS(J154*PI()/180)+Tableau!$G$35</f>
        <v>-9373.0985356969795</v>
      </c>
      <c r="L154" s="37">
        <f>Tableau!$G$36*SIN(J154*PI()/180)+Tableau!$H$35</f>
        <v>-12575.951898768315</v>
      </c>
      <c r="N154" s="92">
        <v>150</v>
      </c>
      <c r="O154" s="93">
        <v>75</v>
      </c>
      <c r="P154" s="96">
        <f>P153+R153*Tableau!$G$2+((1/2)*T153)*Tableau!$G$2^2</f>
        <v>-37054.470478277341</v>
      </c>
      <c r="Q154" s="96">
        <f>Q153+S153*Tableau!$G$2+((1/2)*U153)*Tableau!$G$2^2</f>
        <v>-2282.0340450309268</v>
      </c>
      <c r="R154" s="96">
        <f>R153+T153*Tableau!$G$2</f>
        <v>-4643.7816940866951</v>
      </c>
      <c r="S154" s="96">
        <f>S153+U153*Tableau!$G$2</f>
        <v>1506.5038372291554</v>
      </c>
      <c r="T154" s="96">
        <f t="shared" si="4"/>
        <v>791.70577992808239</v>
      </c>
      <c r="U154" s="96">
        <f t="shared" si="5"/>
        <v>84.337474188617506</v>
      </c>
      <c r="V154" s="96">
        <f>((Tableau!$G$16-P154)/(AC154^2+Tableau!$G$21^2)^(3/2))*Tableau!$G$20</f>
        <v>147.3633854251984</v>
      </c>
      <c r="W154" s="96">
        <f>((Tableau!$H$16-Q154)/(AC154^2+Tableau!$G$21^2)^(3/2))*Tableau!$G$20</f>
        <v>25.265568870175397</v>
      </c>
      <c r="X154" s="96">
        <f>((Tableau!$G$25-P154)/(AD154^2+Tableau!$G$30^2)^(3/2))*Tableau!$G$29</f>
        <v>281.77501573128751</v>
      </c>
      <c r="Y154" s="96">
        <f>((Tableau!$H$25-Q154)/(AD154^2+Tableau!$G$30^2)^(3/2))*Tableau!$G$29</f>
        <v>202.92452589828918</v>
      </c>
      <c r="Z154" s="96">
        <f>((Tableau!$G$35-P154)/(AE154^2+Tableau!$G$40^2)^(3/2))*Tableau!$G$39</f>
        <v>362.56737877159645</v>
      </c>
      <c r="AA154" s="97">
        <f>((Tableau!$H$35-Q154)/(AE154^2+Tableau!$G$40^2)^(3/2))*Tableau!$G$39</f>
        <v>-143.85262057984707</v>
      </c>
      <c r="AC154" s="110">
        <f>SQRT((Tableau!$G$16-P154)^2+(Tableau!$H$16-Q154)^2)</f>
        <v>57886.965645253549</v>
      </c>
      <c r="AD154" s="111">
        <f>SQRT((Tableau!$G$25-P154)^2+(Tableau!$H$25-Q154)^2)</f>
        <v>21016.739128079123</v>
      </c>
      <c r="AE154" s="112">
        <f>SQRT((Tableau!$G$35-P154)^2+(Tableau!$H$35-Q154)^2)</f>
        <v>34485.297384168021</v>
      </c>
    </row>
    <row r="155" spans="2:31" x14ac:dyDescent="0.25">
      <c r="B155" s="18">
        <v>152</v>
      </c>
      <c r="C155" s="19">
        <f>Tableau!$G$17*COS(B155*PI()/180)+Tableau!$G$16</f>
        <v>15585.262035705367</v>
      </c>
      <c r="D155" s="19">
        <f>Tableau!$G$17*SIN(B155*PI()/180)+Tableau!$H$16</f>
        <v>9847.357813929455</v>
      </c>
      <c r="F155" s="26">
        <v>152</v>
      </c>
      <c r="G155" s="27">
        <f>Tableau!$G$26*COS(F155*PI()/180)+Tableau!$G$25</f>
        <v>-23090.316575006244</v>
      </c>
      <c r="H155" s="27">
        <f>Tableau!$G$26*SIN(F155*PI()/180)+Tableau!$H$25</f>
        <v>11643.150469750619</v>
      </c>
      <c r="J155" s="34">
        <v>152</v>
      </c>
      <c r="K155" s="35">
        <f>Tableau!$G$36*COS(J155*PI()/180)+Tableau!$G$35</f>
        <v>-9414.7379642946325</v>
      </c>
      <c r="L155" s="35">
        <f>Tableau!$G$36*SIN(J155*PI()/180)+Tableau!$H$35</f>
        <v>-12652.642186070545</v>
      </c>
      <c r="N155" s="98">
        <v>151</v>
      </c>
      <c r="O155" s="99">
        <v>75.5</v>
      </c>
      <c r="P155" s="101">
        <f>P154+R154*Tableau!$G$2+((1/2)*T154)*Tableau!$G$2^2</f>
        <v>-39277.398102829677</v>
      </c>
      <c r="Q155" s="101">
        <f>Q154+S154*Tableau!$G$2+((1/2)*U154)*Tableau!$G$2^2</f>
        <v>-1518.2399421427717</v>
      </c>
      <c r="R155" s="101">
        <f>R154+T154*Tableau!$G$2</f>
        <v>-4247.9288041226537</v>
      </c>
      <c r="S155" s="101">
        <f>S154+U154*Tableau!$G$2</f>
        <v>1548.672574323464</v>
      </c>
      <c r="T155" s="101">
        <f t="shared" si="4"/>
        <v>727.01283452434132</v>
      </c>
      <c r="U155" s="101">
        <f t="shared" si="5"/>
        <v>53.001879389877303</v>
      </c>
      <c r="V155" s="101">
        <f>((Tableau!$G$16-P155)/(AC155^2+Tableau!$G$21^2)^(3/2))*Tableau!$G$20</f>
        <v>138.1788772631611</v>
      </c>
      <c r="W155" s="101">
        <f>((Tableau!$H$16-Q155)/(AC155^2+Tableau!$G$21^2)^(3/2))*Tableau!$G$20</f>
        <v>21.022013616950531</v>
      </c>
      <c r="X155" s="101">
        <f>((Tableau!$G$25-P155)/(AD155^2+Tableau!$G$30^2)^(3/2))*Tableau!$G$29</f>
        <v>266.02004678345736</v>
      </c>
      <c r="Y155" s="101">
        <f>((Tableau!$H$25-Q155)/(AD155^2+Tableau!$G$30^2)^(3/2))*Tableau!$G$29</f>
        <v>158.9469031000682</v>
      </c>
      <c r="Z155" s="101">
        <f>((Tableau!$G$35-P155)/(AE155^2+Tableau!$G$40^2)^(3/2))*Tableau!$G$39</f>
        <v>322.8139104777228</v>
      </c>
      <c r="AA155" s="102">
        <f>((Tableau!$H$35-Q155)/(AE155^2+Tableau!$G$40^2)^(3/2))*Tableau!$G$39</f>
        <v>-126.96703732714141</v>
      </c>
      <c r="AC155" s="113">
        <f>SQRT((Tableau!$G$16-P155)^2+(Tableau!$H$16-Q155)^2)</f>
        <v>59959.474459800054</v>
      </c>
      <c r="AD155" s="114">
        <f>SQRT((Tableau!$G$25-P155)^2+(Tableau!$H$25-Q155)^2)</f>
        <v>22456.356093092094</v>
      </c>
      <c r="AE155" s="115">
        <f>SQRT((Tableau!$G$35-P155)^2+(Tableau!$H$35-Q155)^2)</f>
        <v>36833.379901354507</v>
      </c>
    </row>
    <row r="156" spans="2:31" x14ac:dyDescent="0.25">
      <c r="B156" s="20">
        <v>153</v>
      </c>
      <c r="C156" s="21">
        <f>Tableau!$G$17*COS(B156*PI()/180)+Tableau!$G$16</f>
        <v>15544.967379058162</v>
      </c>
      <c r="D156" s="21">
        <f>Tableau!$G$17*SIN(B156*PI()/180)+Tableau!$H$16</f>
        <v>9769.952498697734</v>
      </c>
      <c r="F156" s="28">
        <v>153</v>
      </c>
      <c r="G156" s="29">
        <f>Tableau!$G$26*COS(F156*PI()/180)+Tableau!$G$25</f>
        <v>-23118.522834659288</v>
      </c>
      <c r="H156" s="29">
        <f>Tableau!$G$26*SIN(F156*PI()/180)+Tableau!$H$25</f>
        <v>11588.966749088413</v>
      </c>
      <c r="J156" s="36">
        <v>153</v>
      </c>
      <c r="K156" s="37">
        <f>Tableau!$G$36*COS(J156*PI()/180)+Tableau!$G$35</f>
        <v>-9455.0326209418381</v>
      </c>
      <c r="L156" s="37">
        <f>Tableau!$G$36*SIN(J156*PI()/180)+Tableau!$H$35</f>
        <v>-12730.047501302266</v>
      </c>
      <c r="N156" s="92">
        <v>152</v>
      </c>
      <c r="O156" s="93">
        <v>76</v>
      </c>
      <c r="P156" s="96">
        <f>P155+R155*Tableau!$G$2+((1/2)*T155)*Tableau!$G$2^2</f>
        <v>-41310.485900575462</v>
      </c>
      <c r="Q156" s="96">
        <f>Q155+S155*Tableau!$G$2+((1/2)*U155)*Tableau!$G$2^2</f>
        <v>-737.27842005730508</v>
      </c>
      <c r="R156" s="96">
        <f>R155+T155*Tableau!$G$2</f>
        <v>-3884.4223868604831</v>
      </c>
      <c r="S156" s="96">
        <f>S155+U155*Tableau!$G$2</f>
        <v>1575.1735140184026</v>
      </c>
      <c r="T156" s="96">
        <f t="shared" si="4"/>
        <v>670.39197650150459</v>
      </c>
      <c r="U156" s="96">
        <f t="shared" si="5"/>
        <v>28.58159793829185</v>
      </c>
      <c r="V156" s="96">
        <f>((Tableau!$G$16-P156)/(AC156^2+Tableau!$G$21^2)^(3/2))*Tableau!$G$20</f>
        <v>130.45793181662637</v>
      </c>
      <c r="W156" s="96">
        <f>((Tableau!$H$16-Q156)/(AC156^2+Tableau!$G$21^2)^(3/2))*Tableau!$G$20</f>
        <v>17.527479854279171</v>
      </c>
      <c r="X156" s="96">
        <f>((Tableau!$G$25-P156)/(AD156^2+Tableau!$G$30^2)^(3/2))*Tableau!$G$29</f>
        <v>248.85967500903675</v>
      </c>
      <c r="Y156" s="96">
        <f>((Tableau!$H$25-Q156)/(AD156^2+Tableau!$G$30^2)^(3/2))*Tableau!$G$29</f>
        <v>125.38783163197834</v>
      </c>
      <c r="Z156" s="96">
        <f>((Tableau!$G$35-P156)/(AE156^2+Tableau!$G$40^2)^(3/2))*Tableau!$G$39</f>
        <v>291.07436967584141</v>
      </c>
      <c r="AA156" s="97">
        <f>((Tableau!$H$35-Q156)/(AE156^2+Tableau!$G$40^2)^(3/2))*Tableau!$G$39</f>
        <v>-114.33371354796566</v>
      </c>
      <c r="AC156" s="110">
        <f>SQRT((Tableau!$G$16-P156)^2+(Tableau!$H$16-Q156)^2)</f>
        <v>61861.364656255399</v>
      </c>
      <c r="AD156" s="111">
        <f>SQRT((Tableau!$G$25-P156)^2+(Tableau!$H$25-Q156)^2)</f>
        <v>23862.647740526489</v>
      </c>
      <c r="AE156" s="112">
        <f>SQRT((Tableau!$G$35-P156)^2+(Tableau!$H$35-Q156)^2)</f>
        <v>39011.237011954036</v>
      </c>
    </row>
    <row r="157" spans="2:31" x14ac:dyDescent="0.25">
      <c r="B157" s="18">
        <v>154</v>
      </c>
      <c r="C157" s="19">
        <f>Tableau!$G$17*COS(B157*PI()/180)+Tableau!$G$16</f>
        <v>15506.029768504166</v>
      </c>
      <c r="D157" s="19">
        <f>Tableau!$G$17*SIN(B157*PI()/180)+Tableau!$H$16</f>
        <v>9691.8557339453873</v>
      </c>
      <c r="F157" s="26">
        <v>154</v>
      </c>
      <c r="G157" s="27">
        <f>Tableau!$G$26*COS(F157*PI()/180)+Tableau!$G$25</f>
        <v>-23145.779162047085</v>
      </c>
      <c r="H157" s="27">
        <f>Tableau!$G$26*SIN(F157*PI()/180)+Tableau!$H$25</f>
        <v>11534.299013761771</v>
      </c>
      <c r="J157" s="34">
        <v>154</v>
      </c>
      <c r="K157" s="35">
        <f>Tableau!$G$36*COS(J157*PI()/180)+Tableau!$G$35</f>
        <v>-9493.970231495834</v>
      </c>
      <c r="L157" s="35">
        <f>Tableau!$G$36*SIN(J157*PI()/180)+Tableau!$H$35</f>
        <v>-12808.144266054613</v>
      </c>
      <c r="N157" s="98">
        <v>153</v>
      </c>
      <c r="O157" s="99">
        <v>76.5</v>
      </c>
      <c r="P157" s="101">
        <f>P156+R156*Tableau!$G$2+((1/2)*T156)*Tableau!$G$2^2</f>
        <v>-43168.898096943019</v>
      </c>
      <c r="Q157" s="101">
        <f>Q156+S156*Tableau!$G$2+((1/2)*U156)*Tableau!$G$2^2</f>
        <v>53.881036694182676</v>
      </c>
      <c r="R157" s="101">
        <f>R156+T156*Tableau!$G$2</f>
        <v>-3549.2263986097309</v>
      </c>
      <c r="S157" s="101">
        <f>S156+U156*Tableau!$G$2</f>
        <v>1589.4643129875485</v>
      </c>
      <c r="T157" s="101">
        <f t="shared" si="4"/>
        <v>621.48212587158491</v>
      </c>
      <c r="U157" s="101">
        <f t="shared" si="5"/>
        <v>9.6498854478732596</v>
      </c>
      <c r="V157" s="101">
        <f>((Tableau!$G$16-P157)/(AC157^2+Tableau!$G$21^2)^(3/2))*Tableau!$G$20</f>
        <v>123.90720826377297</v>
      </c>
      <c r="W157" s="101">
        <f>((Tableau!$H$16-Q157)/(AC157^2+Tableau!$G$21^2)^(3/2))*Tableau!$G$20</f>
        <v>14.605729099900394</v>
      </c>
      <c r="X157" s="101">
        <f>((Tableau!$G$25-P157)/(AD157^2+Tableau!$G$30^2)^(3/2))*Tableau!$G$29</f>
        <v>232.23390879574347</v>
      </c>
      <c r="Y157" s="101">
        <f>((Tableau!$H$25-Q157)/(AD157^2+Tableau!$G$30^2)^(3/2))*Tableau!$G$29</f>
        <v>99.695120351914511</v>
      </c>
      <c r="Z157" s="101">
        <f>((Tableau!$G$35-P157)/(AE157^2+Tableau!$G$40^2)^(3/2))*Tableau!$G$39</f>
        <v>265.34100881206842</v>
      </c>
      <c r="AA157" s="102">
        <f>((Tableau!$H$35-Q157)/(AE157^2+Tableau!$G$40^2)^(3/2))*Tableau!$G$39</f>
        <v>-104.65096400394165</v>
      </c>
      <c r="AC157" s="113">
        <f>SQRT((Tableau!$G$16-P157)^2+(Tableau!$H$16-Q157)^2)</f>
        <v>63606.244775160827</v>
      </c>
      <c r="AD157" s="114">
        <f>SQRT((Tableau!$G$25-P157)^2+(Tableau!$H$25-Q157)^2)</f>
        <v>25213.550354100502</v>
      </c>
      <c r="AE157" s="115">
        <f>SQRT((Tableau!$G$35-P157)^2+(Tableau!$H$35-Q157)^2)</f>
        <v>41030.282916423588</v>
      </c>
    </row>
    <row r="158" spans="2:31" x14ac:dyDescent="0.25">
      <c r="B158" s="20">
        <v>155</v>
      </c>
      <c r="C158" s="21">
        <f>Tableau!$G$17*COS(B158*PI()/180)+Tableau!$G$16</f>
        <v>15468.461064816751</v>
      </c>
      <c r="D158" s="21">
        <f>Tableau!$G$17*SIN(B158*PI()/180)+Tableau!$H$16</f>
        <v>9613.0913087034969</v>
      </c>
      <c r="F158" s="28">
        <v>155</v>
      </c>
      <c r="G158" s="29">
        <f>Tableau!$G$26*COS(F158*PI()/180)+Tableau!$G$25</f>
        <v>-23172.077254628275</v>
      </c>
      <c r="H158" s="29">
        <f>Tableau!$G$26*SIN(F158*PI()/180)+Tableau!$H$25</f>
        <v>11479.163916092448</v>
      </c>
      <c r="J158" s="36">
        <v>155</v>
      </c>
      <c r="K158" s="37">
        <f>Tableau!$G$36*COS(J158*PI()/180)+Tableau!$G$35</f>
        <v>-9531.5389351832491</v>
      </c>
      <c r="L158" s="37">
        <f>Tableau!$G$36*SIN(J158*PI()/180)+Tableau!$H$35</f>
        <v>-12886.908691296503</v>
      </c>
      <c r="N158" s="92">
        <v>154</v>
      </c>
      <c r="O158" s="93">
        <v>77</v>
      </c>
      <c r="P158" s="96">
        <f>P157+R157*Tableau!$G$2+((1/2)*T157)*Tableau!$G$2^2</f>
        <v>-44865.826030513934</v>
      </c>
      <c r="Q158" s="96">
        <f>Q157+S157*Tableau!$G$2+((1/2)*U157)*Tableau!$G$2^2</f>
        <v>849.81942886894103</v>
      </c>
      <c r="R158" s="96">
        <f>R157+T157*Tableau!$G$2</f>
        <v>-3238.4853356739386</v>
      </c>
      <c r="S158" s="96">
        <f>S157+U157*Tableau!$G$2</f>
        <v>1594.2892557114851</v>
      </c>
      <c r="T158" s="96">
        <f t="shared" si="4"/>
        <v>579.47040507144379</v>
      </c>
      <c r="U158" s="96">
        <f t="shared" si="5"/>
        <v>-5.113791294742569</v>
      </c>
      <c r="V158" s="96">
        <f>((Tableau!$G$16-P158)/(AC158^2+Tableau!$G$21^2)^(3/2))*Tableau!$G$20</f>
        <v>118.3071903034991</v>
      </c>
      <c r="W158" s="96">
        <f>((Tableau!$H$16-Q158)/(AC158^2+Tableau!$G$21^2)^(3/2))*Tableau!$G$20</f>
        <v>12.129101354715315</v>
      </c>
      <c r="X158" s="96">
        <f>((Tableau!$G$25-P158)/(AD158^2+Tableau!$G$30^2)^(3/2))*Tableau!$G$29</f>
        <v>216.97279025735716</v>
      </c>
      <c r="Y158" s="96">
        <f>((Tableau!$H$25-Q158)/(AD158^2+Tableau!$G$30^2)^(3/2))*Tableau!$G$29</f>
        <v>79.842117749905711</v>
      </c>
      <c r="Z158" s="96">
        <f>((Tableau!$G$35-P158)/(AE158^2+Tableau!$G$40^2)^(3/2))*Tableau!$G$39</f>
        <v>244.19042451058758</v>
      </c>
      <c r="AA158" s="97">
        <f>((Tableau!$H$35-Q158)/(AE158^2+Tableau!$G$40^2)^(3/2))*Tableau!$G$39</f>
        <v>-97.085010399363597</v>
      </c>
      <c r="AC158" s="110">
        <f>SQRT((Tableau!$G$16-P158)^2+(Tableau!$H$16-Q158)^2)</f>
        <v>65205.830170695233</v>
      </c>
      <c r="AD158" s="111">
        <f>SQRT((Tableau!$G$25-P158)^2+(Tableau!$H$25-Q158)^2)</f>
        <v>26495.945136267335</v>
      </c>
      <c r="AE158" s="112">
        <f>SQRT((Tableau!$G$35-P158)^2+(Tableau!$H$35-Q158)^2)</f>
        <v>42901.0589732113</v>
      </c>
    </row>
    <row r="159" spans="2:31" x14ac:dyDescent="0.25">
      <c r="B159" s="18">
        <v>156</v>
      </c>
      <c r="C159" s="19">
        <f>Tableau!$G$17*COS(B159*PI()/180)+Tableau!$G$16</f>
        <v>15432.272711786996</v>
      </c>
      <c r="D159" s="19">
        <f>Tableau!$G$17*SIN(B159*PI()/180)+Tableau!$H$16</f>
        <v>9533.6832153790019</v>
      </c>
      <c r="F159" s="26">
        <v>156</v>
      </c>
      <c r="G159" s="27">
        <f>Tableau!$G$26*COS(F159*PI()/180)+Tableau!$G$25</f>
        <v>-23197.409101749101</v>
      </c>
      <c r="H159" s="27">
        <f>Tableau!$G$26*SIN(F159*PI()/180)+Tableau!$H$25</f>
        <v>11423.578250765302</v>
      </c>
      <c r="J159" s="34">
        <v>156</v>
      </c>
      <c r="K159" s="35">
        <f>Tableau!$G$36*COS(J159*PI()/180)+Tableau!$G$35</f>
        <v>-9567.7272882130037</v>
      </c>
      <c r="L159" s="35">
        <f>Tableau!$G$36*SIN(J159*PI()/180)+Tableau!$H$35</f>
        <v>-12966.316784620998</v>
      </c>
      <c r="N159" s="98">
        <v>155</v>
      </c>
      <c r="O159" s="99">
        <v>77.5</v>
      </c>
      <c r="P159" s="101">
        <f>P158+R158*Tableau!$G$2+((1/2)*T158)*Tableau!$G$2^2</f>
        <v>-46412.634897716969</v>
      </c>
      <c r="Q159" s="101">
        <f>Q158+S158*Tableau!$G$2+((1/2)*U158)*Tableau!$G$2^2</f>
        <v>1646.3248328128407</v>
      </c>
      <c r="R159" s="101">
        <f>R158+T158*Tableau!$G$2</f>
        <v>-2948.7501331382168</v>
      </c>
      <c r="S159" s="101">
        <f>S158+U158*Tableau!$G$2</f>
        <v>1591.7323600641139</v>
      </c>
      <c r="T159" s="101">
        <f t="shared" si="4"/>
        <v>543.43764252632729</v>
      </c>
      <c r="U159" s="101">
        <f t="shared" si="5"/>
        <v>-16.766400593881784</v>
      </c>
      <c r="V159" s="101">
        <f>((Tableau!$G$16-P159)/(AC159^2+Tableau!$G$21^2)^(3/2))*Tableau!$G$20</f>
        <v>113.4912347941073</v>
      </c>
      <c r="W159" s="101">
        <f>((Tableau!$H$16-Q159)/(AC159^2+Tableau!$G$21^2)^(3/2))*Tableau!$G$20</f>
        <v>10.003229413060236</v>
      </c>
      <c r="X159" s="101">
        <f>((Tableau!$G$25-P159)/(AD159^2+Tableau!$G$30^2)^(3/2))*Tableau!$G$29</f>
        <v>203.34854188183419</v>
      </c>
      <c r="Y159" s="101">
        <f>((Tableau!$H$25-Q159)/(AD159^2+Tableau!$G$30^2)^(3/2))*Tableau!$G$29</f>
        <v>64.314206862747639</v>
      </c>
      <c r="Z159" s="101">
        <f>((Tableau!$G$35-P159)/(AE159^2+Tableau!$G$40^2)^(3/2))*Tableau!$G$39</f>
        <v>226.59786585038583</v>
      </c>
      <c r="AA159" s="102">
        <f>((Tableau!$H$35-Q159)/(AE159^2+Tableau!$G$40^2)^(3/2))*Tableau!$G$39</f>
        <v>-91.083836869689662</v>
      </c>
      <c r="AC159" s="113">
        <f>SQRT((Tableau!$G$16-P159)^2+(Tableau!$H$16-Q159)^2)</f>
        <v>66670.110147054642</v>
      </c>
      <c r="AD159" s="114">
        <f>SQRT((Tableau!$G$25-P159)^2+(Tableau!$H$25-Q159)^2)</f>
        <v>27702.187116525216</v>
      </c>
      <c r="AE159" s="115">
        <f>SQRT((Tableau!$G$35-P159)^2+(Tableau!$H$35-Q159)^2)</f>
        <v>44633.019835219835</v>
      </c>
    </row>
    <row r="160" spans="2:31" x14ac:dyDescent="0.25">
      <c r="B160" s="20">
        <v>157</v>
      </c>
      <c r="C160" s="21">
        <f>Tableau!$G$17*COS(B160*PI()/180)+Tableau!$G$16</f>
        <v>15397.475732737799</v>
      </c>
      <c r="D160" s="21">
        <f>Tableau!$G$17*SIN(B160*PI()/180)+Tableau!$H$16</f>
        <v>9453.6556424463706</v>
      </c>
      <c r="F160" s="28">
        <v>157</v>
      </c>
      <c r="G160" s="29">
        <f>Tableau!$G$26*COS(F160*PI()/180)+Tableau!$G$25</f>
        <v>-23221.766987083542</v>
      </c>
      <c r="H160" s="29">
        <f>Tableau!$G$26*SIN(F160*PI()/180)+Tableau!$H$25</f>
        <v>11367.55894971246</v>
      </c>
      <c r="J160" s="36">
        <v>157</v>
      </c>
      <c r="K160" s="37">
        <f>Tableau!$G$36*COS(J160*PI()/180)+Tableau!$G$35</f>
        <v>-9602.5242672622007</v>
      </c>
      <c r="L160" s="37">
        <f>Tableau!$G$36*SIN(J160*PI()/180)+Tableau!$H$35</f>
        <v>-13046.344357553629</v>
      </c>
      <c r="N160" s="92">
        <v>156</v>
      </c>
      <c r="O160" s="93">
        <v>78</v>
      </c>
      <c r="P160" s="96">
        <f>P159+R159*Tableau!$G$2+((1/2)*T159)*Tableau!$G$2^2</f>
        <v>-47819.080258970287</v>
      </c>
      <c r="Q160" s="96">
        <f>Q159+S159*Tableau!$G$2+((1/2)*U159)*Tableau!$G$2^2</f>
        <v>2440.0952127706623</v>
      </c>
      <c r="R160" s="96">
        <f>R159+T159*Tableau!$G$2</f>
        <v>-2677.0313118750532</v>
      </c>
      <c r="S160" s="96">
        <f>S159+U159*Tableau!$G$2</f>
        <v>1583.349159767173</v>
      </c>
      <c r="T160" s="96">
        <f t="shared" si="4"/>
        <v>512.51362554948344</v>
      </c>
      <c r="U160" s="96">
        <f t="shared" si="5"/>
        <v>-26.108892691996388</v>
      </c>
      <c r="V160" s="96">
        <f>((Tableau!$G$16-P160)/(AC160^2+Tableau!$G$21^2)^(3/2))*Tableau!$G$20</f>
        <v>109.33107630798455</v>
      </c>
      <c r="W160" s="96">
        <f>((Tableau!$H$16-Q160)/(AC160^2+Tableau!$G$21^2)^(3/2))*Tableau!$G$20</f>
        <v>8.1570678088123394</v>
      </c>
      <c r="X160" s="96">
        <f>((Tableau!$G$25-P160)/(AD160^2+Tableau!$G$30^2)^(3/2))*Tableau!$G$29</f>
        <v>191.36917378390828</v>
      </c>
      <c r="Y160" s="96">
        <f>((Tableau!$H$25-Q160)/(AD160^2+Tableau!$G$30^2)^(3/2))*Tableau!$G$29</f>
        <v>52.005052631119646</v>
      </c>
      <c r="Z160" s="96">
        <f>((Tableau!$G$35-P160)/(AE160^2+Tableau!$G$40^2)^(3/2))*Tableau!$G$39</f>
        <v>211.81337545759058</v>
      </c>
      <c r="AA160" s="97">
        <f>((Tableau!$H$35-Q160)/(AE160^2+Tableau!$G$40^2)^(3/2))*Tableau!$G$39</f>
        <v>-86.27101313192837</v>
      </c>
      <c r="AC160" s="110">
        <f>SQRT((Tableau!$G$16-P160)^2+(Tableau!$H$16-Q160)^2)</f>
        <v>68007.575192977441</v>
      </c>
      <c r="AD160" s="111">
        <f>SQRT((Tableau!$G$25-P160)^2+(Tableau!$H$25-Q160)^2)</f>
        <v>28827.996580529201</v>
      </c>
      <c r="AE160" s="112">
        <f>SQRT((Tableau!$G$35-P160)^2+(Tableau!$H$35-Q160)^2)</f>
        <v>46234.516924638083</v>
      </c>
    </row>
    <row r="161" spans="2:31" x14ac:dyDescent="0.25">
      <c r="B161" s="18">
        <v>158</v>
      </c>
      <c r="C161" s="19">
        <f>Tableau!$G$17*COS(B161*PI()/180)+Tableau!$G$16</f>
        <v>15364.080727166063</v>
      </c>
      <c r="D161" s="19">
        <f>Tableau!$G$17*SIN(B161*PI()/180)+Tableau!$H$16</f>
        <v>9373.0329670795618</v>
      </c>
      <c r="F161" s="26">
        <v>158</v>
      </c>
      <c r="G161" s="27">
        <f>Tableau!$G$26*COS(F161*PI()/180)+Tableau!$G$25</f>
        <v>-23245.143490983755</v>
      </c>
      <c r="H161" s="27">
        <f>Tableau!$G$26*SIN(F161*PI()/180)+Tableau!$H$25</f>
        <v>11311.123076955693</v>
      </c>
      <c r="J161" s="34">
        <v>158</v>
      </c>
      <c r="K161" s="35">
        <f>Tableau!$G$36*COS(J161*PI()/180)+Tableau!$G$35</f>
        <v>-9635.9192728339367</v>
      </c>
      <c r="L161" s="35">
        <f>Tableau!$G$36*SIN(J161*PI()/180)+Tableau!$H$35</f>
        <v>-13126.967032920438</v>
      </c>
      <c r="N161" s="98">
        <v>157</v>
      </c>
      <c r="O161" s="99">
        <v>78.5</v>
      </c>
      <c r="P161" s="101">
        <f>P160+R160*Tableau!$G$2+((1/2)*T160)*Tableau!$G$2^2</f>
        <v>-49093.531711714124</v>
      </c>
      <c r="Q161" s="101">
        <f>Q160+S160*Tableau!$G$2+((1/2)*U160)*Tableau!$G$2^2</f>
        <v>3228.5061810677494</v>
      </c>
      <c r="R161" s="101">
        <f>R160+T160*Tableau!$G$2</f>
        <v>-2420.7744991003115</v>
      </c>
      <c r="S161" s="101">
        <f>S160+U160*Tableau!$G$2</f>
        <v>1570.2947134211747</v>
      </c>
      <c r="T161" s="101">
        <f t="shared" si="4"/>
        <v>485.93408725078149</v>
      </c>
      <c r="U161" s="101">
        <f t="shared" si="5"/>
        <v>-33.735974579915528</v>
      </c>
      <c r="V161" s="101">
        <f>((Tableau!$G$16-P161)/(AC161^2+Tableau!$G$21^2)^(3/2))*Tableau!$G$20</f>
        <v>105.72672956170514</v>
      </c>
      <c r="W161" s="101">
        <f>((Tableau!$H$16-Q161)/(AC161^2+Tableau!$G$21^2)^(3/2))*Tableau!$G$20</f>
        <v>6.5362279309016582</v>
      </c>
      <c r="X161" s="101">
        <f>((Tableau!$G$25-P161)/(AD161^2+Tableau!$G$30^2)^(3/2))*Tableau!$G$29</f>
        <v>180.92821225328169</v>
      </c>
      <c r="Y161" s="101">
        <f>((Tableau!$H$25-Q161)/(AD161^2+Tableau!$G$30^2)^(3/2))*Tableau!$G$29</f>
        <v>42.110881658628848</v>
      </c>
      <c r="Z161" s="101">
        <f>((Tableau!$G$35-P161)/(AE161^2+Tableau!$G$40^2)^(3/2))*Tableau!$G$39</f>
        <v>199.27914543579465</v>
      </c>
      <c r="AA161" s="102">
        <f>((Tableau!$H$35-Q161)/(AE161^2+Tableau!$G$40^2)^(3/2))*Tableau!$G$39</f>
        <v>-82.383084169446036</v>
      </c>
      <c r="AC161" s="113">
        <f>SQRT((Tableau!$G$16-P161)^2+(Tableau!$H$16-Q161)^2)</f>
        <v>69225.441738155932</v>
      </c>
      <c r="AD161" s="114">
        <f>SQRT((Tableau!$G$25-P161)^2+(Tableau!$H$25-Q161)^2)</f>
        <v>29871.168641356384</v>
      </c>
      <c r="AE161" s="115">
        <f>SQRT((Tableau!$G$35-P161)^2+(Tableau!$H$35-Q161)^2)</f>
        <v>47712.870133803146</v>
      </c>
    </row>
    <row r="162" spans="2:31" x14ac:dyDescent="0.25">
      <c r="B162" s="20">
        <v>159</v>
      </c>
      <c r="C162" s="21">
        <f>Tableau!$G$17*COS(B162*PI()/180)+Tableau!$G$16</f>
        <v>15332.097867513992</v>
      </c>
      <c r="D162" s="21">
        <f>Tableau!$G$17*SIN(B162*PI()/180)+Tableau!$H$16</f>
        <v>9291.8397477265007</v>
      </c>
      <c r="F162" s="28">
        <v>159</v>
      </c>
      <c r="G162" s="29">
        <f>Tableau!$G$26*COS(F162*PI()/180)+Tableau!$G$25</f>
        <v>-23267.531492740207</v>
      </c>
      <c r="H162" s="29">
        <f>Tableau!$G$26*SIN(F162*PI()/180)+Tableau!$H$25</f>
        <v>11254.287823408551</v>
      </c>
      <c r="J162" s="36">
        <v>159</v>
      </c>
      <c r="K162" s="37">
        <f>Tableau!$G$36*COS(J162*PI()/180)+Tableau!$G$35</f>
        <v>-9667.9021324860078</v>
      </c>
      <c r="L162" s="37">
        <f>Tableau!$G$36*SIN(J162*PI()/180)+Tableau!$H$35</f>
        <v>-13208.160252273499</v>
      </c>
      <c r="N162" s="92">
        <v>158</v>
      </c>
      <c r="O162" s="93">
        <v>79</v>
      </c>
      <c r="P162" s="96">
        <f>P161+R161*Tableau!$G$2+((1/2)*T161)*Tableau!$G$2^2</f>
        <v>-50243.177200357932</v>
      </c>
      <c r="Q162" s="96">
        <f>Q161+S161*Tableau!$G$2+((1/2)*U161)*Tableau!$G$2^2</f>
        <v>4009.4365409558472</v>
      </c>
      <c r="R162" s="96">
        <f>R161+T161*Tableau!$G$2</f>
        <v>-2177.8074554749205</v>
      </c>
      <c r="S162" s="96">
        <f>S161+U161*Tableau!$G$2</f>
        <v>1553.426726131217</v>
      </c>
      <c r="T162" s="96">
        <f t="shared" si="4"/>
        <v>463.05196419923152</v>
      </c>
      <c r="U162" s="96">
        <f t="shared" si="5"/>
        <v>-40.0873299914781</v>
      </c>
      <c r="V162" s="96">
        <f>((Tableau!$G$16-P162)/(AC162^2+Tableau!$G$21^2)^(3/2))*Tableau!$G$20</f>
        <v>102.59937690336193</v>
      </c>
      <c r="W162" s="96">
        <f>((Tableau!$H$16-Q162)/(AC162^2+Tableau!$G$21^2)^(3/2))*Tableau!$G$20</f>
        <v>5.0984259285149323</v>
      </c>
      <c r="X162" s="96">
        <f>((Tableau!$G$25-P162)/(AD162^2+Tableau!$G$30^2)^(3/2))*Tableau!$G$29</f>
        <v>171.87871293808706</v>
      </c>
      <c r="Y162" s="96">
        <f>((Tableau!$H$25-Q162)/(AD162^2+Tableau!$G$30^2)^(3/2))*Tableau!$G$29</f>
        <v>34.045706583442488</v>
      </c>
      <c r="Z162" s="96">
        <f>((Tableau!$G$35-P162)/(AE162^2+Tableau!$G$40^2)^(3/2))*Tableau!$G$39</f>
        <v>188.57387435778253</v>
      </c>
      <c r="AA162" s="97">
        <f>((Tableau!$H$35-Q162)/(AE162^2+Tableau!$G$40^2)^(3/2))*Tableau!$G$39</f>
        <v>-79.231462503435523</v>
      </c>
      <c r="AC162" s="110">
        <f>SQRT((Tableau!$G$16-P162)^2+(Tableau!$H$16-Q162)^2)</f>
        <v>70329.851247265527</v>
      </c>
      <c r="AD162" s="111">
        <f>SQRT((Tableau!$G$25-P162)^2+(Tableau!$H$25-Q162)^2)</f>
        <v>30830.773874962739</v>
      </c>
      <c r="AE162" s="112">
        <f>SQRT((Tableau!$G$35-P162)^2+(Tableau!$H$35-Q162)^2)</f>
        <v>49074.471579300938</v>
      </c>
    </row>
    <row r="163" spans="2:31" x14ac:dyDescent="0.25">
      <c r="B163" s="18">
        <v>160</v>
      </c>
      <c r="C163" s="19">
        <f>Tableau!$G$17*COS(B163*PI()/180)+Tableau!$G$16</f>
        <v>15301.536896070458</v>
      </c>
      <c r="D163" s="19">
        <f>Tableau!$G$17*SIN(B163*PI()/180)+Tableau!$H$16</f>
        <v>9210.1007166283453</v>
      </c>
      <c r="F163" s="26">
        <v>160</v>
      </c>
      <c r="G163" s="27">
        <f>Tableau!$G$26*COS(F163*PI()/180)+Tableau!$G$25</f>
        <v>-23288.924172750678</v>
      </c>
      <c r="H163" s="27">
        <f>Tableau!$G$26*SIN(F163*PI()/180)+Tableau!$H$25</f>
        <v>11197.070501639841</v>
      </c>
      <c r="J163" s="34">
        <v>160</v>
      </c>
      <c r="K163" s="35">
        <f>Tableau!$G$36*COS(J163*PI()/180)+Tableau!$G$35</f>
        <v>-9698.4631039295418</v>
      </c>
      <c r="L163" s="35">
        <f>Tableau!$G$36*SIN(J163*PI()/180)+Tableau!$H$35</f>
        <v>-13289.899283371655</v>
      </c>
      <c r="N163" s="98">
        <v>159</v>
      </c>
      <c r="O163" s="99">
        <v>79.5</v>
      </c>
      <c r="P163" s="101">
        <f>P162+R162*Tableau!$G$2+((1/2)*T162)*Tableau!$G$2^2</f>
        <v>-51274.199432570487</v>
      </c>
      <c r="Q163" s="101">
        <f>Q162+S162*Tableau!$G$2+((1/2)*U162)*Tableau!$G$2^2</f>
        <v>4781.1389877725214</v>
      </c>
      <c r="R163" s="101">
        <f>R162+T162*Tableau!$G$2</f>
        <v>-1946.2814733753048</v>
      </c>
      <c r="S163" s="101">
        <f>S162+U162*Tableau!$G$2</f>
        <v>1533.3830611354779</v>
      </c>
      <c r="T163" s="101">
        <f t="shared" si="4"/>
        <v>443.32959616636504</v>
      </c>
      <c r="U163" s="101">
        <f t="shared" si="5"/>
        <v>-45.489409711359187</v>
      </c>
      <c r="V163" s="101">
        <f>((Tableau!$G$16-P163)/(AC163^2+Tableau!$G$21^2)^(3/2))*Tableau!$G$20</f>
        <v>99.886293454335743</v>
      </c>
      <c r="W163" s="101">
        <f>((Tableau!$H$16-Q163)/(AC163^2+Tableau!$G$21^2)^(3/2))*Tableau!$G$20</f>
        <v>3.810312161918195</v>
      </c>
      <c r="X163" s="101">
        <f>((Tableau!$G$25-P163)/(AD163^2+Tableau!$G$30^2)^(3/2))*Tableau!$G$29</f>
        <v>164.06849030376168</v>
      </c>
      <c r="Y163" s="101">
        <f>((Tableau!$H$25-Q163)/(AD163^2+Tableau!$G$30^2)^(3/2))*Tableau!$G$29</f>
        <v>27.378819055863104</v>
      </c>
      <c r="Z163" s="101">
        <f>((Tableau!$G$35-P163)/(AE163^2+Tableau!$G$40^2)^(3/2))*Tableau!$G$39</f>
        <v>179.37481240826767</v>
      </c>
      <c r="AA163" s="102">
        <f>((Tableau!$H$35-Q163)/(AE163^2+Tableau!$G$40^2)^(3/2))*Tableau!$G$39</f>
        <v>-76.678540929140482</v>
      </c>
      <c r="AC163" s="113">
        <f>SQRT((Tableau!$G$16-P163)^2+(Tableau!$H$16-Q163)^2)</f>
        <v>71326.03809239401</v>
      </c>
      <c r="AD163" s="114">
        <f>SQRT((Tableau!$G$25-P163)^2+(Tableau!$H$25-Q163)^2)</f>
        <v>31706.656405448055</v>
      </c>
      <c r="AE163" s="115">
        <f>SQRT((Tableau!$G$35-P163)^2+(Tableau!$H$35-Q163)^2)</f>
        <v>50324.894364309213</v>
      </c>
    </row>
    <row r="164" spans="2:31" x14ac:dyDescent="0.25">
      <c r="B164" s="20">
        <v>161</v>
      </c>
      <c r="C164" s="21">
        <f>Tableau!$G$17*COS(B164*PI()/180)+Tableau!$G$16</f>
        <v>15272.407122003417</v>
      </c>
      <c r="D164" s="21">
        <f>Tableau!$G$17*SIN(B164*PI()/180)+Tableau!$H$16</f>
        <v>9127.8407722857846</v>
      </c>
      <c r="F164" s="28">
        <v>161</v>
      </c>
      <c r="G164" s="29">
        <f>Tableau!$G$26*COS(F164*PI()/180)+Tableau!$G$25</f>
        <v>-23309.315014597611</v>
      </c>
      <c r="H164" s="29">
        <f>Tableau!$G$26*SIN(F164*PI()/180)+Tableau!$H$25</f>
        <v>11139.48854060005</v>
      </c>
      <c r="J164" s="36">
        <v>161</v>
      </c>
      <c r="K164" s="37">
        <f>Tableau!$G$36*COS(J164*PI()/180)+Tableau!$G$35</f>
        <v>-9727.5928779965834</v>
      </c>
      <c r="L164" s="37">
        <f>Tableau!$G$36*SIN(J164*PI()/180)+Tableau!$H$35</f>
        <v>-13372.159227714215</v>
      </c>
      <c r="N164" s="92">
        <v>160</v>
      </c>
      <c r="O164" s="93">
        <v>80</v>
      </c>
      <c r="P164" s="96">
        <f>P163+R163*Tableau!$G$2+((1/2)*T163)*Tableau!$G$2^2</f>
        <v>-52191.923969737341</v>
      </c>
      <c r="Q164" s="96">
        <f>Q163+S163*Tableau!$G$2+((1/2)*U163)*Tableau!$G$2^2</f>
        <v>5542.1443421263411</v>
      </c>
      <c r="R164" s="96">
        <f>R163+T163*Tableau!$G$2</f>
        <v>-1724.6166752921222</v>
      </c>
      <c r="S164" s="96">
        <f>S163+U163*Tableau!$G$2</f>
        <v>1510.6383562797982</v>
      </c>
      <c r="T164" s="96">
        <f t="shared" si="4"/>
        <v>426.32448864086194</v>
      </c>
      <c r="U164" s="96">
        <f t="shared" si="5"/>
        <v>-50.186854249510056</v>
      </c>
      <c r="V164" s="96">
        <f>((Tableau!$G$16-P164)/(AC164^2+Tableau!$G$21^2)^(3/2))*Tableau!$G$20</f>
        <v>97.537178069464446</v>
      </c>
      <c r="W164" s="96">
        <f>((Tableau!$H$16-Q164)/(AC164^2+Tableau!$G$21^2)^(3/2))*Tableau!$G$20</f>
        <v>2.6452226985442717</v>
      </c>
      <c r="X164" s="96">
        <f>((Tableau!$G$25-P164)/(AD164^2+Tableau!$G$30^2)^(3/2))*Tableau!$G$29</f>
        <v>157.35582126216352</v>
      </c>
      <c r="Y164" s="96">
        <f>((Tableau!$H$25-Q164)/(AD164^2+Tableau!$G$30^2)^(3/2))*Tableau!$G$29</f>
        <v>21.79023343781261</v>
      </c>
      <c r="Z164" s="96">
        <f>((Tableau!$G$35-P164)/(AE164^2+Tableau!$G$40^2)^(3/2))*Tableau!$G$39</f>
        <v>171.431489309234</v>
      </c>
      <c r="AA164" s="97">
        <f>((Tableau!$H$35-Q164)/(AE164^2+Tableau!$G$40^2)^(3/2))*Tableau!$G$39</f>
        <v>-74.622310385866939</v>
      </c>
      <c r="AC164" s="110">
        <f>SQRT((Tableau!$G$16-P164)^2+(Tableau!$H$16-Q164)^2)</f>
        <v>72218.467757419261</v>
      </c>
      <c r="AD164" s="111">
        <f>SQRT((Tableau!$G$25-P164)^2+(Tableau!$H$25-Q164)^2)</f>
        <v>32499.114540857659</v>
      </c>
      <c r="AE164" s="112">
        <f>SQRT((Tableau!$G$35-P164)^2+(Tableau!$H$35-Q164)^2)</f>
        <v>51468.994376597482</v>
      </c>
    </row>
    <row r="165" spans="2:31" x14ac:dyDescent="0.25">
      <c r="B165" s="18">
        <v>162</v>
      </c>
      <c r="C165" s="19">
        <f>Tableau!$G$17*COS(B165*PI()/180)+Tableau!$G$16</f>
        <v>15244.717418524233</v>
      </c>
      <c r="D165" s="19">
        <f>Tableau!$G$17*SIN(B165*PI()/180)+Tableau!$H$16</f>
        <v>9045.0849718747377</v>
      </c>
      <c r="F165" s="26">
        <v>162</v>
      </c>
      <c r="G165" s="27">
        <f>Tableau!$G$26*COS(F165*PI()/180)+Tableau!$G$25</f>
        <v>-23328.697807033037</v>
      </c>
      <c r="H165" s="27">
        <f>Tableau!$G$26*SIN(F165*PI()/180)+Tableau!$H$25</f>
        <v>11081.559480312317</v>
      </c>
      <c r="J165" s="34">
        <v>162</v>
      </c>
      <c r="K165" s="35">
        <f>Tableau!$G$36*COS(J165*PI()/180)+Tableau!$G$35</f>
        <v>-9755.2825814757671</v>
      </c>
      <c r="L165" s="35">
        <f>Tableau!$G$36*SIN(J165*PI()/180)+Tableau!$H$35</f>
        <v>-13454.915028125262</v>
      </c>
      <c r="N165" s="98">
        <v>161</v>
      </c>
      <c r="O165" s="99">
        <v>80.5</v>
      </c>
      <c r="P165" s="101">
        <f>P164+R164*Tableau!$G$2+((1/2)*T164)*Tableau!$G$2^2</f>
        <v>-53000.941746303295</v>
      </c>
      <c r="Q165" s="101">
        <f>Q164+S164*Tableau!$G$2+((1/2)*U164)*Tableau!$G$2^2</f>
        <v>6291.1901634850519</v>
      </c>
      <c r="R165" s="101">
        <f>R164+T164*Tableau!$G$2</f>
        <v>-1511.4544309716912</v>
      </c>
      <c r="S165" s="101">
        <f>S164+U164*Tableau!$G$2</f>
        <v>1485.5449291550433</v>
      </c>
      <c r="T165" s="101">
        <f t="shared" si="4"/>
        <v>411.6742224382445</v>
      </c>
      <c r="U165" s="101">
        <f t="shared" si="5"/>
        <v>-54.365349663333902</v>
      </c>
      <c r="V165" s="101">
        <f>((Tableau!$G$16-P165)/(AC165^2+Tableau!$G$21^2)^(3/2))*Tableau!$G$20</f>
        <v>95.511467093449426</v>
      </c>
      <c r="W165" s="101">
        <f>((Tableau!$H$16-Q165)/(AC165^2+Tableau!$G$21^2)^(3/2))*Tableau!$G$20</f>
        <v>1.5815576917318606</v>
      </c>
      <c r="X165" s="101">
        <f>((Tableau!$G$25-P165)/(AD165^2+Tableau!$G$30^2)^(3/2))*Tableau!$G$29</f>
        <v>151.61550207361464</v>
      </c>
      <c r="Y165" s="101">
        <f>((Tableau!$H$25-Q165)/(AD165^2+Tableau!$G$30^2)^(3/2))*Tableau!$G$29</f>
        <v>17.039303598715136</v>
      </c>
      <c r="Z165" s="101">
        <f>((Tableau!$G$35-P165)/(AE165^2+Tableau!$G$40^2)^(3/2))*Tableau!$G$39</f>
        <v>164.54725327118044</v>
      </c>
      <c r="AA165" s="102">
        <f>((Tableau!$H$35-Q165)/(AE165^2+Tableau!$G$40^2)^(3/2))*Tableau!$G$39</f>
        <v>-72.986210953780898</v>
      </c>
      <c r="AC165" s="113">
        <f>SQRT((Tableau!$G$16-P165)^2+(Tableau!$H$16-Q165)^2)</f>
        <v>73010.949295759885</v>
      </c>
      <c r="AD165" s="114">
        <f>SQRT((Tableau!$G$25-P165)^2+(Tableau!$H$25-Q165)^2)</f>
        <v>33208.695044315333</v>
      </c>
      <c r="AE165" s="115">
        <f>SQRT((Tableau!$G$35-P165)^2+(Tableau!$H$35-Q165)^2)</f>
        <v>52511.000629484151</v>
      </c>
    </row>
    <row r="166" spans="2:31" x14ac:dyDescent="0.25">
      <c r="B166" s="20">
        <v>163</v>
      </c>
      <c r="C166" s="21">
        <f>Tableau!$G$17*COS(B166*PI()/180)+Tableau!$G$16</f>
        <v>15218.476220184823</v>
      </c>
      <c r="D166" s="21">
        <f>Tableau!$G$17*SIN(B166*PI()/180)+Tableau!$H$16</f>
        <v>8961.858523613686</v>
      </c>
      <c r="F166" s="28">
        <v>163</v>
      </c>
      <c r="G166" s="29">
        <f>Tableau!$G$26*COS(F166*PI()/180)+Tableau!$G$25</f>
        <v>-23347.066645870626</v>
      </c>
      <c r="H166" s="29">
        <f>Tableau!$G$26*SIN(F166*PI()/180)+Tableau!$H$25</f>
        <v>11023.300966529579</v>
      </c>
      <c r="J166" s="36">
        <v>163</v>
      </c>
      <c r="K166" s="37">
        <f>Tableau!$G$36*COS(J166*PI()/180)+Tableau!$G$35</f>
        <v>-9781.5237798151775</v>
      </c>
      <c r="L166" s="37">
        <f>Tableau!$G$36*SIN(J166*PI()/180)+Tableau!$H$35</f>
        <v>-13538.141476386314</v>
      </c>
      <c r="N166" s="92">
        <v>162</v>
      </c>
      <c r="O166" s="93">
        <v>81</v>
      </c>
      <c r="P166" s="96">
        <f>P165+R165*Tableau!$G$2+((1/2)*T165)*Tableau!$G$2^2</f>
        <v>-53705.209683984358</v>
      </c>
      <c r="Q166" s="96">
        <f>Q165+S165*Tableau!$G$2+((1/2)*U165)*Tableau!$G$2^2</f>
        <v>7027.1669593546567</v>
      </c>
      <c r="R166" s="96">
        <f>R165+T165*Tableau!$G$2</f>
        <v>-1305.6173197525688</v>
      </c>
      <c r="S166" s="96">
        <f>S165+U165*Tableau!$G$2</f>
        <v>1458.3622543233764</v>
      </c>
      <c r="T166" s="96">
        <f t="shared" si="4"/>
        <v>399.08273769003489</v>
      </c>
      <c r="U166" s="96">
        <f t="shared" si="5"/>
        <v>-58.168056832553432</v>
      </c>
      <c r="V166" s="96">
        <f>((Tableau!$G$16-P166)/(AC166^2+Tableau!$G$21^2)^(3/2))*Tableau!$G$20</f>
        <v>93.77634523004842</v>
      </c>
      <c r="W166" s="96">
        <f>((Tableau!$H$16-Q166)/(AC166^2+Tableau!$G$21^2)^(3/2))*Tableau!$G$20</f>
        <v>0.60159322042287233</v>
      </c>
      <c r="X166" s="96">
        <f>((Tableau!$G$25-P166)/(AD166^2+Tableau!$G$30^2)^(3/2))*Tableau!$G$29</f>
        <v>146.74028647376008</v>
      </c>
      <c r="Y166" s="96">
        <f>((Tableau!$H$25-Q166)/(AD166^2+Tableau!$G$30^2)^(3/2))*Tableau!$G$29</f>
        <v>12.942639316385607</v>
      </c>
      <c r="Z166" s="96">
        <f>((Tableau!$G$35-P166)/(AE166^2+Tableau!$G$40^2)^(3/2))*Tableau!$G$39</f>
        <v>158.56610598622638</v>
      </c>
      <c r="AA166" s="97">
        <f>((Tableau!$H$35-Q166)/(AE166^2+Tableau!$G$40^2)^(3/2))*Tableau!$G$39</f>
        <v>-71.712289369361912</v>
      </c>
      <c r="AC166" s="110">
        <f>SQRT((Tableau!$G$16-P166)^2+(Tableau!$H$16-Q166)^2)</f>
        <v>73706.726325651092</v>
      </c>
      <c r="AD166" s="111">
        <f>SQRT((Tableau!$G$25-P166)^2+(Tableau!$H$25-Q166)^2)</f>
        <v>33836.059110494913</v>
      </c>
      <c r="AE166" s="112">
        <f>SQRT((Tableau!$G$35-P166)^2+(Tableau!$H$35-Q166)^2)</f>
        <v>53454.593204103323</v>
      </c>
    </row>
    <row r="167" spans="2:31" x14ac:dyDescent="0.25">
      <c r="B167" s="18">
        <v>164</v>
      </c>
      <c r="C167" s="19">
        <f>Tableau!$G$17*COS(B167*PI()/180)+Tableau!$G$16</f>
        <v>15193.691520308406</v>
      </c>
      <c r="D167" s="19">
        <f>Tableau!$G$17*SIN(B167*PI()/180)+Tableau!$H$16</f>
        <v>8878.1867790849974</v>
      </c>
      <c r="F167" s="26">
        <v>164</v>
      </c>
      <c r="G167" s="27">
        <f>Tableau!$G$26*COS(F167*PI()/180)+Tableau!$G$25</f>
        <v>-23364.415935784116</v>
      </c>
      <c r="H167" s="27">
        <f>Tableau!$G$26*SIN(F167*PI()/180)+Tableau!$H$25</f>
        <v>10964.730745359499</v>
      </c>
      <c r="J167" s="34">
        <v>164</v>
      </c>
      <c r="K167" s="35">
        <f>Tableau!$G$36*COS(J167*PI()/180)+Tableau!$G$35</f>
        <v>-9806.3084796915937</v>
      </c>
      <c r="L167" s="35">
        <f>Tableau!$G$36*SIN(J167*PI()/180)+Tableau!$H$35</f>
        <v>-13621.813220915003</v>
      </c>
      <c r="N167" s="98">
        <v>163</v>
      </c>
      <c r="O167" s="99">
        <v>81.5</v>
      </c>
      <c r="P167" s="101">
        <f>P166+R166*Tableau!$G$2+((1/2)*T166)*Tableau!$G$2^2</f>
        <v>-54308.133001649388</v>
      </c>
      <c r="Q167" s="101">
        <f>Q166+S166*Tableau!$G$2+((1/2)*U166)*Tableau!$G$2^2</f>
        <v>7749.0770794122755</v>
      </c>
      <c r="R167" s="101">
        <f>R166+T166*Tableau!$G$2</f>
        <v>-1106.0759509075515</v>
      </c>
      <c r="S167" s="101">
        <f>S166+U166*Tableau!$G$2</f>
        <v>1429.2782259070998</v>
      </c>
      <c r="T167" s="101">
        <f t="shared" si="4"/>
        <v>388.30868666847584</v>
      </c>
      <c r="U167" s="101">
        <f t="shared" si="5"/>
        <v>-61.707414412305006</v>
      </c>
      <c r="V167" s="101">
        <f>((Tableau!$G$16-P167)/(AC167^2+Tableau!$G$21^2)^(3/2))*Tableau!$G$20</f>
        <v>92.305258493221345</v>
      </c>
      <c r="W167" s="101">
        <f>((Tableau!$H$16-Q167)/(AC167^2+Tableau!$G$21^2)^(3/2))*Tableau!$G$20</f>
        <v>-0.30940252797599399</v>
      </c>
      <c r="X167" s="101">
        <f>((Tableau!$G$25-P167)/(AD167^2+Tableau!$G$30^2)^(3/2))*Tableau!$G$29</f>
        <v>142.64024676900317</v>
      </c>
      <c r="Y167" s="101">
        <f>((Tableau!$H$25-Q167)/(AD167^2+Tableau!$G$30^2)^(3/2))*Tableau!$G$29</f>
        <v>9.3584865383144749</v>
      </c>
      <c r="Z167" s="101">
        <f>((Tableau!$G$35-P167)/(AE167^2+Tableau!$G$40^2)^(3/2))*Tableau!$G$39</f>
        <v>153.36318140625136</v>
      </c>
      <c r="AA167" s="102">
        <f>((Tableau!$H$35-Q167)/(AE167^2+Tableau!$G$40^2)^(3/2))*Tableau!$G$39</f>
        <v>-70.756498422643489</v>
      </c>
      <c r="AC167" s="113">
        <f>SQRT((Tableau!$G$16-P167)^2+(Tableau!$H$16-Q167)^2)</f>
        <v>74308.550447322705</v>
      </c>
      <c r="AD167" s="114">
        <f>SQRT((Tableau!$G$25-P167)^2+(Tableau!$H$25-Q167)^2)</f>
        <v>34381.894131261746</v>
      </c>
      <c r="AE167" s="115">
        <f>SQRT((Tableau!$G$35-P167)^2+(Tableau!$H$35-Q167)^2)</f>
        <v>54302.969422246024</v>
      </c>
    </row>
    <row r="168" spans="2:31" x14ac:dyDescent="0.25">
      <c r="B168" s="20">
        <v>165</v>
      </c>
      <c r="C168" s="21">
        <f>Tableau!$G$17*COS(B168*PI()/180)+Tableau!$G$16</f>
        <v>15170.370868554659</v>
      </c>
      <c r="D168" s="21">
        <f>Tableau!$G$17*SIN(B168*PI()/180)+Tableau!$H$16</f>
        <v>8794.0952255126049</v>
      </c>
      <c r="F168" s="28">
        <v>165</v>
      </c>
      <c r="G168" s="29">
        <f>Tableau!$G$26*COS(F168*PI()/180)+Tableau!$G$25</f>
        <v>-23380.740392011739</v>
      </c>
      <c r="H168" s="29">
        <f>Tableau!$G$26*SIN(F168*PI()/180)+Tableau!$H$25</f>
        <v>10905.866657858824</v>
      </c>
      <c r="J168" s="36">
        <v>165</v>
      </c>
      <c r="K168" s="37">
        <f>Tableau!$G$36*COS(J168*PI()/180)+Tableau!$G$35</f>
        <v>-9829.629131445341</v>
      </c>
      <c r="L168" s="37">
        <f>Tableau!$G$36*SIN(J168*PI()/180)+Tableau!$H$35</f>
        <v>-13705.904774487395</v>
      </c>
      <c r="N168" s="92">
        <v>164</v>
      </c>
      <c r="O168" s="93">
        <v>82</v>
      </c>
      <c r="P168" s="96">
        <f>P167+R167*Tableau!$G$2+((1/2)*T167)*Tableau!$G$2^2</f>
        <v>-54812.63239126961</v>
      </c>
      <c r="Q168" s="96">
        <f>Q167+S167*Tableau!$G$2+((1/2)*U167)*Tableau!$G$2^2</f>
        <v>8456.002765564288</v>
      </c>
      <c r="R168" s="96">
        <f>R167+T167*Tableau!$G$2</f>
        <v>-911.92160757331362</v>
      </c>
      <c r="S168" s="96">
        <f>S167+U167*Tableau!$G$2</f>
        <v>1398.4245187009474</v>
      </c>
      <c r="T168" s="96">
        <f t="shared" si="4"/>
        <v>379.15589212147569</v>
      </c>
      <c r="U168" s="96">
        <f t="shared" si="5"/>
        <v>-65.073672503818528</v>
      </c>
      <c r="V168" s="96">
        <f>((Tableau!$G$16-P168)/(AC168^2+Tableau!$G$21^2)^(3/2))*Tableau!$G$20</f>
        <v>91.07679458257914</v>
      </c>
      <c r="W168" s="96">
        <f>((Tableau!$H$16-Q168)/(AC168^2+Tableau!$G$21^2)^(3/2))*Tableau!$G$20</f>
        <v>-1.1638364366635623</v>
      </c>
      <c r="X168" s="96">
        <f>((Tableau!$G$25-P168)/(AD168^2+Tableau!$G$30^2)^(3/2))*Tableau!$G$29</f>
        <v>139.24132900817531</v>
      </c>
      <c r="Y168" s="96">
        <f>((Tableau!$H$25-Q168)/(AD168^2+Tableau!$G$30^2)^(3/2))*Tableau!$G$29</f>
        <v>6.1755808779829877</v>
      </c>
      <c r="Z168" s="96">
        <f>((Tableau!$G$35-P168)/(AE168^2+Tableau!$G$40^2)^(3/2))*Tableau!$G$39</f>
        <v>148.83776853072123</v>
      </c>
      <c r="AA168" s="97">
        <f>((Tableau!$H$35-Q168)/(AE168^2+Tableau!$G$40^2)^(3/2))*Tableau!$G$39</f>
        <v>-70.085416945137951</v>
      </c>
      <c r="AC168" s="110">
        <f>SQRT((Tableau!$G$16-P168)^2+(Tableau!$H$16-Q168)^2)</f>
        <v>74818.740343573081</v>
      </c>
      <c r="AD168" s="111">
        <f>SQRT((Tableau!$G$25-P168)^2+(Tableau!$H$25-Q168)^2)</f>
        <v>34846.854972430716</v>
      </c>
      <c r="AE168" s="112">
        <f>SQRT((Tableau!$G$35-P168)^2+(Tableau!$H$35-Q168)^2)</f>
        <v>55058.899475797021</v>
      </c>
    </row>
    <row r="169" spans="2:31" x14ac:dyDescent="0.25">
      <c r="B169" s="18">
        <v>166</v>
      </c>
      <c r="C169" s="19">
        <f>Tableau!$G$17*COS(B169*PI()/180)+Tableau!$G$16</f>
        <v>15148.521368620019</v>
      </c>
      <c r="D169" s="19">
        <f>Tableau!$G$17*SIN(B169*PI()/180)+Tableau!$H$16</f>
        <v>8709.6094779983396</v>
      </c>
      <c r="F169" s="26">
        <v>166</v>
      </c>
      <c r="G169" s="27">
        <f>Tableau!$G$26*COS(F169*PI()/180)+Tableau!$G$25</f>
        <v>-23396.035041965988</v>
      </c>
      <c r="H169" s="27">
        <f>Tableau!$G$26*SIN(F169*PI()/180)+Tableau!$H$25</f>
        <v>10846.726634598837</v>
      </c>
      <c r="J169" s="34">
        <v>166</v>
      </c>
      <c r="K169" s="35">
        <f>Tableau!$G$36*COS(J169*PI()/180)+Tableau!$G$35</f>
        <v>-9851.4786313799814</v>
      </c>
      <c r="L169" s="35">
        <f>Tableau!$G$36*SIN(J169*PI()/180)+Tableau!$H$35</f>
        <v>-13790.39052200166</v>
      </c>
      <c r="N169" s="98">
        <v>165</v>
      </c>
      <c r="O169" s="99">
        <v>82.5</v>
      </c>
      <c r="P169" s="101">
        <f>P168+R168*Tableau!$G$2+((1/2)*T168)*Tableau!$G$2^2</f>
        <v>-55221.19870854108</v>
      </c>
      <c r="Q169" s="101">
        <f>Q168+S168*Tableau!$G$2+((1/2)*U168)*Tableau!$G$2^2</f>
        <v>9147.0808158517848</v>
      </c>
      <c r="R169" s="101">
        <f>R168+T168*Tableau!$G$2</f>
        <v>-722.34366151257575</v>
      </c>
      <c r="S169" s="101">
        <f>S168+U168*Tableau!$G$2</f>
        <v>1365.887682449038</v>
      </c>
      <c r="T169" s="101">
        <f t="shared" si="4"/>
        <v>371.46569809070752</v>
      </c>
      <c r="U169" s="101">
        <f t="shared" si="5"/>
        <v>-68.341135223832453</v>
      </c>
      <c r="V169" s="101">
        <f>((Tableau!$G$16-P169)/(AC169^2+Tableau!$G$21^2)^(3/2))*Tableau!$G$20</f>
        <v>90.073836722666101</v>
      </c>
      <c r="W169" s="101">
        <f>((Tableau!$H$16-Q169)/(AC169^2+Tableau!$G$21^2)^(3/2))*Tableau!$G$20</f>
        <v>-1.9723015722059183</v>
      </c>
      <c r="X169" s="101">
        <f>((Tableau!$G$25-P169)/(AD169^2+Tableau!$G$30^2)^(3/2))*Tableau!$G$29</f>
        <v>136.48372531555214</v>
      </c>
      <c r="Y169" s="101">
        <f>((Tableau!$H$25-Q169)/(AD169^2+Tableau!$G$30^2)^(3/2))*Tableau!$G$29</f>
        <v>3.3051001077206581</v>
      </c>
      <c r="Z169" s="101">
        <f>((Tableau!$G$35-P169)/(AE169^2+Tableau!$G$40^2)^(3/2))*Tableau!$G$39</f>
        <v>144.90813605248928</v>
      </c>
      <c r="AA169" s="102">
        <f>((Tableau!$H$35-Q169)/(AE169^2+Tableau!$G$40^2)^(3/2))*Tableau!$G$39</f>
        <v>-69.673933759347193</v>
      </c>
      <c r="AC169" s="113">
        <f>SQRT((Tableau!$G$16-P169)^2+(Tableau!$H$16-Q169)^2)</f>
        <v>75239.229198362795</v>
      </c>
      <c r="AD169" s="114">
        <f>SQRT((Tableau!$G$25-P169)^2+(Tableau!$H$25-Q169)^2)</f>
        <v>35231.524372374581</v>
      </c>
      <c r="AE169" s="115">
        <f>SQRT((Tableau!$G$35-P169)^2+(Tableau!$H$35-Q169)^2)</f>
        <v>55724.772872126137</v>
      </c>
    </row>
    <row r="170" spans="2:31" x14ac:dyDescent="0.25">
      <c r="B170" s="20">
        <v>167</v>
      </c>
      <c r="C170" s="21">
        <f>Tableau!$G$17*COS(B170*PI()/180)+Tableau!$G$16</f>
        <v>15128.149676073823</v>
      </c>
      <c r="D170" s="21">
        <f>Tableau!$G$17*SIN(B170*PI()/180)+Tableau!$H$16</f>
        <v>8624.7552717193248</v>
      </c>
      <c r="F170" s="28">
        <v>167</v>
      </c>
      <c r="G170" s="29">
        <f>Tableau!$G$26*COS(F170*PI()/180)+Tableau!$G$25</f>
        <v>-23410.295226748323</v>
      </c>
      <c r="H170" s="29">
        <f>Tableau!$G$26*SIN(F170*PI()/180)+Tableau!$H$25</f>
        <v>10787.328690203527</v>
      </c>
      <c r="J170" s="36">
        <v>167</v>
      </c>
      <c r="K170" s="37">
        <f>Tableau!$G$36*COS(J170*PI()/180)+Tableau!$G$35</f>
        <v>-9871.8503239261772</v>
      </c>
      <c r="L170" s="37">
        <f>Tableau!$G$36*SIN(J170*PI()/180)+Tableau!$H$35</f>
        <v>-13875.244728280675</v>
      </c>
      <c r="N170" s="92">
        <v>166</v>
      </c>
      <c r="O170" s="93">
        <v>83</v>
      </c>
      <c r="P170" s="96">
        <f>P169+R169*Tableau!$G$2+((1/2)*T169)*Tableau!$G$2^2</f>
        <v>-55535.93732703603</v>
      </c>
      <c r="Q170" s="96">
        <f>Q169+S169*Tableau!$G$2+((1/2)*U169)*Tableau!$G$2^2</f>
        <v>9821.4820151733256</v>
      </c>
      <c r="R170" s="96">
        <f>R169+T169*Tableau!$G$2</f>
        <v>-536.61081246722199</v>
      </c>
      <c r="S170" s="96">
        <f>S169+U169*Tableau!$G$2</f>
        <v>1331.7171148371217</v>
      </c>
      <c r="T170" s="96">
        <f t="shared" si="4"/>
        <v>365.1109339989635</v>
      </c>
      <c r="U170" s="96">
        <f t="shared" si="5"/>
        <v>-71.572805181995307</v>
      </c>
      <c r="V170" s="96">
        <f>((Tableau!$G$16-P170)/(AC170^2+Tableau!$G$21^2)^(3/2))*Tableau!$G$20</f>
        <v>89.282924836231004</v>
      </c>
      <c r="W170" s="96">
        <f>((Tableau!$H$16-Q170)/(AC170^2+Tableau!$G$21^2)^(3/2))*Tableau!$G$20</f>
        <v>-2.7439747437303055</v>
      </c>
      <c r="X170" s="96">
        <f>((Tableau!$G$25-P170)/(AD170^2+Tableau!$G$30^2)^(3/2))*Tableau!$G$29</f>
        <v>134.32035803892001</v>
      </c>
      <c r="Y170" s="96">
        <f>((Tableau!$H$25-Q170)/(AD170^2+Tableau!$G$30^2)^(3/2))*Tableau!$G$29</f>
        <v>0.674770427965109</v>
      </c>
      <c r="Z170" s="96">
        <f>((Tableau!$G$35-P170)/(AE170^2+Tableau!$G$40^2)^(3/2))*Tableau!$G$39</f>
        <v>141.50765112381248</v>
      </c>
      <c r="AA170" s="97">
        <f>((Tableau!$H$35-Q170)/(AE170^2+Tableau!$G$40^2)^(3/2))*Tableau!$G$39</f>
        <v>-69.503600866230116</v>
      </c>
      <c r="AC170" s="110">
        <f>SQRT((Tableau!$G$16-P170)^2+(Tableau!$H$16-Q170)^2)</f>
        <v>75571.60251457346</v>
      </c>
      <c r="AD170" s="111">
        <f>SQRT((Tableau!$G$25-P170)^2+(Tableau!$H$25-Q170)^2)</f>
        <v>35536.385724802392</v>
      </c>
      <c r="AE170" s="112">
        <f>SQRT((Tableau!$G$35-P170)^2+(Tableau!$H$35-Q170)^2)</f>
        <v>56302.636980444229</v>
      </c>
    </row>
    <row r="171" spans="2:31" x14ac:dyDescent="0.25">
      <c r="B171" s="18">
        <v>168</v>
      </c>
      <c r="C171" s="19">
        <f>Tableau!$G$17*COS(B171*PI()/180)+Tableau!$G$16</f>
        <v>15109.261996330972</v>
      </c>
      <c r="D171" s="19">
        <f>Tableau!$G$17*SIN(B171*PI()/180)+Tableau!$H$16</f>
        <v>8539.5584540887976</v>
      </c>
      <c r="F171" s="26">
        <v>168</v>
      </c>
      <c r="G171" s="27">
        <f>Tableau!$G$26*COS(F171*PI()/180)+Tableau!$G$25</f>
        <v>-23423.516602568321</v>
      </c>
      <c r="H171" s="27">
        <f>Tableau!$G$26*SIN(F171*PI()/180)+Tableau!$H$25</f>
        <v>10727.690917862157</v>
      </c>
      <c r="J171" s="34">
        <v>168</v>
      </c>
      <c r="K171" s="35">
        <f>Tableau!$G$36*COS(J171*PI()/180)+Tableau!$G$35</f>
        <v>-9890.7380036690283</v>
      </c>
      <c r="L171" s="35">
        <f>Tableau!$G$36*SIN(J171*PI()/180)+Tableau!$H$35</f>
        <v>-13960.441545911202</v>
      </c>
      <c r="N171" s="98">
        <v>167</v>
      </c>
      <c r="O171" s="99">
        <v>83.5</v>
      </c>
      <c r="P171" s="101">
        <f>P170+R170*Tableau!$G$2+((1/2)*T170)*Tableau!$G$2^2</f>
        <v>-55758.60386651977</v>
      </c>
      <c r="Q171" s="101">
        <f>Q170+S170*Tableau!$G$2+((1/2)*U170)*Tableau!$G$2^2</f>
        <v>10478.393971944137</v>
      </c>
      <c r="R171" s="101">
        <f>R170+T170*Tableau!$G$2</f>
        <v>-354.05534546774027</v>
      </c>
      <c r="S171" s="101">
        <f>S170+U170*Tableau!$G$2</f>
        <v>1295.9307122461241</v>
      </c>
      <c r="T171" s="101">
        <f t="shared" si="4"/>
        <v>359.9912242100267</v>
      </c>
      <c r="U171" s="101">
        <f t="shared" si="5"/>
        <v>-74.823919820644093</v>
      </c>
      <c r="V171" s="101">
        <f>((Tableau!$G$16-P171)/(AC171^2+Tableau!$G$21^2)^(3/2))*Tableau!$G$20</f>
        <v>88.693777272529132</v>
      </c>
      <c r="W171" s="101">
        <f>((Tableau!$H$16-Q171)/(AC171^2+Tableau!$G$21^2)^(3/2))*Tableau!$G$20</f>
        <v>-3.4869308315513967</v>
      </c>
      <c r="X171" s="101">
        <f>((Tableau!$G$25-P171)/(AD171^2+Tableau!$G$30^2)^(3/2))*Tableau!$G$29</f>
        <v>132.71560671867513</v>
      </c>
      <c r="Y171" s="101">
        <f>((Tableau!$H$25-Q171)/(AD171^2+Tableau!$G$30^2)^(3/2))*Tableau!$G$29</f>
        <v>-1.7755264292230382</v>
      </c>
      <c r="Z171" s="101">
        <f>((Tableau!$G$35-P171)/(AE171^2+Tableau!$G$40^2)^(3/2))*Tableau!$G$39</f>
        <v>138.58184021882244</v>
      </c>
      <c r="AA171" s="102">
        <f>((Tableau!$H$35-Q171)/(AE171^2+Tableau!$G$40^2)^(3/2))*Tableau!$G$39</f>
        <v>-69.561462559869653</v>
      </c>
      <c r="AC171" s="113">
        <f>SQRT((Tableau!$G$16-P171)^2+(Tableau!$H$16-Q171)^2)</f>
        <v>75817.127949140733</v>
      </c>
      <c r="AD171" s="114">
        <f>SQRT((Tableau!$G$25-P171)^2+(Tableau!$H$25-Q171)^2)</f>
        <v>35761.803803430768</v>
      </c>
      <c r="AE171" s="115">
        <f>SQRT((Tableau!$G$35-P171)^2+(Tableau!$H$35-Q171)^2)</f>
        <v>56794.228807757179</v>
      </c>
    </row>
    <row r="172" spans="2:31" x14ac:dyDescent="0.25">
      <c r="B172" s="20">
        <v>169</v>
      </c>
      <c r="C172" s="21">
        <f>Tableau!$G$17*COS(B172*PI()/180)+Tableau!$G$16</f>
        <v>15091.86408276168</v>
      </c>
      <c r="D172" s="21">
        <f>Tableau!$G$17*SIN(B172*PI()/180)+Tableau!$H$16</f>
        <v>8454.0449768827257</v>
      </c>
      <c r="F172" s="28">
        <v>169</v>
      </c>
      <c r="G172" s="29">
        <f>Tableau!$G$26*COS(F172*PI()/180)+Tableau!$G$25</f>
        <v>-23435.695142066823</v>
      </c>
      <c r="H172" s="29">
        <f>Tableau!$G$26*SIN(F172*PI()/180)+Tableau!$H$25</f>
        <v>10667.831483817907</v>
      </c>
      <c r="J172" s="36">
        <v>169</v>
      </c>
      <c r="K172" s="37">
        <f>Tableau!$G$36*COS(J172*PI()/180)+Tableau!$G$35</f>
        <v>-9908.13591723832</v>
      </c>
      <c r="L172" s="37">
        <f>Tableau!$G$36*SIN(J172*PI()/180)+Tableau!$H$35</f>
        <v>-14045.955023117274</v>
      </c>
      <c r="N172" s="92">
        <v>168</v>
      </c>
      <c r="O172" s="93">
        <v>84</v>
      </c>
      <c r="P172" s="96">
        <f>P171+R171*Tableau!$G$2+((1/2)*T171)*Tableau!$G$2^2</f>
        <v>-55890.63263622739</v>
      </c>
      <c r="Q172" s="96">
        <f>Q171+S171*Tableau!$G$2+((1/2)*U171)*Tableau!$G$2^2</f>
        <v>11117.006338089619</v>
      </c>
      <c r="R172" s="96">
        <f>R171+T171*Tableau!$G$2</f>
        <v>-174.05973336272692</v>
      </c>
      <c r="S172" s="96">
        <f>S171+U171*Tableau!$G$2</f>
        <v>1258.518752335802</v>
      </c>
      <c r="T172" s="96">
        <f t="shared" si="4"/>
        <v>356.0294156384623</v>
      </c>
      <c r="U172" s="96">
        <f t="shared" si="5"/>
        <v>-78.144729211739133</v>
      </c>
      <c r="V172" s="96">
        <f>((Tableau!$G$16-P172)/(AC172^2+Tableau!$G$21^2)^(3/2))*Tableau!$G$20</f>
        <v>88.298940034864728</v>
      </c>
      <c r="W172" s="96">
        <f>((Tableau!$H$16-Q172)/(AC172^2+Tableau!$G$21^2)^(3/2))*Tableau!$G$20</f>
        <v>-4.208395880471838</v>
      </c>
      <c r="X172" s="96">
        <f>((Tableau!$G$25-P172)/(AD172^2+Tableau!$G$30^2)^(3/2))*Tableau!$G$29</f>
        <v>131.64433069005474</v>
      </c>
      <c r="Y172" s="96">
        <f>((Tableau!$H$25-Q172)/(AD172^2+Tableau!$G$30^2)^(3/2))*Tableau!$G$29</f>
        <v>-4.097101136242709</v>
      </c>
      <c r="Z172" s="96">
        <f>((Tableau!$G$35-P172)/(AE172^2+Tableau!$G$40^2)^(3/2))*Tableau!$G$39</f>
        <v>136.08614491354285</v>
      </c>
      <c r="AA172" s="97">
        <f>((Tableau!$H$35-Q172)/(AE172^2+Tableau!$G$40^2)^(3/2))*Tableau!$G$39</f>
        <v>-69.839232195024593</v>
      </c>
      <c r="AC172" s="110">
        <f>SQRT((Tableau!$G$16-P172)^2+(Tableau!$H$16-Q172)^2)</f>
        <v>75976.778404829733</v>
      </c>
      <c r="AD172" s="111">
        <f>SQRT((Tableau!$G$25-P172)^2+(Tableau!$H$25-Q172)^2)</f>
        <v>35908.010445971006</v>
      </c>
      <c r="AE172" s="112">
        <f>SQRT((Tableau!$G$35-P172)^2+(Tableau!$H$35-Q172)^2)</f>
        <v>57201.000954347517</v>
      </c>
    </row>
    <row r="173" spans="2:31" x14ac:dyDescent="0.25">
      <c r="B173" s="18">
        <v>170</v>
      </c>
      <c r="C173" s="19">
        <f>Tableau!$G$17*COS(B173*PI()/180)+Tableau!$G$16</f>
        <v>15075.961234938961</v>
      </c>
      <c r="D173" s="19">
        <f>Tableau!$G$17*SIN(B173*PI()/180)+Tableau!$H$16</f>
        <v>8368.2408883346507</v>
      </c>
      <c r="F173" s="26">
        <v>170</v>
      </c>
      <c r="G173" s="27">
        <f>Tableau!$G$26*COS(F173*PI()/180)+Tableau!$G$25</f>
        <v>-23446.827135542728</v>
      </c>
      <c r="H173" s="27">
        <f>Tableau!$G$26*SIN(F173*PI()/180)+Tableau!$H$25</f>
        <v>10607.768621834257</v>
      </c>
      <c r="J173" s="34">
        <v>170</v>
      </c>
      <c r="K173" s="35">
        <f>Tableau!$G$36*COS(J173*PI()/180)+Tableau!$G$35</f>
        <v>-9924.0387650610392</v>
      </c>
      <c r="L173" s="35">
        <f>Tableau!$G$36*SIN(J173*PI()/180)+Tableau!$H$35</f>
        <v>-14131.759111665349</v>
      </c>
      <c r="N173" s="98">
        <v>169</v>
      </c>
      <c r="O173" s="99">
        <v>84.5</v>
      </c>
      <c r="P173" s="101">
        <f>P172+R172*Tableau!$G$2+((1/2)*T172)*Tableau!$G$2^2</f>
        <v>-55933.158825953942</v>
      </c>
      <c r="Q173" s="101">
        <f>Q172+S172*Tableau!$G$2+((1/2)*U172)*Tableau!$G$2^2</f>
        <v>11736.497623106054</v>
      </c>
      <c r="R173" s="101">
        <f>R172+T172*Tableau!$G$2</f>
        <v>3.9549744565042317</v>
      </c>
      <c r="S173" s="101">
        <f>S172+U172*Tableau!$G$2</f>
        <v>1219.4463877299324</v>
      </c>
      <c r="T173" s="101">
        <f t="shared" si="4"/>
        <v>353.1689440358665</v>
      </c>
      <c r="U173" s="101">
        <f t="shared" si="5"/>
        <v>-81.582770001540041</v>
      </c>
      <c r="V173" s="101">
        <f>((Tableau!$G$16-P173)/(AC173^2+Tableau!$G$21^2)^(3/2))*Tableau!$G$20</f>
        <v>88.093540428046566</v>
      </c>
      <c r="W173" s="101">
        <f>((Tableau!$H$16-Q173)/(AC173^2+Tableau!$G$21^2)^(3/2))*Tableau!$G$20</f>
        <v>-4.9149552106721242</v>
      </c>
      <c r="X173" s="101">
        <f>((Tableau!$G$25-P173)/(AD173^2+Tableau!$G$30^2)^(3/2))*Tableau!$G$29</f>
        <v>131.09120665692441</v>
      </c>
      <c r="Y173" s="101">
        <f>((Tableau!$H$25-Q173)/(AD173^2+Tableau!$G$30^2)^(3/2))*Tableau!$G$29</f>
        <v>-6.3350837000568205</v>
      </c>
      <c r="Z173" s="101">
        <f>((Tableau!$G$35-P173)/(AE173^2+Tableau!$G$40^2)^(3/2))*Tableau!$G$39</f>
        <v>133.98419695089549</v>
      </c>
      <c r="AA173" s="102">
        <f>((Tableau!$H$35-Q173)/(AE173^2+Tableau!$G$40^2)^(3/2))*Tableau!$G$39</f>
        <v>-70.332731090811095</v>
      </c>
      <c r="AC173" s="113">
        <f>SQRT((Tableau!$G$16-P173)^2+(Tableau!$H$16-Q173)^2)</f>
        <v>76051.24930859539</v>
      </c>
      <c r="AD173" s="114">
        <f>SQRT((Tableau!$G$25-P173)^2+(Tableau!$H$25-Q173)^2)</f>
        <v>35975.093150765919</v>
      </c>
      <c r="AE173" s="115">
        <f>SQRT((Tableau!$G$35-P173)^2+(Tableau!$H$35-Q173)^2)</f>
        <v>57524.142524162897</v>
      </c>
    </row>
    <row r="174" spans="2:31" x14ac:dyDescent="0.25">
      <c r="B174" s="20">
        <v>171</v>
      </c>
      <c r="C174" s="21">
        <f>Tableau!$G$17*COS(B174*PI()/180)+Tableau!$G$16</f>
        <v>15061.558297024312</v>
      </c>
      <c r="D174" s="21">
        <f>Tableau!$G$17*SIN(B174*PI()/180)+Tableau!$H$16</f>
        <v>8282.1723252011543</v>
      </c>
      <c r="F174" s="28">
        <v>171</v>
      </c>
      <c r="G174" s="29">
        <f>Tableau!$G$26*COS(F174*PI()/180)+Tableau!$G$25</f>
        <v>-23456.909192082981</v>
      </c>
      <c r="H174" s="29">
        <f>Tableau!$G$26*SIN(F174*PI()/180)+Tableau!$H$25</f>
        <v>10547.520627640808</v>
      </c>
      <c r="J174" s="36">
        <v>171</v>
      </c>
      <c r="K174" s="37">
        <f>Tableau!$G$36*COS(J174*PI()/180)+Tableau!$G$35</f>
        <v>-9938.4417029756878</v>
      </c>
      <c r="L174" s="37">
        <f>Tableau!$G$36*SIN(J174*PI()/180)+Tableau!$H$35</f>
        <v>-14217.827674798846</v>
      </c>
      <c r="N174" s="92">
        <v>170</v>
      </c>
      <c r="O174" s="93">
        <v>85</v>
      </c>
      <c r="P174" s="96">
        <f>P173+R173*Tableau!$G$2+((1/2)*T173)*Tableau!$G$2^2</f>
        <v>-55887.035220721205</v>
      </c>
      <c r="Q174" s="96">
        <f>Q173+S173*Tableau!$G$2+((1/2)*U173)*Tableau!$G$2^2</f>
        <v>12336.022970720827</v>
      </c>
      <c r="R174" s="96">
        <f>R173+T173*Tableau!$G$2</f>
        <v>180.53944647443748</v>
      </c>
      <c r="S174" s="96">
        <f>S173+U173*Tableau!$G$2</f>
        <v>1178.6550027291623</v>
      </c>
      <c r="T174" s="96">
        <f t="shared" si="4"/>
        <v>351.37200697858532</v>
      </c>
      <c r="U174" s="96">
        <f t="shared" si="5"/>
        <v>-85.184827830091976</v>
      </c>
      <c r="V174" s="96">
        <f>((Tableau!$G$16-P174)/(AC174^2+Tableau!$G$21^2)^(3/2))*Tableau!$G$20</f>
        <v>88.075129542486778</v>
      </c>
      <c r="W174" s="96">
        <f>((Tableau!$H$16-Q174)/(AC174^2+Tableau!$G$21^2)^(3/2))*Tableau!$G$20</f>
        <v>-5.6127288195912559</v>
      </c>
      <c r="X174" s="96">
        <f>((Tableau!$G$25-P174)/(AD174^2+Tableau!$G$30^2)^(3/2))*Tableau!$G$29</f>
        <v>131.05039101170212</v>
      </c>
      <c r="Y174" s="96">
        <f>((Tableau!$H$25-Q174)/(AD174^2+Tableau!$G$30^2)^(3/2))*Tableau!$G$29</f>
        <v>-8.5305660342908123</v>
      </c>
      <c r="Z174" s="96">
        <f>((Tableau!$G$35-P174)/(AE174^2+Tableau!$G$40^2)^(3/2))*Tableau!$G$39</f>
        <v>132.24648642439641</v>
      </c>
      <c r="AA174" s="97">
        <f>((Tableau!$H$35-Q174)/(AE174^2+Tableau!$G$40^2)^(3/2))*Tableau!$G$39</f>
        <v>-71.041532976209908</v>
      </c>
      <c r="AC174" s="110">
        <f>SQRT((Tableau!$G$16-P174)^2+(Tableau!$H$16-Q174)^2)</f>
        <v>76040.97075106499</v>
      </c>
      <c r="AD174" s="111">
        <f>SQRT((Tableau!$G$25-P174)^2+(Tableau!$H$25-Q174)^2)</f>
        <v>35962.98514101714</v>
      </c>
      <c r="AE174" s="112">
        <f>SQRT((Tableau!$G$35-P174)^2+(Tableau!$H$35-Q174)^2)</f>
        <v>57764.595605013092</v>
      </c>
    </row>
    <row r="175" spans="2:31" x14ac:dyDescent="0.25">
      <c r="B175" s="18">
        <v>172</v>
      </c>
      <c r="C175" s="19">
        <f>Tableau!$G$17*COS(B175*PI()/180)+Tableau!$G$16</f>
        <v>15048.659656292148</v>
      </c>
      <c r="D175" s="19">
        <f>Tableau!$G$17*SIN(B175*PI()/180)+Tableau!$H$16</f>
        <v>8195.8655048003293</v>
      </c>
      <c r="F175" s="26">
        <v>172</v>
      </c>
      <c r="G175" s="27">
        <f>Tableau!$G$26*COS(F175*PI()/180)+Tableau!$G$25</f>
        <v>-23465.938240595497</v>
      </c>
      <c r="H175" s="27">
        <f>Tableau!$G$26*SIN(F175*PI()/180)+Tableau!$H$25</f>
        <v>10487.10585336023</v>
      </c>
      <c r="J175" s="34">
        <v>172</v>
      </c>
      <c r="K175" s="35">
        <f>Tableau!$G$36*COS(J175*PI()/180)+Tableau!$G$35</f>
        <v>-9951.3403437078523</v>
      </c>
      <c r="L175" s="35">
        <f>Tableau!$G$36*SIN(J175*PI()/180)+Tableau!$H$35</f>
        <v>-14304.134495199671</v>
      </c>
      <c r="N175" s="98">
        <v>171</v>
      </c>
      <c r="O175" s="99">
        <v>85.5</v>
      </c>
      <c r="P175" s="101">
        <f>P174+R174*Tableau!$G$2+((1/2)*T174)*Tableau!$G$2^2</f>
        <v>-55752.843996611664</v>
      </c>
      <c r="Q175" s="101">
        <f>Q174+S174*Tableau!$G$2+((1/2)*U174)*Tableau!$G$2^2</f>
        <v>12914.702368606648</v>
      </c>
      <c r="R175" s="101">
        <f>R174+T174*Tableau!$G$2</f>
        <v>356.22544996373017</v>
      </c>
      <c r="S175" s="101">
        <f>S174+U174*Tableau!$G$2</f>
        <v>1136.0625888141165</v>
      </c>
      <c r="T175" s="101">
        <f t="shared" si="4"/>
        <v>350.61845609780443</v>
      </c>
      <c r="U175" s="101">
        <f t="shared" si="5"/>
        <v>-88.998741874253881</v>
      </c>
      <c r="V175" s="101">
        <f>((Tableau!$G$16-P175)/(AC175^2+Tableau!$G$21^2)^(3/2))*Tableau!$G$20</f>
        <v>88.24360388585194</v>
      </c>
      <c r="W175" s="101">
        <f>((Tableau!$H$16-Q175)/(AC175^2+Tableau!$G$21^2)^(3/2))*Tableau!$G$20</f>
        <v>-6.3075235960313414</v>
      </c>
      <c r="X175" s="101">
        <f>((Tableau!$G$25-P175)/(AD175^2+Tableau!$G$30^2)^(3/2))*Tableau!$G$29</f>
        <v>131.52552066321911</v>
      </c>
      <c r="Y175" s="101">
        <f>((Tableau!$H$25-Q175)/(AD175^2+Tableau!$G$30^2)^(3/2))*Tableau!$G$29</f>
        <v>-10.722440616070671</v>
      </c>
      <c r="Z175" s="101">
        <f>((Tableau!$G$35-P175)/(AE175^2+Tableau!$G$40^2)^(3/2))*Tableau!$G$39</f>
        <v>130.84933154873337</v>
      </c>
      <c r="AA175" s="102">
        <f>((Tableau!$H$35-Q175)/(AE175^2+Tableau!$G$40^2)^(3/2))*Tableau!$G$39</f>
        <v>-71.968777662151865</v>
      </c>
      <c r="AC175" s="113">
        <f>SQRT((Tableau!$G$16-P175)^2+(Tableau!$H$16-Q175)^2)</f>
        <v>75946.114945503155</v>
      </c>
      <c r="AD175" s="114">
        <f>SQRT((Tableau!$G$25-P175)^2+(Tableau!$H$25-Q175)^2)</f>
        <v>35871.455835296285</v>
      </c>
      <c r="AE175" s="115">
        <f>SQRT((Tableau!$G$35-P175)^2+(Tableau!$H$35-Q175)^2)</f>
        <v>57923.06778885502</v>
      </c>
    </row>
    <row r="176" spans="2:31" x14ac:dyDescent="0.25">
      <c r="B176" s="20">
        <v>173</v>
      </c>
      <c r="C176" s="21">
        <f>Tableau!$G$17*COS(B176*PI()/180)+Tableau!$G$16</f>
        <v>15037.26924179339</v>
      </c>
      <c r="D176" s="21">
        <f>Tableau!$G$17*SIN(B176*PI()/180)+Tableau!$H$16</f>
        <v>8109.3467170257372</v>
      </c>
      <c r="F176" s="28">
        <v>173</v>
      </c>
      <c r="G176" s="29">
        <f>Tableau!$G$26*COS(F176*PI()/180)+Tableau!$G$25</f>
        <v>-23473.911530744626</v>
      </c>
      <c r="H176" s="29">
        <f>Tableau!$G$26*SIN(F176*PI()/180)+Tableau!$H$25</f>
        <v>10426.542701918017</v>
      </c>
      <c r="J176" s="36">
        <v>173</v>
      </c>
      <c r="K176" s="37">
        <f>Tableau!$G$36*COS(J176*PI()/180)+Tableau!$G$35</f>
        <v>-9962.7307582066096</v>
      </c>
      <c r="L176" s="37">
        <f>Tableau!$G$36*SIN(J176*PI()/180)+Tableau!$H$35</f>
        <v>-14390.653282974263</v>
      </c>
      <c r="N176" s="92">
        <v>172</v>
      </c>
      <c r="O176" s="93">
        <v>86</v>
      </c>
      <c r="P176" s="96">
        <f>P175+R175*Tableau!$G$2+((1/2)*T175)*Tableau!$G$2^2</f>
        <v>-55530.903964617573</v>
      </c>
      <c r="Q176" s="96">
        <f>Q175+S175*Tableau!$G$2+((1/2)*U175)*Tableau!$G$2^2</f>
        <v>13471.608820279424</v>
      </c>
      <c r="R176" s="96">
        <f>R175+T175*Tableau!$G$2</f>
        <v>531.53467801263241</v>
      </c>
      <c r="S176" s="96">
        <f>S175+U175*Tableau!$G$2</f>
        <v>1091.5632178769895</v>
      </c>
      <c r="T176" s="96">
        <f t="shared" si="4"/>
        <v>350.90536339977103</v>
      </c>
      <c r="U176" s="96">
        <f t="shared" si="5"/>
        <v>-93.075184607476217</v>
      </c>
      <c r="V176" s="96">
        <f>((Tableau!$G$16-P176)/(AC176^2+Tableau!$G$21^2)^(3/2))*Tableau!$G$20</f>
        <v>88.601201404936901</v>
      </c>
      <c r="W176" s="96">
        <f>((Tableau!$H$16-Q176)/(AC176^2+Tableau!$G$21^2)^(3/2))*Tableau!$G$20</f>
        <v>-7.0049699927453233</v>
      </c>
      <c r="X176" s="96">
        <f>((Tableau!$G$25-P176)/(AD176^2+Tableau!$G$30^2)^(3/2))*Tableau!$G$29</f>
        <v>132.53007896946701</v>
      </c>
      <c r="Y176" s="96">
        <f>((Tableau!$H$25-Q176)/(AD176^2+Tableau!$G$30^2)^(3/2))*Tableau!$G$29</f>
        <v>-12.949082059969545</v>
      </c>
      <c r="Z176" s="96">
        <f>((Tableau!$G$35-P176)/(AE176^2+Tableau!$G$40^2)^(3/2))*Tableau!$G$39</f>
        <v>129.77408302536713</v>
      </c>
      <c r="AA176" s="97">
        <f>((Tableau!$H$35-Q176)/(AE176^2+Tableau!$G$40^2)^(3/2))*Tableau!$G$39</f>
        <v>-73.121132554761346</v>
      </c>
      <c r="AC176" s="110">
        <f>SQRT((Tableau!$G$16-P176)^2+(Tableau!$H$16-Q176)^2)</f>
        <v>75766.599274447595</v>
      </c>
      <c r="AD176" s="111">
        <f>SQRT((Tableau!$G$25-P176)^2+(Tableau!$H$25-Q176)^2)</f>
        <v>35700.10090103274</v>
      </c>
      <c r="AE176" s="112">
        <f>SQRT((Tableau!$G$35-P176)^2+(Tableau!$H$35-Q176)^2)</f>
        <v>58000.04107150629</v>
      </c>
    </row>
    <row r="177" spans="2:31" x14ac:dyDescent="0.25">
      <c r="B177" s="18">
        <v>174</v>
      </c>
      <c r="C177" s="19">
        <f>Tableau!$G$17*COS(B177*PI()/180)+Tableau!$G$16</f>
        <v>15027.390523158632</v>
      </c>
      <c r="D177" s="19">
        <f>Tableau!$G$17*SIN(B177*PI()/180)+Tableau!$H$16</f>
        <v>8022.6423163382688</v>
      </c>
      <c r="F177" s="26">
        <v>174</v>
      </c>
      <c r="G177" s="27">
        <f>Tableau!$G$26*COS(F177*PI()/180)+Tableau!$G$25</f>
        <v>-23480.826633788958</v>
      </c>
      <c r="H177" s="27">
        <f>Tableau!$G$26*SIN(F177*PI()/180)+Tableau!$H$25</f>
        <v>10365.849621436788</v>
      </c>
      <c r="J177" s="34">
        <v>174</v>
      </c>
      <c r="K177" s="35">
        <f>Tableau!$G$36*COS(J177*PI()/180)+Tableau!$G$35</f>
        <v>-9972.6094768413677</v>
      </c>
      <c r="L177" s="35">
        <f>Tableau!$G$36*SIN(J177*PI()/180)+Tableau!$H$35</f>
        <v>-14477.357683661732</v>
      </c>
      <c r="N177" s="98">
        <v>173</v>
      </c>
      <c r="O177" s="99">
        <v>86.5</v>
      </c>
      <c r="P177" s="101">
        <f>P176+R176*Tableau!$G$2+((1/2)*T176)*Tableau!$G$2^2</f>
        <v>-55221.273455186289</v>
      </c>
      <c r="Q177" s="101">
        <f>Q176+S176*Tableau!$G$2+((1/2)*U176)*Tableau!$G$2^2</f>
        <v>14005.756031141984</v>
      </c>
      <c r="R177" s="101">
        <f>R176+T176*Tableau!$G$2</f>
        <v>706.9873597125179</v>
      </c>
      <c r="S177" s="101">
        <f>S176+U176*Tableau!$G$2</f>
        <v>1045.0256255732513</v>
      </c>
      <c r="T177" s="101">
        <f t="shared" si="4"/>
        <v>352.24725882739449</v>
      </c>
      <c r="U177" s="101">
        <f t="shared" si="5"/>
        <v>-97.469544523227796</v>
      </c>
      <c r="V177" s="101">
        <f>((Tableau!$G$16-P177)/(AC177^2+Tableau!$G$21^2)^(3/2))*Tableau!$G$20</f>
        <v>89.152571610159114</v>
      </c>
      <c r="W177" s="101">
        <f>((Tableau!$H$16-Q177)/(AC177^2+Tableau!$G$21^2)^(3/2))*Tableau!$G$20</f>
        <v>-7.7106495782759259</v>
      </c>
      <c r="X177" s="101">
        <f>((Tableau!$G$25-P177)/(AD177^2+Tableau!$G$30^2)^(3/2))*Tableau!$G$29</f>
        <v>134.08817363169732</v>
      </c>
      <c r="Y177" s="101">
        <f>((Tableau!$H$25-Q177)/(AD177^2+Tableau!$G$30^2)^(3/2))*Tableau!$G$29</f>
        <v>-15.25000255636396</v>
      </c>
      <c r="Z177" s="101">
        <f>((Tableau!$G$35-P177)/(AE177^2+Tableau!$G$40^2)^(3/2))*Tableau!$G$39</f>
        <v>129.0065135855381</v>
      </c>
      <c r="AA177" s="102">
        <f>((Tableau!$H$35-Q177)/(AE177^2+Tableau!$G$40^2)^(3/2))*Tableau!$G$39</f>
        <v>-74.50889238858791</v>
      </c>
      <c r="AC177" s="113">
        <f>SQRT((Tableau!$G$16-P177)^2+(Tableau!$H$16-Q177)^2)</f>
        <v>75502.085015956036</v>
      </c>
      <c r="AD177" s="114">
        <f>SQRT((Tableau!$G$25-P177)^2+(Tableau!$H$25-Q177)^2)</f>
        <v>35448.331204529793</v>
      </c>
      <c r="AE177" s="115">
        <f>SQRT((Tableau!$G$35-P177)^2+(Tableau!$H$35-Q177)^2)</f>
        <v>57995.777349723736</v>
      </c>
    </row>
    <row r="178" spans="2:31" x14ac:dyDescent="0.25">
      <c r="B178" s="20">
        <v>175</v>
      </c>
      <c r="C178" s="21">
        <f>Tableau!$G$17*COS(B178*PI()/180)+Tableau!$G$16</f>
        <v>15019.026509541272</v>
      </c>
      <c r="D178" s="21">
        <f>Tableau!$G$17*SIN(B178*PI()/180)+Tableau!$H$16</f>
        <v>7935.7787137382929</v>
      </c>
      <c r="F178" s="28">
        <v>175</v>
      </c>
      <c r="G178" s="29">
        <f>Tableau!$G$26*COS(F178*PI()/180)+Tableau!$G$25</f>
        <v>-23486.681443321111</v>
      </c>
      <c r="H178" s="29">
        <f>Tableau!$G$26*SIN(F178*PI()/180)+Tableau!$H$25</f>
        <v>10305.045099616806</v>
      </c>
      <c r="J178" s="36">
        <v>175</v>
      </c>
      <c r="K178" s="37">
        <f>Tableau!$G$36*COS(J178*PI()/180)+Tableau!$G$35</f>
        <v>-9980.9734904587276</v>
      </c>
      <c r="L178" s="37">
        <f>Tableau!$G$36*SIN(J178*PI()/180)+Tableau!$H$35</f>
        <v>-14564.221286261707</v>
      </c>
      <c r="N178" s="92">
        <v>174</v>
      </c>
      <c r="O178" s="93">
        <v>87</v>
      </c>
      <c r="P178" s="96">
        <f>P177+R177*Tableau!$G$2+((1/2)*T177)*Tableau!$G$2^2</f>
        <v>-54823.74886797661</v>
      </c>
      <c r="Q178" s="96">
        <f>Q177+S177*Tableau!$G$2+((1/2)*U177)*Tableau!$G$2^2</f>
        <v>14516.085150863208</v>
      </c>
      <c r="R178" s="96">
        <f>R177+T177*Tableau!$G$2</f>
        <v>883.11098912621515</v>
      </c>
      <c r="S178" s="96">
        <f>S177+U177*Tableau!$G$2</f>
        <v>996.29085331163742</v>
      </c>
      <c r="T178" s="96">
        <f t="shared" si="4"/>
        <v>354.67708181443976</v>
      </c>
      <c r="U178" s="96">
        <f t="shared" si="5"/>
        <v>-102.24404882904378</v>
      </c>
      <c r="V178" s="96">
        <f>((Tableau!$G$16-P178)/(AC178^2+Tableau!$G$21^2)^(3/2))*Tableau!$G$20</f>
        <v>89.904923959316591</v>
      </c>
      <c r="W178" s="96">
        <f>((Tableau!$H$16-Q178)/(AC178^2+Tableau!$G$21^2)^(3/2))*Tableau!$G$20</f>
        <v>-8.43021916869513</v>
      </c>
      <c r="X178" s="96">
        <f>((Tableau!$G$25-P178)/(AD178^2+Tableau!$G$30^2)^(3/2))*Tableau!$G$29</f>
        <v>136.23580187322219</v>
      </c>
      <c r="Y178" s="96">
        <f>((Tableau!$H$25-Q178)/(AD178^2+Tableau!$G$30^2)^(3/2))*Tableau!$G$29</f>
        <v>-17.667611956086024</v>
      </c>
      <c r="Z178" s="96">
        <f>((Tableau!$G$35-P178)/(AE178^2+Tableau!$G$40^2)^(3/2))*Tableau!$G$39</f>
        <v>128.53635598190098</v>
      </c>
      <c r="AA178" s="97">
        <f>((Tableau!$H$35-Q178)/(AE178^2+Tableau!$G$40^2)^(3/2))*Tableau!$G$39</f>
        <v>-76.146217704262625</v>
      </c>
      <c r="AC178" s="110">
        <f>SQRT((Tableau!$G$16-P178)^2+(Tableau!$H$16-Q178)^2)</f>
        <v>75151.971667429956</v>
      </c>
      <c r="AD178" s="111">
        <f>SQRT((Tableau!$G$25-P178)^2+(Tableau!$H$25-Q178)^2)</f>
        <v>35115.360033890429</v>
      </c>
      <c r="AE178" s="112">
        <f>SQRT((Tableau!$G$35-P178)^2+(Tableau!$H$35-Q178)^2)</f>
        <v>57910.320616382429</v>
      </c>
    </row>
    <row r="179" spans="2:31" x14ac:dyDescent="0.25">
      <c r="B179" s="18">
        <v>176</v>
      </c>
      <c r="C179" s="19">
        <f>Tableau!$G$17*COS(B179*PI()/180)+Tableau!$G$16</f>
        <v>15012.179748700879</v>
      </c>
      <c r="D179" s="19">
        <f>Tableau!$G$17*SIN(B179*PI()/180)+Tableau!$H$16</f>
        <v>7848.7823687206273</v>
      </c>
      <c r="F179" s="26">
        <v>176</v>
      </c>
      <c r="G179" s="27">
        <f>Tableau!$G$26*COS(F179*PI()/180)+Tableau!$G$25</f>
        <v>-23491.474175909385</v>
      </c>
      <c r="H179" s="27">
        <f>Tableau!$G$26*SIN(F179*PI()/180)+Tableau!$H$25</f>
        <v>10244.147658104439</v>
      </c>
      <c r="J179" s="34">
        <v>176</v>
      </c>
      <c r="K179" s="35">
        <f>Tableau!$G$36*COS(J179*PI()/180)+Tableau!$G$35</f>
        <v>-9987.8202512991211</v>
      </c>
      <c r="L179" s="35">
        <f>Tableau!$G$36*SIN(J179*PI()/180)+Tableau!$H$35</f>
        <v>-14651.217631279373</v>
      </c>
      <c r="N179" s="98">
        <v>175</v>
      </c>
      <c r="O179" s="99">
        <v>87.5</v>
      </c>
      <c r="P179" s="101">
        <f>P178+R178*Tableau!$G$2+((1/2)*T178)*Tableau!$G$2^2</f>
        <v>-54337.858738186696</v>
      </c>
      <c r="Q179" s="101">
        <f>Q178+S178*Tableau!$G$2+((1/2)*U178)*Tableau!$G$2^2</f>
        <v>15001.450071415396</v>
      </c>
      <c r="R179" s="101">
        <f>R178+T178*Tableau!$G$2</f>
        <v>1060.4495300334349</v>
      </c>
      <c r="S179" s="101">
        <f>S178+U178*Tableau!$G$2</f>
        <v>945.16882889711553</v>
      </c>
      <c r="T179" s="101">
        <f t="shared" si="4"/>
        <v>358.2479429888582</v>
      </c>
      <c r="U179" s="101">
        <f t="shared" si="5"/>
        <v>-107.47028873953724</v>
      </c>
      <c r="V179" s="101">
        <f>((Tableau!$G$16-P179)/(AC179^2+Tableau!$G$21^2)^(3/2))*Tableau!$G$20</f>
        <v>90.868263510488489</v>
      </c>
      <c r="W179" s="101">
        <f>((Tableau!$H$16-Q179)/(AC179^2+Tableau!$G$21^2)^(3/2))*Tableau!$G$20</f>
        <v>-9.1695369408050027</v>
      </c>
      <c r="X179" s="101">
        <f>((Tableau!$G$25-P179)/(AD179^2+Tableau!$G$30^2)^(3/2))*Tableau!$G$29</f>
        <v>139.02271759245573</v>
      </c>
      <c r="Y179" s="101">
        <f>((Tableau!$H$25-Q179)/(AD179^2+Tableau!$G$30^2)^(3/2))*Tableau!$G$29</f>
        <v>-20.249229462229078</v>
      </c>
      <c r="Z179" s="101">
        <f>((Tableau!$G$35-P179)/(AE179^2+Tableau!$G$40^2)^(3/2))*Tableau!$G$39</f>
        <v>128.35696188591393</v>
      </c>
      <c r="AA179" s="102">
        <f>((Tableau!$H$35-Q179)/(AE179^2+Tableau!$G$40^2)^(3/2))*Tableau!$G$39</f>
        <v>-78.051522336503155</v>
      </c>
      <c r="AC179" s="113">
        <f>SQRT((Tableau!$G$16-P179)^2+(Tableau!$H$16-Q179)^2)</f>
        <v>74715.386601104707</v>
      </c>
      <c r="AD179" s="114">
        <f>SQRT((Tableau!$G$25-P179)^2+(Tableau!$H$25-Q179)^2)</f>
        <v>34700.187975579116</v>
      </c>
      <c r="AE179" s="115">
        <f>SQRT((Tableau!$G$35-P179)^2+(Tableau!$H$35-Q179)^2)</f>
        <v>57743.495835088615</v>
      </c>
    </row>
    <row r="180" spans="2:31" x14ac:dyDescent="0.25">
      <c r="B180" s="20">
        <v>177</v>
      </c>
      <c r="C180" s="21">
        <f>Tableau!$G$17*COS(B180*PI()/180)+Tableau!$G$16</f>
        <v>15006.85232622713</v>
      </c>
      <c r="D180" s="21">
        <f>Tableau!$G$17*SIN(B180*PI()/180)+Tableau!$H$16</f>
        <v>7761.6797812147188</v>
      </c>
      <c r="F180" s="28">
        <v>177</v>
      </c>
      <c r="G180" s="29">
        <f>Tableau!$G$26*COS(F180*PI()/180)+Tableau!$G$25</f>
        <v>-23495.203371641008</v>
      </c>
      <c r="H180" s="29">
        <f>Tableau!$G$26*SIN(F180*PI()/180)+Tableau!$H$25</f>
        <v>10183.175846850303</v>
      </c>
      <c r="J180" s="36">
        <v>177</v>
      </c>
      <c r="K180" s="37">
        <f>Tableau!$G$36*COS(J180*PI()/180)+Tableau!$G$35</f>
        <v>-9993.1476737728699</v>
      </c>
      <c r="L180" s="37">
        <f>Tableau!$G$36*SIN(J180*PI()/180)+Tableau!$H$35</f>
        <v>-14738.32021878528</v>
      </c>
      <c r="N180" s="92">
        <v>176</v>
      </c>
      <c r="O180" s="93">
        <v>88</v>
      </c>
      <c r="P180" s="96">
        <f>P179+R179*Tableau!$G$2+((1/2)*T179)*Tableau!$G$2^2</f>
        <v>-53762.852980296368</v>
      </c>
      <c r="Q180" s="96">
        <f>Q179+S179*Tableau!$G$2+((1/2)*U179)*Tableau!$G$2^2</f>
        <v>15460.600699771512</v>
      </c>
      <c r="R180" s="96">
        <f>R179+T179*Tableau!$G$2</f>
        <v>1239.573501527864</v>
      </c>
      <c r="S180" s="96">
        <f>S179+U179*Tableau!$G$2</f>
        <v>891.43368452734694</v>
      </c>
      <c r="T180" s="96">
        <f t="shared" si="4"/>
        <v>363.03585965791876</v>
      </c>
      <c r="U180" s="96">
        <f t="shared" si="5"/>
        <v>-113.23235662695167</v>
      </c>
      <c r="V180" s="96">
        <f>((Tableau!$G$16-P180)/(AC180^2+Tableau!$G$21^2)^(3/2))*Tableau!$G$20</f>
        <v>92.055728612128988</v>
      </c>
      <c r="W180" s="96">
        <f>((Tableau!$H$16-Q180)/(AC180^2+Tableau!$G$21^2)^(3/2))*Tableau!$G$20</f>
        <v>-9.9347960118007101</v>
      </c>
      <c r="X180" s="96">
        <f>((Tableau!$G$25-P180)/(AD180^2+Tableau!$G$30^2)^(3/2))*Tableau!$G$29</f>
        <v>142.51507031492537</v>
      </c>
      <c r="Y180" s="96">
        <f>((Tableau!$H$25-Q180)/(AD180^2+Tableau!$G$30^2)^(3/2))*Tableau!$G$29</f>
        <v>-23.04953000102886</v>
      </c>
      <c r="Z180" s="96">
        <f>((Tableau!$G$35-P180)/(AE180^2+Tableau!$G$40^2)^(3/2))*Tableau!$G$39</f>
        <v>128.46506073086439</v>
      </c>
      <c r="AA180" s="97">
        <f>((Tableau!$H$35-Q180)/(AE180^2+Tableau!$G$40^2)^(3/2))*Tableau!$G$39</f>
        <v>-80.248030614122101</v>
      </c>
      <c r="AC180" s="110">
        <f>SQRT((Tableau!$G$16-P180)^2+(Tableau!$H$16-Q180)^2)</f>
        <v>74191.169577612251</v>
      </c>
      <c r="AD180" s="111">
        <f>SQRT((Tableau!$G$25-P180)^2+(Tableau!$H$25-Q180)^2)</f>
        <v>34201.584778653931</v>
      </c>
      <c r="AE180" s="112">
        <f>SQRT((Tableau!$G$35-P180)^2+(Tableau!$H$35-Q180)^2)</f>
        <v>57494.90434611505</v>
      </c>
    </row>
    <row r="181" spans="2:31" x14ac:dyDescent="0.25">
      <c r="B181" s="18">
        <v>178</v>
      </c>
      <c r="C181" s="19">
        <f>Tableau!$G$17*COS(B181*PI()/180)+Tableau!$G$16</f>
        <v>15003.045864904521</v>
      </c>
      <c r="D181" s="19">
        <f>Tableau!$G$17*SIN(B181*PI()/180)+Tableau!$H$16</f>
        <v>7674.4974835125031</v>
      </c>
      <c r="F181" s="26">
        <v>178</v>
      </c>
      <c r="G181" s="27">
        <f>Tableau!$G$26*COS(F181*PI()/180)+Tableau!$G$25</f>
        <v>-23497.867894566836</v>
      </c>
      <c r="H181" s="27">
        <f>Tableau!$G$26*SIN(F181*PI()/180)+Tableau!$H$25</f>
        <v>10122.148238458753</v>
      </c>
      <c r="J181" s="34">
        <v>178</v>
      </c>
      <c r="K181" s="35">
        <f>Tableau!$G$36*COS(J181*PI()/180)+Tableau!$G$35</f>
        <v>-9996.9541350954787</v>
      </c>
      <c r="L181" s="35">
        <f>Tableau!$G$36*SIN(J181*PI()/180)+Tableau!$H$35</f>
        <v>-14825.502516487497</v>
      </c>
      <c r="N181" s="98">
        <v>177</v>
      </c>
      <c r="O181" s="99">
        <v>88.5</v>
      </c>
      <c r="P181" s="101">
        <f>P180+R180*Tableau!$G$2+((1/2)*T180)*Tableau!$G$2^2</f>
        <v>-53097.686747075197</v>
      </c>
      <c r="Q181" s="101">
        <f>Q180+S180*Tableau!$G$2+((1/2)*U180)*Tableau!$G$2^2</f>
        <v>15892.163497456817</v>
      </c>
      <c r="R181" s="101">
        <f>R180+T180*Tableau!$G$2</f>
        <v>1421.0914313568233</v>
      </c>
      <c r="S181" s="101">
        <f>S180+U180*Tableau!$G$2</f>
        <v>834.81750621387107</v>
      </c>
      <c r="T181" s="101">
        <f t="shared" si="4"/>
        <v>369.1437193123154</v>
      </c>
      <c r="U181" s="101">
        <f t="shared" si="5"/>
        <v>-119.63088071190226</v>
      </c>
      <c r="V181" s="101">
        <f>((Tableau!$G$16-P181)/(AC181^2+Tableau!$G$21^2)^(3/2))*Tableau!$G$20</f>
        <v>93.484052695157715</v>
      </c>
      <c r="W181" s="101">
        <f>((Tableau!$H$16-Q181)/(AC181^2+Tableau!$G$21^2)^(3/2))*Tableau!$G$20</f>
        <v>-10.732671436473645</v>
      </c>
      <c r="X181" s="101">
        <f>((Tableau!$G$25-P181)/(AD181^2+Tableau!$G$30^2)^(3/2))*Tableau!$G$29</f>
        <v>146.79906455372927</v>
      </c>
      <c r="Y181" s="101">
        <f>((Tableau!$H$25-Q181)/(AD181^2+Tableau!$G$30^2)^(3/2))*Tableau!$G$29</f>
        <v>-26.133672006570865</v>
      </c>
      <c r="Z181" s="101">
        <f>((Tableau!$G$35-P181)/(AE181^2+Tableau!$G$40^2)^(3/2))*Tableau!$G$39</f>
        <v>128.86060206342839</v>
      </c>
      <c r="AA181" s="102">
        <f>((Tableau!$H$35-Q181)/(AE181^2+Tableau!$G$40^2)^(3/2))*Tableau!$G$39</f>
        <v>-82.764537268857751</v>
      </c>
      <c r="AC181" s="113">
        <f>SQRT((Tableau!$G$16-P181)^2+(Tableau!$H$16-Q181)^2)</f>
        <v>73577.851395250604</v>
      </c>
      <c r="AD181" s="114">
        <f>SQRT((Tableau!$G$25-P181)^2+(Tableau!$H$25-Q181)^2)</f>
        <v>33618.067444281798</v>
      </c>
      <c r="AE181" s="115">
        <f>SQRT((Tableau!$G$35-P181)^2+(Tableau!$H$35-Q181)^2)</f>
        <v>57163.915505967365</v>
      </c>
    </row>
    <row r="182" spans="2:31" x14ac:dyDescent="0.25">
      <c r="B182" s="20">
        <v>179</v>
      </c>
      <c r="C182" s="21">
        <f>Tableau!$G$17*COS(B182*PI()/180)+Tableau!$G$16</f>
        <v>15000.761524218044</v>
      </c>
      <c r="D182" s="21">
        <f>Tableau!$G$17*SIN(B182*PI()/180)+Tableau!$H$16</f>
        <v>7587.2620321864169</v>
      </c>
      <c r="F182" s="28">
        <v>179</v>
      </c>
      <c r="G182" s="29">
        <f>Tableau!$G$26*COS(F182*PI()/180)+Tableau!$G$25</f>
        <v>-23499.46693304737</v>
      </c>
      <c r="H182" s="29">
        <f>Tableau!$G$26*SIN(F182*PI()/180)+Tableau!$H$25</f>
        <v>10061.083422530492</v>
      </c>
      <c r="J182" s="36">
        <v>179</v>
      </c>
      <c r="K182" s="37">
        <f>Tableau!$G$36*COS(J182*PI()/180)+Tableau!$G$35</f>
        <v>-9999.2384757819564</v>
      </c>
      <c r="L182" s="37">
        <f>Tableau!$G$36*SIN(J182*PI()/180)+Tableau!$H$35</f>
        <v>-14912.737967813582</v>
      </c>
      <c r="N182" s="92">
        <v>178</v>
      </c>
      <c r="O182" s="93">
        <v>89</v>
      </c>
      <c r="P182" s="96">
        <f>P181+R181*Tableau!$G$2+((1/2)*T181)*Tableau!$G$2^2</f>
        <v>-52340.998066482745</v>
      </c>
      <c r="Q182" s="96">
        <f>Q181+S181*Tableau!$G$2+((1/2)*U181)*Tableau!$G$2^2</f>
        <v>16294.618390474765</v>
      </c>
      <c r="R182" s="96">
        <f>R181+T181*Tableau!$G$2</f>
        <v>1605.6632910129811</v>
      </c>
      <c r="S182" s="96">
        <f>S181+U181*Tableau!$G$2</f>
        <v>775.00206585791989</v>
      </c>
      <c r="T182" s="96">
        <f t="shared" si="4"/>
        <v>376.70685270893</v>
      </c>
      <c r="U182" s="96">
        <f t="shared" si="5"/>
        <v>-126.7883645236159</v>
      </c>
      <c r="V182" s="96">
        <f>((Tableau!$G$16-P182)/(AC182^2+Tableau!$G$21^2)^(3/2))*Tableau!$G$20</f>
        <v>95.174181944151982</v>
      </c>
      <c r="W182" s="96">
        <f>((Tableau!$H$16-Q182)/(AC182^2+Tableau!$G$21^2)^(3/2))*Tableau!$G$20</f>
        <v>-11.570487457958384</v>
      </c>
      <c r="X182" s="96">
        <f>((Tableau!$G$25-P182)/(AD182^2+Tableau!$G$30^2)^(3/2))*Tableau!$G$29</f>
        <v>151.9860030883886</v>
      </c>
      <c r="Y182" s="96">
        <f>((Tableau!$H$25-Q182)/(AD182^2+Tableau!$G$30^2)^(3/2))*Tableau!$G$29</f>
        <v>-29.58145843762362</v>
      </c>
      <c r="Z182" s="96">
        <f>((Tableau!$G$35-P182)/(AE182^2+Tableau!$G$40^2)^(3/2))*Tableau!$G$39</f>
        <v>129.5466676763894</v>
      </c>
      <c r="AA182" s="97">
        <f>((Tableau!$H$35-Q182)/(AE182^2+Tableau!$G$40^2)^(3/2))*Tableau!$G$39</f>
        <v>-85.636418628033894</v>
      </c>
      <c r="AC182" s="110">
        <f>SQRT((Tableau!$G$16-P182)^2+(Tableau!$H$16-Q182)^2)</f>
        <v>72873.625639794656</v>
      </c>
      <c r="AD182" s="111">
        <f>SQRT((Tableau!$G$25-P182)^2+(Tableau!$H$25-Q182)^2)</f>
        <v>32947.87362817127</v>
      </c>
      <c r="AE182" s="112">
        <f>SQRT((Tableau!$G$35-P182)^2+(Tableau!$H$35-Q182)^2)</f>
        <v>56749.654079440559</v>
      </c>
    </row>
    <row r="183" spans="2:31" x14ac:dyDescent="0.25">
      <c r="B183" s="18">
        <v>180</v>
      </c>
      <c r="C183" s="19">
        <f>Tableau!$G$17*COS(B183*PI()/180)+Tableau!$G$16</f>
        <v>15000</v>
      </c>
      <c r="D183" s="19">
        <f>Tableau!$G$17*SIN(B183*PI()/180)+Tableau!$H$16</f>
        <v>7500.0000000000009</v>
      </c>
      <c r="F183" s="26">
        <v>180</v>
      </c>
      <c r="G183" s="27">
        <f>Tableau!$G$26*COS(F183*PI()/180)+Tableau!$G$25</f>
        <v>-23500</v>
      </c>
      <c r="H183" s="27">
        <f>Tableau!$G$26*SIN(F183*PI()/180)+Tableau!$H$25</f>
        <v>10000</v>
      </c>
      <c r="J183" s="34">
        <v>180</v>
      </c>
      <c r="K183" s="35">
        <f>Tableau!$G$36*COS(J183*PI()/180)+Tableau!$G$35</f>
        <v>-10000</v>
      </c>
      <c r="L183" s="35">
        <f>Tableau!$G$36*SIN(J183*PI()/180)+Tableau!$H$35</f>
        <v>-15000</v>
      </c>
      <c r="N183" s="98">
        <v>179</v>
      </c>
      <c r="O183" s="99">
        <v>89.5</v>
      </c>
      <c r="P183" s="101">
        <f>P182+R182*Tableau!$G$2+((1/2)*T182)*Tableau!$G$2^2</f>
        <v>-51491.078064387635</v>
      </c>
      <c r="Q183" s="101">
        <f>Q182+S182*Tableau!$G$2+((1/2)*U182)*Tableau!$G$2^2</f>
        <v>16666.270877838273</v>
      </c>
      <c r="R183" s="101">
        <f>R182+T182*Tableau!$G$2</f>
        <v>1794.0167173674461</v>
      </c>
      <c r="S183" s="101">
        <f>S182+U182*Tableau!$G$2</f>
        <v>711.60788359611195</v>
      </c>
      <c r="T183" s="101">
        <f t="shared" si="4"/>
        <v>385.90078312086575</v>
      </c>
      <c r="U183" s="101">
        <f t="shared" si="5"/>
        <v>-134.85643136394404</v>
      </c>
      <c r="V183" s="101">
        <f>((Tableau!$G$16-P183)/(AC183^2+Tableau!$G$21^2)^(3/2))*Tableau!$G$20</f>
        <v>97.152094034421083</v>
      </c>
      <c r="W183" s="101">
        <f>((Tableau!$H$16-Q183)/(AC183^2+Tableau!$G$21^2)^(3/2))*Tableau!$G$20</f>
        <v>-12.45641322497166</v>
      </c>
      <c r="X183" s="101">
        <f>((Tableau!$G$25-P183)/(AD183^2+Tableau!$G$30^2)^(3/2))*Tableau!$G$29</f>
        <v>158.21924844531924</v>
      </c>
      <c r="Y183" s="101">
        <f>((Tableau!$H$25-Q183)/(AD183^2+Tableau!$G$30^2)^(3/2))*Tableau!$G$29</f>
        <v>-33.493053685489954</v>
      </c>
      <c r="Z183" s="101">
        <f>((Tableau!$G$35-P183)/(AE183^2+Tableau!$G$40^2)^(3/2))*Tableau!$G$39</f>
        <v>130.5294406411254</v>
      </c>
      <c r="AA183" s="102">
        <f>((Tableau!$H$35-Q183)/(AE183^2+Tableau!$G$40^2)^(3/2))*Tableau!$G$39</f>
        <v>-88.906964453482431</v>
      </c>
      <c r="AC183" s="113">
        <f>SQRT((Tableau!$G$16-P183)^2+(Tableau!$H$16-Q183)^2)</f>
        <v>72076.312090826847</v>
      </c>
      <c r="AD183" s="114">
        <f>SQRT((Tableau!$G$25-P183)^2+(Tableau!$H$25-Q183)^2)</f>
        <v>32188.92923155523</v>
      </c>
      <c r="AE183" s="115">
        <f>SQRT((Tableau!$G$35-P183)^2+(Tableau!$H$35-Q183)^2)</f>
        <v>56250.982666062053</v>
      </c>
    </row>
    <row r="184" spans="2:31" x14ac:dyDescent="0.25">
      <c r="B184" s="20">
        <v>181</v>
      </c>
      <c r="C184" s="21">
        <f>Tableau!$G$17*COS(B184*PI()/180)+Tableau!$G$16</f>
        <v>15000.761524218044</v>
      </c>
      <c r="D184" s="21">
        <f>Tableau!$G$17*SIN(B184*PI()/180)+Tableau!$H$16</f>
        <v>7412.737967813584</v>
      </c>
      <c r="F184" s="28">
        <v>181</v>
      </c>
      <c r="G184" s="29">
        <f>Tableau!$G$26*COS(F184*PI()/180)+Tableau!$G$25</f>
        <v>-23499.46693304737</v>
      </c>
      <c r="H184" s="29">
        <f>Tableau!$G$26*SIN(F184*PI()/180)+Tableau!$H$25</f>
        <v>9938.9165774695084</v>
      </c>
      <c r="J184" s="36">
        <v>181</v>
      </c>
      <c r="K184" s="37">
        <f>Tableau!$G$36*COS(J184*PI()/180)+Tableau!$G$35</f>
        <v>-9999.2384757819564</v>
      </c>
      <c r="L184" s="37">
        <f>Tableau!$G$36*SIN(J184*PI()/180)+Tableau!$H$35</f>
        <v>-15087.262032186416</v>
      </c>
      <c r="N184" s="92">
        <v>180</v>
      </c>
      <c r="O184" s="93">
        <v>90</v>
      </c>
      <c r="P184" s="96">
        <f>P183+R183*Tableau!$G$2+((1/2)*T183)*Tableau!$G$2^2</f>
        <v>-50545.832107813803</v>
      </c>
      <c r="Q184" s="96">
        <f>Q183+S183*Tableau!$G$2+((1/2)*U183)*Tableau!$G$2^2</f>
        <v>17005.217765715835</v>
      </c>
      <c r="R184" s="96">
        <f>R183+T183*Tableau!$G$2</f>
        <v>1986.9671089278791</v>
      </c>
      <c r="S184" s="96">
        <f>S183+U183*Tableau!$G$2</f>
        <v>644.17966791413994</v>
      </c>
      <c r="T184" s="96">
        <f t="shared" si="4"/>
        <v>396.9519941950781</v>
      </c>
      <c r="U184" s="96">
        <f t="shared" si="5"/>
        <v>-144.02588410628385</v>
      </c>
      <c r="V184" s="96">
        <f>((Tableau!$G$16-P184)/(AC184^2+Tableau!$G$21^2)^(3/2))*Tableau!$G$20</f>
        <v>99.449882173537176</v>
      </c>
      <c r="W184" s="96">
        <f>((Tableau!$H$16-Q184)/(AC184^2+Tableau!$G$21^2)^(3/2))*Tableau!$G$20</f>
        <v>-13.399697169771558</v>
      </c>
      <c r="X184" s="96">
        <f>((Tableau!$G$25-P184)/(AD184^2+Tableau!$G$30^2)^(3/2))*Tableau!$G$29</f>
        <v>165.68389509581979</v>
      </c>
      <c r="Y184" s="96">
        <f>((Tableau!$H$25-Q184)/(AD184^2+Tableau!$G$30^2)^(3/2))*Tableau!$G$29</f>
        <v>-37.997058365332073</v>
      </c>
      <c r="Z184" s="96">
        <f>((Tableau!$G$35-P184)/(AE184^2+Tableau!$G$40^2)^(3/2))*Tableau!$G$39</f>
        <v>131.81821692572112</v>
      </c>
      <c r="AA184" s="97">
        <f>((Tableau!$H$35-Q184)/(AE184^2+Tableau!$G$40^2)^(3/2))*Tableau!$G$39</f>
        <v>-92.629128571180232</v>
      </c>
      <c r="AC184" s="110">
        <f>SQRT((Tableau!$G$16-P184)^2+(Tableau!$H$16-Q184)^2)</f>
        <v>71183.309789286504</v>
      </c>
      <c r="AD184" s="111">
        <f>SQRT((Tableau!$G$25-P184)^2+(Tableau!$H$25-Q184)^2)</f>
        <v>31338.808769700379</v>
      </c>
      <c r="AE184" s="112">
        <f>SQRT((Tableau!$G$35-P184)^2+(Tableau!$H$35-Q184)^2)</f>
        <v>55666.47812305046</v>
      </c>
    </row>
    <row r="185" spans="2:31" x14ac:dyDescent="0.25">
      <c r="B185" s="18">
        <v>182</v>
      </c>
      <c r="C185" s="19">
        <f>Tableau!$G$17*COS(B185*PI()/180)+Tableau!$G$16</f>
        <v>15003.045864904521</v>
      </c>
      <c r="D185" s="19">
        <f>Tableau!$G$17*SIN(B185*PI()/180)+Tableau!$H$16</f>
        <v>7325.5025164874951</v>
      </c>
      <c r="F185" s="26">
        <v>182</v>
      </c>
      <c r="G185" s="27">
        <f>Tableau!$G$26*COS(F185*PI()/180)+Tableau!$G$25</f>
        <v>-23497.867894566836</v>
      </c>
      <c r="H185" s="27">
        <f>Tableau!$G$26*SIN(F185*PI()/180)+Tableau!$H$25</f>
        <v>9877.8517615412475</v>
      </c>
      <c r="J185" s="34">
        <v>182</v>
      </c>
      <c r="K185" s="35">
        <f>Tableau!$G$36*COS(J185*PI()/180)+Tableau!$G$35</f>
        <v>-9996.9541350954787</v>
      </c>
      <c r="L185" s="35">
        <f>Tableau!$G$36*SIN(J185*PI()/180)+Tableau!$H$35</f>
        <v>-15174.497483512505</v>
      </c>
      <c r="N185" s="98">
        <v>181</v>
      </c>
      <c r="O185" s="99">
        <v>90.5</v>
      </c>
      <c r="P185" s="101">
        <f>P184+R184*Tableau!$G$2+((1/2)*T184)*Tableau!$G$2^2</f>
        <v>-49502.729554075479</v>
      </c>
      <c r="Q185" s="101">
        <f>Q184+S184*Tableau!$G$2+((1/2)*U184)*Tableau!$G$2^2</f>
        <v>17309.30436415962</v>
      </c>
      <c r="R185" s="101">
        <f>R184+T184*Tableau!$G$2</f>
        <v>2185.4431060254183</v>
      </c>
      <c r="S185" s="101">
        <f>S184+U184*Tableau!$G$2</f>
        <v>572.16672586099799</v>
      </c>
      <c r="T185" s="101">
        <f t="shared" si="4"/>
        <v>410.15297856719951</v>
      </c>
      <c r="U185" s="101">
        <f t="shared" si="5"/>
        <v>-154.5409984586444</v>
      </c>
      <c r="V185" s="101">
        <f>((Tableau!$G$16-P185)/(AC185^2+Tableau!$G$21^2)^(3/2))*Tableau!$G$20</f>
        <v>102.10719641760862</v>
      </c>
      <c r="W185" s="101">
        <f>((Tableau!$H$16-Q185)/(AC185^2+Tableau!$G$21^2)^(3/2))*Tableau!$G$20</f>
        <v>-14.410952977783015</v>
      </c>
      <c r="X185" s="101">
        <f>((Tableau!$G$25-P185)/(AD185^2+Tableau!$G$30^2)^(3/2))*Tableau!$G$29</f>
        <v>174.62034152236828</v>
      </c>
      <c r="Y185" s="101">
        <f>((Tableau!$H$25-Q185)/(AD185^2+Tableau!$G$30^2)^(3/2))*Tableau!$G$29</f>
        <v>-43.262208061835935</v>
      </c>
      <c r="Z185" s="101">
        <f>((Tableau!$G$35-P185)/(AE185^2+Tableau!$G$40^2)^(3/2))*Tableau!$G$39</f>
        <v>133.42544062722257</v>
      </c>
      <c r="AA185" s="102">
        <f>((Tableau!$H$35-Q185)/(AE185^2+Tableau!$G$40^2)^(3/2))*Tableau!$G$39</f>
        <v>-96.867837419025449</v>
      </c>
      <c r="AC185" s="113">
        <f>SQRT((Tableau!$G$16-P185)^2+(Tableau!$H$16-Q185)^2)</f>
        <v>70191.537008215455</v>
      </c>
      <c r="AD185" s="114">
        <f>SQRT((Tableau!$G$25-P185)^2+(Tableau!$H$25-Q185)^2)</f>
        <v>30394.686730230362</v>
      </c>
      <c r="AE185" s="115">
        <f>SQRT((Tableau!$G$35-P185)^2+(Tableau!$H$35-Q185)^2)</f>
        <v>54994.40049913343</v>
      </c>
    </row>
    <row r="186" spans="2:31" x14ac:dyDescent="0.25">
      <c r="B186" s="20">
        <v>183</v>
      </c>
      <c r="C186" s="21">
        <f>Tableau!$G$17*COS(B186*PI()/180)+Tableau!$G$16</f>
        <v>15006.85232622713</v>
      </c>
      <c r="D186" s="21">
        <f>Tableau!$G$17*SIN(B186*PI()/180)+Tableau!$H$16</f>
        <v>7238.3202187852821</v>
      </c>
      <c r="F186" s="28">
        <v>183</v>
      </c>
      <c r="G186" s="29">
        <f>Tableau!$G$26*COS(F186*PI()/180)+Tableau!$G$25</f>
        <v>-23495.203371641008</v>
      </c>
      <c r="H186" s="29">
        <f>Tableau!$G$26*SIN(F186*PI()/180)+Tableau!$H$25</f>
        <v>9816.8241531496969</v>
      </c>
      <c r="J186" s="36">
        <v>183</v>
      </c>
      <c r="K186" s="37">
        <f>Tableau!$G$36*COS(J186*PI()/180)+Tableau!$G$35</f>
        <v>-9993.1476737728699</v>
      </c>
      <c r="L186" s="37">
        <f>Tableau!$G$36*SIN(J186*PI()/180)+Tableau!$H$35</f>
        <v>-15261.679781214718</v>
      </c>
      <c r="N186" s="92">
        <v>182</v>
      </c>
      <c r="O186" s="93">
        <v>91</v>
      </c>
      <c r="P186" s="96">
        <f>P185+R185*Tableau!$G$2+((1/2)*T185)*Tableau!$G$2^2</f>
        <v>-48358.738878741875</v>
      </c>
      <c r="Q186" s="96">
        <f>Q185+S185*Tableau!$G$2+((1/2)*U185)*Tableau!$G$2^2</f>
        <v>17576.070102282785</v>
      </c>
      <c r="R186" s="96">
        <f>R185+T185*Tableau!$G$2</f>
        <v>2390.5195953090179</v>
      </c>
      <c r="S186" s="96">
        <f>S185+U185*Tableau!$G$2</f>
        <v>494.8962266316758</v>
      </c>
      <c r="T186" s="96">
        <f t="shared" si="4"/>
        <v>425.88347857013116</v>
      </c>
      <c r="U186" s="96">
        <f t="shared" si="5"/>
        <v>-166.72031931113085</v>
      </c>
      <c r="V186" s="96">
        <f>((Tableau!$G$16-P186)/(AC186^2+Tableau!$G$21^2)^(3/2))*Tableau!$G$20</f>
        <v>105.17317551219837</v>
      </c>
      <c r="W186" s="96">
        <f>((Tableau!$H$16-Q186)/(AC186^2+Tableau!$G$21^2)^(3/2))*Tableau!$G$20</f>
        <v>-15.502513749125884</v>
      </c>
      <c r="X186" s="96">
        <f>((Tableau!$G$25-P186)/(AD186^2+Tableau!$G$30^2)^(3/2))*Tableau!$G$29</f>
        <v>185.34356889792778</v>
      </c>
      <c r="Y186" s="96">
        <f>((Tableau!$H$25-Q186)/(AD186^2+Tableau!$G$30^2)^(3/2))*Tableau!$G$29</f>
        <v>-49.514750179196817</v>
      </c>
      <c r="Z186" s="96">
        <f>((Tableau!$G$35-P186)/(AE186^2+Tableau!$G$40^2)^(3/2))*Tableau!$G$39</f>
        <v>135.36673416000502</v>
      </c>
      <c r="AA186" s="97">
        <f>((Tableau!$H$35-Q186)/(AE186^2+Tableau!$G$40^2)^(3/2))*Tableau!$G$39</f>
        <v>-101.70305538280815</v>
      </c>
      <c r="AC186" s="110">
        <f>SQRT((Tableau!$G$16-P186)^2+(Tableau!$H$16-Q186)^2)</f>
        <v>69097.354289423645</v>
      </c>
      <c r="AD186" s="111">
        <f>SQRT((Tableau!$G$25-P186)^2+(Tableau!$H$25-Q186)^2)</f>
        <v>29353.277653225869</v>
      </c>
      <c r="AE186" s="112">
        <f>SQRT((Tableau!$G$35-P186)^2+(Tableau!$H$35-Q186)^2)</f>
        <v>54232.65234583096</v>
      </c>
    </row>
    <row r="187" spans="2:31" x14ac:dyDescent="0.25">
      <c r="B187" s="18">
        <v>184</v>
      </c>
      <c r="C187" s="19">
        <f>Tableau!$G$17*COS(B187*PI()/180)+Tableau!$G$16</f>
        <v>15012.179748700877</v>
      </c>
      <c r="D187" s="19">
        <f>Tableau!$G$17*SIN(B187*PI()/180)+Tableau!$H$16</f>
        <v>7151.2176312793763</v>
      </c>
      <c r="F187" s="26">
        <v>184</v>
      </c>
      <c r="G187" s="27">
        <f>Tableau!$G$26*COS(F187*PI()/180)+Tableau!$G$25</f>
        <v>-23491.474175909385</v>
      </c>
      <c r="H187" s="27">
        <f>Tableau!$G$26*SIN(F187*PI()/180)+Tableau!$H$25</f>
        <v>9755.8523418955629</v>
      </c>
      <c r="J187" s="34">
        <v>184</v>
      </c>
      <c r="K187" s="35">
        <f>Tableau!$G$36*COS(J187*PI()/180)+Tableau!$G$35</f>
        <v>-9987.8202512991229</v>
      </c>
      <c r="L187" s="35">
        <f>Tableau!$G$36*SIN(J187*PI()/180)+Tableau!$H$35</f>
        <v>-15348.782368720624</v>
      </c>
      <c r="N187" s="98">
        <v>183</v>
      </c>
      <c r="O187" s="99">
        <v>91.5</v>
      </c>
      <c r="P187" s="101">
        <f>P186+R186*Tableau!$G$2+((1/2)*T186)*Tableau!$G$2^2</f>
        <v>-47110.243646266099</v>
      </c>
      <c r="Q187" s="101">
        <f>Q186+S186*Tableau!$G$2+((1/2)*U186)*Tableau!$G$2^2</f>
        <v>17802.67817568473</v>
      </c>
      <c r="R187" s="101">
        <f>R186+T186*Tableau!$G$2</f>
        <v>2603.4613345940834</v>
      </c>
      <c r="S187" s="101">
        <f>S186+U186*Tableau!$G$2</f>
        <v>411.53606697611036</v>
      </c>
      <c r="T187" s="101">
        <f t="shared" si="4"/>
        <v>444.64084695901931</v>
      </c>
      <c r="U187" s="101">
        <f t="shared" si="5"/>
        <v>-180.9876970571068</v>
      </c>
      <c r="V187" s="101">
        <f>((Tableau!$G$16-P187)/(AC187^2+Tableau!$G$21^2)^(3/2))*Tableau!$G$20</f>
        <v>108.70906533109753</v>
      </c>
      <c r="W187" s="101">
        <f>((Tableau!$H$16-Q187)/(AC187^2+Tableau!$G$21^2)^(3/2))*Tableau!$G$20</f>
        <v>-16.68887570710077</v>
      </c>
      <c r="X187" s="101">
        <f>((Tableau!$G$25-P187)/(AD187^2+Tableau!$G$30^2)^(3/2))*Tableau!$G$29</f>
        <v>198.27090488514327</v>
      </c>
      <c r="Y187" s="101">
        <f>((Tableau!$H$25-Q187)/(AD187^2+Tableau!$G$30^2)^(3/2))*Tableau!$G$29</f>
        <v>-57.064926549770981</v>
      </c>
      <c r="Z187" s="101">
        <f>((Tableau!$G$35-P187)/(AE187^2+Tableau!$G$40^2)^(3/2))*Tableau!$G$39</f>
        <v>137.66087674277847</v>
      </c>
      <c r="AA187" s="102">
        <f>((Tableau!$H$35-Q187)/(AE187^2+Tableau!$G$40^2)^(3/2))*Tableau!$G$39</f>
        <v>-107.23389480023505</v>
      </c>
      <c r="AC187" s="113">
        <f>SQRT((Tableau!$G$16-P187)^2+(Tableau!$H$16-Q187)^2)</f>
        <v>67896.465149909898</v>
      </c>
      <c r="AD187" s="114">
        <f>SQRT((Tableau!$G$25-P187)^2+(Tableau!$H$25-Q187)^2)</f>
        <v>28210.76208246098</v>
      </c>
      <c r="AE187" s="115">
        <f>SQRT((Tableau!$G$35-P187)^2+(Tableau!$H$35-Q187)^2)</f>
        <v>53378.725307424102</v>
      </c>
    </row>
    <row r="188" spans="2:31" x14ac:dyDescent="0.25">
      <c r="B188" s="20">
        <v>185</v>
      </c>
      <c r="C188" s="21">
        <f>Tableau!$G$17*COS(B188*PI()/180)+Tableau!$G$16</f>
        <v>15019.026509541272</v>
      </c>
      <c r="D188" s="21">
        <f>Tableau!$G$17*SIN(B188*PI()/180)+Tableau!$H$16</f>
        <v>7064.2212862617107</v>
      </c>
      <c r="F188" s="28">
        <v>185</v>
      </c>
      <c r="G188" s="29">
        <f>Tableau!$G$26*COS(F188*PI()/180)+Tableau!$G$25</f>
        <v>-23486.681443321111</v>
      </c>
      <c r="H188" s="29">
        <f>Tableau!$G$26*SIN(F188*PI()/180)+Tableau!$H$25</f>
        <v>9694.954900383198</v>
      </c>
      <c r="J188" s="36">
        <v>185</v>
      </c>
      <c r="K188" s="37">
        <f>Tableau!$G$36*COS(J188*PI()/180)+Tableau!$G$35</f>
        <v>-9980.9734904587276</v>
      </c>
      <c r="L188" s="37">
        <f>Tableau!$G$36*SIN(J188*PI()/180)+Tableau!$H$35</f>
        <v>-15435.778713738289</v>
      </c>
      <c r="N188" s="92">
        <v>184</v>
      </c>
      <c r="O188" s="93">
        <v>92</v>
      </c>
      <c r="P188" s="96">
        <f>P187+R187*Tableau!$G$2+((1/2)*T187)*Tableau!$G$2^2</f>
        <v>-45752.932873099177</v>
      </c>
      <c r="Q188" s="96">
        <f>Q187+S187*Tableau!$G$2+((1/2)*U187)*Tableau!$G$2^2</f>
        <v>17985.822747040649</v>
      </c>
      <c r="R188" s="96">
        <f>R187+T187*Tableau!$G$2</f>
        <v>2825.7817580735932</v>
      </c>
      <c r="S188" s="96">
        <f>S187+U187*Tableau!$G$2</f>
        <v>321.04221844755693</v>
      </c>
      <c r="T188" s="96">
        <f t="shared" si="4"/>
        <v>467.0840568805254</v>
      </c>
      <c r="U188" s="96">
        <f t="shared" si="5"/>
        <v>-197.91990709919588</v>
      </c>
      <c r="V188" s="96">
        <f>((Tableau!$G$16-P188)/(AC188^2+Tableau!$G$21^2)^(3/2))*Tableau!$G$20</f>
        <v>112.79181782573649</v>
      </c>
      <c r="W188" s="96">
        <f>((Tableau!$H$16-Q188)/(AC188^2+Tableau!$G$21^2)^(3/2))*Tableau!$G$20</f>
        <v>-17.987258626467213</v>
      </c>
      <c r="X188" s="96">
        <f>((Tableau!$G$25-P188)/(AD188^2+Tableau!$G$30^2)^(3/2))*Tableau!$G$29</f>
        <v>213.96258677011829</v>
      </c>
      <c r="Y188" s="96">
        <f>((Tableau!$H$25-Q188)/(AD188^2+Tableau!$G$30^2)^(3/2))*Tableau!$G$29</f>
        <v>-66.348454401840087</v>
      </c>
      <c r="Z188" s="96">
        <f>((Tableau!$G$35-P188)/(AE188^2+Tableau!$G$40^2)^(3/2))*Tableau!$G$39</f>
        <v>140.3296522846706</v>
      </c>
      <c r="AA188" s="97">
        <f>((Tableau!$H$35-Q188)/(AE188^2+Tableau!$G$40^2)^(3/2))*Tableau!$G$39</f>
        <v>-113.58419407088859</v>
      </c>
      <c r="AC188" s="110">
        <f>SQRT((Tableau!$G$16-P188)^2+(Tableau!$H$16-Q188)^2)</f>
        <v>66583.786765973593</v>
      </c>
      <c r="AD188" s="111">
        <f>SQRT((Tableau!$G$25-P188)^2+(Tableau!$H$25-Q188)^2)</f>
        <v>26962.694904506563</v>
      </c>
      <c r="AE188" s="112">
        <f>SQRT((Tableau!$G$35-P188)^2+(Tableau!$H$35-Q188)^2)</f>
        <v>52429.629409891044</v>
      </c>
    </row>
    <row r="189" spans="2:31" x14ac:dyDescent="0.25">
      <c r="B189" s="18">
        <v>186</v>
      </c>
      <c r="C189" s="19">
        <f>Tableau!$G$17*COS(B189*PI()/180)+Tableau!$G$16</f>
        <v>15027.390523158632</v>
      </c>
      <c r="D189" s="19">
        <f>Tableau!$G$17*SIN(B189*PI()/180)+Tableau!$H$16</f>
        <v>6977.3576836617349</v>
      </c>
      <c r="F189" s="26">
        <v>186</v>
      </c>
      <c r="G189" s="27">
        <f>Tableau!$G$26*COS(F189*PI()/180)+Tableau!$G$25</f>
        <v>-23480.826633788958</v>
      </c>
      <c r="H189" s="27">
        <f>Tableau!$G$26*SIN(F189*PI()/180)+Tableau!$H$25</f>
        <v>9634.150378563214</v>
      </c>
      <c r="J189" s="34">
        <v>186</v>
      </c>
      <c r="K189" s="35">
        <f>Tableau!$G$36*COS(J189*PI()/180)+Tableau!$G$35</f>
        <v>-9972.6094768413677</v>
      </c>
      <c r="L189" s="35">
        <f>Tableau!$G$36*SIN(J189*PI()/180)+Tableau!$H$35</f>
        <v>-15522.642316338266</v>
      </c>
      <c r="N189" s="98">
        <v>185</v>
      </c>
      <c r="O189" s="99">
        <v>92.5</v>
      </c>
      <c r="P189" s="101">
        <f>P188+R188*Tableau!$G$2+((1/2)*T188)*Tableau!$G$2^2</f>
        <v>-44281.656486952321</v>
      </c>
      <c r="Q189" s="101">
        <f>Q188+S188*Tableau!$G$2+((1/2)*U188)*Tableau!$G$2^2</f>
        <v>18121.603867877027</v>
      </c>
      <c r="R189" s="101">
        <f>R188+T188*Tableau!$G$2</f>
        <v>3059.3237865138558</v>
      </c>
      <c r="S189" s="101">
        <f>S188+U188*Tableau!$G$2</f>
        <v>222.08226489795899</v>
      </c>
      <c r="T189" s="101">
        <f t="shared" si="4"/>
        <v>494.09839572319243</v>
      </c>
      <c r="U189" s="101">
        <f t="shared" si="5"/>
        <v>-218.32198194557003</v>
      </c>
      <c r="V189" s="101">
        <f>((Tableau!$G$16-P189)/(AC189^2+Tableau!$G$21^2)^(3/2))*Tableau!$G$20</f>
        <v>117.51912057495946</v>
      </c>
      <c r="W189" s="101">
        <f>((Tableau!$H$16-Q189)/(AC189^2+Tableau!$G$21^2)^(3/2))*Tableau!$G$20</f>
        <v>-19.418316419737256</v>
      </c>
      <c r="X189" s="101">
        <f>((Tableau!$G$25-P189)/(AD189^2+Tableau!$G$30^2)^(3/2))*Tableau!$G$29</f>
        <v>233.1818446670641</v>
      </c>
      <c r="Y189" s="101">
        <f>((Tableau!$H$25-Q189)/(AD189^2+Tableau!$G$30^2)^(3/2))*Tableau!$G$29</f>
        <v>-77.993466903065766</v>
      </c>
      <c r="Z189" s="101">
        <f>((Tableau!$G$35-P189)/(AE189^2+Tableau!$G$40^2)^(3/2))*Tableau!$G$39</f>
        <v>143.39743048116887</v>
      </c>
      <c r="AA189" s="102">
        <f>((Tableau!$H$35-Q189)/(AE189^2+Tableau!$G$40^2)^(3/2))*Tableau!$G$39</f>
        <v>-120.91019862276703</v>
      </c>
      <c r="AC189" s="113">
        <f>SQRT((Tableau!$G$16-P189)^2+(Tableau!$H$16-Q189)^2)</f>
        <v>65153.279498676347</v>
      </c>
      <c r="AD189" s="114">
        <f>SQRT((Tableau!$G$25-P189)^2+(Tableau!$H$25-Q189)^2)</f>
        <v>25603.892109151468</v>
      </c>
      <c r="AE189" s="115">
        <f>SQRT((Tableau!$G$35-P189)^2+(Tableau!$H$35-Q189)^2)</f>
        <v>51381.798130656054</v>
      </c>
    </row>
    <row r="190" spans="2:31" x14ac:dyDescent="0.25">
      <c r="B190" s="20">
        <v>187</v>
      </c>
      <c r="C190" s="21">
        <f>Tableau!$G$17*COS(B190*PI()/180)+Tableau!$G$16</f>
        <v>15037.26924179339</v>
      </c>
      <c r="D190" s="21">
        <f>Tableau!$G$17*SIN(B190*PI()/180)+Tableau!$H$16</f>
        <v>6890.6532829742609</v>
      </c>
      <c r="F190" s="28">
        <v>187</v>
      </c>
      <c r="G190" s="29">
        <f>Tableau!$G$26*COS(F190*PI()/180)+Tableau!$G$25</f>
        <v>-23473.911530744626</v>
      </c>
      <c r="H190" s="29">
        <f>Tableau!$G$26*SIN(F190*PI()/180)+Tableau!$H$25</f>
        <v>9573.457298081983</v>
      </c>
      <c r="J190" s="36">
        <v>187</v>
      </c>
      <c r="K190" s="37">
        <f>Tableau!$G$36*COS(J190*PI()/180)+Tableau!$G$35</f>
        <v>-9962.7307582066096</v>
      </c>
      <c r="L190" s="37">
        <f>Tableau!$G$36*SIN(J190*PI()/180)+Tableau!$H$35</f>
        <v>-15609.346717025739</v>
      </c>
      <c r="N190" s="92">
        <v>186</v>
      </c>
      <c r="O190" s="93">
        <v>93</v>
      </c>
      <c r="P190" s="96">
        <f>P189+R189*Tableau!$G$2+((1/2)*T189)*Tableau!$G$2^2</f>
        <v>-42690.232294229994</v>
      </c>
      <c r="Q190" s="96">
        <f>Q189+S189*Tableau!$G$2+((1/2)*U189)*Tableau!$G$2^2</f>
        <v>18205.354752582811</v>
      </c>
      <c r="R190" s="96">
        <f>R189+T189*Tableau!$G$2</f>
        <v>3306.3729843754518</v>
      </c>
      <c r="S190" s="96">
        <f>S189+U189*Tableau!$G$2</f>
        <v>112.92127392517398</v>
      </c>
      <c r="T190" s="96">
        <f t="shared" si="4"/>
        <v>526.8916606385942</v>
      </c>
      <c r="U190" s="96">
        <f t="shared" si="5"/>
        <v>-243.35049561088607</v>
      </c>
      <c r="V190" s="96">
        <f>((Tableau!$G$16-P190)/(AC190^2+Tableau!$G$21^2)^(3/2))*Tableau!$G$20</f>
        <v>123.01656309531108</v>
      </c>
      <c r="W190" s="96">
        <f>((Tableau!$H$16-Q190)/(AC190^2+Tableau!$G$21^2)^(3/2))*Tableau!$G$20</f>
        <v>-21.007035708495888</v>
      </c>
      <c r="X190" s="96">
        <f>((Tableau!$G$25-P190)/(AD190^2+Tableau!$G$30^2)^(3/2))*Tableau!$G$29</f>
        <v>256.98485497920893</v>
      </c>
      <c r="Y190" s="96">
        <f>((Tableau!$H$25-Q190)/(AD190^2+Tableau!$G$30^2)^(3/2))*Tableau!$G$29</f>
        <v>-92.9321425096946</v>
      </c>
      <c r="Z190" s="96">
        <f>((Tableau!$G$35-P190)/(AE190^2+Tableau!$G$40^2)^(3/2))*Tableau!$G$39</f>
        <v>146.89024256407419</v>
      </c>
      <c r="AA190" s="97">
        <f>((Tableau!$H$35-Q190)/(AE190^2+Tableau!$G$40^2)^(3/2))*Tableau!$G$39</f>
        <v>-129.41131739269559</v>
      </c>
      <c r="AC190" s="110">
        <f>SQRT((Tableau!$G$16-P190)^2+(Tableau!$H$16-Q190)^2)</f>
        <v>63597.718870122728</v>
      </c>
      <c r="AD190" s="111">
        <f>SQRT((Tableau!$G$25-P190)^2+(Tableau!$H$25-Q190)^2)</f>
        <v>24128.292276534019</v>
      </c>
      <c r="AE190" s="112">
        <f>SQRT((Tableau!$G$35-P190)^2+(Tableau!$H$35-Q190)^2)</f>
        <v>50230.958527962524</v>
      </c>
    </row>
    <row r="191" spans="2:31" x14ac:dyDescent="0.25">
      <c r="B191" s="18">
        <v>188</v>
      </c>
      <c r="C191" s="19">
        <f>Tableau!$G$17*COS(B191*PI()/180)+Tableau!$G$16</f>
        <v>15048.659656292148</v>
      </c>
      <c r="D191" s="19">
        <f>Tableau!$G$17*SIN(B191*PI()/180)+Tableau!$H$16</f>
        <v>6804.1344951996725</v>
      </c>
      <c r="F191" s="26">
        <v>188</v>
      </c>
      <c r="G191" s="27">
        <f>Tableau!$G$26*COS(F191*PI()/180)+Tableau!$G$25</f>
        <v>-23465.938240595497</v>
      </c>
      <c r="H191" s="27">
        <f>Tableau!$G$26*SIN(F191*PI()/180)+Tableau!$H$25</f>
        <v>9512.89414663977</v>
      </c>
      <c r="J191" s="34">
        <v>188</v>
      </c>
      <c r="K191" s="35">
        <f>Tableau!$G$36*COS(J191*PI()/180)+Tableau!$G$35</f>
        <v>-9951.3403437078523</v>
      </c>
      <c r="L191" s="35">
        <f>Tableau!$G$36*SIN(J191*PI()/180)+Tableau!$H$35</f>
        <v>-15695.865504800327</v>
      </c>
      <c r="N191" s="98">
        <v>187</v>
      </c>
      <c r="O191" s="99">
        <v>93.5</v>
      </c>
      <c r="P191" s="101">
        <f>P190+R190*Tableau!$G$2+((1/2)*T190)*Tableau!$G$2^2</f>
        <v>-40971.184344462439</v>
      </c>
      <c r="Q191" s="101">
        <f>Q190+S190*Tableau!$G$2+((1/2)*U190)*Tableau!$G$2^2</f>
        <v>18231.396577594038</v>
      </c>
      <c r="R191" s="101">
        <f>R190+T190*Tableau!$G$2</f>
        <v>3569.8188146947487</v>
      </c>
      <c r="S191" s="101">
        <f>S190+U190*Tableau!$G$2</f>
        <v>-8.7539738802690579</v>
      </c>
      <c r="T191" s="101">
        <f t="shared" si="4"/>
        <v>567.13775656829989</v>
      </c>
      <c r="U191" s="101">
        <f t="shared" si="5"/>
        <v>-274.72304877617978</v>
      </c>
      <c r="V191" s="101">
        <f>((Tableau!$G$16-P191)/(AC191^2+Tableau!$G$21^2)^(3/2))*Tableau!$G$20</f>
        <v>129.44807840863299</v>
      </c>
      <c r="W191" s="101">
        <f>((Tableau!$H$16-Q191)/(AC191^2+Tableau!$G$21^2)^(3/2))*Tableau!$G$20</f>
        <v>-22.783855694230024</v>
      </c>
      <c r="X191" s="101">
        <f>((Tableau!$G$25-P191)/(AD191^2+Tableau!$G$30^2)^(3/2))*Tableau!$G$29</f>
        <v>286.85575041930434</v>
      </c>
      <c r="Y191" s="101">
        <f>((Tableau!$H$25-Q191)/(AD191^2+Tableau!$G$30^2)^(3/2))*Tableau!$G$29</f>
        <v>-112.59370970567646</v>
      </c>
      <c r="Z191" s="101">
        <f>((Tableau!$G$35-P191)/(AE191^2+Tableau!$G$40^2)^(3/2))*Tableau!$G$39</f>
        <v>150.83392774036261</v>
      </c>
      <c r="AA191" s="102">
        <f>((Tableau!$H$35-Q191)/(AE191^2+Tableau!$G$40^2)^(3/2))*Tableau!$G$39</f>
        <v>-139.34548337627328</v>
      </c>
      <c r="AC191" s="113">
        <f>SQRT((Tableau!$G$16-P191)^2+(Tableau!$H$16-Q191)^2)</f>
        <v>61908.385481064026</v>
      </c>
      <c r="AD191" s="114">
        <f>SQRT((Tableau!$G$25-P191)^2+(Tableau!$H$25-Q191)^2)</f>
        <v>22528.791854581403</v>
      </c>
      <c r="AE191" s="115">
        <f>SQRT((Tableau!$G$35-P191)^2+(Tableau!$H$35-Q191)^2)</f>
        <v>48971.949334702091</v>
      </c>
    </row>
    <row r="192" spans="2:31" x14ac:dyDescent="0.25">
      <c r="B192" s="20">
        <v>189</v>
      </c>
      <c r="C192" s="21">
        <f>Tableau!$G$17*COS(B192*PI()/180)+Tableau!$G$16</f>
        <v>15061.558297024312</v>
      </c>
      <c r="D192" s="21">
        <f>Tableau!$G$17*SIN(B192*PI()/180)+Tableau!$H$16</f>
        <v>6717.8276747988466</v>
      </c>
      <c r="F192" s="28">
        <v>189</v>
      </c>
      <c r="G192" s="29">
        <f>Tableau!$G$26*COS(F192*PI()/180)+Tableau!$G$25</f>
        <v>-23456.909192082981</v>
      </c>
      <c r="H192" s="29">
        <f>Tableau!$G$26*SIN(F192*PI()/180)+Tableau!$H$25</f>
        <v>9452.479372359192</v>
      </c>
      <c r="J192" s="36">
        <v>189</v>
      </c>
      <c r="K192" s="37">
        <f>Tableau!$G$36*COS(J192*PI()/180)+Tableau!$G$35</f>
        <v>-9938.4417029756878</v>
      </c>
      <c r="L192" s="37">
        <f>Tableau!$G$36*SIN(J192*PI()/180)+Tableau!$H$35</f>
        <v>-15782.172325201154</v>
      </c>
      <c r="N192" s="92">
        <v>188</v>
      </c>
      <c r="O192" s="93">
        <v>94</v>
      </c>
      <c r="P192" s="96">
        <f>P191+R191*Tableau!$G$2+((1/2)*T191)*Tableau!$G$2^2</f>
        <v>-39115.382717544024</v>
      </c>
      <c r="Q192" s="96">
        <f>Q191+S191*Tableau!$G$2+((1/2)*U191)*Tableau!$G$2^2</f>
        <v>18192.679209556882</v>
      </c>
      <c r="R192" s="96">
        <f>R191+T191*Tableau!$G$2</f>
        <v>3853.3876929788985</v>
      </c>
      <c r="S192" s="96">
        <f>S191+U191*Tableau!$G$2</f>
        <v>-146.11549826835895</v>
      </c>
      <c r="T192" s="96">
        <f t="shared" si="4"/>
        <v>617.18770432476936</v>
      </c>
      <c r="U192" s="96">
        <f t="shared" si="5"/>
        <v>-315.08917230295646</v>
      </c>
      <c r="V192" s="96">
        <f>((Tableau!$G$16-P192)/(AC192^2+Tableau!$G$21^2)^(3/2))*Tableau!$G$20</f>
        <v>137.03155194329531</v>
      </c>
      <c r="W192" s="96">
        <f>((Tableau!$H$16-Q192)/(AC192^2+Tableau!$G$21^2)^(3/2))*Tableau!$G$20</f>
        <v>-24.786009311964438</v>
      </c>
      <c r="X192" s="96">
        <f>((Tableau!$G$25-P192)/(AD192^2+Tableau!$G$30^2)^(3/2))*Tableau!$G$29</f>
        <v>324.9055683409909</v>
      </c>
      <c r="Y192" s="96">
        <f>((Tableau!$H$25-Q192)/(AD192^2+Tableau!$G$30^2)^(3/2))*Tableau!$G$29</f>
        <v>-139.25157210550987</v>
      </c>
      <c r="Z192" s="96">
        <f>((Tableau!$G$35-P192)/(AE192^2+Tableau!$G$40^2)^(3/2))*Tableau!$G$39</f>
        <v>155.25058404048312</v>
      </c>
      <c r="AA192" s="97">
        <f>((Tableau!$H$35-Q192)/(AE192^2+Tableau!$G$40^2)^(3/2))*Tableau!$G$39</f>
        <v>-151.05159088548214</v>
      </c>
      <c r="AC192" s="110">
        <f>SQRT((Tableau!$G$16-P192)^2+(Tableau!$H$16-Q192)^2)</f>
        <v>60074.635766854153</v>
      </c>
      <c r="AD192" s="111">
        <f>SQRT((Tableau!$G$25-P192)^2+(Tableau!$H$25-Q192)^2)</f>
        <v>20797.06347225219</v>
      </c>
      <c r="AE192" s="112">
        <f>SQRT((Tableau!$G$35-P192)^2+(Tableau!$H$35-Q192)^2)</f>
        <v>47598.458914896088</v>
      </c>
    </row>
    <row r="193" spans="2:31" x14ac:dyDescent="0.25">
      <c r="B193" s="18">
        <v>190</v>
      </c>
      <c r="C193" s="19">
        <f>Tableau!$G$17*COS(B193*PI()/180)+Tableau!$G$16</f>
        <v>15075.961234938961</v>
      </c>
      <c r="D193" s="19">
        <f>Tableau!$G$17*SIN(B193*PI()/180)+Tableau!$H$16</f>
        <v>6631.7591116653475</v>
      </c>
      <c r="F193" s="26">
        <v>190</v>
      </c>
      <c r="G193" s="27">
        <f>Tableau!$G$26*COS(F193*PI()/180)+Tableau!$G$25</f>
        <v>-23446.827135542728</v>
      </c>
      <c r="H193" s="27">
        <f>Tableau!$G$26*SIN(F193*PI()/180)+Tableau!$H$25</f>
        <v>9392.2313781657431</v>
      </c>
      <c r="J193" s="34">
        <v>190</v>
      </c>
      <c r="K193" s="35">
        <f>Tableau!$G$36*COS(J193*PI()/180)+Tableau!$G$35</f>
        <v>-9924.0387650610392</v>
      </c>
      <c r="L193" s="35">
        <f>Tableau!$G$36*SIN(J193*PI()/180)+Tableau!$H$35</f>
        <v>-15868.240888334652</v>
      </c>
      <c r="N193" s="98">
        <v>189</v>
      </c>
      <c r="O193" s="99">
        <v>94.5</v>
      </c>
      <c r="P193" s="101">
        <f>P192+R192*Tableau!$G$2+((1/2)*T192)*Tableau!$G$2^2</f>
        <v>-37111.540408013978</v>
      </c>
      <c r="Q193" s="101">
        <f>Q192+S192*Tableau!$G$2+((1/2)*U192)*Tableau!$G$2^2</f>
        <v>18080.235313884834</v>
      </c>
      <c r="R193" s="101">
        <f>R192+T192*Tableau!$G$2</f>
        <v>4161.9815451412833</v>
      </c>
      <c r="S193" s="101">
        <f>S192+U192*Tableau!$G$2</f>
        <v>-303.66008441983718</v>
      </c>
      <c r="T193" s="101">
        <f t="shared" si="4"/>
        <v>680.35822779302407</v>
      </c>
      <c r="U193" s="101">
        <f t="shared" si="5"/>
        <v>-368.71628484104701</v>
      </c>
      <c r="V193" s="101">
        <f>((Tableau!$G$16-P193)/(AC193^2+Tableau!$G$21^2)^(3/2))*Tableau!$G$20</f>
        <v>146.06284883611627</v>
      </c>
      <c r="W193" s="101">
        <f>((Tableau!$H$16-Q193)/(AC193^2+Tableau!$G$21^2)^(3/2))*Tableau!$G$20</f>
        <v>-27.058967421681551</v>
      </c>
      <c r="X193" s="101">
        <f>((Tableau!$G$25-P193)/(AD193^2+Tableau!$G$30^2)^(3/2))*Tableau!$G$29</f>
        <v>374.14346882321371</v>
      </c>
      <c r="Y193" s="101">
        <f>((Tableau!$H$25-Q193)/(AD193^2+Tableau!$G$30^2)^(3/2))*Tableau!$G$29</f>
        <v>-176.67417410467837</v>
      </c>
      <c r="Z193" s="101">
        <f>((Tableau!$G$35-P193)/(AE193^2+Tableau!$G$40^2)^(3/2))*Tableau!$G$39</f>
        <v>160.15191013369403</v>
      </c>
      <c r="AA193" s="102">
        <f>((Tableau!$H$35-Q193)/(AE193^2+Tableau!$G$40^2)^(3/2))*Tableau!$G$39</f>
        <v>-164.98314331468708</v>
      </c>
      <c r="AC193" s="113">
        <f>SQRT((Tableau!$G$16-P193)^2+(Tableau!$H$16-Q193)^2)</f>
        <v>58083.297315780801</v>
      </c>
      <c r="AD193" s="114">
        <f>SQRT((Tableau!$G$25-P193)^2+(Tableau!$H$25-Q193)^2)</f>
        <v>18923.398686886208</v>
      </c>
      <c r="AE193" s="115">
        <f>SQRT((Tableau!$G$35-P193)^2+(Tableau!$H$35-Q193)^2)</f>
        <v>46102.635453925061</v>
      </c>
    </row>
    <row r="194" spans="2:31" x14ac:dyDescent="0.25">
      <c r="B194" s="20">
        <v>191</v>
      </c>
      <c r="C194" s="21">
        <f>Tableau!$G$17*COS(B194*PI()/180)+Tableau!$G$16</f>
        <v>15091.86408276168</v>
      </c>
      <c r="D194" s="21">
        <f>Tableau!$G$17*SIN(B194*PI()/180)+Tableau!$H$16</f>
        <v>6545.9550231172761</v>
      </c>
      <c r="F194" s="28">
        <v>191</v>
      </c>
      <c r="G194" s="29">
        <f>Tableau!$G$26*COS(F194*PI()/180)+Tableau!$G$25</f>
        <v>-23435.695142066823</v>
      </c>
      <c r="H194" s="29">
        <f>Tableau!$G$26*SIN(F194*PI()/180)+Tableau!$H$25</f>
        <v>9332.1685161820933</v>
      </c>
      <c r="J194" s="36">
        <v>191</v>
      </c>
      <c r="K194" s="37">
        <f>Tableau!$G$36*COS(J194*PI()/180)+Tableau!$G$35</f>
        <v>-9908.13591723832</v>
      </c>
      <c r="L194" s="37">
        <f>Tableau!$G$36*SIN(J194*PI()/180)+Tableau!$H$35</f>
        <v>-15954.044976882724</v>
      </c>
      <c r="N194" s="92">
        <v>190</v>
      </c>
      <c r="O194" s="93">
        <v>95</v>
      </c>
      <c r="P194" s="96">
        <f>P193+R193*Tableau!$G$2+((1/2)*T193)*Tableau!$G$2^2</f>
        <v>-34945.504856969208</v>
      </c>
      <c r="Q194" s="96">
        <f>Q193+S193*Tableau!$G$2+((1/2)*U193)*Tableau!$G$2^2</f>
        <v>17882.315736069784</v>
      </c>
      <c r="R194" s="96">
        <f>R193+T193*Tableau!$G$2</f>
        <v>4502.1606590377951</v>
      </c>
      <c r="S194" s="96">
        <f>S193+U193*Tableau!$G$2</f>
        <v>-488.01822684036068</v>
      </c>
      <c r="T194" s="96">
        <f t="shared" si="4"/>
        <v>761.2246867617614</v>
      </c>
      <c r="U194" s="96">
        <f t="shared" si="5"/>
        <v>-442.81296143077395</v>
      </c>
      <c r="V194" s="96">
        <f>((Tableau!$G$16-P194)/(AC194^2+Tableau!$G$21^2)^(3/2))*Tableau!$G$20</f>
        <v>156.95404740546306</v>
      </c>
      <c r="W194" s="96">
        <f>((Tableau!$H$16-Q194)/(AC194^2+Tableau!$G$21^2)^(3/2))*Tableau!$G$20</f>
        <v>-29.657503019755993</v>
      </c>
      <c r="X194" s="96">
        <f>((Tableau!$G$25-P194)/(AD194^2+Tableau!$G$30^2)^(3/2))*Tableau!$G$29</f>
        <v>438.74387237457557</v>
      </c>
      <c r="Y194" s="96">
        <f>((Tableau!$H$25-Q194)/(AD194^2+Tableau!$G$30^2)^(3/2))*Tableau!$G$29</f>
        <v>-231.39517616962058</v>
      </c>
      <c r="Z194" s="96">
        <f>((Tableau!$G$35-P194)/(AE194^2+Tableau!$G$40^2)^(3/2))*Tableau!$G$39</f>
        <v>165.5267669817228</v>
      </c>
      <c r="AA194" s="97">
        <f>((Tableau!$H$35-Q194)/(AE194^2+Tableau!$G$40^2)^(3/2))*Tableau!$G$39</f>
        <v>-181.76028224139739</v>
      </c>
      <c r="AC194" s="110">
        <f>SQRT((Tableau!$G$16-P194)^2+(Tableau!$H$16-Q194)^2)</f>
        <v>55917.805608148366</v>
      </c>
      <c r="AD194" s="111">
        <f>SQRT((Tableau!$G$25-P194)^2+(Tableau!$H$25-Q194)^2)</f>
        <v>16896.716154116559</v>
      </c>
      <c r="AE194" s="112">
        <f>SQRT((Tableau!$G$35-P194)^2+(Tableau!$H$35-Q194)^2)</f>
        <v>44474.486498501014</v>
      </c>
    </row>
    <row r="195" spans="2:31" x14ac:dyDescent="0.25">
      <c r="B195" s="18">
        <v>192</v>
      </c>
      <c r="C195" s="19">
        <f>Tableau!$G$17*COS(B195*PI()/180)+Tableau!$G$16</f>
        <v>15109.261996330972</v>
      </c>
      <c r="D195" s="19">
        <f>Tableau!$G$17*SIN(B195*PI()/180)+Tableau!$H$16</f>
        <v>6460.4415459112042</v>
      </c>
      <c r="F195" s="26">
        <v>192</v>
      </c>
      <c r="G195" s="27">
        <f>Tableau!$G$26*COS(F195*PI()/180)+Tableau!$G$25</f>
        <v>-23423.516602568321</v>
      </c>
      <c r="H195" s="27">
        <f>Tableau!$G$26*SIN(F195*PI()/180)+Tableau!$H$25</f>
        <v>9272.3090821378428</v>
      </c>
      <c r="J195" s="34">
        <v>192</v>
      </c>
      <c r="K195" s="35">
        <f>Tableau!$G$36*COS(J195*PI()/180)+Tableau!$G$35</f>
        <v>-9890.7380036690283</v>
      </c>
      <c r="L195" s="35">
        <f>Tableau!$G$36*SIN(J195*PI()/180)+Tableau!$H$35</f>
        <v>-16039.558454088796</v>
      </c>
      <c r="N195" s="98">
        <v>191</v>
      </c>
      <c r="O195" s="99">
        <v>95.5</v>
      </c>
      <c r="P195" s="101">
        <f>P194+R194*Tableau!$G$2+((1/2)*T194)*Tableau!$G$2^2</f>
        <v>-32599.271441605091</v>
      </c>
      <c r="Q195" s="101">
        <f>Q194+S194*Tableau!$G$2+((1/2)*U194)*Tableau!$G$2^2</f>
        <v>17582.955002470757</v>
      </c>
      <c r="R195" s="101">
        <f>R194+T194*Tableau!$G$2</f>
        <v>4882.7730024186758</v>
      </c>
      <c r="S195" s="101">
        <f>S194+U194*Tableau!$G$2</f>
        <v>-709.42470755574766</v>
      </c>
      <c r="T195" s="101">
        <f t="shared" si="4"/>
        <v>865.42294715669709</v>
      </c>
      <c r="U195" s="101">
        <f t="shared" si="5"/>
        <v>-550.1556258532114</v>
      </c>
      <c r="V195" s="101">
        <f>((Tableau!$G$16-P195)/(AC195^2+Tableau!$G$21^2)^(3/2))*Tableau!$G$20</f>
        <v>170.29654422161957</v>
      </c>
      <c r="W195" s="101">
        <f>((Tableau!$H$16-Q195)/(AC195^2+Tableau!$G$21^2)^(3/2))*Tableau!$G$20</f>
        <v>-32.644794222466587</v>
      </c>
      <c r="X195" s="101">
        <f>((Tableau!$G$25-P195)/(AD195^2+Tableau!$G$30^2)^(3/2))*Tableau!$G$29</f>
        <v>523.8086340156807</v>
      </c>
      <c r="Y195" s="101">
        <f>((Tableau!$H$25-Q195)/(AD195^2+Tableau!$G$30^2)^(3/2))*Tableau!$G$29</f>
        <v>-315.25769724511645</v>
      </c>
      <c r="Z195" s="101">
        <f>((Tableau!$G$35-P195)/(AE195^2+Tableau!$G$40^2)^(3/2))*Tableau!$G$39</f>
        <v>171.3177689193968</v>
      </c>
      <c r="AA195" s="102">
        <f>((Tableau!$H$35-Q195)/(AE195^2+Tableau!$G$40^2)^(3/2))*Tableau!$G$39</f>
        <v>-202.25313438562836</v>
      </c>
      <c r="AC195" s="113">
        <f>SQRT((Tableau!$G$16-P195)^2+(Tableau!$H$16-Q195)^2)</f>
        <v>53556.972821188305</v>
      </c>
      <c r="AD195" s="114">
        <f>SQRT((Tableau!$G$25-P195)^2+(Tableau!$H$25-Q195)^2)</f>
        <v>14705.197973123039</v>
      </c>
      <c r="AE195" s="115">
        <f>SQRT((Tableau!$G$35-P195)^2+(Tableau!$H$35-Q195)^2)</f>
        <v>42700.922013469833</v>
      </c>
    </row>
    <row r="196" spans="2:31" x14ac:dyDescent="0.25">
      <c r="B196" s="20">
        <v>193</v>
      </c>
      <c r="C196" s="21">
        <f>Tableau!$G$17*COS(B196*PI()/180)+Tableau!$G$16</f>
        <v>15128.149676073823</v>
      </c>
      <c r="D196" s="21">
        <f>Tableau!$G$17*SIN(B196*PI()/180)+Tableau!$H$16</f>
        <v>6375.2447282806752</v>
      </c>
      <c r="F196" s="28">
        <v>193</v>
      </c>
      <c r="G196" s="29">
        <f>Tableau!$G$26*COS(F196*PI()/180)+Tableau!$G$25</f>
        <v>-23410.295226748323</v>
      </c>
      <c r="H196" s="29">
        <f>Tableau!$G$26*SIN(F196*PI()/180)+Tableau!$H$25</f>
        <v>9212.671309796473</v>
      </c>
      <c r="J196" s="36">
        <v>193</v>
      </c>
      <c r="K196" s="37">
        <f>Tableau!$G$36*COS(J196*PI()/180)+Tableau!$G$35</f>
        <v>-9871.8503239261772</v>
      </c>
      <c r="L196" s="37">
        <f>Tableau!$G$36*SIN(J196*PI()/180)+Tableau!$H$35</f>
        <v>-16124.755271719325</v>
      </c>
      <c r="N196" s="92">
        <v>192</v>
      </c>
      <c r="O196" s="93">
        <v>96</v>
      </c>
      <c r="P196" s="96">
        <f>P195+R195*Tableau!$G$2+((1/2)*T195)*Tableau!$G$2^2</f>
        <v>-30049.707072001165</v>
      </c>
      <c r="Q196" s="96">
        <f>Q195+S195*Tableau!$G$2+((1/2)*U195)*Tableau!$G$2^2</f>
        <v>17159.473195461229</v>
      </c>
      <c r="R196" s="96">
        <f>R195+T195*Tableau!$G$2</f>
        <v>5315.4844759970247</v>
      </c>
      <c r="S196" s="96">
        <f>S195+U195*Tableau!$G$2</f>
        <v>-984.50252048235336</v>
      </c>
      <c r="T196" s="96">
        <f t="shared" ref="T196:T259" si="6">V196+X196+Z196</f>
        <v>996.50594815350075</v>
      </c>
      <c r="U196" s="96">
        <f t="shared" ref="U196:U259" si="7">W196+Y196+AA196</f>
        <v>-714.1601069526871</v>
      </c>
      <c r="V196" s="96">
        <f>((Tableau!$G$16-P196)/(AC196^2+Tableau!$G$21^2)^(3/2))*Tableau!$G$20</f>
        <v>186.96916079660997</v>
      </c>
      <c r="W196" s="96">
        <f>((Tableau!$H$16-Q196)/(AC196^2+Tableau!$G$21^2)^(3/2))*Tableau!$G$20</f>
        <v>-36.084598746893789</v>
      </c>
      <c r="X196" s="96">
        <f>((Tableau!$G$25-P196)/(AD196^2+Tableau!$G$30^2)^(3/2))*Tableau!$G$29</f>
        <v>632.16027280277024</v>
      </c>
      <c r="Y196" s="96">
        <f>((Tableau!$H$25-Q196)/(AD196^2+Tableau!$G$30^2)^(3/2))*Tableau!$G$29</f>
        <v>-450.35487063859841</v>
      </c>
      <c r="Z196" s="96">
        <f>((Tableau!$G$35-P196)/(AE196^2+Tableau!$G$40^2)^(3/2))*Tableau!$G$39</f>
        <v>177.37651455412049</v>
      </c>
      <c r="AA196" s="97">
        <f>((Tableau!$H$35-Q196)/(AE196^2+Tableau!$G$40^2)^(3/2))*Tableau!$G$39</f>
        <v>-227.7206375671949</v>
      </c>
      <c r="AC196" s="110">
        <f>SQRT((Tableau!$G$16-P196)^2+(Tableau!$H$16-Q196)^2)</f>
        <v>50973.312629325534</v>
      </c>
      <c r="AD196" s="111">
        <f>SQRT((Tableau!$G$25-P196)^2+(Tableau!$H$25-Q196)^2)</f>
        <v>12339.151861840344</v>
      </c>
      <c r="AE196" s="112">
        <f>SQRT((Tableau!$G$35-P196)^2+(Tableau!$H$35-Q196)^2)</f>
        <v>40764.194345070217</v>
      </c>
    </row>
    <row r="197" spans="2:31" x14ac:dyDescent="0.25">
      <c r="B197" s="18">
        <v>194</v>
      </c>
      <c r="C197" s="19">
        <f>Tableau!$G$17*COS(B197*PI()/180)+Tableau!$G$16</f>
        <v>15148.521368620019</v>
      </c>
      <c r="D197" s="19">
        <f>Tableau!$G$17*SIN(B197*PI()/180)+Tableau!$H$16</f>
        <v>6290.3905220016622</v>
      </c>
      <c r="F197" s="26">
        <v>194</v>
      </c>
      <c r="G197" s="27">
        <f>Tableau!$G$26*COS(F197*PI()/180)+Tableau!$G$25</f>
        <v>-23396.035041965988</v>
      </c>
      <c r="H197" s="27">
        <f>Tableau!$G$26*SIN(F197*PI()/180)+Tableau!$H$25</f>
        <v>9153.2733654011645</v>
      </c>
      <c r="J197" s="34">
        <v>194</v>
      </c>
      <c r="K197" s="35">
        <f>Tableau!$G$36*COS(J197*PI()/180)+Tableau!$G$35</f>
        <v>-9851.4786313799814</v>
      </c>
      <c r="L197" s="35">
        <f>Tableau!$G$36*SIN(J197*PI()/180)+Tableau!$H$35</f>
        <v>-16209.609477998338</v>
      </c>
      <c r="N197" s="98">
        <v>193</v>
      </c>
      <c r="O197" s="99">
        <v>96.5</v>
      </c>
      <c r="P197" s="101">
        <f>P196+R196*Tableau!$G$2+((1/2)*T196)*Tableau!$G$2^2</f>
        <v>-27267.401590483467</v>
      </c>
      <c r="Q197" s="101">
        <f>Q196+S196*Tableau!$G$2+((1/2)*U196)*Tableau!$G$2^2</f>
        <v>16577.951921850967</v>
      </c>
      <c r="R197" s="101">
        <f>R196+T196*Tableau!$G$2</f>
        <v>5813.7374500737751</v>
      </c>
      <c r="S197" s="101">
        <f>S196+U196*Tableau!$G$2</f>
        <v>-1341.5825739586969</v>
      </c>
      <c r="T197" s="101">
        <f t="shared" si="6"/>
        <v>1138.5660752277256</v>
      </c>
      <c r="U197" s="101">
        <f t="shared" si="7"/>
        <v>-976.06836222899312</v>
      </c>
      <c r="V197" s="101">
        <f>((Tableau!$G$16-P197)/(AC197^2+Tableau!$G$21^2)^(3/2))*Tableau!$G$20</f>
        <v>208.32853317664552</v>
      </c>
      <c r="W197" s="101">
        <f>((Tableau!$H$16-Q197)/(AC197^2+Tableau!$G$21^2)^(3/2))*Tableau!$G$20</f>
        <v>-40.010585403283173</v>
      </c>
      <c r="X197" s="101">
        <f>((Tableau!$G$25-P197)/(AD197^2+Tableau!$G$30^2)^(3/2))*Tableau!$G$29</f>
        <v>746.86142430072516</v>
      </c>
      <c r="Y197" s="101">
        <f>((Tableau!$H$25-Q197)/(AD197^2+Tableau!$G$30^2)^(3/2))*Tableau!$G$29</f>
        <v>-676.00757714676911</v>
      </c>
      <c r="Z197" s="101">
        <f>((Tableau!$G$35-P197)/(AE197^2+Tableau!$G$40^2)^(3/2))*Tableau!$G$39</f>
        <v>183.37611775035501</v>
      </c>
      <c r="AA197" s="102">
        <f>((Tableau!$H$35-Q197)/(AE197^2+Tableau!$G$40^2)^(3/2))*Tableau!$G$39</f>
        <v>-260.05019967894088</v>
      </c>
      <c r="AC197" s="113">
        <f>SQRT((Tableau!$G$16-P197)^2+(Tableau!$H$16-Q197)^2)</f>
        <v>48131.242080497737</v>
      </c>
      <c r="AD197" s="114">
        <f>SQRT((Tableau!$G$25-P197)^2+(Tableau!$H$25-Q197)^2)</f>
        <v>9802.2740914312562</v>
      </c>
      <c r="AE197" s="115">
        <f>SQRT((Tableau!$G$35-P197)^2+(Tableau!$H$35-Q197)^2)</f>
        <v>38639.412795364748</v>
      </c>
    </row>
    <row r="198" spans="2:31" x14ac:dyDescent="0.25">
      <c r="B198" s="20">
        <v>195</v>
      </c>
      <c r="C198" s="21">
        <f>Tableau!$G$17*COS(B198*PI()/180)+Tableau!$G$16</f>
        <v>15170.370868554659</v>
      </c>
      <c r="D198" s="21">
        <f>Tableau!$G$17*SIN(B198*PI()/180)+Tableau!$H$16</f>
        <v>6205.9047744873988</v>
      </c>
      <c r="F198" s="28">
        <v>195</v>
      </c>
      <c r="G198" s="29">
        <f>Tableau!$G$26*COS(F198*PI()/180)+Tableau!$G$25</f>
        <v>-23380.740392011739</v>
      </c>
      <c r="H198" s="29">
        <f>Tableau!$G$26*SIN(F198*PI()/180)+Tableau!$H$25</f>
        <v>9094.1333421411782</v>
      </c>
      <c r="J198" s="36">
        <v>195</v>
      </c>
      <c r="K198" s="37">
        <f>Tableau!$G$36*COS(J198*PI()/180)+Tableau!$G$35</f>
        <v>-9829.629131445341</v>
      </c>
      <c r="L198" s="37">
        <f>Tableau!$G$36*SIN(J198*PI()/180)+Tableau!$H$35</f>
        <v>-16294.095225512601</v>
      </c>
      <c r="N198" s="92">
        <v>194</v>
      </c>
      <c r="O198" s="93">
        <v>97</v>
      </c>
      <c r="P198" s="96">
        <f>P197+R197*Tableau!$G$2+((1/2)*T197)*Tableau!$G$2^2</f>
        <v>-24218.212106043113</v>
      </c>
      <c r="Q198" s="96">
        <f>Q197+S197*Tableau!$G$2+((1/2)*U197)*Tableau!$G$2^2</f>
        <v>15785.152089592993</v>
      </c>
      <c r="R198" s="96">
        <f>R197+T197*Tableau!$G$2</f>
        <v>6383.0204876876378</v>
      </c>
      <c r="S198" s="96">
        <f>S197+U197*Tableau!$G$2</f>
        <v>-1829.6167550731934</v>
      </c>
      <c r="T198" s="96">
        <f t="shared" si="6"/>
        <v>1179.7823602618782</v>
      </c>
      <c r="U198" s="96">
        <f t="shared" si="7"/>
        <v>-1381.4144625677543</v>
      </c>
      <c r="V198" s="96">
        <f>((Tableau!$G$16-P198)/(AC198^2+Tableau!$G$21^2)^(3/2))*Tableau!$G$20</f>
        <v>236.53779039358682</v>
      </c>
      <c r="W198" s="96">
        <f>((Tableau!$H$16-Q198)/(AC198^2+Tableau!$G$21^2)^(3/2))*Tableau!$G$20</f>
        <v>-44.320009222609535</v>
      </c>
      <c r="X198" s="96">
        <f>((Tableau!$G$25-P198)/(AD198^2+Tableau!$G$30^2)^(3/2))*Tableau!$G$29</f>
        <v>754.60759414851452</v>
      </c>
      <c r="Y198" s="96">
        <f>((Tableau!$H$25-Q198)/(AD198^2+Tableau!$G$30^2)^(3/2))*Tableau!$G$29</f>
        <v>-1034.9218081890363</v>
      </c>
      <c r="Z198" s="96">
        <f>((Tableau!$G$35-P198)/(AE198^2+Tableau!$G$40^2)^(3/2))*Tableau!$G$39</f>
        <v>188.6369757197769</v>
      </c>
      <c r="AA198" s="97">
        <f>((Tableau!$H$35-Q198)/(AE198^2+Tableau!$G$40^2)^(3/2))*Tableau!$G$39</f>
        <v>-302.17264515610844</v>
      </c>
      <c r="AC198" s="110">
        <f>SQRT((Tableau!$G$16-P198)^2+(Tableau!$H$16-Q198)^2)</f>
        <v>44987.709732800409</v>
      </c>
      <c r="AD198" s="111">
        <f>SQRT((Tableau!$G$25-P198)^2+(Tableau!$H$25-Q198)^2)</f>
        <v>7159.6995796814581</v>
      </c>
      <c r="AE198" s="112">
        <f>SQRT((Tableau!$G$35-P198)^2+(Tableau!$H$35-Q198)^2)</f>
        <v>36291.393824600258</v>
      </c>
    </row>
    <row r="199" spans="2:31" x14ac:dyDescent="0.25">
      <c r="B199" s="18">
        <v>196</v>
      </c>
      <c r="C199" s="19">
        <f>Tableau!$G$17*COS(B199*PI()/180)+Tableau!$G$16</f>
        <v>15193.691520308406</v>
      </c>
      <c r="D199" s="19">
        <f>Tableau!$G$17*SIN(B199*PI()/180)+Tableau!$H$16</f>
        <v>6121.8132209150053</v>
      </c>
      <c r="F199" s="26">
        <v>196</v>
      </c>
      <c r="G199" s="27">
        <f>Tableau!$G$26*COS(F199*PI()/180)+Tableau!$G$25</f>
        <v>-23364.415935784116</v>
      </c>
      <c r="H199" s="27">
        <f>Tableau!$G$26*SIN(F199*PI()/180)+Tableau!$H$25</f>
        <v>9035.2692546405033</v>
      </c>
      <c r="J199" s="34">
        <v>196</v>
      </c>
      <c r="K199" s="35">
        <f>Tableau!$G$36*COS(J199*PI()/180)+Tableau!$G$35</f>
        <v>-9806.3084796915937</v>
      </c>
      <c r="L199" s="35">
        <f>Tableau!$G$36*SIN(J199*PI()/180)+Tableau!$H$35</f>
        <v>-16378.186779084996</v>
      </c>
      <c r="N199" s="98">
        <v>195</v>
      </c>
      <c r="O199" s="99">
        <v>97.5</v>
      </c>
      <c r="P199" s="101">
        <f>P198+R198*Tableau!$G$2+((1/2)*T198)*Tableau!$G$2^2</f>
        <v>-20879.229067166558</v>
      </c>
      <c r="Q199" s="101">
        <f>Q198+S198*Tableau!$G$2+((1/2)*U198)*Tableau!$G$2^2</f>
        <v>14697.666904235428</v>
      </c>
      <c r="R199" s="101">
        <f>R198+T198*Tableau!$G$2</f>
        <v>6972.9116678185765</v>
      </c>
      <c r="S199" s="101">
        <f>S198+U198*Tableau!$G$2</f>
        <v>-2520.3239863570707</v>
      </c>
      <c r="T199" s="101">
        <f t="shared" si="6"/>
        <v>726.11022155803289</v>
      </c>
      <c r="U199" s="101">
        <f t="shared" si="7"/>
        <v>-1792.6194909945477</v>
      </c>
      <c r="V199" s="101">
        <f>((Tableau!$G$16-P199)/(AC199^2+Tableau!$G$21^2)^(3/2))*Tableau!$G$20</f>
        <v>275.01140107205583</v>
      </c>
      <c r="W199" s="101">
        <f>((Tableau!$H$16-Q199)/(AC199^2+Tableau!$G$21^2)^(3/2))*Tableau!$G$20</f>
        <v>-48.42166804397008</v>
      </c>
      <c r="X199" s="101">
        <f>((Tableau!$G$25-P199)/(AD199^2+Tableau!$G$30^2)^(3/2))*Tableau!$G$29</f>
        <v>259.31948799942188</v>
      </c>
      <c r="Y199" s="101">
        <f>((Tableau!$H$25-Q199)/(AD199^2+Tableau!$G$30^2)^(3/2))*Tableau!$G$29</f>
        <v>-1385.5280971589966</v>
      </c>
      <c r="Z199" s="101">
        <f>((Tableau!$G$35-P199)/(AE199^2+Tableau!$G$40^2)^(3/2))*Tableau!$G$39</f>
        <v>191.77933248655521</v>
      </c>
      <c r="AA199" s="102">
        <f>((Tableau!$H$35-Q199)/(AE199^2+Tableau!$G$40^2)^(3/2))*Tableau!$G$39</f>
        <v>-358.66972579158102</v>
      </c>
      <c r="AC199" s="113">
        <f>SQRT((Tableau!$G$16-P199)^2+(Tableau!$H$16-Q199)^2)</f>
        <v>41508.044738221543</v>
      </c>
      <c r="AD199" s="114">
        <f>SQRT((Tableau!$G$25-P199)^2+(Tableau!$H$25-Q199)^2)</f>
        <v>4779.2382338296802</v>
      </c>
      <c r="AE199" s="115">
        <f>SQRT((Tableau!$G$35-P199)^2+(Tableau!$H$35-Q199)^2)</f>
        <v>33676.421058694279</v>
      </c>
    </row>
    <row r="200" spans="2:31" x14ac:dyDescent="0.25">
      <c r="B200" s="20">
        <v>197</v>
      </c>
      <c r="C200" s="21">
        <f>Tableau!$G$17*COS(B200*PI()/180)+Tableau!$G$16</f>
        <v>15218.476220184823</v>
      </c>
      <c r="D200" s="21">
        <f>Tableau!$G$17*SIN(B200*PI()/180)+Tableau!$H$16</f>
        <v>6038.1414763863177</v>
      </c>
      <c r="F200" s="28">
        <v>197</v>
      </c>
      <c r="G200" s="29">
        <f>Tableau!$G$26*COS(F200*PI()/180)+Tableau!$G$25</f>
        <v>-23347.066645870626</v>
      </c>
      <c r="H200" s="29">
        <f>Tableau!$G$26*SIN(F200*PI()/180)+Tableau!$H$25</f>
        <v>8976.6990334704224</v>
      </c>
      <c r="J200" s="36">
        <v>197</v>
      </c>
      <c r="K200" s="37">
        <f>Tableau!$G$36*COS(J200*PI()/180)+Tableau!$G$35</f>
        <v>-9781.5237798151775</v>
      </c>
      <c r="L200" s="37">
        <f>Tableau!$G$36*SIN(J200*PI()/180)+Tableau!$H$35</f>
        <v>-16461.858523613682</v>
      </c>
      <c r="N200" s="92">
        <v>196</v>
      </c>
      <c r="O200" s="93">
        <v>98</v>
      </c>
      <c r="P200" s="96">
        <f>P199+R199*Tableau!$G$2+((1/2)*T199)*Tableau!$G$2^2</f>
        <v>-17302.009455562515</v>
      </c>
      <c r="Q200" s="96">
        <f>Q199+S199*Tableau!$G$2+((1/2)*U199)*Tableau!$G$2^2</f>
        <v>13213.427474682574</v>
      </c>
      <c r="R200" s="96">
        <f>R199+T199*Tableau!$G$2</f>
        <v>7335.9667785975926</v>
      </c>
      <c r="S200" s="96">
        <f>S199+U199*Tableau!$G$2</f>
        <v>-3416.6337318543447</v>
      </c>
      <c r="T200" s="96">
        <f t="shared" si="6"/>
        <v>-373.09525738450986</v>
      </c>
      <c r="U200" s="96">
        <f t="shared" si="7"/>
        <v>-1547.8078146172302</v>
      </c>
      <c r="V200" s="96">
        <f>((Tableau!$G$16-P200)/(AC200^2+Tableau!$G$21^2)^(3/2))*Tableau!$G$20</f>
        <v>328.25991460917226</v>
      </c>
      <c r="W200" s="96">
        <f>((Tableau!$H$16-Q200)/(AC200^2+Tableau!$G$21^2)^(3/2))*Tableau!$G$20</f>
        <v>-50.278503553521716</v>
      </c>
      <c r="X200" s="96">
        <f>((Tableau!$G$25-P200)/(AD200^2+Tableau!$G$30^2)^(3/2))*Tableau!$G$29</f>
        <v>-891.39518648909041</v>
      </c>
      <c r="Y200" s="96">
        <f>((Tableau!$H$25-Q200)/(AD200^2+Tableau!$G$30^2)^(3/2))*Tableau!$G$29</f>
        <v>-1061.6915574331847</v>
      </c>
      <c r="Z200" s="96">
        <f>((Tableau!$G$35-P200)/(AE200^2+Tableau!$G$40^2)^(3/2))*Tableau!$G$39</f>
        <v>190.04001449540831</v>
      </c>
      <c r="AA200" s="97">
        <f>((Tableau!$H$35-Q200)/(AE200^2+Tableau!$G$40^2)^(3/2))*Tableau!$G$39</f>
        <v>-435.83775363052371</v>
      </c>
      <c r="AC200" s="110">
        <f>SQRT((Tableau!$G$16-P200)^2+(Tableau!$H$16-Q200)^2)</f>
        <v>37737.026418775138</v>
      </c>
      <c r="AD200" s="111">
        <f>SQRT((Tableau!$G$25-P200)^2+(Tableau!$H$25-Q200)^2)</f>
        <v>4195.8633334415099</v>
      </c>
      <c r="AE200" s="112">
        <f>SQRT((Tableau!$G$35-P200)^2+(Tableau!$H$35-Q200)^2)</f>
        <v>30778.838940316171</v>
      </c>
    </row>
    <row r="201" spans="2:31" x14ac:dyDescent="0.25">
      <c r="B201" s="18">
        <v>198</v>
      </c>
      <c r="C201" s="19">
        <f>Tableau!$G$17*COS(B201*PI()/180)+Tableau!$G$16</f>
        <v>15244.717418524233</v>
      </c>
      <c r="D201" s="19">
        <f>Tableau!$G$17*SIN(B201*PI()/180)+Tableau!$H$16</f>
        <v>5954.9150281252614</v>
      </c>
      <c r="F201" s="26">
        <v>198</v>
      </c>
      <c r="G201" s="27">
        <f>Tableau!$G$26*COS(F201*PI()/180)+Tableau!$G$25</f>
        <v>-23328.697807033037</v>
      </c>
      <c r="H201" s="27">
        <f>Tableau!$G$26*SIN(F201*PI()/180)+Tableau!$H$25</f>
        <v>8918.4405196876833</v>
      </c>
      <c r="J201" s="34">
        <v>198</v>
      </c>
      <c r="K201" s="35">
        <f>Tableau!$G$36*COS(J201*PI()/180)+Tableau!$G$35</f>
        <v>-9755.2825814757671</v>
      </c>
      <c r="L201" s="35">
        <f>Tableau!$G$36*SIN(J201*PI()/180)+Tableau!$H$35</f>
        <v>-16545.084971874738</v>
      </c>
      <c r="N201" s="98">
        <v>197</v>
      </c>
      <c r="O201" s="99">
        <v>98.5</v>
      </c>
      <c r="P201" s="101">
        <f>P200+R200*Tableau!$G$2+((1/2)*T200)*Tableau!$G$2^2</f>
        <v>-13680.662973436783</v>
      </c>
      <c r="Q201" s="101">
        <f>Q200+S200*Tableau!$G$2+((1/2)*U200)*Tableau!$G$2^2</f>
        <v>11311.634631928247</v>
      </c>
      <c r="R201" s="101">
        <f>R200+T200*Tableau!$G$2</f>
        <v>7149.4191499053377</v>
      </c>
      <c r="S201" s="101">
        <f>S200+U200*Tableau!$G$2</f>
        <v>-4190.5376391629597</v>
      </c>
      <c r="T201" s="101">
        <f t="shared" si="6"/>
        <v>-737.46607856770697</v>
      </c>
      <c r="U201" s="101">
        <f t="shared" si="7"/>
        <v>-857.17470080954286</v>
      </c>
      <c r="V201" s="101">
        <f>((Tableau!$G$16-P201)/(AC201^2+Tableau!$G$21^2)^(3/2))*Tableau!$G$20</f>
        <v>399.55779667928562</v>
      </c>
      <c r="W201" s="101">
        <f>((Tableau!$H$16-Q201)/(AC201^2+Tableau!$G$21^2)^(3/2))*Tableau!$G$20</f>
        <v>-45.217884709717353</v>
      </c>
      <c r="X201" s="101">
        <f>((Tableau!$G$25-P201)/(AD201^2+Tableau!$G$30^2)^(3/2))*Tableau!$G$29</f>
        <v>-1314.8641562173948</v>
      </c>
      <c r="Y201" s="101">
        <f>((Tableau!$H$25-Q201)/(AD201^2+Tableau!$G$30^2)^(3/2))*Tableau!$G$29</f>
        <v>-272.91175582603591</v>
      </c>
      <c r="Z201" s="101">
        <f>((Tableau!$G$35-P201)/(AE201^2+Tableau!$G$40^2)^(3/2))*Tableau!$G$39</f>
        <v>177.84028097040218</v>
      </c>
      <c r="AA201" s="102">
        <f>((Tableau!$H$35-Q201)/(AE201^2+Tableau!$G$40^2)^(3/2))*Tableau!$G$39</f>
        <v>-539.04506027378955</v>
      </c>
      <c r="AC201" s="113">
        <f>SQRT((Tableau!$G$16-P201)^2+(Tableau!$H$16-Q201)^2)</f>
        <v>33895.657788241115</v>
      </c>
      <c r="AD201" s="114">
        <f>SQRT((Tableau!$G$25-P201)^2+(Tableau!$H$25-Q201)^2)</f>
        <v>6454.0224560320821</v>
      </c>
      <c r="AE201" s="115">
        <f>SQRT((Tableau!$G$35-P201)^2+(Tableau!$H$35-Q201)^2)</f>
        <v>27706.606191709627</v>
      </c>
    </row>
    <row r="202" spans="2:31" x14ac:dyDescent="0.25">
      <c r="B202" s="20">
        <v>199</v>
      </c>
      <c r="C202" s="21">
        <f>Tableau!$G$17*COS(B202*PI()/180)+Tableau!$G$16</f>
        <v>15272.407122003417</v>
      </c>
      <c r="D202" s="21">
        <f>Tableau!$G$17*SIN(B202*PI()/180)+Tableau!$H$16</f>
        <v>5872.1592277142163</v>
      </c>
      <c r="F202" s="28">
        <v>199</v>
      </c>
      <c r="G202" s="29">
        <f>Tableau!$G$26*COS(F202*PI()/180)+Tableau!$G$25</f>
        <v>-23309.315014597611</v>
      </c>
      <c r="H202" s="29">
        <f>Tableau!$G$26*SIN(F202*PI()/180)+Tableau!$H$25</f>
        <v>8860.5114593999515</v>
      </c>
      <c r="J202" s="36">
        <v>199</v>
      </c>
      <c r="K202" s="37">
        <f>Tableau!$G$36*COS(J202*PI()/180)+Tableau!$G$35</f>
        <v>-9727.5928779965834</v>
      </c>
      <c r="L202" s="37">
        <f>Tableau!$G$36*SIN(J202*PI()/180)+Tableau!$H$35</f>
        <v>-16627.840772285785</v>
      </c>
      <c r="N202" s="92">
        <v>198</v>
      </c>
      <c r="O202" s="93">
        <v>99</v>
      </c>
      <c r="P202" s="96">
        <f>P201+R201*Tableau!$G$2+((1/2)*T201)*Tableau!$G$2^2</f>
        <v>-10198.136658305079</v>
      </c>
      <c r="Q202" s="96">
        <f>Q201+S201*Tableau!$G$2+((1/2)*U201)*Tableau!$G$2^2</f>
        <v>9109.2189747455759</v>
      </c>
      <c r="R202" s="96">
        <f>R201+T201*Tableau!$G$2</f>
        <v>6780.6861106214837</v>
      </c>
      <c r="S202" s="96">
        <f>S201+U201*Tableau!$G$2</f>
        <v>-4619.1249895677311</v>
      </c>
      <c r="T202" s="96">
        <f t="shared" si="6"/>
        <v>-365.49134774368031</v>
      </c>
      <c r="U202" s="96">
        <f t="shared" si="7"/>
        <v>-604.96674627800462</v>
      </c>
      <c r="V202" s="96">
        <f>((Tableau!$G$16-P202)/(AC202^2+Tableau!$G$21^2)^(3/2))*Tableau!$G$20</f>
        <v>489.31637245034125</v>
      </c>
      <c r="W202" s="96">
        <f>((Tableau!$H$16-Q202)/(AC202^2+Tableau!$G$21^2)^(3/2))*Tableau!$G$20</f>
        <v>-26.075025757730234</v>
      </c>
      <c r="X202" s="96">
        <f>((Tableau!$G$25-P202)/(AD202^2+Tableau!$G$30^2)^(3/2))*Tableau!$G$29</f>
        <v>-999.19980496070491</v>
      </c>
      <c r="Y202" s="96">
        <f>((Tableau!$H$25-Q202)/(AD202^2+Tableau!$G$30^2)^(3/2))*Tableau!$G$29</f>
        <v>90.806022862078422</v>
      </c>
      <c r="Z202" s="96">
        <f>((Tableau!$G$35-P202)/(AE202^2+Tableau!$G$40^2)^(3/2))*Tableau!$G$39</f>
        <v>144.39208476668338</v>
      </c>
      <c r="AA202" s="97">
        <f>((Tableau!$H$35-Q202)/(AE202^2+Tableau!$G$40^2)^(3/2))*Tableau!$G$39</f>
        <v>-669.69774338235277</v>
      </c>
      <c r="AC202" s="110">
        <f>SQRT((Tableau!$G$16-P202)^2+(Tableau!$H$16-Q202)^2)</f>
        <v>30240.982843524616</v>
      </c>
      <c r="AD202" s="111">
        <f>SQRT((Tableau!$G$25-P202)^2+(Tableau!$H$25-Q202)^2)</f>
        <v>9842.2566418589213</v>
      </c>
      <c r="AE202" s="112">
        <f>SQRT((Tableau!$G$35-P202)^2+(Tableau!$H$35-Q202)^2)</f>
        <v>24663.233046189369</v>
      </c>
    </row>
    <row r="203" spans="2:31" x14ac:dyDescent="0.25">
      <c r="B203" s="18">
        <v>200</v>
      </c>
      <c r="C203" s="19">
        <f>Tableau!$G$17*COS(B203*PI()/180)+Tableau!$G$16</f>
        <v>15301.536896070458</v>
      </c>
      <c r="D203" s="19">
        <f>Tableau!$G$17*SIN(B203*PI()/180)+Tableau!$H$16</f>
        <v>5789.8992833716566</v>
      </c>
      <c r="F203" s="26">
        <v>200</v>
      </c>
      <c r="G203" s="27">
        <f>Tableau!$G$26*COS(F203*PI()/180)+Tableau!$G$25</f>
        <v>-23288.924172750681</v>
      </c>
      <c r="H203" s="27">
        <f>Tableau!$G$26*SIN(F203*PI()/180)+Tableau!$H$25</f>
        <v>8802.9294983601594</v>
      </c>
      <c r="J203" s="34">
        <v>200</v>
      </c>
      <c r="K203" s="35">
        <f>Tableau!$G$36*COS(J203*PI()/180)+Tableau!$G$35</f>
        <v>-9698.4631039295418</v>
      </c>
      <c r="L203" s="35">
        <f>Tableau!$G$36*SIN(J203*PI()/180)+Tableau!$H$35</f>
        <v>-16710.100716628342</v>
      </c>
      <c r="N203" s="98">
        <v>199</v>
      </c>
      <c r="O203" s="99">
        <v>99.5</v>
      </c>
      <c r="P203" s="101">
        <f>P202+R202*Tableau!$G$2+((1/2)*T202)*Tableau!$G$2^2</f>
        <v>-6853.4800214622965</v>
      </c>
      <c r="Q203" s="101">
        <f>Q202+S202*Tableau!$G$2+((1/2)*U202)*Tableau!$G$2^2</f>
        <v>6724.0356366769593</v>
      </c>
      <c r="R203" s="101">
        <f>R202+T202*Tableau!$G$2</f>
        <v>6597.9404367496436</v>
      </c>
      <c r="S203" s="101">
        <f>S202+U202*Tableau!$G$2</f>
        <v>-4921.6083627067337</v>
      </c>
      <c r="T203" s="101">
        <f t="shared" si="6"/>
        <v>1.5216956933088284</v>
      </c>
      <c r="U203" s="101">
        <f t="shared" si="7"/>
        <v>-641.03549739573646</v>
      </c>
      <c r="V203" s="101">
        <f>((Tableau!$G$16-P203)/(AC203^2+Tableau!$G$21^2)^(3/2))*Tableau!$G$20</f>
        <v>596.92551396643682</v>
      </c>
      <c r="W203" s="101">
        <f>((Tableau!$H$16-Q203)/(AC203^2+Tableau!$G$21^2)^(3/2))*Tableau!$G$20</f>
        <v>17.248897574021843</v>
      </c>
      <c r="X203" s="101">
        <f>((Tableau!$G$25-P203)/(AD203^2+Tableau!$G$30^2)^(3/2))*Tableau!$G$29</f>
        <v>-665.72185154956424</v>
      </c>
      <c r="Y203" s="101">
        <f>((Tableau!$H$25-Q203)/(AD203^2+Tableau!$G$30^2)^(3/2))*Tableau!$G$29</f>
        <v>165.89036985621993</v>
      </c>
      <c r="Z203" s="101">
        <f>((Tableau!$G$35-P203)/(AE203^2+Tableau!$G$40^2)^(3/2))*Tableau!$G$39</f>
        <v>70.318033276436239</v>
      </c>
      <c r="AA203" s="102">
        <f>((Tableau!$H$35-Q203)/(AE203^2+Tableau!$G$40^2)^(3/2))*Tableau!$G$39</f>
        <v>-824.17476482597817</v>
      </c>
      <c r="AC203" s="113">
        <f>SQRT((Tableau!$G$16-P203)^2+(Tableau!$H$16-Q203)^2)</f>
        <v>26864.688904884453</v>
      </c>
      <c r="AD203" s="114">
        <f>SQRT((Tableau!$G$25-P203)^2+(Tableau!$H$25-Q203)^2)</f>
        <v>13548.53977577855</v>
      </c>
      <c r="AE203" s="115">
        <f>SQRT((Tableau!$G$35-P203)^2+(Tableau!$H$35-Q203)^2)</f>
        <v>21802.961095538616</v>
      </c>
    </row>
    <row r="204" spans="2:31" x14ac:dyDescent="0.25">
      <c r="B204" s="20">
        <v>201</v>
      </c>
      <c r="C204" s="21">
        <f>Tableau!$G$17*COS(B204*PI()/180)+Tableau!$G$16</f>
        <v>15332.097867513992</v>
      </c>
      <c r="D204" s="21">
        <f>Tableau!$G$17*SIN(B204*PI()/180)+Tableau!$H$16</f>
        <v>5708.1602522734975</v>
      </c>
      <c r="F204" s="28">
        <v>201</v>
      </c>
      <c r="G204" s="29">
        <f>Tableau!$G$26*COS(F204*PI()/180)+Tableau!$G$25</f>
        <v>-23267.531492740207</v>
      </c>
      <c r="H204" s="29">
        <f>Tableau!$G$26*SIN(F204*PI()/180)+Tableau!$H$25</f>
        <v>8745.712176591449</v>
      </c>
      <c r="J204" s="36">
        <v>201</v>
      </c>
      <c r="K204" s="37">
        <f>Tableau!$G$36*COS(J204*PI()/180)+Tableau!$G$35</f>
        <v>-9667.9021324860078</v>
      </c>
      <c r="L204" s="37">
        <f>Tableau!$G$36*SIN(J204*PI()/180)+Tableau!$H$35</f>
        <v>-16791.839747726503</v>
      </c>
      <c r="N204" s="92">
        <v>200</v>
      </c>
      <c r="O204" s="93">
        <v>100</v>
      </c>
      <c r="P204" s="96">
        <f>P203+R203*Tableau!$G$2+((1/2)*T203)*Tableau!$G$2^2</f>
        <v>-3554.3195911258113</v>
      </c>
      <c r="Q204" s="96">
        <f>Q203+S203*Tableau!$G$2+((1/2)*U203)*Tableau!$G$2^2</f>
        <v>4183.1020181491249</v>
      </c>
      <c r="R204" s="96">
        <f>R203+T203*Tableau!$G$2</f>
        <v>6598.7012845962981</v>
      </c>
      <c r="S204" s="96">
        <f>S203+U203*Tableau!$G$2</f>
        <v>-5242.1261114046019</v>
      </c>
      <c r="T204" s="96">
        <f t="shared" si="6"/>
        <v>198.83077734145436</v>
      </c>
      <c r="U204" s="96">
        <f t="shared" si="7"/>
        <v>-727.09628959588838</v>
      </c>
      <c r="V204" s="96">
        <f>((Tableau!$G$16-P204)/(AC204^2+Tableau!$G$21^2)^(3/2))*Tableau!$G$20</f>
        <v>717.87013111198235</v>
      </c>
      <c r="W204" s="96">
        <f>((Tableau!$H$16-Q204)/(AC204^2+Tableau!$G$21^2)^(3/2))*Tableau!$G$20</f>
        <v>101.08982260788579</v>
      </c>
      <c r="X204" s="96">
        <f>((Tableau!$G$25-P204)/(AD204^2+Tableau!$G$30^2)^(3/2))*Tableau!$G$29</f>
        <v>-444.76971291207491</v>
      </c>
      <c r="Y204" s="96">
        <f>((Tableau!$H$25-Q204)/(AD204^2+Tableau!$G$30^2)^(3/2))*Tableau!$G$29</f>
        <v>157.31669235348778</v>
      </c>
      <c r="Z204" s="96">
        <f>((Tableau!$G$35-P204)/(AE204^2+Tableau!$G$40^2)^(3/2))*Tableau!$G$39</f>
        <v>-74.269640858453073</v>
      </c>
      <c r="AA204" s="97">
        <f>((Tableau!$H$35-Q204)/(AE204^2+Tableau!$G$40^2)^(3/2))*Tableau!$G$39</f>
        <v>-985.50280455726192</v>
      </c>
      <c r="AC204" s="110">
        <f>SQRT((Tableau!$G$16-P204)^2+(Tableau!$H$16-Q204)^2)</f>
        <v>23786.714435224123</v>
      </c>
      <c r="AD204" s="111">
        <f>SQRT((Tableau!$G$25-P204)^2+(Tableau!$H$25-Q204)^2)</f>
        <v>17444.1023340867</v>
      </c>
      <c r="AE204" s="112">
        <f>SQRT((Tableau!$G$35-P204)^2+(Tableau!$H$35-Q204)^2)</f>
        <v>19237.499704569713</v>
      </c>
    </row>
    <row r="205" spans="2:31" x14ac:dyDescent="0.25">
      <c r="B205" s="18">
        <v>202</v>
      </c>
      <c r="C205" s="19">
        <f>Tableau!$G$17*COS(B205*PI()/180)+Tableau!$G$16</f>
        <v>15364.080727166063</v>
      </c>
      <c r="D205" s="19">
        <f>Tableau!$G$17*SIN(B205*PI()/180)+Tableau!$H$16</f>
        <v>5626.96703292044</v>
      </c>
      <c r="F205" s="26">
        <v>202</v>
      </c>
      <c r="G205" s="27">
        <f>Tableau!$G$26*COS(F205*PI()/180)+Tableau!$G$25</f>
        <v>-23245.143490983755</v>
      </c>
      <c r="H205" s="27">
        <f>Tableau!$G$26*SIN(F205*PI()/180)+Tableau!$H$25</f>
        <v>8688.8769230443086</v>
      </c>
      <c r="J205" s="34">
        <v>202</v>
      </c>
      <c r="K205" s="35">
        <f>Tableau!$G$36*COS(J205*PI()/180)+Tableau!$G$35</f>
        <v>-9635.9192728339367</v>
      </c>
      <c r="L205" s="35">
        <f>Tableau!$G$36*SIN(J205*PI()/180)+Tableau!$H$35</f>
        <v>-16873.032967079562</v>
      </c>
      <c r="N205" s="98">
        <v>201</v>
      </c>
      <c r="O205" s="99">
        <v>100.5</v>
      </c>
      <c r="P205" s="101">
        <f>P204+R204*Tableau!$G$2+((1/2)*T204)*Tableau!$G$2^2</f>
        <v>-230.11510165998038</v>
      </c>
      <c r="Q205" s="101">
        <f>Q204+S204*Tableau!$G$2+((1/2)*U204)*Tableau!$G$2^2</f>
        <v>1471.1519262473378</v>
      </c>
      <c r="R205" s="101">
        <f>R204+T204*Tableau!$G$2</f>
        <v>6698.1166732670254</v>
      </c>
      <c r="S205" s="101">
        <f>S204+U204*Tableau!$G$2</f>
        <v>-5605.6742562025465</v>
      </c>
      <c r="T205" s="101">
        <f t="shared" si="6"/>
        <v>205.92195934375667</v>
      </c>
      <c r="U205" s="101">
        <f t="shared" si="7"/>
        <v>-722.85998960165966</v>
      </c>
      <c r="V205" s="101">
        <f>((Tableau!$G$16-P205)/(AC205^2+Tableau!$G$21^2)^(3/2))*Tableau!$G$20</f>
        <v>831.15109561281395</v>
      </c>
      <c r="W205" s="101">
        <f>((Tableau!$H$16-Q205)/(AC205^2+Tableau!$G$21^2)^(3/2))*Tableau!$G$20</f>
        <v>247.69427443206001</v>
      </c>
      <c r="X205" s="101">
        <f>((Tableau!$G$25-P205)/(AD205^2+Tableau!$G$30^2)^(3/2))*Tableau!$G$29</f>
        <v>-305.94418250564115</v>
      </c>
      <c r="Y205" s="101">
        <f>((Tableau!$H$25-Q205)/(AD205^2+Tableau!$G$30^2)^(3/2))*Tableau!$G$29</f>
        <v>131.98617316472919</v>
      </c>
      <c r="Z205" s="101">
        <f>((Tableau!$G$35-P205)/(AE205^2+Tableau!$G$40^2)^(3/2))*Tableau!$G$39</f>
        <v>-319.28495376341613</v>
      </c>
      <c r="AA205" s="102">
        <f>((Tableau!$H$35-Q205)/(AE205^2+Tableau!$G$40^2)^(3/2))*Tableau!$G$39</f>
        <v>-1102.5404371984489</v>
      </c>
      <c r="AC205" s="113">
        <f>SQRT((Tableau!$G$16-P205)^2+(Tableau!$H$16-Q205)^2)</f>
        <v>21109.347837458226</v>
      </c>
      <c r="AD205" s="114">
        <f>SQRT((Tableau!$G$25-P205)^2+(Tableau!$H$25-Q205)^2)</f>
        <v>21531.130912210981</v>
      </c>
      <c r="AE205" s="115">
        <f>SQRT((Tableau!$G$35-P205)^2+(Tableau!$H$35-Q205)^2)</f>
        <v>17147.905053414939</v>
      </c>
    </row>
    <row r="206" spans="2:31" x14ac:dyDescent="0.25">
      <c r="B206" s="20">
        <v>203</v>
      </c>
      <c r="C206" s="21">
        <f>Tableau!$G$17*COS(B206*PI()/180)+Tableau!$G$16</f>
        <v>15397.475732737799</v>
      </c>
      <c r="D206" s="21">
        <f>Tableau!$G$17*SIN(B206*PI()/180)+Tableau!$H$16</f>
        <v>5546.3443575536321</v>
      </c>
      <c r="F206" s="28">
        <v>203</v>
      </c>
      <c r="G206" s="29">
        <f>Tableau!$G$26*COS(F206*PI()/180)+Tableau!$G$25</f>
        <v>-23221.766987083542</v>
      </c>
      <c r="H206" s="29">
        <f>Tableau!$G$26*SIN(F206*PI()/180)+Tableau!$H$25</f>
        <v>8632.4410502875435</v>
      </c>
      <c r="J206" s="36">
        <v>203</v>
      </c>
      <c r="K206" s="37">
        <f>Tableau!$G$36*COS(J206*PI()/180)+Tableau!$G$35</f>
        <v>-9602.5242672622007</v>
      </c>
      <c r="L206" s="37">
        <f>Tableau!$G$36*SIN(J206*PI()/180)+Tableau!$H$35</f>
        <v>-16953.655642446367</v>
      </c>
      <c r="N206" s="92">
        <v>202</v>
      </c>
      <c r="O206" s="93">
        <v>101</v>
      </c>
      <c r="P206" s="96">
        <f>P205+R205*Tableau!$G$2+((1/2)*T205)*Tableau!$G$2^2</f>
        <v>3144.683479891502</v>
      </c>
      <c r="Q206" s="96">
        <f>Q205+S205*Tableau!$G$2+((1/2)*U205)*Tableau!$G$2^2</f>
        <v>-1422.042700554143</v>
      </c>
      <c r="R206" s="96">
        <f>R205+T205*Tableau!$G$2</f>
        <v>6801.0776529389041</v>
      </c>
      <c r="S206" s="96">
        <f>S205+U205*Tableau!$G$2</f>
        <v>-5967.1042510033767</v>
      </c>
      <c r="T206" s="96">
        <f t="shared" si="6"/>
        <v>17.146123605193907</v>
      </c>
      <c r="U206" s="96">
        <f t="shared" si="7"/>
        <v>-507.41166177708033</v>
      </c>
      <c r="V206" s="96">
        <f>((Tableau!$G$16-P206)/(AC206^2+Tableau!$G$21^2)^(3/2))*Tableau!$G$20</f>
        <v>883.83971277168871</v>
      </c>
      <c r="W206" s="96">
        <f>((Tableau!$H$16-Q206)/(AC206^2+Tableau!$G$21^2)^(3/2))*Tableau!$G$20</f>
        <v>467.84381938997575</v>
      </c>
      <c r="X206" s="96">
        <f>((Tableau!$G$25-P206)/(AD206^2+Tableau!$G$30^2)^(3/2))*Tableau!$G$29</f>
        <v>-217.34912673953446</v>
      </c>
      <c r="Y206" s="96">
        <f>((Tableau!$H$25-Q206)/(AD206^2+Tableau!$G$30^2)^(3/2))*Tableau!$G$29</f>
        <v>107.26312194781221</v>
      </c>
      <c r="Z206" s="96">
        <f>((Tableau!$G$35-P206)/(AE206^2+Tableau!$G$40^2)^(3/2))*Tableau!$G$39</f>
        <v>-649.34446242696038</v>
      </c>
      <c r="AA206" s="97">
        <f>((Tableau!$H$35-Q206)/(AE206^2+Tableau!$G$40^2)^(3/2))*Tableau!$G$39</f>
        <v>-1082.5186031148683</v>
      </c>
      <c r="AC206" s="110">
        <f>SQRT((Tableau!$G$16-P206)^2+(Tableau!$H$16-Q206)^2)</f>
        <v>19071.039325206006</v>
      </c>
      <c r="AD206" s="111">
        <f>SQRT((Tableau!$G$25-P206)^2+(Tableau!$H$25-Q206)^2)</f>
        <v>25809.677116105981</v>
      </c>
      <c r="AE206" s="112">
        <f>SQRT((Tableau!$G$35-P206)^2+(Tableau!$H$35-Q206)^2)</f>
        <v>15833.407511120044</v>
      </c>
    </row>
    <row r="207" spans="2:31" x14ac:dyDescent="0.25">
      <c r="B207" s="18">
        <v>204</v>
      </c>
      <c r="C207" s="19">
        <f>Tableau!$G$17*COS(B207*PI()/180)+Tableau!$G$16</f>
        <v>15432.272711786994</v>
      </c>
      <c r="D207" s="19">
        <f>Tableau!$G$17*SIN(B207*PI()/180)+Tableau!$H$16</f>
        <v>5466.3167846210008</v>
      </c>
      <c r="F207" s="26">
        <v>204</v>
      </c>
      <c r="G207" s="27">
        <f>Tableau!$G$26*COS(F207*PI()/180)+Tableau!$G$25</f>
        <v>-23197.409101749105</v>
      </c>
      <c r="H207" s="27">
        <f>Tableau!$G$26*SIN(F207*PI()/180)+Tableau!$H$25</f>
        <v>8576.4217492347016</v>
      </c>
      <c r="J207" s="34">
        <v>204</v>
      </c>
      <c r="K207" s="35">
        <f>Tableau!$G$36*COS(J207*PI()/180)+Tableau!$G$35</f>
        <v>-9567.7272882130055</v>
      </c>
      <c r="L207" s="35">
        <f>Tableau!$G$36*SIN(J207*PI()/180)+Tableau!$H$35</f>
        <v>-17033.683215378998</v>
      </c>
      <c r="N207" s="98">
        <v>203</v>
      </c>
      <c r="O207" s="99">
        <v>101.5</v>
      </c>
      <c r="P207" s="101">
        <f>P206+R206*Tableau!$G$2+((1/2)*T206)*Tableau!$G$2^2</f>
        <v>6547.3655718116033</v>
      </c>
      <c r="Q207" s="101">
        <f>Q206+S206*Tableau!$G$2+((1/2)*U206)*Tableau!$G$2^2</f>
        <v>-4469.0212837779663</v>
      </c>
      <c r="R207" s="101">
        <f>R206+T206*Tableau!$G$2</f>
        <v>6809.6507147415014</v>
      </c>
      <c r="S207" s="101">
        <f>S206+U206*Tableau!$G$2</f>
        <v>-6220.8100818919165</v>
      </c>
      <c r="T207" s="101">
        <f t="shared" si="6"/>
        <v>-300.02503928754675</v>
      </c>
      <c r="U207" s="101">
        <f t="shared" si="7"/>
        <v>-59.15369107999868</v>
      </c>
      <c r="V207" s="101">
        <f>((Tableau!$G$16-P207)/(AC207^2+Tableau!$G$21^2)^(3/2))*Tableau!$G$20</f>
        <v>806.12539360847916</v>
      </c>
      <c r="W207" s="101">
        <f>((Tableau!$H$16-Q207)/(AC207^2+Tableau!$G$21^2)^(3/2))*Tableau!$G$20</f>
        <v>717.22249236747439</v>
      </c>
      <c r="X207" s="101">
        <f>((Tableau!$G$25-P207)/(AD207^2+Tableau!$G$30^2)^(3/2))*Tableau!$G$29</f>
        <v>-159.51327072875691</v>
      </c>
      <c r="Y207" s="101">
        <f>((Tableau!$H$25-Q207)/(AD207^2+Tableau!$G$30^2)^(3/2))*Tableau!$G$29</f>
        <v>86.93898093112827</v>
      </c>
      <c r="Z207" s="101">
        <f>((Tableau!$G$35-P207)/(AE207^2+Tableau!$G$40^2)^(3/2))*Tableau!$G$39</f>
        <v>-946.63716216726903</v>
      </c>
      <c r="AA207" s="102">
        <f>((Tableau!$H$35-Q207)/(AE207^2+Tableau!$G$40^2)^(3/2))*Tableau!$G$39</f>
        <v>-863.31516437860137</v>
      </c>
      <c r="AC207" s="113">
        <f>SQRT((Tableau!$G$16-P207)^2+(Tableau!$H$16-Q207)^2)</f>
        <v>18006.411179077571</v>
      </c>
      <c r="AD207" s="114">
        <f>SQRT((Tableau!$G$25-P207)^2+(Tableau!$H$25-Q207)^2)</f>
        <v>30234.338023410201</v>
      </c>
      <c r="AE207" s="115">
        <f>SQRT((Tableau!$G$35-P207)^2+(Tableau!$H$35-Q207)^2)</f>
        <v>15628.280915397618</v>
      </c>
    </row>
    <row r="208" spans="2:31" x14ac:dyDescent="0.25">
      <c r="B208" s="20">
        <v>205</v>
      </c>
      <c r="C208" s="21">
        <f>Tableau!$G$17*COS(B208*PI()/180)+Tableau!$G$16</f>
        <v>15468.461064816751</v>
      </c>
      <c r="D208" s="21">
        <f>Tableau!$G$17*SIN(B208*PI()/180)+Tableau!$H$16</f>
        <v>5386.9086912965031</v>
      </c>
      <c r="F208" s="28">
        <v>205</v>
      </c>
      <c r="G208" s="29">
        <f>Tableau!$G$26*COS(F208*PI()/180)+Tableau!$G$25</f>
        <v>-23172.077254628275</v>
      </c>
      <c r="H208" s="29">
        <f>Tableau!$G$26*SIN(F208*PI()/180)+Tableau!$H$25</f>
        <v>8520.8360839075522</v>
      </c>
      <c r="J208" s="36">
        <v>205</v>
      </c>
      <c r="K208" s="37">
        <f>Tableau!$G$36*COS(J208*PI()/180)+Tableau!$G$35</f>
        <v>-9531.5389351832491</v>
      </c>
      <c r="L208" s="37">
        <f>Tableau!$G$36*SIN(J208*PI()/180)+Tableau!$H$35</f>
        <v>-17113.091308703497</v>
      </c>
      <c r="N208" s="92">
        <v>204</v>
      </c>
      <c r="O208" s="93">
        <v>102</v>
      </c>
      <c r="P208" s="96">
        <f>P207+R207*Tableau!$G$2+((1/2)*T207)*Tableau!$G$2^2</f>
        <v>9914.6877992714108</v>
      </c>
      <c r="Q208" s="96">
        <f>Q207+S207*Tableau!$G$2+((1/2)*U207)*Tableau!$G$2^2</f>
        <v>-7586.8205361089249</v>
      </c>
      <c r="R208" s="96">
        <f>R207+T207*Tableau!$G$2</f>
        <v>6659.6381950977284</v>
      </c>
      <c r="S208" s="96">
        <f>S207+U207*Tableau!$G$2</f>
        <v>-6250.3869274319159</v>
      </c>
      <c r="T208" s="96">
        <f t="shared" si="6"/>
        <v>-592.61873185475724</v>
      </c>
      <c r="U208" s="96">
        <f t="shared" si="7"/>
        <v>429.78928081012612</v>
      </c>
      <c r="V208" s="96">
        <f>((Tableau!$G$16-P208)/(AC208^2+Tableau!$G$21^2)^(3/2))*Tableau!$G$20</f>
        <v>593.61883919603031</v>
      </c>
      <c r="W208" s="96">
        <f>((Tableau!$H$16-Q208)/(AC208^2+Tableau!$G$21^2)^(3/2))*Tableau!$G$20</f>
        <v>888.00631210571919</v>
      </c>
      <c r="X208" s="96">
        <f>((Tableau!$G$25-P208)/(AD208^2+Tableau!$G$30^2)^(3/2))*Tableau!$G$29</f>
        <v>-121.1028984938299</v>
      </c>
      <c r="Y208" s="96">
        <f>((Tableau!$H$25-Q208)/(AD208^2+Tableau!$G$30^2)^(3/2))*Tableau!$G$29</f>
        <v>71.196295161251015</v>
      </c>
      <c r="Z208" s="96">
        <f>((Tableau!$G$35-P208)/(AE208^2+Tableau!$G$40^2)^(3/2))*Tableau!$G$39</f>
        <v>-1065.1346725569576</v>
      </c>
      <c r="AA208" s="97">
        <f>((Tableau!$H$35-Q208)/(AE208^2+Tableau!$G$40^2)^(3/2))*Tableau!$G$39</f>
        <v>-529.41332645684406</v>
      </c>
      <c r="AC208" s="110">
        <f>SQRT((Tableau!$G$16-P208)^2+(Tableau!$H$16-Q208)^2)</f>
        <v>18147.332478216267</v>
      </c>
      <c r="AD208" s="111">
        <f>SQRT((Tableau!$G$25-P208)^2+(Tableau!$H$25-Q208)^2)</f>
        <v>34701.366006213364</v>
      </c>
      <c r="AE208" s="112">
        <f>SQRT((Tableau!$G$35-P208)^2+(Tableau!$H$35-Q208)^2)</f>
        <v>16655.423798678672</v>
      </c>
    </row>
    <row r="209" spans="2:31" x14ac:dyDescent="0.25">
      <c r="B209" s="18">
        <v>206</v>
      </c>
      <c r="C209" s="19">
        <f>Tableau!$G$17*COS(B209*PI()/180)+Tableau!$G$16</f>
        <v>15506.029768504164</v>
      </c>
      <c r="D209" s="19">
        <f>Tableau!$G$17*SIN(B209*PI()/180)+Tableau!$H$16</f>
        <v>5308.1442660546145</v>
      </c>
      <c r="F209" s="26">
        <v>206</v>
      </c>
      <c r="G209" s="27">
        <f>Tableau!$G$26*COS(F209*PI()/180)+Tableau!$G$25</f>
        <v>-23145.779162047085</v>
      </c>
      <c r="H209" s="27">
        <f>Tableau!$G$26*SIN(F209*PI()/180)+Tableau!$H$25</f>
        <v>8465.7009862382292</v>
      </c>
      <c r="J209" s="34">
        <v>206</v>
      </c>
      <c r="K209" s="35">
        <f>Tableau!$G$36*COS(J209*PI()/180)+Tableau!$G$35</f>
        <v>-9493.9702314958358</v>
      </c>
      <c r="L209" s="35">
        <f>Tableau!$G$36*SIN(J209*PI()/180)+Tableau!$H$35</f>
        <v>-17191.855733945384</v>
      </c>
      <c r="N209" s="98">
        <v>205</v>
      </c>
      <c r="O209" s="99">
        <v>102.5</v>
      </c>
      <c r="P209" s="101">
        <f>P208+R208*Tableau!$G$2+((1/2)*T208)*Tableau!$G$2^2</f>
        <v>13170.429555338431</v>
      </c>
      <c r="Q209" s="101">
        <f>Q208+S208*Tableau!$G$2+((1/2)*U208)*Tableau!$G$2^2</f>
        <v>-10658.290339723617</v>
      </c>
      <c r="R209" s="101">
        <f>R208+T208*Tableau!$G$2</f>
        <v>6363.3288291703502</v>
      </c>
      <c r="S209" s="101">
        <f>S208+U208*Tableau!$G$2</f>
        <v>-6035.4922870268529</v>
      </c>
      <c r="T209" s="101">
        <f t="shared" si="6"/>
        <v>-751.21102556158917</v>
      </c>
      <c r="U209" s="101">
        <f t="shared" si="7"/>
        <v>734.82238336822013</v>
      </c>
      <c r="V209" s="101">
        <f>((Tableau!$G$16-P209)/(AC209^2+Tableau!$G$21^2)^(3/2))*Tableau!$G$20</f>
        <v>343.93798062518255</v>
      </c>
      <c r="W209" s="101">
        <f>((Tableau!$H$16-Q209)/(AC209^2+Tableau!$G$21^2)^(3/2))*Tableau!$G$20</f>
        <v>914.45366317760841</v>
      </c>
      <c r="X209" s="101">
        <f>((Tableau!$G$25-P209)/(AD209^2+Tableau!$G$30^2)^(3/2))*Tableau!$G$29</f>
        <v>-95.212070679210015</v>
      </c>
      <c r="Y209" s="101">
        <f>((Tableau!$H$25-Q209)/(AD209^2+Tableau!$G$30^2)^(3/2))*Tableau!$G$29</f>
        <v>59.297350872589213</v>
      </c>
      <c r="Z209" s="101">
        <f>((Tableau!$G$35-P209)/(AE209^2+Tableau!$G$40^2)^(3/2))*Tableau!$G$39</f>
        <v>-999.93693550756166</v>
      </c>
      <c r="AA209" s="102">
        <f>((Tableau!$H$35-Q209)/(AE209^2+Tableau!$G$40^2)^(3/2))*Tableau!$G$39</f>
        <v>-238.92863068197747</v>
      </c>
      <c r="AC209" s="113">
        <f>SQRT((Tableau!$G$16-P209)^2+(Tableau!$H$16-Q209)^2)</f>
        <v>19400.168569378329</v>
      </c>
      <c r="AD209" s="114">
        <f>SQRT((Tableau!$G$25-P209)^2+(Tableau!$H$25-Q209)^2)</f>
        <v>39077.389327410128</v>
      </c>
      <c r="AE209" s="115">
        <f>SQRT((Tableau!$G$35-P209)^2+(Tableau!$H$35-Q209)^2)</f>
        <v>18681.941895842989</v>
      </c>
    </row>
    <row r="210" spans="2:31" x14ac:dyDescent="0.25">
      <c r="B210" s="20">
        <v>207</v>
      </c>
      <c r="C210" s="21">
        <f>Tableau!$G$17*COS(B210*PI()/180)+Tableau!$G$16</f>
        <v>15544.967379058158</v>
      </c>
      <c r="D210" s="21">
        <f>Tableau!$G$17*SIN(B210*PI()/180)+Tableau!$H$16</f>
        <v>5230.0475013022688</v>
      </c>
      <c r="F210" s="28">
        <v>207</v>
      </c>
      <c r="G210" s="29">
        <f>Tableau!$G$26*COS(F210*PI()/180)+Tableau!$G$25</f>
        <v>-23118.522834659288</v>
      </c>
      <c r="H210" s="29">
        <f>Tableau!$G$26*SIN(F210*PI()/180)+Tableau!$H$25</f>
        <v>8411.0332509115888</v>
      </c>
      <c r="J210" s="36">
        <v>207</v>
      </c>
      <c r="K210" s="37">
        <f>Tableau!$G$36*COS(J210*PI()/180)+Tableau!$G$35</f>
        <v>-9455.0326209418417</v>
      </c>
      <c r="L210" s="37">
        <f>Tableau!$G$36*SIN(J210*PI()/180)+Tableau!$H$35</f>
        <v>-17269.95249869773</v>
      </c>
      <c r="N210" s="92">
        <v>206</v>
      </c>
      <c r="O210" s="93">
        <v>103</v>
      </c>
      <c r="P210" s="96">
        <f>P209+R209*Tableau!$G$2+((1/2)*T209)*Tableau!$G$2^2</f>
        <v>16258.192591728408</v>
      </c>
      <c r="Q210" s="96">
        <f>Q209+S209*Tableau!$G$2+((1/2)*U209)*Tableau!$G$2^2</f>
        <v>-13584.183685316017</v>
      </c>
      <c r="R210" s="96">
        <f>R209+T209*Tableau!$G$2</f>
        <v>5987.7233163895553</v>
      </c>
      <c r="S210" s="96">
        <f>S209+U209*Tableau!$G$2</f>
        <v>-5668.0810953427426</v>
      </c>
      <c r="T210" s="96">
        <f t="shared" si="6"/>
        <v>-782.795809701807</v>
      </c>
      <c r="U210" s="96">
        <f t="shared" si="7"/>
        <v>829.80041722398403</v>
      </c>
      <c r="V210" s="96">
        <f>((Tableau!$G$16-P210)/(AC210^2+Tableau!$G$21^2)^(3/2))*Tableau!$G$20</f>
        <v>148.42055618045737</v>
      </c>
      <c r="W210" s="96">
        <f>((Tableau!$H$16-Q210)/(AC210^2+Tableau!$G$21^2)^(3/2))*Tableau!$G$20</f>
        <v>836.31409309519233</v>
      </c>
      <c r="X210" s="96">
        <f>((Tableau!$G$25-P210)/(AD210^2+Tableau!$G$30^2)^(3/2))*Tableau!$G$29</f>
        <v>-77.40893196876435</v>
      </c>
      <c r="Y210" s="96">
        <f>((Tableau!$H$25-Q210)/(AD210^2+Tableau!$G$30^2)^(3/2))*Tableau!$G$29</f>
        <v>50.350730136833967</v>
      </c>
      <c r="Z210" s="96">
        <f>((Tableau!$G$35-P210)/(AE210^2+Tableau!$G$40^2)^(3/2))*Tableau!$G$39</f>
        <v>-853.80743391350006</v>
      </c>
      <c r="AA210" s="97">
        <f>((Tableau!$H$35-Q210)/(AE210^2+Tableau!$G$40^2)^(3/2))*Tableau!$G$39</f>
        <v>-56.864406008042252</v>
      </c>
      <c r="AC210" s="110">
        <f>SQRT((Tableau!$G$16-P210)^2+(Tableau!$H$16-Q210)^2)</f>
        <v>21413.638746293032</v>
      </c>
      <c r="AD210" s="111">
        <f>SQRT((Tableau!$G$25-P210)^2+(Tableau!$H$25-Q210)^2)</f>
        <v>43253.557658550992</v>
      </c>
      <c r="AE210" s="112">
        <f>SQRT((Tableau!$G$35-P210)^2+(Tableau!$H$35-Q210)^2)</f>
        <v>21305.287796787492</v>
      </c>
    </row>
    <row r="211" spans="2:31" x14ac:dyDescent="0.25">
      <c r="B211" s="18">
        <v>208</v>
      </c>
      <c r="C211" s="19">
        <f>Tableau!$G$17*COS(B211*PI()/180)+Tableau!$G$16</f>
        <v>15585.262035705366</v>
      </c>
      <c r="D211" s="19">
        <f>Tableau!$G$17*SIN(B211*PI()/180)+Tableau!$H$16</f>
        <v>5152.6421860705459</v>
      </c>
      <c r="F211" s="26">
        <v>208</v>
      </c>
      <c r="G211" s="27">
        <f>Tableau!$G$26*COS(F211*PI()/180)+Tableau!$G$25</f>
        <v>-23090.316575006244</v>
      </c>
      <c r="H211" s="27">
        <f>Tableau!$G$26*SIN(F211*PI()/180)+Tableau!$H$25</f>
        <v>8356.849530249383</v>
      </c>
      <c r="J211" s="34">
        <v>208</v>
      </c>
      <c r="K211" s="35">
        <f>Tableau!$G$36*COS(J211*PI()/180)+Tableau!$G$35</f>
        <v>-9414.7379642946344</v>
      </c>
      <c r="L211" s="35">
        <f>Tableau!$G$36*SIN(J211*PI()/180)+Tableau!$H$35</f>
        <v>-17347.357813929455</v>
      </c>
      <c r="N211" s="98">
        <v>207</v>
      </c>
      <c r="O211" s="99">
        <v>103.5</v>
      </c>
      <c r="P211" s="101">
        <f>P210+R210*Tableau!$G$2+((1/2)*T210)*Tableau!$G$2^2</f>
        <v>19154.204773710459</v>
      </c>
      <c r="Q211" s="101">
        <f>Q210+S210*Tableau!$G$2+((1/2)*U210)*Tableau!$G$2^2</f>
        <v>-16314.499180834389</v>
      </c>
      <c r="R211" s="101">
        <f>R210+T210*Tableau!$G$2</f>
        <v>5596.3254115386517</v>
      </c>
      <c r="S211" s="101">
        <f>S210+U210*Tableau!$G$2</f>
        <v>-5253.1808867307509</v>
      </c>
      <c r="T211" s="101">
        <f t="shared" si="6"/>
        <v>-744.36067148222344</v>
      </c>
      <c r="U211" s="101">
        <f t="shared" si="7"/>
        <v>804.42454178324783</v>
      </c>
      <c r="V211" s="101">
        <f>((Tableau!$G$16-P211)/(AC211^2+Tableau!$G$21^2)^(3/2))*Tableau!$G$20</f>
        <v>25.659583991621794</v>
      </c>
      <c r="W211" s="101">
        <f>((Tableau!$H$16-Q211)/(AC211^2+Tableau!$G$21^2)^(3/2))*Tableau!$G$20</f>
        <v>722.48000810995427</v>
      </c>
      <c r="X211" s="101">
        <f>((Tableau!$G$25-P211)/(AD211^2+Tableau!$G$30^2)^(3/2))*Tableau!$G$29</f>
        <v>-64.824759709057844</v>
      </c>
      <c r="Y211" s="101">
        <f>((Tableau!$H$25-Q211)/(AD211^2+Tableau!$G$30^2)^(3/2))*Tableau!$G$29</f>
        <v>43.566996089450527</v>
      </c>
      <c r="Z211" s="101">
        <f>((Tableau!$G$35-P211)/(AE211^2+Tableau!$G$40^2)^(3/2))*Tableau!$G$39</f>
        <v>-705.19549576478744</v>
      </c>
      <c r="AA211" s="102">
        <f>((Tableau!$H$35-Q211)/(AE211^2+Tableau!$G$40^2)^(3/2))*Tableau!$G$39</f>
        <v>38.377537583843036</v>
      </c>
      <c r="AC211" s="113">
        <f>SQRT((Tableau!$G$16-P211)^2+(Tableau!$H$16-Q211)^2)</f>
        <v>23829.514069715649</v>
      </c>
      <c r="AD211" s="114">
        <f>SQRT((Tableau!$G$25-P211)^2+(Tableau!$H$25-Q211)^2)</f>
        <v>47175.254303498827</v>
      </c>
      <c r="AE211" s="115">
        <f>SQRT((Tableau!$G$35-P211)^2+(Tableau!$H$35-Q211)^2)</f>
        <v>24189.946596608093</v>
      </c>
    </row>
    <row r="212" spans="2:31" x14ac:dyDescent="0.25">
      <c r="B212" s="20">
        <v>209</v>
      </c>
      <c r="C212" s="21">
        <f>Tableau!$G$17*COS(B212*PI()/180)+Tableau!$G$16</f>
        <v>15626.90146430302</v>
      </c>
      <c r="D212" s="21">
        <f>Tableau!$G$17*SIN(B212*PI()/180)+Tableau!$H$16</f>
        <v>5075.951898768315</v>
      </c>
      <c r="F212" s="28">
        <v>209</v>
      </c>
      <c r="G212" s="29">
        <f>Tableau!$G$26*COS(F212*PI()/180)+Tableau!$G$25</f>
        <v>-23061.168974987886</v>
      </c>
      <c r="H212" s="29">
        <f>Tableau!$G$26*SIN(F212*PI()/180)+Tableau!$H$25</f>
        <v>8303.1663291378209</v>
      </c>
      <c r="J212" s="36">
        <v>209</v>
      </c>
      <c r="K212" s="37">
        <f>Tableau!$G$36*COS(J212*PI()/180)+Tableau!$G$35</f>
        <v>-9373.0985356969795</v>
      </c>
      <c r="L212" s="37">
        <f>Tableau!$G$36*SIN(J212*PI()/180)+Tableau!$H$35</f>
        <v>-17424.048101231685</v>
      </c>
      <c r="N212" s="92">
        <v>208</v>
      </c>
      <c r="O212" s="93">
        <v>104</v>
      </c>
      <c r="P212" s="96">
        <f>P211+R211*Tableau!$G$2+((1/2)*T211)*Tableau!$G$2^2</f>
        <v>21859.322395544506</v>
      </c>
      <c r="Q212" s="96">
        <f>Q211+S211*Tableau!$G$2+((1/2)*U211)*Tableau!$G$2^2</f>
        <v>-18840.536556476858</v>
      </c>
      <c r="R212" s="96">
        <f>R211+T211*Tableau!$G$2</f>
        <v>5224.1450757975399</v>
      </c>
      <c r="S212" s="96">
        <f>S211+U211*Tableau!$G$2</f>
        <v>-4850.9686158391269</v>
      </c>
      <c r="T212" s="96">
        <f t="shared" si="6"/>
        <v>-680.52209692615077</v>
      </c>
      <c r="U212" s="96">
        <f t="shared" si="7"/>
        <v>734.14485121686278</v>
      </c>
      <c r="V212" s="96">
        <f>((Tableau!$G$16-P212)/(AC212^2+Tableau!$G$21^2)^(3/2))*Tableau!$G$20</f>
        <v>-43.245034223342408</v>
      </c>
      <c r="W212" s="96">
        <f>((Tableau!$H$16-Q212)/(AC212^2+Tableau!$G$21^2)^(3/2))*Tableau!$G$20</f>
        <v>612.64114689075018</v>
      </c>
      <c r="X212" s="96">
        <f>((Tableau!$G$25-P212)/(AD212^2+Tableau!$G$30^2)^(3/2))*Tableau!$G$29</f>
        <v>-55.643410286481981</v>
      </c>
      <c r="Y212" s="96">
        <f>((Tableau!$H$25-Q212)/(AD212^2+Tableau!$G$30^2)^(3/2))*Tableau!$G$29</f>
        <v>38.33759642189375</v>
      </c>
      <c r="Z212" s="96">
        <f>((Tableau!$G$35-P212)/(AE212^2+Tableau!$G$40^2)^(3/2))*Tableau!$G$39</f>
        <v>-581.63365241632641</v>
      </c>
      <c r="AA212" s="97">
        <f>((Tableau!$H$35-Q212)/(AE212^2+Tableau!$G$40^2)^(3/2))*Tableau!$G$39</f>
        <v>83.166107904218833</v>
      </c>
      <c r="AC212" s="110">
        <f>SQRT((Tableau!$G$16-P212)^2+(Tableau!$H$16-Q212)^2)</f>
        <v>26406.077820336497</v>
      </c>
      <c r="AD212" s="111">
        <f>SQRT((Tableau!$G$25-P212)^2+(Tableau!$H$25-Q212)^2)</f>
        <v>50832.857683585047</v>
      </c>
      <c r="AE212" s="112">
        <f>SQRT((Tableau!$G$35-P212)^2+(Tableau!$H$35-Q212)^2)</f>
        <v>27132.506714077004</v>
      </c>
    </row>
    <row r="213" spans="2:31" x14ac:dyDescent="0.25">
      <c r="B213" s="18">
        <v>210</v>
      </c>
      <c r="C213" s="19">
        <f>Tableau!$G$17*COS(B213*PI()/180)+Tableau!$G$16</f>
        <v>15669.872981077806</v>
      </c>
      <c r="D213" s="19">
        <f>Tableau!$G$17*SIN(B213*PI()/180)+Tableau!$H$16</f>
        <v>5000</v>
      </c>
      <c r="F213" s="26">
        <v>210</v>
      </c>
      <c r="G213" s="27">
        <f>Tableau!$G$26*COS(F213*PI()/180)+Tableau!$G$25</f>
        <v>-23031.088913245534</v>
      </c>
      <c r="H213" s="27">
        <f>Tableau!$G$26*SIN(F213*PI()/180)+Tableau!$H$25</f>
        <v>8250</v>
      </c>
      <c r="J213" s="34">
        <v>210</v>
      </c>
      <c r="K213" s="35">
        <f>Tableau!$G$36*COS(J213*PI()/180)+Tableau!$G$35</f>
        <v>-9330.1270189221941</v>
      </c>
      <c r="L213" s="35">
        <f>Tableau!$G$36*SIN(J213*PI()/180)+Tableau!$H$35</f>
        <v>-17500</v>
      </c>
      <c r="N213" s="98">
        <v>209</v>
      </c>
      <c r="O213" s="99">
        <v>104.5</v>
      </c>
      <c r="P213" s="101">
        <f>P212+R212*Tableau!$G$2+((1/2)*T212)*Tableau!$G$2^2</f>
        <v>24386.329671327509</v>
      </c>
      <c r="Q213" s="101">
        <f>Q212+S212*Tableau!$G$2+((1/2)*U212)*Tableau!$G$2^2</f>
        <v>-21174.252757994313</v>
      </c>
      <c r="R213" s="101">
        <f>R212+T212*Tableau!$G$2</f>
        <v>4883.8840273344649</v>
      </c>
      <c r="S213" s="101">
        <f>S212+U212*Tableau!$G$2</f>
        <v>-4483.8961902306955</v>
      </c>
      <c r="T213" s="101">
        <f t="shared" si="6"/>
        <v>-613.58576077237115</v>
      </c>
      <c r="U213" s="101">
        <f t="shared" si="7"/>
        <v>655.94953693667696</v>
      </c>
      <c r="V213" s="101">
        <f>((Tableau!$G$16-P213)/(AC213^2+Tableau!$G$21^2)^(3/2))*Tableau!$G$20</f>
        <v>-79.506413345399864</v>
      </c>
      <c r="W213" s="101">
        <f>((Tableau!$H$16-Q213)/(AC213^2+Tableau!$G$21^2)^(3/2))*Tableau!$G$20</f>
        <v>519.748209317244</v>
      </c>
      <c r="X213" s="101">
        <f>((Tableau!$G$25-P213)/(AD213^2+Tableau!$G$30^2)^(3/2))*Tableau!$G$29</f>
        <v>-48.732831833003729</v>
      </c>
      <c r="Y213" s="101">
        <f>((Tableau!$H$25-Q213)/(AD213^2+Tableau!$G$30^2)^(3/2))*Tableau!$G$29</f>
        <v>34.226970971115513</v>
      </c>
      <c r="Z213" s="101">
        <f>((Tableau!$G$35-P213)/(AE213^2+Tableau!$G$40^2)^(3/2))*Tableau!$G$39</f>
        <v>-485.34651559396752</v>
      </c>
      <c r="AA213" s="102">
        <f>((Tableau!$H$35-Q213)/(AE213^2+Tableau!$G$40^2)^(3/2))*Tableau!$G$39</f>
        <v>101.97435664831741</v>
      </c>
      <c r="AC213" s="113">
        <f>SQRT((Tableau!$G$16-P213)^2+(Tableau!$H$16-Q213)^2)</f>
        <v>29007.803419337226</v>
      </c>
      <c r="AD213" s="114">
        <f>SQRT((Tableau!$G$25-P213)^2+(Tableau!$H$25-Q213)^2)</f>
        <v>54240.024859056663</v>
      </c>
      <c r="AE213" s="115">
        <f>SQRT((Tableau!$G$35-P213)^2+(Tableau!$H$35-Q213)^2)</f>
        <v>30027.949791345127</v>
      </c>
    </row>
    <row r="214" spans="2:31" x14ac:dyDescent="0.25">
      <c r="B214" s="20">
        <v>211</v>
      </c>
      <c r="C214" s="21">
        <f>Tableau!$G$17*COS(B214*PI()/180)+Tableau!$G$16</f>
        <v>15714.163496489438</v>
      </c>
      <c r="D214" s="21">
        <f>Tableau!$G$17*SIN(B214*PI()/180)+Tableau!$H$16</f>
        <v>4924.8096254497286</v>
      </c>
      <c r="F214" s="28">
        <v>211</v>
      </c>
      <c r="G214" s="29">
        <f>Tableau!$G$26*COS(F214*PI()/180)+Tableau!$G$25</f>
        <v>-23000.085552457393</v>
      </c>
      <c r="H214" s="29">
        <f>Tableau!$G$26*SIN(F214*PI()/180)+Tableau!$H$25</f>
        <v>8197.3667378148111</v>
      </c>
      <c r="J214" s="36">
        <v>211</v>
      </c>
      <c r="K214" s="37">
        <f>Tableau!$G$36*COS(J214*PI()/180)+Tableau!$G$35</f>
        <v>-9285.8365035105617</v>
      </c>
      <c r="L214" s="37">
        <f>Tableau!$G$36*SIN(J214*PI()/180)+Tableau!$H$35</f>
        <v>-17575.190374550271</v>
      </c>
      <c r="N214" s="92">
        <v>210</v>
      </c>
      <c r="O214" s="93">
        <v>105</v>
      </c>
      <c r="P214" s="96">
        <f>P213+R213*Tableau!$G$2+((1/2)*T213)*Tableau!$G$2^2</f>
        <v>26751.573464898192</v>
      </c>
      <c r="Q214" s="96">
        <f>Q213+S213*Tableau!$G$2+((1/2)*U213)*Tableau!$G$2^2</f>
        <v>-23334.207160992577</v>
      </c>
      <c r="R214" s="96">
        <f>R213+T213*Tableau!$G$2</f>
        <v>4577.0911469482789</v>
      </c>
      <c r="S214" s="96">
        <f>S213+U213*Tableau!$G$2</f>
        <v>-4155.9214217623567</v>
      </c>
      <c r="T214" s="96">
        <f t="shared" si="6"/>
        <v>-552.15955001066072</v>
      </c>
      <c r="U214" s="96">
        <f t="shared" si="7"/>
        <v>583.66774939398636</v>
      </c>
      <c r="V214" s="96">
        <f>((Tableau!$G$16-P214)/(AC214^2+Tableau!$G$21^2)^(3/2))*Tableau!$G$20</f>
        <v>-97.384634633486428</v>
      </c>
      <c r="W214" s="96">
        <f>((Tableau!$H$16-Q214)/(AC214^2+Tableau!$G$21^2)^(3/2))*Tableau!$G$20</f>
        <v>444.75232539468078</v>
      </c>
      <c r="X214" s="96">
        <f>((Tableau!$G$25-P214)/(AD214^2+Tableau!$G$30^2)^(3/2))*Tableau!$G$29</f>
        <v>-43.383404475980221</v>
      </c>
      <c r="Y214" s="96">
        <f>((Tableau!$H$25-Q214)/(AD214^2+Tableau!$G$30^2)^(3/2))*Tableau!$G$29</f>
        <v>30.932678516954095</v>
      </c>
      <c r="Z214" s="96">
        <f>((Tableau!$G$35-P214)/(AE214^2+Tableau!$G$40^2)^(3/2))*Tableau!$G$39</f>
        <v>-411.39151090119407</v>
      </c>
      <c r="AA214" s="97">
        <f>((Tableau!$H$35-Q214)/(AE214^2+Tableau!$G$40^2)^(3/2))*Tableau!$G$39</f>
        <v>107.9827454823515</v>
      </c>
      <c r="AC214" s="110">
        <f>SQRT((Tableau!$G$16-P214)^2+(Tableau!$H$16-Q214)^2)</f>
        <v>31564.728345083589</v>
      </c>
      <c r="AD214" s="111">
        <f>SQRT((Tableau!$G$25-P214)^2+(Tableau!$H$25-Q214)^2)</f>
        <v>57418.45512111712</v>
      </c>
      <c r="AE214" s="112">
        <f>SQRT((Tableau!$G$35-P214)^2+(Tableau!$H$35-Q214)^2)</f>
        <v>32827.144659552207</v>
      </c>
    </row>
    <row r="215" spans="2:31" x14ac:dyDescent="0.25">
      <c r="B215" s="18">
        <v>212</v>
      </c>
      <c r="C215" s="19">
        <f>Tableau!$G$17*COS(B215*PI()/180)+Tableau!$G$16</f>
        <v>15759.759519217871</v>
      </c>
      <c r="D215" s="19">
        <f>Tableau!$G$17*SIN(B215*PI()/180)+Tableau!$H$16</f>
        <v>4850.4036788339763</v>
      </c>
      <c r="F215" s="26">
        <v>212</v>
      </c>
      <c r="G215" s="27">
        <f>Tableau!$G$26*COS(F215*PI()/180)+Tableau!$G$25</f>
        <v>-22968.168336547493</v>
      </c>
      <c r="H215" s="27">
        <f>Tableau!$G$26*SIN(F215*PI()/180)+Tableau!$H$25</f>
        <v>8145.2825751837827</v>
      </c>
      <c r="J215" s="34">
        <v>212</v>
      </c>
      <c r="K215" s="35">
        <f>Tableau!$G$36*COS(J215*PI()/180)+Tableau!$G$35</f>
        <v>-9240.2404807821295</v>
      </c>
      <c r="L215" s="35">
        <f>Tableau!$G$36*SIN(J215*PI()/180)+Tableau!$H$35</f>
        <v>-17649.596321166024</v>
      </c>
      <c r="N215" s="98">
        <v>211</v>
      </c>
      <c r="O215" s="99">
        <v>105.5</v>
      </c>
      <c r="P215" s="101">
        <f>P214+R214*Tableau!$G$2+((1/2)*T214)*Tableau!$G$2^2</f>
        <v>28971.099094621</v>
      </c>
      <c r="Q215" s="101">
        <f>Q214+S214*Tableau!$G$2+((1/2)*U214)*Tableau!$G$2^2</f>
        <v>-25339.209403199508</v>
      </c>
      <c r="R215" s="101">
        <f>R214+T214*Tableau!$G$2</f>
        <v>4301.0113719429482</v>
      </c>
      <c r="S215" s="101">
        <f>S214+U214*Tableau!$G$2</f>
        <v>-3864.0875470653637</v>
      </c>
      <c r="T215" s="101">
        <f t="shared" si="6"/>
        <v>-498.58773361644324</v>
      </c>
      <c r="U215" s="101">
        <f t="shared" si="7"/>
        <v>521.02567801642908</v>
      </c>
      <c r="V215" s="101">
        <f>((Tableau!$G$16-P215)/(AC215^2+Tableau!$G$21^2)^(3/2))*Tableau!$G$20</f>
        <v>-105.16237337841963</v>
      </c>
      <c r="W215" s="101">
        <f>((Tableau!$H$16-Q215)/(AC215^2+Tableau!$G$21^2)^(3/2))*Tableau!$G$20</f>
        <v>384.95274261121875</v>
      </c>
      <c r="X215" s="101">
        <f>((Tableau!$G$25-P215)/(AD215^2+Tableau!$G$30^2)^(3/2))*Tableau!$G$29</f>
        <v>-39.140797254558649</v>
      </c>
      <c r="Y215" s="101">
        <f>((Tableau!$H$25-Q215)/(AD215^2+Tableau!$G$30^2)^(3/2))*Tableau!$G$29</f>
        <v>28.245329509848723</v>
      </c>
      <c r="Z215" s="101">
        <f>((Tableau!$G$35-P215)/(AE215^2+Tableau!$G$40^2)^(3/2))*Tableau!$G$39</f>
        <v>-354.28456298346498</v>
      </c>
      <c r="AA215" s="102">
        <f>((Tableau!$H$35-Q215)/(AE215^2+Tableau!$G$40^2)^(3/2))*Tableau!$G$39</f>
        <v>107.82760589536161</v>
      </c>
      <c r="AC215" s="113">
        <f>SQRT((Tableau!$G$16-P215)^2+(Tableau!$H$16-Q215)^2)</f>
        <v>34042.536527008335</v>
      </c>
      <c r="AD215" s="114">
        <f>SQRT((Tableau!$G$25-P215)^2+(Tableau!$H$25-Q215)^2)</f>
        <v>60390.630629083302</v>
      </c>
      <c r="AE215" s="115">
        <f>SQRT((Tableau!$G$35-P215)^2+(Tableau!$H$35-Q215)^2)</f>
        <v>35509.644109449604</v>
      </c>
    </row>
    <row r="216" spans="2:31" x14ac:dyDescent="0.25">
      <c r="B216" s="20">
        <v>213</v>
      </c>
      <c r="C216" s="21">
        <f>Tableau!$G$17*COS(B216*PI()/180)+Tableau!$G$16</f>
        <v>15806.64716027288</v>
      </c>
      <c r="D216" s="21">
        <f>Tableau!$G$17*SIN(B216*PI()/180)+Tableau!$H$16</f>
        <v>4776.8048249248641</v>
      </c>
      <c r="F216" s="28">
        <v>213</v>
      </c>
      <c r="G216" s="29">
        <f>Tableau!$G$26*COS(F216*PI()/180)+Tableau!$G$25</f>
        <v>-22935.346987808985</v>
      </c>
      <c r="H216" s="29">
        <f>Tableau!$G$26*SIN(F216*PI()/180)+Tableau!$H$25</f>
        <v>8093.7633774474052</v>
      </c>
      <c r="J216" s="36">
        <v>213</v>
      </c>
      <c r="K216" s="37">
        <f>Tableau!$G$36*COS(J216*PI()/180)+Tableau!$G$35</f>
        <v>-9193.3528397271202</v>
      </c>
      <c r="L216" s="37">
        <f>Tableau!$G$36*SIN(J216*PI()/180)+Tableau!$H$35</f>
        <v>-17723.195175075136</v>
      </c>
      <c r="N216" s="92">
        <v>212</v>
      </c>
      <c r="O216" s="93">
        <v>106</v>
      </c>
      <c r="P216" s="96">
        <f>P215+R215*Tableau!$G$2+((1/2)*T215)*Tableau!$G$2^2</f>
        <v>31059.28131389042</v>
      </c>
      <c r="Q216" s="96">
        <f>Q215+S215*Tableau!$G$2+((1/2)*U215)*Tableau!$G$2^2</f>
        <v>-27206.124966980136</v>
      </c>
      <c r="R216" s="96">
        <f>R215+T215*Tableau!$G$2</f>
        <v>4051.7175051347267</v>
      </c>
      <c r="S216" s="96">
        <f>S215+U215*Tableau!$G$2</f>
        <v>-3603.5747080571491</v>
      </c>
      <c r="T216" s="96">
        <f t="shared" si="6"/>
        <v>-452.76675387266511</v>
      </c>
      <c r="U216" s="96">
        <f t="shared" si="7"/>
        <v>467.99570880440507</v>
      </c>
      <c r="V216" s="96">
        <f>((Tableau!$G$16-P216)/(AC216^2+Tableau!$G$21^2)^(3/2))*Tableau!$G$20</f>
        <v>-107.44110361255711</v>
      </c>
      <c r="W216" s="96">
        <f>((Tableau!$H$16-Q216)/(AC216^2+Tableau!$G$21^2)^(3/2))*Tableau!$G$20</f>
        <v>337.17058665324174</v>
      </c>
      <c r="X216" s="96">
        <f>((Tableau!$G$25-P216)/(AD216^2+Tableau!$G$30^2)^(3/2))*Tableau!$G$29</f>
        <v>-35.705869388436909</v>
      </c>
      <c r="Y216" s="96">
        <f>((Tableau!$H$25-Q216)/(AD216^2+Tableau!$G$30^2)^(3/2))*Tableau!$G$29</f>
        <v>26.018326234440135</v>
      </c>
      <c r="Z216" s="96">
        <f>((Tableau!$G$35-P216)/(AE216^2+Tableau!$G$40^2)^(3/2))*Tableau!$G$39</f>
        <v>-309.61978087167108</v>
      </c>
      <c r="AA216" s="97">
        <f>((Tableau!$H$35-Q216)/(AE216^2+Tableau!$G$40^2)^(3/2))*Tableau!$G$39</f>
        <v>104.8067959167232</v>
      </c>
      <c r="AC216" s="110">
        <f>SQRT((Tableau!$G$16-P216)^2+(Tableau!$H$16-Q216)^2)</f>
        <v>36425.579108689642</v>
      </c>
      <c r="AD216" s="111">
        <f>SQRT((Tableau!$G$25-P216)^2+(Tableau!$H$25-Q216)^2)</f>
        <v>63177.099833322056</v>
      </c>
      <c r="AE216" s="112">
        <f>SQRT((Tableau!$G$35-P216)^2+(Tableau!$H$35-Q216)^2)</f>
        <v>38069.164104085903</v>
      </c>
    </row>
    <row r="217" spans="2:31" x14ac:dyDescent="0.25">
      <c r="B217" s="18">
        <v>214</v>
      </c>
      <c r="C217" s="19">
        <f>Tableau!$G$17*COS(B217*PI()/180)+Tableau!$G$16</f>
        <v>15854.812137224792</v>
      </c>
      <c r="D217" s="19">
        <f>Tableau!$G$17*SIN(B217*PI()/180)+Tableau!$H$16</f>
        <v>4704.0354826462662</v>
      </c>
      <c r="F217" s="26">
        <v>214</v>
      </c>
      <c r="G217" s="27">
        <f>Tableau!$G$26*COS(F217*PI()/180)+Tableau!$G$25</f>
        <v>-22901.631503942648</v>
      </c>
      <c r="H217" s="27">
        <f>Tableau!$G$26*SIN(F217*PI()/180)+Tableau!$H$25</f>
        <v>8042.8248378523867</v>
      </c>
      <c r="J217" s="34">
        <v>214</v>
      </c>
      <c r="K217" s="35">
        <f>Tableau!$G$36*COS(J217*PI()/180)+Tableau!$G$35</f>
        <v>-9145.1878627752085</v>
      </c>
      <c r="L217" s="35">
        <f>Tableau!$G$36*SIN(J217*PI()/180)+Tableau!$H$35</f>
        <v>-17795.964517353732</v>
      </c>
      <c r="N217" s="98">
        <v>213</v>
      </c>
      <c r="O217" s="99">
        <v>106.5</v>
      </c>
      <c r="P217" s="101">
        <f>P216+R216*Tableau!$G$2+((1/2)*T216)*Tableau!$G$2^2</f>
        <v>33028.544222223696</v>
      </c>
      <c r="Q217" s="101">
        <f>Q216+S216*Tableau!$G$2+((1/2)*U216)*Tableau!$G$2^2</f>
        <v>-28949.412857408162</v>
      </c>
      <c r="R217" s="101">
        <f>R216+T216*Tableau!$G$2</f>
        <v>3825.334128198394</v>
      </c>
      <c r="S217" s="101">
        <f>S216+U216*Tableau!$G$2</f>
        <v>-3369.5768536549467</v>
      </c>
      <c r="T217" s="101">
        <f t="shared" si="6"/>
        <v>-413.79344788418007</v>
      </c>
      <c r="U217" s="101">
        <f t="shared" si="7"/>
        <v>423.38862203542112</v>
      </c>
      <c r="V217" s="101">
        <f>((Tableau!$G$16-P217)/(AC217^2+Tableau!$G$21^2)^(3/2))*Tableau!$G$20</f>
        <v>-106.75936438898066</v>
      </c>
      <c r="W217" s="101">
        <f>((Tableau!$H$16-Q217)/(AC217^2+Tableau!$G$21^2)^(3/2))*Tableau!$G$20</f>
        <v>298.67620531008714</v>
      </c>
      <c r="X217" s="101">
        <f>((Tableau!$G$25-P217)/(AD217^2+Tableau!$G$30^2)^(3/2))*Tableau!$G$29</f>
        <v>-32.875806960921096</v>
      </c>
      <c r="Y217" s="101">
        <f>((Tableau!$H$25-Q217)/(AD217^2+Tableau!$G$30^2)^(3/2))*Tableau!$G$29</f>
        <v>24.147247432916096</v>
      </c>
      <c r="Z217" s="101">
        <f>((Tableau!$G$35-P217)/(AE217^2+Tableau!$G$40^2)^(3/2))*Tableau!$G$39</f>
        <v>-274.15827653427834</v>
      </c>
      <c r="AA217" s="102">
        <f>((Tableau!$H$35-Q217)/(AE217^2+Tableau!$G$40^2)^(3/2))*Tableau!$G$39</f>
        <v>100.56516929241785</v>
      </c>
      <c r="AC217" s="113">
        <f>SQRT((Tableau!$G$16-P217)^2+(Tableau!$H$16-Q217)^2)</f>
        <v>38707.914722963702</v>
      </c>
      <c r="AD217" s="114">
        <f>SQRT((Tableau!$G$25-P217)^2+(Tableau!$H$25-Q217)^2)</f>
        <v>65795.769349291499</v>
      </c>
      <c r="AE217" s="115">
        <f>SQRT((Tableau!$G$35-P217)^2+(Tableau!$H$35-Q217)^2)</f>
        <v>40506.250069934234</v>
      </c>
    </row>
    <row r="218" spans="2:31" x14ac:dyDescent="0.25">
      <c r="B218" s="20">
        <v>215</v>
      </c>
      <c r="C218" s="21">
        <f>Tableau!$G$17*COS(B218*PI()/180)+Tableau!$G$16</f>
        <v>15904.23977855504</v>
      </c>
      <c r="D218" s="21">
        <f>Tableau!$G$17*SIN(B218*PI()/180)+Tableau!$H$16</f>
        <v>4632.1178182447711</v>
      </c>
      <c r="F218" s="28">
        <v>215</v>
      </c>
      <c r="G218" s="29">
        <f>Tableau!$G$26*COS(F218*PI()/180)+Tableau!$G$25</f>
        <v>-22867.032155011471</v>
      </c>
      <c r="H218" s="29">
        <f>Tableau!$G$26*SIN(F218*PI()/180)+Tableau!$H$25</f>
        <v>7992.4824727713394</v>
      </c>
      <c r="J218" s="36">
        <v>215</v>
      </c>
      <c r="K218" s="37">
        <f>Tableau!$G$36*COS(J218*PI()/180)+Tableau!$G$35</f>
        <v>-9095.7602214449598</v>
      </c>
      <c r="L218" s="37">
        <f>Tableau!$G$36*SIN(J218*PI()/180)+Tableau!$H$35</f>
        <v>-17867.882181755231</v>
      </c>
      <c r="N218" s="92">
        <v>214</v>
      </c>
      <c r="O218" s="93">
        <v>107</v>
      </c>
      <c r="P218" s="96">
        <f>P217+R217*Tableau!$G$2+((1/2)*T217)*Tableau!$G$2^2</f>
        <v>34889.487105337364</v>
      </c>
      <c r="Q218" s="96">
        <f>Q217+S217*Tableau!$G$2+((1/2)*U217)*Tableau!$G$2^2</f>
        <v>-30581.277706481207</v>
      </c>
      <c r="R218" s="96">
        <f>R217+T217*Tableau!$G$2</f>
        <v>3618.437404256304</v>
      </c>
      <c r="S218" s="96">
        <f>S217+U217*Tableau!$G$2</f>
        <v>-3157.8825426372359</v>
      </c>
      <c r="T218" s="96">
        <f t="shared" si="6"/>
        <v>-380.61413682586624</v>
      </c>
      <c r="U218" s="96">
        <f t="shared" si="7"/>
        <v>385.81855551925713</v>
      </c>
      <c r="V218" s="96">
        <f>((Tableau!$G$16-P218)/(AC218^2+Tableau!$G$21^2)^(3/2))*Tableau!$G$20</f>
        <v>-104.5265709421799</v>
      </c>
      <c r="W218" s="96">
        <f>((Tableau!$H$16-Q218)/(AC218^2+Tableau!$G$21^2)^(3/2))*Tableau!$G$20</f>
        <v>267.33663474066134</v>
      </c>
      <c r="X218" s="96">
        <f>((Tableau!$G$25-P218)/(AD218^2+Tableau!$G$30^2)^(3/2))*Tableau!$G$29</f>
        <v>-30.509209178115288</v>
      </c>
      <c r="Y218" s="96">
        <f>((Tableau!$H$25-Q218)/(AD218^2+Tableau!$G$30^2)^(3/2))*Tableau!$G$29</f>
        <v>22.556280911975051</v>
      </c>
      <c r="Z218" s="96">
        <f>((Tableau!$G$35-P218)/(AE218^2+Tableau!$G$40^2)^(3/2))*Tableau!$G$39</f>
        <v>-245.57835670557105</v>
      </c>
      <c r="AA218" s="97">
        <f>((Tableau!$H$35-Q218)/(AE218^2+Tableau!$G$40^2)^(3/2))*Tableau!$G$39</f>
        <v>95.925639866620756</v>
      </c>
      <c r="AC218" s="110">
        <f>SQRT((Tableau!$G$16-P218)^2+(Tableau!$H$16-Q218)^2)</f>
        <v>40888.635805296202</v>
      </c>
      <c r="AD218" s="111">
        <f>SQRT((Tableau!$G$25-P218)^2+(Tableau!$H$25-Q218)^2)</f>
        <v>68261.965214733937</v>
      </c>
      <c r="AE218" s="112">
        <f>SQRT((Tableau!$G$35-P218)^2+(Tableau!$H$35-Q218)^2)</f>
        <v>42824.6120413643</v>
      </c>
    </row>
    <row r="219" spans="2:31" x14ac:dyDescent="0.25">
      <c r="B219" s="18">
        <v>216</v>
      </c>
      <c r="C219" s="19">
        <f>Tableau!$G$17*COS(B219*PI()/180)+Tableau!$G$16</f>
        <v>15954.915028125262</v>
      </c>
      <c r="D219" s="19">
        <f>Tableau!$G$17*SIN(B219*PI()/180)+Tableau!$H$16</f>
        <v>4561.0737385376342</v>
      </c>
      <c r="F219" s="26">
        <v>216</v>
      </c>
      <c r="G219" s="27">
        <f>Tableau!$G$26*COS(F219*PI()/180)+Tableau!$G$25</f>
        <v>-22831.559480312317</v>
      </c>
      <c r="H219" s="27">
        <f>Tableau!$G$26*SIN(F219*PI()/180)+Tableau!$H$25</f>
        <v>7942.7516169763439</v>
      </c>
      <c r="J219" s="34">
        <v>216</v>
      </c>
      <c r="K219" s="35">
        <f>Tableau!$G$36*COS(J219*PI()/180)+Tableau!$G$35</f>
        <v>-9045.0849718747377</v>
      </c>
      <c r="L219" s="35">
        <f>Tableau!$G$36*SIN(J219*PI()/180)+Tableau!$H$35</f>
        <v>-17938.926261462366</v>
      </c>
      <c r="N219" s="98">
        <v>215</v>
      </c>
      <c r="O219" s="99">
        <v>107.5</v>
      </c>
      <c r="P219" s="101">
        <f>P218+R218*Tableau!$G$2+((1/2)*T218)*Tableau!$G$2^2</f>
        <v>36651.129040362284</v>
      </c>
      <c r="Q219" s="101">
        <f>Q218+S218*Tableau!$G$2+((1/2)*U218)*Tableau!$G$2^2</f>
        <v>-32111.991658359919</v>
      </c>
      <c r="R219" s="101">
        <f>R218+T218*Tableau!$G$2</f>
        <v>3428.1303358433711</v>
      </c>
      <c r="S219" s="101">
        <f>S218+U218*Tableau!$G$2</f>
        <v>-2964.9732648776076</v>
      </c>
      <c r="T219" s="101">
        <f t="shared" si="6"/>
        <v>-352.25519621463536</v>
      </c>
      <c r="U219" s="101">
        <f t="shared" si="7"/>
        <v>354.02455143860379</v>
      </c>
      <c r="V219" s="101">
        <f>((Tableau!$G$16-P219)/(AC219^2+Tableau!$G$21^2)^(3/2))*Tableau!$G$20</f>
        <v>-101.53229709137575</v>
      </c>
      <c r="W219" s="101">
        <f>((Tableau!$H$16-Q219)/(AC219^2+Tableau!$G$21^2)^(3/2))*Tableau!$G$20</f>
        <v>241.53896685856154</v>
      </c>
      <c r="X219" s="101">
        <f>((Tableau!$G$25-P219)/(AD219^2+Tableau!$G$30^2)^(3/2))*Tableau!$G$29</f>
        <v>-28.504938328735744</v>
      </c>
      <c r="Y219" s="101">
        <f>((Tableau!$H$25-Q219)/(AD219^2+Tableau!$G$30^2)^(3/2))*Tableau!$G$29</f>
        <v>21.189334536766843</v>
      </c>
      <c r="Z219" s="101">
        <f>((Tableau!$G$35-P219)/(AE219^2+Tableau!$G$40^2)^(3/2))*Tableau!$G$39</f>
        <v>-222.21796079452389</v>
      </c>
      <c r="AA219" s="102">
        <f>((Tableau!$H$35-Q219)/(AE219^2+Tableau!$G$40^2)^(3/2))*Tableau!$G$39</f>
        <v>91.296250043275407</v>
      </c>
      <c r="AC219" s="113">
        <f>SQRT((Tableau!$G$16-P219)^2+(Tableau!$H$16-Q219)^2)</f>
        <v>42969.407506512958</v>
      </c>
      <c r="AD219" s="114">
        <f>SQRT((Tableau!$G$25-P219)^2+(Tableau!$H$25-Q219)^2)</f>
        <v>70588.740341371406</v>
      </c>
      <c r="AE219" s="115">
        <f>SQRT((Tableau!$G$35-P219)^2+(Tableau!$H$35-Q219)^2)</f>
        <v>45029.288344950444</v>
      </c>
    </row>
    <row r="220" spans="2:31" x14ac:dyDescent="0.25">
      <c r="B220" s="20">
        <v>217</v>
      </c>
      <c r="C220" s="21">
        <f>Tableau!$G$17*COS(B220*PI()/180)+Tableau!$G$16</f>
        <v>16006.822449763535</v>
      </c>
      <c r="D220" s="21">
        <f>Tableau!$G$17*SIN(B220*PI()/180)+Tableau!$H$16</f>
        <v>4490.9248842397592</v>
      </c>
      <c r="F220" s="28">
        <v>217</v>
      </c>
      <c r="G220" s="29">
        <f>Tableau!$G$26*COS(F220*PI()/180)+Tableau!$G$25</f>
        <v>-22795.224285165525</v>
      </c>
      <c r="H220" s="29">
        <f>Tableau!$G$26*SIN(F220*PI()/180)+Tableau!$H$25</f>
        <v>7893.647418967832</v>
      </c>
      <c r="J220" s="36">
        <v>217</v>
      </c>
      <c r="K220" s="37">
        <f>Tableau!$G$36*COS(J220*PI()/180)+Tableau!$G$35</f>
        <v>-8993.1775502364653</v>
      </c>
      <c r="L220" s="37">
        <f>Tableau!$G$36*SIN(J220*PI()/180)+Tableau!$H$35</f>
        <v>-18009.075115760239</v>
      </c>
      <c r="N220" s="92">
        <v>216</v>
      </c>
      <c r="O220" s="93">
        <v>108</v>
      </c>
      <c r="P220" s="96">
        <f>P219+R219*Tableau!$G$2+((1/2)*T219)*Tableau!$G$2^2</f>
        <v>38321.162308757135</v>
      </c>
      <c r="Q220" s="96">
        <f>Q219+S219*Tableau!$G$2+((1/2)*U219)*Tableau!$G$2^2</f>
        <v>-33550.225221868903</v>
      </c>
      <c r="R220" s="96">
        <f>R219+T219*Tableau!$G$2</f>
        <v>3252.0027377360534</v>
      </c>
      <c r="S220" s="96">
        <f>S219+U219*Tableau!$G$2</f>
        <v>-2787.9609891583059</v>
      </c>
      <c r="T220" s="96">
        <f t="shared" si="6"/>
        <v>-327.88733916593134</v>
      </c>
      <c r="U220" s="96">
        <f t="shared" si="7"/>
        <v>326.95061879336527</v>
      </c>
      <c r="V220" s="96">
        <f>((Tableau!$G$16-P220)/(AC220^2+Tableau!$G$21^2)^(3/2))*Tableau!$G$20</f>
        <v>-98.221458605192538</v>
      </c>
      <c r="W220" s="96">
        <f>((Tableau!$H$16-Q220)/(AC220^2+Tableau!$G$21^2)^(3/2))*Tableau!$G$20</f>
        <v>220.07408315117698</v>
      </c>
      <c r="X220" s="96">
        <f>((Tableau!$G$25-P220)/(AD220^2+Tableau!$G$30^2)^(3/2))*Tableau!$G$29</f>
        <v>-26.788972878976825</v>
      </c>
      <c r="Y220" s="96">
        <f>((Tableau!$H$25-Q220)/(AD220^2+Tableau!$G$30^2)^(3/2))*Tableau!$G$29</f>
        <v>20.004158973470929</v>
      </c>
      <c r="Z220" s="96">
        <f>((Tableau!$G$35-P220)/(AE220^2+Tableau!$G$40^2)^(3/2))*Tableau!$G$39</f>
        <v>-202.87690768176196</v>
      </c>
      <c r="AA220" s="97">
        <f>((Tableau!$H$35-Q220)/(AE220^2+Tableau!$G$40^2)^(3/2))*Tableau!$G$39</f>
        <v>86.872376668717322</v>
      </c>
      <c r="AC220" s="110">
        <f>SQRT((Tableau!$G$16-P220)^2+(Tableau!$H$16-Q220)^2)</f>
        <v>44953.153160929491</v>
      </c>
      <c r="AD220" s="111">
        <f>SQRT((Tableau!$G$25-P220)^2+(Tableau!$H$25-Q220)^2)</f>
        <v>72787.22477138348</v>
      </c>
      <c r="AE220" s="112">
        <f>SQRT((Tableau!$G$35-P220)^2+(Tableau!$H$35-Q220)^2)</f>
        <v>47125.725029581678</v>
      </c>
    </row>
    <row r="221" spans="2:31" x14ac:dyDescent="0.25">
      <c r="B221" s="18">
        <v>218</v>
      </c>
      <c r="C221" s="19">
        <f>Tableau!$G$17*COS(B221*PI()/180)+Tableau!$G$16</f>
        <v>16059.946231966389</v>
      </c>
      <c r="D221" s="19">
        <f>Tableau!$G$17*SIN(B221*PI()/180)+Tableau!$H$16</f>
        <v>4421.6926233717113</v>
      </c>
      <c r="F221" s="26">
        <v>218</v>
      </c>
      <c r="G221" s="27">
        <f>Tableau!$G$26*COS(F221*PI()/180)+Tableau!$G$25</f>
        <v>-22758.037637623529</v>
      </c>
      <c r="H221" s="27">
        <f>Tableau!$G$26*SIN(F221*PI()/180)+Tableau!$H$25</f>
        <v>7845.1848363601976</v>
      </c>
      <c r="J221" s="34">
        <v>218</v>
      </c>
      <c r="K221" s="35">
        <f>Tableau!$G$36*COS(J221*PI()/180)+Tableau!$G$35</f>
        <v>-8940.053768033611</v>
      </c>
      <c r="L221" s="35">
        <f>Tableau!$G$36*SIN(J221*PI()/180)+Tableau!$H$35</f>
        <v>-18078.307376628291</v>
      </c>
      <c r="N221" s="98">
        <v>217</v>
      </c>
      <c r="O221" s="99">
        <v>108.5</v>
      </c>
      <c r="P221" s="101">
        <f>P220+R220*Tableau!$G$2+((1/2)*T220)*Tableau!$G$2^2</f>
        <v>39906.177760229417</v>
      </c>
      <c r="Q221" s="101">
        <f>Q220+S220*Tableau!$G$2+((1/2)*U220)*Tableau!$G$2^2</f>
        <v>-34903.336889098886</v>
      </c>
      <c r="R221" s="101">
        <f>R220+T220*Tableau!$G$2</f>
        <v>3088.0590681530875</v>
      </c>
      <c r="S221" s="101">
        <f>S220+U220*Tableau!$G$2</f>
        <v>-2624.485679761623</v>
      </c>
      <c r="T221" s="101">
        <f t="shared" si="6"/>
        <v>-306.82778898797051</v>
      </c>
      <c r="U221" s="101">
        <f t="shared" si="7"/>
        <v>303.74128132239747</v>
      </c>
      <c r="V221" s="101">
        <f>((Tableau!$G$16-P221)/(AC221^2+Tableau!$G$21^2)^(3/2))*Tableau!$G$20</f>
        <v>-94.844359298862869</v>
      </c>
      <c r="W221" s="101">
        <f>((Tableau!$H$16-Q221)/(AC221^2+Tableau!$G$21^2)^(3/2))*Tableau!$G$20</f>
        <v>202.03362834503648</v>
      </c>
      <c r="X221" s="101">
        <f>((Tableau!$G$25-P221)/(AD221^2+Tableau!$G$30^2)^(3/2))*Tableau!$G$29</f>
        <v>-25.306014774375384</v>
      </c>
      <c r="Y221" s="101">
        <f>((Tableau!$H$25-Q221)/(AD221^2+Tableau!$G$30^2)^(3/2))*Tableau!$G$29</f>
        <v>18.968402746079988</v>
      </c>
      <c r="Z221" s="101">
        <f>((Tableau!$G$35-P221)/(AE221^2+Tableau!$G$40^2)^(3/2))*Tableau!$G$39</f>
        <v>-186.67741491473225</v>
      </c>
      <c r="AA221" s="102">
        <f>((Tableau!$H$35-Q221)/(AE221^2+Tableau!$G$40^2)^(3/2))*Tableau!$G$39</f>
        <v>82.739250231281019</v>
      </c>
      <c r="AC221" s="113">
        <f>SQRT((Tableau!$G$16-P221)^2+(Tableau!$H$16-Q221)^2)</f>
        <v>46843.344162775851</v>
      </c>
      <c r="AD221" s="114">
        <f>SQRT((Tableau!$G$25-P221)^2+(Tableau!$H$25-Q221)^2)</f>
        <v>74866.947297296123</v>
      </c>
      <c r="AE221" s="115">
        <f>SQRT((Tableau!$G$35-P221)^2+(Tableau!$H$35-Q221)^2)</f>
        <v>49119.320235059116</v>
      </c>
    </row>
    <row r="222" spans="2:31" x14ac:dyDescent="0.25">
      <c r="B222" s="20">
        <v>219</v>
      </c>
      <c r="C222" s="21">
        <f>Tableau!$G$17*COS(B222*PI()/180)+Tableau!$G$16</f>
        <v>16114.270192715147</v>
      </c>
      <c r="D222" s="21">
        <f>Tableau!$G$17*SIN(B222*PI()/180)+Tableau!$H$16</f>
        <v>4353.398044750812</v>
      </c>
      <c r="F222" s="28">
        <v>219</v>
      </c>
      <c r="G222" s="29">
        <f>Tableau!$G$26*COS(F222*PI()/180)+Tableau!$G$25</f>
        <v>-22720.010865099397</v>
      </c>
      <c r="H222" s="29">
        <f>Tableau!$G$26*SIN(F222*PI()/180)+Tableau!$H$25</f>
        <v>7797.3786313255678</v>
      </c>
      <c r="J222" s="36">
        <v>219</v>
      </c>
      <c r="K222" s="37">
        <f>Tableau!$G$36*COS(J222*PI()/180)+Tableau!$G$35</f>
        <v>-8885.7298072848535</v>
      </c>
      <c r="L222" s="37">
        <f>Tableau!$G$36*SIN(J222*PI()/180)+Tableau!$H$35</f>
        <v>-18146.601955249189</v>
      </c>
      <c r="N222" s="92">
        <v>218</v>
      </c>
      <c r="O222" s="93">
        <v>109</v>
      </c>
      <c r="P222" s="96">
        <f>P221+R221*Tableau!$G$2+((1/2)*T221)*Tableau!$G$2^2</f>
        <v>41411.853820682467</v>
      </c>
      <c r="Q222" s="96">
        <f>Q221+S221*Tableau!$G$2+((1/2)*U221)*Tableau!$G$2^2</f>
        <v>-36177.6120688144</v>
      </c>
      <c r="R222" s="96">
        <f>R221+T221*Tableau!$G$2</f>
        <v>2934.6451736591025</v>
      </c>
      <c r="S222" s="96">
        <f>S221+U221*Tableau!$G$2</f>
        <v>-2472.6150391004244</v>
      </c>
      <c r="T222" s="96">
        <f t="shared" si="6"/>
        <v>-288.52215278008987</v>
      </c>
      <c r="U222" s="96">
        <f t="shared" si="7"/>
        <v>283.71220317396819</v>
      </c>
      <c r="V222" s="96">
        <f>((Tableau!$G$16-P222)/(AC222^2+Tableau!$G$21^2)^(3/2))*Tableau!$G$20</f>
        <v>-91.539832588411031</v>
      </c>
      <c r="W222" s="96">
        <f>((Tableau!$H$16-Q222)/(AC222^2+Tableau!$G$21^2)^(3/2))*Tableau!$G$20</f>
        <v>186.73027240540884</v>
      </c>
      <c r="X222" s="96">
        <f>((Tableau!$G$25-P222)/(AD222^2+Tableau!$G$30^2)^(3/2))*Tableau!$G$29</f>
        <v>-24.013992159404786</v>
      </c>
      <c r="Y222" s="96">
        <f>((Tableau!$H$25-Q222)/(AD222^2+Tableau!$G$30^2)^(3/2))*Tableau!$G$29</f>
        <v>18.056918089437044</v>
      </c>
      <c r="Z222" s="96">
        <f>((Tableau!$G$35-P222)/(AE222^2+Tableau!$G$40^2)^(3/2))*Tableau!$G$39</f>
        <v>-172.96832803227403</v>
      </c>
      <c r="AA222" s="97">
        <f>((Tableau!$H$35-Q222)/(AE222^2+Tableau!$G$40^2)^(3/2))*Tableau!$G$39</f>
        <v>78.925012679122318</v>
      </c>
      <c r="AC222" s="110">
        <f>SQRT((Tableau!$G$16-P222)^2+(Tableau!$H$16-Q222)^2)</f>
        <v>48643.614997984223</v>
      </c>
      <c r="AD222" s="111">
        <f>SQRT((Tableau!$G$25-P222)^2+(Tableau!$H$25-Q222)^2)</f>
        <v>76836.108998769487</v>
      </c>
      <c r="AE222" s="112">
        <f>SQRT((Tableau!$G$35-P222)^2+(Tableau!$H$35-Q222)^2)</f>
        <v>51015.20781109875</v>
      </c>
    </row>
    <row r="223" spans="2:31" x14ac:dyDescent="0.25">
      <c r="B223" s="18">
        <v>220</v>
      </c>
      <c r="C223" s="19">
        <f>Tableau!$G$17*COS(B223*PI()/180)+Tableau!$G$16</f>
        <v>16169.777784405109</v>
      </c>
      <c r="D223" s="19">
        <f>Tableau!$G$17*SIN(B223*PI()/180)+Tableau!$H$16</f>
        <v>4286.0619515673043</v>
      </c>
      <c r="F223" s="26">
        <v>220</v>
      </c>
      <c r="G223" s="27">
        <f>Tableau!$G$26*COS(F223*PI()/180)+Tableau!$G$25</f>
        <v>-22681.155550916425</v>
      </c>
      <c r="H223" s="27">
        <f>Tableau!$G$26*SIN(F223*PI()/180)+Tableau!$H$25</f>
        <v>7750.2433660971128</v>
      </c>
      <c r="J223" s="34">
        <v>220</v>
      </c>
      <c r="K223" s="35">
        <f>Tableau!$G$36*COS(J223*PI()/180)+Tableau!$G$35</f>
        <v>-8830.2222155948912</v>
      </c>
      <c r="L223" s="35">
        <f>Tableau!$G$36*SIN(J223*PI()/180)+Tableau!$H$35</f>
        <v>-18213.938048432698</v>
      </c>
      <c r="N223" s="98">
        <v>219</v>
      </c>
      <c r="O223" s="99">
        <v>109.5</v>
      </c>
      <c r="P223" s="101">
        <f>P222+R222*Tableau!$G$2+((1/2)*T222)*Tableau!$G$2^2</f>
        <v>42843.111138414504</v>
      </c>
      <c r="Q223" s="101">
        <f>Q222+S222*Tableau!$G$2+((1/2)*U222)*Tableau!$G$2^2</f>
        <v>-37378.455562967865</v>
      </c>
      <c r="R223" s="101">
        <f>R222+T222*Tableau!$G$2</f>
        <v>2790.3840972690577</v>
      </c>
      <c r="S223" s="101">
        <f>S222+U222*Tableau!$G$2</f>
        <v>-2330.7589375134403</v>
      </c>
      <c r="T223" s="101">
        <f t="shared" si="6"/>
        <v>-272.52216446393538</v>
      </c>
      <c r="U223" s="101">
        <f t="shared" si="7"/>
        <v>266.3175213241098</v>
      </c>
      <c r="V223" s="101">
        <f>((Tableau!$G$16-P223)/(AC223^2+Tableau!$G$21^2)^(3/2))*Tableau!$G$20</f>
        <v>-88.382149110064461</v>
      </c>
      <c r="W223" s="101">
        <f>((Tableau!$H$16-Q223)/(AC223^2+Tableau!$G$21^2)^(3/2))*Tableau!$G$20</f>
        <v>173.63897270216285</v>
      </c>
      <c r="X223" s="101">
        <f>((Tableau!$G$25-P223)/(AD223^2+Tableau!$G$30^2)^(3/2))*Tableau!$G$29</f>
        <v>-22.880370909802892</v>
      </c>
      <c r="Y223" s="101">
        <f>((Tableau!$H$25-Q223)/(AD223^2+Tableau!$G$30^2)^(3/2))*Tableau!$G$29</f>
        <v>17.249888122608763</v>
      </c>
      <c r="Z223" s="101">
        <f>((Tableau!$G$35-P223)/(AE223^2+Tableau!$G$40^2)^(3/2))*Tableau!$G$39</f>
        <v>-161.25964444406802</v>
      </c>
      <c r="AA223" s="102">
        <f>((Tableau!$H$35-Q223)/(AE223^2+Tableau!$G$40^2)^(3/2))*Tableau!$G$39</f>
        <v>75.428660499338207</v>
      </c>
      <c r="AC223" s="113">
        <f>SQRT((Tableau!$G$16-P223)^2+(Tableau!$H$16-Q223)^2)</f>
        <v>50357.556535233503</v>
      </c>
      <c r="AD223" s="114">
        <f>SQRT((Tableau!$G$25-P223)^2+(Tableau!$H$25-Q223)^2)</f>
        <v>78701.808550294692</v>
      </c>
      <c r="AE223" s="115">
        <f>SQRT((Tableau!$G$35-P223)^2+(Tableau!$H$35-Q223)^2)</f>
        <v>52818.165026687639</v>
      </c>
    </row>
    <row r="224" spans="2:31" x14ac:dyDescent="0.25">
      <c r="B224" s="20">
        <v>221</v>
      </c>
      <c r="C224" s="21">
        <f>Tableau!$G$17*COS(B224*PI()/180)+Tableau!$G$16</f>
        <v>16226.45209888614</v>
      </c>
      <c r="D224" s="21">
        <f>Tableau!$G$17*SIN(B224*PI()/180)+Tableau!$H$16</f>
        <v>4219.7048550474628</v>
      </c>
      <c r="F224" s="28">
        <v>221</v>
      </c>
      <c r="G224" s="29">
        <f>Tableau!$G$26*COS(F224*PI()/180)+Tableau!$G$25</f>
        <v>-22641.4835307797</v>
      </c>
      <c r="H224" s="29">
        <f>Tableau!$G$26*SIN(F224*PI()/180)+Tableau!$H$25</f>
        <v>7703.7933985332238</v>
      </c>
      <c r="J224" s="36">
        <v>221</v>
      </c>
      <c r="K224" s="37">
        <f>Tableau!$G$36*COS(J224*PI()/180)+Tableau!$G$35</f>
        <v>-8773.5479011138596</v>
      </c>
      <c r="L224" s="37">
        <f>Tableau!$G$36*SIN(J224*PI()/180)+Tableau!$H$35</f>
        <v>-18280.295144952535</v>
      </c>
      <c r="N224" s="92">
        <v>220</v>
      </c>
      <c r="O224" s="93">
        <v>110</v>
      </c>
      <c r="P224" s="96">
        <f>P223+R223*Tableau!$G$2+((1/2)*T223)*Tableau!$G$2^2</f>
        <v>44204.237916491038</v>
      </c>
      <c r="Q224" s="96">
        <f>Q223+S223*Tableau!$G$2+((1/2)*U223)*Tableau!$G$2^2</f>
        <v>-38510.545341559075</v>
      </c>
      <c r="R224" s="96">
        <f>R223+T223*Tableau!$G$2</f>
        <v>2654.1230150370902</v>
      </c>
      <c r="S224" s="96">
        <f>S223+U223*Tableau!$G$2</f>
        <v>-2197.6001768513852</v>
      </c>
      <c r="T224" s="96">
        <f t="shared" si="6"/>
        <v>-258.46506432025546</v>
      </c>
      <c r="U224" s="96">
        <f t="shared" si="7"/>
        <v>251.12091679012056</v>
      </c>
      <c r="V224" s="96">
        <f>((Tableau!$G$16-P224)/(AC224^2+Tableau!$G$21^2)^(3/2))*Tableau!$G$20</f>
        <v>-85.407948311399011</v>
      </c>
      <c r="W224" s="96">
        <f>((Tableau!$H$16-Q224)/(AC224^2+Tableau!$G$21^2)^(3/2))*Tableau!$G$20</f>
        <v>162.35447246342611</v>
      </c>
      <c r="X224" s="96">
        <f>((Tableau!$G$25-P224)/(AD224^2+Tableau!$G$30^2)^(3/2))*Tableau!$G$29</f>
        <v>-21.879624301229743</v>
      </c>
      <c r="Y224" s="96">
        <f>((Tableau!$H$25-Q224)/(AD224^2+Tableau!$G$30^2)^(3/2))*Tableau!$G$29</f>
        <v>16.531502298985494</v>
      </c>
      <c r="Z224" s="96">
        <f>((Tableau!$G$35-P224)/(AE224^2+Tableau!$G$40^2)^(3/2))*Tableau!$G$39</f>
        <v>-151.17749170762673</v>
      </c>
      <c r="AA224" s="97">
        <f>((Tableau!$H$35-Q224)/(AE224^2+Tableau!$G$40^2)^(3/2))*Tableau!$G$39</f>
        <v>72.234942027708968</v>
      </c>
      <c r="AC224" s="110">
        <f>SQRT((Tableau!$G$16-P224)^2+(Tableau!$H$16-Q224)^2)</f>
        <v>51988.608519037763</v>
      </c>
      <c r="AD224" s="111">
        <f>SQRT((Tableau!$G$25-P224)^2+(Tableau!$H$25-Q224)^2)</f>
        <v>80470.225399043367</v>
      </c>
      <c r="AE224" s="112">
        <f>SQRT((Tableau!$G$35-P224)^2+(Tableau!$H$35-Q224)^2)</f>
        <v>54532.584490377485</v>
      </c>
    </row>
    <row r="225" spans="2:31" x14ac:dyDescent="0.25">
      <c r="B225" s="18">
        <v>222</v>
      </c>
      <c r="C225" s="19">
        <f>Tableau!$G$17*COS(B225*PI()/180)+Tableau!$G$16</f>
        <v>16284.275872613029</v>
      </c>
      <c r="D225" s="19">
        <f>Tableau!$G$17*SIN(B225*PI()/180)+Tableau!$H$16</f>
        <v>4154.3469682057093</v>
      </c>
      <c r="F225" s="26">
        <v>222</v>
      </c>
      <c r="G225" s="27">
        <f>Tableau!$G$26*COS(F225*PI()/180)+Tableau!$G$25</f>
        <v>-22601.00688917088</v>
      </c>
      <c r="H225" s="27">
        <f>Tableau!$G$26*SIN(F225*PI()/180)+Tableau!$H$25</f>
        <v>7658.0428777439956</v>
      </c>
      <c r="J225" s="34">
        <v>222</v>
      </c>
      <c r="K225" s="35">
        <f>Tableau!$G$36*COS(J225*PI()/180)+Tableau!$G$35</f>
        <v>-8715.7241273869713</v>
      </c>
      <c r="L225" s="35">
        <f>Tableau!$G$36*SIN(J225*PI()/180)+Tableau!$H$35</f>
        <v>-18345.653031794292</v>
      </c>
      <c r="N225" s="98">
        <v>221</v>
      </c>
      <c r="O225" s="99">
        <v>110.5</v>
      </c>
      <c r="P225" s="101">
        <f>P224+R224*Tableau!$G$2+((1/2)*T224)*Tableau!$G$2^2</f>
        <v>45498.991290969556</v>
      </c>
      <c r="Q225" s="101">
        <f>Q224+S224*Tableau!$G$2+((1/2)*U224)*Tableau!$G$2^2</f>
        <v>-39577.955315386003</v>
      </c>
      <c r="R225" s="101">
        <f>R224+T224*Tableau!$G$2</f>
        <v>2524.8904828769623</v>
      </c>
      <c r="S225" s="101">
        <f>S224+U224*Tableau!$G$2</f>
        <v>-2072.0397184563249</v>
      </c>
      <c r="T225" s="101">
        <f t="shared" si="6"/>
        <v>-246.05625385331979</v>
      </c>
      <c r="U225" s="101">
        <f t="shared" si="7"/>
        <v>237.77200430961068</v>
      </c>
      <c r="V225" s="101">
        <f>((Tableau!$G$16-P225)/(AC225^2+Tableau!$G$21^2)^(3/2))*Tableau!$G$20</f>
        <v>-82.631944280315821</v>
      </c>
      <c r="W225" s="101">
        <f>((Tableau!$H$16-Q225)/(AC225^2+Tableau!$G$21^2)^(3/2))*Tableau!$G$20</f>
        <v>152.56066155957566</v>
      </c>
      <c r="X225" s="101">
        <f>((Tableau!$G$25-P225)/(AD225^2+Tableau!$G$30^2)^(3/2))*Tableau!$G$29</f>
        <v>-20.991461579353487</v>
      </c>
      <c r="Y225" s="101">
        <f>((Tableau!$H$25-Q225)/(AD225^2+Tableau!$G$30^2)^(3/2))*Tableau!$G$29</f>
        <v>15.889004146073226</v>
      </c>
      <c r="Z225" s="101">
        <f>((Tableau!$G$35-P225)/(AE225^2+Tableau!$G$40^2)^(3/2))*Tableau!$G$39</f>
        <v>-142.43284799365048</v>
      </c>
      <c r="AA225" s="102">
        <f>((Tableau!$H$35-Q225)/(AE225^2+Tableau!$G$40^2)^(3/2))*Tableau!$G$39</f>
        <v>69.322338603961782</v>
      </c>
      <c r="AC225" s="113">
        <f>SQRT((Tableau!$G$16-P225)^2+(Tableau!$H$16-Q225)^2)</f>
        <v>53540.007784220783</v>
      </c>
      <c r="AD225" s="114">
        <f>SQRT((Tableau!$G$25-P225)^2+(Tableau!$H$25-Q225)^2)</f>
        <v>82146.768125038958</v>
      </c>
      <c r="AE225" s="115">
        <f>SQRT((Tableau!$G$35-P225)^2+(Tableau!$H$35-Q225)^2)</f>
        <v>56162.478656933672</v>
      </c>
    </row>
    <row r="226" spans="2:31" x14ac:dyDescent="0.25">
      <c r="B226" s="20">
        <v>223</v>
      </c>
      <c r="C226" s="21">
        <f>Tableau!$G$17*COS(B226*PI()/180)+Tableau!$G$16</f>
        <v>16343.231491904147</v>
      </c>
      <c r="D226" s="21">
        <f>Tableau!$G$17*SIN(B226*PI()/180)+Tableau!$H$16</f>
        <v>4090.0081996875083</v>
      </c>
      <c r="F226" s="28">
        <v>223</v>
      </c>
      <c r="G226" s="29">
        <f>Tableau!$G$26*COS(F226*PI()/180)+Tableau!$G$25</f>
        <v>-22559.737955667097</v>
      </c>
      <c r="H226" s="29">
        <f>Tableau!$G$26*SIN(F226*PI()/180)+Tableau!$H$25</f>
        <v>7613.0057397812561</v>
      </c>
      <c r="J226" s="36">
        <v>223</v>
      </c>
      <c r="K226" s="37">
        <f>Tableau!$G$36*COS(J226*PI()/180)+Tableau!$G$35</f>
        <v>-8656.7685080958527</v>
      </c>
      <c r="L226" s="37">
        <f>Tableau!$G$36*SIN(J226*PI()/180)+Tableau!$H$35</f>
        <v>-18409.991800312491</v>
      </c>
      <c r="N226" s="92">
        <v>222</v>
      </c>
      <c r="O226" s="93">
        <v>111</v>
      </c>
      <c r="P226" s="96">
        <f>P225+R225*Tableau!$G$2+((1/2)*T225)*Tableau!$G$2^2</f>
        <v>46730.679500676371</v>
      </c>
      <c r="Q226" s="96">
        <f>Q225+S225*Tableau!$G$2+((1/2)*U225)*Tableau!$G$2^2</f>
        <v>-40584.253674075459</v>
      </c>
      <c r="R226" s="96">
        <f>R225+T225*Tableau!$G$2</f>
        <v>2401.8623559503026</v>
      </c>
      <c r="S226" s="96">
        <f>S225+U225*Tableau!$G$2</f>
        <v>-1953.1537163015196</v>
      </c>
      <c r="T226" s="96">
        <f t="shared" si="6"/>
        <v>-235.05530780785159</v>
      </c>
      <c r="U226" s="96">
        <f t="shared" si="7"/>
        <v>225.98772941953604</v>
      </c>
      <c r="V226" s="96">
        <f>((Tableau!$G$16-P226)/(AC226^2+Tableau!$G$21^2)^(3/2))*Tableau!$G$20</f>
        <v>-80.05620410290453</v>
      </c>
      <c r="W226" s="96">
        <f>((Tableau!$H$16-Q226)/(AC226^2+Tableau!$G$21^2)^(3/2))*Tableau!$G$20</f>
        <v>144.00841647778608</v>
      </c>
      <c r="X226" s="96">
        <f>((Tableau!$G$25-P226)/(AD226^2+Tableau!$G$30^2)^(3/2))*Tableau!$G$29</f>
        <v>-20.199564639420611</v>
      </c>
      <c r="Y226" s="96">
        <f>((Tableau!$H$25-Q226)/(AD226^2+Tableau!$G$30^2)^(3/2))*Tableau!$G$29</f>
        <v>15.311996063459537</v>
      </c>
      <c r="Z226" s="96">
        <f>((Tableau!$G$35-P226)/(AE226^2+Tableau!$G$40^2)^(3/2))*Tableau!$G$39</f>
        <v>-134.79953906552646</v>
      </c>
      <c r="AA226" s="97">
        <f>((Tableau!$H$35-Q226)/(AE226^2+Tableau!$G$40^2)^(3/2))*Tableau!$G$39</f>
        <v>66.667316878290407</v>
      </c>
      <c r="AC226" s="110">
        <f>SQRT((Tableau!$G$16-P226)^2+(Tableau!$H$16-Q226)^2)</f>
        <v>55014.767817020911</v>
      </c>
      <c r="AD226" s="111">
        <f>SQRT((Tableau!$G$25-P226)^2+(Tableau!$H$25-Q226)^2)</f>
        <v>83736.194721190943</v>
      </c>
      <c r="AE226" s="112">
        <f>SQRT((Tableau!$G$35-P226)^2+(Tableau!$H$35-Q226)^2)</f>
        <v>57711.500046880967</v>
      </c>
    </row>
    <row r="227" spans="2:31" x14ac:dyDescent="0.25">
      <c r="B227" s="18">
        <v>224</v>
      </c>
      <c r="C227" s="19">
        <f>Tableau!$G$17*COS(B227*PI()/180)+Tableau!$G$16</f>
        <v>16403.300998306746</v>
      </c>
      <c r="D227" s="19">
        <f>Tableau!$G$17*SIN(B227*PI()/180)+Tableau!$H$16</f>
        <v>4026.7081477050133</v>
      </c>
      <c r="F227" s="26">
        <v>224</v>
      </c>
      <c r="G227" s="27">
        <f>Tableau!$G$26*COS(F227*PI()/180)+Tableau!$G$25</f>
        <v>-22517.689301185281</v>
      </c>
      <c r="H227" s="27">
        <f>Tableau!$G$26*SIN(F227*PI()/180)+Tableau!$H$25</f>
        <v>7568.6957033935087</v>
      </c>
      <c r="J227" s="34">
        <v>224</v>
      </c>
      <c r="K227" s="35">
        <f>Tableau!$G$36*COS(J227*PI()/180)+Tableau!$G$35</f>
        <v>-8596.6990016932559</v>
      </c>
      <c r="L227" s="35">
        <f>Tableau!$G$36*SIN(J227*PI()/180)+Tableau!$H$35</f>
        <v>-18473.291852294988</v>
      </c>
      <c r="N227" s="98">
        <v>223</v>
      </c>
      <c r="O227" s="99">
        <v>111.5</v>
      </c>
      <c r="P227" s="101">
        <f>P226+R226*Tableau!$G$2+((1/2)*T226)*Tableau!$G$2^2</f>
        <v>47902.22876517554</v>
      </c>
      <c r="Q227" s="101">
        <f>Q226+S226*Tableau!$G$2+((1/2)*U226)*Tableau!$G$2^2</f>
        <v>-41532.582066048773</v>
      </c>
      <c r="R227" s="101">
        <f>R226+T226*Tableau!$G$2</f>
        <v>2284.3347020463766</v>
      </c>
      <c r="S227" s="101">
        <f>S226+U226*Tableau!$G$2</f>
        <v>-1840.1598515917515</v>
      </c>
      <c r="T227" s="101">
        <f t="shared" si="6"/>
        <v>-225.26490992229458</v>
      </c>
      <c r="U227" s="101">
        <f t="shared" si="7"/>
        <v>215.53793323133695</v>
      </c>
      <c r="V227" s="101">
        <f>((Tableau!$G$16-P227)/(AC227^2+Tableau!$G$21^2)^(3/2))*Tableau!$G$20</f>
        <v>-77.675681820590455</v>
      </c>
      <c r="W227" s="101">
        <f>((Tableau!$H$16-Q227)/(AC227^2+Tableau!$G$21^2)^(3/2))*Tableau!$G$20</f>
        <v>136.49946301629905</v>
      </c>
      <c r="X227" s="101">
        <f>((Tableau!$G$25-P227)/(AD227^2+Tableau!$G$30^2)^(3/2))*Tableau!$G$29</f>
        <v>-19.490671727016647</v>
      </c>
      <c r="Y227" s="101">
        <f>((Tableau!$H$25-Q227)/(AD227^2+Tableau!$G$30^2)^(3/2))*Tableau!$G$29</f>
        <v>14.791924485548297</v>
      </c>
      <c r="Z227" s="101">
        <f>((Tableau!$G$35-P227)/(AE227^2+Tableau!$G$40^2)^(3/2))*Tableau!$G$39</f>
        <v>-128.09855637468749</v>
      </c>
      <c r="AA227" s="102">
        <f>((Tableau!$H$35-Q227)/(AE227^2+Tableau!$G$40^2)^(3/2))*Tableau!$G$39</f>
        <v>64.246545729489611</v>
      </c>
      <c r="AC227" s="113">
        <f>SQRT((Tableau!$G$16-P227)^2+(Tableau!$H$16-Q227)^2)</f>
        <v>56415.67578366847</v>
      </c>
      <c r="AD227" s="114">
        <f>SQRT((Tableau!$G$25-P227)^2+(Tableau!$H$25-Q227)^2)</f>
        <v>85242.710454749642</v>
      </c>
      <c r="AE227" s="115">
        <f>SQRT((Tableau!$G$35-P227)^2+(Tableau!$H$35-Q227)^2)</f>
        <v>59182.968153131515</v>
      </c>
    </row>
    <row r="228" spans="2:31" x14ac:dyDescent="0.25">
      <c r="B228" s="20">
        <v>225</v>
      </c>
      <c r="C228" s="21">
        <f>Tableau!$G$17*COS(B228*PI()/180)+Tableau!$G$16</f>
        <v>16464.466094067262</v>
      </c>
      <c r="D228" s="21">
        <f>Tableau!$G$17*SIN(B228*PI()/180)+Tableau!$H$16</f>
        <v>3964.4660940672625</v>
      </c>
      <c r="F228" s="28">
        <v>225</v>
      </c>
      <c r="G228" s="29">
        <f>Tableau!$G$26*COS(F228*PI()/180)+Tableau!$G$25</f>
        <v>-22474.873734152916</v>
      </c>
      <c r="H228" s="29">
        <f>Tableau!$G$26*SIN(F228*PI()/180)+Tableau!$H$25</f>
        <v>7525.1262658470841</v>
      </c>
      <c r="J228" s="36">
        <v>225</v>
      </c>
      <c r="K228" s="37">
        <f>Tableau!$G$36*COS(J228*PI()/180)+Tableau!$G$35</f>
        <v>-8535.533905932738</v>
      </c>
      <c r="L228" s="37">
        <f>Tableau!$G$36*SIN(J228*PI()/180)+Tableau!$H$35</f>
        <v>-18535.533905932738</v>
      </c>
      <c r="N228" s="92">
        <v>224</v>
      </c>
      <c r="O228" s="93">
        <v>112</v>
      </c>
      <c r="P228" s="96">
        <f>P227+R227*Tableau!$G$2+((1/2)*T227)*Tableau!$G$2^2</f>
        <v>49016.238002458434</v>
      </c>
      <c r="Q228" s="96">
        <f>Q227+S227*Tableau!$G$2+((1/2)*U227)*Tableau!$G$2^2</f>
        <v>-42425.719750190736</v>
      </c>
      <c r="R228" s="96">
        <f>R227+T227*Tableau!$G$2</f>
        <v>2171.7022470852294</v>
      </c>
      <c r="S228" s="96">
        <f>S227+U227*Tableau!$G$2</f>
        <v>-1732.390884976083</v>
      </c>
      <c r="T228" s="96">
        <f t="shared" si="6"/>
        <v>-216.52217227510087</v>
      </c>
      <c r="U228" s="96">
        <f t="shared" si="7"/>
        <v>206.23421125111679</v>
      </c>
      <c r="V228" s="96">
        <f>((Tableau!$G$16-P228)/(AC228^2+Tableau!$G$21^2)^(3/2))*Tableau!$G$20</f>
        <v>-75.481537175890807</v>
      </c>
      <c r="W228" s="96">
        <f>((Tableau!$H$16-Q228)/(AC228^2+Tableau!$G$21^2)^(3/2))*Tableau!$G$20</f>
        <v>129.87452305284512</v>
      </c>
      <c r="X228" s="96">
        <f>((Tableau!$G$25-P228)/(AD228^2+Tableau!$G$30^2)^(3/2))*Tableau!$G$29</f>
        <v>-18.853902515478641</v>
      </c>
      <c r="Y228" s="96">
        <f>((Tableau!$H$25-Q228)/(AD228^2+Tableau!$G$30^2)^(3/2))*Tableau!$G$29</f>
        <v>14.321693533030446</v>
      </c>
      <c r="Z228" s="96">
        <f>((Tableau!$G$35-P228)/(AE228^2+Tableau!$G$40^2)^(3/2))*Tableau!$G$39</f>
        <v>-122.18673258373143</v>
      </c>
      <c r="AA228" s="97">
        <f>((Tableau!$H$35-Q228)/(AE228^2+Tableau!$G$40^2)^(3/2))*Tableau!$G$39</f>
        <v>62.037994665241236</v>
      </c>
      <c r="AC228" s="110">
        <f>SQRT((Tableau!$G$16-P228)^2+(Tableau!$H$16-Q228)^2)</f>
        <v>57745.299032820833</v>
      </c>
      <c r="AD228" s="111">
        <f>SQRT((Tableau!$G$25-P228)^2+(Tableau!$H$25-Q228)^2)</f>
        <v>86670.047878938713</v>
      </c>
      <c r="AE228" s="112">
        <f>SQRT((Tableau!$G$35-P228)^2+(Tableau!$H$35-Q228)^2)</f>
        <v>60579.898248133737</v>
      </c>
    </row>
    <row r="229" spans="2:31" x14ac:dyDescent="0.25">
      <c r="B229" s="18">
        <v>226</v>
      </c>
      <c r="C229" s="19">
        <f>Tableau!$G$17*COS(B229*PI()/180)+Tableau!$G$16</f>
        <v>16526.708147705012</v>
      </c>
      <c r="D229" s="19">
        <f>Tableau!$G$17*SIN(B229*PI()/180)+Tableau!$H$16</f>
        <v>3903.3009983067459</v>
      </c>
      <c r="F229" s="26">
        <v>226</v>
      </c>
      <c r="G229" s="27">
        <f>Tableau!$G$26*COS(F229*PI()/180)+Tableau!$G$25</f>
        <v>-22431.30429660649</v>
      </c>
      <c r="H229" s="27">
        <f>Tableau!$G$26*SIN(F229*PI()/180)+Tableau!$H$25</f>
        <v>7482.3106988147219</v>
      </c>
      <c r="J229" s="34">
        <v>226</v>
      </c>
      <c r="K229" s="35">
        <f>Tableau!$G$36*COS(J229*PI()/180)+Tableau!$G$35</f>
        <v>-8473.2918522949876</v>
      </c>
      <c r="L229" s="35">
        <f>Tableau!$G$36*SIN(J229*PI()/180)+Tableau!$H$35</f>
        <v>-18596.699001693254</v>
      </c>
      <c r="N229" s="98">
        <v>225</v>
      </c>
      <c r="O229" s="99">
        <v>112.5</v>
      </c>
      <c r="P229" s="101">
        <f>P228+R228*Tableau!$G$2+((1/2)*T228)*Tableau!$G$2^2</f>
        <v>50075.023854466657</v>
      </c>
      <c r="Q229" s="101">
        <f>Q228+S228*Tableau!$G$2+((1/2)*U228)*Tableau!$G$2^2</f>
        <v>-43266.135916272382</v>
      </c>
      <c r="R229" s="101">
        <f>R228+T228*Tableau!$G$2</f>
        <v>2063.4411609476788</v>
      </c>
      <c r="S229" s="101">
        <f>S228+U228*Tableau!$G$2</f>
        <v>-1629.2737793505246</v>
      </c>
      <c r="T229" s="101">
        <f t="shared" si="6"/>
        <v>-208.69183894019409</v>
      </c>
      <c r="U229" s="101">
        <f t="shared" si="7"/>
        <v>197.92131496947081</v>
      </c>
      <c r="V229" s="101">
        <f>((Tableau!$G$16-P229)/(AC229^2+Tableau!$G$21^2)^(3/2))*Tableau!$G$20</f>
        <v>-73.463126470262736</v>
      </c>
      <c r="W229" s="101">
        <f>((Tableau!$H$16-Q229)/(AC229^2+Tableau!$G$21^2)^(3/2))*Tableau!$G$20</f>
        <v>124.00452552491589</v>
      </c>
      <c r="X229" s="101">
        <f>((Tableau!$G$25-P229)/(AD229^2+Tableau!$G$30^2)^(3/2))*Tableau!$G$29</f>
        <v>-18.28025392486791</v>
      </c>
      <c r="Y229" s="101">
        <f>((Tableau!$H$25-Q229)/(AD229^2+Tableau!$G$30^2)^(3/2))*Tableau!$G$29</f>
        <v>13.895371511656219</v>
      </c>
      <c r="Z229" s="101">
        <f>((Tableau!$G$35-P229)/(AE229^2+Tableau!$G$40^2)^(3/2))*Tableau!$G$39</f>
        <v>-116.94845854506343</v>
      </c>
      <c r="AA229" s="102">
        <f>((Tableau!$H$35-Q229)/(AE229^2+Tableau!$G$40^2)^(3/2))*Tableau!$G$39</f>
        <v>60.021417932898707</v>
      </c>
      <c r="AC229" s="113">
        <f>SQRT((Tableau!$G$16-P229)^2+(Tableau!$H$16-Q229)^2)</f>
        <v>59005.996438634771</v>
      </c>
      <c r="AD229" s="114">
        <f>SQRT((Tableau!$G$25-P229)^2+(Tableau!$H$25-Q229)^2)</f>
        <v>88021.532613644449</v>
      </c>
      <c r="AE229" s="115">
        <f>SQRT((Tableau!$G$35-P229)^2+(Tableau!$H$35-Q229)^2)</f>
        <v>61905.029619629895</v>
      </c>
    </row>
    <row r="230" spans="2:31" x14ac:dyDescent="0.25">
      <c r="B230" s="20">
        <v>227</v>
      </c>
      <c r="C230" s="21">
        <f>Tableau!$G$17*COS(B230*PI()/180)+Tableau!$G$16</f>
        <v>16590.008199687505</v>
      </c>
      <c r="D230" s="21">
        <f>Tableau!$G$17*SIN(B230*PI()/180)+Tableau!$H$16</f>
        <v>3843.2314919041492</v>
      </c>
      <c r="F230" s="28">
        <v>227</v>
      </c>
      <c r="G230" s="29">
        <f>Tableau!$G$26*COS(F230*PI()/180)+Tableau!$G$25</f>
        <v>-22386.994260218748</v>
      </c>
      <c r="H230" s="29">
        <f>Tableau!$G$26*SIN(F230*PI()/180)+Tableau!$H$25</f>
        <v>7440.2620443329051</v>
      </c>
      <c r="J230" s="36">
        <v>227</v>
      </c>
      <c r="K230" s="37">
        <f>Tableau!$G$36*COS(J230*PI()/180)+Tableau!$G$35</f>
        <v>-8409.9918003124949</v>
      </c>
      <c r="L230" s="37">
        <f>Tableau!$G$36*SIN(J230*PI()/180)+Tableau!$H$35</f>
        <v>-18656.768508095851</v>
      </c>
      <c r="N230" s="92">
        <v>226</v>
      </c>
      <c r="O230" s="93">
        <v>113</v>
      </c>
      <c r="P230" s="96">
        <f>P229+R229*Tableau!$G$2+((1/2)*T229)*Tableau!$G$2^2</f>
        <v>51080.657955072973</v>
      </c>
      <c r="Q230" s="96">
        <f>Q229+S229*Tableau!$G$2+((1/2)*U229)*Tableau!$G$2^2</f>
        <v>-44056.032641576458</v>
      </c>
      <c r="R230" s="96">
        <f>R229+T229*Tableau!$G$2</f>
        <v>1959.0952414775818</v>
      </c>
      <c r="S230" s="96">
        <f>S229+U229*Tableau!$G$2</f>
        <v>-1530.3131218657891</v>
      </c>
      <c r="T230" s="96">
        <f t="shared" si="6"/>
        <v>-201.66095779549261</v>
      </c>
      <c r="U230" s="96">
        <f t="shared" si="7"/>
        <v>190.47049637306191</v>
      </c>
      <c r="V230" s="96">
        <f>((Tableau!$G$16-P230)/(AC230^2+Tableau!$G$21^2)^(3/2))*Tableau!$G$20</f>
        <v>-71.609188946413667</v>
      </c>
      <c r="W230" s="96">
        <f>((Tableau!$H$16-Q230)/(AC230^2+Tableau!$G$21^2)^(3/2))*Tableau!$G$20</f>
        <v>118.78402600404186</v>
      </c>
      <c r="X230" s="96">
        <f>((Tableau!$G$25-P230)/(AD230^2+Tableau!$G$30^2)^(3/2))*Tableau!$G$29</f>
        <v>-17.762218602360896</v>
      </c>
      <c r="Y230" s="96">
        <f>((Tableau!$H$25-Q230)/(AD230^2+Tableau!$G$30^2)^(3/2))*Tableau!$G$29</f>
        <v>13.507965404075325</v>
      </c>
      <c r="Z230" s="96">
        <f>((Tableau!$G$35-P230)/(AE230^2+Tableau!$G$40^2)^(3/2))*Tableau!$G$39</f>
        <v>-112.28955024671806</v>
      </c>
      <c r="AA230" s="97">
        <f>((Tableau!$H$35-Q230)/(AE230^2+Tableau!$G$40^2)^(3/2))*Tableau!$G$39</f>
        <v>58.178504964944729</v>
      </c>
      <c r="AC230" s="110">
        <f>SQRT((Tableau!$G$16-P230)^2+(Tableau!$H$16-Q230)^2)</f>
        <v>60199.931899127077</v>
      </c>
      <c r="AD230" s="111">
        <f>SQRT((Tableau!$G$25-P230)^2+(Tableau!$H$25-Q230)^2)</f>
        <v>89300.137739385696</v>
      </c>
      <c r="AE230" s="112">
        <f>SQRT((Tableau!$G$35-P230)^2+(Tableau!$H$35-Q230)^2)</f>
        <v>63160.852033061165</v>
      </c>
    </row>
    <row r="231" spans="2:31" x14ac:dyDescent="0.25">
      <c r="B231" s="18">
        <v>228</v>
      </c>
      <c r="C231" s="19">
        <f>Tableau!$G$17*COS(B231*PI()/180)+Tableau!$G$16</f>
        <v>16654.346968205708</v>
      </c>
      <c r="D231" s="19">
        <f>Tableau!$G$17*SIN(B231*PI()/180)+Tableau!$H$16</f>
        <v>3784.2758726130301</v>
      </c>
      <c r="F231" s="26">
        <v>228</v>
      </c>
      <c r="G231" s="27">
        <f>Tableau!$G$26*COS(F231*PI()/180)+Tableau!$G$25</f>
        <v>-22341.957122256004</v>
      </c>
      <c r="H231" s="27">
        <f>Tableau!$G$26*SIN(F231*PI()/180)+Tableau!$H$25</f>
        <v>7398.9931108291203</v>
      </c>
      <c r="J231" s="34">
        <v>228</v>
      </c>
      <c r="K231" s="35">
        <f>Tableau!$G$36*COS(J231*PI()/180)+Tableau!$G$35</f>
        <v>-8345.6530317942925</v>
      </c>
      <c r="L231" s="35">
        <f>Tableau!$G$36*SIN(J231*PI()/180)+Tableau!$H$35</f>
        <v>-18715.724127386969</v>
      </c>
      <c r="N231" s="98">
        <v>227</v>
      </c>
      <c r="O231" s="99">
        <v>113.5</v>
      </c>
      <c r="P231" s="101">
        <f>P230+R230*Tableau!$G$2+((1/2)*T230)*Tableau!$G$2^2</f>
        <v>52034.997956087325</v>
      </c>
      <c r="Q231" s="101">
        <f>Q230+S230*Tableau!$G$2+((1/2)*U230)*Tableau!$G$2^2</f>
        <v>-44797.38039046272</v>
      </c>
      <c r="R231" s="101">
        <f>R230+T230*Tableau!$G$2</f>
        <v>1858.2647625798354</v>
      </c>
      <c r="S231" s="101">
        <f>S230+U230*Tableau!$G$2</f>
        <v>-1435.0778736792581</v>
      </c>
      <c r="T231" s="101">
        <f t="shared" si="6"/>
        <v>-195.33468943992784</v>
      </c>
      <c r="U231" s="101">
        <f t="shared" si="7"/>
        <v>183.77433249536159</v>
      </c>
      <c r="V231" s="101">
        <f>((Tableau!$G$16-P231)/(AC231^2+Tableau!$G$21^2)^(3/2))*Tableau!$G$20</f>
        <v>-69.908542028924259</v>
      </c>
      <c r="W231" s="101">
        <f>((Tableau!$H$16-Q231)/(AC231^2+Tableau!$G$21^2)^(3/2))*Tableau!$G$20</f>
        <v>114.12623219270658</v>
      </c>
      <c r="X231" s="101">
        <f>((Tableau!$G$25-P231)/(AD231^2+Tableau!$G$30^2)^(3/2))*Tableau!$G$29</f>
        <v>-17.293492790274211</v>
      </c>
      <c r="Y231" s="101">
        <f>((Tableau!$H$25-Q231)/(AD231^2+Tableau!$G$30^2)^(3/2))*Tableau!$G$29</f>
        <v>13.155245777699092</v>
      </c>
      <c r="Z231" s="101">
        <f>((Tableau!$G$35-P231)/(AE231^2+Tableau!$G$40^2)^(3/2))*Tableau!$G$39</f>
        <v>-108.13265462072935</v>
      </c>
      <c r="AA231" s="102">
        <f>((Tableau!$H$35-Q231)/(AE231^2+Tableau!$G$40^2)^(3/2))*Tableau!$G$39</f>
        <v>56.492854524955909</v>
      </c>
      <c r="AC231" s="113">
        <f>SQRT((Tableau!$G$16-P231)^2+(Tableau!$H$16-Q231)^2)</f>
        <v>61329.088447092334</v>
      </c>
      <c r="AD231" s="114">
        <f>SQRT((Tableau!$G$25-P231)^2+(Tableau!$H$25-Q231)^2)</f>
        <v>90508.529035613945</v>
      </c>
      <c r="AE231" s="115">
        <f>SQRT((Tableau!$G$35-P231)^2+(Tableau!$H$35-Q231)^2)</f>
        <v>64349.629913347737</v>
      </c>
    </row>
    <row r="232" spans="2:31" x14ac:dyDescent="0.25">
      <c r="B232" s="20">
        <v>229</v>
      </c>
      <c r="C232" s="21">
        <f>Tableau!$G$17*COS(B232*PI()/180)+Tableau!$G$16</f>
        <v>16719.704855047461</v>
      </c>
      <c r="D232" s="21">
        <f>Tableau!$G$17*SIN(B232*PI()/180)+Tableau!$H$16</f>
        <v>3726.4520988861418</v>
      </c>
      <c r="F232" s="28">
        <v>229</v>
      </c>
      <c r="G232" s="29">
        <f>Tableau!$G$26*COS(F232*PI()/180)+Tableau!$G$25</f>
        <v>-22296.206601466776</v>
      </c>
      <c r="H232" s="29">
        <f>Tableau!$G$26*SIN(F232*PI()/180)+Tableau!$H$25</f>
        <v>7358.5164692202998</v>
      </c>
      <c r="J232" s="36">
        <v>229</v>
      </c>
      <c r="K232" s="37">
        <f>Tableau!$G$36*COS(J232*PI()/180)+Tableau!$G$35</f>
        <v>-8280.295144952539</v>
      </c>
      <c r="L232" s="37">
        <f>Tableau!$G$36*SIN(J232*PI()/180)+Tableau!$H$35</f>
        <v>-18773.54790111386</v>
      </c>
      <c r="N232" s="92">
        <v>228</v>
      </c>
      <c r="O232" s="93">
        <v>114</v>
      </c>
      <c r="P232" s="96">
        <f>P231+R231*Tableau!$G$2+((1/2)*T231)*Tableau!$G$2^2</f>
        <v>52939.713501197257</v>
      </c>
      <c r="Q232" s="96">
        <f>Q231+S231*Tableau!$G$2+((1/2)*U231)*Tableau!$G$2^2</f>
        <v>-45491.94753574043</v>
      </c>
      <c r="R232" s="96">
        <f>R231+T231*Tableau!$G$2</f>
        <v>1760.5974178598715</v>
      </c>
      <c r="S232" s="96">
        <f>S231+U231*Tableau!$G$2</f>
        <v>-1343.1907074315773</v>
      </c>
      <c r="T232" s="96">
        <f t="shared" si="6"/>
        <v>-189.63299582842649</v>
      </c>
      <c r="U232" s="96">
        <f t="shared" si="7"/>
        <v>177.74267849877157</v>
      </c>
      <c r="V232" s="96">
        <f>((Tableau!$G$16-P232)/(AC232^2+Tableau!$G$21^2)^(3/2))*Tableau!$G$20</f>
        <v>-68.350475431295934</v>
      </c>
      <c r="W232" s="96">
        <f>((Tableau!$H$16-Q232)/(AC232^2+Tableau!$G$21^2)^(3/2))*Tableau!$G$20</f>
        <v>109.95920799270156</v>
      </c>
      <c r="X232" s="96">
        <f>((Tableau!$G$25-P232)/(AD232^2+Tableau!$G$30^2)^(3/2))*Tableau!$G$29</f>
        <v>-16.868750199081706</v>
      </c>
      <c r="Y232" s="96">
        <f>((Tableau!$H$25-Q232)/(AD232^2+Tableau!$G$30^2)^(3/2))*Tableau!$G$29</f>
        <v>12.833609512677725</v>
      </c>
      <c r="Z232" s="96">
        <f>((Tableau!$G$35-P232)/(AE232^2+Tableau!$G$40^2)^(3/2))*Tableau!$G$39</f>
        <v>-104.41377019804884</v>
      </c>
      <c r="AA232" s="97">
        <f>((Tableau!$H$35-Q232)/(AE232^2+Tableau!$G$40^2)^(3/2))*Tableau!$G$39</f>
        <v>54.949860993392271</v>
      </c>
      <c r="AC232" s="110">
        <f>SQRT((Tableau!$G$16-P232)^2+(Tableau!$H$16-Q232)^2)</f>
        <v>62395.282106675528</v>
      </c>
      <c r="AD232" s="111">
        <f>SQRT((Tableau!$G$25-P232)^2+(Tableau!$H$25-Q232)^2)</f>
        <v>91649.102815827428</v>
      </c>
      <c r="AE232" s="112">
        <f>SQRT((Tableau!$G$35-P232)^2+(Tableau!$H$35-Q232)^2)</f>
        <v>65473.424113323774</v>
      </c>
    </row>
    <row r="233" spans="2:31" x14ac:dyDescent="0.25">
      <c r="B233" s="18">
        <v>230</v>
      </c>
      <c r="C233" s="19">
        <f>Tableau!$G$17*COS(B233*PI()/180)+Tableau!$G$16</f>
        <v>16786.061951567302</v>
      </c>
      <c r="D233" s="19">
        <f>Tableau!$G$17*SIN(B233*PI()/180)+Tableau!$H$16</f>
        <v>3669.7777844051107</v>
      </c>
      <c r="F233" s="26">
        <v>230</v>
      </c>
      <c r="G233" s="27">
        <f>Tableau!$G$26*COS(F233*PI()/180)+Tableau!$G$25</f>
        <v>-22249.756633902889</v>
      </c>
      <c r="H233" s="27">
        <f>Tableau!$G$26*SIN(F233*PI()/180)+Tableau!$H$25</f>
        <v>7318.8444490835773</v>
      </c>
      <c r="J233" s="34">
        <v>230</v>
      </c>
      <c r="K233" s="35">
        <f>Tableau!$G$36*COS(J233*PI()/180)+Tableau!$G$35</f>
        <v>-8213.9380484326975</v>
      </c>
      <c r="L233" s="35">
        <f>Tableau!$G$36*SIN(J233*PI()/180)+Tableau!$H$35</f>
        <v>-18830.222215594891</v>
      </c>
      <c r="N233" s="98">
        <v>229</v>
      </c>
      <c r="O233" s="99">
        <v>114.5</v>
      </c>
      <c r="P233" s="101">
        <f>P232+R232*Tableau!$G$2+((1/2)*T232)*Tableau!$G$2^2</f>
        <v>53796.308085648641</v>
      </c>
      <c r="Q233" s="101">
        <f>Q232+S232*Tableau!$G$2+((1/2)*U232)*Tableau!$G$2^2</f>
        <v>-46141.325054643872</v>
      </c>
      <c r="R233" s="101">
        <f>R232+T232*Tableau!$G$2</f>
        <v>1665.7809199456583</v>
      </c>
      <c r="S233" s="101">
        <f>S232+U232*Tableau!$G$2</f>
        <v>-1254.3193681821915</v>
      </c>
      <c r="T233" s="101">
        <f t="shared" si="6"/>
        <v>-184.48801067722093</v>
      </c>
      <c r="U233" s="101">
        <f t="shared" si="7"/>
        <v>172.29948413680532</v>
      </c>
      <c r="V233" s="101">
        <f>((Tableau!$G$16-P233)/(AC233^2+Tableau!$G$21^2)^(3/2))*Tableau!$G$20</f>
        <v>-66.924960618600593</v>
      </c>
      <c r="W233" s="101">
        <f>((Tableau!$H$16-Q233)/(AC233^2+Tableau!$G$21^2)^(3/2))*Tableau!$G$20</f>
        <v>106.22295067596563</v>
      </c>
      <c r="X233" s="101">
        <f>((Tableau!$G$25-P233)/(AD233^2+Tableau!$G$30^2)^(3/2))*Tableau!$G$29</f>
        <v>-16.483465218802653</v>
      </c>
      <c r="Y233" s="101">
        <f>((Tableau!$H$25-Q233)/(AD233^2+Tableau!$G$30^2)^(3/2))*Tableau!$G$29</f>
        <v>12.539971211048726</v>
      </c>
      <c r="Z233" s="101">
        <f>((Tableau!$G$35-P233)/(AE233^2+Tableau!$G$40^2)^(3/2))*Tableau!$G$39</f>
        <v>-101.0795848398177</v>
      </c>
      <c r="AA233" s="102">
        <f>((Tableau!$H$35-Q233)/(AE233^2+Tableau!$G$40^2)^(3/2))*Tableau!$G$39</f>
        <v>53.536562249790954</v>
      </c>
      <c r="AC233" s="113">
        <f>SQRT((Tableau!$G$16-P233)^2+(Tableau!$H$16-Q233)^2)</f>
        <v>63400.175030026883</v>
      </c>
      <c r="AD233" s="114">
        <f>SQRT((Tableau!$G$25-P233)^2+(Tableau!$H$25-Q233)^2)</f>
        <v>92724.017740621843</v>
      </c>
      <c r="AE233" s="115">
        <f>SQRT((Tableau!$G$35-P233)^2+(Tableau!$H$35-Q233)^2)</f>
        <v>66534.111331417822</v>
      </c>
    </row>
    <row r="234" spans="2:31" x14ac:dyDescent="0.25">
      <c r="B234" s="20">
        <v>231</v>
      </c>
      <c r="C234" s="21">
        <f>Tableau!$G$17*COS(B234*PI()/180)+Tableau!$G$16</f>
        <v>16853.398044750815</v>
      </c>
      <c r="D234" s="21">
        <f>Tableau!$G$17*SIN(B234*PI()/180)+Tableau!$H$16</f>
        <v>3614.2701927151443</v>
      </c>
      <c r="F234" s="28">
        <v>231</v>
      </c>
      <c r="G234" s="29">
        <f>Tableau!$G$26*COS(F234*PI()/180)+Tableau!$G$25</f>
        <v>-22202.62136867443</v>
      </c>
      <c r="H234" s="29">
        <f>Tableau!$G$26*SIN(F234*PI()/180)+Tableau!$H$25</f>
        <v>7279.9891349006011</v>
      </c>
      <c r="J234" s="36">
        <v>231</v>
      </c>
      <c r="K234" s="37">
        <f>Tableau!$G$36*COS(J234*PI()/180)+Tableau!$G$35</f>
        <v>-8146.6019552491853</v>
      </c>
      <c r="L234" s="37">
        <f>Tableau!$G$36*SIN(J234*PI()/180)+Tableau!$H$35</f>
        <v>-18885.729807284857</v>
      </c>
      <c r="N234" s="92">
        <v>230</v>
      </c>
      <c r="O234" s="93">
        <v>115</v>
      </c>
      <c r="P234" s="96">
        <f>P233+R233*Tableau!$G$2+((1/2)*T233)*Tableau!$G$2^2</f>
        <v>54606.137544286816</v>
      </c>
      <c r="Q234" s="96">
        <f>Q233+S233*Tableau!$G$2+((1/2)*U233)*Tableau!$G$2^2</f>
        <v>-46746.947303217865</v>
      </c>
      <c r="R234" s="96">
        <f>R233+T233*Tableau!$G$2</f>
        <v>1573.5369146070479</v>
      </c>
      <c r="S234" s="96">
        <f>S233+U233*Tableau!$G$2</f>
        <v>-1168.1696261137888</v>
      </c>
      <c r="T234" s="96">
        <f t="shared" si="6"/>
        <v>-179.84194006878903</v>
      </c>
      <c r="U234" s="96">
        <f t="shared" si="7"/>
        <v>167.38027387571623</v>
      </c>
      <c r="V234" s="96">
        <f>((Tableau!$G$16-P234)/(AC234^2+Tableau!$G$21^2)^(3/2))*Tableau!$G$20</f>
        <v>-65.622747674942872</v>
      </c>
      <c r="W234" s="96">
        <f>((Tableau!$H$16-Q234)/(AC234^2+Tableau!$G$21^2)^(3/2))*Tableau!$G$20</f>
        <v>102.86712091054169</v>
      </c>
      <c r="X234" s="96">
        <f>((Tableau!$G$25-P234)/(AD234^2+Tableau!$G$30^2)^(3/2))*Tableau!$G$29</f>
        <v>-16.133773431885526</v>
      </c>
      <c r="Y234" s="96">
        <f>((Tableau!$H$25-Q234)/(AD234^2+Tableau!$G$30^2)^(3/2))*Tableau!$G$29</f>
        <v>12.27167657885775</v>
      </c>
      <c r="Z234" s="96">
        <f>((Tableau!$G$35-P234)/(AE234^2+Tableau!$G$40^2)^(3/2))*Tableau!$G$39</f>
        <v>-98.085418961960627</v>
      </c>
      <c r="AA234" s="97">
        <f>((Tableau!$H$35-Q234)/(AE234^2+Tableau!$G$40^2)^(3/2))*Tableau!$G$39</f>
        <v>52.241476386316791</v>
      </c>
      <c r="AC234" s="110">
        <f>SQRT((Tableau!$G$16-P234)^2+(Tableau!$H$16-Q234)^2)</f>
        <v>64345.287686451396</v>
      </c>
      <c r="AD234" s="111">
        <f>SQRT((Tableau!$G$25-P234)^2+(Tableau!$H$25-Q234)^2)</f>
        <v>93735.221701936709</v>
      </c>
      <c r="AE234" s="112">
        <f>SQRT((Tableau!$G$35-P234)^2+(Tableau!$H$35-Q234)^2)</f>
        <v>67533.401336092429</v>
      </c>
    </row>
    <row r="235" spans="2:31" x14ac:dyDescent="0.25">
      <c r="B235" s="18">
        <v>232</v>
      </c>
      <c r="C235" s="19">
        <f>Tableau!$G$17*COS(B235*PI()/180)+Tableau!$G$16</f>
        <v>16921.692623371709</v>
      </c>
      <c r="D235" s="19">
        <f>Tableau!$G$17*SIN(B235*PI()/180)+Tableau!$H$16</f>
        <v>3559.9462319663894</v>
      </c>
      <c r="F235" s="26">
        <v>232</v>
      </c>
      <c r="G235" s="27">
        <f>Tableau!$G$26*COS(F235*PI()/180)+Tableau!$G$25</f>
        <v>-22154.815163639803</v>
      </c>
      <c r="H235" s="27">
        <f>Tableau!$G$26*SIN(F235*PI()/180)+Tableau!$H$25</f>
        <v>7241.9623623764728</v>
      </c>
      <c r="J235" s="34">
        <v>232</v>
      </c>
      <c r="K235" s="35">
        <f>Tableau!$G$36*COS(J235*PI()/180)+Tableau!$G$35</f>
        <v>-8078.3073766282905</v>
      </c>
      <c r="L235" s="35">
        <f>Tableau!$G$36*SIN(J235*PI()/180)+Tableau!$H$35</f>
        <v>-18940.053768033609</v>
      </c>
      <c r="N235" s="98">
        <v>231</v>
      </c>
      <c r="O235" s="99">
        <v>115.5</v>
      </c>
      <c r="P235" s="101">
        <f>P234+R234*Tableau!$G$2+((1/2)*T234)*Tableau!$G$2^2</f>
        <v>55370.425759081736</v>
      </c>
      <c r="Q235" s="101">
        <f>Q234+S234*Tableau!$G$2+((1/2)*U234)*Tableau!$G$2^2</f>
        <v>-47310.109582040292</v>
      </c>
      <c r="R235" s="101">
        <f>R234+T234*Tableau!$G$2</f>
        <v>1483.6159445726535</v>
      </c>
      <c r="S235" s="101">
        <f>S234+U234*Tableau!$G$2</f>
        <v>-1084.4794891759307</v>
      </c>
      <c r="T235" s="101">
        <f t="shared" si="6"/>
        <v>-175.64537725636688</v>
      </c>
      <c r="U235" s="101">
        <f t="shared" si="7"/>
        <v>162.9301399954096</v>
      </c>
      <c r="V235" s="101">
        <f>((Tableau!$G$16-P235)/(AC235^2+Tableau!$G$21^2)^(3/2))*Tableau!$G$20</f>
        <v>-64.435394429018729</v>
      </c>
      <c r="W235" s="101">
        <f>((Tableau!$H$16-Q235)/(AC235^2+Tableau!$G$21^2)^(3/2))*Tableau!$G$20</f>
        <v>99.849265419421769</v>
      </c>
      <c r="X235" s="101">
        <f>((Tableau!$G$25-P235)/(AD235^2+Tableau!$G$30^2)^(3/2))*Tableau!$G$29</f>
        <v>-15.816360627636472</v>
      </c>
      <c r="Y235" s="101">
        <f>((Tableau!$H$25-Q235)/(AD235^2+Tableau!$G$30^2)^(3/2))*Tableau!$G$29</f>
        <v>12.02643280344868</v>
      </c>
      <c r="Z235" s="101">
        <f>((Tableau!$G$35-P235)/(AE235^2+Tableau!$G$40^2)^(3/2))*Tableau!$G$39</f>
        <v>-95.393622199711672</v>
      </c>
      <c r="AA235" s="102">
        <f>((Tableau!$H$35-Q235)/(AE235^2+Tableau!$G$40^2)^(3/2))*Tableau!$G$39</f>
        <v>51.054441772539143</v>
      </c>
      <c r="AC235" s="113">
        <f>SQRT((Tableau!$G$16-P235)^2+(Tableau!$H$16-Q235)^2)</f>
        <v>65232.010016356064</v>
      </c>
      <c r="AD235" s="114">
        <f>SQRT((Tableau!$G$25-P235)^2+(Tableau!$H$25-Q235)^2)</f>
        <v>94684.474648226867</v>
      </c>
      <c r="AE235" s="115">
        <f>SQRT((Tableau!$G$35-P235)^2+(Tableau!$H$35-Q235)^2)</f>
        <v>68472.852193670537</v>
      </c>
    </row>
    <row r="236" spans="2:31" x14ac:dyDescent="0.25">
      <c r="B236" s="20">
        <v>233</v>
      </c>
      <c r="C236" s="21">
        <f>Tableau!$G$17*COS(B236*PI()/180)+Tableau!$G$16</f>
        <v>16990.924884239757</v>
      </c>
      <c r="D236" s="21">
        <f>Tableau!$G$17*SIN(B236*PI()/180)+Tableau!$H$16</f>
        <v>3506.822449763536</v>
      </c>
      <c r="F236" s="28">
        <v>233</v>
      </c>
      <c r="G236" s="29">
        <f>Tableau!$G$26*COS(F236*PI()/180)+Tableau!$G$25</f>
        <v>-22106.35258103217</v>
      </c>
      <c r="H236" s="29">
        <f>Tableau!$G$26*SIN(F236*PI()/180)+Tableau!$H$25</f>
        <v>7204.7757148344754</v>
      </c>
      <c r="J236" s="36">
        <v>233</v>
      </c>
      <c r="K236" s="37">
        <f>Tableau!$G$36*COS(J236*PI()/180)+Tableau!$G$35</f>
        <v>-8009.0751157602408</v>
      </c>
      <c r="L236" s="37">
        <f>Tableau!$G$36*SIN(J236*PI()/180)+Tableau!$H$35</f>
        <v>-18993.177550236465</v>
      </c>
      <c r="N236" s="92">
        <v>232</v>
      </c>
      <c r="O236" s="93">
        <v>116</v>
      </c>
      <c r="P236" s="96">
        <f>P235+R235*Tableau!$G$2+((1/2)*T235)*Tableau!$G$2^2</f>
        <v>56090.278059211014</v>
      </c>
      <c r="Q236" s="96">
        <f>Q235+S235*Tableau!$G$2+((1/2)*U235)*Tableau!$G$2^2</f>
        <v>-47831.983059128834</v>
      </c>
      <c r="R236" s="96">
        <f>R235+T235*Tableau!$G$2</f>
        <v>1395.79325594447</v>
      </c>
      <c r="S236" s="96">
        <f>S235+U235*Tableau!$G$2</f>
        <v>-1003.0144191782258</v>
      </c>
      <c r="T236" s="96">
        <f t="shared" si="6"/>
        <v>-171.85594273008329</v>
      </c>
      <c r="U236" s="96">
        <f t="shared" si="7"/>
        <v>158.90213459445292</v>
      </c>
      <c r="V236" s="96">
        <f>((Tableau!$G$16-P236)/(AC236^2+Tableau!$G$21^2)^(3/2))*Tableau!$G$20</f>
        <v>-63.355255868407539</v>
      </c>
      <c r="W236" s="96">
        <f>((Tableau!$H$16-Q236)/(AC236^2+Tableau!$G$21^2)^(3/2))*Tableau!$G$20</f>
        <v>97.133414673783633</v>
      </c>
      <c r="X236" s="96">
        <f>((Tableau!$G$25-P236)/(AD236^2+Tableau!$G$30^2)^(3/2))*Tableau!$G$29</f>
        <v>-15.528373811385931</v>
      </c>
      <c r="Y236" s="96">
        <f>((Tableau!$H$25-Q236)/(AD236^2+Tableau!$G$30^2)^(3/2))*Tableau!$G$29</f>
        <v>11.80225219438767</v>
      </c>
      <c r="Z236" s="96">
        <f>((Tableau!$G$35-P236)/(AE236^2+Tableau!$G$40^2)^(3/2))*Tableau!$G$39</f>
        <v>-92.972313050289813</v>
      </c>
      <c r="AA236" s="97">
        <f>((Tableau!$H$35-Q236)/(AE236^2+Tableau!$G$40^2)^(3/2))*Tableau!$G$39</f>
        <v>49.966467726281621</v>
      </c>
      <c r="AC236" s="110">
        <f>SQRT((Tableau!$G$16-P236)^2+(Tableau!$H$16-Q236)^2)</f>
        <v>66061.61154291415</v>
      </c>
      <c r="AD236" s="111">
        <f>SQRT((Tableau!$G$25-P236)^2+(Tableau!$H$25-Q236)^2)</f>
        <v>95573.36804612157</v>
      </c>
      <c r="AE236" s="112">
        <f>SQRT((Tableau!$G$35-P236)^2+(Tableau!$H$35-Q236)^2)</f>
        <v>69353.883704855645</v>
      </c>
    </row>
    <row r="237" spans="2:31" x14ac:dyDescent="0.25">
      <c r="B237" s="18">
        <v>234</v>
      </c>
      <c r="C237" s="19">
        <f>Tableau!$G$17*COS(B237*PI()/180)+Tableau!$G$16</f>
        <v>17061.073738537634</v>
      </c>
      <c r="D237" s="19">
        <f>Tableau!$G$17*SIN(B237*PI()/180)+Tableau!$H$16</f>
        <v>3454.9150281252632</v>
      </c>
      <c r="F237" s="26">
        <v>234</v>
      </c>
      <c r="G237" s="27">
        <f>Tableau!$G$26*COS(F237*PI()/180)+Tableau!$G$25</f>
        <v>-22057.248383023656</v>
      </c>
      <c r="H237" s="27">
        <f>Tableau!$G$26*SIN(F237*PI()/180)+Tableau!$H$25</f>
        <v>7168.4405196876842</v>
      </c>
      <c r="J237" s="34">
        <v>234</v>
      </c>
      <c r="K237" s="35">
        <f>Tableau!$G$36*COS(J237*PI()/180)+Tableau!$G$35</f>
        <v>-7938.9262614623658</v>
      </c>
      <c r="L237" s="35">
        <f>Tableau!$G$36*SIN(J237*PI()/180)+Tableau!$H$35</f>
        <v>-19045.084971874738</v>
      </c>
      <c r="N237" s="98">
        <v>233</v>
      </c>
      <c r="O237" s="99">
        <v>116.5</v>
      </c>
      <c r="P237" s="101">
        <f>P236+R236*Tableau!$G$2+((1/2)*T236)*Tableau!$G$2^2</f>
        <v>56766.692694341989</v>
      </c>
      <c r="Q237" s="101">
        <f>Q236+S236*Tableau!$G$2+((1/2)*U236)*Tableau!$G$2^2</f>
        <v>-48313.627501893643</v>
      </c>
      <c r="R237" s="101">
        <f>R236+T236*Tableau!$G$2</f>
        <v>1309.8652845794284</v>
      </c>
      <c r="S237" s="101">
        <f>S236+U236*Tableau!$G$2</f>
        <v>-923.56335188099933</v>
      </c>
      <c r="T237" s="101">
        <f t="shared" si="6"/>
        <v>-168.43718113518878</v>
      </c>
      <c r="U237" s="101">
        <f t="shared" si="7"/>
        <v>155.25597374248267</v>
      </c>
      <c r="V237" s="101">
        <f>((Tableau!$G$16-P237)/(AC237^2+Tableau!$G$21^2)^(3/2))*Tableau!$G$20</f>
        <v>-62.375451372759017</v>
      </c>
      <c r="W237" s="101">
        <f>((Tableau!$H$16-Q237)/(AC237^2+Tableau!$G$21^2)^(3/2))*Tableau!$G$20</f>
        <v>94.688968548900888</v>
      </c>
      <c r="X237" s="101">
        <f>((Tableau!$G$25-P237)/(AD237^2+Tableau!$G$30^2)^(3/2))*Tableau!$G$29</f>
        <v>-15.267349346247173</v>
      </c>
      <c r="Y237" s="101">
        <f>((Tableau!$H$25-Q237)/(AD237^2+Tableau!$G$30^2)^(3/2))*Tableau!$G$29</f>
        <v>11.597406263979314</v>
      </c>
      <c r="Z237" s="101">
        <f>((Tableau!$G$35-P237)/(AE237^2+Tableau!$G$40^2)^(3/2))*Tableau!$G$39</f>
        <v>-90.794380416182591</v>
      </c>
      <c r="AA237" s="102">
        <f>((Tableau!$H$35-Q237)/(AE237^2+Tableau!$G$40^2)^(3/2))*Tableau!$G$39</f>
        <v>48.969598929602476</v>
      </c>
      <c r="AC237" s="113">
        <f>SQRT((Tableau!$G$16-P237)^2+(Tableau!$H$16-Q237)^2)</f>
        <v>66835.250479072187</v>
      </c>
      <c r="AD237" s="114">
        <f>SQRT((Tableau!$G$25-P237)^2+(Tableau!$H$25-Q237)^2)</f>
        <v>96403.341537817803</v>
      </c>
      <c r="AE237" s="115">
        <f>SQRT((Tableau!$G$35-P237)^2+(Tableau!$H$35-Q237)^2)</f>
        <v>70177.789247967943</v>
      </c>
    </row>
    <row r="238" spans="2:31" x14ac:dyDescent="0.25">
      <c r="B238" s="20">
        <v>235</v>
      </c>
      <c r="C238" s="21">
        <f>Tableau!$G$17*COS(B238*PI()/180)+Tableau!$G$16</f>
        <v>17132.117818244769</v>
      </c>
      <c r="D238" s="21">
        <f>Tableau!$G$17*SIN(B238*PI()/180)+Tableau!$H$16</f>
        <v>3404.239778555042</v>
      </c>
      <c r="F238" s="28">
        <v>235</v>
      </c>
      <c r="G238" s="29">
        <f>Tableau!$G$26*COS(F238*PI()/180)+Tableau!$G$25</f>
        <v>-22007.517527228661</v>
      </c>
      <c r="H238" s="29">
        <f>Tableau!$G$26*SIN(F238*PI()/180)+Tableau!$H$25</f>
        <v>7132.9678449885296</v>
      </c>
      <c r="J238" s="36">
        <v>235</v>
      </c>
      <c r="K238" s="37">
        <f>Tableau!$G$36*COS(J238*PI()/180)+Tableau!$G$35</f>
        <v>-7867.8821817552325</v>
      </c>
      <c r="L238" s="37">
        <f>Tableau!$G$36*SIN(J238*PI()/180)+Tableau!$H$35</f>
        <v>-19095.760221444958</v>
      </c>
      <c r="N238" s="92">
        <v>234</v>
      </c>
      <c r="O238" s="93">
        <v>117</v>
      </c>
      <c r="P238" s="96">
        <f>P237+R237*Tableau!$G$2+((1/2)*T237)*Tableau!$G$2^2</f>
        <v>57400.570688989807</v>
      </c>
      <c r="Q238" s="96">
        <f>Q237+S237*Tableau!$G$2+((1/2)*U237)*Tableau!$G$2^2</f>
        <v>-48756.002181116339</v>
      </c>
      <c r="R238" s="96">
        <f>R237+T237*Tableau!$G$2</f>
        <v>1225.6466940118339</v>
      </c>
      <c r="S238" s="96">
        <f>S237+U237*Tableau!$G$2</f>
        <v>-845.93536500975802</v>
      </c>
      <c r="T238" s="96">
        <f t="shared" si="6"/>
        <v>-165.35766220875362</v>
      </c>
      <c r="U238" s="96">
        <f t="shared" si="7"/>
        <v>151.95698745749854</v>
      </c>
      <c r="V238" s="96">
        <f>((Tableau!$G$16-P238)/(AC238^2+Tableau!$G$21^2)^(3/2))*Tableau!$G$20</f>
        <v>-61.4898206944248</v>
      </c>
      <c r="W238" s="96">
        <f>((Tableau!$H$16-Q238)/(AC238^2+Tableau!$G$21^2)^(3/2))*Tableau!$G$20</f>
        <v>92.48980492483085</v>
      </c>
      <c r="X238" s="96">
        <f>((Tableau!$G$25-P238)/(AD238^2+Tableau!$G$30^2)^(3/2))*Tableau!$G$29</f>
        <v>-15.031154558596041</v>
      </c>
      <c r="Y238" s="96">
        <f>((Tableau!$H$25-Q238)/(AD238^2+Tableau!$G$30^2)^(3/2))*Tableau!$G$29</f>
        <v>11.410388091042803</v>
      </c>
      <c r="Z238" s="96">
        <f>((Tableau!$G$35-P238)/(AE238^2+Tableau!$G$40^2)^(3/2))*Tableau!$G$39</f>
        <v>-88.836686955732787</v>
      </c>
      <c r="AA238" s="97">
        <f>((Tableau!$H$35-Q238)/(AE238^2+Tableau!$G$40^2)^(3/2))*Tableau!$G$39</f>
        <v>48.056794441624874</v>
      </c>
      <c r="AC238" s="110">
        <f>SQRT((Tableau!$G$16-P238)^2+(Tableau!$H$16-Q238)^2)</f>
        <v>67553.981890513969</v>
      </c>
      <c r="AD238" s="111">
        <f>SQRT((Tableau!$G$25-P238)^2+(Tableau!$H$25-Q238)^2)</f>
        <v>97175.697246218173</v>
      </c>
      <c r="AE238" s="112">
        <f>SQRT((Tableau!$G$35-P238)^2+(Tableau!$H$35-Q238)^2)</f>
        <v>70945.746211898746</v>
      </c>
    </row>
    <row r="239" spans="2:31" x14ac:dyDescent="0.25">
      <c r="B239" s="18">
        <v>236</v>
      </c>
      <c r="C239" s="19">
        <f>Tableau!$G$17*COS(B239*PI()/180)+Tableau!$G$16</f>
        <v>17204.035482646264</v>
      </c>
      <c r="D239" s="19">
        <f>Tableau!$G$17*SIN(B239*PI()/180)+Tableau!$H$16</f>
        <v>3354.8121372247933</v>
      </c>
      <c r="F239" s="26">
        <v>236</v>
      </c>
      <c r="G239" s="27">
        <f>Tableau!$G$26*COS(F239*PI()/180)+Tableau!$G$25</f>
        <v>-21957.175162147614</v>
      </c>
      <c r="H239" s="27">
        <f>Tableau!$G$26*SIN(F239*PI()/180)+Tableau!$H$25</f>
        <v>7098.3684960573555</v>
      </c>
      <c r="J239" s="34">
        <v>236</v>
      </c>
      <c r="K239" s="35">
        <f>Tableau!$G$36*COS(J239*PI()/180)+Tableau!$G$35</f>
        <v>-7795.9645173537356</v>
      </c>
      <c r="L239" s="35">
        <f>Tableau!$G$36*SIN(J239*PI()/180)+Tableau!$H$35</f>
        <v>-19145.187862775208</v>
      </c>
      <c r="N239" s="98">
        <v>235</v>
      </c>
      <c r="O239" s="99">
        <v>117.5</v>
      </c>
      <c r="P239" s="101">
        <f>P238+R238*Tableau!$G$2+((1/2)*T238)*Tableau!$G$2^2</f>
        <v>57992.724328219636</v>
      </c>
      <c r="Q239" s="101">
        <f>Q238+S238*Tableau!$G$2+((1/2)*U238)*Tableau!$G$2^2</f>
        <v>-49159.975240189029</v>
      </c>
      <c r="R239" s="101">
        <f>R238+T238*Tableau!$G$2</f>
        <v>1142.9678629074572</v>
      </c>
      <c r="S239" s="101">
        <f>S238+U238*Tableau!$G$2</f>
        <v>-769.95687128100872</v>
      </c>
      <c r="T239" s="101">
        <f t="shared" si="6"/>
        <v>-162.59024474570668</v>
      </c>
      <c r="U239" s="101">
        <f t="shared" si="7"/>
        <v>148.9752645280744</v>
      </c>
      <c r="V239" s="101">
        <f>((Tableau!$G$16-P239)/(AC239^2+Tableau!$G$21^2)^(3/2))*Tableau!$G$20</f>
        <v>-60.692875443267759</v>
      </c>
      <c r="W239" s="101">
        <f>((Tableau!$H$16-Q239)/(AC239^2+Tableau!$G$21^2)^(3/2))*Tableau!$G$20</f>
        <v>90.51356228532336</v>
      </c>
      <c r="X239" s="101">
        <f>((Tableau!$G$25-P239)/(AD239^2+Tableau!$G$30^2)^(3/2))*Tableau!$G$29</f>
        <v>-14.81794001361598</v>
      </c>
      <c r="Y239" s="101">
        <f>((Tableau!$H$25-Q239)/(AD239^2+Tableau!$G$30^2)^(3/2))*Tableau!$G$29</f>
        <v>11.239881307735551</v>
      </c>
      <c r="Z239" s="101">
        <f>((Tableau!$G$35-P239)/(AE239^2+Tableau!$G$40^2)^(3/2))*Tableau!$G$39</f>
        <v>-87.079429288822951</v>
      </c>
      <c r="AA239" s="102">
        <f>((Tableau!$H$35-Q239)/(AE239^2+Tableau!$G$40^2)^(3/2))*Tableau!$G$39</f>
        <v>47.221820935015508</v>
      </c>
      <c r="AC239" s="113">
        <f>SQRT((Tableau!$G$16-P239)^2+(Tableau!$H$16-Q239)^2)</f>
        <v>68218.764985148533</v>
      </c>
      <c r="AD239" s="114">
        <f>SQRT((Tableau!$G$25-P239)^2+(Tableau!$H$25-Q239)^2)</f>
        <v>97891.612094997399</v>
      </c>
      <c r="AE239" s="115">
        <f>SQRT((Tableau!$G$35-P239)^2+(Tableau!$H$35-Q239)^2)</f>
        <v>71658.825183653418</v>
      </c>
    </row>
    <row r="240" spans="2:31" x14ac:dyDescent="0.25">
      <c r="B240" s="20">
        <v>237</v>
      </c>
      <c r="C240" s="21">
        <f>Tableau!$G$17*COS(B240*PI()/180)+Tableau!$G$16</f>
        <v>17276.804824924864</v>
      </c>
      <c r="D240" s="21">
        <f>Tableau!$G$17*SIN(B240*PI()/180)+Tableau!$H$16</f>
        <v>3306.6471602728798</v>
      </c>
      <c r="F240" s="28">
        <v>237</v>
      </c>
      <c r="G240" s="29">
        <f>Tableau!$G$26*COS(F240*PI()/180)+Tableau!$G$25</f>
        <v>-21906.236622552595</v>
      </c>
      <c r="H240" s="29">
        <f>Tableau!$G$26*SIN(F240*PI()/180)+Tableau!$H$25</f>
        <v>7064.6530121910164</v>
      </c>
      <c r="J240" s="36">
        <v>237</v>
      </c>
      <c r="K240" s="37">
        <f>Tableau!$G$36*COS(J240*PI()/180)+Tableau!$G$35</f>
        <v>-7723.195175075135</v>
      </c>
      <c r="L240" s="37">
        <f>Tableau!$G$36*SIN(J240*PI()/180)+Tableau!$H$35</f>
        <v>-19193.352839727122</v>
      </c>
      <c r="N240" s="92">
        <v>236</v>
      </c>
      <c r="O240" s="93">
        <v>118</v>
      </c>
      <c r="P240" s="96">
        <f>P239+R239*Tableau!$G$2+((1/2)*T239)*Tableau!$G$2^2</f>
        <v>58543.884479080152</v>
      </c>
      <c r="Q240" s="96">
        <f>Q239+S239*Tableau!$G$2+((1/2)*U239)*Tableau!$G$2^2</f>
        <v>-49526.331767763528</v>
      </c>
      <c r="R240" s="96">
        <f>R239+T239*Tableau!$G$2</f>
        <v>1061.6727405346039</v>
      </c>
      <c r="S240" s="96">
        <f>S239+U239*Tableau!$G$2</f>
        <v>-695.46923901697153</v>
      </c>
      <c r="T240" s="96">
        <f t="shared" si="6"/>
        <v>-160.11147164394623</v>
      </c>
      <c r="U240" s="96">
        <f t="shared" si="7"/>
        <v>146.28495277477072</v>
      </c>
      <c r="V240" s="96">
        <f>((Tableau!$G$16-P240)/(AC240^2+Tableau!$G$21^2)^(3/2))*Tableau!$G$20</f>
        <v>-59.979750188827019</v>
      </c>
      <c r="W240" s="96">
        <f>((Tableau!$H$16-Q240)/(AC240^2+Tableau!$G$21^2)^(3/2))*Tableau!$G$20</f>
        <v>88.741059180791083</v>
      </c>
      <c r="X240" s="96">
        <f>((Tableau!$G$25-P240)/(AD240^2+Tableau!$G$30^2)^(3/2))*Tableau!$G$29</f>
        <v>-14.626100315793135</v>
      </c>
      <c r="Y240" s="96">
        <f>((Tableau!$H$25-Q240)/(AD240^2+Tableau!$G$30^2)^(3/2))*Tableau!$G$29</f>
        <v>11.084734421282461</v>
      </c>
      <c r="Z240" s="96">
        <f>((Tableau!$G$35-P240)/(AE240^2+Tableau!$G$40^2)^(3/2))*Tableau!$G$39</f>
        <v>-85.505621139326081</v>
      </c>
      <c r="AA240" s="97">
        <f>((Tableau!$H$35-Q240)/(AE240^2+Tableau!$G$40^2)^(3/2))*Tableau!$G$39</f>
        <v>46.459159172697177</v>
      </c>
      <c r="AC240" s="110">
        <f>SQRT((Tableau!$G$16-P240)^2+(Tableau!$H$16-Q240)^2)</f>
        <v>68830.469601940917</v>
      </c>
      <c r="AD240" s="111">
        <f>SQRT((Tableau!$G$25-P240)^2+(Tableau!$H$25-Q240)^2)</f>
        <v>98552.148443293423</v>
      </c>
      <c r="AE240" s="112">
        <f>SQRT((Tableau!$G$35-P240)^2+(Tableau!$H$35-Q240)^2)</f>
        <v>72317.998036646182</v>
      </c>
    </row>
    <row r="241" spans="2:31" x14ac:dyDescent="0.25">
      <c r="B241" s="18">
        <v>238</v>
      </c>
      <c r="C241" s="19">
        <f>Tableau!$G$17*COS(B241*PI()/180)+Tableau!$G$16</f>
        <v>17350.403678833976</v>
      </c>
      <c r="D241" s="19">
        <f>Tableau!$G$17*SIN(B241*PI()/180)+Tableau!$H$16</f>
        <v>3259.7595192178705</v>
      </c>
      <c r="F241" s="26">
        <v>238</v>
      </c>
      <c r="G241" s="27">
        <f>Tableau!$G$26*COS(F241*PI()/180)+Tableau!$G$25</f>
        <v>-21854.717424816219</v>
      </c>
      <c r="H241" s="27">
        <f>Tableau!$G$26*SIN(F241*PI()/180)+Tableau!$H$25</f>
        <v>7031.831663452509</v>
      </c>
      <c r="J241" s="34">
        <v>238</v>
      </c>
      <c r="K241" s="35">
        <f>Tableau!$G$36*COS(J241*PI()/180)+Tableau!$G$35</f>
        <v>-7649.5963211660255</v>
      </c>
      <c r="L241" s="35">
        <f>Tableau!$G$36*SIN(J241*PI()/180)+Tableau!$H$35</f>
        <v>-19240.240480782129</v>
      </c>
      <c r="N241" s="98">
        <v>237</v>
      </c>
      <c r="O241" s="99">
        <v>118.5</v>
      </c>
      <c r="P241" s="101">
        <f>P240+R240*Tableau!$G$2+((1/2)*T240)*Tableau!$G$2^2</f>
        <v>59054.706915391958</v>
      </c>
      <c r="Q241" s="101">
        <f>Q240+S240*Tableau!$G$2+((1/2)*U240)*Tableau!$G$2^2</f>
        <v>-49855.780768175166</v>
      </c>
      <c r="R241" s="101">
        <f>R240+T240*Tableau!$G$2</f>
        <v>981.61700471263077</v>
      </c>
      <c r="S241" s="101">
        <f>S240+U240*Tableau!$G$2</f>
        <v>-622.32676262958614</v>
      </c>
      <c r="T241" s="101">
        <f t="shared" si="6"/>
        <v>-157.90107100664889</v>
      </c>
      <c r="U241" s="101">
        <f t="shared" si="7"/>
        <v>143.86368412355441</v>
      </c>
      <c r="V241" s="101">
        <f>((Tableau!$G$16-P241)/(AC241^2+Tableau!$G$21^2)^(3/2))*Tableau!$G$20</f>
        <v>-59.346155618384813</v>
      </c>
      <c r="W241" s="101">
        <f>((Tableau!$H$16-Q241)/(AC241^2+Tableau!$G$21^2)^(3/2))*Tableau!$G$20</f>
        <v>87.155822176726844</v>
      </c>
      <c r="X241" s="101">
        <f>((Tableau!$G$25-P241)/(AD241^2+Tableau!$G$30^2)^(3/2))*Tableau!$G$29</f>
        <v>-14.454241774525713</v>
      </c>
      <c r="Y241" s="101">
        <f>((Tableau!$H$25-Q241)/(AD241^2+Tableau!$G$30^2)^(3/2))*Tableau!$G$29</f>
        <v>10.943939463998715</v>
      </c>
      <c r="Z241" s="101">
        <f>((Tableau!$G$35-P241)/(AE241^2+Tableau!$G$40^2)^(3/2))*Tableau!$G$39</f>
        <v>-84.100673613738365</v>
      </c>
      <c r="AA241" s="102">
        <f>((Tableau!$H$35-Q241)/(AE241^2+Tableau!$G$40^2)^(3/2))*Tableau!$G$39</f>
        <v>45.763922482828846</v>
      </c>
      <c r="AC241" s="113">
        <f>SQRT((Tableau!$G$16-P241)^2+(Tableau!$H$16-Q241)^2)</f>
        <v>69389.881969737748</v>
      </c>
      <c r="AD241" s="114">
        <f>SQRT((Tableau!$G$25-P241)^2+(Tableau!$H$25-Q241)^2)</f>
        <v>99158.263280708823</v>
      </c>
      <c r="AE241" s="115">
        <f>SQRT((Tableau!$G$35-P241)^2+(Tableau!$H$35-Q241)^2)</f>
        <v>72924.14504795961</v>
      </c>
    </row>
    <row r="242" spans="2:31" x14ac:dyDescent="0.25">
      <c r="B242" s="20">
        <v>239</v>
      </c>
      <c r="C242" s="21">
        <f>Tableau!$G$17*COS(B242*PI()/180)+Tableau!$G$16</f>
        <v>17424.809625449729</v>
      </c>
      <c r="D242" s="21">
        <f>Tableau!$G$17*SIN(B242*PI()/180)+Tableau!$H$16</f>
        <v>3214.1634964894392</v>
      </c>
      <c r="F242" s="28">
        <v>239</v>
      </c>
      <c r="G242" s="29">
        <f>Tableau!$G$26*COS(F242*PI()/180)+Tableau!$G$25</f>
        <v>-21802.633262185191</v>
      </c>
      <c r="H242" s="29">
        <f>Tableau!$G$26*SIN(F242*PI()/180)+Tableau!$H$25</f>
        <v>6999.9144475426074</v>
      </c>
      <c r="J242" s="36">
        <v>239</v>
      </c>
      <c r="K242" s="37">
        <f>Tableau!$G$36*COS(J242*PI()/180)+Tableau!$G$35</f>
        <v>-7575.1903745502723</v>
      </c>
      <c r="L242" s="37">
        <f>Tableau!$G$36*SIN(J242*PI()/180)+Tableau!$H$35</f>
        <v>-19285.83650351056</v>
      </c>
      <c r="N242" s="92">
        <v>238</v>
      </c>
      <c r="O242" s="93">
        <v>119</v>
      </c>
      <c r="P242" s="96">
        <f>P241+R241*Tableau!$G$2+((1/2)*T241)*Tableau!$G$2^2</f>
        <v>59525.777783872443</v>
      </c>
      <c r="Q242" s="96">
        <f>Q241+S241*Tableau!$G$2+((1/2)*U241)*Tableau!$G$2^2</f>
        <v>-50148.961188974514</v>
      </c>
      <c r="R242" s="96">
        <f>R241+T241*Tableau!$G$2</f>
        <v>902.66646920930634</v>
      </c>
      <c r="S242" s="96">
        <f>S241+U241*Tableau!$G$2</f>
        <v>-550.39492056780898</v>
      </c>
      <c r="T242" s="96">
        <f t="shared" si="6"/>
        <v>-155.94154361729917</v>
      </c>
      <c r="U242" s="96">
        <f t="shared" si="7"/>
        <v>141.6921005605698</v>
      </c>
      <c r="V242" s="96">
        <f>((Tableau!$G$16-P242)/(AC242^2+Tableau!$G$21^2)^(3/2))*Tableau!$G$20</f>
        <v>-58.788335133111779</v>
      </c>
      <c r="W242" s="96">
        <f>((Tableau!$H$16-Q242)/(AC242^2+Tableau!$G$21^2)^(3/2))*Tableau!$G$20</f>
        <v>85.743700452518965</v>
      </c>
      <c r="X242" s="96">
        <f>((Tableau!$G$25-P242)/(AD242^2+Tableau!$G$30^2)^(3/2))*Tableau!$G$29</f>
        <v>-14.301155641498966</v>
      </c>
      <c r="Y242" s="96">
        <f>((Tableau!$H$25-Q242)/(AD242^2+Tableau!$G$30^2)^(3/2))*Tableau!$G$29</f>
        <v>10.816614179816934</v>
      </c>
      <c r="Z242" s="96">
        <f>((Tableau!$G$35-P242)/(AE242^2+Tableau!$G$40^2)^(3/2))*Tableau!$G$39</f>
        <v>-82.852052842688437</v>
      </c>
      <c r="AA242" s="97">
        <f>((Tableau!$H$35-Q242)/(AE242^2+Tableau!$G$40^2)^(3/2))*Tableau!$G$39</f>
        <v>45.131785928233889</v>
      </c>
      <c r="AC242" s="110">
        <f>SQRT((Tableau!$G$16-P242)^2+(Tableau!$H$16-Q242)^2)</f>
        <v>69897.70980216701</v>
      </c>
      <c r="AD242" s="111">
        <f>SQRT((Tableau!$G$25-P242)^2+(Tableau!$H$25-Q242)^2)</f>
        <v>99710.816184818294</v>
      </c>
      <c r="AE242" s="112">
        <f>SQRT((Tableau!$G$35-P242)^2+(Tableau!$H$35-Q242)^2)</f>
        <v>73478.061156223514</v>
      </c>
    </row>
    <row r="243" spans="2:31" x14ac:dyDescent="0.25">
      <c r="B243" s="18">
        <v>240</v>
      </c>
      <c r="C243" s="19">
        <f>Tableau!$G$17*COS(B243*PI()/180)+Tableau!$G$16</f>
        <v>17499.999999999996</v>
      </c>
      <c r="D243" s="19">
        <f>Tableau!$G$17*SIN(B243*PI()/180)+Tableau!$H$16</f>
        <v>3169.8729810778077</v>
      </c>
      <c r="F243" s="26">
        <v>240</v>
      </c>
      <c r="G243" s="27">
        <f>Tableau!$G$26*COS(F243*PI()/180)+Tableau!$G$25</f>
        <v>-21750</v>
      </c>
      <c r="H243" s="27">
        <f>Tableau!$G$26*SIN(F243*PI()/180)+Tableau!$H$25</f>
        <v>6968.9110867544659</v>
      </c>
      <c r="J243" s="34">
        <v>240</v>
      </c>
      <c r="K243" s="35">
        <f>Tableau!$G$36*COS(J243*PI()/180)+Tableau!$G$35</f>
        <v>-7500.0000000000018</v>
      </c>
      <c r="L243" s="35">
        <f>Tableau!$G$36*SIN(J243*PI()/180)+Tableau!$H$35</f>
        <v>-19330.12701892219</v>
      </c>
      <c r="N243" s="98">
        <v>239</v>
      </c>
      <c r="O243" s="99">
        <v>119.5</v>
      </c>
      <c r="P243" s="101">
        <f>P242+R242*Tableau!$G$2+((1/2)*T242)*Tableau!$G$2^2</f>
        <v>59957.618325524934</v>
      </c>
      <c r="Q243" s="101">
        <f>Q242+S242*Tableau!$G$2+((1/2)*U242)*Tableau!$G$2^2</f>
        <v>-50406.447136688344</v>
      </c>
      <c r="R243" s="101">
        <f>R242+T242*Tableau!$G$2</f>
        <v>824.69569740065674</v>
      </c>
      <c r="S243" s="101">
        <f>S242+U242*Tableau!$G$2</f>
        <v>-479.5488702875241</v>
      </c>
      <c r="T243" s="101">
        <f t="shared" si="6"/>
        <v>-154.21782123764643</v>
      </c>
      <c r="U243" s="101">
        <f t="shared" si="7"/>
        <v>139.75346217722586</v>
      </c>
      <c r="V243" s="101">
        <f>((Tableau!$G$16-P243)/(AC243^2+Tableau!$G$21^2)^(3/2))*Tableau!$G$20</f>
        <v>-58.303025604754438</v>
      </c>
      <c r="W243" s="101">
        <f>((Tableau!$H$16-Q243)/(AC243^2+Tableau!$G$21^2)^(3/2))*Tableau!$G$20</f>
        <v>84.492550146164064</v>
      </c>
      <c r="X243" s="101">
        <f>((Tableau!$G$25-P243)/(AD243^2+Tableau!$G$30^2)^(3/2))*Tableau!$G$29</f>
        <v>-14.165795905760934</v>
      </c>
      <c r="Y243" s="101">
        <f>((Tableau!$H$25-Q243)/(AD243^2+Tableau!$G$30^2)^(3/2))*Tableau!$G$29</f>
        <v>10.701987120810681</v>
      </c>
      <c r="Z243" s="101">
        <f>((Tableau!$G$35-P243)/(AE243^2+Tableau!$G$40^2)^(3/2))*Tableau!$G$39</f>
        <v>-81.748999727131064</v>
      </c>
      <c r="AA243" s="102">
        <f>((Tableau!$H$35-Q243)/(AE243^2+Tableau!$G$40^2)^(3/2))*Tableau!$G$39</f>
        <v>44.558924910251093</v>
      </c>
      <c r="AC243" s="113">
        <f>SQRT((Tableau!$G$16-P243)^2+(Tableau!$H$16-Q243)^2)</f>
        <v>70354.586788939414</v>
      </c>
      <c r="AD243" s="114">
        <f>SQRT((Tableau!$G$25-P243)^2+(Tableau!$H$25-Q243)^2)</f>
        <v>100210.57620814204</v>
      </c>
      <c r="AE243" s="115">
        <f>SQRT((Tableau!$G$35-P243)^2+(Tableau!$H$35-Q243)^2)</f>
        <v>73980.46145684467</v>
      </c>
    </row>
    <row r="244" spans="2:31" x14ac:dyDescent="0.25">
      <c r="B244" s="20">
        <v>241</v>
      </c>
      <c r="C244" s="21">
        <f>Tableau!$G$17*COS(B244*PI()/180)+Tableau!$G$16</f>
        <v>17575.951898768315</v>
      </c>
      <c r="D244" s="21">
        <f>Tableau!$G$17*SIN(B244*PI()/180)+Tableau!$H$16</f>
        <v>3126.9014643030205</v>
      </c>
      <c r="F244" s="28">
        <v>241</v>
      </c>
      <c r="G244" s="29">
        <f>Tableau!$G$26*COS(F244*PI()/180)+Tableau!$G$25</f>
        <v>-21696.833670862179</v>
      </c>
      <c r="H244" s="29">
        <f>Tableau!$G$26*SIN(F244*PI()/180)+Tableau!$H$25</f>
        <v>6938.831025012114</v>
      </c>
      <c r="J244" s="36">
        <v>241</v>
      </c>
      <c r="K244" s="37">
        <f>Tableau!$G$36*COS(J244*PI()/180)+Tableau!$G$35</f>
        <v>-7424.0481012316841</v>
      </c>
      <c r="L244" s="37">
        <f>Tableau!$G$36*SIN(J244*PI()/180)+Tableau!$H$35</f>
        <v>-19373.09853569698</v>
      </c>
      <c r="N244" s="92">
        <v>240</v>
      </c>
      <c r="O244" s="93">
        <v>120</v>
      </c>
      <c r="P244" s="96">
        <f>P243+R243*Tableau!$G$2+((1/2)*T243)*Tableau!$G$2^2</f>
        <v>60350.688946570561</v>
      </c>
      <c r="Q244" s="96">
        <f>Q243+S243*Tableau!$G$2+((1/2)*U243)*Tableau!$G$2^2</f>
        <v>-50628.752389059955</v>
      </c>
      <c r="R244" s="96">
        <f>R243+T243*Tableau!$G$2</f>
        <v>747.58678678183355</v>
      </c>
      <c r="S244" s="96">
        <f>S243+U243*Tableau!$G$2</f>
        <v>-409.67213919891117</v>
      </c>
      <c r="T244" s="96">
        <f t="shared" si="6"/>
        <v>-152.71698340091339</v>
      </c>
      <c r="U244" s="96">
        <f t="shared" si="7"/>
        <v>138.03332248432056</v>
      </c>
      <c r="V244" s="96">
        <f>((Tableau!$G$16-P244)/(AC244^2+Tableau!$G$21^2)^(3/2))*Tableau!$G$20</f>
        <v>-57.887422611005341</v>
      </c>
      <c r="W244" s="96">
        <f>((Tableau!$H$16-Q244)/(AC244^2+Tableau!$G$21^2)^(3/2))*Tableau!$G$20</f>
        <v>83.391975285764929</v>
      </c>
      <c r="X244" s="96">
        <f>((Tableau!$G$25-P244)/(AD244^2+Tableau!$G$30^2)^(3/2))*Tableau!$G$29</f>
        <v>-14.047260847126024</v>
      </c>
      <c r="Y244" s="96">
        <f>((Tableau!$H$25-Q244)/(AD244^2+Tableau!$G$30^2)^(3/2))*Tableau!$G$29</f>
        <v>10.599385155381301</v>
      </c>
      <c r="Z244" s="96">
        <f>((Tableau!$G$35-P244)/(AE244^2+Tableau!$G$40^2)^(3/2))*Tableau!$G$39</f>
        <v>-80.782299942782032</v>
      </c>
      <c r="AA244" s="97">
        <f>((Tableau!$H$35-Q244)/(AE244^2+Tableau!$G$40^2)^(3/2))*Tableau!$G$39</f>
        <v>44.041962043174337</v>
      </c>
      <c r="AC244" s="110">
        <f>SQRT((Tableau!$G$16-P244)^2+(Tableau!$H$16-Q244)^2)</f>
        <v>70761.076537680899</v>
      </c>
      <c r="AD244" s="111">
        <f>SQRT((Tableau!$G$25-P244)^2+(Tableau!$H$25-Q244)^2)</f>
        <v>100658.22783281295</v>
      </c>
      <c r="AE244" s="112">
        <f>SQRT((Tableau!$G$35-P244)^2+(Tableau!$H$35-Q244)^2)</f>
        <v>74431.986018057883</v>
      </c>
    </row>
    <row r="245" spans="2:31" x14ac:dyDescent="0.25">
      <c r="B245" s="18">
        <v>242</v>
      </c>
      <c r="C245" s="19">
        <f>Tableau!$G$17*COS(B245*PI()/180)+Tableau!$G$16</f>
        <v>17652.642186070545</v>
      </c>
      <c r="D245" s="19">
        <f>Tableau!$G$17*SIN(B245*PI()/180)+Tableau!$H$16</f>
        <v>3085.2620357053647</v>
      </c>
      <c r="F245" s="26">
        <v>242</v>
      </c>
      <c r="G245" s="27">
        <f>Tableau!$G$26*COS(F245*PI()/180)+Tableau!$G$25</f>
        <v>-21643.150469750617</v>
      </c>
      <c r="H245" s="27">
        <f>Tableau!$G$26*SIN(F245*PI()/180)+Tableau!$H$25</f>
        <v>6909.6834249937556</v>
      </c>
      <c r="J245" s="34">
        <v>242</v>
      </c>
      <c r="K245" s="35">
        <f>Tableau!$G$36*COS(J245*PI()/180)+Tableau!$G$35</f>
        <v>-7347.3578139294532</v>
      </c>
      <c r="L245" s="35">
        <f>Tableau!$G$36*SIN(J245*PI()/180)+Tableau!$H$35</f>
        <v>-19414.737964294636</v>
      </c>
      <c r="N245" s="98">
        <v>241</v>
      </c>
      <c r="O245" s="99">
        <v>120.5</v>
      </c>
      <c r="P245" s="101">
        <f>P244+R244*Tableau!$G$2+((1/2)*T244)*Tableau!$G$2^2</f>
        <v>60705.39271703636</v>
      </c>
      <c r="Q245" s="101">
        <f>Q244+S244*Tableau!$G$2+((1/2)*U244)*Tableau!$G$2^2</f>
        <v>-50816.334293348868</v>
      </c>
      <c r="R245" s="101">
        <f>R244+T244*Tableau!$G$2</f>
        <v>671.22829508137681</v>
      </c>
      <c r="S245" s="101">
        <f>S244+U244*Tableau!$G$2</f>
        <v>-340.65547795675087</v>
      </c>
      <c r="T245" s="101">
        <f t="shared" si="6"/>
        <v>-151.42802289996206</v>
      </c>
      <c r="U245" s="101">
        <f t="shared" si="7"/>
        <v>136.51925926066869</v>
      </c>
      <c r="V245" s="101">
        <f>((Tableau!$G$16-P245)/(AC245^2+Tableau!$G$21^2)^(3/2))*Tableau!$G$20</f>
        <v>-57.539150228288079</v>
      </c>
      <c r="W245" s="101">
        <f>((Tableau!$H$16-Q245)/(AC245^2+Tableau!$G$21^2)^(3/2))*Tableau!$G$20</f>
        <v>82.433115017306008</v>
      </c>
      <c r="X245" s="101">
        <f>((Tableau!$G$25-P245)/(AD245^2+Tableau!$G$30^2)^(3/2))*Tableau!$G$29</f>
        <v>-13.944777715020896</v>
      </c>
      <c r="Y245" s="101">
        <f>((Tableau!$H$25-Q245)/(AD245^2+Tableau!$G$30^2)^(3/2))*Tableau!$G$29</f>
        <v>10.508222989962981</v>
      </c>
      <c r="Z245" s="101">
        <f>((Tableau!$G$35-P245)/(AE245^2+Tableau!$G$40^2)^(3/2))*Tableau!$G$39</f>
        <v>-79.944094956653103</v>
      </c>
      <c r="AA245" s="102">
        <f>((Tableau!$H$35-Q245)/(AE245^2+Tableau!$G$40^2)^(3/2))*Tableau!$G$39</f>
        <v>43.577921253399701</v>
      </c>
      <c r="AC245" s="113">
        <f>SQRT((Tableau!$G$16-P245)^2+(Tableau!$H$16-Q245)^2)</f>
        <v>71117.67601420742</v>
      </c>
      <c r="AD245" s="114">
        <f>SQRT((Tableau!$G$25-P245)^2+(Tableau!$H$25-Q245)^2)</f>
        <v>101054.37610757601</v>
      </c>
      <c r="AE245" s="115">
        <f>SQRT((Tableau!$G$35-P245)^2+(Tableau!$H$35-Q245)^2)</f>
        <v>74833.204089581064</v>
      </c>
    </row>
    <row r="246" spans="2:31" x14ac:dyDescent="0.25">
      <c r="B246" s="20">
        <v>243</v>
      </c>
      <c r="C246" s="21">
        <f>Tableau!$G$17*COS(B246*PI()/180)+Tableau!$G$16</f>
        <v>17730.047501302266</v>
      </c>
      <c r="D246" s="21">
        <f>Tableau!$G$17*SIN(B246*PI()/180)+Tableau!$H$16</f>
        <v>3044.967379058161</v>
      </c>
      <c r="F246" s="28">
        <v>243</v>
      </c>
      <c r="G246" s="29">
        <f>Tableau!$G$26*COS(F246*PI()/180)+Tableau!$G$25</f>
        <v>-21588.966749088413</v>
      </c>
      <c r="H246" s="29">
        <f>Tableau!$G$26*SIN(F246*PI()/180)+Tableau!$H$25</f>
        <v>6881.4771653407133</v>
      </c>
      <c r="J246" s="36">
        <v>243</v>
      </c>
      <c r="K246" s="37">
        <f>Tableau!$G$36*COS(J246*PI()/180)+Tableau!$G$35</f>
        <v>-7269.952498697734</v>
      </c>
      <c r="L246" s="37">
        <f>Tableau!$G$36*SIN(J246*PI()/180)+Tableau!$H$35</f>
        <v>-19455.032620941838</v>
      </c>
      <c r="N246" s="92">
        <v>242</v>
      </c>
      <c r="O246" s="93">
        <v>121</v>
      </c>
      <c r="P246" s="96">
        <f>P245+R245*Tableau!$G$2+((1/2)*T245)*Tableau!$G$2^2</f>
        <v>61022.078361714557</v>
      </c>
      <c r="Q246" s="96">
        <f>Q245+S245*Tableau!$G$2+((1/2)*U245)*Tableau!$G$2^2</f>
        <v>-50969.597124919659</v>
      </c>
      <c r="R246" s="96">
        <f>R245+T245*Tableau!$G$2</f>
        <v>595.51428363139576</v>
      </c>
      <c r="S246" s="96">
        <f>S245+U245*Tableau!$G$2</f>
        <v>-272.39584832641651</v>
      </c>
      <c r="T246" s="96">
        <f t="shared" si="6"/>
        <v>-150.34165216672335</v>
      </c>
      <c r="U246" s="96">
        <f t="shared" si="7"/>
        <v>135.20065161891742</v>
      </c>
      <c r="V246" s="96">
        <f>((Tableau!$G$16-P246)/(AC246^2+Tableau!$G$21^2)^(3/2))*Tableau!$G$20</f>
        <v>-57.256235327929637</v>
      </c>
      <c r="W246" s="96">
        <f>((Tableau!$H$16-Q246)/(AC246^2+Tableau!$G$21^2)^(3/2))*Tableau!$G$20</f>
        <v>81.608469054021754</v>
      </c>
      <c r="X246" s="96">
        <f>((Tableau!$G$25-P246)/(AD246^2+Tableau!$G$30^2)^(3/2))*Tableau!$G$29</f>
        <v>-13.857690030156339</v>
      </c>
      <c r="Y246" s="96">
        <f>((Tableau!$H$25-Q246)/(AD246^2+Tableau!$G$30^2)^(3/2))*Tableau!$G$29</f>
        <v>10.427994385045155</v>
      </c>
      <c r="Z246" s="96">
        <f>((Tableau!$G$35-P246)/(AE246^2+Tableau!$G$40^2)^(3/2))*Tableau!$G$39</f>
        <v>-79.227726808637385</v>
      </c>
      <c r="AA246" s="97">
        <f>((Tableau!$H$35-Q246)/(AE246^2+Tableau!$G$40^2)^(3/2))*Tableau!$G$39</f>
        <v>43.16418817985052</v>
      </c>
      <c r="AC246" s="110">
        <f>SQRT((Tableau!$G$16-P246)^2+(Tableau!$H$16-Q246)^2)</f>
        <v>71424.818523151058</v>
      </c>
      <c r="AD246" s="111">
        <f>SQRT((Tableau!$G$25-P246)^2+(Tableau!$H$25-Q246)^2)</f>
        <v>101399.55106225483</v>
      </c>
      <c r="AE246" s="112">
        <f>SQRT((Tableau!$G$35-P246)^2+(Tableau!$H$35-Q246)^2)</f>
        <v>75184.61776540069</v>
      </c>
    </row>
    <row r="247" spans="2:31" x14ac:dyDescent="0.25">
      <c r="B247" s="18">
        <v>244</v>
      </c>
      <c r="C247" s="19">
        <f>Tableau!$G$17*COS(B247*PI()/180)+Tableau!$G$16</f>
        <v>17808.144266054613</v>
      </c>
      <c r="D247" s="19">
        <f>Tableau!$G$17*SIN(B247*PI()/180)+Tableau!$H$16</f>
        <v>3006.029768504166</v>
      </c>
      <c r="F247" s="26">
        <v>244</v>
      </c>
      <c r="G247" s="27">
        <f>Tableau!$G$26*COS(F247*PI()/180)+Tableau!$G$25</f>
        <v>-21534.299013761771</v>
      </c>
      <c r="H247" s="27">
        <f>Tableau!$G$26*SIN(F247*PI()/180)+Tableau!$H$25</f>
        <v>6854.2208379529166</v>
      </c>
      <c r="J247" s="34">
        <v>244</v>
      </c>
      <c r="K247" s="35">
        <f>Tableau!$G$36*COS(J247*PI()/180)+Tableau!$G$35</f>
        <v>-7191.8557339453891</v>
      </c>
      <c r="L247" s="35">
        <f>Tableau!$G$36*SIN(J247*PI()/180)+Tableau!$H$35</f>
        <v>-19493.970231495834</v>
      </c>
      <c r="N247" s="98">
        <v>243</v>
      </c>
      <c r="O247" s="99">
        <v>121.5</v>
      </c>
      <c r="P247" s="101">
        <f>P246+R246*Tableau!$G$2+((1/2)*T246)*Tableau!$G$2^2</f>
        <v>61301.04279700941</v>
      </c>
      <c r="Q247" s="101">
        <f>Q246+S246*Tableau!$G$2+((1/2)*U246)*Tableau!$G$2^2</f>
        <v>-51088.894967630498</v>
      </c>
      <c r="R247" s="101">
        <f>R246+T246*Tableau!$G$2</f>
        <v>520.34345754803405</v>
      </c>
      <c r="S247" s="101">
        <f>S246+U246*Tableau!$G$2</f>
        <v>-204.79552251695782</v>
      </c>
      <c r="T247" s="101">
        <f t="shared" si="6"/>
        <v>-149.45014432915224</v>
      </c>
      <c r="U247" s="101">
        <f t="shared" si="7"/>
        <v>134.06849587874467</v>
      </c>
      <c r="V247" s="101">
        <f>((Tableau!$G$16-P247)/(AC247^2+Tableau!$G$21^2)^(3/2))*Tableau!$G$20</f>
        <v>-57.037086257955949</v>
      </c>
      <c r="W247" s="101">
        <f>((Tableau!$H$16-Q247)/(AC247^2+Tableau!$G$21^2)^(3/2))*Tableau!$G$20</f>
        <v>80.9117549997802</v>
      </c>
      <c r="X247" s="101">
        <f>((Tableau!$G$25-P247)/(AD247^2+Tableau!$G$30^2)^(3/2))*Tableau!$G$29</f>
        <v>-13.785447109285444</v>
      </c>
      <c r="Y247" s="101">
        <f>((Tableau!$H$25-Q247)/(AD247^2+Tableau!$G$30^2)^(3/2))*Tableau!$G$29</f>
        <v>10.358264809020893</v>
      </c>
      <c r="Z247" s="101">
        <f>((Tableau!$G$35-P247)/(AE247^2+Tableau!$G$40^2)^(3/2))*Tableau!$G$39</f>
        <v>-78.627610961910833</v>
      </c>
      <c r="AA247" s="102">
        <f>((Tableau!$H$35-Q247)/(AE247^2+Tableau!$G$40^2)^(3/2))*Tableau!$G$39</f>
        <v>42.798476069943582</v>
      </c>
      <c r="AC247" s="113">
        <f>SQRT((Tableau!$G$16-P247)^2+(Tableau!$H$16-Q247)^2)</f>
        <v>71682.876265175364</v>
      </c>
      <c r="AD247" s="114">
        <f>SQRT((Tableau!$G$25-P247)^2+(Tableau!$H$25-Q247)^2)</f>
        <v>101694.2114785662</v>
      </c>
      <c r="AE247" s="115">
        <f>SQRT((Tableau!$G$35-P247)^2+(Tableau!$H$35-Q247)^2)</f>
        <v>75486.665153227805</v>
      </c>
    </row>
    <row r="248" spans="2:31" x14ac:dyDescent="0.25">
      <c r="B248" s="20">
        <v>245</v>
      </c>
      <c r="C248" s="21">
        <f>Tableau!$G$17*COS(B248*PI()/180)+Tableau!$G$16</f>
        <v>17886.908691296499</v>
      </c>
      <c r="D248" s="21">
        <f>Tableau!$G$17*SIN(B248*PI()/180)+Tableau!$H$16</f>
        <v>2968.4610648167518</v>
      </c>
      <c r="F248" s="28">
        <v>245</v>
      </c>
      <c r="G248" s="29">
        <f>Tableau!$G$26*COS(F248*PI()/180)+Tableau!$G$25</f>
        <v>-21479.16391609245</v>
      </c>
      <c r="H248" s="29">
        <f>Tableau!$G$26*SIN(F248*PI()/180)+Tableau!$H$25</f>
        <v>6827.9227453717258</v>
      </c>
      <c r="J248" s="36">
        <v>245</v>
      </c>
      <c r="K248" s="37">
        <f>Tableau!$G$36*COS(J248*PI()/180)+Tableau!$G$35</f>
        <v>-7113.0913087034996</v>
      </c>
      <c r="L248" s="37">
        <f>Tableau!$G$36*SIN(J248*PI()/180)+Tableau!$H$35</f>
        <v>-19531.538935183249</v>
      </c>
      <c r="N248" s="92">
        <v>244</v>
      </c>
      <c r="O248" s="93">
        <v>122</v>
      </c>
      <c r="P248" s="96">
        <f>P247+R247*Tableau!$G$2+((1/2)*T247)*Tableau!$G$2^2</f>
        <v>61542.533257742281</v>
      </c>
      <c r="Q248" s="96">
        <f>Q247+S247*Tableau!$G$2+((1/2)*U247)*Tableau!$G$2^2</f>
        <v>-51174.534166904137</v>
      </c>
      <c r="R248" s="96">
        <f>R247+T247*Tableau!$G$2</f>
        <v>445.61838538345796</v>
      </c>
      <c r="S248" s="96">
        <f>S247+U247*Tableau!$G$2</f>
        <v>-137.76127457758548</v>
      </c>
      <c r="T248" s="96">
        <f t="shared" si="6"/>
        <v>-148.74720400988241</v>
      </c>
      <c r="U248" s="96">
        <f t="shared" si="7"/>
        <v>133.11525435601132</v>
      </c>
      <c r="V248" s="96">
        <f>((Tableau!$G$16-P248)/(AC248^2+Tableau!$G$21^2)^(3/2))*Tableau!$G$20</f>
        <v>-56.880475773878032</v>
      </c>
      <c r="W248" s="96">
        <f>((Tableau!$H$16-Q248)/(AC248^2+Tableau!$G$21^2)^(3/2))*Tableau!$G$20</f>
        <v>80.337792558718633</v>
      </c>
      <c r="X248" s="96">
        <f>((Tableau!$G$25-P248)/(AD248^2+Tableau!$G$30^2)^(3/2))*Tableau!$G$29</f>
        <v>-13.727595495403268</v>
      </c>
      <c r="Y248" s="96">
        <f>((Tableau!$H$25-Q248)/(AD248^2+Tableau!$G$30^2)^(3/2))*Tableau!$G$29</f>
        <v>10.2986653236365</v>
      </c>
      <c r="Z248" s="96">
        <f>((Tableau!$G$35-P248)/(AE248^2+Tableau!$G$40^2)^(3/2))*Tableau!$G$39</f>
        <v>-78.139132740601127</v>
      </c>
      <c r="AA248" s="97">
        <f>((Tableau!$H$35-Q248)/(AE248^2+Tableau!$G$40^2)^(3/2))*Tableau!$G$39</f>
        <v>42.478796473656196</v>
      </c>
      <c r="AC248" s="110">
        <f>SQRT((Tableau!$G$16-P248)^2+(Tableau!$H$16-Q248)^2)</f>
        <v>71892.162501720755</v>
      </c>
      <c r="AD248" s="111">
        <f>SQRT((Tableau!$G$25-P248)^2+(Tableau!$H$25-Q248)^2)</f>
        <v>101938.74808250162</v>
      </c>
      <c r="AE248" s="112">
        <f>SQRT((Tableau!$G$35-P248)^2+(Tableau!$H$35-Q248)^2)</f>
        <v>75739.723095283713</v>
      </c>
    </row>
    <row r="249" spans="2:31" x14ac:dyDescent="0.25">
      <c r="B249" s="18">
        <v>246</v>
      </c>
      <c r="C249" s="19">
        <f>Tableau!$G$17*COS(B249*PI()/180)+Tableau!$G$16</f>
        <v>17966.316784620998</v>
      </c>
      <c r="D249" s="19">
        <f>Tableau!$G$17*SIN(B249*PI()/180)+Tableau!$H$16</f>
        <v>2932.2727117869954</v>
      </c>
      <c r="F249" s="26">
        <v>246</v>
      </c>
      <c r="G249" s="27">
        <f>Tableau!$G$26*COS(F249*PI()/180)+Tableau!$G$25</f>
        <v>-21423.578250765298</v>
      </c>
      <c r="H249" s="27">
        <f>Tableau!$G$26*SIN(F249*PI()/180)+Tableau!$H$25</f>
        <v>6802.5908982508972</v>
      </c>
      <c r="J249" s="34">
        <v>246</v>
      </c>
      <c r="K249" s="35">
        <f>Tableau!$G$36*COS(J249*PI()/180)+Tableau!$G$35</f>
        <v>-7033.6832153790001</v>
      </c>
      <c r="L249" s="35">
        <f>Tableau!$G$36*SIN(J249*PI()/180)+Tableau!$H$35</f>
        <v>-19567.727288213006</v>
      </c>
      <c r="N249" s="98">
        <v>245</v>
      </c>
      <c r="O249" s="99">
        <v>122.5</v>
      </c>
      <c r="P249" s="101">
        <f>P248+R248*Tableau!$G$2+((1/2)*T248)*Tableau!$G$2^2</f>
        <v>61746.749049932769</v>
      </c>
      <c r="Q249" s="101">
        <f>Q248+S248*Tableau!$G$2+((1/2)*U248)*Tableau!$G$2^2</f>
        <v>-51226.775397398429</v>
      </c>
      <c r="R249" s="101">
        <f>R248+T248*Tableau!$G$2</f>
        <v>371.24478337851679</v>
      </c>
      <c r="S249" s="101">
        <f>S248+U248*Tableau!$G$2</f>
        <v>-71.203647399579822</v>
      </c>
      <c r="T249" s="101">
        <f t="shared" si="6"/>
        <v>-148.22786396922373</v>
      </c>
      <c r="U249" s="101">
        <f t="shared" si="7"/>
        <v>132.33473239717267</v>
      </c>
      <c r="V249" s="101">
        <f>((Tableau!$G$16-P249)/(AC249^2+Tableau!$G$21^2)^(3/2))*Tableau!$G$20</f>
        <v>-56.785528092303956</v>
      </c>
      <c r="W249" s="101">
        <f>((Tableau!$H$16-Q249)/(AC249^2+Tableau!$G$21^2)^(3/2))*Tableau!$G$20</f>
        <v>79.88241072641712</v>
      </c>
      <c r="X249" s="101">
        <f>((Tableau!$G$25-P249)/(AD249^2+Tableau!$G$30^2)^(3/2))*Tableau!$G$29</f>
        <v>-13.683772041999227</v>
      </c>
      <c r="Y249" s="101">
        <f>((Tableau!$H$25-Q249)/(AD249^2+Tableau!$G$30^2)^(3/2))*Tableau!$G$29</f>
        <v>10.248887535490022</v>
      </c>
      <c r="Z249" s="101">
        <f>((Tableau!$G$35-P249)/(AE249^2+Tableau!$G$40^2)^(3/2))*Tableau!$G$39</f>
        <v>-77.758563834920551</v>
      </c>
      <c r="AA249" s="102">
        <f>((Tableau!$H$35-Q249)/(AE249^2+Tableau!$G$40^2)^(3/2))*Tableau!$G$39</f>
        <v>42.203434135265532</v>
      </c>
      <c r="AC249" s="113">
        <f>SQRT((Tableau!$G$16-P249)^2+(Tableau!$H$16-Q249)^2)</f>
        <v>72052.933353296205</v>
      </c>
      <c r="AD249" s="114">
        <f>SQRT((Tableau!$G$25-P249)^2+(Tableau!$H$25-Q249)^2)</f>
        <v>102133.48621189897</v>
      </c>
      <c r="AE249" s="115">
        <f>SQRT((Tableau!$G$35-P249)^2+(Tableau!$H$35-Q249)^2)</f>
        <v>75944.109478143553</v>
      </c>
    </row>
    <row r="250" spans="2:31" x14ac:dyDescent="0.25">
      <c r="B250" s="20">
        <v>247</v>
      </c>
      <c r="C250" s="21">
        <f>Tableau!$G$17*COS(B250*PI()/180)+Tableau!$G$16</f>
        <v>18046.344357553629</v>
      </c>
      <c r="D250" s="21">
        <f>Tableau!$G$17*SIN(B250*PI()/180)+Tableau!$H$16</f>
        <v>2897.4757327377984</v>
      </c>
      <c r="F250" s="28">
        <v>247</v>
      </c>
      <c r="G250" s="29">
        <f>Tableau!$G$26*COS(F250*PI()/180)+Tableau!$G$25</f>
        <v>-21367.55894971246</v>
      </c>
      <c r="H250" s="29">
        <f>Tableau!$G$26*SIN(F250*PI()/180)+Tableau!$H$25</f>
        <v>6778.2330129164593</v>
      </c>
      <c r="J250" s="36">
        <v>247</v>
      </c>
      <c r="K250" s="37">
        <f>Tableau!$G$36*COS(J250*PI()/180)+Tableau!$G$35</f>
        <v>-6953.6556424463688</v>
      </c>
      <c r="L250" s="37">
        <f>Tableau!$G$36*SIN(J250*PI()/180)+Tableau!$H$35</f>
        <v>-19602.524267262201</v>
      </c>
      <c r="N250" s="92">
        <v>246</v>
      </c>
      <c r="O250" s="93">
        <v>123</v>
      </c>
      <c r="P250" s="96">
        <f>P249+R249*Tableau!$G$2+((1/2)*T249)*Tableau!$G$2^2</f>
        <v>61913.842958625872</v>
      </c>
      <c r="Q250" s="96">
        <f>Q249+S249*Tableau!$G$2+((1/2)*U249)*Tableau!$G$2^2</f>
        <v>-51245.835379548575</v>
      </c>
      <c r="R250" s="96">
        <f>R249+T249*Tableau!$G$2</f>
        <v>297.13085139390489</v>
      </c>
      <c r="S250" s="96">
        <f>S249+U249*Tableau!$G$2</f>
        <v>-5.0362812009934856</v>
      </c>
      <c r="T250" s="96">
        <f t="shared" si="6"/>
        <v>-147.88840455038394</v>
      </c>
      <c r="U250" s="96">
        <f t="shared" si="7"/>
        <v>131.72197998144367</v>
      </c>
      <c r="V250" s="96">
        <f>((Tableau!$G$16-P250)/(AC250^2+Tableau!$G$21^2)^(3/2))*Tableau!$G$20</f>
        <v>-56.751709971222887</v>
      </c>
      <c r="W250" s="96">
        <f>((Tableau!$H$16-Q250)/(AC250^2+Tableau!$G$21^2)^(3/2))*Tableau!$G$20</f>
        <v>79.54237493250956</v>
      </c>
      <c r="X250" s="96">
        <f>((Tableau!$G$25-P250)/(AD250^2+Tableau!$G$30^2)^(3/2))*Tableau!$G$29</f>
        <v>-13.653698454189515</v>
      </c>
      <c r="Y250" s="96">
        <f>((Tableau!$H$25-Q250)/(AD250^2+Tableau!$G$30^2)^(3/2))*Tableau!$G$29</f>
        <v>10.208679481313837</v>
      </c>
      <c r="Z250" s="96">
        <f>((Tableau!$G$35-P250)/(AE250^2+Tableau!$G$40^2)^(3/2))*Tableau!$G$39</f>
        <v>-77.48299612497155</v>
      </c>
      <c r="AA250" s="97">
        <f>((Tableau!$H$35-Q250)/(AE250^2+Tableau!$G$40^2)^(3/2))*Tableau!$G$39</f>
        <v>41.970925567620277</v>
      </c>
      <c r="AC250" s="110">
        <f>SQRT((Tableau!$G$16-P250)^2+(Tableau!$H$16-Q250)^2)</f>
        <v>72165.389252753099</v>
      </c>
      <c r="AD250" s="111">
        <f>SQRT((Tableau!$G$25-P250)^2+(Tableau!$H$25-Q250)^2)</f>
        <v>102278.68800287372</v>
      </c>
      <c r="AE250" s="112">
        <f>SQRT((Tableau!$G$35-P250)^2+(Tableau!$H$35-Q250)^2)</f>
        <v>76100.08516324393</v>
      </c>
    </row>
    <row r="251" spans="2:31" x14ac:dyDescent="0.25">
      <c r="B251" s="18">
        <v>248</v>
      </c>
      <c r="C251" s="19">
        <f>Tableau!$G$17*COS(B251*PI()/180)+Tableau!$G$16</f>
        <v>18126.967032920438</v>
      </c>
      <c r="D251" s="19">
        <f>Tableau!$G$17*SIN(B251*PI()/180)+Tableau!$H$16</f>
        <v>2864.0807271660633</v>
      </c>
      <c r="F251" s="26">
        <v>248</v>
      </c>
      <c r="G251" s="27">
        <f>Tableau!$G$26*COS(F251*PI()/180)+Tableau!$G$25</f>
        <v>-21311.123076955693</v>
      </c>
      <c r="H251" s="27">
        <f>Tableau!$G$26*SIN(F251*PI()/180)+Tableau!$H$25</f>
        <v>6754.8565090162447</v>
      </c>
      <c r="J251" s="34">
        <v>248</v>
      </c>
      <c r="K251" s="35">
        <f>Tableau!$G$36*COS(J251*PI()/180)+Tableau!$G$35</f>
        <v>-6873.0329670795618</v>
      </c>
      <c r="L251" s="35">
        <f>Tableau!$G$36*SIN(J251*PI()/180)+Tableau!$H$35</f>
        <v>-19635.919272833937</v>
      </c>
      <c r="N251" s="98">
        <v>247</v>
      </c>
      <c r="O251" s="99">
        <v>123.5</v>
      </c>
      <c r="P251" s="101">
        <f>P250+R250*Tableau!$G$2+((1/2)*T250)*Tableau!$G$2^2</f>
        <v>62043.922333754024</v>
      </c>
      <c r="Q251" s="101">
        <f>Q250+S250*Tableau!$G$2+((1/2)*U250)*Tableau!$G$2^2</f>
        <v>-51231.888272651391</v>
      </c>
      <c r="R251" s="101">
        <f>R250+T250*Tableau!$G$2</f>
        <v>223.18664911871292</v>
      </c>
      <c r="S251" s="101">
        <f>S250+U250*Tableau!$G$2</f>
        <v>60.824708789728348</v>
      </c>
      <c r="T251" s="101">
        <f t="shared" si="6"/>
        <v>-147.7262936009941</v>
      </c>
      <c r="U251" s="101">
        <f t="shared" si="7"/>
        <v>131.27321503330032</v>
      </c>
      <c r="V251" s="101">
        <f>((Tableau!$G$16-P251)/(AC251^2+Tableau!$G$21^2)^(3/2))*Tableau!$G$20</f>
        <v>-56.778825764457316</v>
      </c>
      <c r="W251" s="101">
        <f>((Tableau!$H$16-Q251)/(AC251^2+Tableau!$G$21^2)^(3/2))*Tableau!$G$20</f>
        <v>79.315331823197567</v>
      </c>
      <c r="X251" s="101">
        <f>((Tableau!$G$25-P251)/(AD251^2+Tableau!$G$30^2)^(3/2))*Tableau!$G$29</f>
        <v>-13.637177134639284</v>
      </c>
      <c r="Y251" s="101">
        <f>((Tableau!$H$25-Q251)/(AD251^2+Tableau!$G$30^2)^(3/2))*Tableau!$G$29</f>
        <v>10.177842342369896</v>
      </c>
      <c r="Z251" s="101">
        <f>((Tableau!$G$35-P251)/(AE251^2+Tableau!$G$40^2)^(3/2))*Tableau!$G$39</f>
        <v>-77.310290701897515</v>
      </c>
      <c r="AA251" s="102">
        <f>((Tableau!$H$35-Q251)/(AE251^2+Tableau!$G$40^2)^(3/2))*Tableau!$G$39</f>
        <v>41.780040867732851</v>
      </c>
      <c r="AC251" s="113">
        <f>SQRT((Tableau!$G$16-P251)^2+(Tableau!$H$16-Q251)^2)</f>
        <v>72229.676070697882</v>
      </c>
      <c r="AD251" s="114">
        <f>SQRT((Tableau!$G$25-P251)^2+(Tableau!$H$25-Q251)^2)</f>
        <v>102374.5541301232</v>
      </c>
      <c r="AE251" s="115">
        <f>SQRT((Tableau!$G$35-P251)^2+(Tableau!$H$35-Q251)^2)</f>
        <v>76207.855564215512</v>
      </c>
    </row>
    <row r="252" spans="2:31" x14ac:dyDescent="0.25">
      <c r="B252" s="20">
        <v>249</v>
      </c>
      <c r="C252" s="21">
        <f>Tableau!$G$17*COS(B252*PI()/180)+Tableau!$G$16</f>
        <v>18208.160252273497</v>
      </c>
      <c r="D252" s="21">
        <f>Tableau!$G$17*SIN(B252*PI()/180)+Tableau!$H$16</f>
        <v>2832.0978675139922</v>
      </c>
      <c r="F252" s="28">
        <v>249</v>
      </c>
      <c r="G252" s="29">
        <f>Tableau!$G$26*COS(F252*PI()/180)+Tableau!$G$25</f>
        <v>-21254.287823408551</v>
      </c>
      <c r="H252" s="29">
        <f>Tableau!$G$26*SIN(F252*PI()/180)+Tableau!$H$25</f>
        <v>6732.4685072597949</v>
      </c>
      <c r="J252" s="36">
        <v>249</v>
      </c>
      <c r="K252" s="37">
        <f>Tableau!$G$36*COS(J252*PI()/180)+Tableau!$G$35</f>
        <v>-6791.8397477265034</v>
      </c>
      <c r="L252" s="37">
        <f>Tableau!$G$36*SIN(J252*PI()/180)+Tableau!$H$35</f>
        <v>-19667.902132486008</v>
      </c>
      <c r="N252" s="92">
        <v>248</v>
      </c>
      <c r="O252" s="93">
        <v>124</v>
      </c>
      <c r="P252" s="96">
        <f>P251+R251*Tableau!$G$2+((1/2)*T251)*Tableau!$G$2^2</f>
        <v>62137.049871613257</v>
      </c>
      <c r="Q252" s="96">
        <f>Q251+S251*Tableau!$G$2+((1/2)*U251)*Tableau!$G$2^2</f>
        <v>-51185.066766377364</v>
      </c>
      <c r="R252" s="96">
        <f>R251+T251*Tableau!$G$2</f>
        <v>149.32350231821587</v>
      </c>
      <c r="S252" s="96">
        <f>S251+U251*Tableau!$G$2</f>
        <v>126.46131630637851</v>
      </c>
      <c r="T252" s="96">
        <f t="shared" si="6"/>
        <v>-147.74014515728538</v>
      </c>
      <c r="U252" s="96">
        <f t="shared" si="7"/>
        <v>130.98576627755901</v>
      </c>
      <c r="V252" s="96">
        <f>((Tableau!$G$16-P252)/(AC252^2+Tableau!$G$21^2)^(3/2))*Tableau!$G$20</f>
        <v>-56.86701645164257</v>
      </c>
      <c r="W252" s="96">
        <f>((Tableau!$H$16-Q252)/(AC252^2+Tableau!$G$21^2)^(3/2))*Tableau!$G$20</f>
        <v>79.199769975295496</v>
      </c>
      <c r="X252" s="96">
        <f>((Tableau!$G$25-P252)/(AD252^2+Tableau!$G$30^2)^(3/2))*Tableau!$G$29</f>
        <v>-13.634088220435492</v>
      </c>
      <c r="Y252" s="96">
        <f>((Tableau!$H$25-Q252)/(AD252^2+Tableau!$G$30^2)^(3/2))*Tableau!$G$29</f>
        <v>10.15622790652878</v>
      </c>
      <c r="Z252" s="96">
        <f>((Tableau!$G$35-P252)/(AE252^2+Tableau!$G$40^2)^(3/2))*Tableau!$G$39</f>
        <v>-77.239040485207326</v>
      </c>
      <c r="AA252" s="97">
        <f>((Tableau!$H$35-Q252)/(AE252^2+Tableau!$G$40^2)^(3/2))*Tableau!$G$39</f>
        <v>41.629768395734722</v>
      </c>
      <c r="AC252" s="110">
        <f>SQRT((Tableau!$G$16-P252)^2+(Tableau!$H$16-Q252)^2)</f>
        <v>72245.885926168776</v>
      </c>
      <c r="AD252" s="111">
        <f>SQRT((Tableau!$G$25-P252)^2+(Tableau!$H$25-Q252)^2)</f>
        <v>102421.22512847588</v>
      </c>
      <c r="AE252" s="112">
        <f>SQRT((Tableau!$G$35-P252)^2+(Tableau!$H$35-Q252)^2)</f>
        <v>76267.571892323103</v>
      </c>
    </row>
    <row r="253" spans="2:31" x14ac:dyDescent="0.25">
      <c r="B253" s="18">
        <v>250</v>
      </c>
      <c r="C253" s="19">
        <f>Tableau!$G$17*COS(B253*PI()/180)+Tableau!$G$16</f>
        <v>18289.899283371655</v>
      </c>
      <c r="D253" s="19">
        <f>Tableau!$G$17*SIN(B253*PI()/180)+Tableau!$H$16</f>
        <v>2801.5368960704591</v>
      </c>
      <c r="F253" s="26">
        <v>250</v>
      </c>
      <c r="G253" s="27">
        <f>Tableau!$G$26*COS(F253*PI()/180)+Tableau!$G$25</f>
        <v>-21197.070501639842</v>
      </c>
      <c r="H253" s="27">
        <f>Tableau!$G$26*SIN(F253*PI()/180)+Tableau!$H$25</f>
        <v>6711.0758272493213</v>
      </c>
      <c r="J253" s="34">
        <v>250</v>
      </c>
      <c r="K253" s="35">
        <f>Tableau!$G$36*COS(J253*PI()/180)+Tableau!$G$35</f>
        <v>-6710.1007166283471</v>
      </c>
      <c r="L253" s="35">
        <f>Tableau!$G$36*SIN(J253*PI()/180)+Tableau!$H$35</f>
        <v>-19698.463103929542</v>
      </c>
      <c r="N253" s="98">
        <v>249</v>
      </c>
      <c r="O253" s="99">
        <v>124.5</v>
      </c>
      <c r="P253" s="101">
        <f>P252+R252*Tableau!$G$2+((1/2)*T252)*Tableau!$G$2^2</f>
        <v>62193.244104627709</v>
      </c>
      <c r="Q253" s="101">
        <f>Q252+S252*Tableau!$G$2+((1/2)*U252)*Tableau!$G$2^2</f>
        <v>-51105.462887439484</v>
      </c>
      <c r="R253" s="101">
        <f>R252+T252*Tableau!$G$2</f>
        <v>75.453429739573181</v>
      </c>
      <c r="S253" s="101">
        <f>S252+U252*Tableau!$G$2</f>
        <v>191.954199445158</v>
      </c>
      <c r="T253" s="101">
        <f t="shared" si="6"/>
        <v>-147.92969571425073</v>
      </c>
      <c r="U253" s="101">
        <f t="shared" si="7"/>
        <v>130.85803406275758</v>
      </c>
      <c r="V253" s="101">
        <f>((Tableau!$G$16-P253)/(AC253^2+Tableau!$G$21^2)^(3/2))*Tableau!$G$20</f>
        <v>-57.016762707550839</v>
      </c>
      <c r="W253" s="101">
        <f>((Tableau!$H$16-Q253)/(AC253^2+Tableau!$G$21^2)^(3/2))*Tableau!$G$20</f>
        <v>79.194995353600291</v>
      </c>
      <c r="X253" s="101">
        <f>((Tableau!$G$25-P253)/(AD253^2+Tableau!$G$30^2)^(3/2))*Tableau!$G$29</f>
        <v>-13.644387730312083</v>
      </c>
      <c r="Y253" s="101">
        <f>((Tableau!$H$25-Q253)/(AD253^2+Tableau!$G$30^2)^(3/2))*Tableau!$G$29</f>
        <v>10.1437367165494</v>
      </c>
      <c r="Z253" s="101">
        <f>((Tableau!$G$35-P253)/(AE253^2+Tableau!$G$40^2)^(3/2))*Tableau!$G$39</f>
        <v>-77.268545276387798</v>
      </c>
      <c r="AA253" s="102">
        <f>((Tableau!$H$35-Q253)/(AE253^2+Tableau!$G$40^2)^(3/2))*Tableau!$G$39</f>
        <v>41.519301992607886</v>
      </c>
      <c r="AC253" s="113">
        <f>SQRT((Tableau!$G$16-P253)^2+(Tableau!$H$16-Q253)^2)</f>
        <v>72214.057691863214</v>
      </c>
      <c r="AD253" s="114">
        <f>SQRT((Tableau!$G$25-P253)^2+(Tableau!$H$25-Q253)^2)</f>
        <v>102418.78231619023</v>
      </c>
      <c r="AE253" s="115">
        <f>SQRT((Tableau!$G$35-P253)^2+(Tableau!$H$35-Q253)^2)</f>
        <v>76279.332086878931</v>
      </c>
    </row>
    <row r="254" spans="2:31" x14ac:dyDescent="0.25">
      <c r="B254" s="20">
        <v>251</v>
      </c>
      <c r="C254" s="21">
        <f>Tableau!$G$17*COS(B254*PI()/180)+Tableau!$G$16</f>
        <v>18372.159227714215</v>
      </c>
      <c r="D254" s="21">
        <f>Tableau!$G$17*SIN(B254*PI()/180)+Tableau!$H$16</f>
        <v>2772.4071220034157</v>
      </c>
      <c r="F254" s="28">
        <v>251</v>
      </c>
      <c r="G254" s="29">
        <f>Tableau!$G$26*COS(F254*PI()/180)+Tableau!$G$25</f>
        <v>-21139.488540600047</v>
      </c>
      <c r="H254" s="29">
        <f>Tableau!$G$26*SIN(F254*PI()/180)+Tableau!$H$25</f>
        <v>6690.6849854023912</v>
      </c>
      <c r="J254" s="36">
        <v>251</v>
      </c>
      <c r="K254" s="37">
        <f>Tableau!$G$36*COS(J254*PI()/180)+Tableau!$G$35</f>
        <v>-6627.8407722857828</v>
      </c>
      <c r="L254" s="37">
        <f>Tableau!$G$36*SIN(J254*PI()/180)+Tableau!$H$35</f>
        <v>-19727.592877996583</v>
      </c>
      <c r="N254" s="92">
        <v>250</v>
      </c>
      <c r="O254" s="93">
        <v>125</v>
      </c>
      <c r="P254" s="96">
        <f>P253+R253*Tableau!$G$2+((1/2)*T253)*Tableau!$G$2^2</f>
        <v>62212.479607533212</v>
      </c>
      <c r="Q254" s="96">
        <f>Q253+S253*Tableau!$G$2+((1/2)*U253)*Tableau!$G$2^2</f>
        <v>-50993.128533459058</v>
      </c>
      <c r="R254" s="96">
        <f>R253+T253*Tableau!$G$2</f>
        <v>1.4885818824478179</v>
      </c>
      <c r="S254" s="96">
        <f>S253+U253*Tableau!$G$2</f>
        <v>257.3832164765368</v>
      </c>
      <c r="T254" s="96">
        <f t="shared" si="6"/>
        <v>-148.29579739084437</v>
      </c>
      <c r="U254" s="96">
        <f t="shared" si="7"/>
        <v>130.88946810413054</v>
      </c>
      <c r="V254" s="96">
        <f>((Tableau!$G$16-P254)/(AC254^2+Tableau!$G$21^2)^(3/2))*Tableau!$G$20</f>
        <v>-57.228892145391875</v>
      </c>
      <c r="W254" s="96">
        <f>((Tableau!$H$16-Q254)/(AC254^2+Tableau!$G$21^2)^(3/2))*Tableau!$G$20</f>
        <v>79.301120787286806</v>
      </c>
      <c r="X254" s="96">
        <f>((Tableau!$G$25-P254)/(AD254^2+Tableau!$G$30^2)^(3/2))*Tableau!$G$29</f>
        <v>-13.668106771398676</v>
      </c>
      <c r="Y254" s="96">
        <f>((Tableau!$H$25-Q254)/(AD254^2+Tableau!$G$30^2)^(3/2))*Tableau!$G$29</f>
        <v>10.140316860611662</v>
      </c>
      <c r="Z254" s="96">
        <f>((Tableau!$G$35-P254)/(AE254^2+Tableau!$G$40^2)^(3/2))*Tableau!$G$39</f>
        <v>-77.398798474053805</v>
      </c>
      <c r="AA254" s="97">
        <f>((Tableau!$H$35-Q254)/(AE254^2+Tableau!$G$40^2)^(3/2))*Tableau!$G$39</f>
        <v>41.448030456232068</v>
      </c>
      <c r="AC254" s="110">
        <f>SQRT((Tableau!$G$16-P254)^2+(Tableau!$H$16-Q254)^2)</f>
        <v>72134.17719949517</v>
      </c>
      <c r="AD254" s="111">
        <f>SQRT((Tableau!$G$25-P254)^2+(Tableau!$H$25-Q254)^2)</f>
        <v>102367.24833421147</v>
      </c>
      <c r="AE254" s="112">
        <f>SQRT((Tableau!$G$35-P254)^2+(Tableau!$H$35-Q254)^2)</f>
        <v>76243.181443452195</v>
      </c>
    </row>
    <row r="255" spans="2:31" x14ac:dyDescent="0.25">
      <c r="B255" s="18">
        <v>252</v>
      </c>
      <c r="C255" s="19">
        <f>Tableau!$G$17*COS(B255*PI()/180)+Tableau!$G$16</f>
        <v>18454.915028125262</v>
      </c>
      <c r="D255" s="19">
        <f>Tableau!$G$17*SIN(B255*PI()/180)+Tableau!$H$16</f>
        <v>2744.717418524232</v>
      </c>
      <c r="F255" s="26">
        <v>252</v>
      </c>
      <c r="G255" s="27">
        <f>Tableau!$G$26*COS(F255*PI()/180)+Tableau!$G$25</f>
        <v>-21081.559480312317</v>
      </c>
      <c r="H255" s="27">
        <f>Tableau!$G$26*SIN(F255*PI()/180)+Tableau!$H$25</f>
        <v>6671.302192966963</v>
      </c>
      <c r="J255" s="34">
        <v>252</v>
      </c>
      <c r="K255" s="35">
        <f>Tableau!$G$36*COS(J255*PI()/180)+Tableau!$G$35</f>
        <v>-6545.0849718747377</v>
      </c>
      <c r="L255" s="35">
        <f>Tableau!$G$36*SIN(J255*PI()/180)+Tableau!$H$35</f>
        <v>-19755.282581475767</v>
      </c>
      <c r="N255" s="98">
        <v>251</v>
      </c>
      <c r="O255" s="99">
        <v>125.5</v>
      </c>
      <c r="P255" s="101">
        <f>P254+R254*Tableau!$G$2+((1/2)*T254)*Tableau!$G$2^2</f>
        <v>62194.686923800582</v>
      </c>
      <c r="Q255" s="101">
        <f>Q254+S254*Tableau!$G$2+((1/2)*U254)*Tableau!$G$2^2</f>
        <v>-50848.075741707777</v>
      </c>
      <c r="R255" s="101">
        <f>R254+T254*Tableau!$G$2</f>
        <v>-72.659316812974367</v>
      </c>
      <c r="S255" s="101">
        <f>S254+U254*Tableau!$G$2</f>
        <v>322.82795052860206</v>
      </c>
      <c r="T255" s="101">
        <f t="shared" si="6"/>
        <v>-148.84042775451596</v>
      </c>
      <c r="U255" s="101">
        <f t="shared" si="7"/>
        <v>131.0805615789904</v>
      </c>
      <c r="V255" s="101">
        <f>((Tableau!$G$16-P255)/(AC255^2+Tableau!$G$21^2)^(3/2))*Tableau!$G$20</f>
        <v>-57.50459094845197</v>
      </c>
      <c r="W255" s="101">
        <f>((Tableau!$H$16-Q255)/(AC255^2+Tableau!$G$21^2)^(3/2))*Tableau!$G$20</f>
        <v>79.519069171327317</v>
      </c>
      <c r="X255" s="101">
        <f>((Tableau!$G$25-P255)/(AD255^2+Tableau!$G$30^2)^(3/2))*Tableau!$G$29</f>
        <v>-13.705351782220612</v>
      </c>
      <c r="Y255" s="101">
        <f>((Tableau!$H$25-Q255)/(AD255^2+Tableau!$G$30^2)^(3/2))*Tableau!$G$29</f>
        <v>10.145963376981117</v>
      </c>
      <c r="Z255" s="101">
        <f>((Tableau!$G$35-P255)/(AE255^2+Tableau!$G$40^2)^(3/2))*Tableau!$G$39</f>
        <v>-77.630485023843377</v>
      </c>
      <c r="AA255" s="102">
        <f>((Tableau!$H$35-Q255)/(AE255^2+Tableau!$G$40^2)^(3/2))*Tableau!$G$39</f>
        <v>41.415529030681959</v>
      </c>
      <c r="AC255" s="113">
        <f>SQRT((Tableau!$G$16-P255)^2+(Tableau!$H$16-Q255)^2)</f>
        <v>72006.177147225477</v>
      </c>
      <c r="AD255" s="114">
        <f>SQRT((Tableau!$G$25-P255)^2+(Tableau!$H$25-Q255)^2)</f>
        <v>102266.5873096888</v>
      </c>
      <c r="AE255" s="115">
        <f>SQRT((Tableau!$G$35-P255)^2+(Tableau!$H$35-Q255)^2)</f>
        <v>76159.112948949158</v>
      </c>
    </row>
    <row r="256" spans="2:31" x14ac:dyDescent="0.25">
      <c r="B256" s="20">
        <v>253</v>
      </c>
      <c r="C256" s="21">
        <f>Tableau!$G$17*COS(B256*PI()/180)+Tableau!$G$16</f>
        <v>18538.141476386314</v>
      </c>
      <c r="D256" s="21">
        <f>Tableau!$G$17*SIN(B256*PI()/180)+Tableau!$H$16</f>
        <v>2718.4762201848234</v>
      </c>
      <c r="F256" s="28">
        <v>253</v>
      </c>
      <c r="G256" s="29">
        <f>Tableau!$G$26*COS(F256*PI()/180)+Tableau!$G$25</f>
        <v>-21023.300966529579</v>
      </c>
      <c r="H256" s="29">
        <f>Tableau!$G$26*SIN(F256*PI()/180)+Tableau!$H$25</f>
        <v>6652.9333541293763</v>
      </c>
      <c r="J256" s="36">
        <v>253</v>
      </c>
      <c r="K256" s="37">
        <f>Tableau!$G$36*COS(J256*PI()/180)+Tableau!$G$35</f>
        <v>-6461.858523613686</v>
      </c>
      <c r="L256" s="37">
        <f>Tableau!$G$36*SIN(J256*PI()/180)+Tableau!$H$35</f>
        <v>-19781.523779815176</v>
      </c>
      <c r="N256" s="92">
        <v>252</v>
      </c>
      <c r="O256" s="93">
        <v>126</v>
      </c>
      <c r="P256" s="96">
        <f>P255+R255*Tableau!$G$2+((1/2)*T255)*Tableau!$G$2^2</f>
        <v>62139.752211924781</v>
      </c>
      <c r="Q256" s="96">
        <f>Q255+S255*Tableau!$G$2+((1/2)*U255)*Tableau!$G$2^2</f>
        <v>-50670.276696246103</v>
      </c>
      <c r="R256" s="96">
        <f>R255+T255*Tableau!$G$2</f>
        <v>-147.07953069023233</v>
      </c>
      <c r="S256" s="96">
        <f>S255+U255*Tableau!$G$2</f>
        <v>388.36823131809729</v>
      </c>
      <c r="T256" s="96">
        <f t="shared" si="6"/>
        <v>-149.5667165132042</v>
      </c>
      <c r="U256" s="96">
        <f t="shared" si="7"/>
        <v>131.43286146632082</v>
      </c>
      <c r="V256" s="96">
        <f>((Tableau!$G$16-P256)/(AC256^2+Tableau!$G$21^2)^(3/2))*Tableau!$G$20</f>
        <v>-57.845420194686305</v>
      </c>
      <c r="W256" s="96">
        <f>((Tableau!$H$16-Q256)/(AC256^2+Tableau!$G$21^2)^(3/2))*Tableau!$G$20</f>
        <v>79.850590516365784</v>
      </c>
      <c r="X256" s="96">
        <f>((Tableau!$G$25-P256)/(AD256^2+Tableau!$G$30^2)^(3/2))*Tableau!$G$29</f>
        <v>-13.75630581521283</v>
      </c>
      <c r="Y256" s="96">
        <f>((Tableau!$H$25-Q256)/(AD256^2+Tableau!$G$30^2)^(3/2))*Tableau!$G$29</f>
        <v>10.160718259458996</v>
      </c>
      <c r="Z256" s="96">
        <f>((Tableau!$G$35-P256)/(AE256^2+Tableau!$G$40^2)^(3/2))*Tableau!$G$39</f>
        <v>-77.964990503305074</v>
      </c>
      <c r="AA256" s="97">
        <f>((Tableau!$H$35-Q256)/(AE256^2+Tableau!$G$40^2)^(3/2))*Tableau!$G$39</f>
        <v>41.42155269049605</v>
      </c>
      <c r="AC256" s="110">
        <f>SQRT((Tableau!$G$16-P256)^2+(Tableau!$H$16-Q256)^2)</f>
        <v>71829.936707477696</v>
      </c>
      <c r="AD256" s="111">
        <f>SQRT((Tableau!$G$25-P256)^2+(Tableau!$H$25-Q256)^2)</f>
        <v>102116.70464637736</v>
      </c>
      <c r="AE256" s="112">
        <f>SQRT((Tableau!$G$35-P256)^2+(Tableau!$H$35-Q256)^2)</f>
        <v>76027.067329112571</v>
      </c>
    </row>
    <row r="257" spans="2:31" x14ac:dyDescent="0.25">
      <c r="B257" s="18">
        <v>254</v>
      </c>
      <c r="C257" s="19">
        <f>Tableau!$G$17*COS(B257*PI()/180)+Tableau!$G$16</f>
        <v>18621.813220915006</v>
      </c>
      <c r="D257" s="19">
        <f>Tableau!$G$17*SIN(B257*PI()/180)+Tableau!$H$16</f>
        <v>2693.6915203084054</v>
      </c>
      <c r="F257" s="26">
        <v>254</v>
      </c>
      <c r="G257" s="27">
        <f>Tableau!$G$26*COS(F257*PI()/180)+Tableau!$G$25</f>
        <v>-20964.730745359495</v>
      </c>
      <c r="H257" s="27">
        <f>Tableau!$G$26*SIN(F257*PI()/180)+Tableau!$H$25</f>
        <v>6635.5840642158837</v>
      </c>
      <c r="J257" s="34">
        <v>254</v>
      </c>
      <c r="K257" s="35">
        <f>Tableau!$G$36*COS(J257*PI()/180)+Tableau!$G$35</f>
        <v>-6378.1867790849947</v>
      </c>
      <c r="L257" s="35">
        <f>Tableau!$G$36*SIN(J257*PI()/180)+Tableau!$H$35</f>
        <v>-19806.308479691594</v>
      </c>
      <c r="N257" s="98">
        <v>253</v>
      </c>
      <c r="O257" s="99">
        <v>126.5</v>
      </c>
      <c r="P257" s="101">
        <f>P256+R256*Tableau!$G$2+((1/2)*T256)*Tableau!$G$2^2</f>
        <v>62047.516607015517</v>
      </c>
      <c r="Q257" s="101">
        <f>Q256+S256*Tableau!$G$2+((1/2)*U256)*Tableau!$G$2^2</f>
        <v>-50459.663472903769</v>
      </c>
      <c r="R257" s="101">
        <f>R256+T256*Tableau!$G$2</f>
        <v>-221.86288894683443</v>
      </c>
      <c r="S257" s="101">
        <f>S256+U256*Tableau!$G$2</f>
        <v>454.08466205125768</v>
      </c>
      <c r="T257" s="101">
        <f t="shared" si="6"/>
        <v>-150.47898973348561</v>
      </c>
      <c r="U257" s="101">
        <f t="shared" si="7"/>
        <v>131.94899547883796</v>
      </c>
      <c r="V257" s="101">
        <f>((Tableau!$G$16-P257)/(AC257^2+Tableau!$G$21^2)^(3/2))*Tableau!$G$20</f>
        <v>-58.253337281820578</v>
      </c>
      <c r="W257" s="101">
        <f>((Tableau!$H$16-Q257)/(AC257^2+Tableau!$G$21^2)^(3/2))*Tableau!$G$20</f>
        <v>80.298293394681608</v>
      </c>
      <c r="X257" s="101">
        <f>((Tableau!$G$25-P257)/(AD257^2+Tableau!$G$30^2)^(3/2))*Tableau!$G$29</f>
        <v>-13.821230888584441</v>
      </c>
      <c r="Y257" s="101">
        <f>((Tableau!$H$25-Q257)/(AD257^2+Tableau!$G$30^2)^(3/2))*Tableau!$G$29</f>
        <v>10.184671064543437</v>
      </c>
      <c r="Z257" s="101">
        <f>((Tableau!$G$35-P257)/(AE257^2+Tableau!$G$40^2)^(3/2))*Tableau!$G$39</f>
        <v>-78.404421563080575</v>
      </c>
      <c r="AA257" s="102">
        <f>((Tableau!$H$35-Q257)/(AE257^2+Tableau!$G$40^2)^(3/2))*Tableau!$G$39</f>
        <v>41.46603101961292</v>
      </c>
      <c r="AC257" s="113">
        <f>SQRT((Tableau!$G$16-P257)^2+(Tableau!$H$16-Q257)^2)</f>
        <v>71605.280829764932</v>
      </c>
      <c r="AD257" s="114">
        <f>SQRT((Tableau!$G$25-P257)^2+(Tableau!$H$25-Q257)^2)</f>
        <v>101917.44643894518</v>
      </c>
      <c r="AE257" s="115">
        <f>SQRT((Tableau!$G$35-P257)^2+(Tableau!$H$35-Q257)^2)</f>
        <v>75846.932810625935</v>
      </c>
    </row>
    <row r="258" spans="2:31" x14ac:dyDescent="0.25">
      <c r="B258" s="20">
        <v>255</v>
      </c>
      <c r="C258" s="21">
        <f>Tableau!$G$17*COS(B258*PI()/180)+Tableau!$G$16</f>
        <v>18705.904774487397</v>
      </c>
      <c r="D258" s="21">
        <f>Tableau!$G$17*SIN(B258*PI()/180)+Tableau!$H$16</f>
        <v>2670.370868554658</v>
      </c>
      <c r="F258" s="28">
        <v>255</v>
      </c>
      <c r="G258" s="29">
        <f>Tableau!$G$26*COS(F258*PI()/180)+Tableau!$G$25</f>
        <v>-20905.866657858824</v>
      </c>
      <c r="H258" s="29">
        <f>Tableau!$G$26*SIN(F258*PI()/180)+Tableau!$H$25</f>
        <v>6619.2596079882605</v>
      </c>
      <c r="J258" s="36">
        <v>255</v>
      </c>
      <c r="K258" s="37">
        <f>Tableau!$G$36*COS(J258*PI()/180)+Tableau!$G$35</f>
        <v>-6294.0952255126031</v>
      </c>
      <c r="L258" s="37">
        <f>Tableau!$G$36*SIN(J258*PI()/180)+Tableau!$H$35</f>
        <v>-19829.629131445341</v>
      </c>
      <c r="N258" s="92">
        <v>254</v>
      </c>
      <c r="O258" s="93">
        <v>127</v>
      </c>
      <c r="P258" s="96">
        <f>P257+R257*Tableau!$G$2+((1/2)*T257)*Tableau!$G$2^2</f>
        <v>61917.775288825411</v>
      </c>
      <c r="Q258" s="96">
        <f>Q257+S257*Tableau!$G$2+((1/2)*U257)*Tableau!$G$2^2</f>
        <v>-50216.127517443281</v>
      </c>
      <c r="R258" s="96">
        <f>R257+T257*Tableau!$G$2</f>
        <v>-297.10238381357726</v>
      </c>
      <c r="S258" s="96">
        <f>S257+U257*Tableau!$G$2</f>
        <v>520.05915979067663</v>
      </c>
      <c r="T258" s="96">
        <f t="shared" si="6"/>
        <v>-151.58283271946496</v>
      </c>
      <c r="U258" s="96">
        <f t="shared" si="7"/>
        <v>132.63271640985548</v>
      </c>
      <c r="V258" s="96">
        <f>((Tableau!$G$16-P258)/(AC258^2+Tableau!$G$21^2)^(3/2))*Tableau!$G$20</f>
        <v>-58.730722979230499</v>
      </c>
      <c r="W258" s="96">
        <f>((Tableau!$H$16-Q258)/(AC258^2+Tableau!$G$21^2)^(3/2))*Tableau!$G$20</f>
        <v>80.865691781227341</v>
      </c>
      <c r="X258" s="96">
        <f>((Tableau!$G$25-P258)/(AD258^2+Tableau!$G$30^2)^(3/2))*Tableau!$G$29</f>
        <v>-13.900471465086085</v>
      </c>
      <c r="Y258" s="96">
        <f>((Tableau!$H$25-Q258)/(AD258^2+Tableau!$G$30^2)^(3/2))*Tableau!$G$29</f>
        <v>10.217960135550539</v>
      </c>
      <c r="Z258" s="96">
        <f>((Tableau!$G$35-P258)/(AE258^2+Tableau!$G$40^2)^(3/2))*Tableau!$G$39</f>
        <v>-78.951638275148383</v>
      </c>
      <c r="AA258" s="97">
        <f>((Tableau!$H$35-Q258)/(AE258^2+Tableau!$G$40^2)^(3/2))*Tableau!$G$39</f>
        <v>41.549064493077587</v>
      </c>
      <c r="AC258" s="110">
        <f>SQRT((Tableau!$G$16-P258)^2+(Tableau!$H$16-Q258)^2)</f>
        <v>71331.979229334684</v>
      </c>
      <c r="AD258" s="111">
        <f>SQRT((Tableau!$G$25-P258)^2+(Tableau!$H$25-Q258)^2)</f>
        <v>101668.5985025243</v>
      </c>
      <c r="AE258" s="112">
        <f>SQRT((Tableau!$G$35-P258)^2+(Tableau!$H$35-Q258)^2)</f>
        <v>75618.544596749285</v>
      </c>
    </row>
    <row r="259" spans="2:31" x14ac:dyDescent="0.25">
      <c r="B259" s="18">
        <v>256</v>
      </c>
      <c r="C259" s="19">
        <f>Tableau!$G$17*COS(B259*PI()/180)+Tableau!$G$16</f>
        <v>18790.39052200166</v>
      </c>
      <c r="D259" s="19">
        <f>Tableau!$G$17*SIN(B259*PI()/180)+Tableau!$H$16</f>
        <v>2648.5213686200177</v>
      </c>
      <c r="F259" s="26">
        <v>256</v>
      </c>
      <c r="G259" s="27">
        <f>Tableau!$G$26*COS(F259*PI()/180)+Tableau!$G$25</f>
        <v>-20846.726634598836</v>
      </c>
      <c r="H259" s="27">
        <f>Tableau!$G$26*SIN(F259*PI()/180)+Tableau!$H$25</f>
        <v>6603.9649580340119</v>
      </c>
      <c r="J259" s="34">
        <v>256</v>
      </c>
      <c r="K259" s="35">
        <f>Tableau!$G$36*COS(J259*PI()/180)+Tableau!$G$35</f>
        <v>-6209.6094779983387</v>
      </c>
      <c r="L259" s="35">
        <f>Tableau!$G$36*SIN(J259*PI()/180)+Tableau!$H$35</f>
        <v>-19851.478631379981</v>
      </c>
      <c r="N259" s="98">
        <v>255</v>
      </c>
      <c r="O259" s="99">
        <v>127.5</v>
      </c>
      <c r="P259" s="101">
        <f>P258+R258*Tableau!$G$2+((1/2)*T258)*Tableau!$G$2^2</f>
        <v>61750.276242828688</v>
      </c>
      <c r="Q259" s="101">
        <f>Q258+S258*Tableau!$G$2+((1/2)*U258)*Tableau!$G$2^2</f>
        <v>-49939.518847996711</v>
      </c>
      <c r="R259" s="101">
        <f>R258+T258*Tableau!$G$2</f>
        <v>-372.89380017330973</v>
      </c>
      <c r="S259" s="101">
        <f>S258+U258*Tableau!$G$2</f>
        <v>586.37551799560435</v>
      </c>
      <c r="T259" s="101">
        <f t="shared" si="6"/>
        <v>-152.88517320808538</v>
      </c>
      <c r="U259" s="101">
        <f t="shared" si="7"/>
        <v>133.48896523030584</v>
      </c>
      <c r="V259" s="101">
        <f>((Tableau!$G$16-P259)/(AC259^2+Tableau!$G$21^2)^(3/2))*Tableau!$G$20</f>
        <v>-59.280414771190124</v>
      </c>
      <c r="W259" s="101">
        <f>((Tableau!$H$16-Q259)/(AC259^2+Tableau!$G$21^2)^(3/2))*Tableau!$G$20</f>
        <v>81.557268789370241</v>
      </c>
      <c r="X259" s="101">
        <f>((Tableau!$G$25-P259)/(AD259^2+Tableau!$G$30^2)^(3/2))*Tableau!$G$29</f>
        <v>-13.994459145242361</v>
      </c>
      <c r="Y259" s="101">
        <f>((Tableau!$H$25-Q259)/(AD259^2+Tableau!$G$30^2)^(3/2))*Tableau!$G$29</f>
        <v>10.260774473864334</v>
      </c>
      <c r="Z259" s="101">
        <f>((Tableau!$G$35-P259)/(AE259^2+Tableau!$G$40^2)^(3/2))*Tableau!$G$39</f>
        <v>-79.610299291652893</v>
      </c>
      <c r="AA259" s="102">
        <f>((Tableau!$H$35-Q259)/(AE259^2+Tableau!$G$40^2)^(3/2))*Tableau!$G$39</f>
        <v>41.670921967071266</v>
      </c>
      <c r="AC259" s="113">
        <f>SQRT((Tableau!$G$16-P259)^2+(Tableau!$H$16-Q259)^2)</f>
        <v>71009.745048421872</v>
      </c>
      <c r="AD259" s="114">
        <f>SQRT((Tableau!$G$25-P259)^2+(Tableau!$H$25-Q259)^2)</f>
        <v>101369.88500293446</v>
      </c>
      <c r="AE259" s="115">
        <f>SQRT((Tableau!$G$35-P259)^2+(Tableau!$H$35-Q259)^2)</f>
        <v>75341.684052212819</v>
      </c>
    </row>
    <row r="260" spans="2:31" x14ac:dyDescent="0.25">
      <c r="B260" s="20">
        <v>257</v>
      </c>
      <c r="C260" s="21">
        <f>Tableau!$G$17*COS(B260*PI()/180)+Tableau!$G$16</f>
        <v>18875.244728280675</v>
      </c>
      <c r="D260" s="21">
        <f>Tableau!$G$17*SIN(B260*PI()/180)+Tableau!$H$16</f>
        <v>2628.1496760738246</v>
      </c>
      <c r="F260" s="28">
        <v>257</v>
      </c>
      <c r="G260" s="29">
        <f>Tableau!$G$26*COS(F260*PI()/180)+Tableau!$G$25</f>
        <v>-20787.328690203529</v>
      </c>
      <c r="H260" s="29">
        <f>Tableau!$G$26*SIN(F260*PI()/180)+Tableau!$H$25</f>
        <v>6589.7047732516767</v>
      </c>
      <c r="J260" s="36">
        <v>257</v>
      </c>
      <c r="K260" s="37">
        <f>Tableau!$G$36*COS(J260*PI()/180)+Tableau!$G$35</f>
        <v>-6124.7552717193266</v>
      </c>
      <c r="L260" s="37">
        <f>Tableau!$G$36*SIN(J260*PI()/180)+Tableau!$H$35</f>
        <v>-19871.850323926177</v>
      </c>
      <c r="N260" s="92">
        <v>256</v>
      </c>
      <c r="O260" s="93">
        <v>128</v>
      </c>
      <c r="P260" s="96">
        <f>P259+R259*Tableau!$G$2+((1/2)*T259)*Tableau!$G$2^2</f>
        <v>61544.718696091026</v>
      </c>
      <c r="Q260" s="96">
        <f>Q259+S259*Tableau!$G$2+((1/2)*U259)*Tableau!$G$2^2</f>
        <v>-49629.644968345121</v>
      </c>
      <c r="R260" s="96">
        <f>R259+T259*Tableau!$G$2</f>
        <v>-449.3363867773524</v>
      </c>
      <c r="S260" s="96">
        <f>S259+U259*Tableau!$G$2</f>
        <v>653.1200006107573</v>
      </c>
      <c r="T260" s="96">
        <f t="shared" ref="T260:T323" si="8">V260+X260+Z260</f>
        <v>-154.39438712520143</v>
      </c>
      <c r="U260" s="96">
        <f t="shared" ref="U260:U323" si="9">W260+Y260+AA260</f>
        <v>134.5239548472114</v>
      </c>
      <c r="V260" s="96">
        <f>((Tableau!$G$16-P260)/(AC260^2+Tableau!$G$21^2)^(3/2))*Tableau!$G$20</f>
        <v>-59.905747318892459</v>
      </c>
      <c r="W260" s="96">
        <f>((Tableau!$H$16-Q260)/(AC260^2+Tableau!$G$21^2)^(3/2))*Tableau!$G$20</f>
        <v>82.378559376639473</v>
      </c>
      <c r="X260" s="96">
        <f>((Tableau!$G$25-P260)/(AD260^2+Tableau!$G$30^2)^(3/2))*Tableau!$G$29</f>
        <v>-14.103718696198174</v>
      </c>
      <c r="Y260" s="96">
        <f>((Tableau!$H$25-Q260)/(AD260^2+Tableau!$G$30^2)^(3/2))*Tableau!$G$29</f>
        <v>10.313356303576565</v>
      </c>
      <c r="Z260" s="96">
        <f>((Tableau!$G$35-P260)/(AE260^2+Tableau!$G$40^2)^(3/2))*Tableau!$G$39</f>
        <v>-80.38492111011081</v>
      </c>
      <c r="AA260" s="97">
        <f>((Tableau!$H$35-Q260)/(AE260^2+Tableau!$G$40^2)^(3/2))*Tableau!$G$39</f>
        <v>41.832039166995358</v>
      </c>
      <c r="AC260" s="110">
        <f>SQRT((Tableau!$G$16-P260)^2+(Tableau!$H$16-Q260)^2)</f>
        <v>70638.233172599212</v>
      </c>
      <c r="AD260" s="111">
        <f>SQRT((Tableau!$G$25-P260)^2+(Tableau!$H$25-Q260)^2)</f>
        <v>101020.96666670492</v>
      </c>
      <c r="AE260" s="112">
        <f>SQRT((Tableau!$G$35-P260)^2+(Tableau!$H$35-Q260)^2)</f>
        <v>75016.077589910812</v>
      </c>
    </row>
    <row r="261" spans="2:31" x14ac:dyDescent="0.25">
      <c r="B261" s="18">
        <v>258</v>
      </c>
      <c r="C261" s="19">
        <f>Tableau!$G$17*COS(B261*PI()/180)+Tableau!$G$16</f>
        <v>18960.441545911202</v>
      </c>
      <c r="D261" s="19">
        <f>Tableau!$G$17*SIN(B261*PI()/180)+Tableau!$H$16</f>
        <v>2609.2619963309717</v>
      </c>
      <c r="F261" s="26">
        <v>258</v>
      </c>
      <c r="G261" s="27">
        <f>Tableau!$G$26*COS(F261*PI()/180)+Tableau!$G$25</f>
        <v>-20727.690917862161</v>
      </c>
      <c r="H261" s="27">
        <f>Tableau!$G$26*SIN(F261*PI()/180)+Tableau!$H$25</f>
        <v>6576.4833974316807</v>
      </c>
      <c r="J261" s="34">
        <v>258</v>
      </c>
      <c r="K261" s="35">
        <f>Tableau!$G$36*COS(J261*PI()/180)+Tableau!$G$35</f>
        <v>-6039.5584540887994</v>
      </c>
      <c r="L261" s="35">
        <f>Tableau!$G$36*SIN(J261*PI()/180)+Tableau!$H$35</f>
        <v>-19890.73800366903</v>
      </c>
      <c r="N261" s="98">
        <v>257</v>
      </c>
      <c r="O261" s="99">
        <v>128.5</v>
      </c>
      <c r="P261" s="101">
        <f>P260+R260*Tableau!$G$2+((1/2)*T260)*Tableau!$G$2^2</f>
        <v>61300.751204311695</v>
      </c>
      <c r="Q261" s="101">
        <f>Q260+S260*Tableau!$G$2+((1/2)*U260)*Tableau!$G$2^2</f>
        <v>-49286.269473683846</v>
      </c>
      <c r="R261" s="101">
        <f>R260+T260*Tableau!$G$2</f>
        <v>-526.53358033995312</v>
      </c>
      <c r="S261" s="101">
        <f>S260+U260*Tableau!$G$2</f>
        <v>720.38197803436299</v>
      </c>
      <c r="T261" s="101">
        <f t="shared" si="8"/>
        <v>-156.12042982932198</v>
      </c>
      <c r="U261" s="101">
        <f t="shared" si="9"/>
        <v>135.74527710203023</v>
      </c>
      <c r="V261" s="101">
        <f>((Tableau!$G$16-P261)/(AC261^2+Tableau!$G$21^2)^(3/2))*Tableau!$G$20</f>
        <v>-60.610601061948188</v>
      </c>
      <c r="W261" s="101">
        <f>((Tableau!$H$16-Q261)/(AC261^2+Tableau!$G$21^2)^(3/2))*Tableau!$G$20</f>
        <v>83.336254777526122</v>
      </c>
      <c r="X261" s="101">
        <f>((Tableau!$G$25-P261)/(AD261^2+Tableau!$G$30^2)^(3/2))*Tableau!$G$29</f>
        <v>-14.228875575995701</v>
      </c>
      <c r="Y261" s="101">
        <f>((Tableau!$H$25-Q261)/(AD261^2+Tableau!$G$30^2)^(3/2))*Tableau!$G$29</f>
        <v>10.376004393687095</v>
      </c>
      <c r="Z261" s="101">
        <f>((Tableau!$G$35-P261)/(AE261^2+Tableau!$G$40^2)^(3/2))*Tableau!$G$39</f>
        <v>-81.280953191378089</v>
      </c>
      <c r="AA261" s="102">
        <f>((Tableau!$H$35-Q261)/(AE261^2+Tableau!$G$40^2)^(3/2))*Tableau!$G$39</f>
        <v>42.033017930817024</v>
      </c>
      <c r="AC261" s="113">
        <f>SQRT((Tableau!$G$16-P261)^2+(Tableau!$H$16-Q261)^2)</f>
        <v>70217.038180047806</v>
      </c>
      <c r="AD261" s="114">
        <f>SQRT((Tableau!$G$25-P261)^2+(Tableau!$H$25-Q261)^2)</f>
        <v>100621.43854314371</v>
      </c>
      <c r="AE261" s="115">
        <f>SQRT((Tableau!$G$35-P261)^2+(Tableau!$H$35-Q261)^2)</f>
        <v>74641.395248736502</v>
      </c>
    </row>
    <row r="262" spans="2:31" x14ac:dyDescent="0.25">
      <c r="B262" s="20">
        <v>259</v>
      </c>
      <c r="C262" s="21">
        <f>Tableau!$G$17*COS(B262*PI()/180)+Tableau!$G$16</f>
        <v>19045.955023117273</v>
      </c>
      <c r="D262" s="21">
        <f>Tableau!$G$17*SIN(B262*PI()/180)+Tableau!$H$16</f>
        <v>2591.8640827616809</v>
      </c>
      <c r="F262" s="28">
        <v>259</v>
      </c>
      <c r="G262" s="29">
        <f>Tableau!$G$26*COS(F262*PI()/180)+Tableau!$G$25</f>
        <v>-20667.83148381791</v>
      </c>
      <c r="H262" s="29">
        <f>Tableau!$G$26*SIN(F262*PI()/180)+Tableau!$H$25</f>
        <v>6564.3048579331771</v>
      </c>
      <c r="J262" s="36">
        <v>259</v>
      </c>
      <c r="K262" s="37">
        <f>Tableau!$G$36*COS(J262*PI()/180)+Tableau!$G$35</f>
        <v>-5954.0449768827275</v>
      </c>
      <c r="L262" s="37">
        <f>Tableau!$G$36*SIN(J262*PI()/180)+Tableau!$H$35</f>
        <v>-19908.13591723832</v>
      </c>
      <c r="N262" s="92">
        <v>258</v>
      </c>
      <c r="O262" s="93">
        <v>129</v>
      </c>
      <c r="P262" s="96">
        <f>P261+R261*Tableau!$G$2+((1/2)*T261)*Tableau!$G$2^2</f>
        <v>61017.969360413052</v>
      </c>
      <c r="Q262" s="96">
        <f>Q261+S261*Tableau!$G$2+((1/2)*U261)*Tableau!$G$2^2</f>
        <v>-48909.110325028909</v>
      </c>
      <c r="R262" s="96">
        <f>R261+T261*Tableau!$G$2</f>
        <v>-604.59379525461407</v>
      </c>
      <c r="S262" s="96">
        <f>S261+U261*Tableau!$G$2</f>
        <v>788.25461658537813</v>
      </c>
      <c r="T262" s="96">
        <f t="shared" si="8"/>
        <v>-158.07499657809967</v>
      </c>
      <c r="U262" s="96">
        <f t="shared" si="9"/>
        <v>137.16203638017882</v>
      </c>
      <c r="V262" s="96">
        <f>((Tableau!$G$16-P262)/(AC262^2+Tableau!$G$21^2)^(3/2))*Tableau!$G$20</f>
        <v>-61.399460211333199</v>
      </c>
      <c r="W262" s="96">
        <f>((Tableau!$H$16-Q262)/(AC262^2+Tableau!$G$21^2)^(3/2))*Tableau!$G$20</f>
        <v>84.438332247158314</v>
      </c>
      <c r="X262" s="96">
        <f>((Tableau!$G$25-P262)/(AD262^2+Tableau!$G$30^2)^(3/2))*Tableau!$G$29</f>
        <v>-14.370665158680819</v>
      </c>
      <c r="Y262" s="96">
        <f>((Tableau!$H$25-Q262)/(AD262^2+Tableau!$G$30^2)^(3/2))*Tableau!$G$29</f>
        <v>10.449078222521145</v>
      </c>
      <c r="Z262" s="96">
        <f>((Tableau!$G$35-P262)/(AE262^2+Tableau!$G$40^2)^(3/2))*Tableau!$G$39</f>
        <v>-82.304871208085643</v>
      </c>
      <c r="AA262" s="97">
        <f>((Tableau!$H$35-Q262)/(AE262^2+Tableau!$G$40^2)^(3/2))*Tableau!$G$39</f>
        <v>42.274625910499374</v>
      </c>
      <c r="AC262" s="110">
        <f>SQRT((Tableau!$G$16-P262)^2+(Tableau!$H$16-Q262)^2)</f>
        <v>69745.691896439501</v>
      </c>
      <c r="AD262" s="111">
        <f>SQRT((Tableau!$G$25-P262)^2+(Tableau!$H$25-Q262)^2)</f>
        <v>100170.82728305311</v>
      </c>
      <c r="AE262" s="112">
        <f>SQRT((Tableau!$G$35-P262)^2+(Tableau!$H$35-Q262)^2)</f>
        <v>74217.248948660301</v>
      </c>
    </row>
    <row r="263" spans="2:31" x14ac:dyDescent="0.25">
      <c r="B263" s="18">
        <v>260</v>
      </c>
      <c r="C263" s="19">
        <f>Tableau!$G$17*COS(B263*PI()/180)+Tableau!$G$16</f>
        <v>19131.759111665349</v>
      </c>
      <c r="D263" s="19">
        <f>Tableau!$G$17*SIN(B263*PI()/180)+Tableau!$H$16</f>
        <v>2575.9612349389599</v>
      </c>
      <c r="F263" s="26">
        <v>260</v>
      </c>
      <c r="G263" s="27">
        <f>Tableau!$G$26*COS(F263*PI()/180)+Tableau!$G$25</f>
        <v>-20607.768621834257</v>
      </c>
      <c r="H263" s="27">
        <f>Tableau!$G$26*SIN(F263*PI()/180)+Tableau!$H$25</f>
        <v>6553.1728644572722</v>
      </c>
      <c r="J263" s="34">
        <v>260</v>
      </c>
      <c r="K263" s="35">
        <f>Tableau!$G$36*COS(J263*PI()/180)+Tableau!$G$35</f>
        <v>-5868.2408883346516</v>
      </c>
      <c r="L263" s="35">
        <f>Tableau!$G$36*SIN(J263*PI()/180)+Tableau!$H$35</f>
        <v>-19924.038765061039</v>
      </c>
      <c r="N263" s="98">
        <v>259</v>
      </c>
      <c r="O263" s="99">
        <v>129.5</v>
      </c>
      <c r="P263" s="101">
        <f>P262+R262*Tableau!$G$2+((1/2)*T262)*Tableau!$G$2^2</f>
        <v>60695.913088213485</v>
      </c>
      <c r="Q263" s="101">
        <f>Q262+S262*Tableau!$G$2+((1/2)*U262)*Tableau!$G$2^2</f>
        <v>-48497.837762188698</v>
      </c>
      <c r="R263" s="101">
        <f>R262+T262*Tableau!$G$2</f>
        <v>-683.6312935436639</v>
      </c>
      <c r="S263" s="101">
        <f>S262+U262*Tableau!$G$2</f>
        <v>856.8356347754675</v>
      </c>
      <c r="T263" s="101">
        <f t="shared" si="8"/>
        <v>-160.27171692565327</v>
      </c>
      <c r="U263" s="101">
        <f t="shared" si="9"/>
        <v>138.78501416507748</v>
      </c>
      <c r="V263" s="101">
        <f>((Tableau!$G$16-P263)/(AC263^2+Tableau!$G$21^2)^(3/2))*Tableau!$G$20</f>
        <v>-62.277481664113992</v>
      </c>
      <c r="W263" s="101">
        <f>((Tableau!$H$16-Q263)/(AC263^2+Tableau!$G$21^2)^(3/2))*Tableau!$G$20</f>
        <v>85.694214721398467</v>
      </c>
      <c r="X263" s="101">
        <f>((Tableau!$G$25-P263)/(AD263^2+Tableau!$G$30^2)^(3/2))*Tableau!$G$29</f>
        <v>-14.529943920376258</v>
      </c>
      <c r="Y263" s="101">
        <f>((Tableau!$H$25-Q263)/(AD263^2+Tableau!$G$30^2)^(3/2))*Tableau!$G$29</f>
        <v>10.533003092966029</v>
      </c>
      <c r="Z263" s="101">
        <f>((Tableau!$G$35-P263)/(AE263^2+Tableau!$G$40^2)^(3/2))*Tableau!$G$39</f>
        <v>-83.464291341163033</v>
      </c>
      <c r="AA263" s="102">
        <f>((Tableau!$H$35-Q263)/(AE263^2+Tableau!$G$40^2)^(3/2))*Tableau!$G$39</f>
        <v>42.557796350713005</v>
      </c>
      <c r="AC263" s="113">
        <f>SQRT((Tableau!$G$16-P263)^2+(Tableau!$H$16-Q263)^2)</f>
        <v>69223.660522424208</v>
      </c>
      <c r="AD263" s="114">
        <f>SQRT((Tableau!$G$25-P263)^2+(Tableau!$H$25-Q263)^2)</f>
        <v>99668.587890026072</v>
      </c>
      <c r="AE263" s="115">
        <f>SQRT((Tableau!$G$35-P263)^2+(Tableau!$H$35-Q263)^2)</f>
        <v>73743.190405867397</v>
      </c>
    </row>
    <row r="264" spans="2:31" x14ac:dyDescent="0.25">
      <c r="B264" s="20">
        <v>261</v>
      </c>
      <c r="C264" s="21">
        <f>Tableau!$G$17*COS(B264*PI()/180)+Tableau!$G$16</f>
        <v>19217.827674798846</v>
      </c>
      <c r="D264" s="21">
        <f>Tableau!$G$17*SIN(B264*PI()/180)+Tableau!$H$16</f>
        <v>2561.5582970243113</v>
      </c>
      <c r="F264" s="28">
        <v>261</v>
      </c>
      <c r="G264" s="29">
        <f>Tableau!$G$26*COS(F264*PI()/180)+Tableau!$G$25</f>
        <v>-20547.52062764081</v>
      </c>
      <c r="H264" s="29">
        <f>Tableau!$G$26*SIN(F264*PI()/180)+Tableau!$H$25</f>
        <v>6543.0908079170185</v>
      </c>
      <c r="J264" s="36">
        <v>261</v>
      </c>
      <c r="K264" s="37">
        <f>Tableau!$G$36*COS(J264*PI()/180)+Tableau!$G$35</f>
        <v>-5782.1723252011552</v>
      </c>
      <c r="L264" s="37">
        <f>Tableau!$G$36*SIN(J264*PI()/180)+Tableau!$H$35</f>
        <v>-19938.441702975688</v>
      </c>
      <c r="N264" s="92">
        <v>260</v>
      </c>
      <c r="O264" s="93">
        <v>130</v>
      </c>
      <c r="P264" s="96">
        <f>P263+R263*Tableau!$G$2+((1/2)*T263)*Tableau!$G$2^2</f>
        <v>60334.063476825948</v>
      </c>
      <c r="Q264" s="96">
        <f>Q263+S263*Tableau!$G$2+((1/2)*U263)*Tableau!$G$2^2</f>
        <v>-48052.071818030323</v>
      </c>
      <c r="R264" s="96">
        <f>R263+T263*Tableau!$G$2</f>
        <v>-763.76715200649051</v>
      </c>
      <c r="S264" s="96">
        <f>S263+U263*Tableau!$G$2</f>
        <v>926.22814185800621</v>
      </c>
      <c r="T264" s="96">
        <f t="shared" si="8"/>
        <v>-162.72638894613033</v>
      </c>
      <c r="U264" s="96">
        <f t="shared" si="9"/>
        <v>140.62687005724536</v>
      </c>
      <c r="V264" s="96">
        <f>((Tableau!$G$16-P264)/(AC264^2+Tableau!$G$21^2)^(3/2))*Tableau!$G$20</f>
        <v>-63.250576707044786</v>
      </c>
      <c r="W264" s="96">
        <f>((Tableau!$H$16-Q264)/(AC264^2+Tableau!$G$21^2)^(3/2))*Tableau!$G$20</f>
        <v>87.114966281054095</v>
      </c>
      <c r="X264" s="96">
        <f>((Tableau!$G$25-P264)/(AD264^2+Tableau!$G$30^2)^(3/2))*Tableau!$G$29</f>
        <v>-14.707702913249497</v>
      </c>
      <c r="Y264" s="96">
        <f>((Tableau!$H$25-Q264)/(AD264^2+Tableau!$G$30^2)^(3/2))*Tableau!$G$29</f>
        <v>10.628276335660697</v>
      </c>
      <c r="Z264" s="96">
        <f>((Tableau!$G$35-P264)/(AE264^2+Tableau!$G$40^2)^(3/2))*Tableau!$G$39</f>
        <v>-84.768109325836036</v>
      </c>
      <c r="AA264" s="97">
        <f>((Tableau!$H$35-Q264)/(AE264^2+Tableau!$G$40^2)^(3/2))*Tableau!$G$39</f>
        <v>42.88362744053056</v>
      </c>
      <c r="AC264" s="110">
        <f>SQRT((Tableau!$G$16-P264)^2+(Tableau!$H$16-Q264)^2)</f>
        <v>68650.341294331694</v>
      </c>
      <c r="AD264" s="111">
        <f>SQRT((Tableau!$G$25-P264)^2+(Tableau!$H$25-Q264)^2)</f>
        <v>99114.099890300422</v>
      </c>
      <c r="AE264" s="112">
        <f>SQRT((Tableau!$G$35-P264)^2+(Tableau!$H$35-Q264)^2)</f>
        <v>73218.708687453342</v>
      </c>
    </row>
    <row r="265" spans="2:31" x14ac:dyDescent="0.25">
      <c r="B265" s="18">
        <v>262</v>
      </c>
      <c r="C265" s="19">
        <f>Tableau!$G$17*COS(B265*PI()/180)+Tableau!$G$16</f>
        <v>19304.134495199676</v>
      </c>
      <c r="D265" s="19">
        <f>Tableau!$G$17*SIN(B265*PI()/180)+Tableau!$H$16</f>
        <v>2548.6596562921486</v>
      </c>
      <c r="F265" s="26">
        <v>262</v>
      </c>
      <c r="G265" s="27">
        <f>Tableau!$G$26*COS(F265*PI()/180)+Tableau!$G$25</f>
        <v>-20487.105853360226</v>
      </c>
      <c r="H265" s="27">
        <f>Tableau!$G$26*SIN(F265*PI()/180)+Tableau!$H$25</f>
        <v>6534.0617594045034</v>
      </c>
      <c r="J265" s="34">
        <v>262</v>
      </c>
      <c r="K265" s="35">
        <f>Tableau!$G$36*COS(J265*PI()/180)+Tableau!$G$35</f>
        <v>-5695.8655048003247</v>
      </c>
      <c r="L265" s="35">
        <f>Tableau!$G$36*SIN(J265*PI()/180)+Tableau!$H$35</f>
        <v>-19951.340343707852</v>
      </c>
      <c r="N265" s="98">
        <v>261</v>
      </c>
      <c r="O265" s="99">
        <v>130.5</v>
      </c>
      <c r="P265" s="101">
        <f>P264+R264*Tableau!$G$2+((1/2)*T264)*Tableau!$G$2^2</f>
        <v>59931.839102204438</v>
      </c>
      <c r="Q265" s="101">
        <f>Q264+S264*Tableau!$G$2+((1/2)*U264)*Tableau!$G$2^2</f>
        <v>-47571.379388344161</v>
      </c>
      <c r="R265" s="101">
        <f>R264+T264*Tableau!$G$2</f>
        <v>-845.13034647955567</v>
      </c>
      <c r="S265" s="101">
        <f>S264+U264*Tableau!$G$2</f>
        <v>996.54157688662895</v>
      </c>
      <c r="T265" s="101">
        <f t="shared" si="8"/>
        <v>-165.45726064321272</v>
      </c>
      <c r="U265" s="101">
        <f t="shared" si="9"/>
        <v>142.70238626414138</v>
      </c>
      <c r="V265" s="101">
        <f>((Tableau!$G$16-P265)/(AC265^2+Tableau!$G$21^2)^(3/2))*Tableau!$G$20</f>
        <v>-64.325507784981014</v>
      </c>
      <c r="W265" s="101">
        <f>((Tableau!$H$16-Q265)/(AC265^2+Tableau!$G$21^2)^(3/2))*Tableau!$G$20</f>
        <v>88.713530937246801</v>
      </c>
      <c r="X265" s="101">
        <f>((Tableau!$G$25-P265)/(AD265^2+Tableau!$G$30^2)^(3/2))*Tableau!$G$29</f>
        <v>-14.905083936836052</v>
      </c>
      <c r="Y265" s="101">
        <f>((Tableau!$H$25-Q265)/(AD265^2+Tableau!$G$30^2)^(3/2))*Tableau!$G$29</f>
        <v>10.735474771767599</v>
      </c>
      <c r="Z265" s="101">
        <f>((Tableau!$G$35-P265)/(AE265^2+Tableau!$G$40^2)^(3/2))*Tableau!$G$39</f>
        <v>-86.226668921395657</v>
      </c>
      <c r="AA265" s="102">
        <f>((Tableau!$H$35-Q265)/(AE265^2+Tableau!$G$40^2)^(3/2))*Tableau!$G$39</f>
        <v>43.253380555126974</v>
      </c>
      <c r="AC265" s="113">
        <f>SQRT((Tableau!$G$16-P265)^2+(Tableau!$H$16-Q265)^2)</f>
        <v>68025.058631501975</v>
      </c>
      <c r="AD265" s="114">
        <f>SQRT((Tableau!$G$25-P265)^2+(Tableau!$H$25-Q265)^2)</f>
        <v>98506.66285555184</v>
      </c>
      <c r="AE265" s="115">
        <f>SQRT((Tableau!$G$35-P265)^2+(Tableau!$H$35-Q265)^2)</f>
        <v>72643.227381869641</v>
      </c>
    </row>
    <row r="266" spans="2:31" x14ac:dyDescent="0.25">
      <c r="B266" s="20">
        <v>263</v>
      </c>
      <c r="C266" s="21">
        <f>Tableau!$G$17*COS(B266*PI()/180)+Tableau!$G$16</f>
        <v>19390.653282974265</v>
      </c>
      <c r="D266" s="21">
        <f>Tableau!$G$17*SIN(B266*PI()/180)+Tableau!$H$16</f>
        <v>2537.2692417933895</v>
      </c>
      <c r="F266" s="28">
        <v>263</v>
      </c>
      <c r="G266" s="29">
        <f>Tableau!$G$26*COS(F266*PI()/180)+Tableau!$G$25</f>
        <v>-20426.542701918013</v>
      </c>
      <c r="H266" s="29">
        <f>Tableau!$G$26*SIN(F266*PI()/180)+Tableau!$H$25</f>
        <v>6526.0884692553727</v>
      </c>
      <c r="J266" s="36">
        <v>263</v>
      </c>
      <c r="K266" s="37">
        <f>Tableau!$G$36*COS(J266*PI()/180)+Tableau!$G$35</f>
        <v>-5609.3467170257354</v>
      </c>
      <c r="L266" s="37">
        <f>Tableau!$G$36*SIN(J266*PI()/180)+Tableau!$H$35</f>
        <v>-19962.73075820661</v>
      </c>
      <c r="N266" s="92">
        <v>262</v>
      </c>
      <c r="O266" s="93">
        <v>131</v>
      </c>
      <c r="P266" s="96">
        <f>P265+R265*Tableau!$G$2+((1/2)*T265)*Tableau!$G$2^2</f>
        <v>59488.591771384265</v>
      </c>
      <c r="Q266" s="96">
        <f>Q265+S265*Tableau!$G$2+((1/2)*U265)*Tableau!$G$2^2</f>
        <v>-47055.270801617829</v>
      </c>
      <c r="R266" s="96">
        <f>R265+T265*Tableau!$G$2</f>
        <v>-927.85897680116204</v>
      </c>
      <c r="S266" s="96">
        <f>S265+U265*Tableau!$G$2</f>
        <v>1067.8927700186996</v>
      </c>
      <c r="T266" s="96">
        <f t="shared" si="8"/>
        <v>-168.48536772742273</v>
      </c>
      <c r="U266" s="96">
        <f t="shared" si="9"/>
        <v>145.02876444638994</v>
      </c>
      <c r="V266" s="96">
        <f>((Tableau!$G$16-P266)/(AC266^2+Tableau!$G$21^2)^(3/2))*Tableau!$G$20</f>
        <v>-65.51000310768903</v>
      </c>
      <c r="W266" s="96">
        <f>((Tableau!$H$16-Q266)/(AC266^2+Tableau!$G$21^2)^(3/2))*Tableau!$G$20</f>
        <v>90.505024348441523</v>
      </c>
      <c r="X266" s="96">
        <f>((Tableau!$G$25-P266)/(AD266^2+Tableau!$G$30^2)^(3/2))*Tableau!$G$29</f>
        <v>-15.123398919311661</v>
      </c>
      <c r="Y266" s="96">
        <f>((Tableau!$H$25-Q266)/(AD266^2+Tableau!$G$30^2)^(3/2))*Tableau!$G$29</f>
        <v>10.855263649202712</v>
      </c>
      <c r="Z266" s="96">
        <f>((Tableau!$G$35-P266)/(AE266^2+Tableau!$G$40^2)^(3/2))*Tableau!$G$39</f>
        <v>-87.851965700422042</v>
      </c>
      <c r="AA266" s="97">
        <f>((Tableau!$H$35-Q266)/(AE266^2+Tableau!$G$40^2)^(3/2))*Tableau!$G$39</f>
        <v>43.668476448745707</v>
      </c>
      <c r="AC266" s="110">
        <f>SQRT((Tableau!$G$16-P266)^2+(Tableau!$H$16-Q266)^2)</f>
        <v>67347.05971551314</v>
      </c>
      <c r="AD266" s="111">
        <f>SQRT((Tableau!$G$25-P266)^2+(Tableau!$H$25-Q266)^2)</f>
        <v>97845.491199358396</v>
      </c>
      <c r="AE266" s="112">
        <f>SQRT((Tableau!$G$35-P266)^2+(Tableau!$H$35-Q266)^2)</f>
        <v>72016.101358108135</v>
      </c>
    </row>
    <row r="267" spans="2:31" x14ac:dyDescent="0.25">
      <c r="B267" s="18">
        <v>264</v>
      </c>
      <c r="C267" s="19">
        <f>Tableau!$G$17*COS(B267*PI()/180)+Tableau!$G$16</f>
        <v>19477.357683661732</v>
      </c>
      <c r="D267" s="19">
        <f>Tableau!$G$17*SIN(B267*PI()/180)+Tableau!$H$16</f>
        <v>2527.3905231586332</v>
      </c>
      <c r="F267" s="26">
        <v>264</v>
      </c>
      <c r="G267" s="27">
        <f>Tableau!$G$26*COS(F267*PI()/180)+Tableau!$G$25</f>
        <v>-20365.849621436788</v>
      </c>
      <c r="H267" s="27">
        <f>Tableau!$G$26*SIN(F267*PI()/180)+Tableau!$H$25</f>
        <v>6519.1733662110437</v>
      </c>
      <c r="J267" s="34">
        <v>264</v>
      </c>
      <c r="K267" s="35">
        <f>Tableau!$G$36*COS(J267*PI()/180)+Tableau!$G$35</f>
        <v>-5522.6423163382669</v>
      </c>
      <c r="L267" s="35">
        <f>Tableau!$G$36*SIN(J267*PI()/180)+Tableau!$H$35</f>
        <v>-19972.609476841368</v>
      </c>
      <c r="N267" s="98">
        <v>263</v>
      </c>
      <c r="O267" s="99">
        <v>131.5</v>
      </c>
      <c r="P267" s="101">
        <f>P266+R266*Tableau!$G$2+((1/2)*T266)*Tableau!$G$2^2</f>
        <v>59003.601612017759</v>
      </c>
      <c r="Q267" s="101">
        <f>Q266+S266*Tableau!$G$2+((1/2)*U266)*Tableau!$G$2^2</f>
        <v>-46503.195821052679</v>
      </c>
      <c r="R267" s="101">
        <f>R266+T266*Tableau!$G$2</f>
        <v>-1012.1016606648734</v>
      </c>
      <c r="S267" s="101">
        <f>S266+U266*Tableau!$G$2</f>
        <v>1140.4071522418947</v>
      </c>
      <c r="T267" s="101">
        <f t="shared" si="8"/>
        <v>-171.83493922736992</v>
      </c>
      <c r="U267" s="101">
        <f t="shared" si="9"/>
        <v>147.62598621007399</v>
      </c>
      <c r="V267" s="101">
        <f>((Tableau!$G$16-P267)/(AC267^2+Tableau!$G$21^2)^(3/2))*Tableau!$G$20</f>
        <v>-66.812892474885061</v>
      </c>
      <c r="W267" s="101">
        <f>((Tableau!$H$16-Q267)/(AC267^2+Tableau!$G$21^2)^(3/2))*Tableau!$G$20</f>
        <v>92.507090795954269</v>
      </c>
      <c r="X267" s="101">
        <f>((Tableau!$G$25-P267)/(AD267^2+Tableau!$G$30^2)^(3/2))*Tableau!$G$29</f>
        <v>-15.364153151428859</v>
      </c>
      <c r="Y267" s="101">
        <f>((Tableau!$H$25-Q267)/(AD267^2+Tableau!$G$30^2)^(3/2))*Tableau!$G$29</f>
        <v>10.988407318480688</v>
      </c>
      <c r="Z267" s="101">
        <f>((Tableau!$G$35-P267)/(AE267^2+Tableau!$G$40^2)^(3/2))*Tableau!$G$39</f>
        <v>-89.657893601056003</v>
      </c>
      <c r="AA267" s="102">
        <f>((Tableau!$H$35-Q267)/(AE267^2+Tableau!$G$40^2)^(3/2))*Tableau!$G$39</f>
        <v>44.130488095639031</v>
      </c>
      <c r="AC267" s="113">
        <f>SQRT((Tableau!$G$16-P267)^2+(Tableau!$H$16-Q267)^2)</f>
        <v>66615.509437337154</v>
      </c>
      <c r="AD267" s="114">
        <f>SQRT((Tableau!$G$25-P267)^2+(Tableau!$H$25-Q267)^2)</f>
        <v>97129.708151845276</v>
      </c>
      <c r="AE267" s="115">
        <f>SQRT((Tableau!$G$35-P267)^2+(Tableau!$H$35-Q267)^2)</f>
        <v>71336.613083671647</v>
      </c>
    </row>
    <row r="268" spans="2:31" x14ac:dyDescent="0.25">
      <c r="B268" s="20">
        <v>265</v>
      </c>
      <c r="C268" s="21">
        <f>Tableau!$G$17*COS(B268*PI()/180)+Tableau!$G$16</f>
        <v>19564.221286261709</v>
      </c>
      <c r="D268" s="21">
        <f>Tableau!$G$17*SIN(B268*PI()/180)+Tableau!$H$16</f>
        <v>2519.0265095412724</v>
      </c>
      <c r="F268" s="28">
        <v>265</v>
      </c>
      <c r="G268" s="29">
        <f>Tableau!$G$26*COS(F268*PI()/180)+Tableau!$G$25</f>
        <v>-20305.045099616804</v>
      </c>
      <c r="H268" s="29">
        <f>Tableau!$G$26*SIN(F268*PI()/180)+Tableau!$H$25</f>
        <v>6513.3185566788907</v>
      </c>
      <c r="J268" s="36">
        <v>265</v>
      </c>
      <c r="K268" s="37">
        <f>Tableau!$G$36*COS(J268*PI()/180)+Tableau!$G$35</f>
        <v>-5435.7787137382911</v>
      </c>
      <c r="L268" s="37">
        <f>Tableau!$G$36*SIN(J268*PI()/180)+Tableau!$H$35</f>
        <v>-19980.973490458728</v>
      </c>
      <c r="N268" s="92">
        <v>264</v>
      </c>
      <c r="O268" s="93">
        <v>132</v>
      </c>
      <c r="P268" s="96">
        <f>P267+R267*Tableau!$G$2+((1/2)*T267)*Tableau!$G$2^2</f>
        <v>58476.071414281898</v>
      </c>
      <c r="Q268" s="96">
        <f>Q267+S267*Tableau!$G$2+((1/2)*U267)*Tableau!$G$2^2</f>
        <v>-45914.538996655472</v>
      </c>
      <c r="R268" s="96">
        <f>R267+T267*Tableau!$G$2</f>
        <v>-1098.0191302785584</v>
      </c>
      <c r="S268" s="96">
        <f>S267+U267*Tableau!$G$2</f>
        <v>1214.2201453469318</v>
      </c>
      <c r="T268" s="96">
        <f t="shared" si="8"/>
        <v>-175.53388528321878</v>
      </c>
      <c r="U268" s="96">
        <f t="shared" si="9"/>
        <v>150.5172516380004</v>
      </c>
      <c r="V268" s="96">
        <f>((Tableau!$G$16-P268)/(AC268^2+Tableau!$G$21^2)^(3/2))*Tableau!$G$20</f>
        <v>-68.244268437386808</v>
      </c>
      <c r="W268" s="96">
        <f>((Tableau!$H$16-Q268)/(AC268^2+Tableau!$G$21^2)^(3/2))*Tableau!$G$20</f>
        <v>94.740341301943587</v>
      </c>
      <c r="X268" s="96">
        <f>((Tableau!$G$25-P268)/(AD268^2+Tableau!$G$30^2)^(3/2))*Tableau!$G$29</f>
        <v>-15.629073181502282</v>
      </c>
      <c r="Y268" s="96">
        <f>((Tableau!$H$25-Q268)/(AD268^2+Tableau!$G$30^2)^(3/2))*Tableau!$G$29</f>
        <v>11.135781979647511</v>
      </c>
      <c r="Z268" s="96">
        <f>((Tableau!$G$35-P268)/(AE268^2+Tableau!$G$40^2)^(3/2))*Tableau!$G$39</f>
        <v>-91.660543664329694</v>
      </c>
      <c r="AA268" s="97">
        <f>((Tableau!$H$35-Q268)/(AE268^2+Tableau!$G$40^2)^(3/2))*Tableau!$G$39</f>
        <v>44.641128356409304</v>
      </c>
      <c r="AC268" s="110">
        <f>SQRT((Tableau!$G$16-P268)^2+(Tableau!$H$16-Q268)^2)</f>
        <v>65829.484637980786</v>
      </c>
      <c r="AD268" s="111">
        <f>SQRT((Tableau!$G$25-P268)^2+(Tableau!$H$25-Q268)^2)</f>
        <v>96358.338797573611</v>
      </c>
      <c r="AE268" s="112">
        <f>SQRT((Tableau!$G$35-P268)^2+(Tableau!$H$35-Q268)^2)</f>
        <v>70603.968468966021</v>
      </c>
    </row>
    <row r="269" spans="2:31" x14ac:dyDescent="0.25">
      <c r="B269" s="18">
        <v>266</v>
      </c>
      <c r="C269" s="19">
        <f>Tableau!$G$17*COS(B269*PI()/180)+Tableau!$G$16</f>
        <v>19651.217631279371</v>
      </c>
      <c r="D269" s="19">
        <f>Tableau!$G$17*SIN(B269*PI()/180)+Tableau!$H$16</f>
        <v>2512.1797487008789</v>
      </c>
      <c r="F269" s="26">
        <v>266</v>
      </c>
      <c r="G269" s="27">
        <f>Tableau!$G$26*COS(F269*PI()/180)+Tableau!$G$25</f>
        <v>-20244.147658104441</v>
      </c>
      <c r="H269" s="27">
        <f>Tableau!$G$26*SIN(F269*PI()/180)+Tableau!$H$25</f>
        <v>6508.5258240906151</v>
      </c>
      <c r="J269" s="34">
        <v>266</v>
      </c>
      <c r="K269" s="35">
        <f>Tableau!$G$36*COS(J269*PI()/180)+Tableau!$G$35</f>
        <v>-5348.7823687206283</v>
      </c>
      <c r="L269" s="35">
        <f>Tableau!$G$36*SIN(J269*PI()/180)+Tableau!$H$35</f>
        <v>-19987.820251299119</v>
      </c>
      <c r="N269" s="98">
        <v>265</v>
      </c>
      <c r="O269" s="99">
        <v>132.5</v>
      </c>
      <c r="P269" s="101">
        <f>P268+R268*Tableau!$G$2+((1/2)*T268)*Tableau!$G$2^2</f>
        <v>57905.120113482219</v>
      </c>
      <c r="Q269" s="101">
        <f>Q268+S268*Tableau!$G$2+((1/2)*U268)*Tableau!$G$2^2</f>
        <v>-45288.614267527257</v>
      </c>
      <c r="R269" s="101">
        <f>R268+T268*Tableau!$G$2</f>
        <v>-1185.7860729201677</v>
      </c>
      <c r="S269" s="101">
        <f>S268+U268*Tableau!$G$2</f>
        <v>1289.4787711659319</v>
      </c>
      <c r="T269" s="101">
        <f t="shared" si="8"/>
        <v>-179.61438512763226</v>
      </c>
      <c r="U269" s="101">
        <f t="shared" si="9"/>
        <v>153.72951429433971</v>
      </c>
      <c r="V269" s="101">
        <f>((Tableau!$G$16-P269)/(AC269^2+Tableau!$G$21^2)^(3/2))*Tableau!$G$20</f>
        <v>-69.815677808177384</v>
      </c>
      <c r="W269" s="101">
        <f>((Tableau!$H$16-Q269)/(AC269^2+Tableau!$G$21^2)^(3/2))*Tableau!$G$20</f>
        <v>97.228893474234823</v>
      </c>
      <c r="X269" s="101">
        <f>((Tableau!$G$25-P269)/(AD269^2+Tableau!$G$30^2)^(3/2))*Tableau!$G$29</f>
        <v>-15.920140392550357</v>
      </c>
      <c r="Y269" s="101">
        <f>((Tableau!$H$25-Q269)/(AD269^2+Tableau!$G$30^2)^(3/2))*Tableau!$G$29</f>
        <v>11.298390914055844</v>
      </c>
      <c r="Z269" s="101">
        <f>((Tableau!$G$35-P269)/(AE269^2+Tableau!$G$40^2)^(3/2))*Tableau!$G$39</f>
        <v>-93.878566926904512</v>
      </c>
      <c r="AA269" s="102">
        <f>((Tableau!$H$35-Q269)/(AE269^2+Tableau!$G$40^2)^(3/2))*Tableau!$G$39</f>
        <v>45.202229906049041</v>
      </c>
      <c r="AC269" s="113">
        <f>SQRT((Tableau!$G$16-P269)^2+(Tableau!$H$16-Q269)^2)</f>
        <v>64987.967556335352</v>
      </c>
      <c r="AD269" s="114">
        <f>SQRT((Tableau!$G$25-P269)^2+(Tableau!$H$25-Q269)^2)</f>
        <v>95530.302038251248</v>
      </c>
      <c r="AE269" s="115">
        <f>SQRT((Tableau!$G$35-P269)^2+(Tableau!$H$35-Q269)^2)</f>
        <v>69817.29220428619</v>
      </c>
    </row>
    <row r="270" spans="2:31" x14ac:dyDescent="0.25">
      <c r="B270" s="20">
        <v>267</v>
      </c>
      <c r="C270" s="21">
        <f>Tableau!$G$17*COS(B270*PI()/180)+Tableau!$G$16</f>
        <v>19738.32021878528</v>
      </c>
      <c r="D270" s="21">
        <f>Tableau!$G$17*SIN(B270*PI()/180)+Tableau!$H$16</f>
        <v>2506.852326227131</v>
      </c>
      <c r="F270" s="28">
        <v>267</v>
      </c>
      <c r="G270" s="29">
        <f>Tableau!$G$26*COS(F270*PI()/180)+Tableau!$G$25</f>
        <v>-20183.175846850307</v>
      </c>
      <c r="H270" s="29">
        <f>Tableau!$G$26*SIN(F270*PI()/180)+Tableau!$H$25</f>
        <v>6504.7966283589922</v>
      </c>
      <c r="J270" s="36">
        <v>267</v>
      </c>
      <c r="K270" s="37">
        <f>Tableau!$G$36*COS(J270*PI()/180)+Tableau!$G$35</f>
        <v>-5261.6797812147215</v>
      </c>
      <c r="L270" s="37">
        <f>Tableau!$G$36*SIN(J270*PI()/180)+Tableau!$H$35</f>
        <v>-19993.14767377287</v>
      </c>
      <c r="N270" s="92">
        <v>266</v>
      </c>
      <c r="O270" s="93">
        <v>133</v>
      </c>
      <c r="P270" s="96">
        <f>P269+R269*Tableau!$G$2+((1/2)*T269)*Tableau!$G$2^2</f>
        <v>57289.775278881185</v>
      </c>
      <c r="Q270" s="96">
        <f>Q269+S269*Tableau!$G$2+((1/2)*U269)*Tableau!$G$2^2</f>
        <v>-44624.658692657496</v>
      </c>
      <c r="R270" s="96">
        <f>R269+T269*Tableau!$G$2</f>
        <v>-1275.5932654839839</v>
      </c>
      <c r="S270" s="96">
        <f>S269+U269*Tableau!$G$2</f>
        <v>1366.3435283131018</v>
      </c>
      <c r="T270" s="96">
        <f t="shared" si="8"/>
        <v>-184.11359792237232</v>
      </c>
      <c r="U270" s="96">
        <f t="shared" si="9"/>
        <v>157.29413644613743</v>
      </c>
      <c r="V270" s="96">
        <f>((Tableau!$G$16-P270)/(AC270^2+Tableau!$G$21^2)^(3/2))*Tableau!$G$20</f>
        <v>-71.54034961805354</v>
      </c>
      <c r="W270" s="96">
        <f>((Tableau!$H$16-Q270)/(AC270^2+Tableau!$G$21^2)^(3/2))*Tableau!$G$20</f>
        <v>100.00103992866738</v>
      </c>
      <c r="X270" s="96">
        <f>((Tableau!$G$25-P270)/(AD270^2+Tableau!$G$30^2)^(3/2))*Tableau!$G$29</f>
        <v>-16.23963155813782</v>
      </c>
      <c r="Y270" s="96">
        <f>((Tableau!$H$25-Q270)/(AD270^2+Tableau!$G$30^2)^(3/2))*Tableau!$G$29</f>
        <v>11.477382719214306</v>
      </c>
      <c r="Z270" s="96">
        <f>((Tableau!$G$35-P270)/(AE270^2+Tableau!$G$40^2)^(3/2))*Tableau!$G$39</f>
        <v>-96.333616746180979</v>
      </c>
      <c r="AA270" s="97">
        <f>((Tableau!$H$35-Q270)/(AE270^2+Tableau!$G$40^2)^(3/2))*Tableau!$G$39</f>
        <v>45.815713798255743</v>
      </c>
      <c r="AC270" s="110">
        <f>SQRT((Tableau!$G$16-P270)^2+(Tableau!$H$16-Q270)^2)</f>
        <v>64089.838384688512</v>
      </c>
      <c r="AD270" s="111">
        <f>SQRT((Tableau!$G$25-P270)^2+(Tableau!$H$25-Q270)^2)</f>
        <v>94644.40131328041</v>
      </c>
      <c r="AE270" s="112">
        <f>SQRT((Tableau!$G$35-P270)^2+(Tableau!$H$35-Q270)^2)</f>
        <v>68975.622555725902</v>
      </c>
    </row>
    <row r="271" spans="2:31" x14ac:dyDescent="0.25">
      <c r="B271" s="18">
        <v>268</v>
      </c>
      <c r="C271" s="19">
        <f>Tableau!$G$17*COS(B271*PI()/180)+Tableau!$G$16</f>
        <v>19825.502516487493</v>
      </c>
      <c r="D271" s="19">
        <f>Tableau!$G$17*SIN(B271*PI()/180)+Tableau!$H$16</f>
        <v>2503.0458649045213</v>
      </c>
      <c r="F271" s="26">
        <v>268</v>
      </c>
      <c r="G271" s="27">
        <f>Tableau!$G$26*COS(F271*PI()/180)+Tableau!$G$25</f>
        <v>-20122.148238458754</v>
      </c>
      <c r="H271" s="27">
        <f>Tableau!$G$26*SIN(F271*PI()/180)+Tableau!$H$25</f>
        <v>6502.1321054331656</v>
      </c>
      <c r="J271" s="34">
        <v>268</v>
      </c>
      <c r="K271" s="35">
        <f>Tableau!$G$36*COS(J271*PI()/180)+Tableau!$G$35</f>
        <v>-5174.4974835125086</v>
      </c>
      <c r="L271" s="35">
        <f>Tableau!$G$36*SIN(J271*PI()/180)+Tableau!$H$35</f>
        <v>-19996.954135095479</v>
      </c>
      <c r="N271" s="98">
        <v>267</v>
      </c>
      <c r="O271" s="99">
        <v>133.5</v>
      </c>
      <c r="P271" s="101">
        <f>P270+R270*Tableau!$G$2+((1/2)*T270)*Tableau!$G$2^2</f>
        <v>56628.964446398895</v>
      </c>
      <c r="Q271" s="101">
        <f>Q270+S270*Tableau!$G$2+((1/2)*U270)*Tableau!$G$2^2</f>
        <v>-43921.82516144518</v>
      </c>
      <c r="R271" s="101">
        <f>R270+T270*Tableau!$G$2</f>
        <v>-1367.6500644451701</v>
      </c>
      <c r="S271" s="101">
        <f>S270+U270*Tableau!$G$2</f>
        <v>1444.9905965361706</v>
      </c>
      <c r="T271" s="101">
        <f t="shared" si="8"/>
        <v>-189.07452508973148</v>
      </c>
      <c r="U271" s="101">
        <f t="shared" si="9"/>
        <v>161.24769528028509</v>
      </c>
      <c r="V271" s="101">
        <f>((Tableau!$G$16-P271)/(AC271^2+Tableau!$G$21^2)^(3/2))*Tableau!$G$20</f>
        <v>-73.433466900788531</v>
      </c>
      <c r="W271" s="101">
        <f>((Tableau!$H$16-Q271)/(AC271^2+Tableau!$G$21^2)^(3/2))*Tableau!$G$20</f>
        <v>103.09008056989603</v>
      </c>
      <c r="X271" s="101">
        <f>((Tableau!$G$25-P271)/(AD271^2+Tableau!$G$30^2)^(3/2))*Tableau!$G$29</f>
        <v>-16.590168033116953</v>
      </c>
      <c r="Y271" s="101">
        <f>((Tableau!$H$25-Q271)/(AD271^2+Tableau!$G$30^2)^(3/2))*Tableau!$G$29</f>
        <v>11.674073198607198</v>
      </c>
      <c r="Z271" s="101">
        <f>((Tableau!$G$35-P271)/(AE271^2+Tableau!$G$40^2)^(3/2))*Tableau!$G$39</f>
        <v>-99.050890155825982</v>
      </c>
      <c r="AA271" s="102">
        <f>((Tableau!$H$35-Q271)/(AE271^2+Tableau!$G$40^2)^(3/2))*Tableau!$G$39</f>
        <v>46.483541511781844</v>
      </c>
      <c r="AC271" s="113">
        <f>SQRT((Tableau!$G$16-P271)^2+(Tableau!$H$16-Q271)^2)</f>
        <v>63133.866817658098</v>
      </c>
      <c r="AD271" s="114">
        <f>SQRT((Tableau!$G$25-P271)^2+(Tableau!$H$25-Q271)^2)</f>
        <v>93699.313876190834</v>
      </c>
      <c r="AE271" s="115">
        <f>SQRT((Tableau!$G$35-P271)^2+(Tableau!$H$35-Q271)^2)</f>
        <v>68077.90558914619</v>
      </c>
    </row>
    <row r="272" spans="2:31" x14ac:dyDescent="0.25">
      <c r="B272" s="20">
        <v>269</v>
      </c>
      <c r="C272" s="21">
        <f>Tableau!$G$17*COS(B272*PI()/180)+Tableau!$G$16</f>
        <v>19912.737967813584</v>
      </c>
      <c r="D272" s="21">
        <f>Tableau!$G$17*SIN(B272*PI()/180)+Tableau!$H$16</f>
        <v>2500.7615242180436</v>
      </c>
      <c r="F272" s="28">
        <v>269</v>
      </c>
      <c r="G272" s="29">
        <f>Tableau!$G$26*COS(F272*PI()/180)+Tableau!$G$25</f>
        <v>-20061.083422530493</v>
      </c>
      <c r="H272" s="29">
        <f>Tableau!$G$26*SIN(F272*PI()/180)+Tableau!$H$25</f>
        <v>6500.5330669526302</v>
      </c>
      <c r="J272" s="36">
        <v>269</v>
      </c>
      <c r="K272" s="37">
        <f>Tableau!$G$36*COS(J272*PI()/180)+Tableau!$G$35</f>
        <v>-5087.2620321864179</v>
      </c>
      <c r="L272" s="37">
        <f>Tableau!$G$36*SIN(J272*PI()/180)+Tableau!$H$35</f>
        <v>-19999.238475781956</v>
      </c>
      <c r="N272" s="92">
        <v>268</v>
      </c>
      <c r="O272" s="93">
        <v>134</v>
      </c>
      <c r="P272" s="96">
        <f>P271+R271*Tableau!$G$2+((1/2)*T271)*Tableau!$G$2^2</f>
        <v>55921.505098540089</v>
      </c>
      <c r="Q272" s="96">
        <f>Q271+S271*Tableau!$G$2+((1/2)*U271)*Tableau!$G$2^2</f>
        <v>-43179.173901267059</v>
      </c>
      <c r="R272" s="96">
        <f>R271+T271*Tableau!$G$2</f>
        <v>-1462.1873269900359</v>
      </c>
      <c r="S272" s="96">
        <f>S271+U271*Tableau!$G$2</f>
        <v>1525.6144441763131</v>
      </c>
      <c r="T272" s="96">
        <f t="shared" si="8"/>
        <v>-194.54706045027808</v>
      </c>
      <c r="U272" s="96">
        <f t="shared" si="9"/>
        <v>165.63298029897493</v>
      </c>
      <c r="V272" s="96">
        <f>((Tableau!$G$16-P272)/(AC272^2+Tableau!$G$21^2)^(3/2))*Tableau!$G$20</f>
        <v>-75.512491205274145</v>
      </c>
      <c r="W272" s="96">
        <f>((Tableau!$H$16-Q272)/(AC272^2+Tableau!$G$21^2)^(3/2))*Tableau!$G$20</f>
        <v>106.53536545899131</v>
      </c>
      <c r="X272" s="96">
        <f>((Tableau!$G$25-P272)/(AD272^2+Tableau!$G$30^2)^(3/2))*Tableau!$G$29</f>
        <v>-16.974775709122742</v>
      </c>
      <c r="Y272" s="96">
        <f>((Tableau!$H$25-Q272)/(AD272^2+Tableau!$G$30^2)^(3/2))*Tableau!$G$29</f>
        <v>11.889971730655278</v>
      </c>
      <c r="Z272" s="96">
        <f>((Tableau!$G$35-P272)/(AE272^2+Tableau!$G$40^2)^(3/2))*Tableau!$G$39</f>
        <v>-102.05979353588121</v>
      </c>
      <c r="AA272" s="97">
        <f>((Tableau!$H$35-Q272)/(AE272^2+Tableau!$G$40^2)^(3/2))*Tableau!$G$39</f>
        <v>47.207643109328352</v>
      </c>
      <c r="AC272" s="110">
        <f>SQRT((Tableau!$G$16-P272)^2+(Tableau!$H$16-Q272)^2)</f>
        <v>62118.702464389171</v>
      </c>
      <c r="AD272" s="111">
        <f>SQRT((Tableau!$G$25-P272)^2+(Tableau!$H$25-Q272)^2)</f>
        <v>92693.57838193998</v>
      </c>
      <c r="AE272" s="112">
        <f>SQRT((Tableau!$G$35-P272)^2+(Tableau!$H$35-Q272)^2)</f>
        <v>67122.988798393781</v>
      </c>
    </row>
    <row r="273" spans="2:31" x14ac:dyDescent="0.25">
      <c r="B273" s="18">
        <v>270</v>
      </c>
      <c r="C273" s="19">
        <f>Tableau!$G$17*COS(B273*PI()/180)+Tableau!$G$16</f>
        <v>20000</v>
      </c>
      <c r="D273" s="19">
        <f>Tableau!$G$17*SIN(B273*PI()/180)+Tableau!$H$16</f>
        <v>2500</v>
      </c>
      <c r="F273" s="26">
        <v>270</v>
      </c>
      <c r="G273" s="27">
        <f>Tableau!$G$26*COS(F273*PI()/180)+Tableau!$G$25</f>
        <v>-20000</v>
      </c>
      <c r="H273" s="27">
        <f>Tableau!$G$26*SIN(F273*PI()/180)+Tableau!$H$25</f>
        <v>6500</v>
      </c>
      <c r="J273" s="34">
        <v>270</v>
      </c>
      <c r="K273" s="35">
        <f>Tableau!$G$36*COS(J273*PI()/180)+Tableau!$G$35</f>
        <v>-5000.0000000000009</v>
      </c>
      <c r="L273" s="35">
        <f>Tableau!$G$36*SIN(J273*PI()/180)+Tableau!$H$35</f>
        <v>-20000</v>
      </c>
      <c r="N273" s="98">
        <v>269</v>
      </c>
      <c r="O273" s="99">
        <v>134.5</v>
      </c>
      <c r="P273" s="101">
        <f>P272+R272*Tableau!$G$2+((1/2)*T272)*Tableau!$G$2^2</f>
        <v>55166.093052488781</v>
      </c>
      <c r="Q273" s="101">
        <f>Q272+S272*Tableau!$G$2+((1/2)*U272)*Tableau!$G$2^2</f>
        <v>-42395.662556641531</v>
      </c>
      <c r="R273" s="101">
        <f>R272+T272*Tableau!$G$2</f>
        <v>-1559.4608572151749</v>
      </c>
      <c r="S273" s="101">
        <f>S272+U272*Tableau!$G$2</f>
        <v>1608.4309343258005</v>
      </c>
      <c r="T273" s="101">
        <f t="shared" si="8"/>
        <v>-200.58927436103886</v>
      </c>
      <c r="U273" s="101">
        <f t="shared" si="9"/>
        <v>170.50023476277372</v>
      </c>
      <c r="V273" s="101">
        <f>((Tableau!$G$16-P273)/(AC273^2+Tableau!$G$21^2)^(3/2))*Tableau!$G$20</f>
        <v>-77.797550451397882</v>
      </c>
      <c r="W273" s="101">
        <f>((Tableau!$H$16-Q273)/(AC273^2+Tableau!$G$21^2)^(3/2))*Tableau!$G$20</f>
        <v>110.38361069176329</v>
      </c>
      <c r="X273" s="101">
        <f>((Tableau!$G$25-P273)/(AD273^2+Tableau!$G$30^2)^(3/2))*Tableau!$G$29</f>
        <v>-17.396958494047656</v>
      </c>
      <c r="Y273" s="101">
        <f>((Tableau!$H$25-Q273)/(AD273^2+Tableau!$G$30^2)^(3/2))*Tableau!$G$29</f>
        <v>12.126813164673839</v>
      </c>
      <c r="Z273" s="101">
        <f>((Tableau!$G$35-P273)/(AE273^2+Tableau!$G$40^2)^(3/2))*Tableau!$G$39</f>
        <v>-105.39476541559333</v>
      </c>
      <c r="AA273" s="102">
        <f>((Tableau!$H$35-Q273)/(AE273^2+Tableau!$G$40^2)^(3/2))*Tableau!$G$39</f>
        <v>47.989810906336579</v>
      </c>
      <c r="AC273" s="113">
        <f>SQRT((Tableau!$G$16-P273)^2+(Tableau!$H$16-Q273)^2)</f>
        <v>61042.86397722947</v>
      </c>
      <c r="AD273" s="114">
        <f>SQRT((Tableau!$G$25-P273)^2+(Tableau!$H$25-Q273)^2)</f>
        <v>91625.580486700594</v>
      </c>
      <c r="AE273" s="115">
        <f>SQRT((Tableau!$G$35-P273)^2+(Tableau!$H$35-Q273)^2)</f>
        <v>66109.61412773568</v>
      </c>
    </row>
    <row r="274" spans="2:31" x14ac:dyDescent="0.25">
      <c r="B274" s="20">
        <v>271</v>
      </c>
      <c r="C274" s="21">
        <f>Tableau!$G$17*COS(B274*PI()/180)+Tableau!$G$16</f>
        <v>20087.262032186416</v>
      </c>
      <c r="D274" s="21">
        <f>Tableau!$G$17*SIN(B274*PI()/180)+Tableau!$H$16</f>
        <v>2500.7615242180436</v>
      </c>
      <c r="F274" s="28">
        <v>271</v>
      </c>
      <c r="G274" s="29">
        <f>Tableau!$G$26*COS(F274*PI()/180)+Tableau!$G$25</f>
        <v>-19938.91657746951</v>
      </c>
      <c r="H274" s="29">
        <f>Tableau!$G$26*SIN(F274*PI()/180)+Tableau!$H$25</f>
        <v>6500.5330669526302</v>
      </c>
      <c r="J274" s="36">
        <v>271</v>
      </c>
      <c r="K274" s="37">
        <f>Tableau!$G$36*COS(J274*PI()/180)+Tableau!$G$35</f>
        <v>-4912.737967813584</v>
      </c>
      <c r="L274" s="37">
        <f>Tableau!$G$36*SIN(J274*PI()/180)+Tableau!$H$35</f>
        <v>-19999.238475781956</v>
      </c>
      <c r="N274" s="92">
        <v>270</v>
      </c>
      <c r="O274" s="93">
        <v>135</v>
      </c>
      <c r="P274" s="96">
        <f>P273+R273*Tableau!$G$2+((1/2)*T273)*Tableau!$G$2^2</f>
        <v>54361.288964586063</v>
      </c>
      <c r="Q274" s="96">
        <f>Q273+S273*Tableau!$G$2+((1/2)*U273)*Tableau!$G$2^2</f>
        <v>-41570.13456013328</v>
      </c>
      <c r="R274" s="96">
        <f>R273+T273*Tableau!$G$2</f>
        <v>-1659.7554943956943</v>
      </c>
      <c r="S274" s="96">
        <f>S273+U273*Tableau!$G$2</f>
        <v>1693.6810517071874</v>
      </c>
      <c r="T274" s="96">
        <f t="shared" si="8"/>
        <v>-207.2689907910829</v>
      </c>
      <c r="U274" s="96">
        <f t="shared" si="9"/>
        <v>175.90871132439437</v>
      </c>
      <c r="V274" s="96">
        <f>((Tableau!$G$16-P274)/(AC274^2+Tableau!$G$21^2)^(3/2))*Tableau!$G$20</f>
        <v>-80.311902595048252</v>
      </c>
      <c r="W274" s="96">
        <f>((Tableau!$H$16-Q274)/(AC274^2+Tableau!$G$21^2)^(3/2))*Tableau!$G$20</f>
        <v>114.69057145036031</v>
      </c>
      <c r="X274" s="96">
        <f>((Tableau!$G$25-P274)/(AD274^2+Tableau!$G$30^2)^(3/2))*Tableau!$G$29</f>
        <v>-17.860788918806026</v>
      </c>
      <c r="Y274" s="96">
        <f>((Tableau!$H$25-Q274)/(AD274^2+Tableau!$G$30^2)^(3/2))*Tableau!$G$29</f>
        <v>12.386596584301037</v>
      </c>
      <c r="Z274" s="96">
        <f>((Tableau!$G$35-P274)/(AE274^2+Tableau!$G$40^2)^(3/2))*Tableau!$G$39</f>
        <v>-109.09629927722862</v>
      </c>
      <c r="AA274" s="97">
        <f>((Tableau!$H$35-Q274)/(AE274^2+Tableau!$G$40^2)^(3/2))*Tableau!$G$39</f>
        <v>48.831543289733027</v>
      </c>
      <c r="AC274" s="110">
        <f>SQRT((Tableau!$G$16-P274)^2+(Tableau!$H$16-Q274)^2)</f>
        <v>59904.726733851065</v>
      </c>
      <c r="AD274" s="111">
        <f>SQRT((Tableau!$G$25-P274)^2+(Tableau!$H$25-Q274)^2)</f>
        <v>90493.536095264411</v>
      </c>
      <c r="AE274" s="112">
        <f>SQRT((Tableau!$G$35-P274)^2+(Tableau!$H$35-Q274)^2)</f>
        <v>65036.410402794187</v>
      </c>
    </row>
    <row r="275" spans="2:31" x14ac:dyDescent="0.25">
      <c r="B275" s="18">
        <v>272</v>
      </c>
      <c r="C275" s="19">
        <f>Tableau!$G$17*COS(B275*PI()/180)+Tableau!$G$16</f>
        <v>20174.497483512507</v>
      </c>
      <c r="D275" s="19">
        <f>Tableau!$G$17*SIN(B275*PI()/180)+Tableau!$H$16</f>
        <v>2503.0458649045213</v>
      </c>
      <c r="F275" s="26">
        <v>272</v>
      </c>
      <c r="G275" s="27">
        <f>Tableau!$G$26*COS(F275*PI()/180)+Tableau!$G$25</f>
        <v>-19877.851761541246</v>
      </c>
      <c r="H275" s="27">
        <f>Tableau!$G$26*SIN(F275*PI()/180)+Tableau!$H$25</f>
        <v>6502.1321054331647</v>
      </c>
      <c r="J275" s="34">
        <v>272</v>
      </c>
      <c r="K275" s="35">
        <f>Tableau!$G$36*COS(J275*PI()/180)+Tableau!$G$35</f>
        <v>-4825.5025164874933</v>
      </c>
      <c r="L275" s="35">
        <f>Tableau!$G$36*SIN(J275*PI()/180)+Tableau!$H$35</f>
        <v>-19996.954135095479</v>
      </c>
      <c r="N275" s="98">
        <v>271</v>
      </c>
      <c r="O275" s="99">
        <v>135.5</v>
      </c>
      <c r="P275" s="101">
        <f>P274+R274*Tableau!$G$2+((1/2)*T274)*Tableau!$G$2^2</f>
        <v>53505.502593539328</v>
      </c>
      <c r="Q275" s="101">
        <f>Q274+S274*Tableau!$G$2+((1/2)*U274)*Tableau!$G$2^2</f>
        <v>-40701.305445364138</v>
      </c>
      <c r="R275" s="101">
        <f>R274+T274*Tableau!$G$2</f>
        <v>-1763.3899897912358</v>
      </c>
      <c r="S275" s="101">
        <f>S274+U274*Tableau!$G$2</f>
        <v>1781.6354073693847</v>
      </c>
      <c r="T275" s="101">
        <f t="shared" si="8"/>
        <v>-214.66573268523911</v>
      </c>
      <c r="U275" s="101">
        <f t="shared" si="9"/>
        <v>181.9286357475672</v>
      </c>
      <c r="V275" s="101">
        <f>((Tableau!$G$16-P275)/(AC275^2+Tableau!$G$21^2)^(3/2))*Tableau!$G$20</f>
        <v>-83.082489342626999</v>
      </c>
      <c r="W275" s="101">
        <f>((Tableau!$H$16-Q275)/(AC275^2+Tableau!$G$21^2)^(3/2))*Tableau!$G$20</f>
        <v>119.52318681939053</v>
      </c>
      <c r="X275" s="101">
        <f>((Tableau!$G$25-P275)/(AD275^2+Tableau!$G$30^2)^(3/2))*Tableau!$G$29</f>
        <v>-18.371020617872116</v>
      </c>
      <c r="Y275" s="101">
        <f>((Tableau!$H$25-Q275)/(AD275^2+Tableau!$G$30^2)^(3/2))*Tableau!$G$29</f>
        <v>12.671632664568483</v>
      </c>
      <c r="Z275" s="101">
        <f>((Tableau!$G$35-P275)/(AE275^2+Tableau!$G$40^2)^(3/2))*Tableau!$G$39</f>
        <v>-113.21222272473997</v>
      </c>
      <c r="AA275" s="102">
        <f>((Tableau!$H$35-Q275)/(AE275^2+Tableau!$G$40^2)^(3/2))*Tableau!$G$39</f>
        <v>49.733816263608183</v>
      </c>
      <c r="AC275" s="113">
        <f>SQRT((Tableau!$G$16-P275)^2+(Tableau!$H$16-Q275)^2)</f>
        <v>58702.508895982981</v>
      </c>
      <c r="AD275" s="114">
        <f>SQRT((Tableau!$G$25-P275)^2+(Tableau!$H$25-Q275)^2)</f>
        <v>89295.471807885813</v>
      </c>
      <c r="AE275" s="115">
        <f>SQRT((Tableau!$G$35-P275)^2+(Tableau!$H$35-Q275)^2)</f>
        <v>63901.885225074082</v>
      </c>
    </row>
    <row r="276" spans="2:31" x14ac:dyDescent="0.25">
      <c r="B276" s="20">
        <v>273</v>
      </c>
      <c r="C276" s="21">
        <f>Tableau!$G$17*COS(B276*PI()/180)+Tableau!$G$16</f>
        <v>20261.67978121472</v>
      </c>
      <c r="D276" s="21">
        <f>Tableau!$G$17*SIN(B276*PI()/180)+Tableau!$H$16</f>
        <v>2506.852326227131</v>
      </c>
      <c r="F276" s="28">
        <v>273</v>
      </c>
      <c r="G276" s="29">
        <f>Tableau!$G$26*COS(F276*PI()/180)+Tableau!$G$25</f>
        <v>-19816.824153149697</v>
      </c>
      <c r="H276" s="29">
        <f>Tableau!$G$26*SIN(F276*PI()/180)+Tableau!$H$25</f>
        <v>6504.7966283589922</v>
      </c>
      <c r="J276" s="36">
        <v>273</v>
      </c>
      <c r="K276" s="37">
        <f>Tableau!$G$36*COS(J276*PI()/180)+Tableau!$G$35</f>
        <v>-4738.3202187852803</v>
      </c>
      <c r="L276" s="37">
        <f>Tableau!$G$36*SIN(J276*PI()/180)+Tableau!$H$35</f>
        <v>-19993.14767377287</v>
      </c>
      <c r="N276" s="92">
        <v>272</v>
      </c>
      <c r="O276" s="93">
        <v>136</v>
      </c>
      <c r="P276" s="96">
        <f>P275+R275*Tableau!$G$2+((1/2)*T275)*Tableau!$G$2^2</f>
        <v>52596.974382058055</v>
      </c>
      <c r="Q276" s="96">
        <f>Q275+S275*Tableau!$G$2+((1/2)*U275)*Tableau!$G$2^2</f>
        <v>-39787.746662211001</v>
      </c>
      <c r="R276" s="96">
        <f>R275+T275*Tableau!$G$2</f>
        <v>-1870.7228561338554</v>
      </c>
      <c r="S276" s="96">
        <f>S275+U275*Tableau!$G$2</f>
        <v>1872.5997252431682</v>
      </c>
      <c r="T276" s="96">
        <f t="shared" si="8"/>
        <v>-222.87313201974536</v>
      </c>
      <c r="U276" s="96">
        <f t="shared" si="9"/>
        <v>188.64370559597791</v>
      </c>
      <c r="V276" s="96">
        <f>((Tableau!$G$16-P276)/(AC276^2+Tableau!$G$21^2)^(3/2))*Tableau!$G$20</f>
        <v>-86.140595406210821</v>
      </c>
      <c r="W276" s="96">
        <f>((Tableau!$H$16-Q276)/(AC276^2+Tableau!$G$21^2)^(3/2))*Tableau!$G$20</f>
        <v>124.96235402580743</v>
      </c>
      <c r="X276" s="96">
        <f>((Tableau!$G$25-P276)/(AD276^2+Tableau!$G$30^2)^(3/2))*Tableau!$G$29</f>
        <v>-18.933228994435115</v>
      </c>
      <c r="Y276" s="96">
        <f>((Tableau!$H$25-Q276)/(AD276^2+Tableau!$G$30^2)^(3/2))*Tableau!$G$29</f>
        <v>12.984601861114649</v>
      </c>
      <c r="Z276" s="96">
        <f>((Tableau!$G$35-P276)/(AE276^2+Tableau!$G$40^2)^(3/2))*Tableau!$G$39</f>
        <v>-117.79930761909941</v>
      </c>
      <c r="AA276" s="97">
        <f>((Tableau!$H$35-Q276)/(AE276^2+Tableau!$G$40^2)^(3/2))*Tableau!$G$39</f>
        <v>50.696749709055837</v>
      </c>
      <c r="AC276" s="110">
        <f>SQRT((Tableau!$G$16-P276)^2+(Tableau!$H$16-Q276)^2)</f>
        <v>57434.255660311268</v>
      </c>
      <c r="AD276" s="111">
        <f>SQRT((Tableau!$G$25-P276)^2+(Tableau!$H$25-Q276)^2)</f>
        <v>88029.202013477858</v>
      </c>
      <c r="AE276" s="112">
        <f>SQRT((Tableau!$G$35-P276)^2+(Tableau!$H$35-Q276)^2)</f>
        <v>62704.416451773192</v>
      </c>
    </row>
    <row r="277" spans="2:31" x14ac:dyDescent="0.25">
      <c r="B277" s="18">
        <v>274</v>
      </c>
      <c r="C277" s="19">
        <f>Tableau!$G$17*COS(B277*PI()/180)+Tableau!$G$16</f>
        <v>20348.782368720626</v>
      </c>
      <c r="D277" s="19">
        <f>Tableau!$G$17*SIN(B277*PI()/180)+Tableau!$H$16</f>
        <v>2512.179748700878</v>
      </c>
      <c r="F277" s="26">
        <v>274</v>
      </c>
      <c r="G277" s="27">
        <f>Tableau!$G$26*COS(F277*PI()/180)+Tableau!$G$25</f>
        <v>-19755.852341895563</v>
      </c>
      <c r="H277" s="27">
        <f>Tableau!$G$26*SIN(F277*PI()/180)+Tableau!$H$25</f>
        <v>6508.5258240906151</v>
      </c>
      <c r="J277" s="34">
        <v>274</v>
      </c>
      <c r="K277" s="35">
        <f>Tableau!$G$36*COS(J277*PI()/180)+Tableau!$G$35</f>
        <v>-4651.2176312793736</v>
      </c>
      <c r="L277" s="35">
        <f>Tableau!$G$36*SIN(J277*PI()/180)+Tableau!$H$35</f>
        <v>-19987.820251299123</v>
      </c>
      <c r="N277" s="98">
        <v>273</v>
      </c>
      <c r="O277" s="99">
        <v>136.5</v>
      </c>
      <c r="P277" s="101">
        <f>P276+R276*Tableau!$G$2+((1/2)*T276)*Tableau!$G$2^2</f>
        <v>51633.753812488656</v>
      </c>
      <c r="Q277" s="101">
        <f>Q276+S276*Tableau!$G$2+((1/2)*U276)*Tableau!$G$2^2</f>
        <v>-38827.866336389918</v>
      </c>
      <c r="R277" s="101">
        <f>R276+T276*Tableau!$G$2</f>
        <v>-1982.1594221437281</v>
      </c>
      <c r="S277" s="101">
        <f>S276+U276*Tableau!$G$2</f>
        <v>1966.9215780411571</v>
      </c>
      <c r="T277" s="101">
        <f t="shared" si="8"/>
        <v>-232.00192770656489</v>
      </c>
      <c r="U277" s="101">
        <f t="shared" si="9"/>
        <v>196.15429708737167</v>
      </c>
      <c r="V277" s="101">
        <f>((Tableau!$G$16-P277)/(AC277^2+Tableau!$G$21^2)^(3/2))*Tableau!$G$20</f>
        <v>-89.522628586697365</v>
      </c>
      <c r="W277" s="101">
        <f>((Tableau!$H$16-Q277)/(AC277^2+Tableau!$G$21^2)^(3/2))*Tableau!$G$20</f>
        <v>131.10655143334429</v>
      </c>
      <c r="X277" s="101">
        <f>((Tableau!$G$25-P277)/(AD277^2+Tableau!$G$30^2)^(3/2))*Tableau!$G$29</f>
        <v>-19.553988545436116</v>
      </c>
      <c r="Y277" s="101">
        <f>((Tableau!$H$25-Q277)/(AD277^2+Tableau!$G$30^2)^(3/2))*Tableau!$G$29</f>
        <v>13.328626355937214</v>
      </c>
      <c r="Z277" s="101">
        <f>((Tableau!$G$35-P277)/(AE277^2+Tableau!$G$40^2)^(3/2))*Tableau!$G$39</f>
        <v>-122.92531057443141</v>
      </c>
      <c r="AA277" s="102">
        <f>((Tableau!$H$35-Q277)/(AE277^2+Tableau!$G$40^2)^(3/2))*Tableau!$G$39</f>
        <v>51.719119298090177</v>
      </c>
      <c r="AC277" s="113">
        <f>SQRT((Tableau!$G$16-P277)^2+(Tableau!$H$16-Q277)^2)</f>
        <v>56097.821522333208</v>
      </c>
      <c r="AD277" s="114">
        <f>SQRT((Tableau!$G$25-P277)^2+(Tableau!$H$25-Q277)^2)</f>
        <v>86692.301943324783</v>
      </c>
      <c r="AE277" s="115">
        <f>SQRT((Tableau!$G$35-P277)^2+(Tableau!$H$35-Q277)^2)</f>
        <v>61442.24348962558</v>
      </c>
    </row>
    <row r="278" spans="2:31" x14ac:dyDescent="0.25">
      <c r="B278" s="20">
        <v>275</v>
      </c>
      <c r="C278" s="21">
        <f>Tableau!$G$17*COS(B278*PI()/180)+Tableau!$G$16</f>
        <v>20435.778713738291</v>
      </c>
      <c r="D278" s="21">
        <f>Tableau!$G$17*SIN(B278*PI()/180)+Tableau!$H$16</f>
        <v>2519.0265095412724</v>
      </c>
      <c r="F278" s="28">
        <v>275</v>
      </c>
      <c r="G278" s="29">
        <f>Tableau!$G$26*COS(F278*PI()/180)+Tableau!$G$25</f>
        <v>-19694.954900383196</v>
      </c>
      <c r="H278" s="29">
        <f>Tableau!$G$26*SIN(F278*PI()/180)+Tableau!$H$25</f>
        <v>6513.3185566788907</v>
      </c>
      <c r="J278" s="36">
        <v>275</v>
      </c>
      <c r="K278" s="37">
        <f>Tableau!$G$36*COS(J278*PI()/180)+Tableau!$G$35</f>
        <v>-4564.2212862617107</v>
      </c>
      <c r="L278" s="37">
        <f>Tableau!$G$36*SIN(J278*PI()/180)+Tableau!$H$35</f>
        <v>-19980.973490458728</v>
      </c>
      <c r="N278" s="92">
        <v>274</v>
      </c>
      <c r="O278" s="93">
        <v>137</v>
      </c>
      <c r="P278" s="96">
        <f>P277+R277*Tableau!$G$2+((1/2)*T277)*Tableau!$G$2^2</f>
        <v>50613.673860453469</v>
      </c>
      <c r="Q278" s="96">
        <f>Q277+S277*Tableau!$G$2+((1/2)*U277)*Tableau!$G$2^2</f>
        <v>-37819.886260233412</v>
      </c>
      <c r="R278" s="96">
        <f>R277+T277*Tableau!$G$2</f>
        <v>-2098.1603859970105</v>
      </c>
      <c r="S278" s="96">
        <f>S277+U277*Tableau!$G$2</f>
        <v>2064.9987265848431</v>
      </c>
      <c r="T278" s="96">
        <f t="shared" si="8"/>
        <v>-242.1837078931122</v>
      </c>
      <c r="U278" s="96">
        <f t="shared" si="9"/>
        <v>204.58161903003014</v>
      </c>
      <c r="V278" s="96">
        <f>((Tableau!$G$16-P278)/(AC278^2+Tableau!$G$21^2)^(3/2))*Tableau!$G$20</f>
        <v>-93.271032457550277</v>
      </c>
      <c r="W278" s="96">
        <f>((Tableau!$H$16-Q278)/(AC278^2+Tableau!$G$21^2)^(3/2))*Tableau!$G$20</f>
        <v>138.07661901733292</v>
      </c>
      <c r="X278" s="96">
        <f>((Tableau!$G$25-P278)/(AD278^2+Tableau!$G$30^2)^(3/2))*Tableau!$G$29</f>
        <v>-20.241098351738579</v>
      </c>
      <c r="Y278" s="96">
        <f>((Tableau!$H$25-Q278)/(AD278^2+Tableau!$G$30^2)^(3/2))*Tableau!$G$29</f>
        <v>13.707359609629592</v>
      </c>
      <c r="Z278" s="96">
        <f>((Tableau!$G$35-P278)/(AE278^2+Tableau!$G$40^2)^(3/2))*Tableau!$G$39</f>
        <v>-128.67157708382334</v>
      </c>
      <c r="AA278" s="97">
        <f>((Tableau!$H$35-Q278)/(AE278^2+Tableau!$G$40^2)^(3/2))*Tableau!$G$39</f>
        <v>52.797640403067639</v>
      </c>
      <c r="AC278" s="110">
        <f>SQRT((Tableau!$G$16-P278)^2+(Tableau!$H$16-Q278)^2)</f>
        <v>54690.850403652577</v>
      </c>
      <c r="AD278" s="111">
        <f>SQRT((Tableau!$G$25-P278)^2+(Tableau!$H$25-Q278)^2)</f>
        <v>85282.075830810732</v>
      </c>
      <c r="AE278" s="112">
        <f>SQRT((Tableau!$G$35-P278)^2+(Tableau!$H$35-Q278)^2)</f>
        <v>60113.458802391957</v>
      </c>
    </row>
    <row r="279" spans="2:31" x14ac:dyDescent="0.25">
      <c r="B279" s="18">
        <v>276</v>
      </c>
      <c r="C279" s="19">
        <f>Tableau!$G$17*COS(B279*PI()/180)+Tableau!$G$16</f>
        <v>20522.642316338264</v>
      </c>
      <c r="D279" s="19">
        <f>Tableau!$G$17*SIN(B279*PI()/180)+Tableau!$H$16</f>
        <v>2527.3905231586332</v>
      </c>
      <c r="F279" s="26">
        <v>276</v>
      </c>
      <c r="G279" s="27">
        <f>Tableau!$G$26*COS(F279*PI()/180)+Tableau!$G$25</f>
        <v>-19634.150378563216</v>
      </c>
      <c r="H279" s="27">
        <f>Tableau!$G$26*SIN(F279*PI()/180)+Tableau!$H$25</f>
        <v>6519.1733662110437</v>
      </c>
      <c r="J279" s="34">
        <v>276</v>
      </c>
      <c r="K279" s="35">
        <f>Tableau!$G$36*COS(J279*PI()/180)+Tableau!$G$35</f>
        <v>-4477.3576836617349</v>
      </c>
      <c r="L279" s="35">
        <f>Tableau!$G$36*SIN(J279*PI()/180)+Tableau!$H$35</f>
        <v>-19972.609476841368</v>
      </c>
      <c r="N279" s="98">
        <v>275</v>
      </c>
      <c r="O279" s="99">
        <v>137.5</v>
      </c>
      <c r="P279" s="101">
        <f>P278+R278*Tableau!$G$2+((1/2)*T278)*Tableau!$G$2^2</f>
        <v>49534.320703968326</v>
      </c>
      <c r="Q279" s="101">
        <f>Q278+S278*Tableau!$G$2+((1/2)*U278)*Tableau!$G$2^2</f>
        <v>-36761.814194562234</v>
      </c>
      <c r="R279" s="101">
        <f>R278+T278*Tableau!$G$2</f>
        <v>-2219.2522399435666</v>
      </c>
      <c r="S279" s="101">
        <f>S278+U278*Tableau!$G$2</f>
        <v>2167.2895360998582</v>
      </c>
      <c r="T279" s="101">
        <f t="shared" si="8"/>
        <v>-253.57559348797008</v>
      </c>
      <c r="U279" s="101">
        <f t="shared" si="9"/>
        <v>214.07314708488607</v>
      </c>
      <c r="V279" s="101">
        <f>((Tableau!$G$16-P279)/(AC279^2+Tableau!$G$21^2)^(3/2))*Tableau!$G$20</f>
        <v>-97.435332949599157</v>
      </c>
      <c r="W279" s="101">
        <f>((Tableau!$H$16-Q279)/(AC279^2+Tableau!$G$21^2)^(3/2))*Tableau!$G$20</f>
        <v>146.02213628773256</v>
      </c>
      <c r="X279" s="101">
        <f>((Tableau!$G$25-P279)/(AD279^2+Tableau!$G$30^2)^(3/2))*Tableau!$G$29</f>
        <v>-21.003871533906075</v>
      </c>
      <c r="Y279" s="101">
        <f>((Tableau!$H$25-Q279)/(AD279^2+Tableau!$G$30^2)^(3/2))*Tableau!$G$29</f>
        <v>14.12509862886915</v>
      </c>
      <c r="Z279" s="101">
        <f>((Tableau!$G$35-P279)/(AE279^2+Tableau!$G$40^2)^(3/2))*Tableau!$G$39</f>
        <v>-135.13638900446483</v>
      </c>
      <c r="AA279" s="102">
        <f>((Tableau!$H$35-Q279)/(AE279^2+Tableau!$G$40^2)^(3/2))*Tableau!$G$39</f>
        <v>53.925912168284349</v>
      </c>
      <c r="AC279" s="113">
        <f>SQRT((Tableau!$G$16-P279)^2+(Tableau!$H$16-Q279)^2)</f>
        <v>53210.753567665277</v>
      </c>
      <c r="AD279" s="114">
        <f>SQRT((Tableau!$G$25-P279)^2+(Tableau!$H$25-Q279)^2)</f>
        <v>83795.519107700966</v>
      </c>
      <c r="AE279" s="115">
        <f>SQRT((Tableau!$G$35-P279)^2+(Tableau!$H$35-Q279)^2)</f>
        <v>58716.000303851753</v>
      </c>
    </row>
    <row r="280" spans="2:31" x14ac:dyDescent="0.25">
      <c r="B280" s="20">
        <v>277</v>
      </c>
      <c r="C280" s="21">
        <f>Tableau!$G$17*COS(B280*PI()/180)+Tableau!$G$16</f>
        <v>20609.346717025739</v>
      </c>
      <c r="D280" s="21">
        <f>Tableau!$G$17*SIN(B280*PI()/180)+Tableau!$H$16</f>
        <v>2537.2692417933904</v>
      </c>
      <c r="F280" s="28">
        <v>277</v>
      </c>
      <c r="G280" s="29">
        <f>Tableau!$G$26*COS(F280*PI()/180)+Tableau!$G$25</f>
        <v>-19573.457298081983</v>
      </c>
      <c r="H280" s="29">
        <f>Tableau!$G$26*SIN(F280*PI()/180)+Tableau!$H$25</f>
        <v>6526.0884692553736</v>
      </c>
      <c r="J280" s="36">
        <v>277</v>
      </c>
      <c r="K280" s="37">
        <f>Tableau!$G$36*COS(J280*PI()/180)+Tableau!$G$35</f>
        <v>-4390.6532829742619</v>
      </c>
      <c r="L280" s="37">
        <f>Tableau!$G$36*SIN(J280*PI()/180)+Tableau!$H$35</f>
        <v>-19962.73075820661</v>
      </c>
      <c r="N280" s="92">
        <v>276</v>
      </c>
      <c r="O280" s="93">
        <v>138</v>
      </c>
      <c r="P280" s="96">
        <f>P279+R279*Tableau!$G$2+((1/2)*T279)*Tableau!$G$2^2</f>
        <v>48392.997634810548</v>
      </c>
      <c r="Q280" s="96">
        <f>Q279+S279*Tableau!$G$2+((1/2)*U279)*Tableau!$G$2^2</f>
        <v>-35651.410283126694</v>
      </c>
      <c r="R280" s="96">
        <f>R279+T279*Tableau!$G$2</f>
        <v>-2346.0400366875515</v>
      </c>
      <c r="S280" s="96">
        <f>S279+U279*Tableau!$G$2</f>
        <v>2274.3261096423012</v>
      </c>
      <c r="T280" s="96">
        <f t="shared" si="8"/>
        <v>-266.3661051813279</v>
      </c>
      <c r="U280" s="96">
        <f t="shared" si="9"/>
        <v>224.80980853039199</v>
      </c>
      <c r="V280" s="96">
        <f>((Tableau!$G$16-P280)/(AC280^2+Tableau!$G$21^2)^(3/2))*Tableau!$G$20</f>
        <v>-102.07329557516141</v>
      </c>
      <c r="W280" s="96">
        <f>((Tableau!$H$16-Q280)/(AC280^2+Tableau!$G$21^2)^(3/2))*Tableau!$G$20</f>
        <v>155.13003286819173</v>
      </c>
      <c r="X280" s="96">
        <f>((Tableau!$G$25-P280)/(AD280^2+Tableau!$G$30^2)^(3/2))*Tableau!$G$29</f>
        <v>-21.853510645178503</v>
      </c>
      <c r="Y280" s="96">
        <f>((Tableau!$H$25-Q280)/(AD280^2+Tableau!$G$30^2)^(3/2))*Tableau!$G$29</f>
        <v>14.58692578320243</v>
      </c>
      <c r="Z280" s="96">
        <f>((Tableau!$G$35-P280)/(AE280^2+Tableau!$G$40^2)^(3/2))*Tableau!$G$39</f>
        <v>-142.43929896098797</v>
      </c>
      <c r="AA280" s="97">
        <f>((Tableau!$H$35-Q280)/(AE280^2+Tableau!$G$40^2)^(3/2))*Tableau!$G$39</f>
        <v>55.092849878997832</v>
      </c>
      <c r="AC280" s="110">
        <f>SQRT((Tableau!$G$16-P280)^2+(Tableau!$H$16-Q280)^2)</f>
        <v>51654.685403292213</v>
      </c>
      <c r="AD280" s="111">
        <f>SQRT((Tableau!$G$25-P280)^2+(Tableau!$H$25-Q280)^2)</f>
        <v>82229.273293113598</v>
      </c>
      <c r="AE280" s="112">
        <f>SQRT((Tableau!$G$35-P280)^2+(Tableau!$H$35-Q280)^2)</f>
        <v>57247.64574297284</v>
      </c>
    </row>
    <row r="281" spans="2:31" x14ac:dyDescent="0.25">
      <c r="B281" s="18">
        <v>278</v>
      </c>
      <c r="C281" s="19">
        <f>Tableau!$G$17*COS(B281*PI()/180)+Tableau!$G$16</f>
        <v>20695.865504800327</v>
      </c>
      <c r="D281" s="19">
        <f>Tableau!$G$17*SIN(B281*PI()/180)+Tableau!$H$16</f>
        <v>2548.6596562921486</v>
      </c>
      <c r="F281" s="26">
        <v>278</v>
      </c>
      <c r="G281" s="27">
        <f>Tableau!$G$26*COS(F281*PI()/180)+Tableau!$G$25</f>
        <v>-19512.89414663977</v>
      </c>
      <c r="H281" s="27">
        <f>Tableau!$G$26*SIN(F281*PI()/180)+Tableau!$H$25</f>
        <v>6534.0617594045034</v>
      </c>
      <c r="J281" s="34">
        <v>278</v>
      </c>
      <c r="K281" s="35">
        <f>Tableau!$G$36*COS(J281*PI()/180)+Tableau!$G$35</f>
        <v>-4304.1344951996725</v>
      </c>
      <c r="L281" s="35">
        <f>Tableau!$G$36*SIN(J281*PI()/180)+Tableau!$H$35</f>
        <v>-19951.340343707852</v>
      </c>
      <c r="N281" s="98">
        <v>277</v>
      </c>
      <c r="O281" s="99">
        <v>138.5</v>
      </c>
      <c r="P281" s="101">
        <f>P280+R280*Tableau!$G$2+((1/2)*T280)*Tableau!$G$2^2</f>
        <v>47186.681853319104</v>
      </c>
      <c r="Q281" s="101">
        <f>Q280+S280*Tableau!$G$2+((1/2)*U280)*Tableau!$G$2^2</f>
        <v>-34486.146002239242</v>
      </c>
      <c r="R281" s="101">
        <f>R280+T280*Tableau!$G$2</f>
        <v>-2479.2230892782154</v>
      </c>
      <c r="S281" s="101">
        <f>S280+U280*Tableau!$G$2</f>
        <v>2386.7310139074971</v>
      </c>
      <c r="T281" s="101">
        <f t="shared" si="8"/>
        <v>-280.78250009827963</v>
      </c>
      <c r="U281" s="101">
        <f t="shared" si="9"/>
        <v>237.01558876138296</v>
      </c>
      <c r="V281" s="101">
        <f>((Tableau!$G$16-P281)/(AC281^2+Tableau!$G$21^2)^(3/2))*Tableau!$G$20</f>
        <v>-107.25211737953325</v>
      </c>
      <c r="W281" s="101">
        <f>((Tableau!$H$16-Q281)/(AC281^2+Tableau!$G$21^2)^(3/2))*Tableau!$G$20</f>
        <v>165.63636134935751</v>
      </c>
      <c r="X281" s="101">
        <f>((Tableau!$G$25-P281)/(AD281^2+Tableau!$G$30^2)^(3/2))*Tableau!$G$29</f>
        <v>-22.803599968232678</v>
      </c>
      <c r="Y281" s="101">
        <f>((Tableau!$H$25-Q281)/(AD281^2+Tableau!$G$30^2)^(3/2))*Tableau!$G$29</f>
        <v>15.098889386711722</v>
      </c>
      <c r="Z281" s="101">
        <f>((Tableau!$G$35-P281)/(AE281^2+Tableau!$G$40^2)^(3/2))*Tableau!$G$39</f>
        <v>-150.72678275051371</v>
      </c>
      <c r="AA281" s="102">
        <f>((Tableau!$H$35-Q281)/(AE281^2+Tableau!$G$40^2)^(3/2))*Tableau!$G$39</f>
        <v>56.280338025313725</v>
      </c>
      <c r="AC281" s="113">
        <f>SQRT((Tableau!$G$16-P281)^2+(Tableau!$H$16-Q281)^2)</f>
        <v>50019.517453839362</v>
      </c>
      <c r="AD281" s="114">
        <f>SQRT((Tableau!$G$25-P281)^2+(Tableau!$H$25-Q281)^2)</f>
        <v>80579.571881412136</v>
      </c>
      <c r="AE281" s="115">
        <f>SQRT((Tableau!$G$35-P281)^2+(Tableau!$H$35-Q281)^2)</f>
        <v>55706.010886439624</v>
      </c>
    </row>
    <row r="282" spans="2:31" x14ac:dyDescent="0.25">
      <c r="B282" s="20">
        <v>279</v>
      </c>
      <c r="C282" s="21">
        <f>Tableau!$G$17*COS(B282*PI()/180)+Tableau!$G$16</f>
        <v>20782.172325201154</v>
      </c>
      <c r="D282" s="21">
        <f>Tableau!$G$17*SIN(B282*PI()/180)+Tableau!$H$16</f>
        <v>2561.5582970243113</v>
      </c>
      <c r="F282" s="28">
        <v>279</v>
      </c>
      <c r="G282" s="29">
        <f>Tableau!$G$26*COS(F282*PI()/180)+Tableau!$G$25</f>
        <v>-19452.479372359194</v>
      </c>
      <c r="H282" s="29">
        <f>Tableau!$G$26*SIN(F282*PI()/180)+Tableau!$H$25</f>
        <v>6543.0908079170176</v>
      </c>
      <c r="J282" s="36">
        <v>279</v>
      </c>
      <c r="K282" s="37">
        <f>Tableau!$G$36*COS(J282*PI()/180)+Tableau!$G$35</f>
        <v>-4217.8276747988466</v>
      </c>
      <c r="L282" s="37">
        <f>Tableau!$G$36*SIN(J282*PI()/180)+Tableau!$H$35</f>
        <v>-19938.441702975688</v>
      </c>
      <c r="N282" s="92">
        <v>278</v>
      </c>
      <c r="O282" s="93">
        <v>139</v>
      </c>
      <c r="P282" s="96">
        <f>P281+R281*Tableau!$G$2+((1/2)*T281)*Tableau!$G$2^2</f>
        <v>45911.972496167713</v>
      </c>
      <c r="Q282" s="96">
        <f>Q281+S281*Tableau!$G$2+((1/2)*U281)*Tableau!$G$2^2</f>
        <v>-33263.153546690322</v>
      </c>
      <c r="R282" s="96">
        <f>R281+T281*Tableau!$G$2</f>
        <v>-2619.6143393273551</v>
      </c>
      <c r="S282" s="96">
        <f>S281+U281*Tableau!$G$2</f>
        <v>2505.2388082881885</v>
      </c>
      <c r="T282" s="96">
        <f t="shared" si="8"/>
        <v>-297.09988814257275</v>
      </c>
      <c r="U282" s="96">
        <f t="shared" si="9"/>
        <v>250.97052915843767</v>
      </c>
      <c r="V282" s="96">
        <f>((Tableau!$G$16-P282)/(AC282^2+Tableau!$G$21^2)^(3/2))*Tableau!$G$20</f>
        <v>-113.04946924878298</v>
      </c>
      <c r="W282" s="96">
        <f>((Tableau!$H$16-Q282)/(AC282^2+Tableau!$G$21^2)^(3/2))*Tableau!$G$20</f>
        <v>177.84261209915729</v>
      </c>
      <c r="X282" s="96">
        <f>((Tableau!$G$25-P282)/(AD282^2+Tableau!$G$30^2)^(3/2))*Tableau!$G$29</f>
        <v>-23.870758998049585</v>
      </c>
      <c r="Y282" s="96">
        <f>((Tableau!$H$25-Q282)/(AD282^2+Tableau!$G$30^2)^(3/2))*Tableau!$G$29</f>
        <v>15.668235567805288</v>
      </c>
      <c r="Z282" s="96">
        <f>((Tableau!$G$35-P282)/(AE282^2+Tableau!$G$40^2)^(3/2))*Tableau!$G$39</f>
        <v>-160.17965989574017</v>
      </c>
      <c r="AA282" s="97">
        <f>((Tableau!$H$35-Q282)/(AE282^2+Tableau!$G$40^2)^(3/2))*Tableau!$G$39</f>
        <v>57.459681491475095</v>
      </c>
      <c r="AC282" s="110">
        <f>SQRT((Tableau!$G$16-P282)^2+(Tableau!$H$16-Q282)^2)</f>
        <v>48301.811619371008</v>
      </c>
      <c r="AD282" s="111">
        <f>SQRT((Tableau!$G$25-P282)^2+(Tableau!$H$25-Q282)^2)</f>
        <v>78842.175091381592</v>
      </c>
      <c r="AE282" s="112">
        <f>SQRT((Tableau!$G$35-P282)^2+(Tableau!$H$35-Q282)^2)</f>
        <v>54088.55443548593</v>
      </c>
    </row>
    <row r="283" spans="2:31" x14ac:dyDescent="0.25">
      <c r="B283" s="18">
        <v>280</v>
      </c>
      <c r="C283" s="19">
        <f>Tableau!$G$17*COS(B283*PI()/180)+Tableau!$G$16</f>
        <v>20868.240888334651</v>
      </c>
      <c r="D283" s="19">
        <f>Tableau!$G$17*SIN(B283*PI()/180)+Tableau!$H$16</f>
        <v>2575.961234938959</v>
      </c>
      <c r="F283" s="26">
        <v>280</v>
      </c>
      <c r="G283" s="27">
        <f>Tableau!$G$26*COS(F283*PI()/180)+Tableau!$G$25</f>
        <v>-19392.231378165747</v>
      </c>
      <c r="H283" s="27">
        <f>Tableau!$G$26*SIN(F283*PI()/180)+Tableau!$H$25</f>
        <v>6553.1728644572713</v>
      </c>
      <c r="J283" s="34">
        <v>280</v>
      </c>
      <c r="K283" s="35">
        <f>Tableau!$G$36*COS(J283*PI()/180)+Tableau!$G$35</f>
        <v>-4131.7591116653502</v>
      </c>
      <c r="L283" s="35">
        <f>Tableau!$G$36*SIN(J283*PI()/180)+Tableau!$H$35</f>
        <v>-19924.038765061043</v>
      </c>
      <c r="N283" s="98">
        <v>279</v>
      </c>
      <c r="O283" s="99">
        <v>139.5</v>
      </c>
      <c r="P283" s="101">
        <f>P282+R282*Tableau!$G$2+((1/2)*T282)*Tableau!$G$2^2</f>
        <v>44565.027840486218</v>
      </c>
      <c r="Q283" s="101">
        <f>Q282+S282*Tableau!$G$2+((1/2)*U282)*Tableau!$G$2^2</f>
        <v>-31979.162826401425</v>
      </c>
      <c r="R283" s="101">
        <f>R282+T282*Tableau!$G$2</f>
        <v>-2768.1642833986416</v>
      </c>
      <c r="S283" s="101">
        <f>S282+U282*Tableau!$G$2</f>
        <v>2630.7240728674074</v>
      </c>
      <c r="T283" s="101">
        <f t="shared" si="8"/>
        <v>-315.65239714094656</v>
      </c>
      <c r="U283" s="101">
        <f t="shared" si="9"/>
        <v>267.02853307503636</v>
      </c>
      <c r="V283" s="101">
        <f>((Tableau!$G$16-P283)/(AC283^2+Tableau!$G$21^2)^(3/2))*Tableau!$G$20</f>
        <v>-119.55398428935288</v>
      </c>
      <c r="W283" s="101">
        <f>((Tableau!$H$16-Q283)/(AC283^2+Tableau!$G$21^2)^(3/2))*Tableau!$G$20</f>
        <v>192.13864698029911</v>
      </c>
      <c r="X283" s="101">
        <f>((Tableau!$G$25-P283)/(AD283^2+Tableau!$G$30^2)^(3/2))*Tableau!$G$29</f>
        <v>-25.075521436391117</v>
      </c>
      <c r="Y283" s="101">
        <f>((Tableau!$H$25-Q283)/(AD283^2+Tableau!$G$30^2)^(3/2))*Tableau!$G$29</f>
        <v>16.303708563958935</v>
      </c>
      <c r="Z283" s="101">
        <f>((Tableau!$G$35-P283)/(AE283^2+Tableau!$G$40^2)^(3/2))*Tableau!$G$39</f>
        <v>-171.02289141520257</v>
      </c>
      <c r="AA283" s="102">
        <f>((Tableau!$H$35-Q283)/(AE283^2+Tableau!$G$40^2)^(3/2))*Tableau!$G$39</f>
        <v>58.586177530778308</v>
      </c>
      <c r="AC283" s="113">
        <f>SQRT((Tableau!$G$16-P283)^2+(Tableau!$H$16-Q283)^2)</f>
        <v>46497.794466806481</v>
      </c>
      <c r="AD283" s="114">
        <f>SQRT((Tableau!$G$25-P283)^2+(Tableau!$H$25-Q283)^2)</f>
        <v>77012.290783019067</v>
      </c>
      <c r="AE283" s="115">
        <f>SQRT((Tableau!$G$35-P283)^2+(Tableau!$H$35-Q283)^2)</f>
        <v>52392.594468241652</v>
      </c>
    </row>
    <row r="284" spans="2:31" x14ac:dyDescent="0.25">
      <c r="B284" s="20">
        <v>281</v>
      </c>
      <c r="C284" s="21">
        <f>Tableau!$G$17*COS(B284*PI()/180)+Tableau!$G$16</f>
        <v>20954.04497688272</v>
      </c>
      <c r="D284" s="21">
        <f>Tableau!$G$17*SIN(B284*PI()/180)+Tableau!$H$16</f>
        <v>2591.8640827616791</v>
      </c>
      <c r="F284" s="28">
        <v>281</v>
      </c>
      <c r="G284" s="29">
        <f>Tableau!$G$26*COS(F284*PI()/180)+Tableau!$G$25</f>
        <v>-19332.168516182093</v>
      </c>
      <c r="H284" s="29">
        <f>Tableau!$G$26*SIN(F284*PI()/180)+Tableau!$H$25</f>
        <v>6564.3048579331753</v>
      </c>
      <c r="J284" s="36">
        <v>281</v>
      </c>
      <c r="K284" s="37">
        <f>Tableau!$G$36*COS(J284*PI()/180)+Tableau!$G$35</f>
        <v>-4045.9550231172789</v>
      </c>
      <c r="L284" s="37">
        <f>Tableau!$G$36*SIN(J284*PI()/180)+Tableau!$H$35</f>
        <v>-19908.13591723832</v>
      </c>
      <c r="N284" s="92">
        <v>280</v>
      </c>
      <c r="O284" s="93">
        <v>140</v>
      </c>
      <c r="P284" s="96">
        <f>P283+R283*Tableau!$G$2+((1/2)*T283)*Tableau!$G$2^2</f>
        <v>43141.489149144283</v>
      </c>
      <c r="Q284" s="96">
        <f>Q283+S283*Tableau!$G$2+((1/2)*U283)*Tableau!$G$2^2</f>
        <v>-30630.422223333342</v>
      </c>
      <c r="R284" s="96">
        <f>R283+T283*Tableau!$G$2</f>
        <v>-2925.9904819691151</v>
      </c>
      <c r="S284" s="96">
        <f>S283+U283*Tableau!$G$2</f>
        <v>2764.2383394049257</v>
      </c>
      <c r="T284" s="96">
        <f t="shared" si="8"/>
        <v>-336.84644525539773</v>
      </c>
      <c r="U284" s="96">
        <f t="shared" si="9"/>
        <v>285.64207111330472</v>
      </c>
      <c r="V284" s="96">
        <f>((Tableau!$G$16-P284)/(AC284^2+Tableau!$G$21^2)^(3/2))*Tableau!$G$20</f>
        <v>-126.86434296570003</v>
      </c>
      <c r="W284" s="96">
        <f>((Tableau!$H$16-Q284)/(AC284^2+Tableau!$G$21^2)^(3/2))*Tableau!$G$20</f>
        <v>209.03542253445636</v>
      </c>
      <c r="X284" s="96">
        <f>((Tableau!$G$25-P284)/(AD284^2+Tableau!$G$30^2)^(3/2))*Tableau!$G$29</f>
        <v>-26.443534738742137</v>
      </c>
      <c r="Y284" s="96">
        <f>((Tableau!$H$25-Q284)/(AD284^2+Tableau!$G$30^2)^(3/2))*Tableau!$G$29</f>
        <v>17.015943019250702</v>
      </c>
      <c r="Z284" s="96">
        <f>((Tableau!$G$35-P284)/(AE284^2+Tableau!$G$40^2)^(3/2))*Tableau!$G$39</f>
        <v>-183.53856755095555</v>
      </c>
      <c r="AA284" s="97">
        <f>((Tableau!$H$35-Q284)/(AE284^2+Tableau!$G$40^2)^(3/2))*Tableau!$G$39</f>
        <v>59.590705559597673</v>
      </c>
      <c r="AC284" s="110">
        <f>SQRT((Tableau!$G$16-P284)^2+(Tableau!$H$16-Q284)^2)</f>
        <v>44603.336410739903</v>
      </c>
      <c r="AD284" s="111">
        <f>SQRT((Tableau!$G$25-P284)^2+(Tableau!$H$25-Q284)^2)</f>
        <v>75084.478169711248</v>
      </c>
      <c r="AE284" s="112">
        <f>SQRT((Tableau!$G$35-P284)^2+(Tableau!$H$35-Q284)^2)</f>
        <v>50615.344277964265</v>
      </c>
    </row>
    <row r="285" spans="2:31" x14ac:dyDescent="0.25">
      <c r="B285" s="18">
        <v>282</v>
      </c>
      <c r="C285" s="19">
        <f>Tableau!$G$17*COS(B285*PI()/180)+Tableau!$G$16</f>
        <v>21039.558454088794</v>
      </c>
      <c r="D285" s="19">
        <f>Tableau!$G$17*SIN(B285*PI()/180)+Tableau!$H$16</f>
        <v>2609.2619963309708</v>
      </c>
      <c r="F285" s="26">
        <v>282</v>
      </c>
      <c r="G285" s="27">
        <f>Tableau!$G$26*COS(F285*PI()/180)+Tableau!$G$25</f>
        <v>-19272.309082137846</v>
      </c>
      <c r="H285" s="27">
        <f>Tableau!$G$26*SIN(F285*PI()/180)+Tableau!$H$25</f>
        <v>6576.4833974316798</v>
      </c>
      <c r="J285" s="34">
        <v>282</v>
      </c>
      <c r="K285" s="35">
        <f>Tableau!$G$36*COS(J285*PI()/180)+Tableau!$G$35</f>
        <v>-3960.441545911207</v>
      </c>
      <c r="L285" s="35">
        <f>Tableau!$G$36*SIN(J285*PI()/180)+Tableau!$H$35</f>
        <v>-19890.73800366903</v>
      </c>
      <c r="N285" s="98">
        <v>281</v>
      </c>
      <c r="O285" s="99">
        <v>140.5</v>
      </c>
      <c r="P285" s="101">
        <f>P284+R284*Tableau!$G$2+((1/2)*T284)*Tableau!$G$2^2</f>
        <v>41636.388102502802</v>
      </c>
      <c r="Q285" s="101">
        <f>Q284+S284*Tableau!$G$2+((1/2)*U284)*Tableau!$G$2^2</f>
        <v>-29212.597794741716</v>
      </c>
      <c r="R285" s="101">
        <f>R284+T284*Tableau!$G$2</f>
        <v>-3094.4137045968141</v>
      </c>
      <c r="S285" s="101">
        <f>S284+U284*Tableau!$G$2</f>
        <v>2907.0593749615782</v>
      </c>
      <c r="T285" s="101">
        <f t="shared" si="8"/>
        <v>-361.17555824762348</v>
      </c>
      <c r="U285" s="101">
        <f t="shared" si="9"/>
        <v>307.39689533766938</v>
      </c>
      <c r="V285" s="101">
        <f>((Tableau!$G$16-P285)/(AC285^2+Tableau!$G$21^2)^(3/2))*Tableau!$G$20</f>
        <v>-135.08519850514224</v>
      </c>
      <c r="W285" s="101">
        <f>((Tableau!$H$16-Q285)/(AC285^2+Tableau!$G$21^2)^(3/2))*Tableau!$G$20</f>
        <v>229.21240538149053</v>
      </c>
      <c r="X285" s="101">
        <f>((Tableau!$G$25-P285)/(AD285^2+Tableau!$G$30^2)^(3/2))*Tableau!$G$29</f>
        <v>-28.007223241140366</v>
      </c>
      <c r="Y285" s="101">
        <f>((Tableau!$H$25-Q285)/(AD285^2+Tableau!$G$30^2)^(3/2))*Tableau!$G$29</f>
        <v>17.817980808284656</v>
      </c>
      <c r="Z285" s="101">
        <f>((Tableau!$G$35-P285)/(AE285^2+Tableau!$G$40^2)^(3/2))*Tableau!$G$39</f>
        <v>-198.08313650134085</v>
      </c>
      <c r="AA285" s="102">
        <f>((Tableau!$H$35-Q285)/(AE285^2+Tableau!$G$40^2)^(3/2))*Tableau!$G$39</f>
        <v>60.366509147894185</v>
      </c>
      <c r="AC285" s="113">
        <f>SQRT((Tableau!$G$16-P285)^2+(Tableau!$H$16-Q285)^2)</f>
        <v>42613.942870386905</v>
      </c>
      <c r="AD285" s="114">
        <f>SQRT((Tableau!$G$25-P285)^2+(Tableau!$H$25-Q285)^2)</f>
        <v>73052.53016928662</v>
      </c>
      <c r="AE285" s="115">
        <f>SQRT((Tableau!$G$35-P285)^2+(Tableau!$H$35-Q285)^2)</f>
        <v>48753.980671555037</v>
      </c>
    </row>
    <row r="286" spans="2:31" x14ac:dyDescent="0.25">
      <c r="B286" s="20">
        <v>283</v>
      </c>
      <c r="C286" s="21">
        <f>Tableau!$G$17*COS(B286*PI()/180)+Tableau!$G$16</f>
        <v>21124.755271719325</v>
      </c>
      <c r="D286" s="21">
        <f>Tableau!$G$17*SIN(B286*PI()/180)+Tableau!$H$16</f>
        <v>2628.1496760738237</v>
      </c>
      <c r="F286" s="28">
        <v>283</v>
      </c>
      <c r="G286" s="29">
        <f>Tableau!$G$26*COS(F286*PI()/180)+Tableau!$G$25</f>
        <v>-19212.671309796471</v>
      </c>
      <c r="H286" s="29">
        <f>Tableau!$G$26*SIN(F286*PI()/180)+Tableau!$H$25</f>
        <v>6589.7047732516767</v>
      </c>
      <c r="J286" s="36">
        <v>283</v>
      </c>
      <c r="K286" s="37">
        <f>Tableau!$G$36*COS(J286*PI()/180)+Tableau!$G$35</f>
        <v>-3875.2447282806752</v>
      </c>
      <c r="L286" s="37">
        <f>Tableau!$G$36*SIN(J286*PI()/180)+Tableau!$H$35</f>
        <v>-19871.850323926177</v>
      </c>
      <c r="N286" s="92">
        <v>282</v>
      </c>
      <c r="O286" s="93">
        <v>141</v>
      </c>
      <c r="P286" s="96">
        <f>P285+R285*Tableau!$G$2+((1/2)*T285)*Tableau!$G$2^2</f>
        <v>40044.034305423447</v>
      </c>
      <c r="Q286" s="96">
        <f>Q285+S285*Tableau!$G$2+((1/2)*U285)*Tableau!$G$2^2</f>
        <v>-27720.643495343716</v>
      </c>
      <c r="R286" s="96">
        <f>R285+T285*Tableau!$G$2</f>
        <v>-3275.0014837206259</v>
      </c>
      <c r="S286" s="96">
        <f>S285+U285*Tableau!$G$2</f>
        <v>3060.7578226304131</v>
      </c>
      <c r="T286" s="96">
        <f t="shared" si="8"/>
        <v>-389.23458671413812</v>
      </c>
      <c r="U286" s="96">
        <f t="shared" si="9"/>
        <v>333.06139465674323</v>
      </c>
      <c r="V286" s="96">
        <f>((Tableau!$G$16-P286)/(AC286^2+Tableau!$G$21^2)^(3/2))*Tableau!$G$20</f>
        <v>-144.31631061342776</v>
      </c>
      <c r="W286" s="96">
        <f>((Tableau!$H$16-Q286)/(AC286^2+Tableau!$G$21^2)^(3/2))*Tableau!$G$20</f>
        <v>253.58733921661221</v>
      </c>
      <c r="X286" s="96">
        <f>((Tableau!$G$25-P286)/(AD286^2+Tableau!$G$30^2)^(3/2))*Tableau!$G$29</f>
        <v>-29.808134430645552</v>
      </c>
      <c r="Y286" s="96">
        <f>((Tableau!$H$25-Q286)/(AD286^2+Tableau!$G$30^2)^(3/2))*Tableau!$G$29</f>
        <v>18.725957126736599</v>
      </c>
      <c r="Z286" s="96">
        <f>((Tableau!$G$35-P286)/(AE286^2+Tableau!$G$40^2)^(3/2))*Tableau!$G$39</f>
        <v>-215.11014167006482</v>
      </c>
      <c r="AA286" s="97">
        <f>((Tableau!$H$35-Q286)/(AE286^2+Tableau!$G$40^2)^(3/2))*Tableau!$G$39</f>
        <v>60.748098313394436</v>
      </c>
      <c r="AC286" s="110">
        <f>SQRT((Tableau!$G$16-P286)^2+(Tableau!$H$16-Q286)^2)</f>
        <v>40524.770689827346</v>
      </c>
      <c r="AD286" s="111">
        <f>SQRT((Tableau!$G$25-P286)^2+(Tableau!$H$25-Q286)^2)</f>
        <v>70909.329438189467</v>
      </c>
      <c r="AE286" s="112">
        <f>SQRT((Tableau!$G$35-P286)^2+(Tableau!$H$35-Q286)^2)</f>
        <v>46805.766711419164</v>
      </c>
    </row>
    <row r="287" spans="2:31" x14ac:dyDescent="0.25">
      <c r="B287" s="18">
        <v>284</v>
      </c>
      <c r="C287" s="19">
        <f>Tableau!$G$17*COS(B287*PI()/180)+Tableau!$G$16</f>
        <v>21209.609477998336</v>
      </c>
      <c r="D287" s="19">
        <f>Tableau!$G$17*SIN(B287*PI()/180)+Tableau!$H$16</f>
        <v>2648.5213686200168</v>
      </c>
      <c r="F287" s="26">
        <v>284</v>
      </c>
      <c r="G287" s="27">
        <f>Tableau!$G$26*COS(F287*PI()/180)+Tableau!$G$25</f>
        <v>-19153.273365401164</v>
      </c>
      <c r="H287" s="27">
        <f>Tableau!$G$26*SIN(F287*PI()/180)+Tableau!$H$25</f>
        <v>6603.9649580340119</v>
      </c>
      <c r="J287" s="34">
        <v>284</v>
      </c>
      <c r="K287" s="35">
        <f>Tableau!$G$36*COS(J287*PI()/180)+Tableau!$G$35</f>
        <v>-3790.3905220016627</v>
      </c>
      <c r="L287" s="35">
        <f>Tableau!$G$36*SIN(J287*PI()/180)+Tableau!$H$35</f>
        <v>-19851.478631379985</v>
      </c>
      <c r="N287" s="98">
        <v>283</v>
      </c>
      <c r="O287" s="99">
        <v>141.5</v>
      </c>
      <c r="P287" s="101">
        <f>P286+R286*Tableau!$G$2+((1/2)*T286)*Tableau!$G$2^2</f>
        <v>38357.879240223869</v>
      </c>
      <c r="Q287" s="101">
        <f>Q286+S286*Tableau!$G$2+((1/2)*U286)*Tableau!$G$2^2</f>
        <v>-26148.631909696418</v>
      </c>
      <c r="R287" s="101">
        <f>R286+T286*Tableau!$G$2</f>
        <v>-3469.6187770776951</v>
      </c>
      <c r="S287" s="101">
        <f>S286+U286*Tableau!$G$2</f>
        <v>3227.2885199587845</v>
      </c>
      <c r="T287" s="101">
        <f t="shared" si="8"/>
        <v>-421.72735991878392</v>
      </c>
      <c r="U287" s="101">
        <f t="shared" si="9"/>
        <v>363.65742191489966</v>
      </c>
      <c r="V287" s="101">
        <f>((Tableau!$G$16-P287)/(AC287^2+Tableau!$G$21^2)^(3/2))*Tableau!$G$20</f>
        <v>-154.62730257497969</v>
      </c>
      <c r="W287" s="101">
        <f>((Tableau!$H$16-Q287)/(AC287^2+Tableau!$G$21^2)^(3/2))*Tableau!$G$20</f>
        <v>283.42038420943959</v>
      </c>
      <c r="X287" s="101">
        <f>((Tableau!$G$25-P287)/(AD287^2+Tableau!$G$30^2)^(3/2))*Tableau!$G$29</f>
        <v>-31.900312719252117</v>
      </c>
      <c r="Y287" s="101">
        <f>((Tableau!$H$25-Q287)/(AD287^2+Tableau!$G$30^2)^(3/2))*Tableau!$G$29</f>
        <v>19.760016595970249</v>
      </c>
      <c r="Z287" s="101">
        <f>((Tableau!$G$35-P287)/(AE287^2+Tableau!$G$40^2)^(3/2))*Tableau!$G$39</f>
        <v>-235.19974462455207</v>
      </c>
      <c r="AA287" s="102">
        <f>((Tableau!$H$35-Q287)/(AE287^2+Tableau!$G$40^2)^(3/2))*Tableau!$G$39</f>
        <v>60.477021109489833</v>
      </c>
      <c r="AC287" s="113">
        <f>SQRT((Tableau!$G$16-P287)^2+(Tableau!$H$16-Q287)^2)</f>
        <v>38330.694744458808</v>
      </c>
      <c r="AD287" s="114">
        <f>SQRT((Tableau!$G$25-P287)^2+(Tableau!$H$25-Q287)^2)</f>
        <v>68646.672594957388</v>
      </c>
      <c r="AE287" s="115">
        <f>SQRT((Tableau!$G$35-P287)^2+(Tableau!$H$35-Q287)^2)</f>
        <v>44768.26650282248</v>
      </c>
    </row>
    <row r="288" spans="2:31" x14ac:dyDescent="0.25">
      <c r="B288" s="20">
        <v>285</v>
      </c>
      <c r="C288" s="21">
        <f>Tableau!$G$17*COS(B288*PI()/180)+Tableau!$G$16</f>
        <v>21294.095225512607</v>
      </c>
      <c r="D288" s="21">
        <f>Tableau!$G$17*SIN(B288*PI()/180)+Tableau!$H$16</f>
        <v>2670.370868554659</v>
      </c>
      <c r="F288" s="28">
        <v>285</v>
      </c>
      <c r="G288" s="29">
        <f>Tableau!$G$26*COS(F288*PI()/180)+Tableau!$G$25</f>
        <v>-19094.133342141176</v>
      </c>
      <c r="H288" s="29">
        <f>Tableau!$G$26*SIN(F288*PI()/180)+Tableau!$H$25</f>
        <v>6619.2596079882615</v>
      </c>
      <c r="J288" s="36">
        <v>285</v>
      </c>
      <c r="K288" s="37">
        <f>Tableau!$G$36*COS(J288*PI()/180)+Tableau!$G$35</f>
        <v>-3705.9047744873942</v>
      </c>
      <c r="L288" s="37">
        <f>Tableau!$G$36*SIN(J288*PI()/180)+Tableau!$H$35</f>
        <v>-19829.629131445341</v>
      </c>
      <c r="N288" s="92">
        <v>284</v>
      </c>
      <c r="O288" s="93">
        <v>142</v>
      </c>
      <c r="P288" s="96">
        <f>P287+R287*Tableau!$G$2+((1/2)*T287)*Tableau!$G$2^2</f>
        <v>36570.353931695179</v>
      </c>
      <c r="Q288" s="96">
        <f>Q287+S287*Tableau!$G$2+((1/2)*U287)*Tableau!$G$2^2</f>
        <v>-24489.530471977665</v>
      </c>
      <c r="R288" s="96">
        <f>R287+T287*Tableau!$G$2</f>
        <v>-3680.482457037087</v>
      </c>
      <c r="S288" s="96">
        <f>S287+U287*Tableau!$G$2</f>
        <v>3409.1172309162343</v>
      </c>
      <c r="T288" s="96">
        <f t="shared" si="8"/>
        <v>-459.45277002399121</v>
      </c>
      <c r="U288" s="96">
        <f t="shared" si="9"/>
        <v>400.56229823806052</v>
      </c>
      <c r="V288" s="96">
        <f>((Tableau!$G$16-P288)/(AC288^2+Tableau!$G$21^2)^(3/2))*Tableau!$G$20</f>
        <v>-166.0019281378365</v>
      </c>
      <c r="W288" s="96">
        <f>((Tableau!$H$16-Q288)/(AC288^2+Tableau!$G$21^2)^(3/2))*Tableau!$G$20</f>
        <v>320.47135266163332</v>
      </c>
      <c r="X288" s="96">
        <f>((Tableau!$G$25-P288)/(AD288^2+Tableau!$G$30^2)^(3/2))*Tableau!$G$29</f>
        <v>-34.355253363484621</v>
      </c>
      <c r="Y288" s="96">
        <f>((Tableau!$H$25-Q288)/(AD288^2+Tableau!$G$30^2)^(3/2))*Tableau!$G$29</f>
        <v>20.945539057137545</v>
      </c>
      <c r="Z288" s="96">
        <f>((Tableau!$G$35-P288)/(AE288^2+Tableau!$G$40^2)^(3/2))*Tableau!$G$39</f>
        <v>-259.09558852267008</v>
      </c>
      <c r="AA288" s="97">
        <f>((Tableau!$H$35-Q288)/(AE288^2+Tableau!$G$40^2)^(3/2))*Tableau!$G$39</f>
        <v>59.1454065192897</v>
      </c>
      <c r="AC288" s="110">
        <f>SQRT((Tableau!$G$16-P288)^2+(Tableau!$H$16-Q288)^2)</f>
        <v>36026.472062071713</v>
      </c>
      <c r="AD288" s="111">
        <f>SQRT((Tableau!$G$25-P288)^2+(Tableau!$H$25-Q288)^2)</f>
        <v>66255.057589098331</v>
      </c>
      <c r="AE288" s="112">
        <f>SQRT((Tableau!$G$35-P288)^2+(Tableau!$H$35-Q288)^2)</f>
        <v>42639.71757159043</v>
      </c>
    </row>
    <row r="289" spans="2:31" x14ac:dyDescent="0.25">
      <c r="B289" s="18">
        <v>286</v>
      </c>
      <c r="C289" s="19">
        <f>Tableau!$G$17*COS(B289*PI()/180)+Tableau!$G$16</f>
        <v>21378.186779084997</v>
      </c>
      <c r="D289" s="19">
        <f>Tableau!$G$17*SIN(B289*PI()/180)+Tableau!$H$16</f>
        <v>2693.6915203084063</v>
      </c>
      <c r="F289" s="26">
        <v>286</v>
      </c>
      <c r="G289" s="27">
        <f>Tableau!$G$26*COS(F289*PI()/180)+Tableau!$G$25</f>
        <v>-19035.269254640501</v>
      </c>
      <c r="H289" s="27">
        <f>Tableau!$G$26*SIN(F289*PI()/180)+Tableau!$H$25</f>
        <v>6635.5840642158837</v>
      </c>
      <c r="J289" s="34">
        <v>286</v>
      </c>
      <c r="K289" s="35">
        <f>Tableau!$G$36*COS(J289*PI()/180)+Tableau!$G$35</f>
        <v>-3621.8132209150031</v>
      </c>
      <c r="L289" s="35">
        <f>Tableau!$G$36*SIN(J289*PI()/180)+Tableau!$H$35</f>
        <v>-19806.308479691594</v>
      </c>
      <c r="N289" s="98">
        <v>285</v>
      </c>
      <c r="O289" s="99">
        <v>142.5</v>
      </c>
      <c r="P289" s="101">
        <f>P288+R288*Tableau!$G$2+((1/2)*T288)*Tableau!$G$2^2</f>
        <v>34672.681106923636</v>
      </c>
      <c r="Q289" s="101">
        <f>Q288+S288*Tableau!$G$2+((1/2)*U288)*Tableau!$G$2^2</f>
        <v>-22734.901569239788</v>
      </c>
      <c r="R289" s="101">
        <f>R288+T288*Tableau!$G$2</f>
        <v>-3910.2088420490827</v>
      </c>
      <c r="S289" s="101">
        <f>S288+U288*Tableau!$G$2</f>
        <v>3609.3983800352644</v>
      </c>
      <c r="T289" s="101">
        <f t="shared" si="8"/>
        <v>-503.23288779771252</v>
      </c>
      <c r="U289" s="101">
        <f t="shared" si="9"/>
        <v>445.65435149041917</v>
      </c>
      <c r="V289" s="101">
        <f>((Tableau!$G$16-P289)/(AC289^2+Tableau!$G$21^2)^(3/2))*Tableau!$G$20</f>
        <v>-178.21685082299607</v>
      </c>
      <c r="W289" s="101">
        <f>((Tableau!$H$16-Q289)/(AC289^2+Tableau!$G$21^2)^(3/2))*Tableau!$G$20</f>
        <v>367.23819616515442</v>
      </c>
      <c r="X289" s="101">
        <f>((Tableau!$G$25-P289)/(AD289^2+Tableau!$G$30^2)^(3/2))*Tableau!$G$29</f>
        <v>-37.269345267627131</v>
      </c>
      <c r="Y289" s="101">
        <f>((Tableau!$H$25-Q289)/(AD289^2+Tableau!$G$30^2)^(3/2))*Tableau!$G$29</f>
        <v>22.314770817619326</v>
      </c>
      <c r="Z289" s="101">
        <f>((Tableau!$G$35-P289)/(AE289^2+Tableau!$G$40^2)^(3/2))*Tableau!$G$39</f>
        <v>-287.74669170708933</v>
      </c>
      <c r="AA289" s="102">
        <f>((Tableau!$H$35-Q289)/(AE289^2+Tableau!$G$40^2)^(3/2))*Tableau!$G$39</f>
        <v>56.10138450764542</v>
      </c>
      <c r="AC289" s="113">
        <f>SQRT((Tableau!$G$16-P289)^2+(Tableau!$H$16-Q289)^2)</f>
        <v>33607.095140269004</v>
      </c>
      <c r="AD289" s="114">
        <f>SQRT((Tableau!$G$25-P289)^2+(Tableau!$H$25-Q289)^2)</f>
        <v>63723.432426127059</v>
      </c>
      <c r="AE289" s="115">
        <f>SQRT((Tableau!$G$35-P289)^2+(Tableau!$H$35-Q289)^2)</f>
        <v>40419.677491260169</v>
      </c>
    </row>
    <row r="290" spans="2:31" x14ac:dyDescent="0.25">
      <c r="B290" s="20">
        <v>287</v>
      </c>
      <c r="C290" s="21">
        <f>Tableau!$G$17*COS(B290*PI()/180)+Tableau!$G$16</f>
        <v>21461.858523613682</v>
      </c>
      <c r="D290" s="21">
        <f>Tableau!$G$17*SIN(B290*PI()/180)+Tableau!$H$16</f>
        <v>2718.4762201848225</v>
      </c>
      <c r="F290" s="28">
        <v>287</v>
      </c>
      <c r="G290" s="29">
        <f>Tableau!$G$26*COS(F290*PI()/180)+Tableau!$G$25</f>
        <v>-18976.699033470421</v>
      </c>
      <c r="H290" s="29">
        <f>Tableau!$G$26*SIN(F290*PI()/180)+Tableau!$H$25</f>
        <v>6652.9333541293763</v>
      </c>
      <c r="J290" s="36">
        <v>287</v>
      </c>
      <c r="K290" s="37">
        <f>Tableau!$G$36*COS(J290*PI()/180)+Tableau!$G$35</f>
        <v>-3538.1414763863168</v>
      </c>
      <c r="L290" s="37">
        <f>Tableau!$G$36*SIN(J290*PI()/180)+Tableau!$H$35</f>
        <v>-19781.523779815179</v>
      </c>
      <c r="N290" s="92">
        <v>286</v>
      </c>
      <c r="O290" s="93">
        <v>143</v>
      </c>
      <c r="P290" s="96">
        <f>P289+R289*Tableau!$G$2+((1/2)*T289)*Tableau!$G$2^2</f>
        <v>32654.672574924378</v>
      </c>
      <c r="Q290" s="96">
        <f>Q289+S289*Tableau!$G$2+((1/2)*U289)*Tableau!$G$2^2</f>
        <v>-20874.495585285851</v>
      </c>
      <c r="R290" s="96">
        <f>R289+T289*Tableau!$G$2</f>
        <v>-4161.8252859479389</v>
      </c>
      <c r="S290" s="96">
        <f>S289+U289*Tableau!$G$2</f>
        <v>3832.2255557804738</v>
      </c>
      <c r="T290" s="96">
        <f t="shared" si="8"/>
        <v>-553.69572523130228</v>
      </c>
      <c r="U290" s="96">
        <f t="shared" si="9"/>
        <v>501.51230410862462</v>
      </c>
      <c r="V290" s="96">
        <f>((Tableau!$G$16-P290)/(AC290^2+Tableau!$G$21^2)^(3/2))*Tableau!$G$20</f>
        <v>-190.57702651333804</v>
      </c>
      <c r="W290" s="96">
        <f>((Tableau!$H$16-Q290)/(AC290^2+Tableau!$G$21^2)^(3/2))*Tableau!$G$20</f>
        <v>427.3146512043935</v>
      </c>
      <c r="X290" s="96">
        <f>((Tableau!$G$25-P290)/(AD290^2+Tableau!$G$30^2)^(3/2))*Tableau!$G$29</f>
        <v>-40.775334929922373</v>
      </c>
      <c r="Y290" s="96">
        <f>((Tableau!$H$25-Q290)/(AD290^2+Tableau!$G$30^2)^(3/2))*Tableau!$G$29</f>
        <v>23.908949324318314</v>
      </c>
      <c r="Z290" s="96">
        <f>((Tableau!$G$35-P290)/(AE290^2+Tableau!$G$40^2)^(3/2))*Tableau!$G$39</f>
        <v>-322.34336378804187</v>
      </c>
      <c r="AA290" s="97">
        <f>((Tableau!$H$35-Q290)/(AE290^2+Tableau!$G$40^2)^(3/2))*Tableau!$G$39</f>
        <v>50.288703579912784</v>
      </c>
      <c r="AC290" s="110">
        <f>SQRT((Tableau!$G$16-P290)^2+(Tableau!$H$16-Q290)^2)</f>
        <v>31068.516824881575</v>
      </c>
      <c r="AD290" s="111">
        <f>SQRT((Tableau!$G$25-P290)^2+(Tableau!$H$25-Q290)^2)</f>
        <v>61038.91399442104</v>
      </c>
      <c r="AE290" s="112">
        <f>SQRT((Tableau!$G$35-P290)^2+(Tableau!$H$35-Q290)^2)</f>
        <v>38110.156980866726</v>
      </c>
    </row>
    <row r="291" spans="2:31" x14ac:dyDescent="0.25">
      <c r="B291" s="18">
        <v>288</v>
      </c>
      <c r="C291" s="19">
        <f>Tableau!$G$17*COS(B291*PI()/180)+Tableau!$G$16</f>
        <v>21545.084971874738</v>
      </c>
      <c r="D291" s="19">
        <f>Tableau!$G$17*SIN(B291*PI()/180)+Tableau!$H$16</f>
        <v>2744.717418524232</v>
      </c>
      <c r="F291" s="26">
        <v>288</v>
      </c>
      <c r="G291" s="27">
        <f>Tableau!$G$26*COS(F291*PI()/180)+Tableau!$G$25</f>
        <v>-18918.440519687683</v>
      </c>
      <c r="H291" s="27">
        <f>Tableau!$G$26*SIN(F291*PI()/180)+Tableau!$H$25</f>
        <v>6671.3021929669621</v>
      </c>
      <c r="J291" s="34">
        <v>288</v>
      </c>
      <c r="K291" s="35">
        <f>Tableau!$G$36*COS(J291*PI()/180)+Tableau!$G$35</f>
        <v>-3454.9150281252641</v>
      </c>
      <c r="L291" s="35">
        <f>Tableau!$G$36*SIN(J291*PI()/180)+Tableau!$H$35</f>
        <v>-19755.282581475767</v>
      </c>
      <c r="N291" s="98">
        <v>287</v>
      </c>
      <c r="O291" s="99">
        <v>143.5</v>
      </c>
      <c r="P291" s="101">
        <f>P290+R290*Tableau!$G$2+((1/2)*T290)*Tableau!$G$2^2</f>
        <v>30504.547966296494</v>
      </c>
      <c r="Q291" s="101">
        <f>Q290+S290*Tableau!$G$2+((1/2)*U290)*Tableau!$G$2^2</f>
        <v>-18895.693769382036</v>
      </c>
      <c r="R291" s="101">
        <f>R290+T290*Tableau!$G$2</f>
        <v>-4438.6731485635901</v>
      </c>
      <c r="S291" s="101">
        <f>S290+U290*Tableau!$G$2</f>
        <v>4082.981707834786</v>
      </c>
      <c r="T291" s="101">
        <f t="shared" si="8"/>
        <v>-610.70278439139929</v>
      </c>
      <c r="U291" s="101">
        <f t="shared" si="9"/>
        <v>571.65455733605154</v>
      </c>
      <c r="V291" s="101">
        <f>((Tableau!$G$16-P291)/(AC291^2+Tableau!$G$21^2)^(3/2))*Tableau!$G$20</f>
        <v>-201.33019425639711</v>
      </c>
      <c r="W291" s="101">
        <f>((Tableau!$H$16-Q291)/(AC291^2+Tableau!$G$21^2)^(3/2))*Tableau!$G$20</f>
        <v>505.8999369770749</v>
      </c>
      <c r="X291" s="101">
        <f>((Tableau!$G$25-P291)/(AD291^2+Tableau!$G$30^2)^(3/2))*Tableau!$G$29</f>
        <v>-45.060459264276652</v>
      </c>
      <c r="Y291" s="101">
        <f>((Tableau!$H$25-Q291)/(AD291^2+Tableau!$G$30^2)^(3/2))*Tableau!$G$29</f>
        <v>25.780910520715064</v>
      </c>
      <c r="Z291" s="101">
        <f>((Tableau!$G$35-P291)/(AE291^2+Tableau!$G$40^2)^(3/2))*Tableau!$G$39</f>
        <v>-364.31213087072547</v>
      </c>
      <c r="AA291" s="102">
        <f>((Tableau!$H$35-Q291)/(AE291^2+Tableau!$G$40^2)^(3/2))*Tableau!$G$39</f>
        <v>39.973709838261634</v>
      </c>
      <c r="AC291" s="113">
        <f>SQRT((Tableau!$G$16-P291)^2+(Tableau!$H$16-Q291)^2)</f>
        <v>28409.121379289743</v>
      </c>
      <c r="AD291" s="114">
        <f>SQRT((Tableau!$G$25-P291)^2+(Tableau!$H$25-Q291)^2)</f>
        <v>58186.514620604721</v>
      </c>
      <c r="AE291" s="115">
        <f>SQRT((Tableau!$G$35-P291)^2+(Tableau!$H$35-Q291)^2)</f>
        <v>35717.633687519818</v>
      </c>
    </row>
    <row r="292" spans="2:31" x14ac:dyDescent="0.25">
      <c r="B292" s="20">
        <v>289</v>
      </c>
      <c r="C292" s="21">
        <f>Tableau!$G$17*COS(B292*PI()/180)+Tableau!$G$16</f>
        <v>21627.840772285781</v>
      </c>
      <c r="D292" s="21">
        <f>Tableau!$G$17*SIN(B292*PI()/180)+Tableau!$H$16</f>
        <v>2772.4071220034148</v>
      </c>
      <c r="F292" s="28">
        <v>289</v>
      </c>
      <c r="G292" s="29">
        <f>Tableau!$G$26*COS(F292*PI()/180)+Tableau!$G$25</f>
        <v>-18860.511459399953</v>
      </c>
      <c r="H292" s="29">
        <f>Tableau!$G$26*SIN(F292*PI()/180)+Tableau!$H$25</f>
        <v>6690.6849854023912</v>
      </c>
      <c r="J292" s="36">
        <v>289</v>
      </c>
      <c r="K292" s="37">
        <f>Tableau!$G$36*COS(J292*PI()/180)+Tableau!$G$35</f>
        <v>-3372.1592277142181</v>
      </c>
      <c r="L292" s="37">
        <f>Tableau!$G$36*SIN(J292*PI()/180)+Tableau!$H$35</f>
        <v>-19727.592877996583</v>
      </c>
      <c r="N292" s="92">
        <v>288</v>
      </c>
      <c r="O292" s="93">
        <v>144</v>
      </c>
      <c r="P292" s="96">
        <f>P291+R291*Tableau!$G$2+((1/2)*T291)*Tableau!$G$2^2</f>
        <v>28208.873543965772</v>
      </c>
      <c r="Q292" s="96">
        <f>Q291+S291*Tableau!$G$2+((1/2)*U291)*Tableau!$G$2^2</f>
        <v>-16782.746095797636</v>
      </c>
      <c r="R292" s="96">
        <f>R291+T291*Tableau!$G$2</f>
        <v>-4744.0245407592902</v>
      </c>
      <c r="S292" s="96">
        <f>S291+U291*Tableau!$G$2</f>
        <v>4368.8089865028114</v>
      </c>
      <c r="T292" s="96">
        <f t="shared" si="8"/>
        <v>-671.91847600713913</v>
      </c>
      <c r="U292" s="96">
        <f t="shared" si="9"/>
        <v>660.69369123125114</v>
      </c>
      <c r="V292" s="96">
        <f>((Tableau!$G$16-P292)/(AC292^2+Tableau!$G$21^2)^(3/2))*Tableau!$G$20</f>
        <v>-206.35082831275048</v>
      </c>
      <c r="W292" s="96">
        <f>((Tableau!$H$16-Q292)/(AC292^2+Tableau!$G$21^2)^(3/2))*Tableau!$G$20</f>
        <v>610.40832749328843</v>
      </c>
      <c r="X292" s="96">
        <f>((Tableau!$G$25-P292)/(AD292^2+Tableau!$G$30^2)^(3/2))*Tableau!$G$29</f>
        <v>-50.395919042850331</v>
      </c>
      <c r="Y292" s="96">
        <f>((Tableau!$H$25-Q292)/(AD292^2+Tableau!$G$30^2)^(3/2))*Tableau!$G$29</f>
        <v>27.997773122785986</v>
      </c>
      <c r="Z292" s="96">
        <f>((Tableau!$G$35-P292)/(AE292^2+Tableau!$G$40^2)^(3/2))*Tableau!$G$39</f>
        <v>-415.17172865153833</v>
      </c>
      <c r="AA292" s="97">
        <f>((Tableau!$H$35-Q292)/(AE292^2+Tableau!$G$40^2)^(3/2))*Tableau!$G$39</f>
        <v>22.287590615176828</v>
      </c>
      <c r="AC292" s="110">
        <f>SQRT((Tableau!$G$16-P292)^2+(Tableau!$H$16-Q292)^2)</f>
        <v>25632.740056689152</v>
      </c>
      <c r="AD292" s="111">
        <f>SQRT((Tableau!$G$25-P292)^2+(Tableau!$H$25-Q292)^2)</f>
        <v>55148.988901067321</v>
      </c>
      <c r="AE292" s="112">
        <f>SQRT((Tableau!$G$35-P292)^2+(Tableau!$H$35-Q292)^2)</f>
        <v>33256.690540418953</v>
      </c>
    </row>
    <row r="293" spans="2:31" x14ac:dyDescent="0.25">
      <c r="B293" s="18">
        <v>290</v>
      </c>
      <c r="C293" s="19">
        <f>Tableau!$G$17*COS(B293*PI()/180)+Tableau!$G$16</f>
        <v>21710.100716628342</v>
      </c>
      <c r="D293" s="19">
        <f>Tableau!$G$17*SIN(B293*PI()/180)+Tableau!$H$16</f>
        <v>2801.5368960704573</v>
      </c>
      <c r="F293" s="26">
        <v>290</v>
      </c>
      <c r="G293" s="27">
        <f>Tableau!$G$26*COS(F293*PI()/180)+Tableau!$G$25</f>
        <v>-18802.929498360161</v>
      </c>
      <c r="H293" s="27">
        <f>Tableau!$G$26*SIN(F293*PI()/180)+Tableau!$H$25</f>
        <v>6711.0758272493204</v>
      </c>
      <c r="J293" s="34">
        <v>290</v>
      </c>
      <c r="K293" s="35">
        <f>Tableau!$G$36*COS(J293*PI()/180)+Tableau!$G$35</f>
        <v>-3289.8992833716593</v>
      </c>
      <c r="L293" s="35">
        <f>Tableau!$G$36*SIN(J293*PI()/180)+Tableau!$H$35</f>
        <v>-19698.463103929542</v>
      </c>
      <c r="N293" s="98">
        <v>289</v>
      </c>
      <c r="O293" s="99">
        <v>144.5</v>
      </c>
      <c r="P293" s="101">
        <f>P292+R292*Tableau!$G$2+((1/2)*T292)*Tableau!$G$2^2</f>
        <v>25752.871464085234</v>
      </c>
      <c r="Q293" s="101">
        <f>Q292+S292*Tableau!$G$2+((1/2)*U292)*Tableau!$G$2^2</f>
        <v>-14515.754891142324</v>
      </c>
      <c r="R293" s="101">
        <f>R292+T292*Tableau!$G$2</f>
        <v>-5079.9837787628594</v>
      </c>
      <c r="S293" s="101">
        <f>S292+U292*Tableau!$G$2</f>
        <v>4699.1558321184366</v>
      </c>
      <c r="T293" s="101">
        <f t="shared" si="8"/>
        <v>-729.34760685392575</v>
      </c>
      <c r="U293" s="101">
        <f t="shared" si="9"/>
        <v>773.85635717224443</v>
      </c>
      <c r="V293" s="101">
        <f>((Tableau!$G$16-P293)/(AC293^2+Tableau!$G$21^2)^(3/2))*Tableau!$G$20</f>
        <v>-196.1656867603258</v>
      </c>
      <c r="W293" s="101">
        <f>((Tableau!$H$16-Q293)/(AC293^2+Tableau!$G$21^2)^(3/2))*Tableau!$G$20</f>
        <v>750.70957255511337</v>
      </c>
      <c r="X293" s="101">
        <f>((Tableau!$G$25-P293)/(AD293^2+Tableau!$G$30^2)^(3/2))*Tableau!$G$29</f>
        <v>-57.186019340085728</v>
      </c>
      <c r="Y293" s="101">
        <f>((Tableau!$H$25-Q293)/(AD293^2+Tableau!$G$30^2)^(3/2))*Tableau!$G$29</f>
        <v>30.641976961864906</v>
      </c>
      <c r="Z293" s="101">
        <f>((Tableau!$G$35-P293)/(AE293^2+Tableau!$G$40^2)^(3/2))*Tableau!$G$39</f>
        <v>-475.99590075351421</v>
      </c>
      <c r="AA293" s="102">
        <f>((Tableau!$H$35-Q293)/(AE293^2+Tableau!$G$40^2)^(3/2))*Tableau!$G$39</f>
        <v>-7.4951923447337681</v>
      </c>
      <c r="AC293" s="113">
        <f>SQRT((Tableau!$G$16-P293)^2+(Tableau!$H$16-Q293)^2)</f>
        <v>22754.977334841344</v>
      </c>
      <c r="AD293" s="114">
        <f>SQRT((Tableau!$G$25-P293)^2+(Tableau!$H$25-Q293)^2)</f>
        <v>51907.104379763601</v>
      </c>
      <c r="AE293" s="115">
        <f>SQRT((Tableau!$G$35-P293)^2+(Tableau!$H$35-Q293)^2)</f>
        <v>30756.683771369117</v>
      </c>
    </row>
    <row r="294" spans="2:31" x14ac:dyDescent="0.25">
      <c r="B294" s="20">
        <v>291</v>
      </c>
      <c r="C294" s="21">
        <f>Tableau!$G$17*COS(B294*PI()/180)+Tableau!$G$16</f>
        <v>21791.839747726499</v>
      </c>
      <c r="D294" s="21">
        <f>Tableau!$G$17*SIN(B294*PI()/180)+Tableau!$H$16</f>
        <v>2832.0978675139895</v>
      </c>
      <c r="F294" s="28">
        <v>291</v>
      </c>
      <c r="G294" s="29">
        <f>Tableau!$G$26*COS(F294*PI()/180)+Tableau!$G$25</f>
        <v>-18745.712176591453</v>
      </c>
      <c r="H294" s="29">
        <f>Tableau!$G$26*SIN(F294*PI()/180)+Tableau!$H$25</f>
        <v>6732.4685072597931</v>
      </c>
      <c r="J294" s="36">
        <v>291</v>
      </c>
      <c r="K294" s="37">
        <f>Tableau!$G$36*COS(J294*PI()/180)+Tableau!$G$35</f>
        <v>-3208.160252273502</v>
      </c>
      <c r="L294" s="37">
        <f>Tableau!$G$36*SIN(J294*PI()/180)+Tableau!$H$35</f>
        <v>-19667.902132486011</v>
      </c>
      <c r="N294" s="92">
        <v>290</v>
      </c>
      <c r="O294" s="93">
        <v>145</v>
      </c>
      <c r="P294" s="96">
        <f>P293+R293*Tableau!$G$2+((1/2)*T293)*Tableau!$G$2^2</f>
        <v>23121.711123847064</v>
      </c>
      <c r="Q294" s="96">
        <f>Q293+S293*Tableau!$G$2+((1/2)*U293)*Tableau!$G$2^2</f>
        <v>-12069.444930436573</v>
      </c>
      <c r="R294" s="96">
        <f>R293+T293*Tableau!$G$2</f>
        <v>-5444.6575821898223</v>
      </c>
      <c r="S294" s="96">
        <f>S293+U293*Tableau!$G$2</f>
        <v>5086.0840107045588</v>
      </c>
      <c r="T294" s="96">
        <f t="shared" si="8"/>
        <v>-761.38551829830067</v>
      </c>
      <c r="U294" s="96">
        <f t="shared" si="9"/>
        <v>913.81690508836323</v>
      </c>
      <c r="V294" s="96">
        <f>((Tableau!$G$16-P294)/(AC294^2+Tableau!$G$21^2)^(3/2))*Tableau!$G$20</f>
        <v>-149.45366721052409</v>
      </c>
      <c r="W294" s="96">
        <f>((Tableau!$H$16-Q294)/(AC294^2+Tableau!$G$21^2)^(3/2))*Tableau!$G$20</f>
        <v>936.89812865318481</v>
      </c>
      <c r="X294" s="96">
        <f>((Tableau!$G$25-P294)/(AD294^2+Tableau!$G$30^2)^(3/2))*Tableau!$G$29</f>
        <v>-66.051539335494041</v>
      </c>
      <c r="Y294" s="96">
        <f>((Tableau!$H$25-Q294)/(AD294^2+Tableau!$G$30^2)^(3/2))*Tableau!$G$29</f>
        <v>33.804799761971999</v>
      </c>
      <c r="Z294" s="96">
        <f>((Tableau!$G$35-P294)/(AE294^2+Tableau!$G$40^2)^(3/2))*Tableau!$G$39</f>
        <v>-545.88031175228252</v>
      </c>
      <c r="AA294" s="97">
        <f>((Tableau!$H$35-Q294)/(AE294^2+Tableau!$G$40^2)^(3/2))*Tableau!$G$39</f>
        <v>-56.886023326793605</v>
      </c>
      <c r="AC294" s="110">
        <f>SQRT((Tableau!$G$16-P294)^2+(Tableau!$H$16-Q294)^2)</f>
        <v>19816.867946931983</v>
      </c>
      <c r="AD294" s="111">
        <f>SQRT((Tableau!$G$25-P294)^2+(Tableau!$H$25-Q294)^2)</f>
        <v>48441.122713930657</v>
      </c>
      <c r="AE294" s="112">
        <f>SQRT((Tableau!$G$35-P294)^2+(Tableau!$H$35-Q294)^2)</f>
        <v>28273.994934371189</v>
      </c>
    </row>
    <row r="295" spans="2:31" x14ac:dyDescent="0.25">
      <c r="B295" s="18">
        <v>292</v>
      </c>
      <c r="C295" s="19">
        <f>Tableau!$G$17*COS(B295*PI()/180)+Tableau!$G$16</f>
        <v>21873.032967079558</v>
      </c>
      <c r="D295" s="19">
        <f>Tableau!$G$17*SIN(B295*PI()/180)+Tableau!$H$16</f>
        <v>2864.0807271660633</v>
      </c>
      <c r="F295" s="26">
        <v>292</v>
      </c>
      <c r="G295" s="27">
        <f>Tableau!$G$26*COS(F295*PI()/180)+Tableau!$G$25</f>
        <v>-18688.876923044307</v>
      </c>
      <c r="H295" s="27">
        <f>Tableau!$G$26*SIN(F295*PI()/180)+Tableau!$H$25</f>
        <v>6754.8565090162447</v>
      </c>
      <c r="J295" s="34">
        <v>292</v>
      </c>
      <c r="K295" s="35">
        <f>Tableau!$G$36*COS(J295*PI()/180)+Tableau!$G$35</f>
        <v>-3126.96703292044</v>
      </c>
      <c r="L295" s="35">
        <f>Tableau!$G$36*SIN(J295*PI()/180)+Tableau!$H$35</f>
        <v>-19635.919272833937</v>
      </c>
      <c r="N295" s="98">
        <v>291</v>
      </c>
      <c r="O295" s="99">
        <v>145.5</v>
      </c>
      <c r="P295" s="101">
        <f>P294+R294*Tableau!$G$2+((1/2)*T294)*Tableau!$G$2^2</f>
        <v>20304.209142964864</v>
      </c>
      <c r="Q295" s="101">
        <f>Q294+S294*Tableau!$G$2+((1/2)*U294)*Tableau!$G$2^2</f>
        <v>-9412.1758119482492</v>
      </c>
      <c r="R295" s="101">
        <f>R294+T294*Tableau!$G$2</f>
        <v>-5825.3503413389726</v>
      </c>
      <c r="S295" s="101">
        <f>S294+U294*Tableau!$G$2</f>
        <v>5542.99246324874</v>
      </c>
      <c r="T295" s="101">
        <f t="shared" si="8"/>
        <v>-717.21546538937991</v>
      </c>
      <c r="U295" s="101">
        <f t="shared" si="9"/>
        <v>1068.1717413346005</v>
      </c>
      <c r="V295" s="101">
        <f>((Tableau!$G$16-P295)/(AC295^2+Tableau!$G$21^2)^(3/2))*Tableau!$G$20</f>
        <v>-20.994095428473308</v>
      </c>
      <c r="W295" s="101">
        <f>((Tableau!$H$16-Q295)/(AC295^2+Tableau!$G$21^2)^(3/2))*Tableau!$G$20</f>
        <v>1167.143858461111</v>
      </c>
      <c r="X295" s="101">
        <f>((Tableau!$G$25-P295)/(AD295^2+Tableau!$G$30^2)^(3/2))*Tableau!$G$29</f>
        <v>-77.970290419982533</v>
      </c>
      <c r="Y295" s="101">
        <f>((Tableau!$H$25-Q295)/(AD295^2+Tableau!$G$30^2)^(3/2))*Tableau!$G$29</f>
        <v>37.55372001898121</v>
      </c>
      <c r="Z295" s="101">
        <f>((Tableau!$G$35-P295)/(AE295^2+Tableau!$G$40^2)^(3/2))*Tableau!$G$39</f>
        <v>-618.25107954092414</v>
      </c>
      <c r="AA295" s="102">
        <f>((Tableau!$H$35-Q295)/(AE295^2+Tableau!$G$40^2)^(3/2))*Tableau!$G$39</f>
        <v>-136.52583714549169</v>
      </c>
      <c r="AC295" s="113">
        <f>SQRT((Tableau!$G$16-P295)^2+(Tableau!$H$16-Q295)^2)</f>
        <v>16914.911584070156</v>
      </c>
      <c r="AD295" s="114">
        <f>SQRT((Tableau!$G$25-P295)^2+(Tableau!$H$25-Q295)^2)</f>
        <v>44735.46517466697</v>
      </c>
      <c r="AE295" s="115">
        <f>SQRT((Tableau!$G$35-P295)^2+(Tableau!$H$35-Q295)^2)</f>
        <v>25913.833747778091</v>
      </c>
    </row>
    <row r="296" spans="2:31" x14ac:dyDescent="0.25">
      <c r="B296" s="20">
        <v>293</v>
      </c>
      <c r="C296" s="21">
        <f>Tableau!$G$17*COS(B296*PI()/180)+Tableau!$G$16</f>
        <v>21953.655642446367</v>
      </c>
      <c r="D296" s="21">
        <f>Tableau!$G$17*SIN(B296*PI()/180)+Tableau!$H$16</f>
        <v>2897.4757327377974</v>
      </c>
      <c r="F296" s="28">
        <v>293</v>
      </c>
      <c r="G296" s="29">
        <f>Tableau!$G$26*COS(F296*PI()/180)+Tableau!$G$25</f>
        <v>-18632.441050287543</v>
      </c>
      <c r="H296" s="29">
        <f>Tableau!$G$26*SIN(F296*PI()/180)+Tableau!$H$25</f>
        <v>6778.2330129164584</v>
      </c>
      <c r="J296" s="36">
        <v>293</v>
      </c>
      <c r="K296" s="37">
        <f>Tableau!$G$36*COS(J296*PI()/180)+Tableau!$G$35</f>
        <v>-3046.3443575536326</v>
      </c>
      <c r="L296" s="37">
        <f>Tableau!$G$36*SIN(J296*PI()/180)+Tableau!$H$35</f>
        <v>-19602.524267262204</v>
      </c>
      <c r="N296" s="92">
        <v>292</v>
      </c>
      <c r="O296" s="93">
        <v>146</v>
      </c>
      <c r="P296" s="96">
        <f>P295+R295*Tableau!$G$2+((1/2)*T295)*Tableau!$G$2^2</f>
        <v>17301.882039121709</v>
      </c>
      <c r="Q296" s="96">
        <f>Q295+S295*Tableau!$G$2+((1/2)*U295)*Tableau!$G$2^2</f>
        <v>-6507.1581126570545</v>
      </c>
      <c r="R296" s="96">
        <f>R295+T295*Tableau!$G$2</f>
        <v>-6183.9580740336623</v>
      </c>
      <c r="S296" s="96">
        <f>S295+U295*Tableau!$G$2</f>
        <v>6077.0783339160407</v>
      </c>
      <c r="T296" s="96">
        <f t="shared" si="8"/>
        <v>-501.36134157138781</v>
      </c>
      <c r="U296" s="96">
        <f t="shared" si="9"/>
        <v>1172.3631283118079</v>
      </c>
      <c r="V296" s="96">
        <f>((Tableau!$G$16-P296)/(AC296^2+Tableau!$G$21^2)^(3/2))*Tableau!$G$20</f>
        <v>267.2167992093145</v>
      </c>
      <c r="W296" s="96">
        <f>((Tableau!$H$16-Q296)/(AC296^2+Tableau!$G$21^2)^(3/2))*Tableau!$G$20</f>
        <v>1387.2440016168146</v>
      </c>
      <c r="X296" s="96">
        <f>((Tableau!$G$25-P296)/(AD296^2+Tableau!$G$30^2)^(3/2))*Tableau!$G$29</f>
        <v>-94.497241673425748</v>
      </c>
      <c r="Y296" s="96">
        <f>((Tableau!$H$25-Q296)/(AD296^2+Tableau!$G$30^2)^(3/2))*Tableau!$G$29</f>
        <v>41.817753535256529</v>
      </c>
      <c r="Z296" s="96">
        <f>((Tableau!$G$35-P296)/(AE296^2+Tableau!$G$40^2)^(3/2))*Tableau!$G$39</f>
        <v>-674.08089910727654</v>
      </c>
      <c r="AA296" s="97">
        <f>((Tableau!$H$35-Q296)/(AE296^2+Tableau!$G$40^2)^(3/2))*Tableau!$G$39</f>
        <v>-256.69862684026322</v>
      </c>
      <c r="AC296" s="110">
        <f>SQRT((Tableau!$G$16-P296)^2+(Tableau!$H$16-Q296)^2)</f>
        <v>14264.652779643407</v>
      </c>
      <c r="AD296" s="111">
        <f>SQRT((Tableau!$G$25-P296)^2+(Tableau!$H$25-Q296)^2)</f>
        <v>40791.134730683953</v>
      </c>
      <c r="AE296" s="112">
        <f>SQRT((Tableau!$G$35-P296)^2+(Tableau!$H$35-Q296)^2)</f>
        <v>23864.247438591192</v>
      </c>
    </row>
    <row r="297" spans="2:31" x14ac:dyDescent="0.25">
      <c r="B297" s="18">
        <v>294</v>
      </c>
      <c r="C297" s="19">
        <f>Tableau!$G$17*COS(B297*PI()/180)+Tableau!$G$16</f>
        <v>22033.683215379002</v>
      </c>
      <c r="D297" s="19">
        <f>Tableau!$G$17*SIN(B297*PI()/180)+Tableau!$H$16</f>
        <v>2932.2727117869963</v>
      </c>
      <c r="F297" s="26">
        <v>294</v>
      </c>
      <c r="G297" s="27">
        <f>Tableau!$G$26*COS(F297*PI()/180)+Tableau!$G$25</f>
        <v>-18576.421749234698</v>
      </c>
      <c r="H297" s="27">
        <f>Tableau!$G$26*SIN(F297*PI()/180)+Tableau!$H$25</f>
        <v>6802.5908982508972</v>
      </c>
      <c r="J297" s="34">
        <v>294</v>
      </c>
      <c r="K297" s="35">
        <f>Tableau!$G$36*COS(J297*PI()/180)+Tableau!$G$35</f>
        <v>-2966.3167846209972</v>
      </c>
      <c r="L297" s="35">
        <f>Tableau!$G$36*SIN(J297*PI()/180)+Tableau!$H$35</f>
        <v>-19567.727288213006</v>
      </c>
      <c r="N297" s="98">
        <v>293</v>
      </c>
      <c r="O297" s="99">
        <v>146.5</v>
      </c>
      <c r="P297" s="101">
        <f>P296+R296*Tableau!$G$2+((1/2)*T296)*Tableau!$G$2^2</f>
        <v>14147.232834408454</v>
      </c>
      <c r="Q297" s="101">
        <f>Q296+S296*Tableau!$G$2+((1/2)*U296)*Tableau!$G$2^2</f>
        <v>-3322.0735546600581</v>
      </c>
      <c r="R297" s="101">
        <f>R296+T296*Tableau!$G$2</f>
        <v>-6434.6387448193564</v>
      </c>
      <c r="S297" s="101">
        <f>S296+U296*Tableau!$G$2</f>
        <v>6663.2598980719449</v>
      </c>
      <c r="T297" s="101">
        <f t="shared" si="8"/>
        <v>-26.17169736071105</v>
      </c>
      <c r="U297" s="101">
        <f t="shared" si="9"/>
        <v>1054.8752508164084</v>
      </c>
      <c r="V297" s="101">
        <f>((Tableau!$G$16-P297)/(AC297^2+Tableau!$G$21^2)^(3/2))*Tableau!$G$20</f>
        <v>768.92521982815583</v>
      </c>
      <c r="W297" s="101">
        <f>((Tableau!$H$16-Q297)/(AC297^2+Tableau!$G$21^2)^(3/2))*Tableau!$G$20</f>
        <v>1421.7830731307433</v>
      </c>
      <c r="X297" s="101">
        <f>((Tableau!$G$25-P297)/(AD297^2+Tableau!$G$30^2)^(3/2))*Tableau!$G$29</f>
        <v>-118.01853908121132</v>
      </c>
      <c r="Y297" s="101">
        <f>((Tableau!$H$25-Q297)/(AD297^2+Tableau!$G$30^2)^(3/2))*Tableau!$G$29</f>
        <v>46.043310920032752</v>
      </c>
      <c r="Z297" s="101">
        <f>((Tableau!$G$35-P297)/(AE297^2+Tableau!$G$40^2)^(3/2))*Tableau!$G$39</f>
        <v>-677.07837810765557</v>
      </c>
      <c r="AA297" s="102">
        <f>((Tableau!$H$35-Q297)/(AE297^2+Tableau!$G$40^2)^(3/2))*Tableau!$G$39</f>
        <v>-412.95113323436772</v>
      </c>
      <c r="AC297" s="113">
        <f>SQRT((Tableau!$G$16-P297)^2+(Tableau!$H$16-Q297)^2)</f>
        <v>12303.339364461141</v>
      </c>
      <c r="AD297" s="114">
        <f>SQRT((Tableau!$G$25-P297)^2+(Tableau!$H$25-Q297)^2)</f>
        <v>36653.937769946024</v>
      </c>
      <c r="AE297" s="115">
        <f>SQRT((Tableau!$G$35-P297)^2+(Tableau!$H$35-Q297)^2)</f>
        <v>22427.449504520551</v>
      </c>
    </row>
    <row r="298" spans="2:31" x14ac:dyDescent="0.25">
      <c r="B298" s="20">
        <v>295</v>
      </c>
      <c r="C298" s="21">
        <f>Tableau!$G$17*COS(B298*PI()/180)+Tableau!$G$16</f>
        <v>22113.091308703497</v>
      </c>
      <c r="D298" s="21">
        <f>Tableau!$G$17*SIN(B298*PI()/180)+Tableau!$H$16</f>
        <v>2968.46106481675</v>
      </c>
      <c r="F298" s="28">
        <v>295</v>
      </c>
      <c r="G298" s="29">
        <f>Tableau!$G$26*COS(F298*PI()/180)+Tableau!$G$25</f>
        <v>-18520.83608390755</v>
      </c>
      <c r="H298" s="29">
        <f>Tableau!$G$26*SIN(F298*PI()/180)+Tableau!$H$25</f>
        <v>6827.9227453717249</v>
      </c>
      <c r="J298" s="36">
        <v>295</v>
      </c>
      <c r="K298" s="37">
        <f>Tableau!$G$36*COS(J298*PI()/180)+Tableau!$G$35</f>
        <v>-2886.9086912965022</v>
      </c>
      <c r="L298" s="37">
        <f>Tableau!$G$36*SIN(J298*PI()/180)+Tableau!$H$35</f>
        <v>-19531.538935183249</v>
      </c>
      <c r="N298" s="92">
        <v>294</v>
      </c>
      <c r="O298" s="93">
        <v>147</v>
      </c>
      <c r="P298" s="96">
        <f>P297+R297*Tableau!$G$2+((1/2)*T297)*Tableau!$G$2^2</f>
        <v>10926.641999828687</v>
      </c>
      <c r="Q298" s="96">
        <f>Q297+S297*Tableau!$G$2+((1/2)*U297)*Tableau!$G$2^2</f>
        <v>141.4158007279654</v>
      </c>
      <c r="R298" s="96">
        <f>R297+T297*Tableau!$G$2</f>
        <v>-6447.7245934997118</v>
      </c>
      <c r="S298" s="96">
        <f>S297+U297*Tableau!$G$2</f>
        <v>7190.6975234801494</v>
      </c>
      <c r="T298" s="96">
        <f t="shared" si="8"/>
        <v>562.21891409350371</v>
      </c>
      <c r="U298" s="96">
        <f t="shared" si="9"/>
        <v>544.57834280327234</v>
      </c>
      <c r="V298" s="96">
        <f>((Tableau!$G$16-P298)/(AC298^2+Tableau!$G$21^2)^(3/2))*Tableau!$G$20</f>
        <v>1306.4414655722289</v>
      </c>
      <c r="W298" s="96">
        <f>((Tableau!$H$16-Q298)/(AC298^2+Tableau!$G$21^2)^(3/2))*Tableau!$G$20</f>
        <v>1059.5371113596634</v>
      </c>
      <c r="X298" s="96">
        <f>((Tableau!$G$25-P298)/(AD298^2+Tableau!$G$30^2)^(3/2))*Tableau!$G$29</f>
        <v>-151.69443740655319</v>
      </c>
      <c r="Y298" s="96">
        <f>((Tableau!$H$25-Q298)/(AD298^2+Tableau!$G$30^2)^(3/2))*Tableau!$G$29</f>
        <v>48.356119094403788</v>
      </c>
      <c r="Z298" s="96">
        <f>((Tableau!$G$35-P298)/(AE298^2+Tableau!$G$40^2)^(3/2))*Tableau!$G$39</f>
        <v>-592.52811407217212</v>
      </c>
      <c r="AA298" s="97">
        <f>((Tableau!$H$35-Q298)/(AE298^2+Tableau!$G$40^2)^(3/2))*Tableau!$G$39</f>
        <v>-563.31488765079484</v>
      </c>
      <c r="AC298" s="110">
        <f>SQRT((Tableau!$G$16-P298)^2+(Tableau!$H$16-Q298)^2)</f>
        <v>11682.233811093185</v>
      </c>
      <c r="AD298" s="111">
        <f>SQRT((Tableau!$G$25-P298)^2+(Tableau!$H$25-Q298)^2)</f>
        <v>32459.957914324288</v>
      </c>
      <c r="AE298" s="112">
        <f>SQRT((Tableau!$G$35-P298)^2+(Tableau!$H$35-Q298)^2)</f>
        <v>21975.449889393429</v>
      </c>
    </row>
    <row r="299" spans="2:31" x14ac:dyDescent="0.25">
      <c r="B299" s="18">
        <v>296</v>
      </c>
      <c r="C299" s="19">
        <f>Tableau!$G$17*COS(B299*PI()/180)+Tableau!$G$16</f>
        <v>22191.855733945387</v>
      </c>
      <c r="D299" s="19">
        <f>Tableau!$G$17*SIN(B299*PI()/180)+Tableau!$H$16</f>
        <v>3006.0297685041651</v>
      </c>
      <c r="F299" s="26">
        <v>296</v>
      </c>
      <c r="G299" s="27">
        <f>Tableau!$G$26*COS(F299*PI()/180)+Tableau!$G$25</f>
        <v>-18465.700986238229</v>
      </c>
      <c r="H299" s="27">
        <f>Tableau!$G$26*SIN(F299*PI()/180)+Tableau!$H$25</f>
        <v>6854.2208379529147</v>
      </c>
      <c r="J299" s="34">
        <v>296</v>
      </c>
      <c r="K299" s="35">
        <f>Tableau!$G$36*COS(J299*PI()/180)+Tableau!$G$35</f>
        <v>-2808.1442660546131</v>
      </c>
      <c r="L299" s="35">
        <f>Tableau!$G$36*SIN(J299*PI()/180)+Tableau!$H$35</f>
        <v>-19493.970231495834</v>
      </c>
      <c r="N299" s="98">
        <v>295</v>
      </c>
      <c r="O299" s="99">
        <v>147.5</v>
      </c>
      <c r="P299" s="101">
        <f>P298+R298*Tableau!$G$2+((1/2)*T298)*Tableau!$G$2^2</f>
        <v>7773.0570673405191</v>
      </c>
      <c r="Q299" s="101">
        <f>Q298+S298*Tableau!$G$2+((1/2)*U298)*Tableau!$G$2^2</f>
        <v>3804.8368553184491</v>
      </c>
      <c r="R299" s="101">
        <f>R298+T298*Tableau!$G$2</f>
        <v>-6166.6151364529596</v>
      </c>
      <c r="S299" s="101">
        <f>S298+U298*Tableau!$G$2</f>
        <v>7462.9866948817853</v>
      </c>
      <c r="T299" s="101">
        <f t="shared" si="8"/>
        <v>864.86697913249122</v>
      </c>
      <c r="U299" s="101">
        <f t="shared" si="9"/>
        <v>-145.3591204908073</v>
      </c>
      <c r="V299" s="101">
        <f>((Tableau!$G$16-P299)/(AC299^2+Tableau!$G$21^2)^(3/2))*Tableau!$G$20</f>
        <v>1499.7041506677358</v>
      </c>
      <c r="W299" s="101">
        <f>((Tableau!$H$16-Q299)/(AC299^2+Tableau!$G$21^2)^(3/2))*Tableau!$G$20</f>
        <v>453.23279383851684</v>
      </c>
      <c r="X299" s="101">
        <f>((Tableau!$G$25-P299)/(AD299^2+Tableau!$G$30^2)^(3/2))*Tableau!$G$29</f>
        <v>-198.21521112031715</v>
      </c>
      <c r="Y299" s="101">
        <f>((Tableau!$H$25-Q299)/(AD299^2+Tableau!$G$30^2)^(3/2))*Tableau!$G$29</f>
        <v>44.21463462486053</v>
      </c>
      <c r="Z299" s="101">
        <f>((Tableau!$G$35-P299)/(AE299^2+Tableau!$G$40^2)^(3/2))*Tableau!$G$39</f>
        <v>-436.62196041492734</v>
      </c>
      <c r="AA299" s="102">
        <f>((Tableau!$H$35-Q299)/(AE299^2+Tableau!$G$40^2)^(3/2))*Tableau!$G$39</f>
        <v>-642.80654895418468</v>
      </c>
      <c r="AC299" s="113">
        <f>SQRT((Tableau!$G$16-P299)^2+(Tableau!$H$16-Q299)^2)</f>
        <v>12773.110981445532</v>
      </c>
      <c r="AD299" s="114">
        <f>SQRT((Tableau!$G$25-P299)^2+(Tableau!$H$25-Q299)^2)</f>
        <v>28455.627655263092</v>
      </c>
      <c r="AE299" s="115">
        <f>SQRT((Tableau!$G$35-P299)^2+(Tableau!$H$35-Q299)^2)</f>
        <v>22732.639002119413</v>
      </c>
    </row>
    <row r="300" spans="2:31" x14ac:dyDescent="0.25">
      <c r="B300" s="20">
        <v>297</v>
      </c>
      <c r="C300" s="21">
        <f>Tableau!$G$17*COS(B300*PI()/180)+Tableau!$G$16</f>
        <v>22269.952498697734</v>
      </c>
      <c r="D300" s="21">
        <f>Tableau!$G$17*SIN(B300*PI()/180)+Tableau!$H$16</f>
        <v>3044.9673790581601</v>
      </c>
      <c r="F300" s="28">
        <v>297</v>
      </c>
      <c r="G300" s="29">
        <f>Tableau!$G$26*COS(F300*PI()/180)+Tableau!$G$25</f>
        <v>-18411.033250911587</v>
      </c>
      <c r="H300" s="29">
        <f>Tableau!$G$26*SIN(F300*PI()/180)+Tableau!$H$25</f>
        <v>6881.4771653407124</v>
      </c>
      <c r="J300" s="36">
        <v>297</v>
      </c>
      <c r="K300" s="37">
        <f>Tableau!$G$36*COS(J300*PI()/180)+Tableau!$G$35</f>
        <v>-2730.0475013022669</v>
      </c>
      <c r="L300" s="37">
        <f>Tableau!$G$36*SIN(J300*PI()/180)+Tableau!$H$35</f>
        <v>-19455.032620941842</v>
      </c>
      <c r="N300" s="92">
        <v>296</v>
      </c>
      <c r="O300" s="93">
        <v>148</v>
      </c>
      <c r="P300" s="96">
        <f>P299+R299*Tableau!$G$2+((1/2)*T299)*Tableau!$G$2^2</f>
        <v>4797.857871505601</v>
      </c>
      <c r="Q300" s="96">
        <f>Q299+S299*Tableau!$G$2+((1/2)*U299)*Tableau!$G$2^2</f>
        <v>7518.1603126979908</v>
      </c>
      <c r="R300" s="96">
        <f>R299+T299*Tableau!$G$2</f>
        <v>-5734.1816468867137</v>
      </c>
      <c r="S300" s="96">
        <f>S299+U299*Tableau!$G$2</f>
        <v>7390.3071346363813</v>
      </c>
      <c r="T300" s="96">
        <f t="shared" si="8"/>
        <v>789.2170800602579</v>
      </c>
      <c r="U300" s="96">
        <f t="shared" si="9"/>
        <v>-608.3492361647709</v>
      </c>
      <c r="V300" s="96">
        <f>((Tableau!$G$16-P300)/(AC300^2+Tableau!$G$21^2)^(3/2))*Tableau!$G$20</f>
        <v>1321.155408109033</v>
      </c>
      <c r="W300" s="96">
        <f>((Tableau!$H$16-Q300)/(AC300^2+Tableau!$G$21^2)^(3/2))*Tableau!$G$20</f>
        <v>-1.5782377990619307</v>
      </c>
      <c r="X300" s="96">
        <f>((Tableau!$G$25-P300)/(AD300^2+Tableau!$G$30^2)^(3/2))*Tableau!$G$29</f>
        <v>-256.74619245583466</v>
      </c>
      <c r="Y300" s="96">
        <f>((Tableau!$H$25-Q300)/(AD300^2+Tableau!$G$30^2)^(3/2))*Tableau!$G$29</f>
        <v>25.695884430919293</v>
      </c>
      <c r="Z300" s="96">
        <f>((Tableau!$G$35-P300)/(AE300^2+Tableau!$G$40^2)^(3/2))*Tableau!$G$39</f>
        <v>-275.19213559294042</v>
      </c>
      <c r="AA300" s="97">
        <f>((Tableau!$H$35-Q300)/(AE300^2+Tableau!$G$40^2)^(3/2))*Tableau!$G$39</f>
        <v>-632.46688279662828</v>
      </c>
      <c r="AC300" s="110">
        <f>SQRT((Tableau!$G$16-P300)^2+(Tableau!$H$16-Q300)^2)</f>
        <v>15202.152975545981</v>
      </c>
      <c r="AD300" s="111">
        <f>SQRT((Tableau!$G$25-P300)^2+(Tableau!$H$25-Q300)^2)</f>
        <v>24921.743182387134</v>
      </c>
      <c r="AE300" s="112">
        <f>SQRT((Tableau!$G$35-P300)^2+(Tableau!$H$35-Q300)^2)</f>
        <v>24557.39323988992</v>
      </c>
    </row>
    <row r="301" spans="2:31" x14ac:dyDescent="0.25">
      <c r="B301" s="18">
        <v>298</v>
      </c>
      <c r="C301" s="19">
        <f>Tableau!$G$17*COS(B301*PI()/180)+Tableau!$G$16</f>
        <v>22347.357813929451</v>
      </c>
      <c r="D301" s="19">
        <f>Tableau!$G$17*SIN(B301*PI()/180)+Tableau!$H$16</f>
        <v>3085.2620357053647</v>
      </c>
      <c r="F301" s="26">
        <v>298</v>
      </c>
      <c r="G301" s="27">
        <f>Tableau!$G$26*COS(F301*PI()/180)+Tableau!$G$25</f>
        <v>-18356.849530249383</v>
      </c>
      <c r="H301" s="27">
        <f>Tableau!$G$26*SIN(F301*PI()/180)+Tableau!$H$25</f>
        <v>6909.6834249937547</v>
      </c>
      <c r="J301" s="34">
        <v>298</v>
      </c>
      <c r="K301" s="35">
        <f>Tableau!$G$36*COS(J301*PI()/180)+Tableau!$G$35</f>
        <v>-2652.6421860705477</v>
      </c>
      <c r="L301" s="35">
        <f>Tableau!$G$36*SIN(J301*PI()/180)+Tableau!$H$35</f>
        <v>-19414.737964294636</v>
      </c>
      <c r="N301" s="98">
        <v>297</v>
      </c>
      <c r="O301" s="99">
        <v>148.5</v>
      </c>
      <c r="P301" s="101">
        <f>P300+R300*Tableau!$G$2+((1/2)*T300)*Tableau!$G$2^2</f>
        <v>2029.4191830697764</v>
      </c>
      <c r="Q301" s="101">
        <f>Q300+S300*Tableau!$G$2+((1/2)*U300)*Tableau!$G$2^2</f>
        <v>11137.270225495586</v>
      </c>
      <c r="R301" s="101">
        <f>R300+T300*Tableau!$G$2</f>
        <v>-5339.5731068565847</v>
      </c>
      <c r="S301" s="101">
        <f>S300+U300*Tableau!$G$2</f>
        <v>7086.1325165539956</v>
      </c>
      <c r="T301" s="101">
        <f t="shared" si="8"/>
        <v>560.53967895215567</v>
      </c>
      <c r="U301" s="101">
        <f t="shared" si="9"/>
        <v>-795.22261716747289</v>
      </c>
      <c r="V301" s="101">
        <f>((Tableau!$G$16-P301)/(AC301^2+Tableau!$G$21^2)^(3/2))*Tableau!$G$20</f>
        <v>1032.9392844039228</v>
      </c>
      <c r="W301" s="101">
        <f>((Tableau!$H$16-Q301)/(AC301^2+Tableau!$G$21^2)^(3/2))*Tableau!$G$20</f>
        <v>-209.0683290752367</v>
      </c>
      <c r="X301" s="101">
        <f>((Tableau!$G$25-P301)/(AD301^2+Tableau!$G$30^2)^(3/2))*Tableau!$G$29</f>
        <v>-319.18956823608403</v>
      </c>
      <c r="Y301" s="101">
        <f>((Tableau!$H$25-Q301)/(AD301^2+Tableau!$G$30^2)^(3/2))*Tableau!$G$29</f>
        <v>-16.478182616937502</v>
      </c>
      <c r="Z301" s="101">
        <f>((Tableau!$G$35-P301)/(AE301^2+Tableau!$G$40^2)^(3/2))*Tableau!$G$39</f>
        <v>-153.21003721568312</v>
      </c>
      <c r="AA301" s="102">
        <f>((Tableau!$H$35-Q301)/(AE301^2+Tableau!$G$40^2)^(3/2))*Tableau!$G$39</f>
        <v>-569.67610547529864</v>
      </c>
      <c r="AC301" s="113">
        <f>SQRT((Tableau!$G$16-P301)^2+(Tableau!$H$16-Q301)^2)</f>
        <v>18334.98049061131</v>
      </c>
      <c r="AD301" s="114">
        <f>SQRT((Tableau!$G$25-P301)^2+(Tableau!$H$25-Q301)^2)</f>
        <v>22058.755475076134</v>
      </c>
      <c r="AE301" s="115">
        <f>SQRT((Tableau!$G$35-P301)^2+(Tableau!$H$35-Q301)^2)</f>
        <v>27066.023514581662</v>
      </c>
    </row>
    <row r="302" spans="2:31" x14ac:dyDescent="0.25">
      <c r="B302" s="20">
        <v>299</v>
      </c>
      <c r="C302" s="21">
        <f>Tableau!$G$17*COS(B302*PI()/180)+Tableau!$G$16</f>
        <v>22424.048101231681</v>
      </c>
      <c r="D302" s="21">
        <f>Tableau!$G$17*SIN(B302*PI()/180)+Tableau!$H$16</f>
        <v>3126.9014643030196</v>
      </c>
      <c r="F302" s="28">
        <v>299</v>
      </c>
      <c r="G302" s="29">
        <f>Tableau!$G$26*COS(F302*PI()/180)+Tableau!$G$25</f>
        <v>-18303.166329137821</v>
      </c>
      <c r="H302" s="29">
        <f>Tableau!$G$26*SIN(F302*PI()/180)+Tableau!$H$25</f>
        <v>6938.831025012114</v>
      </c>
      <c r="J302" s="36">
        <v>299</v>
      </c>
      <c r="K302" s="37">
        <f>Tableau!$G$36*COS(J302*PI()/180)+Tableau!$G$35</f>
        <v>-2575.9518987683173</v>
      </c>
      <c r="L302" s="37">
        <f>Tableau!$G$36*SIN(J302*PI()/180)+Tableau!$H$35</f>
        <v>-19373.09853569698</v>
      </c>
      <c r="N302" s="92">
        <v>298</v>
      </c>
      <c r="O302" s="93">
        <v>149</v>
      </c>
      <c r="P302" s="96">
        <f>P301+R301*Tableau!$G$2+((1/2)*T301)*Tableau!$G$2^2</f>
        <v>-570.29991048949648</v>
      </c>
      <c r="Q302" s="96">
        <f>Q301+S301*Tableau!$G$2+((1/2)*U301)*Tableau!$G$2^2</f>
        <v>14580.93365662665</v>
      </c>
      <c r="R302" s="96">
        <f>R301+T301*Tableau!$G$2</f>
        <v>-5059.3032673805064</v>
      </c>
      <c r="S302" s="96">
        <f>S301+U301*Tableau!$G$2</f>
        <v>6688.5212079702596</v>
      </c>
      <c r="T302" s="96">
        <f t="shared" si="8"/>
        <v>342.12847956334156</v>
      </c>
      <c r="U302" s="96">
        <f t="shared" si="9"/>
        <v>-850.7639646187431</v>
      </c>
      <c r="V302" s="96">
        <f>((Tableau!$G$16-P302)/(AC302^2+Tableau!$G$21^2)^(3/2))*Tableau!$G$20</f>
        <v>784.68008060217835</v>
      </c>
      <c r="W302" s="96">
        <f>((Tableau!$H$16-Q302)/(AC302^2+Tableau!$G$21^2)^(3/2))*Tableau!$G$20</f>
        <v>-270.11116107194664</v>
      </c>
      <c r="X302" s="96">
        <f>((Tableau!$G$25-P302)/(AD302^2+Tableau!$G$30^2)^(3/2))*Tableau!$G$29</f>
        <v>-368.61406478003346</v>
      </c>
      <c r="Y302" s="96">
        <f>((Tableau!$H$25-Q302)/(AD302^2+Tableau!$G$30^2)^(3/2))*Tableau!$G$29</f>
        <v>-86.908010307808752</v>
      </c>
      <c r="Z302" s="96">
        <f>((Tableau!$G$35-P302)/(AE302^2+Tableau!$G$40^2)^(3/2))*Tableau!$G$39</f>
        <v>-73.937536258803348</v>
      </c>
      <c r="AA302" s="97">
        <f>((Tableau!$H$35-Q302)/(AE302^2+Tableau!$G$40^2)^(3/2))*Tableau!$G$39</f>
        <v>-493.74479323898771</v>
      </c>
      <c r="AC302" s="110">
        <f>SQRT((Tableau!$G$16-P302)^2+(Tableau!$H$16-Q302)^2)</f>
        <v>21754.927254694099</v>
      </c>
      <c r="AD302" s="111">
        <f>SQRT((Tableau!$G$25-P302)^2+(Tableau!$H$25-Q302)^2)</f>
        <v>19962.419661322103</v>
      </c>
      <c r="AE302" s="112">
        <f>SQRT((Tableau!$G$35-P302)^2+(Tableau!$H$35-Q302)^2)</f>
        <v>29910.765267387538</v>
      </c>
    </row>
    <row r="303" spans="2:31" x14ac:dyDescent="0.25">
      <c r="B303" s="18">
        <v>300</v>
      </c>
      <c r="C303" s="19">
        <f>Tableau!$G$17*COS(B303*PI()/180)+Tableau!$G$16</f>
        <v>22500</v>
      </c>
      <c r="D303" s="19">
        <f>Tableau!$G$17*SIN(B303*PI()/180)+Tableau!$H$16</f>
        <v>3169.8729810778068</v>
      </c>
      <c r="F303" s="26">
        <v>300</v>
      </c>
      <c r="G303" s="27">
        <f>Tableau!$G$26*COS(F303*PI()/180)+Tableau!$G$25</f>
        <v>-18250</v>
      </c>
      <c r="H303" s="27">
        <f>Tableau!$G$26*SIN(F303*PI()/180)+Tableau!$H$25</f>
        <v>6968.911086754465</v>
      </c>
      <c r="J303" s="34">
        <v>300</v>
      </c>
      <c r="K303" s="35">
        <f>Tableau!$G$36*COS(J303*PI()/180)+Tableau!$G$35</f>
        <v>-2499.9999999999995</v>
      </c>
      <c r="L303" s="35">
        <f>Tableau!$G$36*SIN(J303*PI()/180)+Tableau!$H$35</f>
        <v>-19330.127018922194</v>
      </c>
      <c r="N303" s="98">
        <v>299</v>
      </c>
      <c r="O303" s="99">
        <v>149.5</v>
      </c>
      <c r="P303" s="101">
        <f>P302+R302*Tableau!$G$2+((1/2)*T302)*Tableau!$G$2^2</f>
        <v>-3057.1854842343323</v>
      </c>
      <c r="Q303" s="101">
        <f>Q302+S302*Tableau!$G$2+((1/2)*U302)*Tableau!$G$2^2</f>
        <v>17818.84876503444</v>
      </c>
      <c r="R303" s="101">
        <f>R302+T302*Tableau!$G$2</f>
        <v>-4888.2390275988355</v>
      </c>
      <c r="S303" s="101">
        <f>S302+U302*Tableau!$G$2</f>
        <v>6263.1392256608879</v>
      </c>
      <c r="T303" s="101">
        <f t="shared" si="8"/>
        <v>192.57226764247224</v>
      </c>
      <c r="U303" s="101">
        <f t="shared" si="9"/>
        <v>-870.29779277771559</v>
      </c>
      <c r="V303" s="101">
        <f>((Tableau!$G$16-P303)/(AC303^2+Tableau!$G$21^2)^(3/2))*Tableau!$G$20</f>
        <v>602.03414886601183</v>
      </c>
      <c r="W303" s="101">
        <f>((Tableau!$H$16-Q303)/(AC303^2+Tableau!$G$21^2)^(3/2))*Tableau!$G$20</f>
        <v>-269.43008017098833</v>
      </c>
      <c r="X303" s="101">
        <f>((Tableau!$G$25-P303)/(AD303^2+Tableau!$G$30^2)^(3/2))*Tableau!$G$29</f>
        <v>-384.39287550479276</v>
      </c>
      <c r="Y303" s="101">
        <f>((Tableau!$H$25-Q303)/(AD303^2+Tableau!$G$30^2)^(3/2))*Tableau!$G$29</f>
        <v>-177.39141021298391</v>
      </c>
      <c r="Z303" s="101">
        <f>((Tableau!$G$35-P303)/(AE303^2+Tableau!$G$40^2)^(3/2))*Tableau!$G$39</f>
        <v>-25.069005718746844</v>
      </c>
      <c r="AA303" s="102">
        <f>((Tableau!$H$35-Q303)/(AE303^2+Tableau!$G$40^2)^(3/2))*Tableau!$G$39</f>
        <v>-423.47630239374342</v>
      </c>
      <c r="AC303" s="113">
        <f>SQRT((Tableau!$G$16-P303)^2+(Tableau!$H$16-Q303)^2)</f>
        <v>25260.887599014393</v>
      </c>
      <c r="AD303" s="114">
        <f>SQRT((Tableau!$G$25-P303)^2+(Tableau!$H$25-Q303)^2)</f>
        <v>18659.939971128537</v>
      </c>
      <c r="AE303" s="115">
        <f>SQRT((Tableau!$G$35-P303)^2+(Tableau!$H$35-Q303)^2)</f>
        <v>32876.303966609026</v>
      </c>
    </row>
    <row r="304" spans="2:31" x14ac:dyDescent="0.25">
      <c r="B304" s="20">
        <v>301</v>
      </c>
      <c r="C304" s="21">
        <f>Tableau!$G$17*COS(B304*PI()/180)+Tableau!$G$16</f>
        <v>22575.190374550271</v>
      </c>
      <c r="D304" s="21">
        <f>Tableau!$G$17*SIN(B304*PI()/180)+Tableau!$H$16</f>
        <v>3214.1634964894383</v>
      </c>
      <c r="F304" s="28">
        <v>301</v>
      </c>
      <c r="G304" s="29">
        <f>Tableau!$G$26*COS(F304*PI()/180)+Tableau!$G$25</f>
        <v>-18197.366737814809</v>
      </c>
      <c r="H304" s="29">
        <f>Tableau!$G$26*SIN(F304*PI()/180)+Tableau!$H$25</f>
        <v>6999.9144475426074</v>
      </c>
      <c r="J304" s="36">
        <v>301</v>
      </c>
      <c r="K304" s="37">
        <f>Tableau!$G$36*COS(J304*PI()/180)+Tableau!$G$35</f>
        <v>-2424.8096254497291</v>
      </c>
      <c r="L304" s="37">
        <f>Tableau!$G$36*SIN(J304*PI()/180)+Tableau!$H$35</f>
        <v>-19285.83650351056</v>
      </c>
      <c r="N304" s="92">
        <v>300</v>
      </c>
      <c r="O304" s="93">
        <v>150</v>
      </c>
      <c r="P304" s="96">
        <f>P303+R303*Tableau!$G$2+((1/2)*T303)*Tableau!$G$2^2</f>
        <v>-5477.2334645784413</v>
      </c>
      <c r="Q304" s="96">
        <f>Q303+S303*Tableau!$G$2+((1/2)*U303)*Tableau!$G$2^2</f>
        <v>20841.63115376767</v>
      </c>
      <c r="R304" s="96">
        <f>R303+T303*Tableau!$G$2</f>
        <v>-4791.9528937775995</v>
      </c>
      <c r="S304" s="96">
        <f>S303+U303*Tableau!$G$2</f>
        <v>5827.9903292720301</v>
      </c>
      <c r="T304" s="96">
        <f t="shared" si="8"/>
        <v>121.74961318761663</v>
      </c>
      <c r="U304" s="96">
        <f t="shared" si="9"/>
        <v>-877.14214502116158</v>
      </c>
      <c r="V304" s="96">
        <f>((Tableau!$G$16-P304)/(AC304^2+Tableau!$G$21^2)^(3/2))*Tableau!$G$20</f>
        <v>472.57317442427217</v>
      </c>
      <c r="W304" s="96">
        <f>((Tableau!$H$16-Q304)/(AC304^2+Tableau!$G$21^2)^(3/2))*Tableau!$G$20</f>
        <v>-247.47180635211393</v>
      </c>
      <c r="X304" s="96">
        <f>((Tableau!$G$25-P304)/(AD304^2+Tableau!$G$30^2)^(3/2))*Tableau!$G$29</f>
        <v>-355.6722608478716</v>
      </c>
      <c r="Y304" s="96">
        <f>((Tableau!$H$25-Q304)/(AD304^2+Tableau!$G$30^2)^(3/2))*Tableau!$G$29</f>
        <v>-265.51879453093022</v>
      </c>
      <c r="Z304" s="96">
        <f>((Tableau!$G$35-P304)/(AE304^2+Tableau!$G$40^2)^(3/2))*Tableau!$G$39</f>
        <v>4.848699611216067</v>
      </c>
      <c r="AA304" s="97">
        <f>((Tableau!$H$35-Q304)/(AE304^2+Tableau!$G$40^2)^(3/2))*Tableau!$G$39</f>
        <v>-364.1515441381174</v>
      </c>
      <c r="AC304" s="110">
        <f>SQRT((Tableau!$G$16-P304)^2+(Tableau!$H$16-Q304)^2)</f>
        <v>28759.147185753263</v>
      </c>
      <c r="AD304" s="111">
        <f>SQRT((Tableau!$G$25-P304)^2+(Tableau!$H$25-Q304)^2)</f>
        <v>18123.236849876073</v>
      </c>
      <c r="AE304" s="112">
        <f>SQRT((Tableau!$G$35-P304)^2+(Tableau!$H$35-Q304)^2)</f>
        <v>35844.808209034156</v>
      </c>
    </row>
    <row r="305" spans="2:31" x14ac:dyDescent="0.25">
      <c r="B305" s="18">
        <v>302</v>
      </c>
      <c r="C305" s="19">
        <f>Tableau!$G$17*COS(B305*PI()/180)+Tableau!$G$16</f>
        <v>22649.596321166024</v>
      </c>
      <c r="D305" s="19">
        <f>Tableau!$G$17*SIN(B305*PI()/180)+Tableau!$H$16</f>
        <v>3259.7595192178687</v>
      </c>
      <c r="F305" s="26">
        <v>302</v>
      </c>
      <c r="G305" s="27">
        <f>Tableau!$G$26*COS(F305*PI()/180)+Tableau!$G$25</f>
        <v>-18145.282575183785</v>
      </c>
      <c r="H305" s="27">
        <f>Tableau!$G$26*SIN(F305*PI()/180)+Tableau!$H$25</f>
        <v>7031.831663452509</v>
      </c>
      <c r="J305" s="34">
        <v>302</v>
      </c>
      <c r="K305" s="35">
        <f>Tableau!$G$36*COS(J305*PI()/180)+Tableau!$G$35</f>
        <v>-2350.4036788339768</v>
      </c>
      <c r="L305" s="35">
        <f>Tableau!$G$36*SIN(J305*PI()/180)+Tableau!$H$35</f>
        <v>-19240.240480782129</v>
      </c>
      <c r="N305" s="98">
        <v>301</v>
      </c>
      <c r="O305" s="99">
        <v>150.5</v>
      </c>
      <c r="P305" s="101">
        <f>P304+R304*Tableau!$G$2+((1/2)*T304)*Tableau!$G$2^2</f>
        <v>-7857.9912098187888</v>
      </c>
      <c r="Q305" s="101">
        <f>Q304+S304*Tableau!$G$2+((1/2)*U304)*Tableau!$G$2^2</f>
        <v>23645.983550276043</v>
      </c>
      <c r="R305" s="101">
        <f>R304+T304*Tableau!$G$2</f>
        <v>-4731.0780871837915</v>
      </c>
      <c r="S305" s="101">
        <f>S304+U304*Tableau!$G$2</f>
        <v>5389.4192567614491</v>
      </c>
      <c r="T305" s="101">
        <f t="shared" si="8"/>
        <v>112.58726449930344</v>
      </c>
      <c r="U305" s="101">
        <f t="shared" si="9"/>
        <v>-863.67462868852908</v>
      </c>
      <c r="V305" s="101">
        <f>((Tableau!$G$16-P305)/(AC305^2+Tableau!$G$21^2)^(3/2))*Tableau!$G$20</f>
        <v>380.57914072429764</v>
      </c>
      <c r="W305" s="101">
        <f>((Tableau!$H$16-Q305)/(AC305^2+Tableau!$G$21^2)^(3/2))*Tableau!$G$20</f>
        <v>-220.57672785634685</v>
      </c>
      <c r="X305" s="101">
        <f>((Tableau!$G$25-P305)/(AD305^2+Tableau!$G$30^2)^(3/2))*Tableau!$G$29</f>
        <v>-291.3369804771587</v>
      </c>
      <c r="Y305" s="101">
        <f>((Tableau!$H$25-Q305)/(AD305^2+Tableau!$G$30^2)^(3/2))*Tableau!$G$29</f>
        <v>-327.42355172673757</v>
      </c>
      <c r="Z305" s="101">
        <f>((Tableau!$G$35-P305)/(AE305^2+Tableau!$G$40^2)^(3/2))*Tableau!$G$39</f>
        <v>23.3451042521645</v>
      </c>
      <c r="AA305" s="102">
        <f>((Tableau!$H$35-Q305)/(AE305^2+Tableau!$G$40^2)^(3/2))*Tableau!$G$39</f>
        <v>-315.67434910544461</v>
      </c>
      <c r="AC305" s="113">
        <f>SQRT((Tableau!$G$16-P305)^2+(Tableau!$H$16-Q305)^2)</f>
        <v>32198.764868425085</v>
      </c>
      <c r="AD305" s="114">
        <f>SQRT((Tableau!$G$25-P305)^2+(Tableau!$H$25-Q305)^2)</f>
        <v>18265.849132061783</v>
      </c>
      <c r="AE305" s="115">
        <f>SQRT((Tableau!$G$35-P305)^2+(Tableau!$H$35-Q305)^2)</f>
        <v>38751.518142178735</v>
      </c>
    </row>
    <row r="306" spans="2:31" x14ac:dyDescent="0.25">
      <c r="B306" s="20">
        <v>303</v>
      </c>
      <c r="C306" s="21">
        <f>Tableau!$G$17*COS(B306*PI()/180)+Tableau!$G$16</f>
        <v>22723.195175075132</v>
      </c>
      <c r="D306" s="21">
        <f>Tableau!$G$17*SIN(B306*PI()/180)+Tableau!$H$16</f>
        <v>3306.6471602728789</v>
      </c>
      <c r="F306" s="28">
        <v>303</v>
      </c>
      <c r="G306" s="29">
        <f>Tableau!$G$26*COS(F306*PI()/180)+Tableau!$G$25</f>
        <v>-18093.763377447405</v>
      </c>
      <c r="H306" s="29">
        <f>Tableau!$G$26*SIN(F306*PI()/180)+Tableau!$H$25</f>
        <v>7064.6530121910146</v>
      </c>
      <c r="J306" s="36">
        <v>303</v>
      </c>
      <c r="K306" s="37">
        <f>Tableau!$G$36*COS(J306*PI()/180)+Tableau!$G$35</f>
        <v>-2276.8048249248668</v>
      </c>
      <c r="L306" s="37">
        <f>Tableau!$G$36*SIN(J306*PI()/180)+Tableau!$H$35</f>
        <v>-19193.352839727122</v>
      </c>
      <c r="N306" s="92">
        <v>302</v>
      </c>
      <c r="O306" s="93">
        <v>151</v>
      </c>
      <c r="P306" s="96">
        <f>P305+R305*Tableau!$G$2+((1/2)*T305)*Tableau!$G$2^2</f>
        <v>-10209.456845348272</v>
      </c>
      <c r="Q306" s="96">
        <f>Q305+S305*Tableau!$G$2+((1/2)*U305)*Tableau!$G$2^2</f>
        <v>26232.733850070705</v>
      </c>
      <c r="R306" s="96">
        <f>R305+T305*Tableau!$G$2</f>
        <v>-4674.7844549341398</v>
      </c>
      <c r="S306" s="96">
        <f>S305+U305*Tableau!$G$2</f>
        <v>4957.5819424171841</v>
      </c>
      <c r="T306" s="96">
        <f t="shared" si="8"/>
        <v>135.99845018146877</v>
      </c>
      <c r="U306" s="96">
        <f t="shared" si="9"/>
        <v>-824.48965418735406</v>
      </c>
      <c r="V306" s="96">
        <f>((Tableau!$G$16-P306)/(AC306^2+Tableau!$G$21^2)^(3/2))*Tableau!$G$20</f>
        <v>314.15654858057616</v>
      </c>
      <c r="W306" s="96">
        <f>((Tableau!$H$16-Q306)/(AC306^2+Tableau!$G$21^2)^(3/2))*Tableau!$G$20</f>
        <v>-194.80691235012819</v>
      </c>
      <c r="X306" s="96">
        <f>((Tableau!$G$25-P306)/(AD306^2+Tableau!$G$30^2)^(3/2))*Tableau!$G$29</f>
        <v>-213.07892886766155</v>
      </c>
      <c r="Y306" s="96">
        <f>((Tableau!$H$25-Q306)/(AD306^2+Tableau!$G$30^2)^(3/2))*Tableau!$G$29</f>
        <v>-353.28515351301127</v>
      </c>
      <c r="Z306" s="96">
        <f>((Tableau!$G$35-P306)/(AE306^2+Tableau!$G$40^2)^(3/2))*Tableau!$G$39</f>
        <v>34.920830468554158</v>
      </c>
      <c r="AA306" s="97">
        <f>((Tableau!$H$35-Q306)/(AE306^2+Tableau!$G$40^2)^(3/2))*Tableau!$G$39</f>
        <v>-276.39758832421467</v>
      </c>
      <c r="AC306" s="110">
        <f>SQRT((Tableau!$G$16-P306)^2+(Tableau!$H$16-Q306)^2)</f>
        <v>35546.119343587205</v>
      </c>
      <c r="AD306" s="111">
        <f>SQRT((Tableau!$G$25-P306)^2+(Tableau!$H$25-Q306)^2)</f>
        <v>18956.697589778898</v>
      </c>
      <c r="AE306" s="112">
        <f>SQRT((Tableau!$G$35-P306)^2+(Tableau!$H$35-Q306)^2)</f>
        <v>41560.519503181291</v>
      </c>
    </row>
    <row r="307" spans="2:31" x14ac:dyDescent="0.25">
      <c r="B307" s="18">
        <v>304</v>
      </c>
      <c r="C307" s="19">
        <f>Tableau!$G$17*COS(B307*PI()/180)+Tableau!$G$16</f>
        <v>22795.964517353732</v>
      </c>
      <c r="D307" s="19">
        <f>Tableau!$G$17*SIN(B307*PI()/180)+Tableau!$H$16</f>
        <v>3354.8121372247897</v>
      </c>
      <c r="F307" s="26">
        <v>304</v>
      </c>
      <c r="G307" s="27">
        <f>Tableau!$G$26*COS(F307*PI()/180)+Tableau!$G$25</f>
        <v>-18042.824837852389</v>
      </c>
      <c r="H307" s="27">
        <f>Tableau!$G$26*SIN(F307*PI()/180)+Tableau!$H$25</f>
        <v>7098.3684960573528</v>
      </c>
      <c r="J307" s="34">
        <v>304</v>
      </c>
      <c r="K307" s="35">
        <f>Tableau!$G$36*COS(J307*PI()/180)+Tableau!$G$35</f>
        <v>-2204.035482646269</v>
      </c>
      <c r="L307" s="35">
        <f>Tableau!$G$36*SIN(J307*PI()/180)+Tableau!$H$35</f>
        <v>-19145.187862775208</v>
      </c>
      <c r="N307" s="98">
        <v>303</v>
      </c>
      <c r="O307" s="99">
        <v>151.5</v>
      </c>
      <c r="P307" s="101">
        <f>P306+R306*Tableau!$G$2+((1/2)*T306)*Tableau!$G$2^2</f>
        <v>-12529.849266542658</v>
      </c>
      <c r="Q307" s="101">
        <f>Q306+S306*Tableau!$G$2+((1/2)*U306)*Tableau!$G$2^2</f>
        <v>28608.463614505879</v>
      </c>
      <c r="R307" s="101">
        <f>R306+T306*Tableau!$G$2</f>
        <v>-4606.7852298434054</v>
      </c>
      <c r="S307" s="101">
        <f>S306+U306*Tableau!$G$2</f>
        <v>4545.3371153235075</v>
      </c>
      <c r="T307" s="101">
        <f t="shared" si="8"/>
        <v>167.37906608471377</v>
      </c>
      <c r="U307" s="101">
        <f t="shared" si="9"/>
        <v>-765.42431643129953</v>
      </c>
      <c r="V307" s="101">
        <f>((Tableau!$G$16-P307)/(AC307^2+Tableau!$G$21^2)^(3/2))*Tableau!$G$20</f>
        <v>265.19924645668931</v>
      </c>
      <c r="W307" s="101">
        <f>((Tableau!$H$16-Q307)/(AC307^2+Tableau!$G$21^2)^(3/2))*Tableau!$G$20</f>
        <v>-172.08652270586944</v>
      </c>
      <c r="X307" s="101">
        <f>((Tableau!$G$25-P307)/(AD307^2+Tableau!$G$30^2)^(3/2))*Tableau!$G$29</f>
        <v>-140.03756063475788</v>
      </c>
      <c r="Y307" s="101">
        <f>((Tableau!$H$25-Q307)/(AD307^2+Tableau!$G$30^2)^(3/2))*Tableau!$G$29</f>
        <v>-348.83952743614793</v>
      </c>
      <c r="Z307" s="101">
        <f>((Tableau!$G$35-P307)/(AE307^2+Tableau!$G$40^2)^(3/2))*Tableau!$G$39</f>
        <v>42.217380262782342</v>
      </c>
      <c r="AA307" s="102">
        <f>((Tableau!$H$35-Q307)/(AE307^2+Tableau!$G$40^2)^(3/2))*Tableau!$G$39</f>
        <v>-244.4982662892821</v>
      </c>
      <c r="AC307" s="113">
        <f>SQRT((Tableau!$G$16-P307)^2+(Tableau!$H$16-Q307)^2)</f>
        <v>38778.322932650204</v>
      </c>
      <c r="AD307" s="114">
        <f>SQRT((Tableau!$G$25-P307)^2+(Tableau!$H$25-Q307)^2)</f>
        <v>20051.884451915299</v>
      </c>
      <c r="AE307" s="115">
        <f>SQRT((Tableau!$G$35-P307)^2+(Tableau!$H$35-Q307)^2)</f>
        <v>44253.776435401938</v>
      </c>
    </row>
    <row r="308" spans="2:31" x14ac:dyDescent="0.25">
      <c r="B308" s="20">
        <v>305</v>
      </c>
      <c r="C308" s="21">
        <f>Tableau!$G$17*COS(B308*PI()/180)+Tableau!$G$16</f>
        <v>22867.882181755231</v>
      </c>
      <c r="D308" s="21">
        <f>Tableau!$G$17*SIN(B308*PI()/180)+Tableau!$H$16</f>
        <v>3404.2397785550411</v>
      </c>
      <c r="F308" s="28">
        <v>305</v>
      </c>
      <c r="G308" s="29">
        <f>Tableau!$G$26*COS(F308*PI()/180)+Tableau!$G$25</f>
        <v>-17992.482472771339</v>
      </c>
      <c r="H308" s="29">
        <f>Tableau!$G$26*SIN(F308*PI()/180)+Tableau!$H$25</f>
        <v>7132.9678449885287</v>
      </c>
      <c r="J308" s="36">
        <v>305</v>
      </c>
      <c r="K308" s="37">
        <f>Tableau!$G$36*COS(J308*PI()/180)+Tableau!$G$35</f>
        <v>-2132.1178182447698</v>
      </c>
      <c r="L308" s="37">
        <f>Tableau!$G$36*SIN(J308*PI()/180)+Tableau!$H$35</f>
        <v>-19095.760221444958</v>
      </c>
      <c r="N308" s="92">
        <v>304</v>
      </c>
      <c r="O308" s="93">
        <v>152</v>
      </c>
      <c r="P308" s="96">
        <f>P307+R307*Tableau!$G$2+((1/2)*T307)*Tableau!$G$2^2</f>
        <v>-14812.319498203771</v>
      </c>
      <c r="Q308" s="96">
        <f>Q307+S307*Tableau!$G$2+((1/2)*U307)*Tableau!$G$2^2</f>
        <v>30785.454132613719</v>
      </c>
      <c r="R308" s="96">
        <f>R307+T307*Tableau!$G$2</f>
        <v>-4523.0956968010487</v>
      </c>
      <c r="S308" s="96">
        <f>S307+U307*Tableau!$G$2</f>
        <v>4162.6249571078579</v>
      </c>
      <c r="T308" s="96">
        <f t="shared" si="8"/>
        <v>193.73172788289227</v>
      </c>
      <c r="U308" s="96">
        <f t="shared" si="9"/>
        <v>-697.18668423319275</v>
      </c>
      <c r="V308" s="96">
        <f>((Tableau!$G$16-P308)/(AC308^2+Tableau!$G$21^2)^(3/2))*Tableau!$G$20</f>
        <v>228.31179664989057</v>
      </c>
      <c r="W308" s="96">
        <f>((Tableau!$H$16-Q308)/(AC308^2+Tableau!$G$21^2)^(3/2))*Tableau!$G$20</f>
        <v>-152.71443975745333</v>
      </c>
      <c r="X308" s="96">
        <f>((Tableau!$G$25-P308)/(AD308^2+Tableau!$G$30^2)^(3/2))*Tableau!$G$29</f>
        <v>-81.383843040633948</v>
      </c>
      <c r="Y308" s="96">
        <f>((Tableau!$H$25-Q308)/(AD308^2+Tableau!$G$30^2)^(3/2))*Tableau!$G$29</f>
        <v>-326.08024647454994</v>
      </c>
      <c r="Z308" s="96">
        <f>((Tableau!$G$35-P308)/(AE308^2+Tableau!$G$40^2)^(3/2))*Tableau!$G$39</f>
        <v>46.803774273635639</v>
      </c>
      <c r="AA308" s="97">
        <f>((Tableau!$H$35-Q308)/(AE308^2+Tableau!$G$40^2)^(3/2))*Tableau!$G$39</f>
        <v>-218.39199800118948</v>
      </c>
      <c r="AC308" s="110">
        <f>SQRT((Tableau!$G$16-P308)^2+(Tableau!$H$16-Q308)^2)</f>
        <v>41882.095971991126</v>
      </c>
      <c r="AD308" s="111">
        <f>SQRT((Tableau!$G$25-P308)^2+(Tableau!$H$25-Q308)^2)</f>
        <v>21423.0514280227</v>
      </c>
      <c r="AE308" s="112">
        <f>SQRT((Tableau!$G$35-P308)^2+(Tableau!$H$35-Q308)^2)</f>
        <v>46825.09395681449</v>
      </c>
    </row>
    <row r="309" spans="2:31" x14ac:dyDescent="0.25">
      <c r="B309" s="18">
        <v>306</v>
      </c>
      <c r="C309" s="19">
        <f>Tableau!$G$17*COS(B309*PI()/180)+Tableau!$G$16</f>
        <v>22938.926261462366</v>
      </c>
      <c r="D309" s="19">
        <f>Tableau!$G$17*SIN(B309*PI()/180)+Tableau!$H$16</f>
        <v>3454.9150281252623</v>
      </c>
      <c r="F309" s="26">
        <v>306</v>
      </c>
      <c r="G309" s="27">
        <f>Tableau!$G$26*COS(F309*PI()/180)+Tableau!$G$25</f>
        <v>-17942.751616976344</v>
      </c>
      <c r="H309" s="27">
        <f>Tableau!$G$26*SIN(F309*PI()/180)+Tableau!$H$25</f>
        <v>7168.4405196876833</v>
      </c>
      <c r="J309" s="34">
        <v>306</v>
      </c>
      <c r="K309" s="35">
        <f>Tableau!$G$36*COS(J309*PI()/180)+Tableau!$G$35</f>
        <v>-2061.0737385376356</v>
      </c>
      <c r="L309" s="35">
        <f>Tableau!$G$36*SIN(J309*PI()/180)+Tableau!$H$35</f>
        <v>-19045.084971874738</v>
      </c>
      <c r="N309" s="98">
        <v>305</v>
      </c>
      <c r="O309" s="99">
        <v>152.5</v>
      </c>
      <c r="P309" s="101">
        <f>P308+R308*Tableau!$G$2+((1/2)*T308)*Tableau!$G$2^2</f>
        <v>-17049.650880618934</v>
      </c>
      <c r="Q309" s="101">
        <f>Q308+S308*Tableau!$G$2+((1/2)*U308)*Tableau!$G$2^2</f>
        <v>32779.618275638495</v>
      </c>
      <c r="R309" s="101">
        <f>R308+T308*Tableau!$G$2</f>
        <v>-4426.2298328596025</v>
      </c>
      <c r="S309" s="101">
        <f>S308+U308*Tableau!$G$2</f>
        <v>3814.0316149912614</v>
      </c>
      <c r="T309" s="101">
        <f t="shared" si="8"/>
        <v>211.2714936692669</v>
      </c>
      <c r="U309" s="101">
        <f t="shared" si="9"/>
        <v>-628.6788911487688</v>
      </c>
      <c r="V309" s="101">
        <f>((Tableau!$G$16-P309)/(AC309^2+Tableau!$G$21^2)^(3/2))*Tableau!$G$20</f>
        <v>199.90487716683899</v>
      </c>
      <c r="W309" s="101">
        <f>((Tableau!$H$16-Q309)/(AC309^2+Tableau!$G$21^2)^(3/2))*Tableau!$G$20</f>
        <v>-136.39855885550708</v>
      </c>
      <c r="X309" s="101">
        <f>((Tableau!$G$25-P309)/(AD309^2+Tableau!$G$30^2)^(3/2))*Tableau!$G$29</f>
        <v>-38.268074058958589</v>
      </c>
      <c r="Y309" s="101">
        <f>((Tableau!$H$25-Q309)/(AD309^2+Tableau!$G$30^2)^(3/2))*Tableau!$G$29</f>
        <v>-295.46744603222254</v>
      </c>
      <c r="Z309" s="101">
        <f>((Tableau!$G$35-P309)/(AE309^2+Tableau!$G$40^2)^(3/2))*Tableau!$G$39</f>
        <v>49.63469056138652</v>
      </c>
      <c r="AA309" s="102">
        <f>((Tableau!$H$35-Q309)/(AE309^2+Tableau!$G$40^2)^(3/2))*Tableau!$G$39</f>
        <v>-196.81288626103918</v>
      </c>
      <c r="AC309" s="113">
        <f>SQRT((Tableau!$G$16-P309)^2+(Tableau!$H$16-Q309)^2)</f>
        <v>44852.377089043381</v>
      </c>
      <c r="AD309" s="114">
        <f>SQRT((Tableau!$G$25-P309)^2+(Tableau!$H$25-Q309)^2)</f>
        <v>22969.883950730706</v>
      </c>
      <c r="AE309" s="115">
        <f>SQRT((Tableau!$G$35-P309)^2+(Tableau!$H$35-Q309)^2)</f>
        <v>49275.612719787954</v>
      </c>
    </row>
    <row r="310" spans="2:31" x14ac:dyDescent="0.25">
      <c r="B310" s="20">
        <v>307</v>
      </c>
      <c r="C310" s="21">
        <f>Tableau!$G$17*COS(B310*PI()/180)+Tableau!$G$16</f>
        <v>23009.075115760239</v>
      </c>
      <c r="D310" s="21">
        <f>Tableau!$G$17*SIN(B310*PI()/180)+Tableau!$H$16</f>
        <v>3506.8224497635347</v>
      </c>
      <c r="F310" s="28">
        <v>307</v>
      </c>
      <c r="G310" s="29">
        <f>Tableau!$G$26*COS(F310*PI()/180)+Tableau!$G$25</f>
        <v>-17893.647418967834</v>
      </c>
      <c r="H310" s="29">
        <f>Tableau!$G$26*SIN(F310*PI()/180)+Tableau!$H$25</f>
        <v>7204.7757148344745</v>
      </c>
      <c r="J310" s="36">
        <v>307</v>
      </c>
      <c r="K310" s="37">
        <f>Tableau!$G$36*COS(J310*PI()/180)+Tableau!$G$35</f>
        <v>-1990.9248842397601</v>
      </c>
      <c r="L310" s="37">
        <f>Tableau!$G$36*SIN(J310*PI()/180)+Tableau!$H$35</f>
        <v>-18993.177550236465</v>
      </c>
      <c r="N310" s="92">
        <v>306</v>
      </c>
      <c r="O310" s="93">
        <v>153</v>
      </c>
      <c r="P310" s="96">
        <f>P309+R309*Tableau!$G$2+((1/2)*T309)*Tableau!$G$2^2</f>
        <v>-19236.356860340074</v>
      </c>
      <c r="Q310" s="96">
        <f>Q309+S309*Tableau!$G$2+((1/2)*U309)*Tableau!$G$2^2</f>
        <v>34608.049221740526</v>
      </c>
      <c r="R310" s="96">
        <f>R309+T309*Tableau!$G$2</f>
        <v>-4320.5940860249693</v>
      </c>
      <c r="S310" s="96">
        <f>S309+U309*Tableau!$G$2</f>
        <v>3499.6921694168768</v>
      </c>
      <c r="T310" s="96">
        <f t="shared" si="8"/>
        <v>220.69996797133615</v>
      </c>
      <c r="U310" s="96">
        <f t="shared" si="9"/>
        <v>-565.02126906202307</v>
      </c>
      <c r="V310" s="96">
        <f>((Tableau!$G$16-P310)/(AC310^2+Tableau!$G$21^2)^(3/2))*Tableau!$G$20</f>
        <v>177.57158633778207</v>
      </c>
      <c r="W310" s="96">
        <f>((Tableau!$H$16-Q310)/(AC310^2+Tableau!$G$21^2)^(3/2))*Tableau!$G$20</f>
        <v>-122.68262621733689</v>
      </c>
      <c r="X310" s="96">
        <f>((Tableau!$G$25-P310)/(AD310^2+Tableau!$G$30^2)^(3/2))*Tableau!$G$29</f>
        <v>-8.1786717970451903</v>
      </c>
      <c r="Y310" s="96">
        <f>((Tableau!$H$25-Q310)/(AD310^2+Tableau!$G$30^2)^(3/2))*Tableau!$G$29</f>
        <v>-263.553939919865</v>
      </c>
      <c r="Z310" s="96">
        <f>((Tableau!$G$35-P310)/(AE310^2+Tableau!$G$40^2)^(3/2))*Tableau!$G$39</f>
        <v>51.307053430599261</v>
      </c>
      <c r="AA310" s="97">
        <f>((Tableau!$H$35-Q310)/(AE310^2+Tableau!$G$40^2)^(3/2))*Tableau!$G$39</f>
        <v>-178.78470292482115</v>
      </c>
      <c r="AC310" s="110">
        <f>SQRT((Tableau!$G$16-P310)^2+(Tableau!$H$16-Q310)^2)</f>
        <v>47690.020258752913</v>
      </c>
      <c r="AD310" s="111">
        <f>SQRT((Tableau!$G$25-P310)^2+(Tableau!$H$25-Q310)^2)</f>
        <v>24619.895152992714</v>
      </c>
      <c r="AE310" s="112">
        <f>SQRT((Tableau!$G$35-P310)^2+(Tableau!$H$35-Q310)^2)</f>
        <v>51610.390467827143</v>
      </c>
    </row>
    <row r="311" spans="2:31" x14ac:dyDescent="0.25">
      <c r="B311" s="18">
        <v>308</v>
      </c>
      <c r="C311" s="19">
        <f>Tableau!$G$17*COS(B311*PI()/180)+Tableau!$G$16</f>
        <v>23078.307376628294</v>
      </c>
      <c r="D311" s="19">
        <f>Tableau!$G$17*SIN(B311*PI()/180)+Tableau!$H$16</f>
        <v>3559.9462319663912</v>
      </c>
      <c r="F311" s="26">
        <v>308</v>
      </c>
      <c r="G311" s="27">
        <f>Tableau!$G$26*COS(F311*PI()/180)+Tableau!$G$25</f>
        <v>-17845.184836360197</v>
      </c>
      <c r="H311" s="27">
        <f>Tableau!$G$26*SIN(F311*PI()/180)+Tableau!$H$25</f>
        <v>7241.9623623764737</v>
      </c>
      <c r="J311" s="34">
        <v>308</v>
      </c>
      <c r="K311" s="35">
        <f>Tableau!$G$36*COS(J311*PI()/180)+Tableau!$G$35</f>
        <v>-1921.6926233717072</v>
      </c>
      <c r="L311" s="35">
        <f>Tableau!$G$36*SIN(J311*PI()/180)+Tableau!$H$35</f>
        <v>-18940.053768033609</v>
      </c>
      <c r="N311" s="98">
        <v>307</v>
      </c>
      <c r="O311" s="99">
        <v>153.5</v>
      </c>
      <c r="P311" s="101">
        <f>P310+R310*Tableau!$G$2+((1/2)*T310)*Tableau!$G$2^2</f>
        <v>-21369.066407356142</v>
      </c>
      <c r="Q311" s="101">
        <f>Q310+S310*Tableau!$G$2+((1/2)*U310)*Tableau!$G$2^2</f>
        <v>36287.26764781621</v>
      </c>
      <c r="R311" s="101">
        <f>R310+T310*Tableau!$G$2</f>
        <v>-4210.2441020393017</v>
      </c>
      <c r="S311" s="101">
        <f>S310+U310*Tableau!$G$2</f>
        <v>3217.1815348858654</v>
      </c>
      <c r="T311" s="101">
        <f t="shared" si="8"/>
        <v>224.0484520899544</v>
      </c>
      <c r="U311" s="101">
        <f t="shared" si="9"/>
        <v>-508.30590963815041</v>
      </c>
      <c r="V311" s="101">
        <f>((Tableau!$G$16-P311)/(AC311^2+Tableau!$G$21^2)^(3/2))*Tableau!$G$20</f>
        <v>159.67693552455634</v>
      </c>
      <c r="W311" s="101">
        <f>((Tableau!$H$16-Q311)/(AC311^2+Tableau!$G$21^2)^(3/2))*Tableau!$G$20</f>
        <v>-111.11352223581071</v>
      </c>
      <c r="X311" s="101">
        <f>((Tableau!$G$25-P311)/(AD311^2+Tableau!$G$30^2)^(3/2))*Tableau!$G$29</f>
        <v>12.167567965765164</v>
      </c>
      <c r="Y311" s="101">
        <f>((Tableau!$H$25-Q311)/(AD311^2+Tableau!$G$30^2)^(3/2))*Tableau!$G$29</f>
        <v>-233.62790440292994</v>
      </c>
      <c r="Z311" s="101">
        <f>((Tableau!$G$35-P311)/(AE311^2+Tableau!$G$40^2)^(3/2))*Tableau!$G$39</f>
        <v>52.203948599632895</v>
      </c>
      <c r="AA311" s="102">
        <f>((Tableau!$H$35-Q311)/(AE311^2+Tableau!$G$40^2)^(3/2))*Tableau!$G$39</f>
        <v>-163.56448299940973</v>
      </c>
      <c r="AC311" s="113">
        <f>SQRT((Tableau!$G$16-P311)^2+(Tableau!$H$16-Q311)^2)</f>
        <v>50399.468588897325</v>
      </c>
      <c r="AD311" s="114">
        <f>SQRT((Tableau!$G$25-P311)^2+(Tableau!$H$25-Q311)^2)</f>
        <v>26322.894658750505</v>
      </c>
      <c r="AE311" s="115">
        <f>SQRT((Tableau!$G$35-P311)^2+(Tableau!$H$35-Q311)^2)</f>
        <v>53836.141743508793</v>
      </c>
    </row>
    <row r="312" spans="2:31" x14ac:dyDescent="0.25">
      <c r="B312" s="20">
        <v>309</v>
      </c>
      <c r="C312" s="21">
        <f>Tableau!$G$17*COS(B312*PI()/180)+Tableau!$G$16</f>
        <v>23146.601955249189</v>
      </c>
      <c r="D312" s="21">
        <f>Tableau!$G$17*SIN(B312*PI()/180)+Tableau!$H$16</f>
        <v>3614.2701927151461</v>
      </c>
      <c r="F312" s="28">
        <v>309</v>
      </c>
      <c r="G312" s="29">
        <f>Tableau!$G$26*COS(F312*PI()/180)+Tableau!$G$25</f>
        <v>-17797.37863132557</v>
      </c>
      <c r="H312" s="29">
        <f>Tableau!$G$26*SIN(F312*PI()/180)+Tableau!$H$25</f>
        <v>7279.989134900602</v>
      </c>
      <c r="J312" s="36">
        <v>309</v>
      </c>
      <c r="K312" s="37">
        <f>Tableau!$G$36*COS(J312*PI()/180)+Tableau!$G$35</f>
        <v>-1853.3980447508125</v>
      </c>
      <c r="L312" s="37">
        <f>Tableau!$G$36*SIN(J312*PI()/180)+Tableau!$H$35</f>
        <v>-18885.729807284853</v>
      </c>
      <c r="N312" s="92">
        <v>308</v>
      </c>
      <c r="O312" s="93">
        <v>154</v>
      </c>
      <c r="P312" s="96">
        <f>P311+R311*Tableau!$G$2+((1/2)*T311)*Tableau!$G$2^2</f>
        <v>-23446.182401864549</v>
      </c>
      <c r="Q312" s="96">
        <f>Q311+S311*Tableau!$G$2+((1/2)*U311)*Tableau!$G$2^2</f>
        <v>37832.320176554371</v>
      </c>
      <c r="R312" s="96">
        <f>R311+T311*Tableau!$G$2</f>
        <v>-4098.2198759943249</v>
      </c>
      <c r="S312" s="96">
        <f>S311+U311*Tableau!$G$2</f>
        <v>2963.0285800667903</v>
      </c>
      <c r="T312" s="96">
        <f t="shared" si="8"/>
        <v>223.2962060646779</v>
      </c>
      <c r="U312" s="96">
        <f t="shared" si="9"/>
        <v>-458.85664986442197</v>
      </c>
      <c r="V312" s="96">
        <f>((Tableau!$G$16-P312)/(AC312^2+Tableau!$G$21^2)^(3/2))*Tableau!$G$20</f>
        <v>145.09207103307702</v>
      </c>
      <c r="W312" s="96">
        <f>((Tableau!$H$16-Q312)/(AC312^2+Tableau!$G$21^2)^(3/2))*Tableau!$G$20</f>
        <v>-101.29725813299049</v>
      </c>
      <c r="X312" s="96">
        <f>((Tableau!$G$25-P312)/(AD312^2+Tableau!$G$30^2)^(3/2))*Tableau!$G$29</f>
        <v>25.627145487263796</v>
      </c>
      <c r="Y312" s="96">
        <f>((Tableau!$H$25-Q312)/(AD312^2+Tableau!$G$30^2)^(3/2))*Tableau!$G$29</f>
        <v>-206.97189969595254</v>
      </c>
      <c r="Z312" s="96">
        <f>((Tableau!$G$35-P312)/(AE312^2+Tableau!$G$40^2)^(3/2))*Tableau!$G$39</f>
        <v>52.576989544337103</v>
      </c>
      <c r="AA312" s="97">
        <f>((Tableau!$H$35-Q312)/(AE312^2+Tableau!$G$40^2)^(3/2))*Tableau!$G$39</f>
        <v>-150.58749203547893</v>
      </c>
      <c r="AC312" s="110">
        <f>SQRT((Tableau!$G$16-P312)^2+(Tableau!$H$16-Q312)^2)</f>
        <v>52986.983426017869</v>
      </c>
      <c r="AD312" s="111">
        <f>SQRT((Tableau!$G$25-P312)^2+(Tableau!$H$25-Q312)^2)</f>
        <v>28044.860840395631</v>
      </c>
      <c r="AE312" s="112">
        <f>SQRT((Tableau!$G$35-P312)^2+(Tableau!$H$35-Q312)^2)</f>
        <v>55959.94728768793</v>
      </c>
    </row>
    <row r="313" spans="2:31" x14ac:dyDescent="0.25">
      <c r="B313" s="18">
        <v>310</v>
      </c>
      <c r="C313" s="19">
        <f>Tableau!$G$17*COS(B313*PI()/180)+Tableau!$G$16</f>
        <v>23213.938048432698</v>
      </c>
      <c r="D313" s="19">
        <f>Tableau!$G$17*SIN(B313*PI()/180)+Tableau!$H$16</f>
        <v>3669.7777844051093</v>
      </c>
      <c r="F313" s="26">
        <v>310</v>
      </c>
      <c r="G313" s="27">
        <f>Tableau!$G$26*COS(F313*PI()/180)+Tableau!$G$25</f>
        <v>-17750.243366097115</v>
      </c>
      <c r="H313" s="27">
        <f>Tableau!$G$26*SIN(F313*PI()/180)+Tableau!$H$25</f>
        <v>7318.8444490835764</v>
      </c>
      <c r="J313" s="34">
        <v>310</v>
      </c>
      <c r="K313" s="35">
        <f>Tableau!$G$36*COS(J313*PI()/180)+Tableau!$G$35</f>
        <v>-1786.0619515673038</v>
      </c>
      <c r="L313" s="35">
        <f>Tableau!$G$36*SIN(J313*PI()/180)+Tableau!$H$35</f>
        <v>-18830.222215594891</v>
      </c>
      <c r="N313" s="98">
        <v>309</v>
      </c>
      <c r="O313" s="99">
        <v>154.5</v>
      </c>
      <c r="P313" s="101">
        <f>P312+R312*Tableau!$G$2+((1/2)*T312)*Tableau!$G$2^2</f>
        <v>-25467.38031410363</v>
      </c>
      <c r="Q313" s="101">
        <f>Q312+S312*Tableau!$G$2+((1/2)*U312)*Tableau!$G$2^2</f>
        <v>39256.477385354716</v>
      </c>
      <c r="R313" s="101">
        <f>R312+T312*Tableau!$G$2</f>
        <v>-3986.571772961986</v>
      </c>
      <c r="S313" s="101">
        <f>S312+U312*Tableau!$G$2</f>
        <v>2733.6002551345791</v>
      </c>
      <c r="T313" s="101">
        <f t="shared" si="8"/>
        <v>219.97153754686585</v>
      </c>
      <c r="U313" s="101">
        <f t="shared" si="9"/>
        <v>-416.16034552374833</v>
      </c>
      <c r="V313" s="101">
        <f>((Tableau!$G$16-P313)/(AC313^2+Tableau!$G$21^2)^(3/2))*Tableau!$G$20</f>
        <v>133.02331156420792</v>
      </c>
      <c r="W313" s="101">
        <f>((Tableau!$H$16-Q313)/(AC313^2+Tableau!$G$21^2)^(3/2))*Tableau!$G$20</f>
        <v>-92.909504709322377</v>
      </c>
      <c r="X313" s="101">
        <f>((Tableau!$G$25-P313)/(AD313^2+Tableau!$G$30^2)^(3/2))*Tableau!$G$29</f>
        <v>34.353459280036155</v>
      </c>
      <c r="Y313" s="101">
        <f>((Tableau!$H$25-Q313)/(AD313^2+Tableau!$G$30^2)^(3/2))*Tableau!$G$29</f>
        <v>-183.82866140524933</v>
      </c>
      <c r="Z313" s="101">
        <f>((Tableau!$G$35-P313)/(AE313^2+Tableau!$G$40^2)^(3/2))*Tableau!$G$39</f>
        <v>52.594766702621776</v>
      </c>
      <c r="AA313" s="102">
        <f>((Tableau!$H$35-Q313)/(AE313^2+Tableau!$G$40^2)^(3/2))*Tableau!$G$39</f>
        <v>-139.42217940917661</v>
      </c>
      <c r="AC313" s="113">
        <f>SQRT((Tableau!$G$16-P313)^2+(Tableau!$H$16-Q313)^2)</f>
        <v>55459.503500787709</v>
      </c>
      <c r="AD313" s="114">
        <f>SQRT((Tableau!$G$25-P313)^2+(Tableau!$H$25-Q313)^2)</f>
        <v>29762.958799467833</v>
      </c>
      <c r="AE313" s="115">
        <f>SQRT((Tableau!$G$35-P313)^2+(Tableau!$H$35-Q313)^2)</f>
        <v>57988.610909295494</v>
      </c>
    </row>
    <row r="314" spans="2:31" x14ac:dyDescent="0.25">
      <c r="B314" s="20">
        <v>311</v>
      </c>
      <c r="C314" s="21">
        <f>Tableau!$G$17*COS(B314*PI()/180)+Tableau!$G$16</f>
        <v>23280.295144952535</v>
      </c>
      <c r="D314" s="21">
        <f>Tableau!$G$17*SIN(B314*PI()/180)+Tableau!$H$16</f>
        <v>3726.4520988861386</v>
      </c>
      <c r="F314" s="28">
        <v>311</v>
      </c>
      <c r="G314" s="29">
        <f>Tableau!$G$26*COS(F314*PI()/180)+Tableau!$G$25</f>
        <v>-17703.793398533224</v>
      </c>
      <c r="H314" s="29">
        <f>Tableau!$G$26*SIN(F314*PI()/180)+Tableau!$H$25</f>
        <v>7358.516469220297</v>
      </c>
      <c r="J314" s="36">
        <v>311</v>
      </c>
      <c r="K314" s="37">
        <f>Tableau!$G$36*COS(J314*PI()/180)+Tableau!$G$35</f>
        <v>-1719.7048550474647</v>
      </c>
      <c r="L314" s="37">
        <f>Tableau!$G$36*SIN(J314*PI()/180)+Tableau!$H$35</f>
        <v>-18773.54790111386</v>
      </c>
      <c r="N314" s="92">
        <v>310</v>
      </c>
      <c r="O314" s="93">
        <v>155</v>
      </c>
      <c r="P314" s="96">
        <f>P313+R313*Tableau!$G$2+((1/2)*T313)*Tableau!$G$2^2</f>
        <v>-27433.169758391265</v>
      </c>
      <c r="Q314" s="96">
        <f>Q313+S313*Tableau!$G$2+((1/2)*U313)*Tableau!$G$2^2</f>
        <v>40571.257469731536</v>
      </c>
      <c r="R314" s="96">
        <f>R313+T313*Tableau!$G$2</f>
        <v>-3876.586004188553</v>
      </c>
      <c r="S314" s="96">
        <f>S313+U313*Tableau!$G$2</f>
        <v>2525.520082372705</v>
      </c>
      <c r="T314" s="96">
        <f t="shared" si="8"/>
        <v>215.14319972633623</v>
      </c>
      <c r="U314" s="96">
        <f t="shared" si="9"/>
        <v>-379.39917579129548</v>
      </c>
      <c r="V314" s="96">
        <f>((Tableau!$G$16-P314)/(AC314^2+Tableau!$G$21^2)^(3/2))*Tableau!$G$20</f>
        <v>122.9020526752596</v>
      </c>
      <c r="W314" s="96">
        <f>((Tableau!$H$16-Q314)/(AC314^2+Tableau!$G$21^2)^(3/2))*Tableau!$G$20</f>
        <v>-85.689517447080888</v>
      </c>
      <c r="X314" s="96">
        <f>((Tableau!$G$25-P314)/(AD314^2+Tableau!$G$30^2)^(3/2))*Tableau!$G$29</f>
        <v>39.868982041686579</v>
      </c>
      <c r="Y314" s="96">
        <f>((Tableau!$H$25-Q314)/(AD314^2+Tableau!$G$30^2)^(3/2))*Tableau!$G$29</f>
        <v>-163.97377628521883</v>
      </c>
      <c r="Z314" s="96">
        <f>((Tableau!$G$35-P314)/(AE314^2+Tableau!$G$40^2)^(3/2))*Tableau!$G$39</f>
        <v>52.372165009390045</v>
      </c>
      <c r="AA314" s="97">
        <f>((Tableau!$H$35-Q314)/(AE314^2+Tableau!$G$40^2)^(3/2))*Tableau!$G$39</f>
        <v>-129.73588205899574</v>
      </c>
      <c r="AC314" s="110">
        <f>SQRT((Tableau!$G$16-P314)^2+(Tableau!$H$16-Q314)^2)</f>
        <v>57823.988654862245</v>
      </c>
      <c r="AD314" s="111">
        <f>SQRT((Tableau!$G$25-P314)^2+(Tableau!$H$25-Q314)^2)</f>
        <v>31461.942024256525</v>
      </c>
      <c r="AE314" s="112">
        <f>SQRT((Tableau!$G$35-P314)^2+(Tableau!$H$35-Q314)^2)</f>
        <v>59928.388616547942</v>
      </c>
    </row>
    <row r="315" spans="2:31" x14ac:dyDescent="0.25">
      <c r="B315" s="18">
        <v>312</v>
      </c>
      <c r="C315" s="19">
        <f>Tableau!$G$17*COS(B315*PI()/180)+Tableau!$G$16</f>
        <v>23345.653031794289</v>
      </c>
      <c r="D315" s="19">
        <f>Tableau!$G$17*SIN(B315*PI()/180)+Tableau!$H$16</f>
        <v>3784.2758726130273</v>
      </c>
      <c r="F315" s="26">
        <v>312</v>
      </c>
      <c r="G315" s="27">
        <f>Tableau!$G$26*COS(F315*PI()/180)+Tableau!$G$25</f>
        <v>-17658.042877743999</v>
      </c>
      <c r="H315" s="27">
        <f>Tableau!$G$26*SIN(F315*PI()/180)+Tableau!$H$25</f>
        <v>7398.9931108291185</v>
      </c>
      <c r="J315" s="34">
        <v>312</v>
      </c>
      <c r="K315" s="35">
        <f>Tableau!$G$36*COS(J315*PI()/180)+Tableau!$G$35</f>
        <v>-1654.3469682057112</v>
      </c>
      <c r="L315" s="35">
        <f>Tableau!$G$36*SIN(J315*PI()/180)+Tableau!$H$35</f>
        <v>-18715.724127386973</v>
      </c>
      <c r="N315" s="98">
        <v>311</v>
      </c>
      <c r="O315" s="99">
        <v>155.5</v>
      </c>
      <c r="P315" s="101">
        <f>P314+R314*Tableau!$G$2+((1/2)*T314)*Tableau!$G$2^2</f>
        <v>-29344.56986051975</v>
      </c>
      <c r="Q315" s="101">
        <f>Q314+S314*Tableau!$G$2+((1/2)*U314)*Tableau!$G$2^2</f>
        <v>41786.592613943976</v>
      </c>
      <c r="R315" s="101">
        <f>R314+T314*Tableau!$G$2</f>
        <v>-3769.0144043253849</v>
      </c>
      <c r="S315" s="101">
        <f>S314+U314*Tableau!$G$2</f>
        <v>2335.8204944770573</v>
      </c>
      <c r="T315" s="101">
        <f t="shared" si="8"/>
        <v>209.52069774713155</v>
      </c>
      <c r="U315" s="101">
        <f t="shared" si="9"/>
        <v>-347.71252182914475</v>
      </c>
      <c r="V315" s="101">
        <f>((Tableau!$G$16-P315)/(AC315^2+Tableau!$G$21^2)^(3/2))*Tableau!$G$20</f>
        <v>114.31333208085339</v>
      </c>
      <c r="W315" s="101">
        <f>((Tableau!$H$16-Q315)/(AC315^2+Tableau!$G$21^2)^(3/2))*Tableau!$G$20</f>
        <v>-79.429502749290549</v>
      </c>
      <c r="X315" s="101">
        <f>((Tableau!$G$25-P315)/(AD315^2+Tableau!$G$30^2)^(3/2))*Tableau!$G$29</f>
        <v>43.218783159030103</v>
      </c>
      <c r="Y315" s="101">
        <f>((Tableau!$H$25-Q315)/(AD315^2+Tableau!$G$30^2)^(3/2))*Tableau!$G$29</f>
        <v>-147.01349276124543</v>
      </c>
      <c r="Z315" s="101">
        <f>((Tableau!$G$35-P315)/(AE315^2+Tableau!$G$40^2)^(3/2))*Tableau!$G$39</f>
        <v>51.988582507248054</v>
      </c>
      <c r="AA315" s="102">
        <f>((Tableau!$H$35-Q315)/(AE315^2+Tableau!$G$40^2)^(3/2))*Tableau!$G$39</f>
        <v>-121.26952631860875</v>
      </c>
      <c r="AC315" s="113">
        <f>SQRT((Tableau!$G$16-P315)^2+(Tableau!$H$16-Q315)^2)</f>
        <v>60087.07854268064</v>
      </c>
      <c r="AD315" s="114">
        <f>SQRT((Tableau!$G$25-P315)^2+(Tableau!$H$25-Q315)^2)</f>
        <v>33131.683565478103</v>
      </c>
      <c r="AE315" s="115">
        <f>SQRT((Tableau!$G$35-P315)^2+(Tableau!$H$35-Q315)^2)</f>
        <v>61784.910636787063</v>
      </c>
    </row>
    <row r="316" spans="2:31" x14ac:dyDescent="0.25">
      <c r="B316" s="20">
        <v>313</v>
      </c>
      <c r="C316" s="21">
        <f>Tableau!$G$17*COS(B316*PI()/180)+Tableau!$G$16</f>
        <v>23409.991800312491</v>
      </c>
      <c r="D316" s="21">
        <f>Tableau!$G$17*SIN(B316*PI()/180)+Tableau!$H$16</f>
        <v>3843.2314919041451</v>
      </c>
      <c r="F316" s="28">
        <v>313</v>
      </c>
      <c r="G316" s="29">
        <f>Tableau!$G$26*COS(F316*PI()/180)+Tableau!$G$25</f>
        <v>-17613.005739781256</v>
      </c>
      <c r="H316" s="29">
        <f>Tableau!$G$26*SIN(F316*PI()/180)+Tableau!$H$25</f>
        <v>7440.2620443329015</v>
      </c>
      <c r="J316" s="36">
        <v>313</v>
      </c>
      <c r="K316" s="37">
        <f>Tableau!$G$36*COS(J316*PI()/180)+Tableau!$G$35</f>
        <v>-1590.0081996875097</v>
      </c>
      <c r="L316" s="37">
        <f>Tableau!$G$36*SIN(J316*PI()/180)+Tableau!$H$35</f>
        <v>-18656.768508095854</v>
      </c>
      <c r="N316" s="92">
        <v>312</v>
      </c>
      <c r="O316" s="93">
        <v>156</v>
      </c>
      <c r="P316" s="96">
        <f>P315+R315*Tableau!$G$2+((1/2)*T315)*Tableau!$G$2^2</f>
        <v>-31202.886975464051</v>
      </c>
      <c r="Q316" s="96">
        <f>Q315+S315*Tableau!$G$2+((1/2)*U315)*Tableau!$G$2^2</f>
        <v>42911.038795953864</v>
      </c>
      <c r="R316" s="96">
        <f>R315+T315*Tableau!$G$2</f>
        <v>-3664.2540554518191</v>
      </c>
      <c r="S316" s="96">
        <f>S315+U315*Tableau!$G$2</f>
        <v>2161.9642335624849</v>
      </c>
      <c r="T316" s="96">
        <f t="shared" si="8"/>
        <v>203.55997518065908</v>
      </c>
      <c r="U316" s="96">
        <f t="shared" si="9"/>
        <v>-320.30864708108936</v>
      </c>
      <c r="V316" s="96">
        <f>((Tableau!$G$16-P316)/(AC316^2+Tableau!$G$21^2)^(3/2))*Tableau!$G$20</f>
        <v>106.94891454508118</v>
      </c>
      <c r="W316" s="96">
        <f>((Tableau!$H$16-Q316)/(AC316^2+Tableau!$G$21^2)^(3/2))*Tableau!$G$20</f>
        <v>-73.964035737980993</v>
      </c>
      <c r="X316" s="96">
        <f>((Tableau!$G$25-P316)/(AD316^2+Tableau!$G$30^2)^(3/2))*Tableau!$G$29</f>
        <v>45.111533195847223</v>
      </c>
      <c r="Y316" s="96">
        <f>((Tableau!$H$25-Q316)/(AD316^2+Tableau!$G$30^2)^(3/2))*Tableau!$G$29</f>
        <v>-132.52543048993761</v>
      </c>
      <c r="Z316" s="96">
        <f>((Tableau!$G$35-P316)/(AE316^2+Tableau!$G$40^2)^(3/2))*Tableau!$G$39</f>
        <v>51.499527439730699</v>
      </c>
      <c r="AA316" s="97">
        <f>((Tableau!$H$35-Q316)/(AE316^2+Tableau!$G$40^2)^(3/2))*Tableau!$G$39</f>
        <v>-113.81918085317074</v>
      </c>
      <c r="AC316" s="110">
        <f>SQRT((Tableau!$G$16-P316)^2+(Tableau!$H$16-Q316)^2)</f>
        <v>62254.937982707008</v>
      </c>
      <c r="AD316" s="111">
        <f>SQRT((Tableau!$G$25-P316)^2+(Tableau!$H$25-Q316)^2)</f>
        <v>34765.516697063518</v>
      </c>
      <c r="AE316" s="112">
        <f>SQRT((Tableau!$G$35-P316)^2+(Tableau!$H$35-Q316)^2)</f>
        <v>63563.194541144781</v>
      </c>
    </row>
    <row r="317" spans="2:31" x14ac:dyDescent="0.25">
      <c r="B317" s="18">
        <v>314</v>
      </c>
      <c r="C317" s="19">
        <f>Tableau!$G$17*COS(B317*PI()/180)+Tableau!$G$16</f>
        <v>23473.291852294984</v>
      </c>
      <c r="D317" s="19">
        <f>Tableau!$G$17*SIN(B317*PI()/180)+Tableau!$H$16</f>
        <v>3903.3009983067413</v>
      </c>
      <c r="F317" s="26">
        <v>314</v>
      </c>
      <c r="G317" s="27">
        <f>Tableau!$G$26*COS(F317*PI()/180)+Tableau!$G$25</f>
        <v>-17568.69570339351</v>
      </c>
      <c r="H317" s="27">
        <f>Tableau!$G$26*SIN(F317*PI()/180)+Tableau!$H$25</f>
        <v>7482.3106988147192</v>
      </c>
      <c r="J317" s="34">
        <v>314</v>
      </c>
      <c r="K317" s="35">
        <f>Tableau!$G$36*COS(J317*PI()/180)+Tableau!$G$35</f>
        <v>-1526.7081477050169</v>
      </c>
      <c r="L317" s="35">
        <f>Tableau!$G$36*SIN(J317*PI()/180)+Tableau!$H$35</f>
        <v>-18596.699001693258</v>
      </c>
      <c r="N317" s="98">
        <v>313</v>
      </c>
      <c r="O317" s="99">
        <v>156.5</v>
      </c>
      <c r="P317" s="101">
        <f>P316+R316*Tableau!$G$2+((1/2)*T316)*Tableau!$G$2^2</f>
        <v>-33009.569006292375</v>
      </c>
      <c r="Q317" s="101">
        <f>Q316+S316*Tableau!$G$2+((1/2)*U316)*Tableau!$G$2^2</f>
        <v>43951.982331849969</v>
      </c>
      <c r="R317" s="101">
        <f>R316+T316*Tableau!$G$2</f>
        <v>-3562.4740678614894</v>
      </c>
      <c r="S317" s="101">
        <f>S316+U316*Tableau!$G$2</f>
        <v>2001.8099100219401</v>
      </c>
      <c r="T317" s="101">
        <f t="shared" si="8"/>
        <v>197.54648524339234</v>
      </c>
      <c r="U317" s="101">
        <f t="shared" si="9"/>
        <v>-296.50169649089543</v>
      </c>
      <c r="V317" s="101">
        <f>((Tableau!$G$16-P317)/(AC317^2+Tableau!$G$21^2)^(3/2))*Tableau!$G$20</f>
        <v>100.5760177327525</v>
      </c>
      <c r="W317" s="101">
        <f>((Tableau!$H$16-Q317)/(AC317^2+Tableau!$G$21^2)^(3/2))*Tableau!$G$20</f>
        <v>-69.161007910985589</v>
      </c>
      <c r="X317" s="101">
        <f>((Tableau!$G$25-P317)/(AD317^2+Tableau!$G$30^2)^(3/2))*Tableau!$G$29</f>
        <v>46.026306609304854</v>
      </c>
      <c r="Y317" s="101">
        <f>((Tableau!$H$25-Q317)/(AD317^2+Tableau!$G$30^2)^(3/2))*Tableau!$G$29</f>
        <v>-120.11807217007724</v>
      </c>
      <c r="Z317" s="101">
        <f>((Tableau!$G$35-P317)/(AE317^2+Tableau!$G$40^2)^(3/2))*Tableau!$G$39</f>
        <v>50.944160901334996</v>
      </c>
      <c r="AA317" s="102">
        <f>((Tableau!$H$35-Q317)/(AE317^2+Tableau!$G$40^2)^(3/2))*Tableau!$G$39</f>
        <v>-107.22261640983258</v>
      </c>
      <c r="AC317" s="113">
        <f>SQRT((Tableau!$G$16-P317)^2+(Tableau!$H$16-Q317)^2)</f>
        <v>64333.206216963685</v>
      </c>
      <c r="AD317" s="114">
        <f>SQRT((Tableau!$G$25-P317)^2+(Tableau!$H$25-Q317)^2)</f>
        <v>36359.12526439182</v>
      </c>
      <c r="AE317" s="115">
        <f>SQRT((Tableau!$G$35-P317)^2+(Tableau!$H$35-Q317)^2)</f>
        <v>65267.696272911344</v>
      </c>
    </row>
    <row r="318" spans="2:31" x14ac:dyDescent="0.25">
      <c r="B318" s="20">
        <v>315</v>
      </c>
      <c r="C318" s="21">
        <f>Tableau!$G$17*COS(B318*PI()/180)+Tableau!$G$16</f>
        <v>23535.533905932738</v>
      </c>
      <c r="D318" s="21">
        <f>Tableau!$G$17*SIN(B318*PI()/180)+Tableau!$H$16</f>
        <v>3964.4660940672616</v>
      </c>
      <c r="F318" s="28">
        <v>315</v>
      </c>
      <c r="G318" s="29">
        <f>Tableau!$G$26*COS(F318*PI()/180)+Tableau!$G$25</f>
        <v>-17525.126265847084</v>
      </c>
      <c r="H318" s="29">
        <f>Tableau!$G$26*SIN(F318*PI()/180)+Tableau!$H$25</f>
        <v>7525.1262658470832</v>
      </c>
      <c r="J318" s="36">
        <v>315</v>
      </c>
      <c r="K318" s="37">
        <f>Tableau!$G$36*COS(J318*PI()/180)+Tableau!$G$35</f>
        <v>-1464.4660940672634</v>
      </c>
      <c r="L318" s="37">
        <f>Tableau!$G$36*SIN(J318*PI()/180)+Tableau!$H$35</f>
        <v>-18535.533905932738</v>
      </c>
      <c r="N318" s="92">
        <v>314</v>
      </c>
      <c r="O318" s="93">
        <v>157</v>
      </c>
      <c r="P318" s="96">
        <f>P317+R317*Tableau!$G$2+((1/2)*T317)*Tableau!$G$2^2</f>
        <v>-34766.1127295677</v>
      </c>
      <c r="Q318" s="96">
        <f>Q317+S317*Tableau!$G$2+((1/2)*U317)*Tableau!$G$2^2</f>
        <v>44915.824574799575</v>
      </c>
      <c r="R318" s="96">
        <f>R317+T317*Tableau!$G$2</f>
        <v>-3463.7008252397932</v>
      </c>
      <c r="S318" s="96">
        <f>S317+U317*Tableau!$G$2</f>
        <v>1853.5590617764924</v>
      </c>
      <c r="T318" s="96">
        <f t="shared" si="8"/>
        <v>191.65391632592969</v>
      </c>
      <c r="U318" s="96">
        <f t="shared" si="9"/>
        <v>-275.71483348708915</v>
      </c>
      <c r="V318" s="96">
        <f>((Tableau!$G$16-P318)/(AC318^2+Tableau!$G$21^2)^(3/2))*Tableau!$G$20</f>
        <v>95.016122882675759</v>
      </c>
      <c r="W318" s="96">
        <f>((Tableau!$H$16-Q318)/(AC318^2+Tableau!$G$21^2)^(3/2))*Tableau!$G$20</f>
        <v>-64.914349556097449</v>
      </c>
      <c r="X318" s="96">
        <f>((Tableau!$G$25-P318)/(AD318^2+Tableau!$G$30^2)^(3/2))*Tableau!$G$29</f>
        <v>46.287495845927175</v>
      </c>
      <c r="Y318" s="96">
        <f>((Tableau!$H$25-Q318)/(AD318^2+Tableau!$G$30^2)^(3/2))*Tableau!$G$29</f>
        <v>-109.45101900291891</v>
      </c>
      <c r="Z318" s="96">
        <f>((Tableau!$G$35-P318)/(AE318^2+Tableau!$G$40^2)^(3/2))*Tableau!$G$39</f>
        <v>50.350297597326758</v>
      </c>
      <c r="AA318" s="97">
        <f>((Tableau!$H$35-Q318)/(AE318^2+Tableau!$G$40^2)^(3/2))*Tableau!$G$39</f>
        <v>-101.34946492807279</v>
      </c>
      <c r="AC318" s="110">
        <f>SQRT((Tableau!$G$16-P318)^2+(Tableau!$H$16-Q318)^2)</f>
        <v>66327.000777359848</v>
      </c>
      <c r="AD318" s="111">
        <f>SQRT((Tableau!$G$25-P318)^2+(Tableau!$H$25-Q318)^2)</f>
        <v>37909.799404381964</v>
      </c>
      <c r="AE318" s="112">
        <f>SQRT((Tableau!$G$35-P318)^2+(Tableau!$H$35-Q318)^2)</f>
        <v>66902.372913877203</v>
      </c>
    </row>
    <row r="319" spans="2:31" x14ac:dyDescent="0.25">
      <c r="B319" s="18">
        <v>316</v>
      </c>
      <c r="C319" s="19">
        <f>Tableau!$G$17*COS(B319*PI()/180)+Tableau!$G$16</f>
        <v>23596.699001693254</v>
      </c>
      <c r="D319" s="19">
        <f>Tableau!$G$17*SIN(B319*PI()/180)+Tableau!$H$16</f>
        <v>4026.7081477050119</v>
      </c>
      <c r="F319" s="26">
        <v>316</v>
      </c>
      <c r="G319" s="27">
        <f>Tableau!$G$26*COS(F319*PI()/180)+Tableau!$G$25</f>
        <v>-17482.310698814723</v>
      </c>
      <c r="H319" s="27">
        <f>Tableau!$G$26*SIN(F319*PI()/180)+Tableau!$H$25</f>
        <v>7568.6957033935087</v>
      </c>
      <c r="J319" s="34">
        <v>316</v>
      </c>
      <c r="K319" s="35">
        <f>Tableau!$G$36*COS(J319*PI()/180)+Tableau!$G$35</f>
        <v>-1403.3009983067459</v>
      </c>
      <c r="L319" s="35">
        <f>Tableau!$G$36*SIN(J319*PI()/180)+Tableau!$H$35</f>
        <v>-18473.291852294988</v>
      </c>
      <c r="N319" s="98">
        <v>315</v>
      </c>
      <c r="O319" s="99">
        <v>157.5</v>
      </c>
      <c r="P319" s="101">
        <f>P318+R318*Tableau!$G$2+((1/2)*T318)*Tableau!$G$2^2</f>
        <v>-36474.006402646854</v>
      </c>
      <c r="Q319" s="101">
        <f>Q318+S318*Tableau!$G$2+((1/2)*U318)*Tableau!$G$2^2</f>
        <v>45808.139751501934</v>
      </c>
      <c r="R319" s="101">
        <f>R318+T318*Tableau!$G$2</f>
        <v>-3367.8738670768284</v>
      </c>
      <c r="S319" s="101">
        <f>S318+U318*Tableau!$G$2</f>
        <v>1715.7016450329479</v>
      </c>
      <c r="T319" s="101">
        <f t="shared" si="8"/>
        <v>185.98375566857351</v>
      </c>
      <c r="U319" s="101">
        <f t="shared" si="9"/>
        <v>-257.46983537957448</v>
      </c>
      <c r="V319" s="101">
        <f>((Tableau!$G$16-P319)/(AC319^2+Tableau!$G$21^2)^(3/2))*Tableau!$G$20</f>
        <v>90.130377420828168</v>
      </c>
      <c r="W319" s="101">
        <f>((Tableau!$H$16-Q319)/(AC319^2+Tableau!$G$21^2)^(3/2))*Tableau!$G$20</f>
        <v>-61.138341584543156</v>
      </c>
      <c r="X319" s="101">
        <f>((Tableau!$G$25-P319)/(AD319^2+Tableau!$G$30^2)^(3/2))*Tableau!$G$29</f>
        <v>46.115599536919532</v>
      </c>
      <c r="Y319" s="101">
        <f>((Tableau!$H$25-Q319)/(AD319^2+Tableau!$G$30^2)^(3/2))*Tableau!$G$29</f>
        <v>-100.23753740177</v>
      </c>
      <c r="Z319" s="101">
        <f>((Tableau!$G$35-P319)/(AE319^2+Tableau!$G$40^2)^(3/2))*Tableau!$G$39</f>
        <v>49.737778710825808</v>
      </c>
      <c r="AA319" s="102">
        <f>((Tableau!$H$35-Q319)/(AE319^2+Tableau!$G$40^2)^(3/2))*Tableau!$G$39</f>
        <v>-96.093956393261308</v>
      </c>
      <c r="AC319" s="113">
        <f>SQRT((Tableau!$G$16-P319)^2+(Tableau!$H$16-Q319)^2)</f>
        <v>68240.947900705491</v>
      </c>
      <c r="AD319" s="114">
        <f>SQRT((Tableau!$G$25-P319)^2+(Tableau!$H$25-Q319)^2)</f>
        <v>39415.932811713872</v>
      </c>
      <c r="AE319" s="115">
        <f>SQRT((Tableau!$G$35-P319)^2+(Tableau!$H$35-Q319)^2)</f>
        <v>68470.745133027769</v>
      </c>
    </row>
    <row r="320" spans="2:31" x14ac:dyDescent="0.25">
      <c r="B320" s="20">
        <v>317</v>
      </c>
      <c r="C320" s="21">
        <f>Tableau!$G$17*COS(B320*PI()/180)+Tableau!$G$16</f>
        <v>23656.768508095854</v>
      </c>
      <c r="D320" s="21">
        <f>Tableau!$G$17*SIN(B320*PI()/180)+Tableau!$H$16</f>
        <v>4090.0081996875087</v>
      </c>
      <c r="F320" s="28">
        <v>317</v>
      </c>
      <c r="G320" s="29">
        <f>Tableau!$G$26*COS(F320*PI()/180)+Tableau!$G$25</f>
        <v>-17440.262044332903</v>
      </c>
      <c r="H320" s="29">
        <f>Tableau!$G$26*SIN(F320*PI()/180)+Tableau!$H$25</f>
        <v>7613.0057397812561</v>
      </c>
      <c r="J320" s="36">
        <v>317</v>
      </c>
      <c r="K320" s="37">
        <f>Tableau!$G$36*COS(J320*PI()/180)+Tableau!$G$35</f>
        <v>-1343.2314919041464</v>
      </c>
      <c r="L320" s="37">
        <f>Tableau!$G$36*SIN(J320*PI()/180)+Tableau!$H$35</f>
        <v>-18409.991800312491</v>
      </c>
      <c r="N320" s="92">
        <v>316</v>
      </c>
      <c r="O320" s="93">
        <v>158</v>
      </c>
      <c r="P320" s="96">
        <f>P319+R319*Tableau!$G$2+((1/2)*T319)*Tableau!$G$2^2</f>
        <v>-38134.695366726693</v>
      </c>
      <c r="Q320" s="96">
        <f>Q319+S319*Tableau!$G$2+((1/2)*U319)*Tableau!$G$2^2</f>
        <v>46633.806844595965</v>
      </c>
      <c r="R320" s="96">
        <f>R319+T319*Tableau!$G$2</f>
        <v>-3274.8819892425417</v>
      </c>
      <c r="S320" s="96">
        <f>S319+U319*Tableau!$G$2</f>
        <v>1586.9667273431608</v>
      </c>
      <c r="T320" s="96">
        <f t="shared" si="8"/>
        <v>180.59132944107324</v>
      </c>
      <c r="U320" s="96">
        <f t="shared" si="9"/>
        <v>-241.37264078012922</v>
      </c>
      <c r="V320" s="96">
        <f>((Tableau!$G$16-P320)/(AC320^2+Tableau!$G$21^2)^(3/2))*Tableau!$G$20</f>
        <v>85.809372376042617</v>
      </c>
      <c r="W320" s="96">
        <f>((Tableau!$H$16-Q320)/(AC320^2+Tableau!$G$21^2)^(3/2))*Tableau!$G$20</f>
        <v>-57.763223542098999</v>
      </c>
      <c r="X320" s="96">
        <f>((Tableau!$G$25-P320)/(AD320^2+Tableau!$G$30^2)^(3/2))*Tableau!$G$29</f>
        <v>45.66117504516982</v>
      </c>
      <c r="Y320" s="96">
        <f>((Tableau!$H$25-Q320)/(AD320^2+Tableau!$G$30^2)^(3/2))*Tableau!$G$29</f>
        <v>-92.239909911647231</v>
      </c>
      <c r="Z320" s="96">
        <f>((Tableau!$G$35-P320)/(AE320^2+Tableau!$G$40^2)^(3/2))*Tableau!$G$39</f>
        <v>49.120782019860812</v>
      </c>
      <c r="AA320" s="97">
        <f>((Tableau!$H$35-Q320)/(AE320^2+Tableau!$G$40^2)^(3/2))*Tableau!$G$39</f>
        <v>-91.369507326383001</v>
      </c>
      <c r="AC320" s="110">
        <f>SQRT((Tableau!$G$16-P320)^2+(Tableau!$H$16-Q320)^2)</f>
        <v>70079.224050586199</v>
      </c>
      <c r="AD320" s="111">
        <f>SQRT((Tableau!$G$25-P320)^2+(Tableau!$H$25-Q320)^2)</f>
        <v>40876.680148602391</v>
      </c>
      <c r="AE320" s="112">
        <f>SQRT((Tableau!$G$35-P320)^2+(Tableau!$H$35-Q320)^2)</f>
        <v>69975.954321486352</v>
      </c>
    </row>
    <row r="321" spans="2:31" x14ac:dyDescent="0.25">
      <c r="B321" s="18">
        <v>318</v>
      </c>
      <c r="C321" s="19">
        <f>Tableau!$G$17*COS(B321*PI()/180)+Tableau!$G$16</f>
        <v>23715.724127386973</v>
      </c>
      <c r="D321" s="19">
        <f>Tableau!$G$17*SIN(B321*PI()/180)+Tableau!$H$16</f>
        <v>4154.3469682057093</v>
      </c>
      <c r="F321" s="26">
        <v>318</v>
      </c>
      <c r="G321" s="27">
        <f>Tableau!$G$26*COS(F321*PI()/180)+Tableau!$G$25</f>
        <v>-17398.99311082912</v>
      </c>
      <c r="H321" s="27">
        <f>Tableau!$G$26*SIN(F321*PI()/180)+Tableau!$H$25</f>
        <v>7658.0428777439965</v>
      </c>
      <c r="J321" s="34">
        <v>318</v>
      </c>
      <c r="K321" s="35">
        <f>Tableau!$G$36*COS(J321*PI()/180)+Tableau!$G$35</f>
        <v>-1284.2758726130287</v>
      </c>
      <c r="L321" s="35">
        <f>Tableau!$G$36*SIN(J321*PI()/180)+Tableau!$H$35</f>
        <v>-18345.653031794289</v>
      </c>
      <c r="N321" s="98">
        <v>317</v>
      </c>
      <c r="O321" s="99">
        <v>158.5</v>
      </c>
      <c r="P321" s="101">
        <f>P320+R320*Tableau!$G$2+((1/2)*T320)*Tableau!$G$2^2</f>
        <v>-39749.56244516783</v>
      </c>
      <c r="Q321" s="101">
        <f>Q320+S320*Tableau!$G$2+((1/2)*U320)*Tableau!$G$2^2</f>
        <v>47397.118628170028</v>
      </c>
      <c r="R321" s="101">
        <f>R320+T320*Tableau!$G$2</f>
        <v>-3184.5863245220053</v>
      </c>
      <c r="S321" s="101">
        <f>S320+U320*Tableau!$G$2</f>
        <v>1466.2804069530962</v>
      </c>
      <c r="T321" s="101">
        <f t="shared" si="8"/>
        <v>175.50275018246771</v>
      </c>
      <c r="U321" s="101">
        <f t="shared" si="9"/>
        <v>-227.09896352903755</v>
      </c>
      <c r="V321" s="101">
        <f>((Tableau!$G$16-P321)/(AC321^2+Tableau!$G$21^2)^(3/2))*Tableau!$G$20</f>
        <v>81.965869283098442</v>
      </c>
      <c r="W321" s="101">
        <f>((Tableau!$H$16-Q321)/(AC321^2+Tableau!$G$21^2)^(3/2))*Tableau!$G$20</f>
        <v>-54.731815203666478</v>
      </c>
      <c r="X321" s="101">
        <f>((Tableau!$G$25-P321)/(AD321^2+Tableau!$G$30^2)^(3/2))*Tableau!$G$29</f>
        <v>45.027454832349441</v>
      </c>
      <c r="Y321" s="101">
        <f>((Tableau!$H$25-Q321)/(AD321^2+Tableau!$G$30^2)^(3/2))*Tableau!$G$29</f>
        <v>-85.262500096651138</v>
      </c>
      <c r="Z321" s="101">
        <f>((Tableau!$G$35-P321)/(AE321^2+Tableau!$G$40^2)^(3/2))*Tableau!$G$39</f>
        <v>48.509426067019845</v>
      </c>
      <c r="AA321" s="102">
        <f>((Tableau!$H$35-Q321)/(AE321^2+Tableau!$G$40^2)^(3/2))*Tableau!$G$39</f>
        <v>-87.104648228719924</v>
      </c>
      <c r="AC321" s="113">
        <f>SQRT((Tableau!$G$16-P321)^2+(Tableau!$H$16-Q321)^2)</f>
        <v>71845.600333070382</v>
      </c>
      <c r="AD321" s="114">
        <f>SQRT((Tableau!$G$25-P321)^2+(Tableau!$H$25-Q321)^2)</f>
        <v>42291.721393967935</v>
      </c>
      <c r="AE321" s="115">
        <f>SQRT((Tableau!$G$35-P321)^2+(Tableau!$H$35-Q321)^2)</f>
        <v>71420.812815512967</v>
      </c>
    </row>
    <row r="322" spans="2:31" x14ac:dyDescent="0.25">
      <c r="B322" s="20">
        <v>319</v>
      </c>
      <c r="C322" s="21">
        <f>Tableau!$G$17*COS(B322*PI()/180)+Tableau!$G$16</f>
        <v>23773.54790111386</v>
      </c>
      <c r="D322" s="21">
        <f>Tableau!$G$17*SIN(B322*PI()/180)+Tableau!$H$16</f>
        <v>4219.7048550474628</v>
      </c>
      <c r="F322" s="28">
        <v>319</v>
      </c>
      <c r="G322" s="29">
        <f>Tableau!$G$26*COS(F322*PI()/180)+Tableau!$G$25</f>
        <v>-17358.5164692203</v>
      </c>
      <c r="H322" s="29">
        <f>Tableau!$G$26*SIN(F322*PI()/180)+Tableau!$H$25</f>
        <v>7703.7933985332238</v>
      </c>
      <c r="J322" s="36">
        <v>319</v>
      </c>
      <c r="K322" s="37">
        <f>Tableau!$G$36*COS(J322*PI()/180)+Tableau!$G$35</f>
        <v>-1226.4520988861404</v>
      </c>
      <c r="L322" s="37">
        <f>Tableau!$G$36*SIN(J322*PI()/180)+Tableau!$H$35</f>
        <v>-18280.295144952535</v>
      </c>
      <c r="N322" s="92">
        <v>318</v>
      </c>
      <c r="O322" s="93">
        <v>159</v>
      </c>
      <c r="P322" s="96">
        <f>P321+R321*Tableau!$G$2+((1/2)*T321)*Tableau!$G$2^2</f>
        <v>-41319.917763656027</v>
      </c>
      <c r="Q322" s="96">
        <f>Q321+S321*Tableau!$G$2+((1/2)*U321)*Tableau!$G$2^2</f>
        <v>48101.871461205446</v>
      </c>
      <c r="R322" s="96">
        <f>R321+T321*Tableau!$G$2</f>
        <v>-3096.8349494307713</v>
      </c>
      <c r="S322" s="96">
        <f>S321+U321*Tableau!$G$2</f>
        <v>1352.7309251885774</v>
      </c>
      <c r="T322" s="96">
        <f t="shared" si="8"/>
        <v>170.72588856623005</v>
      </c>
      <c r="U322" s="96">
        <f t="shared" si="9"/>
        <v>-214.38153270477414</v>
      </c>
      <c r="V322" s="96">
        <f>((Tableau!$G$16-P322)/(AC322^2+Tableau!$G$21^2)^(3/2))*Tableau!$G$20</f>
        <v>78.529547109604181</v>
      </c>
      <c r="W322" s="96">
        <f>((Tableau!$H$16-Q322)/(AC322^2+Tableau!$G$21^2)^(3/2))*Tableau!$G$20</f>
        <v>-51.996915422163219</v>
      </c>
      <c r="X322" s="96">
        <f>((Tableau!$G$25-P322)/(AD322^2+Tableau!$G$30^2)^(3/2))*Tableau!$G$29</f>
        <v>44.285443496664577</v>
      </c>
      <c r="Y322" s="96">
        <f>((Tableau!$H$25-Q322)/(AD322^2+Tableau!$G$30^2)^(3/2))*Tableau!$G$29</f>
        <v>-79.144689694292481</v>
      </c>
      <c r="Z322" s="96">
        <f>((Tableau!$G$35-P322)/(AE322^2+Tableau!$G$40^2)^(3/2))*Tableau!$G$39</f>
        <v>47.910897959961297</v>
      </c>
      <c r="AA322" s="97">
        <f>((Tableau!$H$35-Q322)/(AE322^2+Tableau!$G$40^2)^(3/2))*Tableau!$G$39</f>
        <v>-83.239927588318437</v>
      </c>
      <c r="AC322" s="110">
        <f>SQRT((Tableau!$G$16-P322)^2+(Tableau!$H$16-Q322)^2)</f>
        <v>73543.485644166925</v>
      </c>
      <c r="AD322" s="111">
        <f>SQRT((Tableau!$G$25-P322)^2+(Tableau!$H$25-Q322)^2)</f>
        <v>43661.09827174848</v>
      </c>
      <c r="AE322" s="112">
        <f>SQRT((Tableau!$G$35-P322)^2+(Tableau!$H$35-Q322)^2)</f>
        <v>72807.847161313795</v>
      </c>
    </row>
    <row r="323" spans="2:31" x14ac:dyDescent="0.25">
      <c r="B323" s="18">
        <v>320</v>
      </c>
      <c r="C323" s="19">
        <f>Tableau!$G$17*COS(B323*PI()/180)+Tableau!$G$16</f>
        <v>23830.222215594888</v>
      </c>
      <c r="D323" s="19">
        <f>Tableau!$G$17*SIN(B323*PI()/180)+Tableau!$H$16</f>
        <v>4286.0619515673025</v>
      </c>
      <c r="F323" s="26">
        <v>320</v>
      </c>
      <c r="G323" s="27">
        <f>Tableau!$G$26*COS(F323*PI()/180)+Tableau!$G$25</f>
        <v>-17318.844449083579</v>
      </c>
      <c r="H323" s="27">
        <f>Tableau!$G$26*SIN(F323*PI()/180)+Tableau!$H$25</f>
        <v>7750.243366097111</v>
      </c>
      <c r="J323" s="34">
        <v>320</v>
      </c>
      <c r="K323" s="35">
        <f>Tableau!$G$36*COS(J323*PI()/180)+Tableau!$G$35</f>
        <v>-1169.7777844051111</v>
      </c>
      <c r="L323" s="35">
        <f>Tableau!$G$36*SIN(J323*PI()/180)+Tableau!$H$35</f>
        <v>-18213.938048432698</v>
      </c>
      <c r="N323" s="98">
        <v>319</v>
      </c>
      <c r="O323" s="99">
        <v>159.5</v>
      </c>
      <c r="P323" s="101">
        <f>P322+R322*Tableau!$G$2+((1/2)*T322)*Tableau!$G$2^2</f>
        <v>-42846.994502300637</v>
      </c>
      <c r="Q323" s="101">
        <f>Q322+S322*Tableau!$G$2+((1/2)*U322)*Tableau!$G$2^2</f>
        <v>48751.43923221164</v>
      </c>
      <c r="R323" s="101">
        <f>R322+T322*Tableau!$G$2</f>
        <v>-3011.4720051476561</v>
      </c>
      <c r="S323" s="101">
        <f>S322+U322*Tableau!$G$2</f>
        <v>1245.5401588361904</v>
      </c>
      <c r="T323" s="101">
        <f t="shared" si="8"/>
        <v>166.25745758711358</v>
      </c>
      <c r="U323" s="101">
        <f t="shared" si="9"/>
        <v>-202.99936242779063</v>
      </c>
      <c r="V323" s="101">
        <f>((Tableau!$G$16-P323)/(AC323^2+Tableau!$G$21^2)^(3/2))*Tableau!$G$20</f>
        <v>75.443153964045422</v>
      </c>
      <c r="W323" s="101">
        <f>((Tableau!$H$16-Q323)/(AC323^2+Tableau!$G$21^2)^(3/2))*Tableau!$G$20</f>
        <v>-49.519292145629656</v>
      </c>
      <c r="X323" s="101">
        <f>((Tableau!$G$25-P323)/(AD323^2+Tableau!$G$30^2)^(3/2))*Tableau!$G$29</f>
        <v>43.484048527383131</v>
      </c>
      <c r="Y323" s="101">
        <f>((Tableau!$H$25-Q323)/(AD323^2+Tableau!$G$30^2)^(3/2))*Tableau!$G$29</f>
        <v>-73.754535368306179</v>
      </c>
      <c r="Z323" s="101">
        <f>((Tableau!$G$35-P323)/(AE323^2+Tableau!$G$40^2)^(3/2))*Tableau!$G$39</f>
        <v>47.33025509568504</v>
      </c>
      <c r="AA323" s="102">
        <f>((Tableau!$H$35-Q323)/(AE323^2+Tableau!$G$40^2)^(3/2))*Tableau!$G$39</f>
        <v>-79.725534913854801</v>
      </c>
      <c r="AC323" s="113">
        <f>SQRT((Tableau!$G$16-P323)^2+(Tableau!$H$16-Q323)^2)</f>
        <v>75175.966616339938</v>
      </c>
      <c r="AD323" s="114">
        <f>SQRT((Tableau!$G$25-P323)^2+(Tableau!$H$25-Q323)^2)</f>
        <v>44985.099759319717</v>
      </c>
      <c r="AE323" s="115">
        <f>SQRT((Tableau!$G$35-P323)^2+(Tableau!$H$35-Q323)^2)</f>
        <v>74139.335018838334</v>
      </c>
    </row>
    <row r="324" spans="2:31" x14ac:dyDescent="0.25">
      <c r="B324" s="20">
        <v>321</v>
      </c>
      <c r="C324" s="21">
        <f>Tableau!$G$17*COS(B324*PI()/180)+Tableau!$G$16</f>
        <v>23885.729807284853</v>
      </c>
      <c r="D324" s="21">
        <f>Tableau!$G$17*SIN(B324*PI()/180)+Tableau!$H$16</f>
        <v>4353.3980447508111</v>
      </c>
      <c r="F324" s="28">
        <v>321</v>
      </c>
      <c r="G324" s="29">
        <f>Tableau!$G$26*COS(F324*PI()/180)+Tableau!$G$25</f>
        <v>-17279.989134900603</v>
      </c>
      <c r="H324" s="29">
        <f>Tableau!$G$26*SIN(F324*PI()/180)+Tableau!$H$25</f>
        <v>7797.3786313255678</v>
      </c>
      <c r="J324" s="36">
        <v>321</v>
      </c>
      <c r="K324" s="37">
        <f>Tableau!$G$36*COS(J324*PI()/180)+Tableau!$G$35</f>
        <v>-1114.270192715147</v>
      </c>
      <c r="L324" s="37">
        <f>Tableau!$G$36*SIN(J324*PI()/180)+Tableau!$H$35</f>
        <v>-18146.601955249189</v>
      </c>
      <c r="N324" s="92">
        <v>320</v>
      </c>
      <c r="O324" s="93">
        <v>160</v>
      </c>
      <c r="P324" s="96">
        <f>P323+R323*Tableau!$G$2+((1/2)*T323)*Tableau!$G$2^2</f>
        <v>-44331.948322676079</v>
      </c>
      <c r="Q324" s="96">
        <f>Q323+S323*Tableau!$G$2+((1/2)*U323)*Tableau!$G$2^2</f>
        <v>49348.834391326258</v>
      </c>
      <c r="R324" s="96">
        <f>R323+T323*Tableau!$G$2</f>
        <v>-2928.3432763540991</v>
      </c>
      <c r="S324" s="96">
        <f>S323+U323*Tableau!$G$2</f>
        <v>1144.0404776222949</v>
      </c>
      <c r="T324" s="96">
        <f t="shared" ref="T324:T387" si="10">V324+X324+Z324</f>
        <v>162.0875765233406</v>
      </c>
      <c r="U324" s="96">
        <f t="shared" ref="U324:U387" si="11">W324+Y324+AA324</f>
        <v>-192.76897040631087</v>
      </c>
      <c r="V324" s="96">
        <f>((Tableau!$G$16-P324)/(AC324^2+Tableau!$G$21^2)^(3/2))*Tableau!$G$20</f>
        <v>72.659650169680617</v>
      </c>
      <c r="W324" s="96">
        <f>((Tableau!$H$16-Q324)/(AC324^2+Tableau!$G$21^2)^(3/2))*Tableau!$G$20</f>
        <v>-47.266121206698401</v>
      </c>
      <c r="X324" s="96">
        <f>((Tableau!$G$25-P324)/(AD324^2+Tableau!$G$30^2)^(3/2))*Tableau!$G$29</f>
        <v>42.656925589352802</v>
      </c>
      <c r="Y324" s="96">
        <f>((Tableau!$H$25-Q324)/(AD324^2+Tableau!$G$30^2)^(3/2))*Tableau!$G$29</f>
        <v>-68.983390824248048</v>
      </c>
      <c r="Z324" s="96">
        <f>((Tableau!$G$35-P324)/(AE324^2+Tableau!$G$40^2)^(3/2))*Tableau!$G$39</f>
        <v>46.771000764307189</v>
      </c>
      <c r="AA324" s="97">
        <f>((Tableau!$H$35-Q324)/(AE324^2+Tableau!$G$40^2)^(3/2))*Tableau!$G$39</f>
        <v>-76.519458375364422</v>
      </c>
      <c r="AC324" s="110">
        <f>SQRT((Tableau!$G$16-P324)^2+(Tableau!$H$16-Q324)^2)</f>
        <v>76745.843632760443</v>
      </c>
      <c r="AD324" s="111">
        <f>SQRT((Tableau!$G$25-P324)^2+(Tableau!$H$25-Q324)^2)</f>
        <v>46264.181362403891</v>
      </c>
      <c r="AE324" s="112">
        <f>SQRT((Tableau!$G$35-P324)^2+(Tableau!$H$35-Q324)^2)</f>
        <v>75417.336510778434</v>
      </c>
    </row>
    <row r="325" spans="2:31" x14ac:dyDescent="0.25">
      <c r="B325" s="18">
        <v>322</v>
      </c>
      <c r="C325" s="19">
        <f>Tableau!$G$17*COS(B325*PI()/180)+Tableau!$G$16</f>
        <v>23940.053768033609</v>
      </c>
      <c r="D325" s="19">
        <f>Tableau!$G$17*SIN(B325*PI()/180)+Tableau!$H$16</f>
        <v>4421.6926233717058</v>
      </c>
      <c r="F325" s="26">
        <v>322</v>
      </c>
      <c r="G325" s="27">
        <f>Tableau!$G$26*COS(F325*PI()/180)+Tableau!$G$25</f>
        <v>-17241.962362376475</v>
      </c>
      <c r="H325" s="27">
        <f>Tableau!$G$26*SIN(F325*PI()/180)+Tableau!$H$25</f>
        <v>7845.1848363601939</v>
      </c>
      <c r="J325" s="34">
        <v>322</v>
      </c>
      <c r="K325" s="35">
        <f>Tableau!$G$36*COS(J325*PI()/180)+Tableau!$G$35</f>
        <v>-1059.9462319663921</v>
      </c>
      <c r="L325" s="35">
        <f>Tableau!$G$36*SIN(J325*PI()/180)+Tableau!$H$35</f>
        <v>-18078.307376628294</v>
      </c>
      <c r="N325" s="98">
        <v>321</v>
      </c>
      <c r="O325" s="99">
        <v>160.5</v>
      </c>
      <c r="P325" s="101">
        <f>P324+R324*Tableau!$G$2+((1/2)*T324)*Tableau!$G$2^2</f>
        <v>-45775.859013787711</v>
      </c>
      <c r="Q325" s="101">
        <f>Q324+S324*Tableau!$G$2+((1/2)*U324)*Tableau!$G$2^2</f>
        <v>49896.758508836618</v>
      </c>
      <c r="R325" s="101">
        <f>R324+T324*Tableau!$G$2</f>
        <v>-2847.2994880924289</v>
      </c>
      <c r="S325" s="101">
        <f>S324+U324*Tableau!$G$2</f>
        <v>1047.6559924191395</v>
      </c>
      <c r="T325" s="101">
        <f t="shared" si="10"/>
        <v>158.2027012931712</v>
      </c>
      <c r="U325" s="101">
        <f t="shared" si="11"/>
        <v>-183.53729097098741</v>
      </c>
      <c r="V325" s="101">
        <f>((Tableau!$G$16-P325)/(AC325^2+Tableau!$G$21^2)^(3/2))*Tableau!$G$20</f>
        <v>70.140060781777507</v>
      </c>
      <c r="W325" s="101">
        <f>((Tableau!$H$16-Q325)/(AC325^2+Tableau!$G$21^2)^(3/2))*Tableau!$G$20</f>
        <v>-45.209766369403155</v>
      </c>
      <c r="X325" s="101">
        <f>((Tableau!$G$25-P325)/(AD325^2+Tableau!$G$30^2)^(3/2))*Tableau!$G$29</f>
        <v>41.827139431413727</v>
      </c>
      <c r="Y325" s="101">
        <f>((Tableau!$H$25-Q325)/(AD325^2+Tableau!$G$30^2)^(3/2))*Tableau!$G$29</f>
        <v>-64.741480783158948</v>
      </c>
      <c r="Z325" s="101">
        <f>((Tableau!$G$35-P325)/(AE325^2+Tableau!$G$40^2)^(3/2))*Tableau!$G$39</f>
        <v>46.235501079979976</v>
      </c>
      <c r="AA325" s="102">
        <f>((Tableau!$H$35-Q325)/(AE325^2+Tableau!$G$40^2)^(3/2))*Tableau!$G$39</f>
        <v>-73.58604381842531</v>
      </c>
      <c r="AC325" s="113">
        <f>SQRT((Tableau!$G$16-P325)^2+(Tableau!$H$16-Q325)^2)</f>
        <v>78255.662805053842</v>
      </c>
      <c r="AD325" s="114">
        <f>SQRT((Tableau!$G$25-P325)^2+(Tableau!$H$25-Q325)^2)</f>
        <v>47498.907854929552</v>
      </c>
      <c r="AE325" s="115">
        <f>SQRT((Tableau!$G$35-P325)^2+(Tableau!$H$35-Q325)^2)</f>
        <v>76643.720833911444</v>
      </c>
    </row>
    <row r="326" spans="2:31" x14ac:dyDescent="0.25">
      <c r="B326" s="20">
        <v>323</v>
      </c>
      <c r="C326" s="21">
        <f>Tableau!$G$17*COS(B326*PI()/180)+Tableau!$G$16</f>
        <v>23993.177550236465</v>
      </c>
      <c r="D326" s="21">
        <f>Tableau!$G$17*SIN(B326*PI()/180)+Tableau!$H$16</f>
        <v>4490.9248842397592</v>
      </c>
      <c r="F326" s="28">
        <v>323</v>
      </c>
      <c r="G326" s="29">
        <f>Tableau!$G$26*COS(F326*PI()/180)+Tableau!$G$25</f>
        <v>-17204.775714834475</v>
      </c>
      <c r="H326" s="29">
        <f>Tableau!$G$26*SIN(F326*PI()/180)+Tableau!$H$25</f>
        <v>7893.6474189678311</v>
      </c>
      <c r="J326" s="36">
        <v>323</v>
      </c>
      <c r="K326" s="37">
        <f>Tableau!$G$36*COS(J326*PI()/180)+Tableau!$G$35</f>
        <v>-1006.822449763536</v>
      </c>
      <c r="L326" s="37">
        <f>Tableau!$G$36*SIN(J326*PI()/180)+Tableau!$H$35</f>
        <v>-18009.075115760243</v>
      </c>
      <c r="N326" s="92">
        <v>322</v>
      </c>
      <c r="O326" s="93">
        <v>161</v>
      </c>
      <c r="P326" s="96">
        <f>P325+R325*Tableau!$G$2+((1/2)*T325)*Tableau!$G$2^2</f>
        <v>-47179.733420172277</v>
      </c>
      <c r="Q326" s="96">
        <f>Q325+S325*Tableau!$G$2+((1/2)*U325)*Tableau!$G$2^2</f>
        <v>50397.644343674816</v>
      </c>
      <c r="R326" s="96">
        <f>R325+T325*Tableau!$G$2</f>
        <v>-2768.1981374458433</v>
      </c>
      <c r="S326" s="96">
        <f>S325+U325*Tableau!$G$2</f>
        <v>955.88734693364574</v>
      </c>
      <c r="T326" s="96">
        <f t="shared" si="10"/>
        <v>154.58749442940422</v>
      </c>
      <c r="U326" s="96">
        <f t="shared" si="11"/>
        <v>-175.17599314647947</v>
      </c>
      <c r="V326" s="96">
        <f>((Tableau!$G$16-P326)/(AC326^2+Tableau!$G$21^2)^(3/2))*Tableau!$G$20</f>
        <v>67.851842536384694</v>
      </c>
      <c r="W326" s="96">
        <f>((Tableau!$H$16-Q326)/(AC326^2+Tableau!$G$21^2)^(3/2))*Tableau!$G$20</f>
        <v>-43.326819875633163</v>
      </c>
      <c r="X326" s="96">
        <f>((Tableau!$G$25-P326)/(AD326^2+Tableau!$G$30^2)^(3/2))*Tableau!$G$29</f>
        <v>41.010362532426228</v>
      </c>
      <c r="Y326" s="96">
        <f>((Tableau!$H$25-Q326)/(AD326^2+Tableau!$G$30^2)^(3/2))*Tableau!$G$29</f>
        <v>-60.95431527523867</v>
      </c>
      <c r="Z326" s="96">
        <f>((Tableau!$G$35-P326)/(AE326^2+Tableau!$G$40^2)^(3/2))*Tableau!$G$39</f>
        <v>45.725289360593308</v>
      </c>
      <c r="AA326" s="97">
        <f>((Tableau!$H$35-Q326)/(AE326^2+Tableau!$G$40^2)^(3/2))*Tableau!$G$39</f>
        <v>-70.894857995607637</v>
      </c>
      <c r="AC326" s="110">
        <f>SQRT((Tableau!$G$16-P326)^2+(Tableau!$H$16-Q326)^2)</f>
        <v>79707.744119638883</v>
      </c>
      <c r="AD326" s="111">
        <f>SQRT((Tableau!$G$25-P326)^2+(Tableau!$H$25-Q326)^2)</f>
        <v>48689.912479996012</v>
      </c>
      <c r="AE326" s="112">
        <f>SQRT((Tableau!$G$35-P326)^2+(Tableau!$H$35-Q326)^2)</f>
        <v>77820.188878584595</v>
      </c>
    </row>
    <row r="327" spans="2:31" x14ac:dyDescent="0.25">
      <c r="B327" s="18">
        <v>324</v>
      </c>
      <c r="C327" s="19">
        <f>Tableau!$G$17*COS(B327*PI()/180)+Tableau!$G$16</f>
        <v>24045.084971874738</v>
      </c>
      <c r="D327" s="19">
        <f>Tableau!$G$17*SIN(B327*PI()/180)+Tableau!$H$16</f>
        <v>4561.0737385376333</v>
      </c>
      <c r="F327" s="26">
        <v>324</v>
      </c>
      <c r="G327" s="27">
        <f>Tableau!$G$26*COS(F327*PI()/180)+Tableau!$G$25</f>
        <v>-17168.440519687683</v>
      </c>
      <c r="H327" s="27">
        <f>Tableau!$G$26*SIN(F327*PI()/180)+Tableau!$H$25</f>
        <v>7942.751616976343</v>
      </c>
      <c r="J327" s="34">
        <v>324</v>
      </c>
      <c r="K327" s="35">
        <f>Tableau!$G$36*COS(J327*PI()/180)+Tableau!$G$35</f>
        <v>-954.91502812526323</v>
      </c>
      <c r="L327" s="35">
        <f>Tableau!$G$36*SIN(J327*PI()/180)+Tableau!$H$35</f>
        <v>-17938.926261462366</v>
      </c>
      <c r="N327" s="98">
        <v>323</v>
      </c>
      <c r="O327" s="99">
        <v>161.5</v>
      </c>
      <c r="P327" s="101">
        <f>P326+R326*Tableau!$G$2+((1/2)*T326)*Tableau!$G$2^2</f>
        <v>-48544.509052091526</v>
      </c>
      <c r="Q327" s="101">
        <f>Q326+S326*Tableau!$G$2+((1/2)*U326)*Tableau!$G$2^2</f>
        <v>50853.691017998324</v>
      </c>
      <c r="R327" s="101">
        <f>R326+T326*Tableau!$G$2</f>
        <v>-2690.904390231141</v>
      </c>
      <c r="S327" s="101">
        <f>S326+U326*Tableau!$G$2</f>
        <v>868.29935036040604</v>
      </c>
      <c r="T327" s="101">
        <f t="shared" si="10"/>
        <v>151.2260055955318</v>
      </c>
      <c r="U327" s="101">
        <f t="shared" si="11"/>
        <v>-167.57693517118264</v>
      </c>
      <c r="V327" s="101">
        <f>((Tableau!$G$16-P327)/(AC327^2+Tableau!$G$21^2)^(3/2))*Tableau!$G$20</f>
        <v>65.767628484671519</v>
      </c>
      <c r="W327" s="101">
        <f>((Tableau!$H$16-Q327)/(AC327^2+Tableau!$G$21^2)^(3/2))*Tableau!$G$20</f>
        <v>-41.597342861469542</v>
      </c>
      <c r="X327" s="101">
        <f>((Tableau!$G$25-P327)/(AD327^2+Tableau!$G$30^2)^(3/2))*Tableau!$G$29</f>
        <v>40.217087227306443</v>
      </c>
      <c r="Y327" s="101">
        <f>((Tableau!$H$25-Q327)/(AD327^2+Tableau!$G$30^2)^(3/2))*Tableau!$G$29</f>
        <v>-57.559807815572739</v>
      </c>
      <c r="Z327" s="101">
        <f>((Tableau!$G$35-P327)/(AE327^2+Tableau!$G$40^2)^(3/2))*Tableau!$G$39</f>
        <v>45.241289883553826</v>
      </c>
      <c r="AA327" s="102">
        <f>((Tableau!$H$35-Q327)/(AE327^2+Tableau!$G$40^2)^(3/2))*Tableau!$G$39</f>
        <v>-68.419784494140373</v>
      </c>
      <c r="AC327" s="113">
        <f>SQRT((Tableau!$G$16-P327)^2+(Tableau!$H$16-Q327)^2)</f>
        <v>81104.206093619621</v>
      </c>
      <c r="AD327" s="114">
        <f>SQRT((Tableau!$G$25-P327)^2+(Tableau!$H$25-Q327)^2)</f>
        <v>49837.867799686333</v>
      </c>
      <c r="AE327" s="115">
        <f>SQRT((Tableau!$G$35-P327)^2+(Tableau!$H$35-Q327)^2)</f>
        <v>78948.292503902034</v>
      </c>
    </row>
    <row r="328" spans="2:31" x14ac:dyDescent="0.25">
      <c r="B328" s="20">
        <v>325</v>
      </c>
      <c r="C328" s="21">
        <f>Tableau!$G$17*COS(B328*PI()/180)+Tableau!$G$16</f>
        <v>24095.760221444958</v>
      </c>
      <c r="D328" s="21">
        <f>Tableau!$G$17*SIN(B328*PI()/180)+Tableau!$H$16</f>
        <v>4632.1178182447675</v>
      </c>
      <c r="F328" s="28">
        <v>325</v>
      </c>
      <c r="G328" s="29">
        <f>Tableau!$G$26*COS(F328*PI()/180)+Tableau!$G$25</f>
        <v>-17132.967844988529</v>
      </c>
      <c r="H328" s="29">
        <f>Tableau!$G$26*SIN(F328*PI()/180)+Tableau!$H$25</f>
        <v>7992.4824727713376</v>
      </c>
      <c r="J328" s="36">
        <v>325</v>
      </c>
      <c r="K328" s="37">
        <f>Tableau!$G$36*COS(J328*PI()/180)+Tableau!$G$35</f>
        <v>-904.23977855504199</v>
      </c>
      <c r="L328" s="37">
        <f>Tableau!$G$36*SIN(J328*PI()/180)+Tableau!$H$35</f>
        <v>-17867.882181755231</v>
      </c>
      <c r="N328" s="92">
        <v>324</v>
      </c>
      <c r="O328" s="93">
        <v>162</v>
      </c>
      <c r="P328" s="96">
        <f>P327+R327*Tableau!$G$2+((1/2)*T327)*Tableau!$G$2^2</f>
        <v>-49871.057996507654</v>
      </c>
      <c r="Q328" s="96">
        <f>Q327+S327*Tableau!$G$2+((1/2)*U327)*Tableau!$G$2^2</f>
        <v>51266.893576282127</v>
      </c>
      <c r="R328" s="96">
        <f>R327+T327*Tableau!$G$2</f>
        <v>-2615.2913874333749</v>
      </c>
      <c r="S328" s="96">
        <f>S327+U327*Tableau!$G$2</f>
        <v>784.51088277481472</v>
      </c>
      <c r="T328" s="96">
        <f t="shared" si="10"/>
        <v>148.10240334607806</v>
      </c>
      <c r="U328" s="96">
        <f t="shared" si="11"/>
        <v>-160.64852627617</v>
      </c>
      <c r="V328" s="96">
        <f>((Tableau!$G$16-P328)/(AC328^2+Tableau!$G$21^2)^(3/2))*Tableau!$G$20</f>
        <v>63.864253172057566</v>
      </c>
      <c r="W328" s="96">
        <f>((Tableau!$H$16-Q328)/(AC328^2+Tableau!$G$21^2)^(3/2))*Tableau!$G$20</f>
        <v>-40.004260019218414</v>
      </c>
      <c r="X328" s="96">
        <f>((Tableau!$G$25-P328)/(AD328^2+Tableau!$G$30^2)^(3/2))*Tableau!$G$29</f>
        <v>39.454166803991647</v>
      </c>
      <c r="Y328" s="96">
        <f>((Tableau!$H$25-Q328)/(AD328^2+Tableau!$G$30^2)^(3/2))*Tableau!$G$29</f>
        <v>-54.505967041125906</v>
      </c>
      <c r="Z328" s="96">
        <f>((Tableau!$G$35-P328)/(AE328^2+Tableau!$G$40^2)^(3/2))*Tableau!$G$39</f>
        <v>44.783983370028864</v>
      </c>
      <c r="AA328" s="97">
        <f>((Tableau!$H$35-Q328)/(AE328^2+Tableau!$G$40^2)^(3/2))*Tableau!$G$39</f>
        <v>-66.138299215825697</v>
      </c>
      <c r="AC328" s="110">
        <f>SQRT((Tableau!$G$16-P328)^2+(Tableau!$H$16-Q328)^2)</f>
        <v>82446.987324394955</v>
      </c>
      <c r="AD328" s="111">
        <f>SQRT((Tableau!$G$25-P328)^2+(Tableau!$H$25-Q328)^2)</f>
        <v>50943.464853373676</v>
      </c>
      <c r="AE328" s="112">
        <f>SQRT((Tableau!$G$35-P328)^2+(Tableau!$H$35-Q328)^2)</f>
        <v>80029.451016336825</v>
      </c>
    </row>
    <row r="329" spans="2:31" x14ac:dyDescent="0.25">
      <c r="B329" s="18">
        <v>326</v>
      </c>
      <c r="C329" s="19">
        <f>Tableau!$G$17*COS(B329*PI()/180)+Tableau!$G$16</f>
        <v>24145.187862775208</v>
      </c>
      <c r="D329" s="19">
        <f>Tableau!$G$17*SIN(B329*PI()/180)+Tableau!$H$16</f>
        <v>4704.0354826462626</v>
      </c>
      <c r="F329" s="26">
        <v>326</v>
      </c>
      <c r="G329" s="27">
        <f>Tableau!$G$26*COS(F329*PI()/180)+Tableau!$G$25</f>
        <v>-17098.368496057356</v>
      </c>
      <c r="H329" s="27">
        <f>Tableau!$G$26*SIN(F329*PI()/180)+Tableau!$H$25</f>
        <v>8042.824837852384</v>
      </c>
      <c r="J329" s="34">
        <v>326</v>
      </c>
      <c r="K329" s="35">
        <f>Tableau!$G$36*COS(J329*PI()/180)+Tableau!$G$35</f>
        <v>-854.81213722479333</v>
      </c>
      <c r="L329" s="35">
        <f>Tableau!$G$36*SIN(J329*PI()/180)+Tableau!$H$35</f>
        <v>-17795.964517353736</v>
      </c>
      <c r="N329" s="98">
        <v>325</v>
      </c>
      <c r="O329" s="99">
        <v>162.5</v>
      </c>
      <c r="P329" s="101">
        <f>P328+R328*Tableau!$G$2+((1/2)*T328)*Tableau!$G$2^2</f>
        <v>-51160.190889806079</v>
      </c>
      <c r="Q329" s="101">
        <f>Q328+S328*Tableau!$G$2+((1/2)*U328)*Tableau!$G$2^2</f>
        <v>51639.067951885016</v>
      </c>
      <c r="R329" s="101">
        <f>R328+T328*Tableau!$G$2</f>
        <v>-2541.2401857603359</v>
      </c>
      <c r="S329" s="101">
        <f>S328+U328*Tableau!$G$2</f>
        <v>704.18661963672969</v>
      </c>
      <c r="T329" s="101">
        <f t="shared" si="10"/>
        <v>145.20141491130599</v>
      </c>
      <c r="U329" s="101">
        <f t="shared" si="11"/>
        <v>-154.31280815815731</v>
      </c>
      <c r="V329" s="101">
        <f>((Tableau!$G$16-P329)/(AC329^2+Tableau!$G$21^2)^(3/2))*Tableau!$G$20</f>
        <v>62.121988502583179</v>
      </c>
      <c r="W329" s="101">
        <f>((Tableau!$H$16-Q329)/(AC329^2+Tableau!$G$21^2)^(3/2))*Tableau!$G$20</f>
        <v>-38.532874034413808</v>
      </c>
      <c r="X329" s="101">
        <f>((Tableau!$G$25-P329)/(AD329^2+Tableau!$G$30^2)^(3/2))*Tableau!$G$29</f>
        <v>38.725896398080565</v>
      </c>
      <c r="Y329" s="101">
        <f>((Tableau!$H$25-Q329)/(AD329^2+Tableau!$G$30^2)^(3/2))*Tableau!$G$29</f>
        <v>-51.749048563911771</v>
      </c>
      <c r="Z329" s="101">
        <f>((Tableau!$G$35-P329)/(AE329^2+Tableau!$G$40^2)^(3/2))*Tableau!$G$39</f>
        <v>44.353530010642245</v>
      </c>
      <c r="AA329" s="102">
        <f>((Tableau!$H$35-Q329)/(AE329^2+Tableau!$G$40^2)^(3/2))*Tableau!$G$39</f>
        <v>-64.030885559831731</v>
      </c>
      <c r="AC329" s="113">
        <f>SQRT((Tableau!$G$16-P329)^2+(Tableau!$H$16-Q329)^2)</f>
        <v>83737.865312741065</v>
      </c>
      <c r="AD329" s="114">
        <f>SQRT((Tableau!$G$25-P329)^2+(Tableau!$H$25-Q329)^2)</f>
        <v>52007.39828323324</v>
      </c>
      <c r="AE329" s="115">
        <f>SQRT((Tableau!$G$35-P329)^2+(Tableau!$H$35-Q329)^2)</f>
        <v>81064.965308567713</v>
      </c>
    </row>
    <row r="330" spans="2:31" x14ac:dyDescent="0.25">
      <c r="B330" s="20">
        <v>327</v>
      </c>
      <c r="C330" s="21">
        <f>Tableau!$G$17*COS(B330*PI()/180)+Tableau!$G$16</f>
        <v>24193.352839727122</v>
      </c>
      <c r="D330" s="21">
        <f>Tableau!$G$17*SIN(B330*PI()/180)+Tableau!$H$16</f>
        <v>4776.804824924865</v>
      </c>
      <c r="F330" s="28">
        <v>327</v>
      </c>
      <c r="G330" s="29">
        <f>Tableau!$G$26*COS(F330*PI()/180)+Tableau!$G$25</f>
        <v>-17064.653012191015</v>
      </c>
      <c r="H330" s="29">
        <f>Tableau!$G$26*SIN(F330*PI()/180)+Tableau!$H$25</f>
        <v>8093.7633774474052</v>
      </c>
      <c r="J330" s="36">
        <v>327</v>
      </c>
      <c r="K330" s="37">
        <f>Tableau!$G$36*COS(J330*PI()/180)+Tableau!$G$35</f>
        <v>-806.64716027287977</v>
      </c>
      <c r="L330" s="37">
        <f>Tableau!$G$36*SIN(J330*PI()/180)+Tableau!$H$35</f>
        <v>-17723.195175075136</v>
      </c>
      <c r="N330" s="92">
        <v>326</v>
      </c>
      <c r="O330" s="93">
        <v>163</v>
      </c>
      <c r="P330" s="96">
        <f>P329+R329*Tableau!$G$2+((1/2)*T329)*Tableau!$G$2^2</f>
        <v>-52412.660805822336</v>
      </c>
      <c r="Q330" s="96">
        <f>Q329+S329*Tableau!$G$2+((1/2)*U329)*Tableau!$G$2^2</f>
        <v>51971.872160683612</v>
      </c>
      <c r="R330" s="96">
        <f>R329+T329*Tableau!$G$2</f>
        <v>-2468.6394783046831</v>
      </c>
      <c r="S330" s="96">
        <f>S329+U329*Tableau!$G$2</f>
        <v>627.03021555765099</v>
      </c>
      <c r="T330" s="96">
        <f t="shared" si="10"/>
        <v>142.50857651763295</v>
      </c>
      <c r="U330" s="96">
        <f t="shared" si="11"/>
        <v>-148.50310604617056</v>
      </c>
      <c r="V330" s="96">
        <f>((Tableau!$G$16-P330)/(AC330^2+Tableau!$G$21^2)^(3/2))*Tableau!$G$20</f>
        <v>60.523939461535932</v>
      </c>
      <c r="W330" s="96">
        <f>((Tableau!$H$16-Q330)/(AC330^2+Tableau!$G$21^2)^(3/2))*Tableau!$G$20</f>
        <v>-37.17047362217577</v>
      </c>
      <c r="X330" s="96">
        <f>((Tableau!$G$25-P330)/(AD330^2+Tableau!$G$30^2)^(3/2))*Tableau!$G$29</f>
        <v>38.034775728438888</v>
      </c>
      <c r="Y330" s="96">
        <f>((Tableau!$H$25-Q330)/(AD330^2+Tableau!$G$30^2)^(3/2))*Tableau!$G$29</f>
        <v>-49.252073259210704</v>
      </c>
      <c r="Z330" s="96">
        <f>((Tableau!$G$35-P330)/(AE330^2+Tableau!$G$40^2)^(3/2))*Tableau!$G$39</f>
        <v>43.949861327658141</v>
      </c>
      <c r="AA330" s="97">
        <f>((Tableau!$H$35-Q330)/(AE330^2+Tableau!$G$40^2)^(3/2))*Tableau!$G$39</f>
        <v>-62.080559164784106</v>
      </c>
      <c r="AC330" s="110">
        <f>SQRT((Tableau!$G$16-P330)^2+(Tableau!$H$16-Q330)^2)</f>
        <v>84978.472911998513</v>
      </c>
      <c r="AD330" s="111">
        <f>SQRT((Tableau!$G$25-P330)^2+(Tableau!$H$25-Q330)^2)</f>
        <v>53030.355770879556</v>
      </c>
      <c r="AE330" s="112">
        <f>SQRT((Tableau!$G$35-P330)^2+(Tableau!$H$35-Q330)^2)</f>
        <v>82056.030036767625</v>
      </c>
    </row>
    <row r="331" spans="2:31" x14ac:dyDescent="0.25">
      <c r="B331" s="18">
        <v>328</v>
      </c>
      <c r="C331" s="19">
        <f>Tableau!$G$17*COS(B331*PI()/180)+Tableau!$G$16</f>
        <v>24240.240480782126</v>
      </c>
      <c r="D331" s="19">
        <f>Tableau!$G$17*SIN(B331*PI()/180)+Tableau!$H$16</f>
        <v>4850.4036788339708</v>
      </c>
      <c r="F331" s="26">
        <v>328</v>
      </c>
      <c r="G331" s="27">
        <f>Tableau!$G$26*COS(F331*PI()/180)+Tableau!$G$25</f>
        <v>-17031.831663452511</v>
      </c>
      <c r="H331" s="27">
        <f>Tableau!$G$26*SIN(F331*PI()/180)+Tableau!$H$25</f>
        <v>8145.28257518378</v>
      </c>
      <c r="J331" s="34">
        <v>328</v>
      </c>
      <c r="K331" s="35">
        <f>Tableau!$G$36*COS(J331*PI()/180)+Tableau!$G$35</f>
        <v>-759.75951921787328</v>
      </c>
      <c r="L331" s="35">
        <f>Tableau!$G$36*SIN(J331*PI()/180)+Tableau!$H$35</f>
        <v>-17649.596321166027</v>
      </c>
      <c r="N331" s="98">
        <v>327</v>
      </c>
      <c r="O331" s="99">
        <v>163.5</v>
      </c>
      <c r="P331" s="101">
        <f>P330+R330*Tableau!$G$2+((1/2)*T330)*Tableau!$G$2^2</f>
        <v>-53629.166972909974</v>
      </c>
      <c r="Q331" s="101">
        <f>Q330+S330*Tableau!$G$2+((1/2)*U330)*Tableau!$G$2^2</f>
        <v>52266.824380206665</v>
      </c>
      <c r="R331" s="101">
        <f>R330+T330*Tableau!$G$2</f>
        <v>-2397.3851900458667</v>
      </c>
      <c r="S331" s="101">
        <f>S330+U330*Tableau!$G$2</f>
        <v>552.77866253456568</v>
      </c>
      <c r="T331" s="101">
        <f t="shared" si="10"/>
        <v>140.01036150157063</v>
      </c>
      <c r="U331" s="101">
        <f t="shared" si="11"/>
        <v>-143.16213068250565</v>
      </c>
      <c r="V331" s="101">
        <f>((Tableau!$G$16-P331)/(AC331^2+Tableau!$G$21^2)^(3/2))*Tableau!$G$20</f>
        <v>59.055562309042706</v>
      </c>
      <c r="W331" s="101">
        <f>((Tableau!$H$16-Q331)/(AC331^2+Tableau!$G$21^2)^(3/2))*Tableau!$G$20</f>
        <v>-35.906015173796028</v>
      </c>
      <c r="X331" s="101">
        <f>((Tableau!$G$25-P331)/(AD331^2+Tableau!$G$30^2)^(3/2))*Tableau!$G$29</f>
        <v>37.382050178702592</v>
      </c>
      <c r="Y331" s="101">
        <f>((Tableau!$H$25-Q331)/(AD331^2+Tableau!$G$30^2)^(3/2))*Tableau!$G$29</f>
        <v>-46.98363629251012</v>
      </c>
      <c r="Z331" s="101">
        <f>((Tableau!$G$35-P331)/(AE331^2+Tableau!$G$40^2)^(3/2))*Tableau!$G$39</f>
        <v>43.572749013825323</v>
      </c>
      <c r="AA331" s="102">
        <f>((Tableau!$H$35-Q331)/(AE331^2+Tableau!$G$40^2)^(3/2))*Tableau!$G$39</f>
        <v>-60.2724792161995</v>
      </c>
      <c r="AC331" s="113">
        <f>SQRT((Tableau!$G$16-P331)^2+(Tableau!$H$16-Q331)^2)</f>
        <v>86170.312719711772</v>
      </c>
      <c r="AD331" s="114">
        <f>SQRT((Tableau!$G$25-P331)^2+(Tableau!$H$25-Q331)^2)</f>
        <v>54013.010603734096</v>
      </c>
      <c r="AE331" s="115">
        <f>SQRT((Tableau!$G$35-P331)^2+(Tableau!$H$35-Q331)^2)</f>
        <v>83003.744148542639</v>
      </c>
    </row>
    <row r="332" spans="2:31" x14ac:dyDescent="0.25">
      <c r="B332" s="20">
        <v>329</v>
      </c>
      <c r="C332" s="21">
        <f>Tableau!$G$17*COS(B332*PI()/180)+Tableau!$G$16</f>
        <v>24285.83650351056</v>
      </c>
      <c r="D332" s="21">
        <f>Tableau!$G$17*SIN(B332*PI()/180)+Tableau!$H$16</f>
        <v>4924.8096254497277</v>
      </c>
      <c r="F332" s="28">
        <v>329</v>
      </c>
      <c r="G332" s="29">
        <f>Tableau!$G$26*COS(F332*PI()/180)+Tableau!$G$25</f>
        <v>-16999.914447542607</v>
      </c>
      <c r="H332" s="29">
        <f>Tableau!$G$26*SIN(F332*PI()/180)+Tableau!$H$25</f>
        <v>8197.3667378148093</v>
      </c>
      <c r="J332" s="36">
        <v>329</v>
      </c>
      <c r="K332" s="37">
        <f>Tableau!$G$36*COS(J332*PI()/180)+Tableau!$G$35</f>
        <v>-714.16349648943924</v>
      </c>
      <c r="L332" s="37">
        <f>Tableau!$G$36*SIN(J332*PI()/180)+Tableau!$H$35</f>
        <v>-17575.190374550271</v>
      </c>
      <c r="N332" s="92">
        <v>328</v>
      </c>
      <c r="O332" s="93">
        <v>164</v>
      </c>
      <c r="P332" s="96">
        <f>P331+R331*Tableau!$G$2+((1/2)*T331)*Tableau!$G$2^2</f>
        <v>-54810.358272745209</v>
      </c>
      <c r="Q332" s="96">
        <f>Q331+S331*Tableau!$G$2+((1/2)*U331)*Tableau!$G$2^2</f>
        <v>52525.318445138633</v>
      </c>
      <c r="R332" s="96">
        <f>R331+T331*Tableau!$G$2</f>
        <v>-2327.3800092950814</v>
      </c>
      <c r="S332" s="96">
        <f>S331+U331*Tableau!$G$2</f>
        <v>481.19759719331284</v>
      </c>
      <c r="T332" s="96">
        <f t="shared" si="10"/>
        <v>137.69423045845483</v>
      </c>
      <c r="U332" s="96">
        <f t="shared" si="11"/>
        <v>-138.24043794518099</v>
      </c>
      <c r="V332" s="96">
        <f>((Tableau!$G$16-P332)/(AC332^2+Tableau!$G$21^2)^(3/2))*Tableau!$G$20</f>
        <v>57.704277457490747</v>
      </c>
      <c r="W332" s="96">
        <f>((Tableau!$H$16-Q332)/(AC332^2+Tableau!$G$21^2)^(3/2))*Tableau!$G$20</f>
        <v>-34.729862657491246</v>
      </c>
      <c r="X332" s="96">
        <f>((Tableau!$G$25-P332)/(AD332^2+Tableau!$G$30^2)^(3/2))*Tableau!$G$29</f>
        <v>36.768096337995935</v>
      </c>
      <c r="Y332" s="96">
        <f>((Tableau!$H$25-Q332)/(AD332^2+Tableau!$G$30^2)^(3/2))*Tableau!$G$29</f>
        <v>-44.916946649727954</v>
      </c>
      <c r="Z332" s="96">
        <f>((Tableau!$G$35-P332)/(AE332^2+Tableau!$G$40^2)^(3/2))*Tableau!$G$39</f>
        <v>43.221856662968143</v>
      </c>
      <c r="AA332" s="97">
        <f>((Tableau!$H$35-Q332)/(AE332^2+Tableau!$G$40^2)^(3/2))*Tableau!$G$39</f>
        <v>-58.5936286379618</v>
      </c>
      <c r="AC332" s="110">
        <f>SQRT((Tableau!$G$16-P332)^2+(Tableau!$H$16-Q332)^2)</f>
        <v>87314.769689798995</v>
      </c>
      <c r="AD332" s="111">
        <f>SQRT((Tableau!$G$25-P332)^2+(Tableau!$H$25-Q332)^2)</f>
        <v>54956.016521736077</v>
      </c>
      <c r="AE332" s="112">
        <f>SQRT((Tableau!$G$35-P332)^2+(Tableau!$H$35-Q332)^2)</f>
        <v>83909.120019081456</v>
      </c>
    </row>
    <row r="333" spans="2:31" x14ac:dyDescent="0.25">
      <c r="B333" s="18">
        <v>330</v>
      </c>
      <c r="C333" s="19">
        <f>Tableau!$G$17*COS(B333*PI()/180)+Tableau!$G$16</f>
        <v>24330.12701892219</v>
      </c>
      <c r="D333" s="19">
        <f>Tableau!$G$17*SIN(B333*PI()/180)+Tableau!$H$16</f>
        <v>4999.9999999999982</v>
      </c>
      <c r="F333" s="26">
        <v>330</v>
      </c>
      <c r="G333" s="27">
        <f>Tableau!$G$26*COS(F333*PI()/180)+Tableau!$G$25</f>
        <v>-16968.911086754466</v>
      </c>
      <c r="H333" s="27">
        <f>Tableau!$G$26*SIN(F333*PI()/180)+Tableau!$H$25</f>
        <v>8249.9999999999982</v>
      </c>
      <c r="J333" s="34">
        <v>330</v>
      </c>
      <c r="K333" s="35">
        <f>Tableau!$G$36*COS(J333*PI()/180)+Tableau!$G$35</f>
        <v>-669.87298107780771</v>
      </c>
      <c r="L333" s="35">
        <f>Tableau!$G$36*SIN(J333*PI()/180)+Tableau!$H$35</f>
        <v>-17500.000000000004</v>
      </c>
      <c r="N333" s="98">
        <v>329</v>
      </c>
      <c r="O333" s="99">
        <v>164.5</v>
      </c>
      <c r="P333" s="101">
        <f>P332+R332*Tableau!$G$2+((1/2)*T332)*Tableau!$G$2^2</f>
        <v>-55956.836498585442</v>
      </c>
      <c r="Q333" s="101">
        <f>Q332+S332*Tableau!$G$2+((1/2)*U332)*Tableau!$G$2^2</f>
        <v>52748.637188992143</v>
      </c>
      <c r="R333" s="101">
        <f>R332+T332*Tableau!$G$2</f>
        <v>-2258.5328940658542</v>
      </c>
      <c r="S333" s="101">
        <f>S332+U332*Tableau!$G$2</f>
        <v>412.07737822072238</v>
      </c>
      <c r="T333" s="101">
        <f t="shared" si="10"/>
        <v>135.54863256423684</v>
      </c>
      <c r="U333" s="101">
        <f t="shared" si="11"/>
        <v>-133.69517297472868</v>
      </c>
      <c r="V333" s="101">
        <f>((Tableau!$G$16-P333)/(AC333^2+Tableau!$G$21^2)^(3/2))*Tableau!$G$20</f>
        <v>56.45915617831384</v>
      </c>
      <c r="W333" s="101">
        <f>((Tableau!$H$16-Q333)/(AC333^2+Tableau!$G$21^2)^(3/2))*Tableau!$G$20</f>
        <v>-33.63357390426264</v>
      </c>
      <c r="X333" s="101">
        <f>((Tableau!$G$25-P333)/(AD333^2+Tableau!$G$30^2)^(3/2))*Tableau!$G$29</f>
        <v>36.19269766239136</v>
      </c>
      <c r="Y333" s="101">
        <f>((Tableau!$H$25-Q333)/(AD333^2+Tableau!$G$30^2)^(3/2))*Tableau!$G$29</f>
        <v>-43.029049602884825</v>
      </c>
      <c r="Z333" s="101">
        <f>((Tableau!$G$35-P333)/(AE333^2+Tableau!$G$40^2)^(3/2))*Tableau!$G$39</f>
        <v>42.896778723531646</v>
      </c>
      <c r="AA333" s="102">
        <f>((Tableau!$H$35-Q333)/(AE333^2+Tableau!$G$40^2)^(3/2))*Tableau!$G$39</f>
        <v>-57.032549467581234</v>
      </c>
      <c r="AC333" s="113">
        <f>SQRT((Tableau!$G$16-P333)^2+(Tableau!$H$16-Q333)^2)</f>
        <v>88413.122206683125</v>
      </c>
      <c r="AD333" s="114">
        <f>SQRT((Tableau!$G$25-P333)^2+(Tableau!$H$25-Q333)^2)</f>
        <v>55860.004229341845</v>
      </c>
      <c r="AE333" s="115">
        <f>SQRT((Tableau!$G$35-P333)^2+(Tableau!$H$35-Q333)^2)</f>
        <v>84773.091408236724</v>
      </c>
    </row>
    <row r="334" spans="2:31" x14ac:dyDescent="0.25">
      <c r="B334" s="20">
        <v>331</v>
      </c>
      <c r="C334" s="21">
        <f>Tableau!$G$17*COS(B334*PI()/180)+Tableau!$G$16</f>
        <v>24373.09853569698</v>
      </c>
      <c r="D334" s="21">
        <f>Tableau!$G$17*SIN(B334*PI()/180)+Tableau!$H$16</f>
        <v>5075.951898768315</v>
      </c>
      <c r="F334" s="28">
        <v>331</v>
      </c>
      <c r="G334" s="29">
        <f>Tableau!$G$26*COS(F334*PI()/180)+Tableau!$G$25</f>
        <v>-16938.831025012114</v>
      </c>
      <c r="H334" s="29">
        <f>Tableau!$G$26*SIN(F334*PI()/180)+Tableau!$H$25</f>
        <v>8303.1663291378209</v>
      </c>
      <c r="J334" s="36">
        <v>331</v>
      </c>
      <c r="K334" s="37">
        <f>Tableau!$G$36*COS(J334*PI()/180)+Tableau!$G$35</f>
        <v>-626.90146430302048</v>
      </c>
      <c r="L334" s="37">
        <f>Tableau!$G$36*SIN(J334*PI()/180)+Tableau!$H$35</f>
        <v>-17424.048101231685</v>
      </c>
      <c r="N334" s="92">
        <v>330</v>
      </c>
      <c r="O334" s="93">
        <v>165</v>
      </c>
      <c r="P334" s="96">
        <f>P333+R333*Tableau!$G$2+((1/2)*T333)*Tableau!$G$2^2</f>
        <v>-57069.159366547836</v>
      </c>
      <c r="Q334" s="96">
        <f>Q333+S333*Tableau!$G$2+((1/2)*U333)*Tableau!$G$2^2</f>
        <v>52937.963981480665</v>
      </c>
      <c r="R334" s="96">
        <f>R333+T333*Tableau!$G$2</f>
        <v>-2190.7585777837357</v>
      </c>
      <c r="S334" s="96">
        <f>S333+U333*Tableau!$G$2</f>
        <v>345.22979173335807</v>
      </c>
      <c r="T334" s="96">
        <f t="shared" si="10"/>
        <v>133.56297725182523</v>
      </c>
      <c r="U334" s="96">
        <f t="shared" si="11"/>
        <v>-129.48904145178793</v>
      </c>
      <c r="V334" s="96">
        <f>((Tableau!$G$16-P334)/(AC334^2+Tableau!$G$21^2)^(3/2))*Tableau!$G$20</f>
        <v>55.310665342139309</v>
      </c>
      <c r="W334" s="96">
        <f>((Tableau!$H$16-Q334)/(AC334^2+Tableau!$G$21^2)^(3/2))*Tableau!$G$20</f>
        <v>-32.609724048692854</v>
      </c>
      <c r="X334" s="96">
        <f>((Tableau!$G$25-P334)/(AD334^2+Tableau!$G$30^2)^(3/2))*Tableau!$G$29</f>
        <v>35.655242040598438</v>
      </c>
      <c r="Y334" s="96">
        <f>((Tableau!$H$25-Q334)/(AD334^2+Tableau!$G$30^2)^(3/2))*Tableau!$G$29</f>
        <v>-41.300194680750486</v>
      </c>
      <c r="Z334" s="96">
        <f>((Tableau!$G$35-P334)/(AE334^2+Tableau!$G$40^2)^(3/2))*Tableau!$G$39</f>
        <v>42.597069869087477</v>
      </c>
      <c r="AA334" s="97">
        <f>((Tableau!$H$35-Q334)/(AE334^2+Tableau!$G$40^2)^(3/2))*Tableau!$G$39</f>
        <v>-55.579122722344586</v>
      </c>
      <c r="AC334" s="110">
        <f>SQRT((Tableau!$G$16-P334)^2+(Tableau!$H$16-Q334)^2)</f>
        <v>89466.551829433331</v>
      </c>
      <c r="AD334" s="111">
        <f>SQRT((Tableau!$G$25-P334)^2+(Tableau!$H$25-Q334)^2)</f>
        <v>56725.57912456648</v>
      </c>
      <c r="AE334" s="112">
        <f>SQRT((Tableau!$G$35-P334)^2+(Tableau!$H$35-Q334)^2)</f>
        <v>85596.520414605169</v>
      </c>
    </row>
    <row r="335" spans="2:31" x14ac:dyDescent="0.25">
      <c r="B335" s="18">
        <v>332</v>
      </c>
      <c r="C335" s="19">
        <f>Tableau!$G$17*COS(B335*PI()/180)+Tableau!$G$16</f>
        <v>24414.737964294633</v>
      </c>
      <c r="D335" s="19">
        <f>Tableau!$G$17*SIN(B335*PI()/180)+Tableau!$H$16</f>
        <v>5152.6421860705459</v>
      </c>
      <c r="F335" s="26">
        <v>332</v>
      </c>
      <c r="G335" s="27">
        <f>Tableau!$G$26*COS(F335*PI()/180)+Tableau!$G$25</f>
        <v>-16909.683424993756</v>
      </c>
      <c r="H335" s="27">
        <f>Tableau!$G$26*SIN(F335*PI()/180)+Tableau!$H$25</f>
        <v>8356.849530249383</v>
      </c>
      <c r="J335" s="34">
        <v>332</v>
      </c>
      <c r="K335" s="35">
        <f>Tableau!$G$36*COS(J335*PI()/180)+Tableau!$G$35</f>
        <v>-585.26203570536563</v>
      </c>
      <c r="L335" s="35">
        <f>Tableau!$G$36*SIN(J335*PI()/180)+Tableau!$H$35</f>
        <v>-17347.357813929455</v>
      </c>
      <c r="N335" s="98">
        <v>331</v>
      </c>
      <c r="O335" s="99">
        <v>165.5</v>
      </c>
      <c r="P335" s="101">
        <f>P334+R334*Tableau!$G$2+((1/2)*T334)*Tableau!$G$2^2</f>
        <v>-58147.843283283226</v>
      </c>
      <c r="Q335" s="101">
        <f>Q334+S334*Tableau!$G$2+((1/2)*U334)*Tableau!$G$2^2</f>
        <v>53094.392747165875</v>
      </c>
      <c r="R335" s="101">
        <f>R334+T334*Tableau!$G$2</f>
        <v>-2123.9770891578232</v>
      </c>
      <c r="S335" s="101">
        <f>S334+U334*Tableau!$G$2</f>
        <v>280.48527100746412</v>
      </c>
      <c r="T335" s="101">
        <f t="shared" si="10"/>
        <v>131.72758883268543</v>
      </c>
      <c r="U335" s="101">
        <f t="shared" si="11"/>
        <v>-125.58946297506591</v>
      </c>
      <c r="V335" s="101">
        <f>((Tableau!$G$16-P335)/(AC335^2+Tableau!$G$21^2)^(3/2))*Tableau!$G$20</f>
        <v>54.250458123471574</v>
      </c>
      <c r="W335" s="101">
        <f>((Tableau!$H$16-Q335)/(AC335^2+Tableau!$G$21^2)^(3/2))*Tableau!$G$20</f>
        <v>-31.651758903042612</v>
      </c>
      <c r="X335" s="101">
        <f>((Tableau!$G$25-P335)/(AD335^2+Tableau!$G$30^2)^(3/2))*Tableau!$G$29</f>
        <v>35.154863552487505</v>
      </c>
      <c r="Y335" s="101">
        <f>((Tableau!$H$25-Q335)/(AD335^2+Tableau!$G$30^2)^(3/2))*Tableau!$G$29</f>
        <v>-39.713319719120321</v>
      </c>
      <c r="Z335" s="101">
        <f>((Tableau!$G$35-P335)/(AE335^2+Tableau!$G$40^2)^(3/2))*Tableau!$G$39</f>
        <v>42.322267156726348</v>
      </c>
      <c r="AA335" s="102">
        <f>((Tableau!$H$35-Q335)/(AE335^2+Tableau!$G$40^2)^(3/2))*Tableau!$G$39</f>
        <v>-54.22438435290298</v>
      </c>
      <c r="AC335" s="113">
        <f>SQRT((Tableau!$G$16-P335)^2+(Tableau!$H$16-Q335)^2)</f>
        <v>90476.151884413208</v>
      </c>
      <c r="AD335" s="114">
        <f>SQRT((Tableau!$G$25-P335)^2+(Tableau!$H$25-Q335)^2)</f>
        <v>57553.319916516717</v>
      </c>
      <c r="AE335" s="115">
        <f>SQRT((Tableau!$G$35-P335)^2+(Tableau!$H$35-Q335)^2)</f>
        <v>86380.203572749859</v>
      </c>
    </row>
    <row r="336" spans="2:31" x14ac:dyDescent="0.25">
      <c r="B336" s="20">
        <v>333</v>
      </c>
      <c r="C336" s="21">
        <f>Tableau!$G$17*COS(B336*PI()/180)+Tableau!$G$16</f>
        <v>24455.032620941838</v>
      </c>
      <c r="D336" s="21">
        <f>Tableau!$G$17*SIN(B336*PI()/180)+Tableau!$H$16</f>
        <v>5230.0475013022651</v>
      </c>
      <c r="F336" s="28">
        <v>333</v>
      </c>
      <c r="G336" s="29">
        <f>Tableau!$G$26*COS(F336*PI()/180)+Tableau!$G$25</f>
        <v>-16881.477165340712</v>
      </c>
      <c r="H336" s="29">
        <f>Tableau!$G$26*SIN(F336*PI()/180)+Tableau!$H$25</f>
        <v>8411.0332509115851</v>
      </c>
      <c r="J336" s="36">
        <v>333</v>
      </c>
      <c r="K336" s="37">
        <f>Tableau!$G$36*COS(J336*PI()/180)+Tableau!$G$35</f>
        <v>-544.96737905816099</v>
      </c>
      <c r="L336" s="37">
        <f>Tableau!$G$36*SIN(J336*PI()/180)+Tableau!$H$35</f>
        <v>-17269.952498697734</v>
      </c>
      <c r="N336" s="92">
        <v>332</v>
      </c>
      <c r="O336" s="93">
        <v>166</v>
      </c>
      <c r="P336" s="96">
        <f>P335+R335*Tableau!$G$2+((1/2)*T335)*Tableau!$G$2^2</f>
        <v>-59193.365879258054</v>
      </c>
      <c r="Q336" s="96">
        <f>Q335+S335*Tableau!$G$2+((1/2)*U335)*Tableau!$G$2^2</f>
        <v>53218.936699797727</v>
      </c>
      <c r="R336" s="96">
        <f>R335+T335*Tableau!$G$2</f>
        <v>-2058.1132947414803</v>
      </c>
      <c r="S336" s="96">
        <f>S335+U335*Tableau!$G$2</f>
        <v>217.69053951993118</v>
      </c>
      <c r="T336" s="96">
        <f t="shared" si="10"/>
        <v>130.03365227789658</v>
      </c>
      <c r="U336" s="96">
        <f t="shared" si="11"/>
        <v>-121.96787105813254</v>
      </c>
      <c r="V336" s="96">
        <f>((Tableau!$G$16-P336)/(AC336^2+Tableau!$G$21^2)^(3/2))*Tableau!$G$20</f>
        <v>53.271201372975959</v>
      </c>
      <c r="W336" s="96">
        <f>((Tableau!$H$16-Q336)/(AC336^2+Tableau!$G$21^2)^(3/2))*Tableau!$G$20</f>
        <v>-30.753872580773344</v>
      </c>
      <c r="X336" s="96">
        <f>((Tableau!$G$25-P336)/(AD336^2+Tableau!$G$30^2)^(3/2))*Tableau!$G$29</f>
        <v>34.690544160810475</v>
      </c>
      <c r="Y336" s="96">
        <f>((Tableau!$H$25-Q336)/(AD336^2+Tableau!$G$30^2)^(3/2))*Tableau!$G$29</f>
        <v>-38.253627840650971</v>
      </c>
      <c r="Z336" s="96">
        <f>((Tableau!$G$35-P336)/(AE336^2+Tableau!$G$40^2)^(3/2))*Tableau!$G$39</f>
        <v>42.071906744110166</v>
      </c>
      <c r="AA336" s="97">
        <f>((Tableau!$H$35-Q336)/(AE336^2+Tableau!$G$40^2)^(3/2))*Tableau!$G$39</f>
        <v>-52.960370636708227</v>
      </c>
      <c r="AC336" s="110">
        <f>SQRT((Tableau!$G$16-P336)^2+(Tableau!$H$16-Q336)^2)</f>
        <v>91442.935059227762</v>
      </c>
      <c r="AD336" s="111">
        <f>SQRT((Tableau!$G$25-P336)^2+(Tableau!$H$25-Q336)^2)</f>
        <v>58343.777889390331</v>
      </c>
      <c r="AE336" s="112">
        <f>SQRT((Tableau!$G$35-P336)^2+(Tableau!$H$35-Q336)^2)</f>
        <v>87124.877215260043</v>
      </c>
    </row>
    <row r="337" spans="2:31" x14ac:dyDescent="0.25">
      <c r="B337" s="18">
        <v>334</v>
      </c>
      <c r="C337" s="19">
        <f>Tableau!$G$17*COS(B337*PI()/180)+Tableau!$G$16</f>
        <v>24493.970231495834</v>
      </c>
      <c r="D337" s="19">
        <f>Tableau!$G$17*SIN(B337*PI()/180)+Tableau!$H$16</f>
        <v>5308.1442660546145</v>
      </c>
      <c r="F337" s="26">
        <v>334</v>
      </c>
      <c r="G337" s="27">
        <f>Tableau!$G$26*COS(F337*PI()/180)+Tableau!$G$25</f>
        <v>-16854.220837952915</v>
      </c>
      <c r="H337" s="27">
        <f>Tableau!$G$26*SIN(F337*PI()/180)+Tableau!$H$25</f>
        <v>8465.7009862382311</v>
      </c>
      <c r="J337" s="34">
        <v>334</v>
      </c>
      <c r="K337" s="35">
        <f>Tableau!$G$36*COS(J337*PI()/180)+Tableau!$G$35</f>
        <v>-506.02976850416417</v>
      </c>
      <c r="L337" s="35">
        <f>Tableau!$G$36*SIN(J337*PI()/180)+Tableau!$H$35</f>
        <v>-17191.855733945384</v>
      </c>
      <c r="N337" s="98">
        <v>333</v>
      </c>
      <c r="O337" s="99">
        <v>166.5</v>
      </c>
      <c r="P337" s="101">
        <f>P336+R336*Tableau!$G$2+((1/2)*T336)*Tableau!$G$2^2</f>
        <v>-60206.168320094053</v>
      </c>
      <c r="Q337" s="101">
        <f>Q336+S336*Tableau!$G$2+((1/2)*U336)*Tableau!$G$2^2</f>
        <v>53312.535985675422</v>
      </c>
      <c r="R337" s="101">
        <f>R336+T336*Tableau!$G$2</f>
        <v>-1993.096468602532</v>
      </c>
      <c r="S337" s="101">
        <f>S336+U336*Tableau!$G$2</f>
        <v>156.70660399086489</v>
      </c>
      <c r="T337" s="101">
        <f t="shared" si="10"/>
        <v>128.47315546095359</v>
      </c>
      <c r="U337" s="101">
        <f t="shared" si="11"/>
        <v>-118.59913170589624</v>
      </c>
      <c r="V337" s="101">
        <f>((Tableau!$G$16-P337)/(AC337^2+Tableau!$G$21^2)^(3/2))*Tableau!$G$20</f>
        <v>52.366432440072543</v>
      </c>
      <c r="W337" s="101">
        <f>((Tableau!$H$16-Q337)/(AC337^2+Tableau!$G$21^2)^(3/2))*Tableau!$G$20</f>
        <v>-29.91090486990927</v>
      </c>
      <c r="X337" s="101">
        <f>((Tableau!$G$25-P337)/(AD337^2+Tableau!$G$30^2)^(3/2))*Tableau!$G$29</f>
        <v>34.261186525572562</v>
      </c>
      <c r="Y337" s="101">
        <f>((Tableau!$H$25-Q337)/(AD337^2+Tableau!$G$30^2)^(3/2))*Tableau!$G$29</f>
        <v>-36.908239116115006</v>
      </c>
      <c r="Z337" s="101">
        <f>((Tableau!$G$35-P337)/(AE337^2+Tableau!$G$40^2)^(3/2))*Tableau!$G$39</f>
        <v>41.845536495308487</v>
      </c>
      <c r="AA337" s="102">
        <f>((Tableau!$H$35-Q337)/(AE337^2+Tableau!$G$40^2)^(3/2))*Tableau!$G$39</f>
        <v>-51.779987719871968</v>
      </c>
      <c r="AC337" s="113">
        <f>SQRT((Tableau!$G$16-P337)^2+(Tableau!$H$16-Q337)^2)</f>
        <v>92367.840128640368</v>
      </c>
      <c r="AD337" s="114">
        <f>SQRT((Tableau!$G$25-P337)^2+(Tableau!$H$25-Q337)^2)</f>
        <v>59097.476633898361</v>
      </c>
      <c r="AE337" s="115">
        <f>SQRT((Tableau!$G$35-P337)^2+(Tableau!$H$35-Q337)^2)</f>
        <v>87831.222201337703</v>
      </c>
    </row>
    <row r="338" spans="2:31" x14ac:dyDescent="0.25">
      <c r="B338" s="20">
        <v>335</v>
      </c>
      <c r="C338" s="21">
        <f>Tableau!$G$17*COS(B338*PI()/180)+Tableau!$G$16</f>
        <v>24531.538935183249</v>
      </c>
      <c r="D338" s="21">
        <f>Tableau!$G$17*SIN(B338*PI()/180)+Tableau!$H$16</f>
        <v>5386.9086912964995</v>
      </c>
      <c r="F338" s="28">
        <v>335</v>
      </c>
      <c r="G338" s="29">
        <f>Tableau!$G$26*COS(F338*PI()/180)+Tableau!$G$25</f>
        <v>-16827.922745371725</v>
      </c>
      <c r="H338" s="29">
        <f>Tableau!$G$26*SIN(F338*PI()/180)+Tableau!$H$25</f>
        <v>8520.8360839075503</v>
      </c>
      <c r="J338" s="36">
        <v>335</v>
      </c>
      <c r="K338" s="37">
        <f>Tableau!$G$36*COS(J338*PI()/180)+Tableau!$G$35</f>
        <v>-468.46106481675179</v>
      </c>
      <c r="L338" s="37">
        <f>Tableau!$G$36*SIN(J338*PI()/180)+Tableau!$H$35</f>
        <v>-17113.091308703501</v>
      </c>
      <c r="N338" s="92">
        <v>334</v>
      </c>
      <c r="O338" s="93">
        <v>167</v>
      </c>
      <c r="P338" s="96">
        <f>P337+R337*Tableau!$G$2+((1/2)*T337)*Tableau!$G$2^2</f>
        <v>-61186.657409962696</v>
      </c>
      <c r="Q338" s="96">
        <f>Q337+S337*Tableau!$G$2+((1/2)*U337)*Tableau!$G$2^2</f>
        <v>53376.064396207621</v>
      </c>
      <c r="R338" s="96">
        <f>R337+T337*Tableau!$G$2</f>
        <v>-1928.8598908720553</v>
      </c>
      <c r="S338" s="96">
        <f>S337+U337*Tableau!$G$2</f>
        <v>97.407038137916771</v>
      </c>
      <c r="T338" s="96">
        <f t="shared" si="10"/>
        <v>127.03883122611742</v>
      </c>
      <c r="U338" s="96">
        <f t="shared" si="11"/>
        <v>-115.46105832847471</v>
      </c>
      <c r="V338" s="96">
        <f>((Tableau!$G$16-P338)/(AC338^2+Tableau!$G$21^2)^(3/2))*Tableau!$G$20</f>
        <v>51.53043980186041</v>
      </c>
      <c r="W338" s="96">
        <f>((Tableau!$H$16-Q338)/(AC338^2+Tableau!$G$21^2)^(3/2))*Tableau!$G$20</f>
        <v>-29.118254774028319</v>
      </c>
      <c r="X338" s="96">
        <f>((Tableau!$G$25-P338)/(AD338^2+Tableau!$G$30^2)^(3/2))*Tableau!$G$29</f>
        <v>33.865665944327681</v>
      </c>
      <c r="Y338" s="96">
        <f>((Tableau!$H$25-Q338)/(AD338^2+Tableau!$G$30^2)^(3/2))*Tableau!$G$29</f>
        <v>-35.665902483902094</v>
      </c>
      <c r="Z338" s="96">
        <f>((Tableau!$G$35-P338)/(AE338^2+Tableau!$G$40^2)^(3/2))*Tableau!$G$39</f>
        <v>41.642725479929332</v>
      </c>
      <c r="AA338" s="97">
        <f>((Tableau!$H$35-Q338)/(AE338^2+Tableau!$G$40^2)^(3/2))*Tableau!$G$39</f>
        <v>-50.676901070544297</v>
      </c>
      <c r="AC338" s="110">
        <f>SQRT((Tableau!$G$16-P338)^2+(Tableau!$H$16-Q338)^2)</f>
        <v>93251.737924221234</v>
      </c>
      <c r="AD338" s="111">
        <f>SQRT((Tableau!$G$25-P338)^2+(Tableau!$H$25-Q338)^2)</f>
        <v>59814.912113197875</v>
      </c>
      <c r="AE338" s="112">
        <f>SQRT((Tableau!$G$35-P338)^2+(Tableau!$H$35-Q338)^2)</f>
        <v>88499.868097183324</v>
      </c>
    </row>
    <row r="339" spans="2:31" x14ac:dyDescent="0.25">
      <c r="B339" s="18">
        <v>336</v>
      </c>
      <c r="C339" s="19">
        <f>Tableau!$G$17*COS(B339*PI()/180)+Tableau!$G$16</f>
        <v>24567.727288213006</v>
      </c>
      <c r="D339" s="19">
        <f>Tableau!$G$17*SIN(B339*PI()/180)+Tableau!$H$16</f>
        <v>5466.316784620999</v>
      </c>
      <c r="F339" s="26">
        <v>336</v>
      </c>
      <c r="G339" s="27">
        <f>Tableau!$G$26*COS(F339*PI()/180)+Tableau!$G$25</f>
        <v>-16802.590898250895</v>
      </c>
      <c r="H339" s="27">
        <f>Tableau!$G$26*SIN(F339*PI()/180)+Tableau!$H$25</f>
        <v>8576.4217492346997</v>
      </c>
      <c r="J339" s="34">
        <v>336</v>
      </c>
      <c r="K339" s="35">
        <f>Tableau!$G$36*COS(J339*PI()/180)+Tableau!$G$35</f>
        <v>-432.27271178699539</v>
      </c>
      <c r="L339" s="35">
        <f>Tableau!$G$36*SIN(J339*PI()/180)+Tableau!$H$35</f>
        <v>-17033.683215379002</v>
      </c>
      <c r="N339" s="98">
        <v>335</v>
      </c>
      <c r="O339" s="99">
        <v>167.5</v>
      </c>
      <c r="P339" s="101">
        <f>P338+R338*Tableau!$G$2+((1/2)*T338)*Tableau!$G$2^2</f>
        <v>-62135.207501495461</v>
      </c>
      <c r="Q339" s="101">
        <f>Q338+S338*Tableau!$G$2+((1/2)*U338)*Tableau!$G$2^2</f>
        <v>53410.335282985521</v>
      </c>
      <c r="R339" s="101">
        <f>R338+T338*Tableau!$G$2</f>
        <v>-1865.3404752589965</v>
      </c>
      <c r="S339" s="101">
        <f>S338+U338*Tableau!$G$2</f>
        <v>39.676508973679418</v>
      </c>
      <c r="T339" s="101">
        <f t="shared" si="10"/>
        <v>125.72410135756479</v>
      </c>
      <c r="U339" s="101">
        <f t="shared" si="11"/>
        <v>-112.53400527654094</v>
      </c>
      <c r="V339" s="101">
        <f>((Tableau!$G$16-P339)/(AC339^2+Tableau!$G$21^2)^(3/2))*Tableau!$G$20</f>
        <v>50.758163054146202</v>
      </c>
      <c r="W339" s="101">
        <f>((Tableau!$H$16-Q339)/(AC339^2+Tableau!$G$21^2)^(3/2))*Tableau!$G$20</f>
        <v>-28.371807353404098</v>
      </c>
      <c r="X339" s="101">
        <f>((Tableau!$G$25-P339)/(AD339^2+Tableau!$G$30^2)^(3/2))*Tableau!$G$29</f>
        <v>33.5028671753591</v>
      </c>
      <c r="Y339" s="101">
        <f>((Tableau!$H$25-Q339)/(AD339^2+Tableau!$G$30^2)^(3/2))*Tableau!$G$29</f>
        <v>-34.516756490923896</v>
      </c>
      <c r="Z339" s="101">
        <f>((Tableau!$G$35-P339)/(AE339^2+Tableau!$G$40^2)^(3/2))*Tableau!$G$39</f>
        <v>41.463071128059482</v>
      </c>
      <c r="AA339" s="102">
        <f>((Tableau!$H$35-Q339)/(AE339^2+Tableau!$G$40^2)^(3/2))*Tableau!$G$39</f>
        <v>-49.645441432212941</v>
      </c>
      <c r="AC339" s="113">
        <f>SQRT((Tableau!$G$16-P339)^2+(Tableau!$H$16-Q339)^2)</f>
        <v>94095.436643388093</v>
      </c>
      <c r="AD339" s="114">
        <f>SQRT((Tableau!$G$25-P339)^2+(Tableau!$H$25-Q339)^2)</f>
        <v>60496.552964406968</v>
      </c>
      <c r="AE339" s="115">
        <f>SQRT((Tableau!$G$35-P339)^2+(Tableau!$H$35-Q339)^2)</f>
        <v>89131.396879940337</v>
      </c>
    </row>
    <row r="340" spans="2:31" x14ac:dyDescent="0.25">
      <c r="B340" s="20">
        <v>337</v>
      </c>
      <c r="C340" s="21">
        <f>Tableau!$G$17*COS(B340*PI()/180)+Tableau!$G$16</f>
        <v>24602.524267262201</v>
      </c>
      <c r="D340" s="21">
        <f>Tableau!$G$17*SIN(B340*PI()/180)+Tableau!$H$16</f>
        <v>5546.3443575536267</v>
      </c>
      <c r="F340" s="28">
        <v>337</v>
      </c>
      <c r="G340" s="29">
        <f>Tableau!$G$26*COS(F340*PI()/180)+Tableau!$G$25</f>
        <v>-16778.233012916462</v>
      </c>
      <c r="H340" s="29">
        <f>Tableau!$G$26*SIN(F340*PI()/180)+Tableau!$H$25</f>
        <v>8632.441050287538</v>
      </c>
      <c r="J340" s="36">
        <v>337</v>
      </c>
      <c r="K340" s="37">
        <f>Tableau!$G$36*COS(J340*PI()/180)+Tableau!$G$35</f>
        <v>-397.47573273780017</v>
      </c>
      <c r="L340" s="37">
        <f>Tableau!$G$36*SIN(J340*PI()/180)+Tableau!$H$35</f>
        <v>-16953.655642446374</v>
      </c>
      <c r="N340" s="92">
        <v>336</v>
      </c>
      <c r="O340" s="93">
        <v>168</v>
      </c>
      <c r="P340" s="96">
        <f>P339+R339*Tableau!$G$2+((1/2)*T339)*Tableau!$G$2^2</f>
        <v>-63052.162226455264</v>
      </c>
      <c r="Q340" s="96">
        <f>Q339+S339*Tableau!$G$2+((1/2)*U339)*Tableau!$G$2^2</f>
        <v>53416.106786812787</v>
      </c>
      <c r="R340" s="96">
        <f>R339+T339*Tableau!$G$2</f>
        <v>-1802.4784245802141</v>
      </c>
      <c r="S340" s="96">
        <f>S339+U339*Tableau!$G$2</f>
        <v>-16.590493664591051</v>
      </c>
      <c r="T340" s="96">
        <f t="shared" si="10"/>
        <v>124.52302367136031</v>
      </c>
      <c r="U340" s="96">
        <f t="shared" si="11"/>
        <v>-109.80052582752243</v>
      </c>
      <c r="V340" s="96">
        <f>((Tableau!$G$16-P340)/(AC340^2+Tableau!$G$21^2)^(3/2))*Tableau!$G$20</f>
        <v>50.045108742097526</v>
      </c>
      <c r="W340" s="96">
        <f>((Tableau!$H$16-Q340)/(AC340^2+Tableau!$G$21^2)^(3/2))*Tableau!$G$20</f>
        <v>-27.667871558771381</v>
      </c>
      <c r="X340" s="96">
        <f>((Tableau!$G$25-P340)/(AD340^2+Tableau!$G$30^2)^(3/2))*Tableau!$G$29</f>
        <v>33.171710306574901</v>
      </c>
      <c r="Y340" s="96">
        <f>((Tableau!$H$25-Q340)/(AD340^2+Tableau!$G$30^2)^(3/2))*Tableau!$G$29</f>
        <v>-33.452129753578077</v>
      </c>
      <c r="Z340" s="96">
        <f>((Tableau!$G$35-P340)/(AE340^2+Tableau!$G$40^2)^(3/2))*Tableau!$G$39</f>
        <v>41.306204622687879</v>
      </c>
      <c r="AA340" s="97">
        <f>((Tableau!$H$35-Q340)/(AE340^2+Tableau!$G$40^2)^(3/2))*Tableau!$G$39</f>
        <v>-48.680524515172976</v>
      </c>
      <c r="AC340" s="110">
        <f>SQRT((Tableau!$G$16-P340)^2+(Tableau!$H$16-Q340)^2)</f>
        <v>94899.686579816669</v>
      </c>
      <c r="AD340" s="111">
        <f>SQRT((Tableau!$G$25-P340)^2+(Tableau!$H$25-Q340)^2)</f>
        <v>61142.840961938891</v>
      </c>
      <c r="AE340" s="112">
        <f>SQRT((Tableau!$G$35-P340)^2+(Tableau!$H$35-Q340)^2)</f>
        <v>89726.346225795074</v>
      </c>
    </row>
    <row r="341" spans="2:31" x14ac:dyDescent="0.25">
      <c r="B341" s="18">
        <v>338</v>
      </c>
      <c r="C341" s="19">
        <f>Tableau!$G$17*COS(B341*PI()/180)+Tableau!$G$16</f>
        <v>24635.919272833937</v>
      </c>
      <c r="D341" s="19">
        <f>Tableau!$G$17*SIN(B341*PI()/180)+Tableau!$H$16</f>
        <v>5626.9670329204382</v>
      </c>
      <c r="F341" s="26">
        <v>338</v>
      </c>
      <c r="G341" s="27">
        <f>Tableau!$G$26*COS(F341*PI()/180)+Tableau!$G$25</f>
        <v>-16754.856509016245</v>
      </c>
      <c r="H341" s="27">
        <f>Tableau!$G$26*SIN(F341*PI()/180)+Tableau!$H$25</f>
        <v>8688.8769230443067</v>
      </c>
      <c r="J341" s="34">
        <v>338</v>
      </c>
      <c r="K341" s="35">
        <f>Tableau!$G$36*COS(J341*PI()/180)+Tableau!$G$35</f>
        <v>-364.0807271660633</v>
      </c>
      <c r="L341" s="35">
        <f>Tableau!$G$36*SIN(J341*PI()/180)+Tableau!$H$35</f>
        <v>-16873.032967079562</v>
      </c>
      <c r="N341" s="98">
        <v>337</v>
      </c>
      <c r="O341" s="99">
        <v>168.5</v>
      </c>
      <c r="P341" s="101">
        <f>P340+R340*Tableau!$G$2+((1/2)*T340)*Tableau!$G$2^2</f>
        <v>-63937.836060786452</v>
      </c>
      <c r="Q341" s="101">
        <f>Q340+S340*Tableau!$G$2+((1/2)*U340)*Tableau!$G$2^2</f>
        <v>53394.08647425205</v>
      </c>
      <c r="R341" s="101">
        <f>R340+T340*Tableau!$G$2</f>
        <v>-1740.2169127445341</v>
      </c>
      <c r="S341" s="101">
        <f>S340+U340*Tableau!$G$2</f>
        <v>-71.490756578352261</v>
      </c>
      <c r="T341" s="101">
        <f t="shared" si="10"/>
        <v>123.43024289152495</v>
      </c>
      <c r="U341" s="101">
        <f t="shared" si="11"/>
        <v>-107.24508323887264</v>
      </c>
      <c r="V341" s="101">
        <f>((Tableau!$G$16-P341)/(AC341^2+Tableau!$G$21^2)^(3/2))*Tableau!$G$20</f>
        <v>49.387279221327503</v>
      </c>
      <c r="W341" s="101">
        <f>((Tableau!$H$16-Q341)/(AC341^2+Tableau!$G$21^2)^(3/2))*Tableau!$G$20</f>
        <v>-27.003127191296802</v>
      </c>
      <c r="X341" s="101">
        <f>((Tableau!$G$25-P341)/(AD341^2+Tableau!$G$30^2)^(3/2))*Tableau!$G$29</f>
        <v>32.871168694661819</v>
      </c>
      <c r="Y341" s="101">
        <f>((Tableau!$H$25-Q341)/(AD341^2+Tableau!$G$30^2)^(3/2))*Tableau!$G$29</f>
        <v>-32.464373868400976</v>
      </c>
      <c r="Z341" s="101">
        <f>((Tableau!$G$35-P341)/(AE341^2+Tableau!$G$40^2)^(3/2))*Tableau!$G$39</f>
        <v>41.17179497553564</v>
      </c>
      <c r="AA341" s="102">
        <f>((Tableau!$H$35-Q341)/(AE341^2+Tableau!$G$40^2)^(3/2))*Tableau!$G$39</f>
        <v>-47.777582179174864</v>
      </c>
      <c r="AC341" s="113">
        <f>SQRT((Tableau!$G$16-P341)^2+(Tableau!$H$16-Q341)^2)</f>
        <v>95665.184345578862</v>
      </c>
      <c r="AD341" s="114">
        <f>SQRT((Tableau!$G$25-P341)^2+(Tableau!$H$25-Q341)^2)</f>
        <v>61754.191587611371</v>
      </c>
      <c r="AE341" s="115">
        <f>SQRT((Tableau!$G$35-P341)^2+(Tableau!$H$35-Q341)^2)</f>
        <v>90285.212433574125</v>
      </c>
    </row>
    <row r="342" spans="2:31" x14ac:dyDescent="0.25">
      <c r="B342" s="20">
        <v>339</v>
      </c>
      <c r="C342" s="21">
        <f>Tableau!$G$17*COS(B342*PI()/180)+Tableau!$G$16</f>
        <v>24667.902132486008</v>
      </c>
      <c r="D342" s="21">
        <f>Tableau!$G$17*SIN(B342*PI()/180)+Tableau!$H$16</f>
        <v>5708.1602522734956</v>
      </c>
      <c r="F342" s="28">
        <v>339</v>
      </c>
      <c r="G342" s="29">
        <f>Tableau!$G$26*COS(F342*PI()/180)+Tableau!$G$25</f>
        <v>-16732.468507259793</v>
      </c>
      <c r="H342" s="29">
        <f>Tableau!$G$26*SIN(F342*PI()/180)+Tableau!$H$25</f>
        <v>8745.7121765914471</v>
      </c>
      <c r="J342" s="36">
        <v>339</v>
      </c>
      <c r="K342" s="37">
        <f>Tableau!$G$36*COS(J342*PI()/180)+Tableau!$G$35</f>
        <v>-332.09786751399224</v>
      </c>
      <c r="L342" s="37">
        <f>Tableau!$G$36*SIN(J342*PI()/180)+Tableau!$H$35</f>
        <v>-16791.839747726503</v>
      </c>
      <c r="N342" s="92">
        <v>338</v>
      </c>
      <c r="O342" s="93">
        <v>169</v>
      </c>
      <c r="P342" s="96">
        <f>P341+R341*Tableau!$G$2+((1/2)*T341)*Tableau!$G$2^2</f>
        <v>-64792.515736797279</v>
      </c>
      <c r="Q342" s="96">
        <f>Q341+S341*Tableau!$G$2+((1/2)*U341)*Tableau!$G$2^2</f>
        <v>53344.935460558016</v>
      </c>
      <c r="R342" s="96">
        <f>R341+T341*Tableau!$G$2</f>
        <v>-1678.5017912987716</v>
      </c>
      <c r="S342" s="96">
        <f>S341+U341*Tableau!$G$2</f>
        <v>-125.11329819778858</v>
      </c>
      <c r="T342" s="96">
        <f t="shared" si="10"/>
        <v>122.44094560742771</v>
      </c>
      <c r="U342" s="96">
        <f t="shared" si="11"/>
        <v>-104.85380568369855</v>
      </c>
      <c r="V342" s="96">
        <f>((Tableau!$G$16-P342)/(AC342^2+Tableau!$G$21^2)^(3/2))*Tableau!$G$20</f>
        <v>48.781112295924537</v>
      </c>
      <c r="W342" s="96">
        <f>((Tableau!$H$16-Q342)/(AC342^2+Tableau!$G$21^2)^(3/2))*Tableau!$G$20</f>
        <v>-26.374579471645291</v>
      </c>
      <c r="X342" s="96">
        <f>((Tableau!$G$25-P342)/(AD342^2+Tableau!$G$30^2)^(3/2))*Tableau!$G$29</f>
        <v>32.600281181643133</v>
      </c>
      <c r="Y342" s="96">
        <f>((Tableau!$H$25-Q342)/(AD342^2+Tableau!$G$30^2)^(3/2))*Tableau!$G$29</f>
        <v>-31.546722941786726</v>
      </c>
      <c r="Z342" s="96">
        <f>((Tableau!$G$35-P342)/(AE342^2+Tableau!$G$40^2)^(3/2))*Tableau!$G$39</f>
        <v>41.059552129860037</v>
      </c>
      <c r="AA342" s="97">
        <f>((Tableau!$H$35-Q342)/(AE342^2+Tableau!$G$40^2)^(3/2))*Tableau!$G$39</f>
        <v>-46.932503270266537</v>
      </c>
      <c r="AC342" s="110">
        <f>SQRT((Tableau!$G$16-P342)^2+(Tableau!$H$16-Q342)^2)</f>
        <v>96392.576645495588</v>
      </c>
      <c r="AD342" s="111">
        <f>SQRT((Tableau!$G$25-P342)^2+(Tableau!$H$25-Q342)^2)</f>
        <v>62330.994666467275</v>
      </c>
      <c r="AE342" s="112">
        <f>SQRT((Tableau!$G$35-P342)^2+(Tableau!$H$35-Q342)^2)</f>
        <v>90808.453027474214</v>
      </c>
    </row>
    <row r="343" spans="2:31" x14ac:dyDescent="0.25">
      <c r="B343" s="18">
        <v>340</v>
      </c>
      <c r="C343" s="19">
        <f>Tableau!$G$17*COS(B343*PI()/180)+Tableau!$G$16</f>
        <v>24698.463103929542</v>
      </c>
      <c r="D343" s="19">
        <f>Tableau!$G$17*SIN(B343*PI()/180)+Tableau!$H$16</f>
        <v>5789.8992833716566</v>
      </c>
      <c r="F343" s="26">
        <v>340</v>
      </c>
      <c r="G343" s="27">
        <f>Tableau!$G$26*COS(F343*PI()/180)+Tableau!$G$25</f>
        <v>-16711.075827249319</v>
      </c>
      <c r="H343" s="27">
        <f>Tableau!$G$26*SIN(F343*PI()/180)+Tableau!$H$25</f>
        <v>8802.9294983601594</v>
      </c>
      <c r="J343" s="34">
        <v>340</v>
      </c>
      <c r="K343" s="35">
        <f>Tableau!$G$36*COS(J343*PI()/180)+Tableau!$G$35</f>
        <v>-301.53689607045817</v>
      </c>
      <c r="L343" s="35">
        <f>Tableau!$G$36*SIN(J343*PI()/180)+Tableau!$H$35</f>
        <v>-16710.100716628342</v>
      </c>
      <c r="N343" s="98">
        <v>339</v>
      </c>
      <c r="O343" s="99">
        <v>169.5</v>
      </c>
      <c r="P343" s="101">
        <f>P342+R342*Tableau!$G$2+((1/2)*T342)*Tableau!$G$2^2</f>
        <v>-65616.461514245748</v>
      </c>
      <c r="Q343" s="101">
        <f>Q342+S342*Tableau!$G$2+((1/2)*U342)*Tableau!$G$2^2</f>
        <v>53269.272085748664</v>
      </c>
      <c r="R343" s="101">
        <f>R342+T342*Tableau!$G$2</f>
        <v>-1617.2813184950578</v>
      </c>
      <c r="S343" s="101">
        <f>S342+U342*Tableau!$G$2</f>
        <v>-177.54020103963785</v>
      </c>
      <c r="T343" s="101">
        <f t="shared" si="10"/>
        <v>121.55081937804641</v>
      </c>
      <c r="U343" s="101">
        <f t="shared" si="11"/>
        <v>-102.61427762629674</v>
      </c>
      <c r="V343" s="101">
        <f>((Tableau!$G$16-P343)/(AC343^2+Tableau!$G$21^2)^(3/2))*Tableau!$G$20</f>
        <v>48.223429815730107</v>
      </c>
      <c r="W343" s="101">
        <f>((Tableau!$H$16-Q343)/(AC343^2+Tableau!$G$21^2)^(3/2))*Tableau!$G$20</f>
        <v>-25.779519979074436</v>
      </c>
      <c r="X343" s="101">
        <f>((Tableau!$G$25-P343)/(AD343^2+Tableau!$G$30^2)^(3/2))*Tableau!$G$29</f>
        <v>32.358160205926069</v>
      </c>
      <c r="Y343" s="101">
        <f>((Tableau!$H$25-Q343)/(AD343^2+Tableau!$G$30^2)^(3/2))*Tableau!$G$29</f>
        <v>-30.693175043996192</v>
      </c>
      <c r="Z343" s="101">
        <f>((Tableau!$G$35-P343)/(AE343^2+Tableau!$G$40^2)^(3/2))*Tableau!$G$39</f>
        <v>40.96922935639023</v>
      </c>
      <c r="AA343" s="102">
        <f>((Tableau!$H$35-Q343)/(AE343^2+Tableau!$G$40^2)^(3/2))*Tableau!$G$39</f>
        <v>-46.141582603226105</v>
      </c>
      <c r="AC343" s="113">
        <f>SQRT((Tableau!$G$16-P343)^2+(Tableau!$H$16-Q343)^2)</f>
        <v>97082.463655799424</v>
      </c>
      <c r="AD343" s="114">
        <f>SQRT((Tableau!$G$25-P343)^2+(Tableau!$H$25-Q343)^2)</f>
        <v>62873.615037718424</v>
      </c>
      <c r="AE343" s="115">
        <f>SQRT((Tableau!$G$35-P343)^2+(Tableau!$H$35-Q343)^2)</f>
        <v>91296.489076119557</v>
      </c>
    </row>
    <row r="344" spans="2:31" x14ac:dyDescent="0.25">
      <c r="B344" s="20">
        <v>341</v>
      </c>
      <c r="C344" s="21">
        <f>Tableau!$G$17*COS(B344*PI()/180)+Tableau!$G$16</f>
        <v>24727.592877996583</v>
      </c>
      <c r="D344" s="21">
        <f>Tableau!$G$17*SIN(B344*PI()/180)+Tableau!$H$16</f>
        <v>5872.1592277142126</v>
      </c>
      <c r="F344" s="28">
        <v>341</v>
      </c>
      <c r="G344" s="29">
        <f>Tableau!$G$26*COS(F344*PI()/180)+Tableau!$G$25</f>
        <v>-16690.684985402393</v>
      </c>
      <c r="H344" s="29">
        <f>Tableau!$G$26*SIN(F344*PI()/180)+Tableau!$H$25</f>
        <v>8860.5114593999479</v>
      </c>
      <c r="J344" s="36">
        <v>341</v>
      </c>
      <c r="K344" s="37">
        <f>Tableau!$G$36*COS(J344*PI()/180)+Tableau!$G$35</f>
        <v>-272.4071220034175</v>
      </c>
      <c r="L344" s="37">
        <f>Tableau!$G$36*SIN(J344*PI()/180)+Tableau!$H$35</f>
        <v>-16627.840772285788</v>
      </c>
      <c r="N344" s="92">
        <v>340</v>
      </c>
      <c r="O344" s="93">
        <v>170</v>
      </c>
      <c r="P344" s="96">
        <f>P343+R343*Tableau!$G$2+((1/2)*T343)*Tableau!$G$2^2</f>
        <v>-66409.908321071023</v>
      </c>
      <c r="Q344" s="96">
        <f>Q343+S343*Tableau!$G$2+((1/2)*U343)*Tableau!$G$2^2</f>
        <v>53167.675200525562</v>
      </c>
      <c r="R344" s="96">
        <f>R343+T343*Tableau!$G$2</f>
        <v>-1556.5059088060345</v>
      </c>
      <c r="S344" s="96">
        <f>S343+U343*Tableau!$G$2</f>
        <v>-228.84733985278621</v>
      </c>
      <c r="T344" s="96">
        <f t="shared" si="10"/>
        <v>120.75601590593875</v>
      </c>
      <c r="U344" s="96">
        <f t="shared" si="11"/>
        <v>-100.51536158125376</v>
      </c>
      <c r="V344" s="96">
        <f>((Tableau!$G$16-P344)/(AC344^2+Tableau!$G$21^2)^(3/2))*Tableau!$G$20</f>
        <v>47.711393759040639</v>
      </c>
      <c r="W344" s="96">
        <f>((Tableau!$H$16-Q344)/(AC344^2+Tableau!$G$21^2)^(3/2))*Tableau!$G$20</f>
        <v>-25.215492943891181</v>
      </c>
      <c r="X344" s="96">
        <f>((Tableau!$G$25-P344)/(AD344^2+Tableau!$G$30^2)^(3/2))*Tableau!$G$29</f>
        <v>32.143996997037114</v>
      </c>
      <c r="Y344" s="96">
        <f>((Tableau!$H$25-Q344)/(AD344^2+Tableau!$G$30^2)^(3/2))*Tableau!$G$29</f>
        <v>-29.898391792012596</v>
      </c>
      <c r="Z344" s="96">
        <f>((Tableau!$G$35-P344)/(AE344^2+Tableau!$G$40^2)^(3/2))*Tableau!$G$39</f>
        <v>40.900625149861</v>
      </c>
      <c r="AA344" s="97">
        <f>((Tableau!$H$35-Q344)/(AE344^2+Tableau!$G$40^2)^(3/2))*Tableau!$G$39</f>
        <v>-45.401476845349983</v>
      </c>
      <c r="AC344" s="110">
        <f>SQRT((Tableau!$G$16-P344)^2+(Tableau!$H$16-Q344)^2)</f>
        <v>97735.402052053774</v>
      </c>
      <c r="AD344" s="111">
        <f>SQRT((Tableau!$G$25-P344)^2+(Tableau!$H$25-Q344)^2)</f>
        <v>63382.393238093231</v>
      </c>
      <c r="AE344" s="112">
        <f>SQRT((Tableau!$G$35-P344)^2+(Tableau!$H$35-Q344)^2)</f>
        <v>91749.707259732953</v>
      </c>
    </row>
    <row r="345" spans="2:31" x14ac:dyDescent="0.25">
      <c r="B345" s="18">
        <v>342</v>
      </c>
      <c r="C345" s="19">
        <f>Tableau!$G$17*COS(B345*PI()/180)+Tableau!$G$16</f>
        <v>24755.282581475767</v>
      </c>
      <c r="D345" s="19">
        <f>Tableau!$G$17*SIN(B345*PI()/180)+Tableau!$H$16</f>
        <v>5954.9150281252623</v>
      </c>
      <c r="F345" s="26">
        <v>342</v>
      </c>
      <c r="G345" s="27">
        <f>Tableau!$G$26*COS(F345*PI()/180)+Tableau!$G$25</f>
        <v>-16671.302192966963</v>
      </c>
      <c r="H345" s="27">
        <f>Tableau!$G$26*SIN(F345*PI()/180)+Tableau!$H$25</f>
        <v>8918.4405196876833</v>
      </c>
      <c r="J345" s="34">
        <v>342</v>
      </c>
      <c r="K345" s="35">
        <f>Tableau!$G$36*COS(J345*PI()/180)+Tableau!$G$35</f>
        <v>-244.71741852423202</v>
      </c>
      <c r="L345" s="35">
        <f>Tableau!$G$36*SIN(J345*PI()/180)+Tableau!$H$35</f>
        <v>-16545.084971874738</v>
      </c>
      <c r="N345" s="98">
        <v>341</v>
      </c>
      <c r="O345" s="99">
        <v>170.5</v>
      </c>
      <c r="P345" s="101">
        <f>P344+R344*Tableau!$G$2+((1/2)*T344)*Tableau!$G$2^2</f>
        <v>-67173.066773485785</v>
      </c>
      <c r="Q345" s="101">
        <f>Q344+S344*Tableau!$G$2+((1/2)*U344)*Tableau!$G$2^2</f>
        <v>53040.687110401515</v>
      </c>
      <c r="R345" s="101">
        <f>R344+T344*Tableau!$G$2</f>
        <v>-1496.1279008530651</v>
      </c>
      <c r="S345" s="101">
        <f>S344+U344*Tableau!$G$2</f>
        <v>-279.10502064341307</v>
      </c>
      <c r="T345" s="101">
        <f t="shared" si="10"/>
        <v>120.05311812055149</v>
      </c>
      <c r="U345" s="101">
        <f t="shared" si="11"/>
        <v>-98.547045307018919</v>
      </c>
      <c r="V345" s="101">
        <f>((Tableau!$G$16-P345)/(AC345^2+Tableau!$G$21^2)^(3/2))*Tableau!$G$20</f>
        <v>47.242468599873384</v>
      </c>
      <c r="W345" s="101">
        <f>((Tableau!$H$16-Q345)/(AC345^2+Tableau!$G$21^2)^(3/2))*Tableau!$G$20</f>
        <v>-24.680266055342912</v>
      </c>
      <c r="X345" s="101">
        <f>((Tableau!$G$25-P345)/(AD345^2+Tableau!$G$30^2)^(3/2))*Tableau!$G$29</f>
        <v>31.957064731662637</v>
      </c>
      <c r="Y345" s="101">
        <f>((Tableau!$H$25-Q345)/(AD345^2+Tableau!$G$30^2)^(3/2))*Tableau!$G$29</f>
        <v>-29.157612980452441</v>
      </c>
      <c r="Z345" s="101">
        <f>((Tableau!$G$35-P345)/(AE345^2+Tableau!$G$40^2)^(3/2))*Tableau!$G$39</f>
        <v>40.853584789015471</v>
      </c>
      <c r="AA345" s="102">
        <f>((Tableau!$H$35-Q345)/(AE345^2+Tableau!$G$40^2)^(3/2))*Tableau!$G$39</f>
        <v>-44.709166271223559</v>
      </c>
      <c r="AC345" s="113">
        <f>SQRT((Tableau!$G$16-P345)^2+(Tableau!$H$16-Q345)^2)</f>
        <v>98351.907725178884</v>
      </c>
      <c r="AD345" s="114">
        <f>SQRT((Tableau!$G$25-P345)^2+(Tableau!$H$25-Q345)^2)</f>
        <v>63857.6461807921</v>
      </c>
      <c r="AE345" s="115">
        <f>SQRT((Tableau!$G$35-P345)^2+(Tableau!$H$35-Q345)^2)</f>
        <v>92168.461712648117</v>
      </c>
    </row>
    <row r="346" spans="2:31" x14ac:dyDescent="0.25">
      <c r="B346" s="20">
        <v>343</v>
      </c>
      <c r="C346" s="21">
        <f>Tableau!$G$17*COS(B346*PI()/180)+Tableau!$G$16</f>
        <v>24781.523779815179</v>
      </c>
      <c r="D346" s="21">
        <f>Tableau!$G$17*SIN(B346*PI()/180)+Tableau!$H$16</f>
        <v>6038.1414763863186</v>
      </c>
      <c r="F346" s="28">
        <v>343</v>
      </c>
      <c r="G346" s="29">
        <f>Tableau!$G$26*COS(F346*PI()/180)+Tableau!$G$25</f>
        <v>-16652.933354129374</v>
      </c>
      <c r="H346" s="29">
        <f>Tableau!$G$26*SIN(F346*PI()/180)+Tableau!$H$25</f>
        <v>8976.6990334704224</v>
      </c>
      <c r="J346" s="36">
        <v>343</v>
      </c>
      <c r="K346" s="37">
        <f>Tableau!$G$36*COS(J346*PI()/180)+Tableau!$G$35</f>
        <v>-218.47622018482161</v>
      </c>
      <c r="L346" s="37">
        <f>Tableau!$G$36*SIN(J346*PI()/180)+Tableau!$H$35</f>
        <v>-16461.858523613682</v>
      </c>
      <c r="N346" s="92">
        <v>342</v>
      </c>
      <c r="O346" s="93">
        <v>171</v>
      </c>
      <c r="P346" s="96">
        <f>P345+R345*Tableau!$G$2+((1/2)*T345)*Tableau!$G$2^2</f>
        <v>-67906.124084147246</v>
      </c>
      <c r="Q346" s="96">
        <f>Q345+S345*Tableau!$G$2+((1/2)*U345)*Tableau!$G$2^2</f>
        <v>52888.816219416432</v>
      </c>
      <c r="R346" s="96">
        <f>R345+T345*Tableau!$G$2</f>
        <v>-1436.1013417927893</v>
      </c>
      <c r="S346" s="96">
        <f>S345+U345*Tableau!$G$2</f>
        <v>-328.37854329692254</v>
      </c>
      <c r="T346" s="96">
        <f t="shared" si="10"/>
        <v>119.43911096701723</v>
      </c>
      <c r="U346" s="96">
        <f t="shared" si="11"/>
        <v>-96.700310373163958</v>
      </c>
      <c r="V346" s="96">
        <f>((Tableau!$G$16-P346)/(AC346^2+Tableau!$G$21^2)^(3/2))*Tableau!$G$20</f>
        <v>46.814388976863405</v>
      </c>
      <c r="W346" s="96">
        <f>((Tableau!$H$16-Q346)/(AC346^2+Tableau!$G$21^2)^(3/2))*Tableau!$G$20</f>
        <v>-24.171805091316923</v>
      </c>
      <c r="X346" s="96">
        <f>((Tableau!$G$25-P346)/(AD346^2+Tableau!$G$30^2)^(3/2))*Tableau!$G$29</f>
        <v>31.796720301016641</v>
      </c>
      <c r="Y346" s="96">
        <f>((Tableau!$H$25-Q346)/(AD346^2+Tableau!$G$30^2)^(3/2))*Tableau!$G$29</f>
        <v>-28.466583749816738</v>
      </c>
      <c r="Z346" s="96">
        <f>((Tableau!$G$35-P346)/(AE346^2+Tableau!$G$40^2)^(3/2))*Tableau!$G$39</f>
        <v>40.828001689137174</v>
      </c>
      <c r="AA346" s="97">
        <f>((Tableau!$H$35-Q346)/(AE346^2+Tableau!$G$40^2)^(3/2))*Tableau!$G$39</f>
        <v>-44.061921532030297</v>
      </c>
      <c r="AC346" s="110">
        <f>SQRT((Tableau!$G$16-P346)^2+(Tableau!$H$16-Q346)^2)</f>
        <v>98932.458219218694</v>
      </c>
      <c r="AD346" s="111">
        <f>SQRT((Tableau!$G$25-P346)^2+(Tableau!$H$25-Q346)^2)</f>
        <v>64299.667817715752</v>
      </c>
      <c r="AE346" s="112">
        <f>SQRT((Tableau!$G$35-P346)^2+(Tableau!$H$35-Q346)^2)</f>
        <v>92553.075664527918</v>
      </c>
    </row>
    <row r="347" spans="2:31" x14ac:dyDescent="0.25">
      <c r="B347" s="18">
        <v>344</v>
      </c>
      <c r="C347" s="19">
        <f>Tableau!$G$17*COS(B347*PI()/180)+Tableau!$G$16</f>
        <v>24806.308479691594</v>
      </c>
      <c r="D347" s="19">
        <f>Tableau!$G$17*SIN(B347*PI()/180)+Tableau!$H$16</f>
        <v>6121.8132209150008</v>
      </c>
      <c r="F347" s="26">
        <v>344</v>
      </c>
      <c r="G347" s="27">
        <f>Tableau!$G$26*COS(F347*PI()/180)+Tableau!$G$25</f>
        <v>-16635.584064215884</v>
      </c>
      <c r="H347" s="27">
        <f>Tableau!$G$26*SIN(F347*PI()/180)+Tableau!$H$25</f>
        <v>9035.2692546405015</v>
      </c>
      <c r="J347" s="34">
        <v>344</v>
      </c>
      <c r="K347" s="35">
        <f>Tableau!$G$36*COS(J347*PI()/180)+Tableau!$G$35</f>
        <v>-193.69152030840633</v>
      </c>
      <c r="L347" s="35">
        <f>Tableau!$G$36*SIN(J347*PI()/180)+Tableau!$H$35</f>
        <v>-16378.186779084999</v>
      </c>
      <c r="N347" s="98">
        <v>343</v>
      </c>
      <c r="O347" s="99">
        <v>171.5</v>
      </c>
      <c r="P347" s="101">
        <f>P346+R346*Tableau!$G$2+((1/2)*T346)*Tableau!$G$2^2</f>
        <v>-68609.244866172769</v>
      </c>
      <c r="Q347" s="101">
        <f>Q346+S346*Tableau!$G$2+((1/2)*U346)*Tableau!$G$2^2</f>
        <v>52712.53940897133</v>
      </c>
      <c r="R347" s="101">
        <f>R346+T346*Tableau!$G$2</f>
        <v>-1376.3817863092806</v>
      </c>
      <c r="S347" s="101">
        <f>S346+U346*Tableau!$G$2</f>
        <v>-376.7286984835045</v>
      </c>
      <c r="T347" s="101">
        <f t="shared" si="10"/>
        <v>118.91135567923156</v>
      </c>
      <c r="U347" s="101">
        <f t="shared" si="11"/>
        <v>-94.967018756023094</v>
      </c>
      <c r="V347" s="101">
        <f>((Tableau!$G$16-P347)/(AC347^2+Tableau!$G$21^2)^(3/2))*Tableau!$G$20</f>
        <v>46.425131855820332</v>
      </c>
      <c r="W347" s="101">
        <f>((Tableau!$H$16-Q347)/(AC347^2+Tableau!$G$21^2)^(3/2))*Tableau!$G$20</f>
        <v>-23.688251793231057</v>
      </c>
      <c r="X347" s="101">
        <f>((Tableau!$G$25-P347)/(AD347^2+Tableau!$G$30^2)^(3/2))*Tableau!$G$29</f>
        <v>31.662405172889823</v>
      </c>
      <c r="Y347" s="101">
        <f>((Tableau!$H$25-Q347)/(AD347^2+Tableau!$G$30^2)^(3/2))*Tableau!$G$29</f>
        <v>-27.821492237806776</v>
      </c>
      <c r="Z347" s="101">
        <f>((Tableau!$G$35-P347)/(AE347^2+Tableau!$G$40^2)^(3/2))*Tableau!$G$39</f>
        <v>40.823818650521403</v>
      </c>
      <c r="AA347" s="102">
        <f>((Tableau!$H$35-Q347)/(AE347^2+Tableau!$G$40^2)^(3/2))*Tableau!$G$39</f>
        <v>-43.457274724985268</v>
      </c>
      <c r="AC347" s="113">
        <f>SQRT((Tableau!$G$16-P347)^2+(Tableau!$H$16-Q347)^2)</f>
        <v>99477.494920012701</v>
      </c>
      <c r="AD347" s="114">
        <f>SQRT((Tableau!$G$25-P347)^2+(Tableau!$H$25-Q347)^2)</f>
        <v>64708.729775992921</v>
      </c>
      <c r="AE347" s="115">
        <f>SQRT((Tableau!$G$35-P347)^2+(Tableau!$H$35-Q347)^2)</f>
        <v>92903.842900367803</v>
      </c>
    </row>
    <row r="348" spans="2:31" x14ac:dyDescent="0.25">
      <c r="B348" s="20">
        <v>345</v>
      </c>
      <c r="C348" s="21">
        <f>Tableau!$G$17*COS(B348*PI()/180)+Tableau!$G$16</f>
        <v>24829.629131445341</v>
      </c>
      <c r="D348" s="21">
        <f>Tableau!$G$17*SIN(B348*PI()/180)+Tableau!$H$16</f>
        <v>6205.9047744873969</v>
      </c>
      <c r="F348" s="28">
        <v>345</v>
      </c>
      <c r="G348" s="29">
        <f>Tableau!$G$26*COS(F348*PI()/180)+Tableau!$G$25</f>
        <v>-16619.259607988261</v>
      </c>
      <c r="H348" s="29">
        <f>Tableau!$G$26*SIN(F348*PI()/180)+Tableau!$H$25</f>
        <v>9094.1333421411782</v>
      </c>
      <c r="J348" s="36">
        <v>345</v>
      </c>
      <c r="K348" s="37">
        <f>Tableau!$G$36*COS(J348*PI()/180)+Tableau!$G$35</f>
        <v>-170.37086855465805</v>
      </c>
      <c r="L348" s="37">
        <f>Tableau!$G$36*SIN(J348*PI()/180)+Tableau!$H$35</f>
        <v>-16294.095225512603</v>
      </c>
      <c r="N348" s="92">
        <v>344</v>
      </c>
      <c r="O348" s="93">
        <v>172</v>
      </c>
      <c r="P348" s="96">
        <f>P347+R347*Tableau!$G$2+((1/2)*T347)*Tableau!$G$2^2</f>
        <v>-69282.571839867494</v>
      </c>
      <c r="Q348" s="96">
        <f>Q347+S347*Tableau!$G$2+((1/2)*U347)*Tableau!$G$2^2</f>
        <v>52512.304182385073</v>
      </c>
      <c r="R348" s="96">
        <f>R347+T347*Tableau!$G$2</f>
        <v>-1316.9261084696648</v>
      </c>
      <c r="S348" s="96">
        <f>S347+U347*Tableau!$G$2</f>
        <v>-424.21220786151605</v>
      </c>
      <c r="T348" s="96">
        <f t="shared" si="10"/>
        <v>118.467567315758</v>
      </c>
      <c r="U348" s="96">
        <f t="shared" si="11"/>
        <v>-93.33981469611453</v>
      </c>
      <c r="V348" s="96">
        <f>((Tableau!$G$16-P348)/(AC348^2+Tableau!$G$21^2)^(3/2))*Tableau!$G$20</f>
        <v>46.072892519189509</v>
      </c>
      <c r="W348" s="96">
        <f>((Tableau!$H$16-Q348)/(AC348^2+Tableau!$G$21^2)^(3/2))*Tableau!$G$20</f>
        <v>-23.227904504763085</v>
      </c>
      <c r="X348" s="96">
        <f>((Tableau!$G$25-P348)/(AD348^2+Tableau!$G$30^2)^(3/2))*Tableau!$G$29</f>
        <v>31.553645709556363</v>
      </c>
      <c r="Y348" s="96">
        <f>((Tableau!$H$25-Q348)/(AD348^2+Tableau!$G$30^2)^(3/2))*Tableau!$G$29</f>
        <v>-27.21891602626793</v>
      </c>
      <c r="Z348" s="96">
        <f>((Tableau!$G$35-P348)/(AE348^2+Tableau!$G$40^2)^(3/2))*Tableau!$G$39</f>
        <v>40.841029087012124</v>
      </c>
      <c r="AA348" s="97">
        <f>((Tableau!$H$35-Q348)/(AE348^2+Tableau!$G$40^2)^(3/2))*Tableau!$G$39</f>
        <v>-42.892994165083515</v>
      </c>
      <c r="AC348" s="110">
        <f>SQRT((Tableau!$G$16-P348)^2+(Tableau!$H$16-Q348)^2)</f>
        <v>99987.425020092705</v>
      </c>
      <c r="AD348" s="111">
        <f>SQRT((Tableau!$G$25-P348)^2+(Tableau!$H$25-Q348)^2)</f>
        <v>65085.081962361663</v>
      </c>
      <c r="AE348" s="112">
        <f>SQRT((Tableau!$G$35-P348)^2+(Tableau!$H$35-Q348)^2)</f>
        <v>93221.02905655255</v>
      </c>
    </row>
    <row r="349" spans="2:31" x14ac:dyDescent="0.25">
      <c r="B349" s="18">
        <v>346</v>
      </c>
      <c r="C349" s="19">
        <f>Tableau!$G$17*COS(B349*PI()/180)+Tableau!$G$16</f>
        <v>24851.478631379981</v>
      </c>
      <c r="D349" s="19">
        <f>Tableau!$G$17*SIN(B349*PI()/180)+Tableau!$H$16</f>
        <v>6290.3905220016604</v>
      </c>
      <c r="F349" s="26">
        <v>346</v>
      </c>
      <c r="G349" s="27">
        <f>Tableau!$G$26*COS(F349*PI()/180)+Tableau!$G$25</f>
        <v>-16603.964958034012</v>
      </c>
      <c r="H349" s="27">
        <f>Tableau!$G$26*SIN(F349*PI()/180)+Tableau!$H$25</f>
        <v>9153.2733654011627</v>
      </c>
      <c r="J349" s="34">
        <v>346</v>
      </c>
      <c r="K349" s="35">
        <f>Tableau!$G$36*COS(J349*PI()/180)+Tableau!$G$35</f>
        <v>-148.52136862001771</v>
      </c>
      <c r="L349" s="35">
        <f>Tableau!$G$36*SIN(J349*PI()/180)+Tableau!$H$35</f>
        <v>-16209.60947799834</v>
      </c>
      <c r="N349" s="98">
        <v>345</v>
      </c>
      <c r="O349" s="99">
        <v>172.5</v>
      </c>
      <c r="P349" s="101">
        <f>P348+R348*Tableau!$G$2+((1/2)*T348)*Tableau!$G$2^2</f>
        <v>-69926.226448187852</v>
      </c>
      <c r="Q349" s="101">
        <f>Q348+S348*Tableau!$G$2+((1/2)*U348)*Tableau!$G$2^2</f>
        <v>52288.530601617298</v>
      </c>
      <c r="R349" s="101">
        <f>R348+T348*Tableau!$G$2</f>
        <v>-1257.6923248117857</v>
      </c>
      <c r="S349" s="101">
        <f>S348+U348*Tableau!$G$2</f>
        <v>-470.88211520957333</v>
      </c>
      <c r="T349" s="101">
        <f t="shared" si="10"/>
        <v>118.105795347759</v>
      </c>
      <c r="U349" s="101">
        <f t="shared" si="11"/>
        <v>-91.812039520620473</v>
      </c>
      <c r="V349" s="101">
        <f>((Tableau!$G$16-P349)/(AC349^2+Tableau!$G$21^2)^(3/2))*Tableau!$G$20</f>
        <v>45.756063830254334</v>
      </c>
      <c r="W349" s="101">
        <f>((Tableau!$H$16-Q349)/(AC349^2+Tableau!$G$21^2)^(3/2))*Tableau!$G$20</f>
        <v>-22.789201170936025</v>
      </c>
      <c r="X349" s="101">
        <f>((Tableau!$G$25-P349)/(AD349^2+Tableau!$G$30^2)^(3/2))*Tableau!$G$29</f>
        <v>31.47005321318284</v>
      </c>
      <c r="Y349" s="101">
        <f>((Tableau!$H$25-Q349)/(AD349^2+Tableau!$G$30^2)^(3/2))*Tableau!$G$29</f>
        <v>-26.655775992229263</v>
      </c>
      <c r="Z349" s="101">
        <f>((Tableau!$G$35-P349)/(AE349^2+Tableau!$G$40^2)^(3/2))*Tableau!$G$39</f>
        <v>40.879678304321835</v>
      </c>
      <c r="AA349" s="102">
        <f>((Tableau!$H$35-Q349)/(AE349^2+Tableau!$G$40^2)^(3/2))*Tableau!$G$39</f>
        <v>-42.367062357455183</v>
      </c>
      <c r="AC349" s="113">
        <f>SQRT((Tableau!$G$16-P349)^2+(Tableau!$H$16-Q349)^2)</f>
        <v>100462.62328180949</v>
      </c>
      <c r="AD349" s="114">
        <f>SQRT((Tableau!$G$25-P349)^2+(Tableau!$H$25-Q349)^2)</f>
        <v>65428.953130855261</v>
      </c>
      <c r="AE349" s="115">
        <f>SQRT((Tableau!$G$35-P349)^2+(Tableau!$H$35-Q349)^2)</f>
        <v>93504.872767819732</v>
      </c>
    </row>
    <row r="350" spans="2:31" x14ac:dyDescent="0.25">
      <c r="B350" s="20">
        <v>347</v>
      </c>
      <c r="C350" s="21">
        <f>Tableau!$G$17*COS(B350*PI()/180)+Tableau!$G$16</f>
        <v>24871.850323926177</v>
      </c>
      <c r="D350" s="21">
        <f>Tableau!$G$17*SIN(B350*PI()/180)+Tableau!$H$16</f>
        <v>6375.2447282806734</v>
      </c>
      <c r="F350" s="28">
        <v>347</v>
      </c>
      <c r="G350" s="29">
        <f>Tableau!$G$26*COS(F350*PI()/180)+Tableau!$G$25</f>
        <v>-16589.704773251677</v>
      </c>
      <c r="H350" s="29">
        <f>Tableau!$G$26*SIN(F350*PI()/180)+Tableau!$H$25</f>
        <v>9212.6713097964712</v>
      </c>
      <c r="J350" s="36">
        <v>347</v>
      </c>
      <c r="K350" s="37">
        <f>Tableau!$G$36*COS(J350*PI()/180)+Tableau!$G$35</f>
        <v>-128.14967607382459</v>
      </c>
      <c r="L350" s="37">
        <f>Tableau!$G$36*SIN(J350*PI()/180)+Tableau!$H$35</f>
        <v>-16124.755271719327</v>
      </c>
      <c r="N350" s="92">
        <v>346</v>
      </c>
      <c r="O350" s="93">
        <v>173</v>
      </c>
      <c r="P350" s="96">
        <f>P349+R349*Tableau!$G$2+((1/2)*T349)*Tableau!$G$2^2</f>
        <v>-70540.309386175286</v>
      </c>
      <c r="Q350" s="96">
        <f>Q349+S349*Tableau!$G$2+((1/2)*U349)*Tableau!$G$2^2</f>
        <v>52041.613039072436</v>
      </c>
      <c r="R350" s="96">
        <f>R349+T349*Tableau!$G$2</f>
        <v>-1198.6394271379063</v>
      </c>
      <c r="S350" s="96">
        <f>S349+U349*Tableau!$G$2</f>
        <v>-516.78813496988357</v>
      </c>
      <c r="T350" s="96">
        <f t="shared" si="10"/>
        <v>117.82440710567531</v>
      </c>
      <c r="U350" s="96">
        <f t="shared" si="11"/>
        <v>-90.377657517250427</v>
      </c>
      <c r="V350" s="96">
        <f>((Tableau!$G$16-P350)/(AC350^2+Tableau!$G$21^2)^(3/2))*Tableau!$G$20</f>
        <v>45.47321831338418</v>
      </c>
      <c r="W350" s="96">
        <f>((Tableau!$H$16-Q350)/(AC350^2+Tableau!$G$21^2)^(3/2))*Tableau!$G$20</f>
        <v>-22.370704357956267</v>
      </c>
      <c r="X350" s="96">
        <f>((Tableau!$G$25-P350)/(AD350^2+Tableau!$G$30^2)^(3/2))*Tableau!$G$29</f>
        <v>31.411323904964831</v>
      </c>
      <c r="Y350" s="96">
        <f>((Tableau!$H$25-Q350)/(AD350^2+Tableau!$G$30^2)^(3/2))*Tableau!$G$29</f>
        <v>-26.129296411049022</v>
      </c>
      <c r="Z350" s="96">
        <f>((Tableau!$G$35-P350)/(AE350^2+Tableau!$G$40^2)^(3/2))*Tableau!$G$39</f>
        <v>40.939864887326287</v>
      </c>
      <c r="AA350" s="97">
        <f>((Tableau!$H$35-Q350)/(AE350^2+Tableau!$G$40^2)^(3/2))*Tableau!$G$39</f>
        <v>-41.877656748245137</v>
      </c>
      <c r="AC350" s="110">
        <f>SQRT((Tableau!$G$16-P350)^2+(Tableau!$H$16-Q350)^2)</f>
        <v>100903.43361782497</v>
      </c>
      <c r="AD350" s="111">
        <f>SQRT((Tableau!$G$25-P350)^2+(Tableau!$H$25-Q350)^2)</f>
        <v>65740.551410658416</v>
      </c>
      <c r="AE350" s="112">
        <f>SQRT((Tableau!$G$35-P350)^2+(Tableau!$H$35-Q350)^2)</f>
        <v>93755.586677895117</v>
      </c>
    </row>
    <row r="351" spans="2:31" x14ac:dyDescent="0.25">
      <c r="B351" s="18">
        <v>348</v>
      </c>
      <c r="C351" s="19">
        <f>Tableau!$G$17*COS(B351*PI()/180)+Tableau!$G$16</f>
        <v>24890.73800366903</v>
      </c>
      <c r="D351" s="19">
        <f>Tableau!$G$17*SIN(B351*PI()/180)+Tableau!$H$16</f>
        <v>6460.4415459112006</v>
      </c>
      <c r="F351" s="26">
        <v>348</v>
      </c>
      <c r="G351" s="27">
        <f>Tableau!$G$26*COS(F351*PI()/180)+Tableau!$G$25</f>
        <v>-16576.483397431679</v>
      </c>
      <c r="H351" s="27">
        <f>Tableau!$G$26*SIN(F351*PI()/180)+Tableau!$H$25</f>
        <v>9272.309082137841</v>
      </c>
      <c r="J351" s="34">
        <v>348</v>
      </c>
      <c r="K351" s="35">
        <f>Tableau!$G$36*COS(J351*PI()/180)+Tableau!$G$35</f>
        <v>-109.26199633097167</v>
      </c>
      <c r="L351" s="35">
        <f>Tableau!$G$36*SIN(J351*PI()/180)+Tableau!$H$35</f>
        <v>-16039.558454088799</v>
      </c>
      <c r="N351" s="98">
        <v>347</v>
      </c>
      <c r="O351" s="99">
        <v>173.5</v>
      </c>
      <c r="P351" s="101">
        <f>P350+R350*Tableau!$G$2+((1/2)*T350)*Tableau!$G$2^2</f>
        <v>-71124.901048856031</v>
      </c>
      <c r="Q351" s="101">
        <f>Q350+S350*Tableau!$G$2+((1/2)*U350)*Tableau!$G$2^2</f>
        <v>51771.921764397834</v>
      </c>
      <c r="R351" s="101">
        <f>R350+T350*Tableau!$G$2</f>
        <v>-1139.7272235850687</v>
      </c>
      <c r="S351" s="101">
        <f>S350+U350*Tableau!$G$2</f>
        <v>-561.97696372850874</v>
      </c>
      <c r="T351" s="101">
        <f t="shared" si="10"/>
        <v>117.62207391302587</v>
      </c>
      <c r="U351" s="101">
        <f t="shared" si="11"/>
        <v>-89.031191259207645</v>
      </c>
      <c r="V351" s="101">
        <f>((Tableau!$G$16-P351)/(AC351^2+Tableau!$G$21^2)^(3/2))*Tableau!$G$20</f>
        <v>45.223092668277197</v>
      </c>
      <c r="W351" s="101">
        <f>((Tableau!$H$16-Q351)/(AC351^2+Tableau!$G$21^2)^(3/2))*Tableau!$G$20</f>
        <v>-21.971088006785994</v>
      </c>
      <c r="X351" s="101">
        <f>((Tableau!$G$25-P351)/(AD351^2+Tableau!$G$30^2)^(3/2))*Tableau!$G$29</f>
        <v>31.377238996708797</v>
      </c>
      <c r="Y351" s="101">
        <f>((Tableau!$H$25-Q351)/(AD351^2+Tableau!$G$30^2)^(3/2))*Tableau!$G$29</f>
        <v>-25.636970354246984</v>
      </c>
      <c r="Z351" s="101">
        <f>((Tableau!$G$35-P351)/(AE351^2+Tableau!$G$40^2)^(3/2))*Tableau!$G$39</f>
        <v>41.021742248039892</v>
      </c>
      <c r="AA351" s="102">
        <f>((Tableau!$H$35-Q351)/(AE351^2+Tableau!$G$40^2)^(3/2))*Tableau!$G$39</f>
        <v>-41.423132898174671</v>
      </c>
      <c r="AC351" s="113">
        <f>SQRT((Tableau!$G$16-P351)^2+(Tableau!$H$16-Q351)^2)</f>
        <v>101310.17050561491</v>
      </c>
      <c r="AD351" s="114">
        <f>SQRT((Tableau!$G$25-P351)^2+(Tableau!$H$25-Q351)^2)</f>
        <v>66020.064792048594</v>
      </c>
      <c r="AE351" s="115">
        <f>SQRT((Tableau!$G$35-P351)^2+(Tableau!$H$35-Q351)^2)</f>
        <v>93973.358324750036</v>
      </c>
    </row>
    <row r="352" spans="2:31" x14ac:dyDescent="0.25">
      <c r="B352" s="20">
        <v>349</v>
      </c>
      <c r="C352" s="21">
        <f>Tableau!$G$17*COS(B352*PI()/180)+Tableau!$G$16</f>
        <v>24908.13591723832</v>
      </c>
      <c r="D352" s="21">
        <f>Tableau!$G$17*SIN(B352*PI()/180)+Tableau!$H$16</f>
        <v>6545.9550231172771</v>
      </c>
      <c r="F352" s="28">
        <v>349</v>
      </c>
      <c r="G352" s="29">
        <f>Tableau!$G$26*COS(F352*PI()/180)+Tableau!$G$25</f>
        <v>-16564.304857933177</v>
      </c>
      <c r="H352" s="29">
        <f>Tableau!$G$26*SIN(F352*PI()/180)+Tableau!$H$25</f>
        <v>9332.1685161820933</v>
      </c>
      <c r="J352" s="36">
        <v>349</v>
      </c>
      <c r="K352" s="37">
        <f>Tableau!$G$36*COS(J352*PI()/180)+Tableau!$G$35</f>
        <v>-91.864082761680038</v>
      </c>
      <c r="L352" s="37">
        <f>Tableau!$G$36*SIN(J352*PI()/180)+Tableau!$H$35</f>
        <v>-15954.044976882724</v>
      </c>
      <c r="N352" s="92">
        <v>348</v>
      </c>
      <c r="O352" s="93">
        <v>174</v>
      </c>
      <c r="P352" s="96">
        <f>P351+R351*Tableau!$G$2+((1/2)*T351)*Tableau!$G$2^2</f>
        <v>-71680.061901409441</v>
      </c>
      <c r="Q352" s="96">
        <f>Q351+S351*Tableau!$G$2+((1/2)*U351)*Tableau!$G$2^2</f>
        <v>51479.804383626179</v>
      </c>
      <c r="R352" s="96">
        <f>R351+T351*Tableau!$G$2</f>
        <v>-1080.9161866285558</v>
      </c>
      <c r="S352" s="96">
        <f>S351+U351*Tableau!$G$2</f>
        <v>-606.49255935811254</v>
      </c>
      <c r="T352" s="96">
        <f t="shared" si="10"/>
        <v>117.49775975979119</v>
      </c>
      <c r="U352" s="96">
        <f t="shared" si="11"/>
        <v>-87.767665038349378</v>
      </c>
      <c r="V352" s="96">
        <f>((Tableau!$G$16-P352)/(AC352^2+Tableau!$G$21^2)^(3/2))*Tableau!$G$20</f>
        <v>45.004574399330743</v>
      </c>
      <c r="W352" s="96">
        <f>((Tableau!$H$16-Q352)/(AC352^2+Tableau!$G$21^2)^(3/2))*Tableau!$G$20</f>
        <v>-21.58912567685001</v>
      </c>
      <c r="X352" s="96">
        <f>((Tableau!$G$25-P352)/(AD352^2+Tableau!$G$30^2)^(3/2))*Tableau!$G$29</f>
        <v>31.3676649794801</v>
      </c>
      <c r="Y352" s="96">
        <f>((Tableau!$H$25-Q352)/(AD352^2+Tableau!$G$30^2)^(3/2))*Tableau!$G$29</f>
        <v>-25.176529583151897</v>
      </c>
      <c r="Z352" s="96">
        <f>((Tableau!$G$35-P352)/(AE352^2+Tableau!$G$40^2)^(3/2))*Tableau!$G$39</f>
        <v>41.12552038098034</v>
      </c>
      <c r="AA352" s="97">
        <f>((Tableau!$H$35-Q352)/(AE352^2+Tableau!$G$40^2)^(3/2))*Tableau!$G$39</f>
        <v>-41.002009778347464</v>
      </c>
      <c r="AC352" s="110">
        <f>SQRT((Tableau!$G$16-P352)^2+(Tableau!$H$16-Q352)^2)</f>
        <v>101683.12025045401</v>
      </c>
      <c r="AD352" s="111">
        <f>SQRT((Tableau!$G$25-P352)^2+(Tableau!$H$25-Q352)^2)</f>
        <v>66267.661569104763</v>
      </c>
      <c r="AE352" s="112">
        <f>SQRT((Tableau!$G$35-P352)^2+(Tableau!$H$35-Q352)^2)</f>
        <v>94158.35090984228</v>
      </c>
    </row>
    <row r="353" spans="2:31" x14ac:dyDescent="0.25">
      <c r="B353" s="18">
        <v>350</v>
      </c>
      <c r="C353" s="19">
        <f>Tableau!$G$17*COS(B353*PI()/180)+Tableau!$G$16</f>
        <v>24924.038765061039</v>
      </c>
      <c r="D353" s="19">
        <f>Tableau!$G$17*SIN(B353*PI()/180)+Tableau!$H$16</f>
        <v>6631.7591116653439</v>
      </c>
      <c r="F353" s="26">
        <v>350</v>
      </c>
      <c r="G353" s="27">
        <f>Tableau!$G$26*COS(F353*PI()/180)+Tableau!$G$25</f>
        <v>-16553.172864457272</v>
      </c>
      <c r="H353" s="27">
        <f>Tableau!$G$26*SIN(F353*PI()/180)+Tableau!$H$25</f>
        <v>9392.2313781657413</v>
      </c>
      <c r="J353" s="34">
        <v>350</v>
      </c>
      <c r="K353" s="35">
        <f>Tableau!$G$36*COS(J353*PI()/180)+Tableau!$G$35</f>
        <v>-75.961234938960843</v>
      </c>
      <c r="L353" s="35">
        <f>Tableau!$G$36*SIN(J353*PI()/180)+Tableau!$H$35</f>
        <v>-15868.240888334656</v>
      </c>
      <c r="N353" s="98">
        <v>349</v>
      </c>
      <c r="O353" s="99">
        <v>174.5</v>
      </c>
      <c r="P353" s="101">
        <f>P352+R352*Tableau!$G$2+((1/2)*T352)*Tableau!$G$2^2</f>
        <v>-72205.832774753741</v>
      </c>
      <c r="Q353" s="101">
        <f>Q352+S352*Tableau!$G$2+((1/2)*U352)*Tableau!$G$2^2</f>
        <v>51165.587145817328</v>
      </c>
      <c r="R353" s="101">
        <f>R352+T352*Tableau!$G$2</f>
        <v>-1022.1673067486602</v>
      </c>
      <c r="S353" s="101">
        <f>S352+U352*Tableau!$G$2</f>
        <v>-650.37639187728723</v>
      </c>
      <c r="T353" s="101">
        <f t="shared" si="10"/>
        <v>117.45071239326282</v>
      </c>
      <c r="U353" s="101">
        <f t="shared" si="11"/>
        <v>-86.582555275696848</v>
      </c>
      <c r="V353" s="101">
        <f>((Tableau!$G$16-P353)/(AC353^2+Tableau!$G$21^2)^(3/2))*Tableau!$G$20</f>
        <v>44.816690293621598</v>
      </c>
      <c r="W353" s="101">
        <f>((Tableau!$H$16-Q353)/(AC353^2+Tableau!$G$21^2)^(3/2))*Tableau!$G$20</f>
        <v>-21.223680072211852</v>
      </c>
      <c r="X353" s="101">
        <f>((Tableau!$G$25-P353)/(AD353^2+Tableau!$G$30^2)^(3/2))*Tableau!$G$29</f>
        <v>31.382554229988308</v>
      </c>
      <c r="Y353" s="101">
        <f>((Tableau!$H$25-Q353)/(AD353^2+Tableau!$G$30^2)^(3/2))*Tableau!$G$29</f>
        <v>-24.74591826907249</v>
      </c>
      <c r="Z353" s="101">
        <f>((Tableau!$G$35-P353)/(AE353^2+Tableau!$G$40^2)^(3/2))*Tableau!$G$39</f>
        <v>41.251467869652906</v>
      </c>
      <c r="AA353" s="102">
        <f>((Tableau!$H$35-Q353)/(AE353^2+Tableau!$G$40^2)^(3/2))*Tableau!$G$39</f>
        <v>-40.612956934412509</v>
      </c>
      <c r="AC353" s="113">
        <f>SQRT((Tableau!$G$16-P353)^2+(Tableau!$H$16-Q353)^2)</f>
        <v>102022.54210945158</v>
      </c>
      <c r="AD353" s="114">
        <f>SQRT((Tableau!$G$25-P353)^2+(Tableau!$H$25-Q353)^2)</f>
        <v>66483.490738418899</v>
      </c>
      <c r="AE353" s="115">
        <f>SQRT((Tableau!$G$35-P353)^2+(Tableau!$H$35-Q353)^2)</f>
        <v>94310.703959300983</v>
      </c>
    </row>
    <row r="354" spans="2:31" x14ac:dyDescent="0.25">
      <c r="B354" s="20">
        <v>351</v>
      </c>
      <c r="C354" s="21">
        <f>Tableau!$G$17*COS(B354*PI()/180)+Tableau!$G$16</f>
        <v>24938.441702975688</v>
      </c>
      <c r="D354" s="21">
        <f>Tableau!$G$17*SIN(B354*PI()/180)+Tableau!$H$16</f>
        <v>6717.8276747988448</v>
      </c>
      <c r="F354" s="28">
        <v>351</v>
      </c>
      <c r="G354" s="29">
        <f>Tableau!$G$26*COS(F354*PI()/180)+Tableau!$G$25</f>
        <v>-16543.090807917019</v>
      </c>
      <c r="H354" s="29">
        <f>Tableau!$G$26*SIN(F354*PI()/180)+Tableau!$H$25</f>
        <v>9452.4793723591902</v>
      </c>
      <c r="J354" s="36">
        <v>351</v>
      </c>
      <c r="K354" s="37">
        <f>Tableau!$G$36*COS(J354*PI()/180)+Tableau!$G$35</f>
        <v>-61.558297024311287</v>
      </c>
      <c r="L354" s="37">
        <f>Tableau!$G$36*SIN(J354*PI()/180)+Tableau!$H$35</f>
        <v>-15782.172325201156</v>
      </c>
      <c r="N354" s="92">
        <v>350</v>
      </c>
      <c r="O354" s="93">
        <v>175</v>
      </c>
      <c r="P354" s="96">
        <f>P353+R353*Tableau!$G$2+((1/2)*T353)*Tableau!$G$2^2</f>
        <v>-72702.235089078909</v>
      </c>
      <c r="Q354" s="96">
        <f>Q353+S353*Tableau!$G$2+((1/2)*U353)*Tableau!$G$2^2</f>
        <v>50829.576130469221</v>
      </c>
      <c r="R354" s="96">
        <f>R353+T353*Tableau!$G$2</f>
        <v>-963.44195055202874</v>
      </c>
      <c r="S354" s="96">
        <f>S353+U353*Tableau!$G$2</f>
        <v>-693.66766951513569</v>
      </c>
      <c r="T354" s="96">
        <f t="shared" si="10"/>
        <v>117.48045673045647</v>
      </c>
      <c r="U354" s="96">
        <f t="shared" si="11"/>
        <v>-85.471746953781661</v>
      </c>
      <c r="V354" s="96">
        <f>((Tableau!$G$16-P354)/(AC354^2+Tableau!$G$21^2)^(3/2))*Tableau!$G$20</f>
        <v>44.658596524650179</v>
      </c>
      <c r="W354" s="96">
        <f>((Tableau!$H$16-Q354)/(AC354^2+Tableau!$G$21^2)^(3/2))*Tableau!$G$20</f>
        <v>-20.873693672383759</v>
      </c>
      <c r="X354" s="96">
        <f>((Tableau!$G$25-P354)/(AD354^2+Tableau!$G$30^2)^(3/2))*Tableau!$G$29</f>
        <v>31.421946019174445</v>
      </c>
      <c r="Y354" s="96">
        <f>((Tableau!$H$25-Q354)/(AD354^2+Tableau!$G$30^2)^(3/2))*Tableau!$G$29</f>
        <v>-24.343269976859716</v>
      </c>
      <c r="Z354" s="96">
        <f>((Tableau!$G$35-P354)/(AE354^2+Tableau!$G$40^2)^(3/2))*Tableau!$G$39</f>
        <v>41.399914186631854</v>
      </c>
      <c r="AA354" s="97">
        <f>((Tableau!$H$35-Q354)/(AE354^2+Tableau!$G$40^2)^(3/2))*Tableau!$G$39</f>
        <v>-40.254783304538194</v>
      </c>
      <c r="AC354" s="110">
        <f>SQRT((Tableau!$G$16-P354)^2+(Tableau!$H$16-Q354)^2)</f>
        <v>102328.66928753145</v>
      </c>
      <c r="AD354" s="111">
        <f>SQRT((Tableau!$G$25-P354)^2+(Tableau!$H$25-Q354)^2)</f>
        <v>66667.6823534336</v>
      </c>
      <c r="AE354" s="112">
        <f>SQRT((Tableau!$G$35-P354)^2+(Tableau!$H$35-Q354)^2)</f>
        <v>94430.53388377167</v>
      </c>
    </row>
    <row r="355" spans="2:31" x14ac:dyDescent="0.25">
      <c r="B355" s="18">
        <v>352</v>
      </c>
      <c r="C355" s="19">
        <f>Tableau!$G$17*COS(B355*PI()/180)+Tableau!$G$16</f>
        <v>24951.340343707852</v>
      </c>
      <c r="D355" s="19">
        <f>Tableau!$G$17*SIN(B355*PI()/180)+Tableau!$H$16</f>
        <v>6804.1344951996707</v>
      </c>
      <c r="F355" s="26">
        <v>352</v>
      </c>
      <c r="G355" s="27">
        <f>Tableau!$G$26*COS(F355*PI()/180)+Tableau!$G$25</f>
        <v>-16534.061759404503</v>
      </c>
      <c r="H355" s="27">
        <f>Tableau!$G$26*SIN(F355*PI()/180)+Tableau!$H$25</f>
        <v>9512.89414663977</v>
      </c>
      <c r="J355" s="34">
        <v>352</v>
      </c>
      <c r="K355" s="35">
        <f>Tableau!$G$36*COS(J355*PI()/180)+Tableau!$G$35</f>
        <v>-48.659656292148611</v>
      </c>
      <c r="L355" s="35">
        <f>Tableau!$G$36*SIN(J355*PI()/180)+Tableau!$H$35</f>
        <v>-15695.865504800329</v>
      </c>
      <c r="N355" s="98">
        <v>351</v>
      </c>
      <c r="O355" s="99">
        <v>175.5</v>
      </c>
      <c r="P355" s="101">
        <f>P354+R354*Tableau!$G$2+((1/2)*T354)*Tableau!$G$2^2</f>
        <v>-73169.271007263611</v>
      </c>
      <c r="Q355" s="101">
        <f>Q354+S354*Tableau!$G$2+((1/2)*U354)*Tableau!$G$2^2</f>
        <v>50472.058327342427</v>
      </c>
      <c r="R355" s="101">
        <f>R354+T354*Tableau!$G$2</f>
        <v>-904.70172218680045</v>
      </c>
      <c r="S355" s="101">
        <f>S354+U354*Tableau!$G$2</f>
        <v>-736.40354299202647</v>
      </c>
      <c r="T355" s="101">
        <f t="shared" si="10"/>
        <v>117.58679052287556</v>
      </c>
      <c r="U355" s="101">
        <f t="shared" si="11"/>
        <v>-84.431495260709113</v>
      </c>
      <c r="V355" s="101">
        <f>((Tableau!$G$16-P355)/(AC355^2+Tableau!$G$21^2)^(3/2))*Tableau!$G$20</f>
        <v>44.529570195614532</v>
      </c>
      <c r="W355" s="101">
        <f>((Tableau!$H$16-Q355)/(AC355^2+Tableau!$G$21^2)^(3/2))*Tableau!$G$20</f>
        <v>-20.538180314711866</v>
      </c>
      <c r="X355" s="101">
        <f>((Tableau!$G$25-P355)/(AD355^2+Tableau!$G$30^2)^(3/2))*Tableau!$G$29</f>
        <v>31.485967997277854</v>
      </c>
      <c r="Y355" s="101">
        <f>((Tableau!$H$25-Q355)/(AD355^2+Tableau!$G$30^2)^(3/2))*Tableau!$G$29</f>
        <v>-23.966887435875886</v>
      </c>
      <c r="Z355" s="101">
        <f>((Tableau!$G$35-P355)/(AE355^2+Tableau!$G$40^2)^(3/2))*Tableau!$G$39</f>
        <v>41.571252329983167</v>
      </c>
      <c r="AA355" s="102">
        <f>((Tableau!$H$35-Q355)/(AE355^2+Tableau!$G$40^2)^(3/2))*Tableau!$G$39</f>
        <v>-39.92642751012135</v>
      </c>
      <c r="AC355" s="113">
        <f>SQRT((Tableau!$G$16-P355)^2+(Tableau!$H$16-Q355)^2)</f>
        <v>102601.709814766</v>
      </c>
      <c r="AD355" s="114">
        <f>SQRT((Tableau!$G$25-P355)^2+(Tableau!$H$25-Q355)^2)</f>
        <v>66820.347834291097</v>
      </c>
      <c r="AE355" s="115">
        <f>SQRT((Tableau!$G$35-P355)^2+(Tableau!$H$35-Q355)^2)</f>
        <v>94517.934442520913</v>
      </c>
    </row>
    <row r="356" spans="2:31" x14ac:dyDescent="0.25">
      <c r="B356" s="20">
        <v>353</v>
      </c>
      <c r="C356" s="21">
        <f>Tableau!$G$17*COS(B356*PI()/180)+Tableau!$G$16</f>
        <v>24962.73075820661</v>
      </c>
      <c r="D356" s="21">
        <f>Tableau!$G$17*SIN(B356*PI()/180)+Tableau!$H$16</f>
        <v>6890.6532829742591</v>
      </c>
      <c r="F356" s="28">
        <v>353</v>
      </c>
      <c r="G356" s="29">
        <f>Tableau!$G$26*COS(F356*PI()/180)+Tableau!$G$25</f>
        <v>-16526.088469255374</v>
      </c>
      <c r="H356" s="29">
        <f>Tableau!$G$26*SIN(F356*PI()/180)+Tableau!$H$25</f>
        <v>9573.4572980819812</v>
      </c>
      <c r="J356" s="36">
        <v>353</v>
      </c>
      <c r="K356" s="37">
        <f>Tableau!$G$36*COS(J356*PI()/180)+Tableau!$G$35</f>
        <v>-37.269241793390393</v>
      </c>
      <c r="L356" s="37">
        <f>Tableau!$G$36*SIN(J356*PI()/180)+Tableau!$H$35</f>
        <v>-15609.346717025741</v>
      </c>
      <c r="N356" s="92">
        <v>352</v>
      </c>
      <c r="O356" s="93">
        <v>176</v>
      </c>
      <c r="P356" s="96">
        <f>P355+R355*Tableau!$G$2+((1/2)*T355)*Tableau!$G$2^2</f>
        <v>-73606.92351954164</v>
      </c>
      <c r="Q356" s="96">
        <f>Q355+S355*Tableau!$G$2+((1/2)*U355)*Tableau!$G$2^2</f>
        <v>50093.302618938826</v>
      </c>
      <c r="R356" s="96">
        <f>R355+T355*Tableau!$G$2</f>
        <v>-845.90832692536264</v>
      </c>
      <c r="S356" s="96">
        <f>S355+U355*Tableau!$G$2</f>
        <v>-778.61929062238107</v>
      </c>
      <c r="T356" s="96">
        <f t="shared" si="10"/>
        <v>117.76978223155075</v>
      </c>
      <c r="U356" s="96">
        <f t="shared" si="11"/>
        <v>-83.458391756696159</v>
      </c>
      <c r="V356" s="96">
        <f>((Tableau!$G$16-P356)/(AC356^2+Tableau!$G$21^2)^(3/2))*Tableau!$G$20</f>
        <v>44.429002166912248</v>
      </c>
      <c r="W356" s="96">
        <f>((Tableau!$H$16-Q356)/(AC356^2+Tableau!$G$21^2)^(3/2))*Tableau!$G$20</f>
        <v>-20.216217595888878</v>
      </c>
      <c r="X356" s="96">
        <f>((Tableau!$G$25-P356)/(AD356^2+Tableau!$G$30^2)^(3/2))*Tableau!$G$29</f>
        <v>31.574838224286083</v>
      </c>
      <c r="Y356" s="96">
        <f>((Tableau!$H$25-Q356)/(AD356^2+Tableau!$G$30^2)^(3/2))*Tableau!$G$29</f>
        <v>-23.615224694042716</v>
      </c>
      <c r="Z356" s="96">
        <f>((Tableau!$G$35-P356)/(AE356^2+Tableau!$G$40^2)^(3/2))*Tableau!$G$39</f>
        <v>41.765941840352411</v>
      </c>
      <c r="AA356" s="97">
        <f>((Tableau!$H$35-Q356)/(AE356^2+Tableau!$G$40^2)^(3/2))*Tableau!$G$39</f>
        <v>-39.626949466764565</v>
      </c>
      <c r="AC356" s="110">
        <f>SQRT((Tableau!$G$16-P356)^2+(Tableau!$H$16-Q356)^2)</f>
        <v>102841.84731315273</v>
      </c>
      <c r="AD356" s="111">
        <f>SQRT((Tableau!$G$25-P356)^2+(Tableau!$H$25-Q356)^2)</f>
        <v>66941.580233243629</v>
      </c>
      <c r="AE356" s="112">
        <f>SQRT((Tableau!$G$35-P356)^2+(Tableau!$H$35-Q356)^2)</f>
        <v>94572.97711638872</v>
      </c>
    </row>
    <row r="357" spans="2:31" x14ac:dyDescent="0.25">
      <c r="B357" s="18">
        <v>354</v>
      </c>
      <c r="C357" s="19">
        <f>Tableau!$G$17*COS(B357*PI()/180)+Tableau!$G$16</f>
        <v>24972.609476841368</v>
      </c>
      <c r="D357" s="19">
        <f>Tableau!$G$17*SIN(B357*PI()/180)+Tableau!$H$16</f>
        <v>6977.3576836617331</v>
      </c>
      <c r="F357" s="26">
        <v>354</v>
      </c>
      <c r="G357" s="27">
        <f>Tableau!$G$26*COS(F357*PI()/180)+Tableau!$G$25</f>
        <v>-16519.173366211042</v>
      </c>
      <c r="H357" s="27">
        <f>Tableau!$G$26*SIN(F357*PI()/180)+Tableau!$H$25</f>
        <v>9634.1503785632121</v>
      </c>
      <c r="J357" s="34">
        <v>354</v>
      </c>
      <c r="K357" s="35">
        <f>Tableau!$G$36*COS(J357*PI()/180)+Tableau!$G$35</f>
        <v>-27.390523158633187</v>
      </c>
      <c r="L357" s="35">
        <f>Tableau!$G$36*SIN(J357*PI()/180)+Tableau!$H$35</f>
        <v>-15522.642316338268</v>
      </c>
      <c r="N357" s="98">
        <v>353</v>
      </c>
      <c r="O357" s="99">
        <v>176.5</v>
      </c>
      <c r="P357" s="101">
        <f>P356+R356*Tableau!$G$2+((1/2)*T356)*Tableau!$G$2^2</f>
        <v>-74015.156460225378</v>
      </c>
      <c r="Q357" s="101">
        <f>Q356+S356*Tableau!$G$2+((1/2)*U356)*Tableau!$G$2^2</f>
        <v>49693.560674658045</v>
      </c>
      <c r="R357" s="101">
        <f>R356+T356*Tableau!$G$2</f>
        <v>-787.02343580958723</v>
      </c>
      <c r="S357" s="101">
        <f>S356+U356*Tableau!$G$2</f>
        <v>-820.34848650072911</v>
      </c>
      <c r="T357" s="101">
        <f t="shared" si="10"/>
        <v>118.02977109800642</v>
      </c>
      <c r="U357" s="101">
        <f t="shared" si="11"/>
        <v>-82.549334474595923</v>
      </c>
      <c r="V357" s="101">
        <f>((Tableau!$G$16-P357)/(AC357^2+Tableau!$G$21^2)^(3/2))*Tableau!$G$20</f>
        <v>44.356391038883842</v>
      </c>
      <c r="W357" s="101">
        <f>((Tableau!$H$16-Q357)/(AC357^2+Tableau!$G$21^2)^(3/2))*Tableau!$G$20</f>
        <v>-19.906939977276906</v>
      </c>
      <c r="X357" s="101">
        <f>((Tableau!$G$25-P357)/(AD357^2+Tableau!$G$30^2)^(3/2))*Tableau!$G$29</f>
        <v>31.68886781317158</v>
      </c>
      <c r="Y357" s="101">
        <f>((Tableau!$H$25-Q357)/(AD357^2+Tableau!$G$30^2)^(3/2))*Tableau!$G$29</f>
        <v>-23.286871309529037</v>
      </c>
      <c r="Z357" s="101">
        <f>((Tableau!$G$35-P357)/(AE357^2+Tableau!$G$40^2)^(3/2))*Tableau!$G$39</f>
        <v>41.984512245950988</v>
      </c>
      <c r="AA357" s="102">
        <f>((Tableau!$H$35-Q357)/(AE357^2+Tableau!$G$40^2)^(3/2))*Tableau!$G$39</f>
        <v>-39.355523187789991</v>
      </c>
      <c r="AC357" s="113">
        <f>SQRT((Tableau!$G$16-P357)^2+(Tableau!$H$16-Q357)^2)</f>
        <v>103049.24165973619</v>
      </c>
      <c r="AD357" s="114">
        <f>SQRT((Tableau!$G$25-P357)^2+(Tableau!$H$25-Q357)^2)</f>
        <v>67031.454455765663</v>
      </c>
      <c r="AE357" s="115">
        <f>SQRT((Tableau!$G$35-P357)^2+(Tableau!$H$35-Q357)^2)</f>
        <v>94595.711393250007</v>
      </c>
    </row>
    <row r="358" spans="2:31" x14ac:dyDescent="0.25">
      <c r="B358" s="20">
        <v>355</v>
      </c>
      <c r="C358" s="21">
        <f>Tableau!$G$17*COS(B358*PI()/180)+Tableau!$G$16</f>
        <v>24980.973490458728</v>
      </c>
      <c r="D358" s="21">
        <f>Tableau!$G$17*SIN(B358*PI()/180)+Tableau!$H$16</f>
        <v>7064.2212862617089</v>
      </c>
      <c r="F358" s="28">
        <v>355</v>
      </c>
      <c r="G358" s="29">
        <f>Tableau!$G$26*COS(F358*PI()/180)+Tableau!$G$25</f>
        <v>-16513.318556678889</v>
      </c>
      <c r="H358" s="29">
        <f>Tableau!$G$26*SIN(F358*PI()/180)+Tableau!$H$25</f>
        <v>9694.9549003831962</v>
      </c>
      <c r="J358" s="36">
        <v>355</v>
      </c>
      <c r="K358" s="37">
        <f>Tableau!$G$36*COS(J358*PI()/180)+Tableau!$G$35</f>
        <v>-19.026509541272389</v>
      </c>
      <c r="L358" s="37">
        <f>Tableau!$G$36*SIN(J358*PI()/180)+Tableau!$H$35</f>
        <v>-15435.778713738291</v>
      </c>
      <c r="N358" s="92">
        <v>354</v>
      </c>
      <c r="O358" s="93">
        <v>177</v>
      </c>
      <c r="P358" s="96">
        <f>P357+R357*Tableau!$G$2+((1/2)*T357)*Tableau!$G$2^2</f>
        <v>-74393.914456742918</v>
      </c>
      <c r="Q358" s="96">
        <f>Q357+S357*Tableau!$G$2+((1/2)*U357)*Tableau!$G$2^2</f>
        <v>49273.067764598352</v>
      </c>
      <c r="R358" s="96">
        <f>R357+T357*Tableau!$G$2</f>
        <v>-728.008550260584</v>
      </c>
      <c r="S358" s="96">
        <f>S357+U357*Tableau!$G$2</f>
        <v>-861.6231537380271</v>
      </c>
      <c r="T358" s="96">
        <f t="shared" si="10"/>
        <v>118.36736942542103</v>
      </c>
      <c r="U358" s="96">
        <f t="shared" si="11"/>
        <v>-81.701501450045527</v>
      </c>
      <c r="V358" s="96">
        <f>((Tableau!$G$16-P358)/(AC358^2+Tableau!$G$21^2)^(3/2))*Tableau!$G$20</f>
        <v>44.311338183439375</v>
      </c>
      <c r="W358" s="96">
        <f>((Tableau!$H$16-Q358)/(AC358^2+Tableau!$G$21^2)^(3/2))*Tableau!$G$20</f>
        <v>-19.609532492956404</v>
      </c>
      <c r="X358" s="96">
        <f>((Tableau!$G$25-P358)/(AD358^2+Tableau!$G$30^2)^(3/2))*Tableau!$G$29</f>
        <v>31.82846425517987</v>
      </c>
      <c r="Y358" s="96">
        <f>((Tableau!$H$25-Q358)/(AD358^2+Tableau!$G$30^2)^(3/2))*Tableau!$G$29</f>
        <v>-22.980538283025144</v>
      </c>
      <c r="Z358" s="96">
        <f>((Tableau!$G$35-P358)/(AE358^2+Tableau!$G$40^2)^(3/2))*Tableau!$G$39</f>
        <v>42.22756698680179</v>
      </c>
      <c r="AA358" s="97">
        <f>((Tableau!$H$35-Q358)/(AE358^2+Tableau!$G$40^2)^(3/2))*Tableau!$G$39</f>
        <v>-39.111430674063989</v>
      </c>
      <c r="AC358" s="110">
        <f>SQRT((Tableau!$G$16-P358)^2+(Tableau!$H$16-Q358)^2)</f>
        <v>103224.02955190533</v>
      </c>
      <c r="AD358" s="111">
        <f>SQRT((Tableau!$G$25-P358)^2+(Tableau!$H$25-Q358)^2)</f>
        <v>67090.027437542463</v>
      </c>
      <c r="AE358" s="112">
        <f>SQRT((Tableau!$G$35-P358)^2+(Tableau!$H$35-Q358)^2)</f>
        <v>94586.164968786034</v>
      </c>
    </row>
    <row r="359" spans="2:31" x14ac:dyDescent="0.25">
      <c r="B359" s="18">
        <v>356</v>
      </c>
      <c r="C359" s="19">
        <f>Tableau!$G$17*COS(B359*PI()/180)+Tableau!$G$16</f>
        <v>24987.820251299123</v>
      </c>
      <c r="D359" s="19">
        <f>Tableau!$G$17*SIN(B359*PI()/180)+Tableau!$H$16</f>
        <v>7151.2176312793763</v>
      </c>
      <c r="F359" s="26">
        <v>356</v>
      </c>
      <c r="G359" s="27">
        <f>Tableau!$G$26*COS(F359*PI()/180)+Tableau!$G$25</f>
        <v>-16508.525824090615</v>
      </c>
      <c r="H359" s="27">
        <f>Tableau!$G$26*SIN(F359*PI()/180)+Tableau!$H$25</f>
        <v>9755.8523418955629</v>
      </c>
      <c r="J359" s="34">
        <v>356</v>
      </c>
      <c r="K359" s="35">
        <f>Tableau!$G$36*COS(J359*PI()/180)+Tableau!$G$35</f>
        <v>-12.179748700878008</v>
      </c>
      <c r="L359" s="35">
        <f>Tableau!$G$36*SIN(J359*PI()/180)+Tableau!$H$35</f>
        <v>-15348.782368720624</v>
      </c>
      <c r="N359" s="98">
        <v>355</v>
      </c>
      <c r="O359" s="99">
        <v>177.5</v>
      </c>
      <c r="P359" s="101">
        <f>P358+R358*Tableau!$G$2+((1/2)*T358)*Tableau!$G$2^2</f>
        <v>-74743.122810695044</v>
      </c>
      <c r="Q359" s="101">
        <f>Q358+S358*Tableau!$G$2+((1/2)*U358)*Tableau!$G$2^2</f>
        <v>48832.043500048087</v>
      </c>
      <c r="R359" s="101">
        <f>R358+T358*Tableau!$G$2</f>
        <v>-668.82486554787351</v>
      </c>
      <c r="S359" s="101">
        <f>S358+U358*Tableau!$G$2</f>
        <v>-902.47390446304985</v>
      </c>
      <c r="T359" s="101">
        <f t="shared" si="10"/>
        <v>118.78346711404291</v>
      </c>
      <c r="U359" s="101">
        <f t="shared" si="11"/>
        <v>-80.912327247150486</v>
      </c>
      <c r="V359" s="101">
        <f>((Tableau!$G$16-P359)/(AC359^2+Tableau!$G$21^2)^(3/2))*Tableau!$G$20</f>
        <v>44.293543737791808</v>
      </c>
      <c r="W359" s="101">
        <f>((Tableau!$H$16-Q359)/(AC359^2+Tableau!$G$21^2)^(3/2))*Tableau!$G$20</f>
        <v>-19.323224971164148</v>
      </c>
      <c r="X359" s="101">
        <f>((Tableau!$G$25-P359)/(AD359^2+Tableau!$G$30^2)^(3/2))*Tableau!$G$29</f>
        <v>31.994135501217993</v>
      </c>
      <c r="Y359" s="101">
        <f>((Tableau!$H$25-Q359)/(AD359^2+Tableau!$G$30^2)^(3/2))*Tableau!$G$29</f>
        <v>-22.69504547312755</v>
      </c>
      <c r="Z359" s="101">
        <f>((Tableau!$G$35-P359)/(AE359^2+Tableau!$G$40^2)^(3/2))*Tableau!$G$39</f>
        <v>42.495787875033109</v>
      </c>
      <c r="AA359" s="102">
        <f>((Tableau!$H$35-Q359)/(AE359^2+Tableau!$G$40^2)^(3/2))*Tableau!$G$39</f>
        <v>-38.894056802858785</v>
      </c>
      <c r="AC359" s="113">
        <f>SQRT((Tableau!$G$16-P359)^2+(Tableau!$H$16-Q359)^2)</f>
        <v>103366.32497971624</v>
      </c>
      <c r="AD359" s="114">
        <f>SQRT((Tableau!$G$25-P359)^2+(Tableau!$H$25-Q359)^2)</f>
        <v>67117.338277500749</v>
      </c>
      <c r="AE359" s="115">
        <f>SQRT((Tableau!$G$35-P359)^2+(Tableau!$H$35-Q359)^2)</f>
        <v>94544.343864557668</v>
      </c>
    </row>
    <row r="360" spans="2:31" x14ac:dyDescent="0.25">
      <c r="B360" s="20">
        <v>357</v>
      </c>
      <c r="C360" s="21">
        <f>Tableau!$G$17*COS(B360*PI()/180)+Tableau!$G$16</f>
        <v>24993.14767377287</v>
      </c>
      <c r="D360" s="21">
        <f>Tableau!$G$17*SIN(B360*PI()/180)+Tableau!$H$16</f>
        <v>7238.3202187852785</v>
      </c>
      <c r="F360" s="28">
        <v>357</v>
      </c>
      <c r="G360" s="29">
        <f>Tableau!$G$26*COS(F360*PI()/180)+Tableau!$G$25</f>
        <v>-16504.796628358992</v>
      </c>
      <c r="H360" s="29">
        <f>Tableau!$G$26*SIN(F360*PI()/180)+Tableau!$H$25</f>
        <v>9816.8241531496951</v>
      </c>
      <c r="J360" s="36">
        <v>357</v>
      </c>
      <c r="K360" s="37">
        <f>Tableau!$G$36*COS(J360*PI()/180)+Tableau!$G$35</f>
        <v>-6.8523262271310159</v>
      </c>
      <c r="L360" s="37">
        <f>Tableau!$G$36*SIN(J360*PI()/180)+Tableau!$H$35</f>
        <v>-15261.679781214722</v>
      </c>
      <c r="N360" s="92">
        <v>356</v>
      </c>
      <c r="O360" s="93">
        <v>178</v>
      </c>
      <c r="P360" s="96">
        <f>P359+R359*Tableau!$G$2+((1/2)*T359)*Tableau!$G$2^2</f>
        <v>-75062.687310079724</v>
      </c>
      <c r="Q360" s="96">
        <f>Q359+S359*Tableau!$G$2+((1/2)*U359)*Tableau!$G$2^2</f>
        <v>48370.692506910666</v>
      </c>
      <c r="R360" s="96">
        <f>R359+T359*Tableau!$G$2</f>
        <v>-609.43313199085208</v>
      </c>
      <c r="S360" s="96">
        <f>S359+U359*Tableau!$G$2</f>
        <v>-942.93006808662506</v>
      </c>
      <c r="T360" s="96">
        <f t="shared" si="10"/>
        <v>119.27923852651548</v>
      </c>
      <c r="U360" s="96">
        <f t="shared" si="11"/>
        <v>-80.179482104374614</v>
      </c>
      <c r="V360" s="96">
        <f>((Tableau!$G$16-P360)/(AC360^2+Tableau!$G$21^2)^(3/2))*Tableau!$G$20</f>
        <v>44.302803490762656</v>
      </c>
      <c r="W360" s="96">
        <f>((Tableau!$H$16-Q360)/(AC360^2+Tableau!$G$21^2)^(3/2))*Tableau!$G$20</f>
        <v>-19.047286689454417</v>
      </c>
      <c r="X360" s="96">
        <f>((Tableau!$G$25-P360)/(AD360^2+Tableau!$G$30^2)^(3/2))*Tableau!$G$29</f>
        <v>32.186494880956424</v>
      </c>
      <c r="Y360" s="96">
        <f>((Tableau!$H$25-Q360)/(AD360^2+Tableau!$G$30^2)^(3/2))*Tableau!$G$29</f>
        <v>-22.429310269539862</v>
      </c>
      <c r="Z360" s="96">
        <f>((Tableau!$G$35-P360)/(AE360^2+Tableau!$G$40^2)^(3/2))*Tableau!$G$39</f>
        <v>42.789940154796398</v>
      </c>
      <c r="AA360" s="97">
        <f>((Tableau!$H$35-Q360)/(AE360^2+Tableau!$G$40^2)^(3/2))*Tableau!$G$39</f>
        <v>-38.702885145380336</v>
      </c>
      <c r="AC360" s="110">
        <f>SQRT((Tableau!$G$16-P360)^2+(Tableau!$H$16-Q360)^2)</f>
        <v>103476.21960918575</v>
      </c>
      <c r="AD360" s="111">
        <f>SQRT((Tableau!$G$25-P360)^2+(Tableau!$H$25-Q360)^2)</f>
        <v>67113.408327006502</v>
      </c>
      <c r="AE360" s="112">
        <f>SQRT((Tableau!$G$35-P360)^2+(Tableau!$H$35-Q360)^2)</f>
        <v>94470.232464599292</v>
      </c>
    </row>
    <row r="361" spans="2:31" x14ac:dyDescent="0.25">
      <c r="B361" s="18">
        <v>358</v>
      </c>
      <c r="C361" s="19">
        <f>Tableau!$G$17*COS(B361*PI()/180)+Tableau!$G$16</f>
        <v>24996.954135095479</v>
      </c>
      <c r="D361" s="19">
        <f>Tableau!$G$17*SIN(B361*PI()/180)+Tableau!$H$16</f>
        <v>7325.502516487496</v>
      </c>
      <c r="F361" s="26">
        <v>358</v>
      </c>
      <c r="G361" s="27">
        <f>Tableau!$G$26*COS(F361*PI()/180)+Tableau!$G$25</f>
        <v>-16502.132105433164</v>
      </c>
      <c r="H361" s="27">
        <f>Tableau!$G$26*SIN(F361*PI()/180)+Tableau!$H$25</f>
        <v>9877.8517615412475</v>
      </c>
      <c r="J361" s="34">
        <v>358</v>
      </c>
      <c r="K361" s="35">
        <f>Tableau!$G$36*COS(J361*PI()/180)+Tableau!$G$35</f>
        <v>-3.0458649045212951</v>
      </c>
      <c r="L361" s="35">
        <f>Tableau!$G$36*SIN(J361*PI()/180)+Tableau!$H$35</f>
        <v>-15174.497483512505</v>
      </c>
      <c r="N361" s="98">
        <v>357</v>
      </c>
      <c r="O361" s="99">
        <v>178.5</v>
      </c>
      <c r="P361" s="101">
        <f>P360+R360*Tableau!$G$2+((1/2)*T360)*Tableau!$G$2^2</f>
        <v>-75352.493971259333</v>
      </c>
      <c r="Q361" s="101">
        <f>Q360+S360*Tableau!$G$2+((1/2)*U360)*Tableau!$G$2^2</f>
        <v>47889.205037604304</v>
      </c>
      <c r="R361" s="101">
        <f>R360+T360*Tableau!$G$2</f>
        <v>-549.79351272759436</v>
      </c>
      <c r="S361" s="101">
        <f>S360+U360*Tableau!$G$2</f>
        <v>-983.01980913881232</v>
      </c>
      <c r="T361" s="101">
        <f t="shared" si="10"/>
        <v>119.85615179260807</v>
      </c>
      <c r="U361" s="101">
        <f t="shared" si="11"/>
        <v>-79.500853374276261</v>
      </c>
      <c r="V361" s="101">
        <f>((Tableau!$G$16-P361)/(AC361^2+Tableau!$G$21^2)^(3/2))*Tableau!$G$20</f>
        <v>44.339006607433561</v>
      </c>
      <c r="W361" s="101">
        <f>((Tableau!$H$16-Q361)/(AC361^2+Tableau!$G$21^2)^(3/2))*Tableau!$G$20</f>
        <v>-18.781021391754109</v>
      </c>
      <c r="X361" s="101">
        <f>((Tableau!$G$25-P361)/(AD361^2+Tableau!$G$30^2)^(3/2))*Tableau!$G$29</f>
        <v>32.406266951520486</v>
      </c>
      <c r="Y361" s="101">
        <f>((Tableau!$H$25-Q361)/(AD361^2+Tableau!$G$30^2)^(3/2))*Tableau!$G$29</f>
        <v>-22.182337324620551</v>
      </c>
      <c r="Z361" s="101">
        <f>((Tableau!$G$35-P361)/(AE361^2+Tableau!$G$40^2)^(3/2))*Tableau!$G$39</f>
        <v>43.110878233654041</v>
      </c>
      <c r="AA361" s="102">
        <f>((Tableau!$H$35-Q361)/(AE361^2+Tableau!$G$40^2)^(3/2))*Tableau!$G$39</f>
        <v>-38.537494657901604</v>
      </c>
      <c r="AC361" s="113">
        <f>SQRT((Tableau!$G$16-P361)^2+(Tableau!$H$16-Q361)^2)</f>
        <v>103553.78307965715</v>
      </c>
      <c r="AD361" s="114">
        <f>SQRT((Tableau!$G$25-P361)^2+(Tableau!$H$25-Q361)^2)</f>
        <v>67078.241235291192</v>
      </c>
      <c r="AE361" s="115">
        <f>SQRT((Tableau!$G$35-P361)^2+(Tableau!$H$35-Q361)^2)</f>
        <v>94363.793471001976</v>
      </c>
    </row>
    <row r="362" spans="2:31" x14ac:dyDescent="0.25">
      <c r="B362" s="20">
        <v>359</v>
      </c>
      <c r="C362" s="21">
        <f>Tableau!$G$17*COS(B362*PI()/180)+Tableau!$G$16</f>
        <v>24999.238475781956</v>
      </c>
      <c r="D362" s="21">
        <f>Tableau!$G$17*SIN(B362*PI()/180)+Tableau!$H$16</f>
        <v>7412.7379678135776</v>
      </c>
      <c r="F362" s="28">
        <v>359</v>
      </c>
      <c r="G362" s="29">
        <f>Tableau!$G$26*COS(F362*PI()/180)+Tableau!$G$25</f>
        <v>-16500.53306695263</v>
      </c>
      <c r="H362" s="29">
        <f>Tableau!$G$26*SIN(F362*PI()/180)+Tableau!$H$25</f>
        <v>9938.9165774695048</v>
      </c>
      <c r="J362" s="36">
        <v>359</v>
      </c>
      <c r="K362" s="37">
        <f>Tableau!$G$36*COS(J362*PI()/180)+Tableau!$G$35</f>
        <v>-0.76152421804363257</v>
      </c>
      <c r="L362" s="37">
        <f>Tableau!$G$36*SIN(J362*PI()/180)+Tableau!$H$35</f>
        <v>-15087.262032186421</v>
      </c>
      <c r="N362" s="92">
        <v>358</v>
      </c>
      <c r="O362" s="93">
        <v>179</v>
      </c>
      <c r="P362" s="96">
        <f>P361+R361*Tableau!$G$2+((1/2)*T361)*Tableau!$G$2^2</f>
        <v>-75612.408708649062</v>
      </c>
      <c r="Q362" s="96">
        <f>Q361+S361*Tableau!$G$2+((1/2)*U361)*Tableau!$G$2^2</f>
        <v>47387.757526363115</v>
      </c>
      <c r="R362" s="96">
        <f>R361+T361*Tableau!$G$2</f>
        <v>-489.86543683129031</v>
      </c>
      <c r="S362" s="96">
        <f>S361+U361*Tableau!$G$2</f>
        <v>-1022.7702358259504</v>
      </c>
      <c r="T362" s="96">
        <f t="shared" si="10"/>
        <v>120.51598069975944</v>
      </c>
      <c r="U362" s="96">
        <f t="shared" si="11"/>
        <v>-78.874528971426685</v>
      </c>
      <c r="V362" s="96">
        <f>((Tableau!$G$16-P362)/(AC362^2+Tableau!$G$21^2)^(3/2))*Tableau!$G$20</f>
        <v>44.402134151801846</v>
      </c>
      <c r="W362" s="96">
        <f>((Tableau!$H$16-Q362)/(AC362^2+Tableau!$G$21^2)^(3/2))*Tableau!$G$20</f>
        <v>-18.523762601745915</v>
      </c>
      <c r="X362" s="96">
        <f>((Tableau!$G$25-P362)/(AD362^2+Tableau!$G$30^2)^(3/2))*Tableau!$G$29</f>
        <v>32.65429438074127</v>
      </c>
      <c r="Y362" s="96">
        <f>((Tableau!$H$25-Q362)/(AD362^2+Tableau!$G$30^2)^(3/2))*Tableau!$G$29</f>
        <v>-21.95320916412242</v>
      </c>
      <c r="Z362" s="96">
        <f>((Tableau!$G$35-P362)/(AE362^2+Tableau!$G$40^2)^(3/2))*Tableau!$G$39</f>
        <v>43.459552167216316</v>
      </c>
      <c r="AA362" s="97">
        <f>((Tableau!$H$35-Q362)/(AE362^2+Tableau!$G$40^2)^(3/2))*Tableau!$G$39</f>
        <v>-38.397557205558357</v>
      </c>
      <c r="AC362" s="110">
        <f>SQRT((Tableau!$G$16-P362)^2+(Tableau!$H$16-Q362)^2)</f>
        <v>103599.06321753922</v>
      </c>
      <c r="AD362" s="111">
        <f>SQRT((Tableau!$G$25-P362)^2+(Tableau!$H$25-Q362)^2)</f>
        <v>67011.822951087874</v>
      </c>
      <c r="AE362" s="112">
        <f>SQRT((Tableau!$G$35-P362)^2+(Tableau!$H$35-Q362)^2)</f>
        <v>94224.967778214588</v>
      </c>
    </row>
    <row r="363" spans="2:31" x14ac:dyDescent="0.25">
      <c r="B363" s="18">
        <v>360</v>
      </c>
      <c r="C363" s="19">
        <f>Tableau!$G$17*COS(B363*PI()/180)+Tableau!$G$16</f>
        <v>25000</v>
      </c>
      <c r="D363" s="19">
        <f>Tableau!$G$17*SIN(B363*PI()/180)+Tableau!$H$16</f>
        <v>7499.9999999999991</v>
      </c>
      <c r="F363" s="26">
        <v>360</v>
      </c>
      <c r="G363" s="27">
        <f>Tableau!$G$26*COS(F363*PI()/180)+Tableau!$G$25</f>
        <v>-16500</v>
      </c>
      <c r="H363" s="27">
        <f>Tableau!$G$26*SIN(F363*PI()/180)+Tableau!$H$25</f>
        <v>10000</v>
      </c>
      <c r="J363" s="34">
        <v>360</v>
      </c>
      <c r="K363" s="35">
        <f>Tableau!$G$36*COS(J363*PI()/180)+Tableau!$G$35</f>
        <v>0</v>
      </c>
      <c r="L363" s="35">
        <f>Tableau!$G$36*SIN(J363*PI()/180)+Tableau!$H$35</f>
        <v>-15000.000000000002</v>
      </c>
      <c r="N363" s="98">
        <v>359</v>
      </c>
      <c r="O363" s="99">
        <v>179.5</v>
      </c>
      <c r="P363" s="101">
        <f>P362+R362*Tableau!$G$2+((1/2)*T362)*Tableau!$G$2^2</f>
        <v>-75842.27692947723</v>
      </c>
      <c r="Q363" s="101">
        <f>Q362+S362*Tableau!$G$2+((1/2)*U362)*Tableau!$G$2^2</f>
        <v>46866.513092328707</v>
      </c>
      <c r="R363" s="101">
        <f>R362+T362*Tableau!$G$2</f>
        <v>-429.60744648141059</v>
      </c>
      <c r="S363" s="101">
        <f>S362+U362*Tableau!$G$2</f>
        <v>-1062.2075003116638</v>
      </c>
      <c r="T363" s="101">
        <f t="shared" si="10"/>
        <v>121.26081935655469</v>
      </c>
      <c r="U363" s="101">
        <f t="shared" si="11"/>
        <v>-78.298782576344223</v>
      </c>
      <c r="V363" s="101">
        <f>((Tableau!$G$16-P363)/(AC363^2+Tableau!$G$21^2)^(3/2))*Tableau!$G$20</f>
        <v>44.492258379872375</v>
      </c>
      <c r="W363" s="101">
        <f>((Tableau!$H$16-Q363)/(AC363^2+Tableau!$G$21^2)^(3/2))*Tableau!$G$20</f>
        <v>-18.27486917185108</v>
      </c>
      <c r="X363" s="101">
        <f>((Tableau!$G$25-P363)/(AD363^2+Tableau!$G$30^2)^(3/2))*Tableau!$G$29</f>
        <v>32.931545986048896</v>
      </c>
      <c r="Y363" s="101">
        <f>((Tableau!$H$25-Q363)/(AD363^2+Tableau!$G$30^2)^(3/2))*Tableau!$G$29</f>
        <v>-21.741077513342397</v>
      </c>
      <c r="Z363" s="101">
        <f>((Tableau!$G$35-P363)/(AE363^2+Tableau!$G$40^2)^(3/2))*Tableau!$G$39</f>
        <v>43.837014990633421</v>
      </c>
      <c r="AA363" s="102">
        <f>((Tableau!$H$35-Q363)/(AE363^2+Tableau!$G$40^2)^(3/2))*Tableau!$G$39</f>
        <v>-38.282835891150754</v>
      </c>
      <c r="AC363" s="113">
        <f>SQRT((Tableau!$G$16-P363)^2+(Tableau!$H$16-Q363)^2)</f>
        <v>103612.0861679519</v>
      </c>
      <c r="AD363" s="114">
        <f>SQRT((Tableau!$G$25-P363)^2+(Tableau!$H$25-Q363)^2)</f>
        <v>66914.121680369295</v>
      </c>
      <c r="AE363" s="115">
        <f>SQRT((Tableau!$G$35-P363)^2+(Tableau!$H$35-Q363)^2)</f>
        <v>94053.674265049427</v>
      </c>
    </row>
    <row r="364" spans="2:31" x14ac:dyDescent="0.25">
      <c r="B364" s="20">
        <v>361</v>
      </c>
      <c r="C364" s="21">
        <f>Tableau!$G$17*COS(B364*PI()/180)+Tableau!$G$16</f>
        <v>24999.238475781956</v>
      </c>
      <c r="D364" s="21">
        <f>Tableau!$G$17*SIN(B364*PI()/180)+Tableau!$H$16</f>
        <v>7587.2620321864151</v>
      </c>
      <c r="F364" s="28">
        <v>361</v>
      </c>
      <c r="G364" s="29">
        <f>Tableau!$G$26*COS(F364*PI()/180)+Tableau!$G$25</f>
        <v>-16500.53306695263</v>
      </c>
      <c r="H364" s="29">
        <f>Tableau!$G$26*SIN(F364*PI()/180)+Tableau!$H$25</f>
        <v>10061.083422530492</v>
      </c>
      <c r="J364" s="36">
        <v>361</v>
      </c>
      <c r="K364" s="37">
        <f>Tableau!$G$36*COS(J364*PI()/180)+Tableau!$G$35</f>
        <v>-0.76152421804363257</v>
      </c>
      <c r="L364" s="37">
        <f>Tableau!$G$36*SIN(J364*PI()/180)+Tableau!$H$35</f>
        <v>-14912.737967813584</v>
      </c>
      <c r="N364" s="92">
        <v>360</v>
      </c>
      <c r="O364" s="93">
        <v>180</v>
      </c>
      <c r="P364" s="96">
        <f>P363+R363*Tableau!$G$2+((1/2)*T363)*Tableau!$G$2^2</f>
        <v>-76041.92305029837</v>
      </c>
      <c r="Q364" s="96">
        <f>Q363+S363*Tableau!$G$2+((1/2)*U363)*Tableau!$G$2^2</f>
        <v>46325.621994350833</v>
      </c>
      <c r="R364" s="96">
        <f>R363+T363*Tableau!$G$2</f>
        <v>-368.97703680313327</v>
      </c>
      <c r="S364" s="96">
        <f>S363+U363*Tableau!$G$2</f>
        <v>-1101.356891599836</v>
      </c>
      <c r="T364" s="96">
        <f t="shared" si="10"/>
        <v>122.0930998618182</v>
      </c>
      <c r="U364" s="96">
        <f t="shared" si="11"/>
        <v>-77.772060370481967</v>
      </c>
      <c r="V364" s="96">
        <f>((Tableau!$G$16-P364)/(AC364^2+Tableau!$G$21^2)^(3/2))*Tableau!$G$20</f>
        <v>44.609542787651016</v>
      </c>
      <c r="W364" s="96">
        <f>((Tableau!$H$16-Q364)/(AC364^2+Tableau!$G$21^2)^(3/2))*Tableau!$G$20</f>
        <v>-18.033721010637105</v>
      </c>
      <c r="X364" s="96">
        <f>((Tableau!$G$25-P364)/(AD364^2+Tableau!$G$30^2)^(3/2))*Tableau!$G$29</f>
        <v>33.23912606958126</v>
      </c>
      <c r="Y364" s="96">
        <f>((Tableau!$H$25-Q364)/(AD364^2+Tableau!$G$30^2)^(3/2))*Tableau!$G$29</f>
        <v>-21.545155185743628</v>
      </c>
      <c r="Z364" s="96">
        <f>((Tableau!$G$35-P364)/(AE364^2+Tableau!$G$40^2)^(3/2))*Tableau!$G$39</f>
        <v>44.244431004585934</v>
      </c>
      <c r="AA364" s="97">
        <f>((Tableau!$H$35-Q364)/(AE364^2+Tableau!$G$40^2)^(3/2))*Tableau!$G$39</f>
        <v>-38.193184174101226</v>
      </c>
      <c r="AC364" s="110">
        <f>SQRT((Tableau!$G$16-P364)^2+(Tableau!$H$16-Q364)^2)</f>
        <v>103592.85644506407</v>
      </c>
      <c r="AD364" s="111">
        <f>SQRT((Tableau!$G$25-P364)^2+(Tableau!$H$25-Q364)^2)</f>
        <v>66785.087799987421</v>
      </c>
      <c r="AE364" s="112">
        <f>SQRT((Tableau!$G$35-P364)^2+(Tableau!$H$35-Q364)^2)</f>
        <v>93849.809502622447</v>
      </c>
    </row>
    <row r="365" spans="2:31" x14ac:dyDescent="0.25">
      <c r="B365" s="18">
        <v>362</v>
      </c>
      <c r="C365" s="19">
        <f>Tableau!$G$17*COS(B365*PI()/180)+Tableau!$G$16</f>
        <v>24996.954135095479</v>
      </c>
      <c r="D365" s="19">
        <f>Tableau!$G$17*SIN(B365*PI()/180)+Tableau!$H$16</f>
        <v>7674.4974835125013</v>
      </c>
      <c r="F365" s="26">
        <v>362</v>
      </c>
      <c r="G365" s="27">
        <f>Tableau!$G$26*COS(F365*PI()/180)+Tableau!$G$25</f>
        <v>-16502.132105433164</v>
      </c>
      <c r="H365" s="27">
        <f>Tableau!$G$26*SIN(F365*PI()/180)+Tableau!$H$25</f>
        <v>10122.148238458751</v>
      </c>
      <c r="J365" s="34">
        <v>362</v>
      </c>
      <c r="K365" s="35">
        <f>Tableau!$G$36*COS(J365*PI()/180)+Tableau!$G$35</f>
        <v>-3.0458649045212951</v>
      </c>
      <c r="L365" s="35">
        <f>Tableau!$G$36*SIN(J365*PI()/180)+Tableau!$H$35</f>
        <v>-14825.502516487499</v>
      </c>
      <c r="N365" s="98">
        <v>361</v>
      </c>
      <c r="O365" s="99">
        <v>180.5</v>
      </c>
      <c r="P365" s="101">
        <f>P364+R364*Tableau!$G$2+((1/2)*T364)*Tableau!$G$2^2</f>
        <v>-76211.149931217209</v>
      </c>
      <c r="Q365" s="101">
        <f>Q364+S364*Tableau!$G$2+((1/2)*U364)*Tableau!$G$2^2</f>
        <v>45765.222041004607</v>
      </c>
      <c r="R365" s="101">
        <f>R364+T364*Tableau!$G$2</f>
        <v>-307.93048687222415</v>
      </c>
      <c r="S365" s="101">
        <f>S364+U364*Tableau!$G$2</f>
        <v>-1140.242921785077</v>
      </c>
      <c r="T365" s="101">
        <f t="shared" si="10"/>
        <v>123.01561326354722</v>
      </c>
      <c r="U365" s="101">
        <f t="shared" si="11"/>
        <v>-77.292969098825807</v>
      </c>
      <c r="V365" s="101">
        <f>((Tableau!$G$16-P365)/(AC365^2+Tableau!$G$21^2)^(3/2))*Tableau!$G$20</f>
        <v>44.754242910092472</v>
      </c>
      <c r="W365" s="101">
        <f>((Tableau!$H$16-Q365)/(AC365^2+Tableau!$G$21^2)^(3/2))*Tableau!$G$20</f>
        <v>-17.799714933831044</v>
      </c>
      <c r="X365" s="101">
        <f>((Tableau!$G$25-P365)/(AD365^2+Tableau!$G$30^2)^(3/2))*Tableau!$G$29</f>
        <v>33.578285213456311</v>
      </c>
      <c r="Y365" s="101">
        <f>((Tableau!$H$25-Q365)/(AD365^2+Tableau!$G$30^2)^(3/2))*Tableau!$G$29</f>
        <v>-21.364708387659228</v>
      </c>
      <c r="Z365" s="101">
        <f>((Tableau!$G$35-P365)/(AE365^2+Tableau!$G$40^2)^(3/2))*Tableau!$G$39</f>
        <v>44.68308513999844</v>
      </c>
      <c r="AA365" s="102">
        <f>((Tableau!$H$35-Q365)/(AE365^2+Tableau!$G$40^2)^(3/2))*Tableau!$G$39</f>
        <v>-38.128545777335525</v>
      </c>
      <c r="AC365" s="113">
        <f>SQRT((Tableau!$G$16-P365)^2+(Tableau!$H$16-Q365)^2)</f>
        <v>103541.35690116555</v>
      </c>
      <c r="AD365" s="114">
        <f>SQRT((Tableau!$G$25-P365)^2+(Tableau!$H$25-Q365)^2)</f>
        <v>66624.653726921097</v>
      </c>
      <c r="AE365" s="115">
        <f>SQRT((Tableau!$G$35-P365)^2+(Tableau!$H$35-Q365)^2)</f>
        <v>93613.247375672683</v>
      </c>
    </row>
    <row r="366" spans="2:31" x14ac:dyDescent="0.25">
      <c r="B366" s="20">
        <v>363</v>
      </c>
      <c r="C366" s="21">
        <f>Tableau!$G$17*COS(B366*PI()/180)+Tableau!$G$16</f>
        <v>24993.14767377287</v>
      </c>
      <c r="D366" s="21">
        <f>Tableau!$G$17*SIN(B366*PI()/180)+Tableau!$H$16</f>
        <v>7761.6797812147197</v>
      </c>
      <c r="F366" s="28">
        <v>363</v>
      </c>
      <c r="G366" s="29">
        <f>Tableau!$G$26*COS(F366*PI()/180)+Tableau!$G$25</f>
        <v>-16504.796628358992</v>
      </c>
      <c r="H366" s="29">
        <f>Tableau!$G$26*SIN(F366*PI()/180)+Tableau!$H$25</f>
        <v>10183.175846850303</v>
      </c>
      <c r="J366" s="36">
        <v>363</v>
      </c>
      <c r="K366" s="37">
        <f>Tableau!$G$36*COS(J366*PI()/180)+Tableau!$G$35</f>
        <v>-6.8523262271310159</v>
      </c>
      <c r="L366" s="37">
        <f>Tableau!$G$36*SIN(J366*PI()/180)+Tableau!$H$35</f>
        <v>-14738.32021878528</v>
      </c>
      <c r="N366" s="92">
        <v>362</v>
      </c>
      <c r="O366" s="93">
        <v>181</v>
      </c>
      <c r="P366" s="96">
        <f>P365+R365*Tableau!$G$2+((1/2)*T365)*Tableau!$G$2^2</f>
        <v>-76349.738222995366</v>
      </c>
      <c r="Q366" s="96">
        <f>Q365+S365*Tableau!$G$2+((1/2)*U365)*Tableau!$G$2^2</f>
        <v>45185.438958974715</v>
      </c>
      <c r="R366" s="96">
        <f>R365+T365*Tableau!$G$2</f>
        <v>-246.42268024045055</v>
      </c>
      <c r="S366" s="96">
        <f>S365+U365*Tableau!$G$2</f>
        <v>-1178.8894063344899</v>
      </c>
      <c r="T366" s="96">
        <f t="shared" si="10"/>
        <v>124.03153415081928</v>
      </c>
      <c r="U366" s="96">
        <f t="shared" si="11"/>
        <v>-76.860265272920785</v>
      </c>
      <c r="V366" s="96">
        <f>((Tableau!$G$16-P366)/(AC366^2+Tableau!$G$21^2)^(3/2))*Tableau!$G$20</f>
        <v>44.926707878460803</v>
      </c>
      <c r="W366" s="96">
        <f>((Tableau!$H$16-Q366)/(AC366^2+Tableau!$G$21^2)^(3/2))*Tableau!$G$20</f>
        <v>-17.572260585315657</v>
      </c>
      <c r="X366" s="96">
        <f>((Tableau!$G$25-P366)/(AD366^2+Tableau!$G$30^2)^(3/2))*Tableau!$G$29</f>
        <v>33.950432727011901</v>
      </c>
      <c r="Y366" s="96">
        <f>((Tableau!$H$25-Q366)/(AD366^2+Tableau!$G$30^2)^(3/2))*Tableau!$G$29</f>
        <v>-21.199049294954399</v>
      </c>
      <c r="Z366" s="96">
        <f>((Tableau!$G$35-P366)/(AE366^2+Tableau!$G$40^2)^(3/2))*Tableau!$G$39</f>
        <v>45.154393545346572</v>
      </c>
      <c r="AA366" s="97">
        <f>((Tableau!$H$35-Q366)/(AE366^2+Tableau!$G$40^2)^(3/2))*Tableau!$G$39</f>
        <v>-38.088955392650732</v>
      </c>
      <c r="AC366" s="110">
        <f>SQRT((Tableau!$G$16-P366)^2+(Tableau!$H$16-Q366)^2)</f>
        <v>103457.54861376884</v>
      </c>
      <c r="AD366" s="111">
        <f>SQRT((Tableau!$G$25-P366)^2+(Tableau!$H$25-Q366)^2)</f>
        <v>66432.733742755474</v>
      </c>
      <c r="AE366" s="112">
        <f>SQRT((Tableau!$G$35-P366)^2+(Tableau!$H$35-Q366)^2)</f>
        <v>93343.838613881933</v>
      </c>
    </row>
    <row r="367" spans="2:31" x14ac:dyDescent="0.25">
      <c r="B367" s="18">
        <v>364</v>
      </c>
      <c r="C367" s="19">
        <f>Tableau!$G$17*COS(B367*PI()/180)+Tableau!$G$16</f>
        <v>24987.820251299123</v>
      </c>
      <c r="D367" s="19">
        <f>Tableau!$G$17*SIN(B367*PI()/180)+Tableau!$H$16</f>
        <v>7848.7823687206255</v>
      </c>
      <c r="F367" s="26">
        <v>364</v>
      </c>
      <c r="G367" s="27">
        <f>Tableau!$G$26*COS(F367*PI()/180)+Tableau!$G$25</f>
        <v>-16508.525824090615</v>
      </c>
      <c r="H367" s="27">
        <f>Tableau!$G$26*SIN(F367*PI()/180)+Tableau!$H$25</f>
        <v>10244.147658104437</v>
      </c>
      <c r="J367" s="34">
        <v>364</v>
      </c>
      <c r="K367" s="35">
        <f>Tableau!$G$36*COS(J367*PI()/180)+Tableau!$G$35</f>
        <v>-12.179748700878008</v>
      </c>
      <c r="L367" s="35">
        <f>Tableau!$G$36*SIN(J367*PI()/180)+Tableau!$H$35</f>
        <v>-14651.217631279374</v>
      </c>
      <c r="N367" s="98">
        <v>363</v>
      </c>
      <c r="O367" s="99">
        <v>181.5</v>
      </c>
      <c r="P367" s="101">
        <f>P366+R366*Tableau!$G$2+((1/2)*T366)*Tableau!$G$2^2</f>
        <v>-76457.445621346735</v>
      </c>
      <c r="Q367" s="101">
        <f>Q366+S366*Tableau!$G$2+((1/2)*U366)*Tableau!$G$2^2</f>
        <v>44586.386722648356</v>
      </c>
      <c r="R367" s="101">
        <f>R366+T366*Tableau!$G$2</f>
        <v>-184.40691316504092</v>
      </c>
      <c r="S367" s="101">
        <f>S366+U366*Tableau!$G$2</f>
        <v>-1217.3195389709504</v>
      </c>
      <c r="T367" s="101">
        <f t="shared" si="10"/>
        <v>125.14444928976863</v>
      </c>
      <c r="U367" s="101">
        <f t="shared" si="11"/>
        <v>-76.472845338357445</v>
      </c>
      <c r="V367" s="101">
        <f>((Tableau!$G$16-P367)/(AC367^2+Tableau!$G$21^2)^(3/2))*Tableau!$G$20</f>
        <v>45.127382755098132</v>
      </c>
      <c r="W367" s="101">
        <f>((Tableau!$H$16-Q367)/(AC367^2+Tableau!$G$21^2)^(3/2))*Tableau!$G$20</f>
        <v>-17.35077637455246</v>
      </c>
      <c r="X367" s="101">
        <f>((Tableau!$G$25-P367)/(AD367^2+Tableau!$G$30^2)^(3/2))*Tableau!$G$29</f>
        <v>34.357150971004629</v>
      </c>
      <c r="Y367" s="101">
        <f>((Tableau!$H$25-Q367)/(AD367^2+Tableau!$G$30^2)^(3/2))*Tableau!$G$29</f>
        <v>-21.047528755397384</v>
      </c>
      <c r="Z367" s="101">
        <f>((Tableau!$G$35-P367)/(AE367^2+Tableau!$G$40^2)^(3/2))*Tableau!$G$39</f>
        <v>45.659915563665869</v>
      </c>
      <c r="AA367" s="102">
        <f>((Tableau!$H$35-Q367)/(AE367^2+Tableau!$G$40^2)^(3/2))*Tableau!$G$39</f>
        <v>-38.074540208407591</v>
      </c>
      <c r="AC367" s="113">
        <f>SQRT((Tableau!$G$16-P367)^2+(Tableau!$H$16-Q367)^2)</f>
        <v>103341.37068926894</v>
      </c>
      <c r="AD367" s="114">
        <f>SQRT((Tableau!$G$25-P367)^2+(Tableau!$H$25-Q367)^2)</f>
        <v>66209.223772945028</v>
      </c>
      <c r="AE367" s="115">
        <f>SQRT((Tableau!$G$35-P367)^2+(Tableau!$H$35-Q367)^2)</f>
        <v>93041.410228933717</v>
      </c>
    </row>
    <row r="368" spans="2:31" x14ac:dyDescent="0.25">
      <c r="B368" s="20">
        <v>365</v>
      </c>
      <c r="C368" s="21">
        <f>Tableau!$G$17*COS(B368*PI()/180)+Tableau!$G$16</f>
        <v>24980.973490458728</v>
      </c>
      <c r="D368" s="21">
        <f>Tableau!$G$17*SIN(B368*PI()/180)+Tableau!$H$16</f>
        <v>7935.7787137382938</v>
      </c>
      <c r="F368" s="28">
        <v>365</v>
      </c>
      <c r="G368" s="29">
        <f>Tableau!$G$26*COS(F368*PI()/180)+Tableau!$G$25</f>
        <v>-16513.318556678892</v>
      </c>
      <c r="H368" s="29">
        <f>Tableau!$G$26*SIN(F368*PI()/180)+Tableau!$H$25</f>
        <v>10305.045099616806</v>
      </c>
      <c r="J368" s="36">
        <v>365</v>
      </c>
      <c r="K368" s="37">
        <f>Tableau!$G$36*COS(J368*PI()/180)+Tableau!$G$35</f>
        <v>-19.026509541272389</v>
      </c>
      <c r="L368" s="37">
        <f>Tableau!$G$36*SIN(J368*PI()/180)+Tableau!$H$35</f>
        <v>-14564.221286261707</v>
      </c>
      <c r="N368" s="92">
        <v>364</v>
      </c>
      <c r="O368" s="93">
        <v>182</v>
      </c>
      <c r="P368" s="96">
        <f>P367+R367*Tableau!$G$2+((1/2)*T367)*Tableau!$G$2^2</f>
        <v>-76534.006021768029</v>
      </c>
      <c r="Q368" s="96">
        <f>Q367+S367*Tableau!$G$2+((1/2)*U367)*Tableau!$G$2^2</f>
        <v>43968.167847495592</v>
      </c>
      <c r="R368" s="96">
        <f>R367+T367*Tableau!$G$2</f>
        <v>-121.8346885201566</v>
      </c>
      <c r="S368" s="96">
        <f>S367+U367*Tableau!$G$2</f>
        <v>-1255.555961640129</v>
      </c>
      <c r="T368" s="96">
        <f t="shared" si="10"/>
        <v>126.35839079374395</v>
      </c>
      <c r="U368" s="96">
        <f t="shared" si="11"/>
        <v>-76.129736636921564</v>
      </c>
      <c r="V368" s="96">
        <f>((Tableau!$G$16-P368)/(AC368^2+Tableau!$G$21^2)^(3/2))*Tableau!$G$20</f>
        <v>45.356811676517125</v>
      </c>
      <c r="W368" s="96">
        <f>((Tableau!$H$16-Q368)/(AC368^2+Tableau!$G$21^2)^(3/2))*Tableau!$G$20</f>
        <v>-17.134685375778208</v>
      </c>
      <c r="X368" s="96">
        <f>((Tableau!$G$25-P368)/(AD368^2+Tableau!$G$30^2)^(3/2))*Tableau!$G$29</f>
        <v>34.800211823278019</v>
      </c>
      <c r="Y368" s="96">
        <f>((Tableau!$H$25-Q368)/(AD368^2+Tableau!$G$30^2)^(3/2))*Tableau!$G$29</f>
        <v>-20.90952896361792</v>
      </c>
      <c r="Z368" s="96">
        <f>((Tableau!$G$35-P368)/(AE368^2+Tableau!$G$40^2)^(3/2))*Tableau!$G$39</f>
        <v>46.201367293948799</v>
      </c>
      <c r="AA368" s="97">
        <f>((Tableau!$H$35-Q368)/(AE368^2+Tableau!$G$40^2)^(3/2))*Tableau!$G$39</f>
        <v>-38.085522297525443</v>
      </c>
      <c r="AC368" s="110">
        <f>SQRT((Tableau!$G$16-P368)^2+(Tableau!$H$16-Q368)^2)</f>
        <v>103192.73998089138</v>
      </c>
      <c r="AD368" s="111">
        <f>SQRT((Tableau!$G$25-P368)^2+(Tableau!$H$25-Q368)^2)</f>
        <v>65954.001120363711</v>
      </c>
      <c r="AE368" s="112">
        <f>SQRT((Tableau!$G$35-P368)^2+(Tableau!$H$35-Q368)^2)</f>
        <v>92705.764852099455</v>
      </c>
    </row>
    <row r="369" spans="2:31" x14ac:dyDescent="0.25">
      <c r="B369" s="18">
        <v>366</v>
      </c>
      <c r="C369" s="19">
        <f>Tableau!$G$17*COS(B369*PI()/180)+Tableau!$G$16</f>
        <v>24972.609476841368</v>
      </c>
      <c r="D369" s="19">
        <f>Tableau!$G$17*SIN(B369*PI()/180)+Tableau!$H$16</f>
        <v>8022.6423163382642</v>
      </c>
      <c r="F369" s="26">
        <v>366</v>
      </c>
      <c r="G369" s="27">
        <f>Tableau!$G$26*COS(F369*PI()/180)+Tableau!$G$25</f>
        <v>-16519.173366211042</v>
      </c>
      <c r="H369" s="27">
        <f>Tableau!$G$26*SIN(F369*PI()/180)+Tableau!$H$25</f>
        <v>10365.849621436786</v>
      </c>
      <c r="J369" s="34">
        <v>366</v>
      </c>
      <c r="K369" s="35">
        <f>Tableau!$G$36*COS(J369*PI()/180)+Tableau!$G$35</f>
        <v>-27.390523158633187</v>
      </c>
      <c r="L369" s="35">
        <f>Tableau!$G$36*SIN(J369*PI()/180)+Tableau!$H$35</f>
        <v>-14477.357683661736</v>
      </c>
      <c r="N369" s="98">
        <v>365</v>
      </c>
      <c r="O369" s="99">
        <v>182.5</v>
      </c>
      <c r="P369" s="101">
        <f>P368+R368*Tableau!$G$2+((1/2)*T368)*Tableau!$G$2^2</f>
        <v>-76579.128567178879</v>
      </c>
      <c r="Q369" s="101">
        <f>Q368+S368*Tableau!$G$2+((1/2)*U368)*Tableau!$G$2^2</f>
        <v>43330.873649595909</v>
      </c>
      <c r="R369" s="101">
        <f>R368+T368*Tableau!$G$2</f>
        <v>-58.655493123284629</v>
      </c>
      <c r="S369" s="101">
        <f>S368+U368*Tableau!$G$2</f>
        <v>-1293.6208299585899</v>
      </c>
      <c r="T369" s="101">
        <f t="shared" si="10"/>
        <v>127.67787441027104</v>
      </c>
      <c r="U369" s="101">
        <f t="shared" si="11"/>
        <v>-75.830088994504905</v>
      </c>
      <c r="V369" s="101">
        <f>((Tableau!$G$16-P369)/(AC369^2+Tableau!$G$21^2)^(3/2))*Tableau!$G$20</f>
        <v>45.615641848340012</v>
      </c>
      <c r="W369" s="101">
        <f>((Tableau!$H$16-Q369)/(AC369^2+Tableau!$G$21^2)^(3/2))*Tableau!$G$20</f>
        <v>-16.923411132004517</v>
      </c>
      <c r="X369" s="101">
        <f>((Tableau!$G$25-P369)/(AD369^2+Tableau!$G$30^2)^(3/2))*Tableau!$G$29</f>
        <v>35.281595597553668</v>
      </c>
      <c r="Y369" s="101">
        <f>((Tableau!$H$25-Q369)/(AD369^2+Tableau!$G$30^2)^(3/2))*Tableau!$G$29</f>
        <v>-20.784455943359472</v>
      </c>
      <c r="Z369" s="101">
        <f>((Tableau!$G$35-P369)/(AE369^2+Tableau!$G$40^2)^(3/2))*Tableau!$G$39</f>
        <v>46.780636964377358</v>
      </c>
      <c r="AA369" s="102">
        <f>((Tableau!$H$35-Q369)/(AE369^2+Tableau!$G$40^2)^(3/2))*Tableau!$G$39</f>
        <v>-38.122221919140912</v>
      </c>
      <c r="AC369" s="113">
        <f>SQRT((Tableau!$G$16-P369)^2+(Tableau!$H$16-Q369)^2)</f>
        <v>103011.55071781501</v>
      </c>
      <c r="AD369" s="114">
        <f>SQRT((Tableau!$G$25-P369)^2+(Tableau!$H$25-Q369)^2)</f>
        <v>65666.924152625608</v>
      </c>
      <c r="AE369" s="115">
        <f>SQRT((Tableau!$G$35-P369)^2+(Tableau!$H$35-Q369)^2)</f>
        <v>92336.679966099313</v>
      </c>
    </row>
    <row r="370" spans="2:31" x14ac:dyDescent="0.25">
      <c r="B370" s="20">
        <v>367</v>
      </c>
      <c r="C370" s="21">
        <f>Tableau!$G$17*COS(B370*PI()/180)+Tableau!$G$16</f>
        <v>24962.73075820661</v>
      </c>
      <c r="D370" s="21">
        <f>Tableau!$G$17*SIN(B370*PI()/180)+Tableau!$H$16</f>
        <v>8109.3467170257381</v>
      </c>
      <c r="F370" s="28">
        <v>367</v>
      </c>
      <c r="G370" s="29">
        <f>Tableau!$G$26*COS(F370*PI()/180)+Tableau!$G$25</f>
        <v>-16526.088469255374</v>
      </c>
      <c r="H370" s="29">
        <f>Tableau!$G$26*SIN(F370*PI()/180)+Tableau!$H$25</f>
        <v>10426.542701918017</v>
      </c>
      <c r="J370" s="36">
        <v>367</v>
      </c>
      <c r="K370" s="37">
        <f>Tableau!$G$36*COS(J370*PI()/180)+Tableau!$G$35</f>
        <v>-37.269241793390393</v>
      </c>
      <c r="L370" s="37">
        <f>Tableau!$G$36*SIN(J370*PI()/180)+Tableau!$H$35</f>
        <v>-14390.653282974261</v>
      </c>
      <c r="N370" s="92">
        <v>366</v>
      </c>
      <c r="O370" s="93">
        <v>183</v>
      </c>
      <c r="P370" s="96">
        <f>P369+R369*Tableau!$G$2+((1/2)*T369)*Tableau!$G$2^2</f>
        <v>-76592.496579439234</v>
      </c>
      <c r="Q370" s="96">
        <f>Q369+S369*Tableau!$G$2+((1/2)*U369)*Tableau!$G$2^2</f>
        <v>42674.584473492301</v>
      </c>
      <c r="R370" s="96">
        <f>R369+T369*Tableau!$G$2</f>
        <v>5.1834440818508938</v>
      </c>
      <c r="S370" s="96">
        <f>S369+U369*Tableau!$G$2</f>
        <v>-1331.5358744558423</v>
      </c>
      <c r="T370" s="96">
        <f t="shared" si="10"/>
        <v>129.10794361645074</v>
      </c>
      <c r="U370" s="96">
        <f t="shared" si="11"/>
        <v>-75.573166761026215</v>
      </c>
      <c r="V370" s="96">
        <f>((Tableau!$G$16-P370)/(AC370^2+Tableau!$G$21^2)^(3/2))*Tableau!$G$20</f>
        <v>45.90462844921808</v>
      </c>
      <c r="W370" s="96">
        <f>((Tableau!$H$16-Q370)/(AC370^2+Tableau!$G$21^2)^(3/2))*Tableau!$G$20</f>
        <v>-16.716373303213704</v>
      </c>
      <c r="X370" s="96">
        <f>((Tableau!$G$25-P370)/(AD370^2+Tableau!$G$30^2)^(3/2))*Tableau!$G$29</f>
        <v>35.803512783321167</v>
      </c>
      <c r="Y370" s="96">
        <f>((Tableau!$H$25-Q370)/(AD370^2+Tableau!$G$30^2)^(3/2))*Tableau!$G$29</f>
        <v>-20.67173165340466</v>
      </c>
      <c r="Z370" s="96">
        <f>((Tableau!$G$35-P370)/(AE370^2+Tableau!$G$40^2)^(3/2))*Tableau!$G$39</f>
        <v>47.399802383911499</v>
      </c>
      <c r="AA370" s="97">
        <f>((Tableau!$H$35-Q370)/(AE370^2+Tableau!$G$40^2)^(3/2))*Tableau!$G$39</f>
        <v>-38.185061804407859</v>
      </c>
      <c r="AC370" s="110">
        <f>SQRT((Tableau!$G$16-P370)^2+(Tableau!$H$16-Q370)^2)</f>
        <v>102797.67404144816</v>
      </c>
      <c r="AD370" s="111">
        <f>SQRT((Tableau!$G$25-P370)^2+(Tableau!$H$25-Q370)^2)</f>
        <v>65347.831942683653</v>
      </c>
      <c r="AE370" s="112">
        <f>SQRT((Tableau!$G$35-P370)^2+(Tableau!$H$35-Q370)^2)</f>
        <v>91933.907023834341</v>
      </c>
    </row>
    <row r="371" spans="2:31" x14ac:dyDescent="0.25">
      <c r="B371" s="18">
        <v>368</v>
      </c>
      <c r="C371" s="19">
        <f>Tableau!$G$17*COS(B371*PI()/180)+Tableau!$G$16</f>
        <v>24951.340343707852</v>
      </c>
      <c r="D371" s="19">
        <f>Tableau!$G$17*SIN(B371*PI()/180)+Tableau!$H$16</f>
        <v>8195.865504800322</v>
      </c>
      <c r="F371" s="26">
        <v>368</v>
      </c>
      <c r="G371" s="27">
        <f>Tableau!$G$26*COS(F371*PI()/180)+Tableau!$G$25</f>
        <v>-16534.061759404503</v>
      </c>
      <c r="H371" s="27">
        <f>Tableau!$G$26*SIN(F371*PI()/180)+Tableau!$H$25</f>
        <v>10487.105853360226</v>
      </c>
      <c r="J371" s="34">
        <v>368</v>
      </c>
      <c r="K371" s="35">
        <f>Tableau!$G$36*COS(J371*PI()/180)+Tableau!$G$35</f>
        <v>-48.659656292147702</v>
      </c>
      <c r="L371" s="35">
        <f>Tableau!$G$36*SIN(J371*PI()/180)+Tableau!$H$35</f>
        <v>-14304.134495199678</v>
      </c>
      <c r="N371" s="98">
        <v>367</v>
      </c>
      <c r="O371" s="99">
        <v>183.5</v>
      </c>
      <c r="P371" s="101">
        <f>P370+R370*Tableau!$G$2+((1/2)*T370)*Tableau!$G$2^2</f>
        <v>-76573.766364446245</v>
      </c>
      <c r="Q371" s="101">
        <f>Q370+S370*Tableau!$G$2+((1/2)*U370)*Tableau!$G$2^2</f>
        <v>41999.36989041925</v>
      </c>
      <c r="R371" s="101">
        <f>R370+T370*Tableau!$G$2</f>
        <v>69.737415890076264</v>
      </c>
      <c r="S371" s="101">
        <f>S370+U370*Tableau!$G$2</f>
        <v>-1369.3224578363554</v>
      </c>
      <c r="T371" s="101">
        <f t="shared" si="10"/>
        <v>130.65422034357883</v>
      </c>
      <c r="U371" s="101">
        <f t="shared" si="11"/>
        <v>-75.358341117227013</v>
      </c>
      <c r="V371" s="101">
        <f>((Tableau!$G$16-P371)/(AC371^2+Tableau!$G$21^2)^(3/2))*Tableau!$G$20</f>
        <v>46.224640515837784</v>
      </c>
      <c r="W371" s="101">
        <f>((Tableau!$H$16-Q371)/(AC371^2+Tableau!$G$21^2)^(3/2))*Tableau!$G$20</f>
        <v>-16.512983093042607</v>
      </c>
      <c r="X371" s="101">
        <f>((Tableau!$G$25-P371)/(AD371^2+Tableau!$G$30^2)^(3/2))*Tableau!$G$29</f>
        <v>36.368429042310723</v>
      </c>
      <c r="Y371" s="101">
        <f>((Tableau!$H$25-Q371)/(AD371^2+Tableau!$G$30^2)^(3/2))*Tableau!$G$29</f>
        <v>-20.570785507922899</v>
      </c>
      <c r="Z371" s="101">
        <f>((Tableau!$G$35-P371)/(AE371^2+Tableau!$G$40^2)^(3/2))*Tableau!$G$39</f>
        <v>48.061150785430321</v>
      </c>
      <c r="AA371" s="102">
        <f>((Tableau!$H$35-Q371)/(AE371^2+Tableau!$G$40^2)^(3/2))*Tableau!$G$39</f>
        <v>-38.274572516261507</v>
      </c>
      <c r="AC371" s="113">
        <f>SQRT((Tableau!$G$16-P371)^2+(Tableau!$H$16-Q371)^2)</f>
        <v>102550.95744385138</v>
      </c>
      <c r="AD371" s="114">
        <f>SQRT((Tableau!$G$25-P371)^2+(Tableau!$H$25-Q371)^2)</f>
        <v>64996.543862291779</v>
      </c>
      <c r="AE371" s="115">
        <f>SQRT((Tableau!$G$35-P371)^2+(Tableau!$H$35-Q371)^2)</f>
        <v>91497.170445304859</v>
      </c>
    </row>
    <row r="372" spans="2:31" x14ac:dyDescent="0.25">
      <c r="B372" s="20">
        <v>369</v>
      </c>
      <c r="C372" s="21">
        <f>Tableau!$G$17*COS(B372*PI()/180)+Tableau!$G$16</f>
        <v>24938.441702975688</v>
      </c>
      <c r="D372" s="21">
        <f>Tableau!$G$17*SIN(B372*PI()/180)+Tableau!$H$16</f>
        <v>8282.1723252011525</v>
      </c>
      <c r="F372" s="28">
        <v>369</v>
      </c>
      <c r="G372" s="29">
        <f>Tableau!$G$26*COS(F372*PI()/180)+Tableau!$G$25</f>
        <v>-16543.090807917019</v>
      </c>
      <c r="H372" s="29">
        <f>Tableau!$G$26*SIN(F372*PI()/180)+Tableau!$H$25</f>
        <v>10547.520627640808</v>
      </c>
      <c r="J372" s="36">
        <v>369</v>
      </c>
      <c r="K372" s="37">
        <f>Tableau!$G$36*COS(J372*PI()/180)+Tableau!$G$35</f>
        <v>-61.558297024311287</v>
      </c>
      <c r="L372" s="37">
        <f>Tableau!$G$36*SIN(J372*PI()/180)+Tableau!$H$35</f>
        <v>-14217.827674798848</v>
      </c>
      <c r="N372" s="92">
        <v>368</v>
      </c>
      <c r="O372" s="93">
        <v>184</v>
      </c>
      <c r="P372" s="96">
        <f>P371+R371*Tableau!$G$2+((1/2)*T371)*Tableau!$G$2^2</f>
        <v>-76522.565878958267</v>
      </c>
      <c r="Q372" s="96">
        <f>Q371+S371*Tableau!$G$2+((1/2)*U371)*Tableau!$G$2^2</f>
        <v>41305.288868861418</v>
      </c>
      <c r="R372" s="96">
        <f>R371+T371*Tableau!$G$2</f>
        <v>135.06452606186568</v>
      </c>
      <c r="S372" s="96">
        <f>S371+U371*Tableau!$G$2</f>
        <v>-1407.001628394969</v>
      </c>
      <c r="T372" s="96">
        <f t="shared" si="10"/>
        <v>132.3229633056045</v>
      </c>
      <c r="U372" s="96">
        <f t="shared" si="11"/>
        <v>-75.185082444143731</v>
      </c>
      <c r="V372" s="96">
        <f>((Tableau!$G$16-P372)/(AC372^2+Tableau!$G$21^2)^(3/2))*Tableau!$G$20</f>
        <v>46.576667897821949</v>
      </c>
      <c r="W372" s="96">
        <f>((Tableau!$H$16-Q372)/(AC372^2+Tableau!$G$21^2)^(3/2))*Tableau!$G$20</f>
        <v>-16.312638381468282</v>
      </c>
      <c r="X372" s="96">
        <f>((Tableau!$G$25-P372)/(AD372^2+Tableau!$G$30^2)^(3/2))*Tableau!$G$29</f>
        <v>36.979093978144405</v>
      </c>
      <c r="Y372" s="96">
        <f>((Tableau!$H$25-Q372)/(AD372^2+Tableau!$G$30^2)^(3/2))*Tableau!$G$29</f>
        <v>-20.481045067445198</v>
      </c>
      <c r="Z372" s="96">
        <f>((Tableau!$G$35-P372)/(AE372^2+Tableau!$G$40^2)^(3/2))*Tableau!$G$39</f>
        <v>48.767201429638149</v>
      </c>
      <c r="AA372" s="97">
        <f>((Tableau!$H$35-Q372)/(AE372^2+Tableau!$G$40^2)^(3/2))*Tableau!$G$39</f>
        <v>-38.391398995230247</v>
      </c>
      <c r="AC372" s="110">
        <f>SQRT((Tableau!$G$16-P372)^2+(Tableau!$H$16-Q372)^2)</f>
        <v>102271.22410221265</v>
      </c>
      <c r="AD372" s="111">
        <f>SQRT((Tableau!$G$25-P372)^2+(Tableau!$H$25-Q372)^2)</f>
        <v>64612.859128071679</v>
      </c>
      <c r="AE372" s="112">
        <f>SQRT((Tableau!$G$35-P372)^2+(Tableau!$H$35-Q372)^2)</f>
        <v>91026.16648258816</v>
      </c>
    </row>
    <row r="373" spans="2:31" x14ac:dyDescent="0.25">
      <c r="B373" s="18">
        <v>370</v>
      </c>
      <c r="C373" s="19">
        <f>Tableau!$G$17*COS(B373*PI()/180)+Tableau!$G$16</f>
        <v>24924.038765061043</v>
      </c>
      <c r="D373" s="19">
        <f>Tableau!$G$17*SIN(B373*PI()/180)+Tableau!$H$16</f>
        <v>8368.2408883346488</v>
      </c>
      <c r="F373" s="26">
        <v>370</v>
      </c>
      <c r="G373" s="27">
        <f>Tableau!$G$26*COS(F373*PI()/180)+Tableau!$G$25</f>
        <v>-16553.172864457272</v>
      </c>
      <c r="H373" s="27">
        <f>Tableau!$G$26*SIN(F373*PI()/180)+Tableau!$H$25</f>
        <v>10607.768621834255</v>
      </c>
      <c r="J373" s="34">
        <v>370</v>
      </c>
      <c r="K373" s="35">
        <f>Tableau!$G$36*COS(J373*PI()/180)+Tableau!$G$35</f>
        <v>-75.961234938959024</v>
      </c>
      <c r="L373" s="35">
        <f>Tableau!$G$36*SIN(J373*PI()/180)+Tableau!$H$35</f>
        <v>-14131.759111665351</v>
      </c>
      <c r="N373" s="98">
        <v>369</v>
      </c>
      <c r="O373" s="99">
        <v>184.5</v>
      </c>
      <c r="P373" s="101">
        <f>P372+R372*Tableau!$G$2+((1/2)*T372)*Tableau!$G$2^2</f>
        <v>-76438.493245514124</v>
      </c>
      <c r="Q373" s="101">
        <f>Q372+S372*Tableau!$G$2+((1/2)*U372)*Tableau!$G$2^2</f>
        <v>40592.389919358415</v>
      </c>
      <c r="R373" s="101">
        <f>R372+T372*Tableau!$G$2</f>
        <v>201.22600771466793</v>
      </c>
      <c r="S373" s="101">
        <f>S372+U372*Tableau!$G$2</f>
        <v>-1444.5941696170407</v>
      </c>
      <c r="T373" s="101">
        <f t="shared" si="10"/>
        <v>134.12113509011365</v>
      </c>
      <c r="U373" s="101">
        <f t="shared" si="11"/>
        <v>-75.052952522657847</v>
      </c>
      <c r="V373" s="101">
        <f>((Tableau!$G$16-P373)/(AC373^2+Tableau!$G$21^2)^(3/2))*Tableau!$G$20</f>
        <v>46.961829390281643</v>
      </c>
      <c r="W373" s="101">
        <f>((Tableau!$H$16-Q373)/(AC373^2+Tableau!$G$21^2)^(3/2))*Tableau!$G$20</f>
        <v>-16.114718482309705</v>
      </c>
      <c r="X373" s="101">
        <f>((Tableau!$G$25-P373)/(AD373^2+Tableau!$G$30^2)^(3/2))*Tableau!$G$29</f>
        <v>37.638574293507759</v>
      </c>
      <c r="Y373" s="101">
        <f>((Tableau!$H$25-Q373)/(AD373^2+Tableau!$G$30^2)^(3/2))*Tableau!$G$29</f>
        <v>-20.40192561106776</v>
      </c>
      <c r="Z373" s="101">
        <f>((Tableau!$G$35-P373)/(AE373^2+Tableau!$G$40^2)^(3/2))*Tableau!$G$39</f>
        <v>49.520731406324245</v>
      </c>
      <c r="AA373" s="102">
        <f>((Tableau!$H$35-Q373)/(AE373^2+Tableau!$G$40^2)^(3/2))*Tableau!$G$39</f>
        <v>-38.536308429280382</v>
      </c>
      <c r="AC373" s="113">
        <f>SQRT((Tableau!$G$16-P373)^2+(Tableau!$H$16-Q373)^2)</f>
        <v>101958.27210207089</v>
      </c>
      <c r="AD373" s="114">
        <f>SQRT((Tableau!$G$25-P373)^2+(Tableau!$H$25-Q373)^2)</f>
        <v>64196.556300178636</v>
      </c>
      <c r="AE373" s="115">
        <f>SQRT((Tableau!$G$35-P373)^2+(Tableau!$H$35-Q373)^2)</f>
        <v>90520.561941115622</v>
      </c>
    </row>
    <row r="374" spans="2:31" x14ac:dyDescent="0.25">
      <c r="B374" s="20">
        <v>371</v>
      </c>
      <c r="C374" s="21">
        <f>Tableau!$G$17*COS(B374*PI()/180)+Tableau!$G$16</f>
        <v>24908.13591723832</v>
      </c>
      <c r="D374" s="21">
        <f>Tableau!$G$17*SIN(B374*PI()/180)+Tableau!$H$16</f>
        <v>8454.0449768827257</v>
      </c>
      <c r="F374" s="28">
        <v>371</v>
      </c>
      <c r="G374" s="29">
        <f>Tableau!$G$26*COS(F374*PI()/180)+Tableau!$G$25</f>
        <v>-16564.304857933177</v>
      </c>
      <c r="H374" s="29">
        <f>Tableau!$G$26*SIN(F374*PI()/180)+Tableau!$H$25</f>
        <v>10667.831483817909</v>
      </c>
      <c r="J374" s="36">
        <v>371</v>
      </c>
      <c r="K374" s="37">
        <f>Tableau!$G$36*COS(J374*PI()/180)+Tableau!$G$35</f>
        <v>-91.864082761680947</v>
      </c>
      <c r="L374" s="37">
        <f>Tableau!$G$36*SIN(J374*PI()/180)+Tableau!$H$35</f>
        <v>-14045.955023117274</v>
      </c>
      <c r="N374" s="92">
        <v>370</v>
      </c>
      <c r="O374" s="93">
        <v>185</v>
      </c>
      <c r="P374" s="96">
        <f>P373+R373*Tableau!$G$2+((1/2)*T373)*Tableau!$G$2^2</f>
        <v>-76321.115099770526</v>
      </c>
      <c r="Q374" s="96">
        <f>Q373+S373*Tableau!$G$2+((1/2)*U373)*Tableau!$G$2^2</f>
        <v>39860.711215484567</v>
      </c>
      <c r="R374" s="96">
        <f>R373+T373*Tableau!$G$2</f>
        <v>268.28657525972477</v>
      </c>
      <c r="S374" s="96">
        <f>S373+U373*Tableau!$G$2</f>
        <v>-1482.1206458783697</v>
      </c>
      <c r="T374" s="96">
        <f t="shared" si="10"/>
        <v>136.05647939185411</v>
      </c>
      <c r="U374" s="96">
        <f t="shared" si="11"/>
        <v>-74.961596290602557</v>
      </c>
      <c r="V374" s="96">
        <f>((Tableau!$G$16-P374)/(AC374^2+Tableau!$G$21^2)^(3/2))*Tableau!$G$20</f>
        <v>47.381382173461432</v>
      </c>
      <c r="W374" s="96">
        <f>((Tableau!$H$16-Q374)/(AC374^2+Tableau!$G$21^2)^(3/2))*Tableau!$G$20</f>
        <v>-15.918578433375579</v>
      </c>
      <c r="X374" s="96">
        <f>((Tableau!$G$25-P374)/(AD374^2+Tableau!$G$30^2)^(3/2))*Tableau!$G$29</f>
        <v>38.350292067410493</v>
      </c>
      <c r="Y374" s="96">
        <f>((Tableau!$H$25-Q374)/(AD374^2+Tableau!$G$30^2)^(3/2))*Tableau!$G$29</f>
        <v>-20.332818241006365</v>
      </c>
      <c r="Z374" s="96">
        <f>((Tableau!$G$35-P374)/(AE374^2+Tableau!$G$40^2)^(3/2))*Tableau!$G$39</f>
        <v>50.324805150982172</v>
      </c>
      <c r="AA374" s="97">
        <f>((Tableau!$H$35-Q374)/(AE374^2+Tableau!$G$40^2)^(3/2))*Tableau!$G$39</f>
        <v>-38.710199616220621</v>
      </c>
      <c r="AC374" s="110">
        <f>SQRT((Tableau!$G$16-P374)^2+(Tableau!$H$16-Q374)^2)</f>
        <v>101611.87354062138</v>
      </c>
      <c r="AD374" s="111">
        <f>SQRT((Tableau!$G$25-P374)^2+(Tableau!$H$25-Q374)^2)</f>
        <v>63747.39273394768</v>
      </c>
      <c r="AE374" s="112">
        <f>SQRT((Tableau!$G$35-P374)^2+(Tableau!$H$35-Q374)^2)</f>
        <v>89979.9927436289</v>
      </c>
    </row>
    <row r="375" spans="2:31" x14ac:dyDescent="0.25">
      <c r="B375" s="18">
        <v>372</v>
      </c>
      <c r="C375" s="19">
        <f>Tableau!$G$17*COS(B375*PI()/180)+Tableau!$G$16</f>
        <v>24890.73800366903</v>
      </c>
      <c r="D375" s="19">
        <f>Tableau!$G$17*SIN(B375*PI()/180)+Tableau!$H$16</f>
        <v>8539.5584540887921</v>
      </c>
      <c r="F375" s="26">
        <v>372</v>
      </c>
      <c r="G375" s="27">
        <f>Tableau!$G$26*COS(F375*PI()/180)+Tableau!$G$25</f>
        <v>-16576.483397431679</v>
      </c>
      <c r="H375" s="27">
        <f>Tableau!$G$26*SIN(F375*PI()/180)+Tableau!$H$25</f>
        <v>10727.690917862155</v>
      </c>
      <c r="J375" s="34">
        <v>372</v>
      </c>
      <c r="K375" s="35">
        <f>Tableau!$G$36*COS(J375*PI()/180)+Tableau!$G$35</f>
        <v>-109.26199633097076</v>
      </c>
      <c r="L375" s="35">
        <f>Tableau!$G$36*SIN(J375*PI()/180)+Tableau!$H$35</f>
        <v>-13960.441545911208</v>
      </c>
      <c r="N375" s="98">
        <v>371</v>
      </c>
      <c r="O375" s="99">
        <v>185.5</v>
      </c>
      <c r="P375" s="101">
        <f>P374+R374*Tableau!$G$2+((1/2)*T374)*Tableau!$G$2^2</f>
        <v>-76169.964752216678</v>
      </c>
      <c r="Q375" s="101">
        <f>Q374+S374*Tableau!$G$2+((1/2)*U374)*Tableau!$G$2^2</f>
        <v>39110.280693009059</v>
      </c>
      <c r="R375" s="101">
        <f>R374+T374*Tableau!$G$2</f>
        <v>336.31481495565185</v>
      </c>
      <c r="S375" s="101">
        <f>S374+U374*Tableau!$G$2</f>
        <v>-1519.6014440236711</v>
      </c>
      <c r="T375" s="101">
        <f t="shared" si="10"/>
        <v>138.13761003601277</v>
      </c>
      <c r="U375" s="101">
        <f t="shared" si="11"/>
        <v>-74.910732830355201</v>
      </c>
      <c r="V375" s="101">
        <f>((Tableau!$G$16-P375)/(AC375^2+Tableau!$G$21^2)^(3/2))*Tableau!$G$20</f>
        <v>47.83673271402926</v>
      </c>
      <c r="W375" s="101">
        <f>((Tableau!$H$16-Q375)/(AC375^2+Tableau!$G$21^2)^(3/2))*Tableau!$G$20</f>
        <v>-15.723542713392332</v>
      </c>
      <c r="X375" s="101">
        <f>((Tableau!$G$25-P375)/(AD375^2+Tableau!$G$30^2)^(3/2))*Tableau!$G$29</f>
        <v>39.118069028486772</v>
      </c>
      <c r="Y375" s="101">
        <f>((Tableau!$H$25-Q375)/(AD375^2+Tableau!$G$30^2)^(3/2))*Tableau!$G$29</f>
        <v>-20.273076093443965</v>
      </c>
      <c r="Z375" s="101">
        <f>((Tableau!$G$35-P375)/(AE375^2+Tableau!$G$40^2)^(3/2))*Tableau!$G$39</f>
        <v>51.182808293496748</v>
      </c>
      <c r="AA375" s="102">
        <f>((Tableau!$H$35-Q375)/(AE375^2+Tableau!$G$40^2)^(3/2))*Tableau!$G$39</f>
        <v>-38.914114023518906</v>
      </c>
      <c r="AC375" s="113">
        <f>SQRT((Tableau!$G$16-P375)^2+(Tableau!$H$16-Q375)^2)</f>
        <v>101231.77349989192</v>
      </c>
      <c r="AD375" s="114">
        <f>SQRT((Tableau!$G$25-P375)^2+(Tableau!$H$25-Q375)^2)</f>
        <v>63265.103985459791</v>
      </c>
      <c r="AE375" s="115">
        <f>SQRT((Tableau!$G$35-P375)^2+(Tableau!$H$35-Q375)^2)</f>
        <v>89404.062321060075</v>
      </c>
    </row>
    <row r="376" spans="2:31" x14ac:dyDescent="0.25">
      <c r="B376" s="20">
        <v>373</v>
      </c>
      <c r="C376" s="21">
        <f>Tableau!$G$17*COS(B376*PI()/180)+Tableau!$G$16</f>
        <v>24871.850323926177</v>
      </c>
      <c r="D376" s="21">
        <f>Tableau!$G$17*SIN(B376*PI()/180)+Tableau!$H$16</f>
        <v>8624.7552717193248</v>
      </c>
      <c r="F376" s="28">
        <v>373</v>
      </c>
      <c r="G376" s="29">
        <f>Tableau!$G$26*COS(F376*PI()/180)+Tableau!$G$25</f>
        <v>-16589.704773251677</v>
      </c>
      <c r="H376" s="29">
        <f>Tableau!$G$26*SIN(F376*PI()/180)+Tableau!$H$25</f>
        <v>10787.328690203527</v>
      </c>
      <c r="J376" s="36">
        <v>373</v>
      </c>
      <c r="K376" s="37">
        <f>Tableau!$G$36*COS(J376*PI()/180)+Tableau!$G$35</f>
        <v>-128.14967607382368</v>
      </c>
      <c r="L376" s="37">
        <f>Tableau!$G$36*SIN(J376*PI()/180)+Tableau!$H$35</f>
        <v>-13875.244728280675</v>
      </c>
      <c r="N376" s="92">
        <v>372</v>
      </c>
      <c r="O376" s="93">
        <v>186</v>
      </c>
      <c r="P376" s="96">
        <f>P375+R375*Tableau!$G$2+((1/2)*T375)*Tableau!$G$2^2</f>
        <v>-75984.540143484337</v>
      </c>
      <c r="Q376" s="96">
        <f>Q375+S375*Tableau!$G$2+((1/2)*U375)*Tableau!$G$2^2</f>
        <v>38341.116129393427</v>
      </c>
      <c r="R376" s="96">
        <f>R375+T375*Tableau!$G$2</f>
        <v>405.38361997365826</v>
      </c>
      <c r="S376" s="96">
        <f>S375+U375*Tableau!$G$2</f>
        <v>-1557.0568104388487</v>
      </c>
      <c r="T376" s="96">
        <f t="shared" si="10"/>
        <v>140.37411376245652</v>
      </c>
      <c r="U376" s="96">
        <f t="shared" si="11"/>
        <v>-74.900145186591985</v>
      </c>
      <c r="V376" s="96">
        <f>((Tableau!$G$16-P376)/(AC376^2+Tableau!$G$21^2)^(3/2))*Tableau!$G$20</f>
        <v>48.329449311871073</v>
      </c>
      <c r="W376" s="96">
        <f>((Tableau!$H$16-Q376)/(AC376^2+Tableau!$G$21^2)^(3/2))*Tableau!$G$20</f>
        <v>-15.528898262875412</v>
      </c>
      <c r="X376" s="96">
        <f>((Tableau!$G$25-P376)/(AD376^2+Tableau!$G$30^2)^(3/2))*Tableau!$G$29</f>
        <v>39.946177874819483</v>
      </c>
      <c r="Y376" s="96">
        <f>((Tableau!$H$25-Q376)/(AD376^2+Tableau!$G$30^2)^(3/2))*Tableau!$G$29</f>
        <v>-20.221998129735912</v>
      </c>
      <c r="Z376" s="96">
        <f>((Tableau!$G$35-P376)/(AE376^2+Tableau!$G$40^2)^(3/2))*Tableau!$G$39</f>
        <v>52.098486575765953</v>
      </c>
      <c r="AA376" s="97">
        <f>((Tableau!$H$35-Q376)/(AE376^2+Tableau!$G$40^2)^(3/2))*Tableau!$G$39</f>
        <v>-39.149248793980661</v>
      </c>
      <c r="AC376" s="110">
        <f>SQRT((Tableau!$G$16-P376)^2+(Tableau!$H$16-Q376)^2)</f>
        <v>100817.68887780997</v>
      </c>
      <c r="AD376" s="111">
        <f>SQRT((Tableau!$G$25-P376)^2+(Tableau!$H$25-Q376)^2)</f>
        <v>62749.403172756734</v>
      </c>
      <c r="AE376" s="112">
        <f>SQRT((Tableau!$G$35-P376)^2+(Tableau!$H$35-Q376)^2)</f>
        <v>88792.339812122169</v>
      </c>
    </row>
    <row r="377" spans="2:31" x14ac:dyDescent="0.25">
      <c r="B377" s="18">
        <v>374</v>
      </c>
      <c r="C377" s="19">
        <f>Tableau!$G$17*COS(B377*PI()/180)+Tableau!$G$16</f>
        <v>24851.478631379981</v>
      </c>
      <c r="D377" s="19">
        <f>Tableau!$G$17*SIN(B377*PI()/180)+Tableau!$H$16</f>
        <v>8709.6094779983414</v>
      </c>
      <c r="F377" s="26">
        <v>374</v>
      </c>
      <c r="G377" s="27">
        <f>Tableau!$G$26*COS(F377*PI()/180)+Tableau!$G$25</f>
        <v>-16603.964958034012</v>
      </c>
      <c r="H377" s="27">
        <f>Tableau!$G$26*SIN(F377*PI()/180)+Tableau!$H$25</f>
        <v>10846.726634598839</v>
      </c>
      <c r="J377" s="34">
        <v>374</v>
      </c>
      <c r="K377" s="35">
        <f>Tableau!$G$36*COS(J377*PI()/180)+Tableau!$G$35</f>
        <v>-148.52136862001862</v>
      </c>
      <c r="L377" s="35">
        <f>Tableau!$G$36*SIN(J377*PI()/180)+Tableau!$H$35</f>
        <v>-13790.390522001659</v>
      </c>
      <c r="N377" s="98">
        <v>373</v>
      </c>
      <c r="O377" s="99">
        <v>186.5</v>
      </c>
      <c r="P377" s="101">
        <f>P376+R376*Tableau!$G$2+((1/2)*T376)*Tableau!$G$2^2</f>
        <v>-75764.301569277202</v>
      </c>
      <c r="Q377" s="101">
        <f>Q376+S376*Tableau!$G$2+((1/2)*U376)*Tableau!$G$2^2</f>
        <v>37553.22520602568</v>
      </c>
      <c r="R377" s="101">
        <f>R376+T376*Tableau!$G$2</f>
        <v>475.57067685488653</v>
      </c>
      <c r="S377" s="101">
        <f>S376+U376*Tableau!$G$2</f>
        <v>-1594.5068830321447</v>
      </c>
      <c r="T377" s="101">
        <f t="shared" si="10"/>
        <v>142.77666913673514</v>
      </c>
      <c r="U377" s="101">
        <f t="shared" si="11"/>
        <v>-74.929668516418388</v>
      </c>
      <c r="V377" s="101">
        <f>((Tableau!$G$16-P377)/(AC377^2+Tableau!$G$21^2)^(3/2))*Tableau!$G$20</f>
        <v>48.861276510736921</v>
      </c>
      <c r="W377" s="101">
        <f>((Tableau!$H$16-Q377)/(AC377^2+Tableau!$G$21^2)^(3/2))*Tableau!$G$20</f>
        <v>-15.333886665155497</v>
      </c>
      <c r="X377" s="101">
        <f>((Tableau!$G$25-P377)/(AD377^2+Tableau!$G$30^2)^(3/2))*Tableau!$G$29</f>
        <v>40.839401903925726</v>
      </c>
      <c r="Y377" s="101">
        <f>((Tableau!$H$25-Q377)/(AD377^2+Tableau!$G$30^2)^(3/2))*Tableau!$G$29</f>
        <v>-20.178809852757286</v>
      </c>
      <c r="Z377" s="101">
        <f>((Tableau!$G$35-P377)/(AE377^2+Tableau!$G$40^2)^(3/2))*Tableau!$G$39</f>
        <v>53.075990722072497</v>
      </c>
      <c r="AA377" s="102">
        <f>((Tableau!$H$35-Q377)/(AE377^2+Tableau!$G$40^2)^(3/2))*Tableau!$G$39</f>
        <v>-39.416971998505595</v>
      </c>
      <c r="AC377" s="113">
        <f>SQRT((Tableau!$G$16-P377)^2+(Tableau!$H$16-Q377)^2)</f>
        <v>100369.30706314339</v>
      </c>
      <c r="AD377" s="114">
        <f>SQRT((Tableau!$G$25-P377)^2+(Tableau!$H$25-Q377)^2)</f>
        <v>62199.980295521476</v>
      </c>
      <c r="AE377" s="115">
        <f>SQRT((Tableau!$G$35-P377)^2+(Tableau!$H$35-Q377)^2)</f>
        <v>88144.358050546041</v>
      </c>
    </row>
    <row r="378" spans="2:31" x14ac:dyDescent="0.25">
      <c r="B378" s="20">
        <v>375</v>
      </c>
      <c r="C378" s="21">
        <f>Tableau!$G$17*COS(B378*PI()/180)+Tableau!$G$16</f>
        <v>24829.629131445341</v>
      </c>
      <c r="D378" s="21">
        <f>Tableau!$G$17*SIN(B378*PI()/180)+Tableau!$H$16</f>
        <v>8794.0952255126012</v>
      </c>
      <c r="F378" s="28">
        <v>375</v>
      </c>
      <c r="G378" s="29">
        <f>Tableau!$G$26*COS(F378*PI()/180)+Tableau!$G$25</f>
        <v>-16619.259607988261</v>
      </c>
      <c r="H378" s="29">
        <f>Tableau!$G$26*SIN(F378*PI()/180)+Tableau!$H$25</f>
        <v>10905.86665785882</v>
      </c>
      <c r="J378" s="36">
        <v>375</v>
      </c>
      <c r="K378" s="37">
        <f>Tableau!$G$36*COS(J378*PI()/180)+Tableau!$G$35</f>
        <v>-170.37086855465805</v>
      </c>
      <c r="L378" s="37">
        <f>Tableau!$G$36*SIN(J378*PI()/180)+Tableau!$H$35</f>
        <v>-13705.904774487399</v>
      </c>
      <c r="N378" s="92">
        <v>374</v>
      </c>
      <c r="O378" s="93">
        <v>187</v>
      </c>
      <c r="P378" s="96">
        <f>P377+R377*Tableau!$G$2+((1/2)*T377)*Tableau!$G$2^2</f>
        <v>-75508.669147207664</v>
      </c>
      <c r="Q378" s="96">
        <f>Q377+S377*Tableau!$G$2+((1/2)*U377)*Tableau!$G$2^2</f>
        <v>36746.605555945054</v>
      </c>
      <c r="R378" s="96">
        <f>R377+T377*Tableau!$G$2</f>
        <v>546.95901142325408</v>
      </c>
      <c r="S378" s="96">
        <f>S377+U377*Tableau!$G$2</f>
        <v>-1631.971717290354</v>
      </c>
      <c r="T378" s="96">
        <f t="shared" si="10"/>
        <v>145.3571844359891</v>
      </c>
      <c r="U378" s="96">
        <f t="shared" si="11"/>
        <v>-74.99917594482153</v>
      </c>
      <c r="V378" s="96">
        <f>((Tableau!$G$16-P378)/(AC378^2+Tableau!$G$21^2)^(3/2))*Tableau!$G$20</f>
        <v>49.434151631887879</v>
      </c>
      <c r="W378" s="96">
        <f>((Tableau!$H$16-Q378)/(AC378^2+Tableau!$G$21^2)^(3/2))*Tableau!$G$20</f>
        <v>-15.137695317921535</v>
      </c>
      <c r="X378" s="96">
        <f>((Tableau!$G$25-P378)/(AD378^2+Tableau!$G$30^2)^(3/2))*Tableau!$G$29</f>
        <v>41.803104477705432</v>
      </c>
      <c r="Y378" s="96">
        <f>((Tableau!$H$25-Q378)/(AD378^2+Tableau!$G$30^2)^(3/2))*Tableau!$G$29</f>
        <v>-20.142640125526999</v>
      </c>
      <c r="Z378" s="96">
        <f>((Tableau!$G$35-P378)/(AE378^2+Tableau!$G$40^2)^(3/2))*Tableau!$G$39</f>
        <v>54.119928326395787</v>
      </c>
      <c r="AA378" s="97">
        <f>((Tableau!$H$35-Q378)/(AE378^2+Tableau!$G$40^2)^(3/2))*Tableau!$G$39</f>
        <v>-39.718840501372995</v>
      </c>
      <c r="AC378" s="110">
        <f>SQRT((Tableau!$G$16-P378)^2+(Tableau!$H$16-Q378)^2)</f>
        <v>99886.284437933791</v>
      </c>
      <c r="AD378" s="111">
        <f>SQRT((Tableau!$G$25-P378)^2+(Tableau!$H$25-Q378)^2)</f>
        <v>61616.501517527548</v>
      </c>
      <c r="AE378" s="112">
        <f>SQRT((Tableau!$G$35-P378)^2+(Tableau!$H$35-Q378)^2)</f>
        <v>87459.611315583592</v>
      </c>
    </row>
    <row r="379" spans="2:31" x14ac:dyDescent="0.25">
      <c r="B379" s="18">
        <v>376</v>
      </c>
      <c r="C379" s="19">
        <f>Tableau!$G$17*COS(B379*PI()/180)+Tableau!$G$16</f>
        <v>24806.308479691594</v>
      </c>
      <c r="D379" s="19">
        <f>Tableau!$G$17*SIN(B379*PI()/180)+Tableau!$H$16</f>
        <v>8878.1867790849974</v>
      </c>
      <c r="F379" s="26">
        <v>376</v>
      </c>
      <c r="G379" s="27">
        <f>Tableau!$G$26*COS(F379*PI()/180)+Tableau!$G$25</f>
        <v>-16635.584064215884</v>
      </c>
      <c r="H379" s="27">
        <f>Tableau!$G$26*SIN(F379*PI()/180)+Tableau!$H$25</f>
        <v>10964.730745359499</v>
      </c>
      <c r="J379" s="34">
        <v>376</v>
      </c>
      <c r="K379" s="35">
        <f>Tableau!$G$36*COS(J379*PI()/180)+Tableau!$G$35</f>
        <v>-193.69152030840633</v>
      </c>
      <c r="L379" s="35">
        <f>Tableau!$G$36*SIN(J379*PI()/180)+Tableau!$H$35</f>
        <v>-13621.813220915003</v>
      </c>
      <c r="N379" s="98">
        <v>375</v>
      </c>
      <c r="O379" s="99">
        <v>187.5</v>
      </c>
      <c r="P379" s="101">
        <f>P378+R378*Tableau!$G$2+((1/2)*T378)*Tableau!$G$2^2</f>
        <v>-75217.019993441543</v>
      </c>
      <c r="Q379" s="101">
        <f>Q378+S378*Tableau!$G$2+((1/2)*U378)*Tableau!$G$2^2</f>
        <v>35921.244800306777</v>
      </c>
      <c r="R379" s="101">
        <f>R378+T378*Tableau!$G$2</f>
        <v>619.63760364124869</v>
      </c>
      <c r="S379" s="101">
        <f>S378+U378*Tableau!$G$2</f>
        <v>-1669.4713052627649</v>
      </c>
      <c r="T379" s="101">
        <f t="shared" si="10"/>
        <v>148.12895795026498</v>
      </c>
      <c r="U379" s="101">
        <f t="shared" si="11"/>
        <v>-75.108561327334286</v>
      </c>
      <c r="V379" s="101">
        <f>((Tableau!$G$16-P379)/(AC379^2+Tableau!$G$21^2)^(3/2))*Tableau!$G$20</f>
        <v>50.050223738533205</v>
      </c>
      <c r="W379" s="101">
        <f>((Tableau!$H$16-Q379)/(AC379^2+Tableau!$G$21^2)^(3/2))*Tableau!$G$20</f>
        <v>-14.939447393763819</v>
      </c>
      <c r="X379" s="101">
        <f>((Tableau!$G$25-P379)/(AD379^2+Tableau!$G$30^2)^(3/2))*Tableau!$G$29</f>
        <v>42.843310168280873</v>
      </c>
      <c r="Y379" s="101">
        <f>((Tableau!$H$25-Q379)/(AD379^2+Tableau!$G$30^2)^(3/2))*Tableau!$G$29</f>
        <v>-20.112493051225652</v>
      </c>
      <c r="Z379" s="101">
        <f>((Tableau!$G$35-P379)/(AE379^2+Tableau!$G$40^2)^(3/2))*Tableau!$G$39</f>
        <v>55.235424043450891</v>
      </c>
      <c r="AA379" s="102">
        <f>((Tableau!$H$35-Q379)/(AE379^2+Tableau!$G$40^2)^(3/2))*Tableau!$G$39</f>
        <v>-40.056620882344809</v>
      </c>
      <c r="AC379" s="113">
        <f>SQRT((Tableau!$G$16-P379)^2+(Tableau!$H$16-Q379)^2)</f>
        <v>99368.244688282633</v>
      </c>
      <c r="AD379" s="114">
        <f>SQRT((Tableau!$G$25-P379)^2+(Tableau!$H$25-Q379)^2)</f>
        <v>60998.608418172582</v>
      </c>
      <c r="AE379" s="115">
        <f>SQRT((Tableau!$G$35-P379)^2+(Tableau!$H$35-Q379)^2)</f>
        <v>86737.552817520394</v>
      </c>
    </row>
    <row r="380" spans="2:31" x14ac:dyDescent="0.25">
      <c r="B380" s="20">
        <v>377</v>
      </c>
      <c r="C380" s="21">
        <f>Tableau!$G$17*COS(B380*PI()/180)+Tableau!$G$16</f>
        <v>24781.523779815179</v>
      </c>
      <c r="D380" s="21">
        <f>Tableau!$G$17*SIN(B380*PI()/180)+Tableau!$H$16</f>
        <v>8961.8585236136823</v>
      </c>
      <c r="F380" s="28">
        <v>377</v>
      </c>
      <c r="G380" s="29">
        <f>Tableau!$G$26*COS(F380*PI()/180)+Tableau!$G$25</f>
        <v>-16652.933354129374</v>
      </c>
      <c r="H380" s="29">
        <f>Tableau!$G$26*SIN(F380*PI()/180)+Tableau!$H$25</f>
        <v>11023.300966529578</v>
      </c>
      <c r="J380" s="36">
        <v>377</v>
      </c>
      <c r="K380" s="37">
        <f>Tableau!$G$36*COS(J380*PI()/180)+Tableau!$G$35</f>
        <v>-218.47622018482252</v>
      </c>
      <c r="L380" s="37">
        <f>Tableau!$G$36*SIN(J380*PI()/180)+Tableau!$H$35</f>
        <v>-13538.141476386318</v>
      </c>
      <c r="N380" s="92">
        <v>376</v>
      </c>
      <c r="O380" s="93">
        <v>188</v>
      </c>
      <c r="P380" s="96">
        <f>P379+R379*Tableau!$G$2+((1/2)*T379)*Tableau!$G$2^2</f>
        <v>-74888.685071877131</v>
      </c>
      <c r="Q380" s="96">
        <f>Q379+S379*Tableau!$G$2+((1/2)*U379)*Tableau!$G$2^2</f>
        <v>35077.120577509479</v>
      </c>
      <c r="R380" s="96">
        <f>R379+T379*Tableau!$G$2</f>
        <v>693.70208261638118</v>
      </c>
      <c r="S380" s="96">
        <f>S379+U379*Tableau!$G$2</f>
        <v>-1707.0255859264321</v>
      </c>
      <c r="T380" s="96">
        <f t="shared" si="10"/>
        <v>151.10686486997068</v>
      </c>
      <c r="U380" s="96">
        <f t="shared" si="11"/>
        <v>-75.257717895046028</v>
      </c>
      <c r="V380" s="96">
        <f>((Tableau!$G$16-P380)/(AC380^2+Tableau!$G$21^2)^(3/2))*Tableau!$G$20</f>
        <v>50.711875397098183</v>
      </c>
      <c r="W380" s="96">
        <f>((Tableau!$H$16-Q380)/(AC380^2+Tableau!$G$21^2)^(3/2))*Tableau!$G$20</f>
        <v>-14.738190348807912</v>
      </c>
      <c r="X380" s="96">
        <f>((Tableau!$G$25-P380)/(AD380^2+Tableau!$G$30^2)^(3/2))*Tableau!$G$29</f>
        <v>43.966799826776281</v>
      </c>
      <c r="Y380" s="96">
        <f>((Tableau!$H$25-Q380)/(AD380^2+Tableau!$G$30^2)^(3/2))*Tableau!$G$29</f>
        <v>-20.08721358909364</v>
      </c>
      <c r="Z380" s="96">
        <f>((Tableau!$G$35-P380)/(AE380^2+Tableau!$G$40^2)^(3/2))*Tableau!$G$39</f>
        <v>56.428189646096222</v>
      </c>
      <c r="AA380" s="97">
        <f>((Tableau!$H$35-Q380)/(AE380^2+Tableau!$G$40^2)^(3/2))*Tableau!$G$39</f>
        <v>-40.43231395714448</v>
      </c>
      <c r="AC380" s="110">
        <f>SQRT((Tableau!$G$16-P380)^2+(Tableau!$H$16-Q380)^2)</f>
        <v>98814.776901111181</v>
      </c>
      <c r="AD380" s="111">
        <f>SQRT((Tableau!$G$25-P380)^2+(Tableau!$H$25-Q380)^2)</f>
        <v>60345.917222117489</v>
      </c>
      <c r="AE380" s="112">
        <f>SQRT((Tableau!$G$35-P380)^2+(Tableau!$H$35-Q380)^2)</f>
        <v>85977.591885388625</v>
      </c>
    </row>
    <row r="381" spans="2:31" x14ac:dyDescent="0.25">
      <c r="B381" s="18">
        <v>378</v>
      </c>
      <c r="C381" s="19">
        <f>Tableau!$G$17*COS(B381*PI()/180)+Tableau!$G$16</f>
        <v>24755.282581475767</v>
      </c>
      <c r="D381" s="19">
        <f>Tableau!$G$17*SIN(B381*PI()/180)+Tableau!$H$16</f>
        <v>9045.0849718747359</v>
      </c>
      <c r="F381" s="26">
        <v>378</v>
      </c>
      <c r="G381" s="27">
        <f>Tableau!$G$26*COS(F381*PI()/180)+Tableau!$G$25</f>
        <v>-16671.302192966963</v>
      </c>
      <c r="H381" s="27">
        <f>Tableau!$G$26*SIN(F381*PI()/180)+Tableau!$H$25</f>
        <v>11081.559480312315</v>
      </c>
      <c r="J381" s="34">
        <v>378</v>
      </c>
      <c r="K381" s="35">
        <f>Tableau!$G$36*COS(J381*PI()/180)+Tableau!$G$35</f>
        <v>-244.71741852423202</v>
      </c>
      <c r="L381" s="35">
        <f>Tableau!$G$36*SIN(J381*PI()/180)+Tableau!$H$35</f>
        <v>-13454.915028125264</v>
      </c>
      <c r="N381" s="98">
        <v>377</v>
      </c>
      <c r="O381" s="99">
        <v>188.5</v>
      </c>
      <c r="P381" s="101">
        <f>P380+R380*Tableau!$G$2+((1/2)*T380)*Tableau!$G$2^2</f>
        <v>-74522.945672460191</v>
      </c>
      <c r="Q381" s="101">
        <f>Q380+S380*Tableau!$G$2+((1/2)*U380)*Tableau!$G$2^2</f>
        <v>34214.200569809385</v>
      </c>
      <c r="R381" s="101">
        <f>R380+T380*Tableau!$G$2</f>
        <v>769.2555150513665</v>
      </c>
      <c r="S381" s="101">
        <f>S380+U380*Tableau!$G$2</f>
        <v>-1744.6544448739551</v>
      </c>
      <c r="T381" s="101">
        <f t="shared" si="10"/>
        <v>154.30757583433083</v>
      </c>
      <c r="U381" s="101">
        <f t="shared" si="11"/>
        <v>-75.44651145592448</v>
      </c>
      <c r="V381" s="101">
        <f>((Tableau!$G$16-P381)/(AC381^2+Tableau!$G$21^2)^(3/2))*Tableau!$G$20</f>
        <v>51.421747671514368</v>
      </c>
      <c r="W381" s="101">
        <f>((Tableau!$H$16-Q381)/(AC381^2+Tableau!$G$21^2)^(3/2))*Tableau!$G$20</f>
        <v>-14.532882689744573</v>
      </c>
      <c r="X381" s="101">
        <f>((Tableau!$G$25-P381)/(AD381^2+Tableau!$G$30^2)^(3/2))*Tableau!$G$29</f>
        <v>45.181222307361118</v>
      </c>
      <c r="Y381" s="101">
        <f>((Tableau!$H$25-Q381)/(AD381^2+Tableau!$G$30^2)^(3/2))*Tableau!$G$29</f>
        <v>-20.065445207451191</v>
      </c>
      <c r="Z381" s="101">
        <f>((Tableau!$G$35-P381)/(AE381^2+Tableau!$G$40^2)^(3/2))*Tableau!$G$39</f>
        <v>57.704605855455355</v>
      </c>
      <c r="AA381" s="102">
        <f>((Tableau!$H$35-Q381)/(AE381^2+Tableau!$G$40^2)^(3/2))*Tableau!$G$39</f>
        <v>-40.848183558728707</v>
      </c>
      <c r="AC381" s="113">
        <f>SQRT((Tableau!$G$16-P381)^2+(Tableau!$H$16-Q381)^2)</f>
        <v>98225.433420692352</v>
      </c>
      <c r="AD381" s="114">
        <f>SQRT((Tableau!$G$25-P381)^2+(Tableau!$H$25-Q381)^2)</f>
        <v>59658.018019684518</v>
      </c>
      <c r="AE381" s="115">
        <f>SQRT((Tableau!$G$35-P381)^2+(Tableau!$H$35-Q381)^2)</f>
        <v>85179.090818705488</v>
      </c>
    </row>
    <row r="382" spans="2:31" x14ac:dyDescent="0.25">
      <c r="B382" s="20">
        <v>379</v>
      </c>
      <c r="C382" s="21">
        <f>Tableau!$G$17*COS(B382*PI()/180)+Tableau!$G$16</f>
        <v>24727.592877996583</v>
      </c>
      <c r="D382" s="21">
        <f>Tableau!$G$17*SIN(B382*PI()/180)+Tableau!$H$16</f>
        <v>9127.840772285781</v>
      </c>
      <c r="F382" s="28">
        <v>379</v>
      </c>
      <c r="G382" s="29">
        <f>Tableau!$G$26*COS(F382*PI()/180)+Tableau!$G$25</f>
        <v>-16690.684985402389</v>
      </c>
      <c r="H382" s="29">
        <f>Tableau!$G$26*SIN(F382*PI()/180)+Tableau!$H$25</f>
        <v>11139.488540600047</v>
      </c>
      <c r="J382" s="36">
        <v>379</v>
      </c>
      <c r="K382" s="37">
        <f>Tableau!$G$36*COS(J382*PI()/180)+Tableau!$G$35</f>
        <v>-272.40712200341477</v>
      </c>
      <c r="L382" s="37">
        <f>Tableau!$G$36*SIN(J382*PI()/180)+Tableau!$H$35</f>
        <v>-13372.159227714219</v>
      </c>
      <c r="N382" s="92">
        <v>378</v>
      </c>
      <c r="O382" s="93">
        <v>189</v>
      </c>
      <c r="P382" s="96">
        <f>P381+R381*Tableau!$G$2+((1/2)*T381)*Tableau!$G$2^2</f>
        <v>-74119.029467955217</v>
      </c>
      <c r="Q382" s="96">
        <f>Q381+S381*Tableau!$G$2+((1/2)*U381)*Tableau!$G$2^2</f>
        <v>33332.442533440415</v>
      </c>
      <c r="R382" s="96">
        <f>R381+T381*Tableau!$G$2</f>
        <v>846.40930296853196</v>
      </c>
      <c r="S382" s="96">
        <f>S381+U381*Tableau!$G$2</f>
        <v>-1782.3777006019172</v>
      </c>
      <c r="T382" s="96">
        <f t="shared" si="10"/>
        <v>157.74981333973989</v>
      </c>
      <c r="U382" s="96">
        <f t="shared" si="11"/>
        <v>-75.674746424938306</v>
      </c>
      <c r="V382" s="96">
        <f>((Tableau!$G$16-P382)/(AC382^2+Tableau!$G$21^2)^(3/2))*Tableau!$G$20</f>
        <v>52.182768871658865</v>
      </c>
      <c r="W382" s="96">
        <f>((Tableau!$H$16-Q382)/(AC382^2+Tableau!$G$21^2)^(3/2))*Tableau!$G$20</f>
        <v>-14.32237864896268</v>
      </c>
      <c r="X382" s="96">
        <f>((Tableau!$G$25-P382)/(AD382^2+Tableau!$G$30^2)^(3/2))*Tableau!$G$29</f>
        <v>46.495226187579</v>
      </c>
      <c r="Y382" s="96">
        <f>((Tableau!$H$25-Q382)/(AD382^2+Tableau!$G$30^2)^(3/2))*Tableau!$G$29</f>
        <v>-20.045577383152391</v>
      </c>
      <c r="Z382" s="96">
        <f>((Tableau!$G$35-P382)/(AE382^2+Tableau!$G$40^2)^(3/2))*Tableau!$G$39</f>
        <v>59.071818280502008</v>
      </c>
      <c r="AA382" s="97">
        <f>((Tableau!$H$35-Q382)/(AE382^2+Tableau!$G$40^2)^(3/2))*Tableau!$G$39</f>
        <v>-41.306790392823231</v>
      </c>
      <c r="AC382" s="110">
        <f>SQRT((Tableau!$G$16-P382)^2+(Tableau!$H$16-Q382)^2)</f>
        <v>97599.727434216358</v>
      </c>
      <c r="AD382" s="111">
        <f>SQRT((Tableau!$G$25-P382)^2+(Tableau!$H$25-Q382)^2)</f>
        <v>58934.473995529173</v>
      </c>
      <c r="AE382" s="112">
        <f>SQRT((Tableau!$G$35-P382)^2+(Tableau!$H$35-Q382)^2)</f>
        <v>84341.361358709299</v>
      </c>
    </row>
    <row r="383" spans="2:31" x14ac:dyDescent="0.25">
      <c r="B383" s="18">
        <v>380</v>
      </c>
      <c r="C383" s="19">
        <f>Tableau!$G$17*COS(B383*PI()/180)+Tableau!$G$16</f>
        <v>24698.463103929542</v>
      </c>
      <c r="D383" s="19">
        <f>Tableau!$G$17*SIN(B383*PI()/180)+Tableau!$H$16</f>
        <v>9210.1007166283453</v>
      </c>
      <c r="F383" s="26">
        <v>380</v>
      </c>
      <c r="G383" s="27">
        <f>Tableau!$G$26*COS(F383*PI()/180)+Tableau!$G$25</f>
        <v>-16711.075827249322</v>
      </c>
      <c r="H383" s="27">
        <f>Tableau!$G$26*SIN(F383*PI()/180)+Tableau!$H$25</f>
        <v>11197.070501639841</v>
      </c>
      <c r="J383" s="34">
        <v>380</v>
      </c>
      <c r="K383" s="35">
        <f>Tableau!$G$36*COS(J383*PI()/180)+Tableau!$G$35</f>
        <v>-301.53689607045817</v>
      </c>
      <c r="L383" s="35">
        <f>Tableau!$G$36*SIN(J383*PI()/180)+Tableau!$H$35</f>
        <v>-13289.899283371655</v>
      </c>
      <c r="N383" s="98">
        <v>379</v>
      </c>
      <c r="O383" s="99">
        <v>189.5</v>
      </c>
      <c r="P383" s="101">
        <f>P382+R382*Tableau!$G$2+((1/2)*T382)*Tableau!$G$2^2</f>
        <v>-73676.106089803478</v>
      </c>
      <c r="Q383" s="101">
        <f>Q382+S382*Tableau!$G$2+((1/2)*U382)*Tableau!$G$2^2</f>
        <v>32431.794339836339</v>
      </c>
      <c r="R383" s="101">
        <f>R382+T382*Tableau!$G$2</f>
        <v>925.28420963840188</v>
      </c>
      <c r="S383" s="101">
        <f>S382+U382*Tableau!$G$2</f>
        <v>-1820.2150738143864</v>
      </c>
      <c r="T383" s="101">
        <f t="shared" si="10"/>
        <v>161.45465361031194</v>
      </c>
      <c r="U383" s="101">
        <f t="shared" si="11"/>
        <v>-75.942122418074476</v>
      </c>
      <c r="V383" s="101">
        <f>((Tableau!$G$16-P383)/(AC383^2+Tableau!$G$21^2)^(3/2))*Tableau!$G$20</f>
        <v>52.998187680421786</v>
      </c>
      <c r="W383" s="101">
        <f>((Tableau!$H$16-Q383)/(AC383^2+Tableau!$G$21^2)^(3/2))*Tableau!$G$20</f>
        <v>-14.105410341945779</v>
      </c>
      <c r="X383" s="101">
        <f>((Tableau!$G$25-P383)/(AD383^2+Tableau!$G$30^2)^(3/2))*Tableau!$G$29</f>
        <v>47.918615584019193</v>
      </c>
      <c r="Y383" s="101">
        <f>((Tableau!$H$25-Q383)/(AD383^2+Tableau!$G$30^2)^(3/2))*Tableau!$G$29</f>
        <v>-20.025680104887257</v>
      </c>
      <c r="Z383" s="101">
        <f>((Tableau!$G$35-P383)/(AE383^2+Tableau!$G$40^2)^(3/2))*Tableau!$G$39</f>
        <v>60.537850345870972</v>
      </c>
      <c r="AA383" s="102">
        <f>((Tableau!$H$35-Q383)/(AE383^2+Tableau!$G$40^2)^(3/2))*Tableau!$G$39</f>
        <v>-41.811031971241441</v>
      </c>
      <c r="AC383" s="113">
        <f>SQRT((Tableau!$G$16-P383)^2+(Tableau!$H$16-Q383)^2)</f>
        <v>96937.130250240094</v>
      </c>
      <c r="AD383" s="114">
        <f>SQRT((Tableau!$G$25-P383)^2+(Tableau!$H$25-Q383)^2)</f>
        <v>58174.820689612374</v>
      </c>
      <c r="AE383" s="115">
        <f>SQRT((Tableau!$G$35-P383)^2+(Tableau!$H$35-Q383)^2)</f>
        <v>83463.660727016235</v>
      </c>
    </row>
    <row r="384" spans="2:31" x14ac:dyDescent="0.25">
      <c r="B384" s="20">
        <v>381</v>
      </c>
      <c r="C384" s="21">
        <f>Tableau!$G$17*COS(B384*PI()/180)+Tableau!$G$16</f>
        <v>24667.902132486011</v>
      </c>
      <c r="D384" s="21">
        <f>Tableau!$G$17*SIN(B384*PI()/180)+Tableau!$H$16</f>
        <v>9291.8397477264971</v>
      </c>
      <c r="F384" s="28">
        <v>381</v>
      </c>
      <c r="G384" s="29">
        <f>Tableau!$G$26*COS(F384*PI()/180)+Tableau!$G$25</f>
        <v>-16732.468507259793</v>
      </c>
      <c r="H384" s="29">
        <f>Tableau!$G$26*SIN(F384*PI()/180)+Tableau!$H$25</f>
        <v>11254.287823408547</v>
      </c>
      <c r="J384" s="36">
        <v>381</v>
      </c>
      <c r="K384" s="37">
        <f>Tableau!$G$36*COS(J384*PI()/180)+Tableau!$G$35</f>
        <v>-332.09786751398951</v>
      </c>
      <c r="L384" s="37">
        <f>Tableau!$G$36*SIN(J384*PI()/180)+Tableau!$H$35</f>
        <v>-13208.160252273503</v>
      </c>
      <c r="N384" s="92">
        <v>380</v>
      </c>
      <c r="O384" s="93">
        <v>190</v>
      </c>
      <c r="P384" s="96">
        <f>P383+R383*Tableau!$G$2+((1/2)*T383)*Tableau!$G$2^2</f>
        <v>-73193.282153282984</v>
      </c>
      <c r="Q384" s="96">
        <f>Q383+S383*Tableau!$G$2+((1/2)*U383)*Tableau!$G$2^2</f>
        <v>31512.194037626883</v>
      </c>
      <c r="R384" s="96">
        <f>R383+T383*Tableau!$G$2</f>
        <v>1006.0115364435578</v>
      </c>
      <c r="S384" s="96">
        <f>S383+U383*Tableau!$G$2</f>
        <v>-1858.1861350234237</v>
      </c>
      <c r="T384" s="96">
        <f t="shared" si="10"/>
        <v>165.44588329232923</v>
      </c>
      <c r="U384" s="96">
        <f t="shared" si="11"/>
        <v>-76.248178422399889</v>
      </c>
      <c r="V384" s="96">
        <f>((Tableau!$G$16-P384)/(AC384^2+Tableau!$G$21^2)^(3/2))*Tableau!$G$20</f>
        <v>53.871611410253735</v>
      </c>
      <c r="W384" s="96">
        <f>((Tableau!$H$16-Q384)/(AC384^2+Tableau!$G$21^2)^(3/2))*Tableau!$G$20</f>
        <v>-13.880566886516483</v>
      </c>
      <c r="X384" s="96">
        <f>((Tableau!$G$25-P384)/(AD384^2+Tableau!$G$30^2)^(3/2))*Tableau!$G$29</f>
        <v>49.462535108982621</v>
      </c>
      <c r="Y384" s="96">
        <f>((Tableau!$H$25-Q384)/(AD384^2+Tableau!$G$30^2)^(3/2))*Tableau!$G$29</f>
        <v>-20.003421668758513</v>
      </c>
      <c r="Z384" s="96">
        <f>((Tableau!$G$35-P384)/(AE384^2+Tableau!$G$40^2)^(3/2))*Tableau!$G$39</f>
        <v>62.111736773092872</v>
      </c>
      <c r="AA384" s="97">
        <f>((Tableau!$H$35-Q384)/(AE384^2+Tableau!$G$40^2)^(3/2))*Tableau!$G$39</f>
        <v>-42.3641898671249</v>
      </c>
      <c r="AC384" s="110">
        <f>SQRT((Tableau!$G$16-P384)^2+(Tableau!$H$16-Q384)^2)</f>
        <v>96237.068227383454</v>
      </c>
      <c r="AD384" s="111">
        <f>SQRT((Tableau!$G$25-P384)^2+(Tableau!$H$25-Q384)^2)</f>
        <v>57378.565323222254</v>
      </c>
      <c r="AE384" s="112">
        <f>SQRT((Tableau!$G$35-P384)^2+(Tableau!$H$35-Q384)^2)</f>
        <v>82545.187170610472</v>
      </c>
    </row>
    <row r="385" spans="2:31" x14ac:dyDescent="0.25">
      <c r="B385" s="18">
        <v>382</v>
      </c>
      <c r="C385" s="19">
        <f>Tableau!$G$17*COS(B385*PI()/180)+Tableau!$G$16</f>
        <v>24635.919272833937</v>
      </c>
      <c r="D385" s="19">
        <f>Tableau!$G$17*SIN(B385*PI()/180)+Tableau!$H$16</f>
        <v>9373.03296707956</v>
      </c>
      <c r="F385" s="26">
        <v>382</v>
      </c>
      <c r="G385" s="27">
        <f>Tableau!$G$26*COS(F385*PI()/180)+Tableau!$G$25</f>
        <v>-16754.856509016245</v>
      </c>
      <c r="H385" s="27">
        <f>Tableau!$G$26*SIN(F385*PI()/180)+Tableau!$H$25</f>
        <v>11311.123076955691</v>
      </c>
      <c r="J385" s="34">
        <v>382</v>
      </c>
      <c r="K385" s="35">
        <f>Tableau!$G$36*COS(J385*PI()/180)+Tableau!$G$35</f>
        <v>-364.0807271660633</v>
      </c>
      <c r="L385" s="35">
        <f>Tableau!$G$36*SIN(J385*PI()/180)+Tableau!$H$35</f>
        <v>-13126.96703292044</v>
      </c>
      <c r="N385" s="98">
        <v>381</v>
      </c>
      <c r="O385" s="99">
        <v>190.5</v>
      </c>
      <c r="P385" s="101">
        <f>P384+R384*Tableau!$G$2+((1/2)*T384)*Tableau!$G$2^2</f>
        <v>-72669.595649649666</v>
      </c>
      <c r="Q385" s="101">
        <f>Q384+S384*Tableau!$G$2+((1/2)*U384)*Tableau!$G$2^2</f>
        <v>30573.569947812372</v>
      </c>
      <c r="R385" s="101">
        <f>R384+T384*Tableau!$G$2</f>
        <v>1088.7344780897224</v>
      </c>
      <c r="S385" s="101">
        <f>S384+U384*Tableau!$G$2</f>
        <v>-1896.3102242346238</v>
      </c>
      <c r="T385" s="101">
        <f t="shared" si="10"/>
        <v>169.75042254932509</v>
      </c>
      <c r="U385" s="101">
        <f t="shared" si="11"/>
        <v>-76.592220576578143</v>
      </c>
      <c r="V385" s="101">
        <f>((Tableau!$G$16-P385)/(AC385^2+Tableau!$G$21^2)^(3/2))*Tableau!$G$20</f>
        <v>54.807050295459526</v>
      </c>
      <c r="W385" s="101">
        <f>((Tableau!$H$16-Q385)/(AC385^2+Tableau!$G$21^2)^(3/2))*Tableau!$G$20</f>
        <v>-13.646269844605035</v>
      </c>
      <c r="X385" s="101">
        <f>((Tableau!$G$25-P385)/(AD385^2+Tableau!$G$30^2)^(3/2))*Tableau!$G$29</f>
        <v>51.139690198714867</v>
      </c>
      <c r="Y385" s="101">
        <f>((Tableau!$H$25-Q385)/(AD385^2+Tableau!$G$30^2)^(3/2))*Tableau!$G$29</f>
        <v>-19.975964888952273</v>
      </c>
      <c r="Z385" s="101">
        <f>((Tableau!$G$35-P385)/(AE385^2+Tableau!$G$40^2)^(3/2))*Tableau!$G$39</f>
        <v>63.803682055150695</v>
      </c>
      <c r="AA385" s="102">
        <f>((Tableau!$H$35-Q385)/(AE385^2+Tableau!$G$40^2)^(3/2))*Tableau!$G$39</f>
        <v>-42.969985843020844</v>
      </c>
      <c r="AC385" s="113">
        <f>SQRT((Tableau!$G$16-P385)^2+(Tableau!$H$16-Q385)^2)</f>
        <v>95498.919302818074</v>
      </c>
      <c r="AD385" s="114">
        <f>SQRT((Tableau!$G$25-P385)^2+(Tableau!$H$25-Q385)^2)</f>
        <v>56545.186234507382</v>
      </c>
      <c r="AE385" s="115">
        <f>SQRT((Tableau!$G$35-P385)^2+(Tableau!$H$35-Q385)^2)</f>
        <v>81585.074941285871</v>
      </c>
    </row>
    <row r="386" spans="2:31" x14ac:dyDescent="0.25">
      <c r="B386" s="20">
        <v>383</v>
      </c>
      <c r="C386" s="21">
        <f>Tableau!$G$17*COS(B386*PI()/180)+Tableau!$G$16</f>
        <v>24602.524267262204</v>
      </c>
      <c r="D386" s="21">
        <f>Tableau!$G$17*SIN(B386*PI()/180)+Tableau!$H$16</f>
        <v>9453.6556424463633</v>
      </c>
      <c r="F386" s="28">
        <v>383</v>
      </c>
      <c r="G386" s="29">
        <f>Tableau!$G$26*COS(F386*PI()/180)+Tableau!$G$25</f>
        <v>-16778.233012916458</v>
      </c>
      <c r="H386" s="29">
        <f>Tableau!$G$26*SIN(F386*PI()/180)+Tableau!$H$25</f>
        <v>11367.558949712455</v>
      </c>
      <c r="J386" s="36">
        <v>383</v>
      </c>
      <c r="K386" s="37">
        <f>Tableau!$G$36*COS(J386*PI()/180)+Tableau!$G$35</f>
        <v>-397.47573273779562</v>
      </c>
      <c r="L386" s="37">
        <f>Tableau!$G$36*SIN(J386*PI()/180)+Tableau!$H$35</f>
        <v>-13046.344357553637</v>
      </c>
      <c r="N386" s="92">
        <v>382</v>
      </c>
      <c r="O386" s="93">
        <v>191</v>
      </c>
      <c r="P386" s="96">
        <f>P385+R385*Tableau!$G$2+((1/2)*T385)*Tableau!$G$2^2</f>
        <v>-72104.009607786138</v>
      </c>
      <c r="Q386" s="96">
        <f>Q385+S385*Tableau!$G$2+((1/2)*U385)*Tableau!$G$2^2</f>
        <v>29615.84080812299</v>
      </c>
      <c r="R386" s="96">
        <f>R385+T385*Tableau!$G$2</f>
        <v>1173.6096893643848</v>
      </c>
      <c r="S386" s="96">
        <f>S385+U385*Tableau!$G$2</f>
        <v>-1934.6063345229129</v>
      </c>
      <c r="T386" s="96">
        <f t="shared" si="10"/>
        <v>174.39882893425352</v>
      </c>
      <c r="U386" s="96">
        <f t="shared" si="11"/>
        <v>-76.973228266004327</v>
      </c>
      <c r="V386" s="96">
        <f>((Tableau!$G$16-P386)/(AC386^2+Tableau!$G$21^2)^(3/2))*Tableau!$G$20</f>
        <v>55.808968918518353</v>
      </c>
      <c r="W386" s="96">
        <f>((Tableau!$H$16-Q386)/(AC386^2+Tableau!$G$21^2)^(3/2))*Tableau!$G$20</f>
        <v>-13.400744196950743</v>
      </c>
      <c r="X386" s="96">
        <f>((Tableau!$G$25-P386)/(AD386^2+Tableau!$G$30^2)^(3/2))*Tableau!$G$29</f>
        <v>52.964610529890422</v>
      </c>
      <c r="Y386" s="96">
        <f>((Tableau!$H$25-Q386)/(AD386^2+Tableau!$G$30^2)^(3/2))*Tableau!$G$29</f>
        <v>-19.939835272548983</v>
      </c>
      <c r="Z386" s="96">
        <f>((Tableau!$G$35-P386)/(AE386^2+Tableau!$G$40^2)^(3/2))*Tableau!$G$39</f>
        <v>65.625249485844733</v>
      </c>
      <c r="AA386" s="97">
        <f>((Tableau!$H$35-Q386)/(AE386^2+Tableau!$G$40^2)^(3/2))*Tableau!$G$39</f>
        <v>-43.632648796504604</v>
      </c>
      <c r="AC386" s="110">
        <f>SQRT((Tableau!$G$16-P386)^2+(Tableau!$H$16-Q386)^2)</f>
        <v>94722.009060626457</v>
      </c>
      <c r="AD386" s="111">
        <f>SQRT((Tableau!$G$25-P386)^2+(Tableau!$H$25-Q386)^2)</f>
        <v>55674.132483747722</v>
      </c>
      <c r="AE386" s="112">
        <f>SQRT((Tableau!$G$35-P386)^2+(Tableau!$H$35-Q386)^2)</f>
        <v>80582.388624671745</v>
      </c>
    </row>
    <row r="387" spans="2:31" x14ac:dyDescent="0.25">
      <c r="B387" s="18">
        <v>384</v>
      </c>
      <c r="C387" s="19">
        <f>Tableau!$G$17*COS(B387*PI()/180)+Tableau!$G$16</f>
        <v>24567.727288213006</v>
      </c>
      <c r="D387" s="19">
        <f>Tableau!$G$17*SIN(B387*PI()/180)+Tableau!$H$16</f>
        <v>9533.6832153789983</v>
      </c>
      <c r="F387" s="26">
        <v>384</v>
      </c>
      <c r="G387" s="27">
        <f>Tableau!$G$26*COS(F387*PI()/180)+Tableau!$G$25</f>
        <v>-16802.590898250895</v>
      </c>
      <c r="H387" s="27">
        <f>Tableau!$G$26*SIN(F387*PI()/180)+Tableau!$H$25</f>
        <v>11423.578250765298</v>
      </c>
      <c r="J387" s="34">
        <v>384</v>
      </c>
      <c r="K387" s="35">
        <f>Tableau!$G$36*COS(J387*PI()/180)+Tableau!$G$35</f>
        <v>-432.27271178699448</v>
      </c>
      <c r="L387" s="35">
        <f>Tableau!$G$36*SIN(J387*PI()/180)+Tableau!$H$35</f>
        <v>-12966.316784621002</v>
      </c>
      <c r="N387" s="98">
        <v>383</v>
      </c>
      <c r="O387" s="99">
        <v>191.5</v>
      </c>
      <c r="P387" s="101">
        <f>P386+R386*Tableau!$G$2+((1/2)*T386)*Tableau!$G$2^2</f>
        <v>-71495.404909487159</v>
      </c>
      <c r="Q387" s="101">
        <f>Q386+S386*Tableau!$G$2+((1/2)*U386)*Tableau!$G$2^2</f>
        <v>28638.915987328284</v>
      </c>
      <c r="R387" s="101">
        <f>R386+T386*Tableau!$G$2</f>
        <v>1260.8091038315115</v>
      </c>
      <c r="S387" s="101">
        <f>S386+U386*Tableau!$G$2</f>
        <v>-1973.0929486559151</v>
      </c>
      <c r="T387" s="101">
        <f t="shared" si="10"/>
        <v>179.42589996784534</v>
      </c>
      <c r="U387" s="101">
        <f t="shared" si="11"/>
        <v>-77.389731415590802</v>
      </c>
      <c r="V387" s="101">
        <f>((Tableau!$G$16-P387)/(AC387^2+Tableau!$G$21^2)^(3/2))*Tableau!$G$20</f>
        <v>56.882346107376549</v>
      </c>
      <c r="W387" s="101">
        <f>((Tableau!$H$16-Q387)/(AC387^2+Tableau!$G$21^2)^(3/2))*Tableau!$G$20</f>
        <v>-13.141983870288144</v>
      </c>
      <c r="X387" s="101">
        <f>((Tableau!$G$25-P387)/(AD387^2+Tableau!$G$30^2)^(3/2))*Tableau!$G$29</f>
        <v>54.953966107094516</v>
      </c>
      <c r="Y387" s="101">
        <f>((Tableau!$H$25-Q387)/(AD387^2+Tableau!$G$30^2)^(3/2))*Tableau!$G$29</f>
        <v>-19.890752567942499</v>
      </c>
      <c r="Z387" s="101">
        <f>((Tableau!$G$35-P387)/(AE387^2+Tableau!$G$40^2)^(3/2))*Tableau!$G$39</f>
        <v>67.589587753374261</v>
      </c>
      <c r="AA387" s="102">
        <f>((Tableau!$H$35-Q387)/(AE387^2+Tableau!$G$40^2)^(3/2))*Tableau!$G$39</f>
        <v>-44.356994977360166</v>
      </c>
      <c r="AC387" s="113">
        <f>SQRT((Tableau!$G$16-P387)^2+(Tableau!$H$16-Q387)^2)</f>
        <v>93905.606268584044</v>
      </c>
      <c r="AD387" s="114">
        <f>SQRT((Tableau!$G$25-P387)^2+(Tableau!$H$25-Q387)^2)</f>
        <v>54764.823709884397</v>
      </c>
      <c r="AE387" s="115">
        <f>SQRT((Tableau!$G$35-P387)^2+(Tableau!$H$35-Q387)^2)</f>
        <v>79536.116718291858</v>
      </c>
    </row>
    <row r="388" spans="2:31" x14ac:dyDescent="0.25">
      <c r="B388" s="20">
        <v>385</v>
      </c>
      <c r="C388" s="21">
        <f>Tableau!$G$17*COS(B388*PI()/180)+Tableau!$G$16</f>
        <v>24531.538935183249</v>
      </c>
      <c r="D388" s="21">
        <f>Tableau!$G$17*SIN(B388*PI()/180)+Tableau!$H$16</f>
        <v>9613.0913087034969</v>
      </c>
      <c r="F388" s="28">
        <v>385</v>
      </c>
      <c r="G388" s="29">
        <f>Tableau!$G$26*COS(F388*PI()/180)+Tableau!$G$25</f>
        <v>-16827.922745371725</v>
      </c>
      <c r="H388" s="29">
        <f>Tableau!$G$26*SIN(F388*PI()/180)+Tableau!$H$25</f>
        <v>11479.163916092448</v>
      </c>
      <c r="J388" s="36">
        <v>385</v>
      </c>
      <c r="K388" s="37">
        <f>Tableau!$G$36*COS(J388*PI()/180)+Tableau!$G$35</f>
        <v>-468.46106481674997</v>
      </c>
      <c r="L388" s="37">
        <f>Tableau!$G$36*SIN(J388*PI()/180)+Tableau!$H$35</f>
        <v>-12886.908691296503</v>
      </c>
      <c r="N388" s="92">
        <v>384</v>
      </c>
      <c r="O388" s="93">
        <v>192</v>
      </c>
      <c r="P388" s="96">
        <f>P387+R387*Tableau!$G$2+((1/2)*T387)*Tableau!$G$2^2</f>
        <v>-70842.57212007542</v>
      </c>
      <c r="Q388" s="96">
        <f>Q387+S387*Tableau!$G$2+((1/2)*U387)*Tableau!$G$2^2</f>
        <v>27642.695796573378</v>
      </c>
      <c r="R388" s="96">
        <f>R387+T387*Tableau!$G$2</f>
        <v>1350.5220538154342</v>
      </c>
      <c r="S388" s="96">
        <f>S387+U387*Tableau!$G$2</f>
        <v>-2011.7878143637104</v>
      </c>
      <c r="T388" s="96">
        <f t="shared" ref="T388:T451" si="12">V388+X388+Z388</f>
        <v>184.87139687642815</v>
      </c>
      <c r="U388" s="96">
        <f t="shared" ref="U388:U451" si="13">W388+Y388+AA388</f>
        <v>-77.839649353353508</v>
      </c>
      <c r="V388" s="96">
        <f>((Tableau!$G$16-P388)/(AC388^2+Tableau!$G$21^2)^(3/2))*Tableau!$G$20</f>
        <v>58.032744938912167</v>
      </c>
      <c r="W388" s="96">
        <f>((Tableau!$H$16-Q388)/(AC388^2+Tableau!$G$21^2)^(3/2))*Tableau!$G$20</f>
        <v>-12.867710592777417</v>
      </c>
      <c r="X388" s="96">
        <f>((Tableau!$G$25-P388)/(AD388^2+Tableau!$G$30^2)^(3/2))*Tableau!$G$29</f>
        <v>57.126947947702519</v>
      </c>
      <c r="Y388" s="96">
        <f>((Tableau!$H$25-Q388)/(AD388^2+Tableau!$G$30^2)^(3/2))*Tableau!$G$29</f>
        <v>-19.823414166531396</v>
      </c>
      <c r="Z388" s="96">
        <f>((Tableau!$G$35-P388)/(AE388^2+Tableau!$G$40^2)^(3/2))*Tableau!$G$39</f>
        <v>69.711703989813472</v>
      </c>
      <c r="AA388" s="97">
        <f>((Tableau!$H$35-Q388)/(AE388^2+Tableau!$G$40^2)^(3/2))*Tableau!$G$39</f>
        <v>-45.148524594044687</v>
      </c>
      <c r="AC388" s="110">
        <f>SQRT((Tableau!$G$16-P388)^2+(Tableau!$H$16-Q388)^2)</f>
        <v>93048.917797814283</v>
      </c>
      <c r="AD388" s="111">
        <f>SQRT((Tableau!$G$25-P388)^2+(Tableau!$H$25-Q388)^2)</f>
        <v>53816.650348711766</v>
      </c>
      <c r="AE388" s="112">
        <f>SQRT((Tableau!$G$35-P388)^2+(Tableau!$H$35-Q388)^2)</f>
        <v>78445.164339087409</v>
      </c>
    </row>
    <row r="389" spans="2:31" x14ac:dyDescent="0.25">
      <c r="B389" s="18">
        <v>386</v>
      </c>
      <c r="C389" s="19">
        <f>Tableau!$G$17*COS(B389*PI()/180)+Tableau!$G$16</f>
        <v>24493.970231495834</v>
      </c>
      <c r="D389" s="19">
        <f>Tableau!$G$17*SIN(B389*PI()/180)+Tableau!$H$16</f>
        <v>9691.8557339453873</v>
      </c>
      <c r="F389" s="26">
        <v>386</v>
      </c>
      <c r="G389" s="27">
        <f>Tableau!$G$26*COS(F389*PI()/180)+Tableau!$G$25</f>
        <v>-16854.220837952915</v>
      </c>
      <c r="H389" s="27">
        <f>Tableau!$G$26*SIN(F389*PI()/180)+Tableau!$H$25</f>
        <v>11534.299013761771</v>
      </c>
      <c r="J389" s="34">
        <v>386</v>
      </c>
      <c r="K389" s="35">
        <f>Tableau!$G$36*COS(J389*PI()/180)+Tableau!$G$35</f>
        <v>-506.02976850416508</v>
      </c>
      <c r="L389" s="35">
        <f>Tableau!$G$36*SIN(J389*PI()/180)+Tableau!$H$35</f>
        <v>-12808.144266054613</v>
      </c>
      <c r="N389" s="98">
        <v>385</v>
      </c>
      <c r="O389" s="99">
        <v>192.5</v>
      </c>
      <c r="P389" s="101">
        <f>P388+R388*Tableau!$G$2+((1/2)*T388)*Tableau!$G$2^2</f>
        <v>-70144.202168558157</v>
      </c>
      <c r="Q389" s="101">
        <f>Q388+S388*Tableau!$G$2+((1/2)*U388)*Tableau!$G$2^2</f>
        <v>26627.071933222353</v>
      </c>
      <c r="R389" s="101">
        <f>R388+T388*Tableau!$G$2</f>
        <v>1442.9577522536483</v>
      </c>
      <c r="S389" s="101">
        <f>S388+U388*Tableau!$G$2</f>
        <v>-2050.7076390403872</v>
      </c>
      <c r="T389" s="101">
        <f t="shared" si="12"/>
        <v>190.7809177223607</v>
      </c>
      <c r="U389" s="101">
        <f t="shared" si="13"/>
        <v>-78.320078134646053</v>
      </c>
      <c r="V389" s="101">
        <f>((Tableau!$G$16-P389)/(AC389^2+Tableau!$G$21^2)^(3/2))*Tableau!$G$20</f>
        <v>59.266394858745763</v>
      </c>
      <c r="W389" s="101">
        <f>((Tableau!$H$16-Q389)/(AC389^2+Tableau!$G$21^2)^(3/2))*Tableau!$G$20</f>
        <v>-12.575324540188577</v>
      </c>
      <c r="X389" s="101">
        <f>((Tableau!$G$25-P389)/(AD389^2+Tableau!$G$30^2)^(3/2))*Tableau!$G$29</f>
        <v>59.505728230245154</v>
      </c>
      <c r="Y389" s="101">
        <f>((Tableau!$H$25-Q389)/(AD389^2+Tableau!$G$30^2)^(3/2))*Tableau!$G$29</f>
        <v>-19.731214795226158</v>
      </c>
      <c r="Z389" s="101">
        <f>((Tableau!$G$35-P389)/(AE389^2+Tableau!$G$40^2)^(3/2))*Tableau!$G$39</f>
        <v>72.008794633369774</v>
      </c>
      <c r="AA389" s="102">
        <f>((Tableau!$H$35-Q389)/(AE389^2+Tableau!$G$40^2)^(3/2))*Tableau!$G$39</f>
        <v>-46.01353879923132</v>
      </c>
      <c r="AC389" s="113">
        <f>SQRT((Tableau!$G$16-P389)^2+(Tableau!$H$16-Q389)^2)</f>
        <v>92151.082822420198</v>
      </c>
      <c r="AD389" s="114">
        <f>SQRT((Tableau!$G$25-P389)^2+(Tableau!$H$25-Q389)^2)</f>
        <v>52828.974362500951</v>
      </c>
      <c r="AE389" s="115">
        <f>SQRT((Tableau!$G$35-P389)^2+(Tableau!$H$35-Q389)^2)</f>
        <v>77308.344917684313</v>
      </c>
    </row>
    <row r="390" spans="2:31" x14ac:dyDescent="0.25">
      <c r="B390" s="20">
        <v>387</v>
      </c>
      <c r="C390" s="21">
        <f>Tableau!$G$17*COS(B390*PI()/180)+Tableau!$G$16</f>
        <v>24455.032620941838</v>
      </c>
      <c r="D390" s="21">
        <f>Tableau!$G$17*SIN(B390*PI()/180)+Tableau!$H$16</f>
        <v>9769.9524986977376</v>
      </c>
      <c r="F390" s="28">
        <v>387</v>
      </c>
      <c r="G390" s="29">
        <f>Tableau!$G$26*COS(F390*PI()/180)+Tableau!$G$25</f>
        <v>-16881.477165340715</v>
      </c>
      <c r="H390" s="29">
        <f>Tableau!$G$26*SIN(F390*PI()/180)+Tableau!$H$25</f>
        <v>11588.966749088417</v>
      </c>
      <c r="J390" s="36">
        <v>387</v>
      </c>
      <c r="K390" s="37">
        <f>Tableau!$G$36*COS(J390*PI()/180)+Tableau!$G$35</f>
        <v>-544.9673790581619</v>
      </c>
      <c r="L390" s="37">
        <f>Tableau!$G$36*SIN(J390*PI()/180)+Tableau!$H$35</f>
        <v>-12730.047501302262</v>
      </c>
      <c r="N390" s="92">
        <v>386</v>
      </c>
      <c r="O390" s="93">
        <v>193</v>
      </c>
      <c r="P390" s="96">
        <f>P389+R389*Tableau!$G$2+((1/2)*T389)*Tableau!$G$2^2</f>
        <v>-69398.875677716031</v>
      </c>
      <c r="Q390" s="96">
        <f>Q389+S389*Tableau!$G$2+((1/2)*U389)*Tableau!$G$2^2</f>
        <v>25591.928103935326</v>
      </c>
      <c r="R390" s="96">
        <f>R389+T389*Tableau!$G$2</f>
        <v>1538.3482111148287</v>
      </c>
      <c r="S390" s="96">
        <f>S389+U389*Tableau!$G$2</f>
        <v>-2089.8676781077102</v>
      </c>
      <c r="T390" s="96">
        <f t="shared" si="12"/>
        <v>197.20695556337489</v>
      </c>
      <c r="U390" s="96">
        <f t="shared" si="13"/>
        <v>-78.827008347228983</v>
      </c>
      <c r="V390" s="96">
        <f>((Tableau!$G$16-P390)/(AC390^2+Tableau!$G$21^2)^(3/2))*Tableau!$G$20</f>
        <v>60.59028840190183</v>
      </c>
      <c r="W390" s="96">
        <f>((Tableau!$H$16-Q390)/(AC390^2+Tableau!$G$21^2)^(3/2))*Tableau!$G$20</f>
        <v>-12.261844830305366</v>
      </c>
      <c r="X390" s="96">
        <f>((Tableau!$G$25-P390)/(AD390^2+Tableau!$G$30^2)^(3/2))*Tableau!$G$29</f>
        <v>62.116018447192836</v>
      </c>
      <c r="Y390" s="96">
        <f>((Tableau!$H$25-Q390)/(AD390^2+Tableau!$G$30^2)^(3/2))*Tableau!$G$29</f>
        <v>-19.605881317016454</v>
      </c>
      <c r="Z390" s="96">
        <f>((Tableau!$G$35-P390)/(AE390^2+Tableau!$G$40^2)^(3/2))*Tableau!$G$39</f>
        <v>74.500648714280246</v>
      </c>
      <c r="AA390" s="97">
        <f>((Tableau!$H$35-Q390)/(AE390^2+Tableau!$G$40^2)^(3/2))*Tableau!$G$39</f>
        <v>-46.959282199907165</v>
      </c>
      <c r="AC390" s="110">
        <f>SQRT((Tableau!$G$16-P390)^2+(Tableau!$H$16-Q390)^2)</f>
        <v>91211.166174749087</v>
      </c>
      <c r="AD390" s="111">
        <f>SQRT((Tableau!$G$25-P390)^2+(Tableau!$H$25-Q390)^2)</f>
        <v>51801.130684771088</v>
      </c>
      <c r="AE390" s="112">
        <f>SQRT((Tableau!$G$35-P390)^2+(Tableau!$H$35-Q390)^2)</f>
        <v>76124.370708393908</v>
      </c>
    </row>
    <row r="391" spans="2:31" x14ac:dyDescent="0.25">
      <c r="B391" s="18">
        <v>388</v>
      </c>
      <c r="C391" s="19">
        <f>Tableau!$G$17*COS(B391*PI()/180)+Tableau!$G$16</f>
        <v>24414.737964294636</v>
      </c>
      <c r="D391" s="19">
        <f>Tableau!$G$17*SIN(B391*PI()/180)+Tableau!$H$16</f>
        <v>9847.3578139294514</v>
      </c>
      <c r="F391" s="26">
        <v>388</v>
      </c>
      <c r="G391" s="27">
        <f>Tableau!$G$26*COS(F391*PI()/180)+Tableau!$G$25</f>
        <v>-16909.683424993753</v>
      </c>
      <c r="H391" s="27">
        <f>Tableau!$G$26*SIN(F391*PI()/180)+Tableau!$H$25</f>
        <v>11643.150469750617</v>
      </c>
      <c r="J391" s="34">
        <v>388</v>
      </c>
      <c r="K391" s="35">
        <f>Tableau!$G$36*COS(J391*PI()/180)+Tableau!$G$35</f>
        <v>-585.26203570536381</v>
      </c>
      <c r="L391" s="35">
        <f>Tableau!$G$36*SIN(J391*PI()/180)+Tableau!$H$35</f>
        <v>-12652.642186070549</v>
      </c>
      <c r="N391" s="98">
        <v>387</v>
      </c>
      <c r="O391" s="99">
        <v>193.5</v>
      </c>
      <c r="P391" s="101">
        <f>P390+R390*Tableau!$G$2+((1/2)*T390)*Tableau!$G$2^2</f>
        <v>-68605.050702713197</v>
      </c>
      <c r="Q391" s="101">
        <f>Q390+S390*Tableau!$G$2+((1/2)*U390)*Tableau!$G$2^2</f>
        <v>24537.140888838068</v>
      </c>
      <c r="R391" s="101">
        <f>R390+T390*Tableau!$G$2</f>
        <v>1636.9516888965161</v>
      </c>
      <c r="S391" s="101">
        <f>S390+U390*Tableau!$G$2</f>
        <v>-2129.2811822813246</v>
      </c>
      <c r="T391" s="101">
        <f t="shared" si="12"/>
        <v>204.21018677537029</v>
      </c>
      <c r="U391" s="101">
        <f t="shared" si="13"/>
        <v>-79.354948557891575</v>
      </c>
      <c r="V391" s="101">
        <f>((Tableau!$G$16-P391)/(AC391^2+Tableau!$G$21^2)^(3/2))*Tableau!$G$20</f>
        <v>62.012295602794502</v>
      </c>
      <c r="W391" s="101">
        <f>((Tableau!$H$16-Q391)/(AC391^2+Tableau!$G$21^2)^(3/2))*Tableau!$G$20</f>
        <v>-11.923837395792289</v>
      </c>
      <c r="X391" s="101">
        <f>((Tableau!$G$25-P391)/(AD391^2+Tableau!$G$30^2)^(3/2))*Tableau!$G$29</f>
        <v>64.987748666595891</v>
      </c>
      <c r="Y391" s="101">
        <f>((Tableau!$H$25-Q391)/(AD391^2+Tableau!$G$30^2)^(3/2))*Tableau!$G$29</f>
        <v>-19.436993578981419</v>
      </c>
      <c r="Z391" s="101">
        <f>((Tableau!$G$35-P391)/(AE391^2+Tableau!$G$40^2)^(3/2))*Tableau!$G$39</f>
        <v>77.210142505979874</v>
      </c>
      <c r="AA391" s="102">
        <f>((Tableau!$H$35-Q391)/(AE391^2+Tableau!$G$40^2)^(3/2))*Tableau!$G$39</f>
        <v>-47.99411758311787</v>
      </c>
      <c r="AC391" s="113">
        <f>SQRT((Tableau!$G$16-P391)^2+(Tableau!$H$16-Q391)^2)</f>
        <v>90228.150705289838</v>
      </c>
      <c r="AD391" s="114">
        <f>SQRT((Tableau!$G$25-P391)^2+(Tableau!$H$25-Q391)^2)</f>
        <v>50732.429658308778</v>
      </c>
      <c r="AE391" s="115">
        <f>SQRT((Tableau!$G$35-P391)^2+(Tableau!$H$35-Q391)^2)</f>
        <v>74891.84190923968</v>
      </c>
    </row>
    <row r="392" spans="2:31" x14ac:dyDescent="0.25">
      <c r="B392" s="20">
        <v>389</v>
      </c>
      <c r="C392" s="21">
        <f>Tableau!$G$17*COS(B392*PI()/180)+Tableau!$G$16</f>
        <v>24373.09853569698</v>
      </c>
      <c r="D392" s="21">
        <f>Tableau!$G$17*SIN(B392*PI()/180)+Tableau!$H$16</f>
        <v>9924.048101231685</v>
      </c>
      <c r="F392" s="28">
        <v>389</v>
      </c>
      <c r="G392" s="29">
        <f>Tableau!$G$26*COS(F392*PI()/180)+Tableau!$G$25</f>
        <v>-16938.831025012114</v>
      </c>
      <c r="H392" s="29">
        <f>Tableau!$G$26*SIN(F392*PI()/180)+Tableau!$H$25</f>
        <v>11696.833670862181</v>
      </c>
      <c r="J392" s="36">
        <v>389</v>
      </c>
      <c r="K392" s="37">
        <f>Tableau!$G$36*COS(J392*PI()/180)+Tableau!$G$35</f>
        <v>-626.90146430302138</v>
      </c>
      <c r="L392" s="37">
        <f>Tableau!$G$36*SIN(J392*PI()/180)+Tableau!$H$35</f>
        <v>-12575.951898768315</v>
      </c>
      <c r="N392" s="92">
        <v>388</v>
      </c>
      <c r="O392" s="93">
        <v>194</v>
      </c>
      <c r="P392" s="96">
        <f>P391+R391*Tableau!$G$2+((1/2)*T391)*Tableau!$G$2^2</f>
        <v>-67761.048584918011</v>
      </c>
      <c r="Q392" s="96">
        <f>Q391+S391*Tableau!$G$2+((1/2)*U391)*Tableau!$G$2^2</f>
        <v>23462.580929127671</v>
      </c>
      <c r="R392" s="96">
        <f>R391+T391*Tableau!$G$2</f>
        <v>1739.0567822842013</v>
      </c>
      <c r="S392" s="96">
        <f>S391+U391*Tableau!$G$2</f>
        <v>-2168.9586565602704</v>
      </c>
      <c r="T392" s="96">
        <f t="shared" si="12"/>
        <v>211.86104686360659</v>
      </c>
      <c r="U392" s="96">
        <f t="shared" si="13"/>
        <v>-79.896419823347884</v>
      </c>
      <c r="V392" s="96">
        <f>((Tableau!$G$16-P392)/(AC392^2+Tableau!$G$21^2)^(3/2))*Tableau!$G$20</f>
        <v>63.541299957269302</v>
      </c>
      <c r="W392" s="96">
        <f>((Tableau!$H$16-Q392)/(AC392^2+Tableau!$G$21^2)^(3/2))*Tableau!$G$20</f>
        <v>-11.557327074647047</v>
      </c>
      <c r="X392" s="96">
        <f>((Tableau!$G$25-P392)/(AD392^2+Tableau!$G$30^2)^(3/2))*Tableau!$G$29</f>
        <v>68.155896608720056</v>
      </c>
      <c r="Y392" s="96">
        <f>((Tableau!$H$25-Q392)/(AD392^2+Tableau!$G$30^2)^(3/2))*Tableau!$G$29</f>
        <v>-19.211351113046902</v>
      </c>
      <c r="Z392" s="96">
        <f>((Tableau!$G$35-P392)/(AE392^2+Tableau!$G$40^2)^(3/2))*Tableau!$G$39</f>
        <v>80.163850297617202</v>
      </c>
      <c r="AA392" s="97">
        <f>((Tableau!$H$35-Q392)/(AE392^2+Tableau!$G$40^2)^(3/2))*Tableau!$G$39</f>
        <v>-49.12774163565394</v>
      </c>
      <c r="AC392" s="110">
        <f>SQRT((Tableau!$G$16-P392)^2+(Tableau!$H$16-Q392)^2)</f>
        <v>89200.928462899363</v>
      </c>
      <c r="AD392" s="111">
        <f>SQRT((Tableau!$G$25-P392)^2+(Tableau!$H$25-Q392)^2)</f>
        <v>49622.1608477927</v>
      </c>
      <c r="AE392" s="112">
        <f>SQRT((Tableau!$G$35-P392)^2+(Tableau!$H$35-Q392)^2)</f>
        <v>73609.234143605485</v>
      </c>
    </row>
    <row r="393" spans="2:31" x14ac:dyDescent="0.25">
      <c r="B393" s="18">
        <v>390</v>
      </c>
      <c r="C393" s="19">
        <f>Tableau!$G$17*COS(B393*PI()/180)+Tableau!$G$16</f>
        <v>24330.127018922194</v>
      </c>
      <c r="D393" s="19">
        <f>Tableau!$G$17*SIN(B393*PI()/180)+Tableau!$H$16</f>
        <v>9999.9999999999964</v>
      </c>
      <c r="F393" s="26">
        <v>390</v>
      </c>
      <c r="G393" s="27">
        <f>Tableau!$G$26*COS(F393*PI()/180)+Tableau!$G$25</f>
        <v>-16968.911086754462</v>
      </c>
      <c r="H393" s="27">
        <f>Tableau!$G$26*SIN(F393*PI()/180)+Tableau!$H$25</f>
        <v>11749.999999999998</v>
      </c>
      <c r="J393" s="34">
        <v>390</v>
      </c>
      <c r="K393" s="35">
        <f>Tableau!$G$36*COS(J393*PI()/180)+Tableau!$G$35</f>
        <v>-669.87298107780498</v>
      </c>
      <c r="L393" s="35">
        <f>Tableau!$G$36*SIN(J393*PI()/180)+Tableau!$H$35</f>
        <v>-12500.000000000004</v>
      </c>
      <c r="N393" s="98">
        <v>389</v>
      </c>
      <c r="O393" s="99">
        <v>194.5</v>
      </c>
      <c r="P393" s="101">
        <f>P392+R392*Tableau!$G$2+((1/2)*T392)*Tableau!$G$2^2</f>
        <v>-66865.037562917962</v>
      </c>
      <c r="Q393" s="101">
        <f>Q392+S392*Tableau!$G$2+((1/2)*U392)*Tableau!$G$2^2</f>
        <v>22368.114548369616</v>
      </c>
      <c r="R393" s="101">
        <f>R392+T392*Tableau!$G$2</f>
        <v>1844.9873057160046</v>
      </c>
      <c r="S393" s="101">
        <f>S392+U392*Tableau!$G$2</f>
        <v>-2208.9068664719443</v>
      </c>
      <c r="T393" s="101">
        <f t="shared" si="12"/>
        <v>220.24166670703738</v>
      </c>
      <c r="U393" s="101">
        <f t="shared" si="13"/>
        <v>-80.44127275318553</v>
      </c>
      <c r="V393" s="101">
        <f>((Tableau!$G$16-P393)/(AC393^2+Tableau!$G$21^2)^(3/2))*Tableau!$G$20</f>
        <v>65.187360799181221</v>
      </c>
      <c r="W393" s="101">
        <f>((Tableau!$H$16-Q393)/(AC393^2+Tableau!$G$21^2)^(3/2))*Tableau!$G$20</f>
        <v>-11.15768984461794</v>
      </c>
      <c r="X393" s="101">
        <f>((Tableau!$G$25-P393)/(AD393^2+Tableau!$G$30^2)^(3/2))*Tableau!$G$29</f>
        <v>71.661501984852251</v>
      </c>
      <c r="Y393" s="101">
        <f>((Tableau!$H$25-Q393)/(AD393^2+Tableau!$G$30^2)^(3/2))*Tableau!$G$29</f>
        <v>-18.912129624711316</v>
      </c>
      <c r="Z393" s="101">
        <f>((Tableau!$G$35-P393)/(AE393^2+Tableau!$G$40^2)^(3/2))*Tableau!$G$39</f>
        <v>83.392803923003882</v>
      </c>
      <c r="AA393" s="102">
        <f>((Tableau!$H$35-Q393)/(AE393^2+Tableau!$G$40^2)^(3/2))*Tableau!$G$39</f>
        <v>-50.371453283856283</v>
      </c>
      <c r="AC393" s="113">
        <f>SQRT((Tableau!$G$16-P393)^2+(Tableau!$H$16-Q393)^2)</f>
        <v>88128.290469239146</v>
      </c>
      <c r="AD393" s="114">
        <f>SQRT((Tableau!$G$25-P393)^2+(Tableau!$H$25-Q393)^2)</f>
        <v>48469.598752778053</v>
      </c>
      <c r="AE393" s="115">
        <f>SQRT((Tableau!$G$35-P393)^2+(Tableau!$H$35-Q393)^2)</f>
        <v>72274.884002406558</v>
      </c>
    </row>
    <row r="394" spans="2:31" x14ac:dyDescent="0.25">
      <c r="B394" s="20">
        <v>391</v>
      </c>
      <c r="C394" s="21">
        <f>Tableau!$G$17*COS(B394*PI()/180)+Tableau!$G$16</f>
        <v>24285.83650351056</v>
      </c>
      <c r="D394" s="21">
        <f>Tableau!$G$17*SIN(B394*PI()/180)+Tableau!$H$16</f>
        <v>10075.19037455027</v>
      </c>
      <c r="F394" s="28">
        <v>391</v>
      </c>
      <c r="G394" s="29">
        <f>Tableau!$G$26*COS(F394*PI()/180)+Tableau!$G$25</f>
        <v>-16999.914447542607</v>
      </c>
      <c r="H394" s="29">
        <f>Tableau!$G$26*SIN(F394*PI()/180)+Tableau!$H$25</f>
        <v>11802.633262185189</v>
      </c>
      <c r="J394" s="36">
        <v>391</v>
      </c>
      <c r="K394" s="37">
        <f>Tableau!$G$36*COS(J394*PI()/180)+Tableau!$G$35</f>
        <v>-714.16349648943833</v>
      </c>
      <c r="L394" s="37">
        <f>Tableau!$G$36*SIN(J394*PI()/180)+Tableau!$H$35</f>
        <v>-12424.80962544973</v>
      </c>
      <c r="N394" s="92">
        <v>390</v>
      </c>
      <c r="O394" s="93">
        <v>195</v>
      </c>
      <c r="P394" s="96">
        <f>P393+R393*Tableau!$G$2+((1/2)*T393)*Tableau!$G$2^2</f>
        <v>-65915.013701721575</v>
      </c>
      <c r="Q394" s="96">
        <f>Q393+S393*Tableau!$G$2+((1/2)*U393)*Tableau!$G$2^2</f>
        <v>21253.605956039497</v>
      </c>
      <c r="R394" s="96">
        <f>R393+T393*Tableau!$G$2</f>
        <v>1955.1081390695233</v>
      </c>
      <c r="S394" s="96">
        <f>S393+U393*Tableau!$G$2</f>
        <v>-2249.127502848537</v>
      </c>
      <c r="T394" s="96">
        <f t="shared" si="12"/>
        <v>229.44826210087314</v>
      </c>
      <c r="U394" s="96">
        <f t="shared" si="13"/>
        <v>-80.975758511096615</v>
      </c>
      <c r="V394" s="96">
        <f>((Tableau!$G$16-P394)/(AC394^2+Tableau!$G$21^2)^(3/2))*Tableau!$G$20</f>
        <v>66.961908254721607</v>
      </c>
      <c r="W394" s="96">
        <f>((Tableau!$H$16-Q394)/(AC394^2+Tableau!$G$21^2)^(3/2))*Tableau!$G$20</f>
        <v>-10.719519912984136</v>
      </c>
      <c r="X394" s="96">
        <f>((Tableau!$G$25-P394)/(AD394^2+Tableau!$G$30^2)^(3/2))*Tableau!$G$29</f>
        <v>75.552909383185067</v>
      </c>
      <c r="Y394" s="96">
        <f>((Tableau!$H$25-Q394)/(AD394^2+Tableau!$G$30^2)^(3/2))*Tableau!$G$29</f>
        <v>-18.517748389539175</v>
      </c>
      <c r="Z394" s="96">
        <f>((Tableau!$G$35-P394)/(AE394^2+Tableau!$G$40^2)^(3/2))*Tableau!$G$39</f>
        <v>86.933444462966463</v>
      </c>
      <c r="AA394" s="97">
        <f>((Tableau!$H$35-Q394)/(AE394^2+Tableau!$G$40^2)^(3/2))*Tableau!$G$39</f>
        <v>-51.738490208573296</v>
      </c>
      <c r="AC394" s="110">
        <f>SQRT((Tableau!$G$16-P394)^2+(Tableau!$H$16-Q394)^2)</f>
        <v>87008.914808547124</v>
      </c>
      <c r="AD394" s="111">
        <f>SQRT((Tableau!$G$25-P394)^2+(Tableau!$H$25-Q394)^2)</f>
        <v>47274.01115034653</v>
      </c>
      <c r="AE394" s="112">
        <f>SQRT((Tableau!$G$35-P394)^2+(Tableau!$H$35-Q394)^2)</f>
        <v>70886.972280502348</v>
      </c>
    </row>
    <row r="395" spans="2:31" x14ac:dyDescent="0.25">
      <c r="B395" s="18">
        <v>392</v>
      </c>
      <c r="C395" s="19">
        <f>Tableau!$G$17*COS(B395*PI()/180)+Tableau!$G$16</f>
        <v>24240.240480782129</v>
      </c>
      <c r="D395" s="19">
        <f>Tableau!$G$17*SIN(B395*PI()/180)+Tableau!$H$16</f>
        <v>10149.596321166024</v>
      </c>
      <c r="F395" s="26">
        <v>392</v>
      </c>
      <c r="G395" s="27">
        <f>Tableau!$G$26*COS(F395*PI()/180)+Tableau!$G$25</f>
        <v>-17031.831663452507</v>
      </c>
      <c r="H395" s="27">
        <f>Tableau!$G$26*SIN(F395*PI()/180)+Tableau!$H$25</f>
        <v>11854.717424816215</v>
      </c>
      <c r="J395" s="34">
        <v>392</v>
      </c>
      <c r="K395" s="35">
        <f>Tableau!$G$36*COS(J395*PI()/180)+Tableau!$G$35</f>
        <v>-759.75951921786873</v>
      </c>
      <c r="L395" s="35">
        <f>Tableau!$G$36*SIN(J395*PI()/180)+Tableau!$H$35</f>
        <v>-12350.403678833976</v>
      </c>
      <c r="N395" s="98">
        <v>391</v>
      </c>
      <c r="O395" s="99">
        <v>195.5</v>
      </c>
      <c r="P395" s="101">
        <f>P394+R394*Tableau!$G$2+((1/2)*T394)*Tableau!$G$2^2</f>
        <v>-64908.778599424208</v>
      </c>
      <c r="Q395" s="101">
        <f>Q394+S394*Tableau!$G$2+((1/2)*U394)*Tableau!$G$2^2</f>
        <v>20118.920234801339</v>
      </c>
      <c r="R395" s="101">
        <f>R394+T394*Tableau!$G$2</f>
        <v>2069.83227011996</v>
      </c>
      <c r="S395" s="101">
        <f>S394+U394*Tableau!$G$2</f>
        <v>-2289.6153821040853</v>
      </c>
      <c r="T395" s="101">
        <f t="shared" si="12"/>
        <v>239.59409462775858</v>
      </c>
      <c r="U395" s="101">
        <f t="shared" si="13"/>
        <v>-81.481255911503595</v>
      </c>
      <c r="V395" s="101">
        <f>((Tableau!$G$16-P395)/(AC395^2+Tableau!$G$21^2)^(3/2))*Tableau!$G$20</f>
        <v>68.877978643511923</v>
      </c>
      <c r="W395" s="101">
        <f>((Tableau!$H$16-Q395)/(AC395^2+Tableau!$G$21^2)^(3/2))*Tableau!$G$20</f>
        <v>-10.236464742206541</v>
      </c>
      <c r="X395" s="101">
        <f>((Tableau!$G$25-P395)/(AD395^2+Tableau!$G$30^2)^(3/2))*Tableau!$G$29</f>
        <v>79.887291537676418</v>
      </c>
      <c r="Y395" s="101">
        <f>((Tableau!$H$25-Q395)/(AD395^2+Tableau!$G$30^2)^(3/2))*Tableau!$G$29</f>
        <v>-18.00033659464593</v>
      </c>
      <c r="Z395" s="101">
        <f>((Tableau!$G$35-P395)/(AE395^2+Tableau!$G$40^2)^(3/2))*Tableau!$G$39</f>
        <v>90.828824446570238</v>
      </c>
      <c r="AA395" s="102">
        <f>((Tableau!$H$35-Q395)/(AE395^2+Tableau!$G$40^2)^(3/2))*Tableau!$G$39</f>
        <v>-53.244454574651122</v>
      </c>
      <c r="AC395" s="113">
        <f>SQRT((Tableau!$G$16-P395)^2+(Tableau!$H$16-Q395)^2)</f>
        <v>85841.352687025588</v>
      </c>
      <c r="AD395" s="114">
        <f>SQRT((Tableau!$G$25-P395)^2+(Tableau!$H$25-Q395)^2)</f>
        <v>46034.671086153896</v>
      </c>
      <c r="AE395" s="115">
        <f>SQRT((Tableau!$G$35-P395)^2+(Tableau!$H$35-Q395)^2)</f>
        <v>69443.504460339318</v>
      </c>
    </row>
    <row r="396" spans="2:31" x14ac:dyDescent="0.25">
      <c r="B396" s="20">
        <v>393</v>
      </c>
      <c r="C396" s="21">
        <f>Tableau!$G$17*COS(B396*PI()/180)+Tableau!$G$16</f>
        <v>24193.352839727122</v>
      </c>
      <c r="D396" s="21">
        <f>Tableau!$G$17*SIN(B396*PI()/180)+Tableau!$H$16</f>
        <v>10223.195175075132</v>
      </c>
      <c r="F396" s="28">
        <v>393</v>
      </c>
      <c r="G396" s="29">
        <f>Tableau!$G$26*COS(F396*PI()/180)+Tableau!$G$25</f>
        <v>-17064.653012191015</v>
      </c>
      <c r="H396" s="29">
        <f>Tableau!$G$26*SIN(F396*PI()/180)+Tableau!$H$25</f>
        <v>11906.236622552593</v>
      </c>
      <c r="J396" s="36">
        <v>393</v>
      </c>
      <c r="K396" s="37">
        <f>Tableau!$G$36*COS(J396*PI()/180)+Tableau!$G$35</f>
        <v>-806.64716027287795</v>
      </c>
      <c r="L396" s="37">
        <f>Tableau!$G$36*SIN(J396*PI()/180)+Tableau!$H$35</f>
        <v>-12276.804824924868</v>
      </c>
      <c r="N396" s="92">
        <v>392</v>
      </c>
      <c r="O396" s="93">
        <v>196</v>
      </c>
      <c r="P396" s="96">
        <f>P395+R395*Tableau!$G$2+((1/2)*T395)*Tableau!$G$2^2</f>
        <v>-63843.913202535754</v>
      </c>
      <c r="Q396" s="96">
        <f>Q395+S395*Tableau!$G$2+((1/2)*U395)*Tableau!$G$2^2</f>
        <v>18963.927386760359</v>
      </c>
      <c r="R396" s="96">
        <f>R395+T395*Tableau!$G$2</f>
        <v>2189.6293174338393</v>
      </c>
      <c r="S396" s="96">
        <f>S395+U395*Tableau!$G$2</f>
        <v>-2330.356010059837</v>
      </c>
      <c r="T396" s="96">
        <f t="shared" si="12"/>
        <v>250.8131531326336</v>
      </c>
      <c r="U396" s="96">
        <f t="shared" si="13"/>
        <v>-81.932513939355772</v>
      </c>
      <c r="V396" s="96">
        <f>((Tableau!$G$16-P396)/(AC396^2+Tableau!$G$21^2)^(3/2))*Tableau!$G$20</f>
        <v>70.950500451427786</v>
      </c>
      <c r="W396" s="96">
        <f>((Tableau!$H$16-Q396)/(AC396^2+Tableau!$G$21^2)^(3/2))*Tableau!$G$20</f>
        <v>-9.7010188833227886</v>
      </c>
      <c r="X396" s="96">
        <f>((Tableau!$G$25-P396)/(AD396^2+Tableau!$G$30^2)^(3/2))*Tableau!$G$29</f>
        <v>84.732512960675336</v>
      </c>
      <c r="Y396" s="96">
        <f>((Tableau!$H$25-Q396)/(AD396^2+Tableau!$G$30^2)^(3/2))*Tableau!$G$29</f>
        <v>-17.323638288593642</v>
      </c>
      <c r="Z396" s="96">
        <f>((Tableau!$G$35-P396)/(AE396^2+Tableau!$G$40^2)^(3/2))*Tableau!$G$39</f>
        <v>95.130139720530494</v>
      </c>
      <c r="AA396" s="97">
        <f>((Tableau!$H$35-Q396)/(AE396^2+Tableau!$G$40^2)^(3/2))*Tableau!$G$39</f>
        <v>-54.907856767439334</v>
      </c>
      <c r="AC396" s="110">
        <f>SQRT((Tableau!$G$16-P396)^2+(Tableau!$H$16-Q396)^2)</f>
        <v>84624.012031120714</v>
      </c>
      <c r="AD396" s="111">
        <f>SQRT((Tableau!$G$25-P396)^2+(Tableau!$H$25-Q396)^2)</f>
        <v>44750.873947964428</v>
      </c>
      <c r="AE396" s="112">
        <f>SQRT((Tableau!$G$35-P396)^2+(Tableau!$H$35-Q396)^2)</f>
        <v>67942.287895836213</v>
      </c>
    </row>
    <row r="397" spans="2:31" x14ac:dyDescent="0.25">
      <c r="B397" s="18">
        <v>394</v>
      </c>
      <c r="C397" s="19">
        <f>Tableau!$G$17*COS(B397*PI()/180)+Tableau!$G$16</f>
        <v>24145.187862775208</v>
      </c>
      <c r="D397" s="19">
        <f>Tableau!$G$17*SIN(B397*PI()/180)+Tableau!$H$16</f>
        <v>10295.964517353732</v>
      </c>
      <c r="F397" s="26">
        <v>394</v>
      </c>
      <c r="G397" s="27">
        <f>Tableau!$G$26*COS(F397*PI()/180)+Tableau!$G$25</f>
        <v>-17098.368496057352</v>
      </c>
      <c r="H397" s="27">
        <f>Tableau!$G$26*SIN(F397*PI()/180)+Tableau!$H$25</f>
        <v>11957.175162147612</v>
      </c>
      <c r="J397" s="34">
        <v>394</v>
      </c>
      <c r="K397" s="35">
        <f>Tableau!$G$36*COS(J397*PI()/180)+Tableau!$G$35</f>
        <v>-854.81213722478969</v>
      </c>
      <c r="L397" s="35">
        <f>Tableau!$G$36*SIN(J397*PI()/180)+Tableau!$H$35</f>
        <v>-12204.035482646268</v>
      </c>
      <c r="N397" s="98">
        <v>393</v>
      </c>
      <c r="O397" s="99">
        <v>196.5</v>
      </c>
      <c r="P397" s="101">
        <f>P396+R396*Tableau!$G$2+((1/2)*T396)*Tableau!$G$2^2</f>
        <v>-62717.746899677259</v>
      </c>
      <c r="Q397" s="101">
        <f>Q396+S396*Tableau!$G$2+((1/2)*U396)*Tableau!$G$2^2</f>
        <v>17788.507817488022</v>
      </c>
      <c r="R397" s="101">
        <f>R396+T396*Tableau!$G$2</f>
        <v>2315.0358940001561</v>
      </c>
      <c r="S397" s="101">
        <f>S396+U396*Tableau!$G$2</f>
        <v>-2371.3222670295149</v>
      </c>
      <c r="T397" s="101">
        <f t="shared" si="12"/>
        <v>263.2647426721802</v>
      </c>
      <c r="U397" s="101">
        <f t="shared" si="13"/>
        <v>-82.295205815686543</v>
      </c>
      <c r="V397" s="101">
        <f>((Tableau!$G$16-P397)/(AC397^2+Tableau!$G$21^2)^(3/2))*Tableau!$G$20</f>
        <v>73.196644009903892</v>
      </c>
      <c r="W397" s="101">
        <f>((Tableau!$H$16-Q397)/(AC397^2+Tableau!$G$21^2)^(3/2))*Tableau!$G$20</f>
        <v>-9.1042644696687471</v>
      </c>
      <c r="X397" s="101">
        <f>((Tableau!$G$25-P397)/(AD397^2+Tableau!$G$30^2)^(3/2))*Tableau!$G$29</f>
        <v>90.169399019843198</v>
      </c>
      <c r="Y397" s="101">
        <f>((Tableau!$H$25-Q397)/(AD397^2+Tableau!$G$30^2)^(3/2))*Tableau!$G$29</f>
        <v>-16.440124307435127</v>
      </c>
      <c r="Z397" s="101">
        <f>((Tableau!$G$35-P397)/(AE397^2+Tableau!$G$40^2)^(3/2))*Tableau!$G$39</f>
        <v>99.898699642433129</v>
      </c>
      <c r="AA397" s="102">
        <f>((Tableau!$H$35-Q397)/(AE397^2+Tableau!$G$40^2)^(3/2))*Tableau!$G$39</f>
        <v>-56.750817038582667</v>
      </c>
      <c r="AC397" s="113">
        <f>SQRT((Tableau!$G$16-P397)^2+(Tableau!$H$16-Q397)^2)</f>
        <v>83355.138085600818</v>
      </c>
      <c r="AD397" s="114">
        <f>SQRT((Tableau!$G$25-P397)^2+(Tableau!$H$25-Q397)^2)</f>
        <v>43421.961657759748</v>
      </c>
      <c r="AE397" s="115">
        <f>SQRT((Tableau!$G$35-P397)^2+(Tableau!$H$35-Q397)^2)</f>
        <v>66380.90502601389</v>
      </c>
    </row>
    <row r="398" spans="2:31" x14ac:dyDescent="0.25">
      <c r="B398" s="20">
        <v>395</v>
      </c>
      <c r="C398" s="21">
        <f>Tableau!$G$17*COS(B398*PI()/180)+Tableau!$G$16</f>
        <v>24095.760221444958</v>
      </c>
      <c r="D398" s="21">
        <f>Tableau!$G$17*SIN(B398*PI()/180)+Tableau!$H$16</f>
        <v>10367.882181755231</v>
      </c>
      <c r="F398" s="28">
        <v>395</v>
      </c>
      <c r="G398" s="29">
        <f>Tableau!$G$26*COS(F398*PI()/180)+Tableau!$G$25</f>
        <v>-17132.967844988529</v>
      </c>
      <c r="H398" s="29">
        <f>Tableau!$G$26*SIN(F398*PI()/180)+Tableau!$H$25</f>
        <v>12007.517527228661</v>
      </c>
      <c r="J398" s="36">
        <v>395</v>
      </c>
      <c r="K398" s="37">
        <f>Tableau!$G$36*COS(J398*PI()/180)+Tableau!$G$35</f>
        <v>-904.23977855504108</v>
      </c>
      <c r="L398" s="37">
        <f>Tableau!$G$36*SIN(J398*PI()/180)+Tableau!$H$35</f>
        <v>-12132.117818244769</v>
      </c>
      <c r="N398" s="92">
        <v>394</v>
      </c>
      <c r="O398" s="93">
        <v>197</v>
      </c>
      <c r="P398" s="96">
        <f>P397+R397*Tableau!$G$2+((1/2)*T397)*Tableau!$G$2^2</f>
        <v>-61527.320859843159</v>
      </c>
      <c r="Q398" s="96">
        <f>Q397+S397*Tableau!$G$2+((1/2)*U397)*Tableau!$G$2^2</f>
        <v>16592.559783246303</v>
      </c>
      <c r="R398" s="96">
        <f>R397+T397*Tableau!$G$2</f>
        <v>2446.6682653362463</v>
      </c>
      <c r="S398" s="96">
        <f>S397+U397*Tableau!$G$2</f>
        <v>-2412.469869937358</v>
      </c>
      <c r="T398" s="96">
        <f t="shared" si="12"/>
        <v>277.1392104514137</v>
      </c>
      <c r="U398" s="96">
        <f t="shared" si="13"/>
        <v>-82.52249689396811</v>
      </c>
      <c r="V398" s="96">
        <f>((Tableau!$G$16-P398)/(AC398^2+Tableau!$G$21^2)^(3/2))*Tableau!$G$20</f>
        <v>75.636252069214734</v>
      </c>
      <c r="W398" s="96">
        <f>((Tableau!$H$16-Q398)/(AC398^2+Tableau!$G$21^2)^(3/2))*Tableau!$G$20</f>
        <v>-8.4355420546974784</v>
      </c>
      <c r="X398" s="96">
        <f>((Tableau!$G$25-P398)/(AD398^2+Tableau!$G$30^2)^(3/2))*Tableau!$G$29</f>
        <v>96.294471891900301</v>
      </c>
      <c r="Y398" s="96">
        <f>((Tableau!$H$25-Q398)/(AD398^2+Tableau!$G$30^2)^(3/2))*Tableau!$G$29</f>
        <v>-15.286973722337097</v>
      </c>
      <c r="Z398" s="96">
        <f>((Tableau!$G$35-P398)/(AE398^2+Tableau!$G$40^2)^(3/2))*Tableau!$G$39</f>
        <v>105.20848649029867</v>
      </c>
      <c r="AA398" s="97">
        <f>((Tableau!$H$35-Q398)/(AE398^2+Tableau!$G$40^2)^(3/2))*Tableau!$G$39</f>
        <v>-58.799981116933544</v>
      </c>
      <c r="AC398" s="110">
        <f>SQRT((Tableau!$G$16-P398)^2+(Tableau!$H$16-Q398)^2)</f>
        <v>82032.790334083635</v>
      </c>
      <c r="AD398" s="111">
        <f>SQRT((Tableau!$G$25-P398)^2+(Tableau!$H$25-Q398)^2)</f>
        <v>42047.356900191022</v>
      </c>
      <c r="AE398" s="112">
        <f>SQRT((Tableau!$G$35-P398)^2+(Tableau!$H$35-Q398)^2)</f>
        <v>64756.681796164099</v>
      </c>
    </row>
    <row r="399" spans="2:31" x14ac:dyDescent="0.25">
      <c r="B399" s="18">
        <v>396</v>
      </c>
      <c r="C399" s="19">
        <f>Tableau!$G$17*COS(B399*PI()/180)+Tableau!$G$16</f>
        <v>24045.084971874734</v>
      </c>
      <c r="D399" s="19">
        <f>Tableau!$G$17*SIN(B399*PI()/180)+Tableau!$H$16</f>
        <v>10438.926261462368</v>
      </c>
      <c r="F399" s="26">
        <v>396</v>
      </c>
      <c r="G399" s="27">
        <f>Tableau!$G$26*COS(F399*PI()/180)+Tableau!$G$25</f>
        <v>-17168.440519687687</v>
      </c>
      <c r="H399" s="27">
        <f>Tableau!$G$26*SIN(F399*PI()/180)+Tableau!$H$25</f>
        <v>12057.248383023658</v>
      </c>
      <c r="J399" s="34">
        <v>396</v>
      </c>
      <c r="K399" s="35">
        <f>Tableau!$G$36*COS(J399*PI()/180)+Tableau!$G$35</f>
        <v>-954.91502812526505</v>
      </c>
      <c r="L399" s="35">
        <f>Tableau!$G$36*SIN(J399*PI()/180)+Tableau!$H$35</f>
        <v>-12061.073738537632</v>
      </c>
      <c r="N399" s="98">
        <v>395</v>
      </c>
      <c r="O399" s="99">
        <v>197.5</v>
      </c>
      <c r="P399" s="101">
        <f>P398+R398*Tableau!$G$2+((1/2)*T398)*Tableau!$G$2^2</f>
        <v>-60269.344325868609</v>
      </c>
      <c r="Q399" s="101">
        <f>Q398+S398*Tableau!$G$2+((1/2)*U398)*Tableau!$G$2^2</f>
        <v>15376.009536165877</v>
      </c>
      <c r="R399" s="101">
        <f>R398+T398*Tableau!$G$2</f>
        <v>2585.2378705619531</v>
      </c>
      <c r="S399" s="101">
        <f>S398+U398*Tableau!$G$2</f>
        <v>-2453.7311183843422</v>
      </c>
      <c r="T399" s="101">
        <f t="shared" si="12"/>
        <v>292.6650808790871</v>
      </c>
      <c r="U399" s="101">
        <f t="shared" si="13"/>
        <v>-82.550188776379287</v>
      </c>
      <c r="V399" s="101">
        <f>((Tableau!$G$16-P399)/(AC399^2+Tableau!$G$21^2)^(3/2))*Tableau!$G$20</f>
        <v>78.292373962710641</v>
      </c>
      <c r="W399" s="101">
        <f>((Tableau!$H$16-Q399)/(AC399^2+Tableau!$G$21^2)^(3/2))*Tableau!$G$20</f>
        <v>-7.6820296604895848</v>
      </c>
      <c r="X399" s="101">
        <f>((Tableau!$G$25-P399)/(AD399^2+Tableau!$G$30^2)^(3/2))*Tableau!$G$29</f>
        <v>103.22319062483693</v>
      </c>
      <c r="Y399" s="101">
        <f>((Tableau!$H$25-Q399)/(AD399^2+Tableau!$G$30^2)^(3/2))*Tableau!$G$29</f>
        <v>-13.78042941702706</v>
      </c>
      <c r="Z399" s="101">
        <f>((Tableau!$G$35-P399)/(AE399^2+Tableau!$G$40^2)^(3/2))*Tableau!$G$39</f>
        <v>111.14951629153956</v>
      </c>
      <c r="AA399" s="102">
        <f>((Tableau!$H$35-Q399)/(AE399^2+Tableau!$G$40^2)^(3/2))*Tableau!$G$39</f>
        <v>-61.087729698862638</v>
      </c>
      <c r="AC399" s="113">
        <f>SQRT((Tableau!$G$16-P399)^2+(Tableau!$H$16-Q399)^2)</f>
        <v>80654.814888626657</v>
      </c>
      <c r="AD399" s="114">
        <f>SQRT((Tableau!$G$25-P399)^2+(Tableau!$H$25-Q399)^2)</f>
        <v>40626.611610720291</v>
      </c>
      <c r="AE399" s="115">
        <f>SQRT((Tableau!$G$35-P399)^2+(Tableau!$H$35-Q399)^2)</f>
        <v>63066.6502801018</v>
      </c>
    </row>
    <row r="400" spans="2:31" x14ac:dyDescent="0.25">
      <c r="B400" s="20">
        <v>397</v>
      </c>
      <c r="C400" s="21">
        <f>Tableau!$G$17*COS(B400*PI()/180)+Tableau!$G$16</f>
        <v>23993.177550236465</v>
      </c>
      <c r="D400" s="21">
        <f>Tableau!$G$17*SIN(B400*PI()/180)+Tableau!$H$16</f>
        <v>10509.075115760239</v>
      </c>
      <c r="F400" s="28">
        <v>397</v>
      </c>
      <c r="G400" s="29">
        <f>Tableau!$G$26*COS(F400*PI()/180)+Tableau!$G$25</f>
        <v>-17204.775714834475</v>
      </c>
      <c r="H400" s="29">
        <f>Tableau!$G$26*SIN(F400*PI()/180)+Tableau!$H$25</f>
        <v>12106.352581032168</v>
      </c>
      <c r="J400" s="36">
        <v>397</v>
      </c>
      <c r="K400" s="37">
        <f>Tableau!$G$36*COS(J400*PI()/180)+Tableau!$G$35</f>
        <v>-1006.8224497635342</v>
      </c>
      <c r="L400" s="37">
        <f>Tableau!$G$36*SIN(J400*PI()/180)+Tableau!$H$35</f>
        <v>-11990.924884239761</v>
      </c>
      <c r="N400" s="92">
        <v>396</v>
      </c>
      <c r="O400" s="93">
        <v>198</v>
      </c>
      <c r="P400" s="96">
        <f>P399+R399*Tableau!$G$2+((1/2)*T399)*Tableau!$G$2^2</f>
        <v>-58940.142255477753</v>
      </c>
      <c r="Q400" s="96">
        <f>Q399+S399*Tableau!$G$2+((1/2)*U399)*Tableau!$G$2^2</f>
        <v>14138.825203376658</v>
      </c>
      <c r="R400" s="96">
        <f>R399+T399*Tableau!$G$2</f>
        <v>2731.5704110014967</v>
      </c>
      <c r="S400" s="96">
        <f>S399+U399*Tableau!$G$2</f>
        <v>-2495.0062127725319</v>
      </c>
      <c r="T400" s="96">
        <f t="shared" si="12"/>
        <v>310.11790105588994</v>
      </c>
      <c r="U400" s="96">
        <f t="shared" si="13"/>
        <v>-82.289793269129916</v>
      </c>
      <c r="V400" s="96">
        <f>((Tableau!$G$16-P400)/(AC400^2+Tableau!$G$21^2)^(3/2))*Tableau!$G$20</f>
        <v>81.191933623086925</v>
      </c>
      <c r="W400" s="96">
        <f>((Tableau!$H$16-Q400)/(AC400^2+Tableau!$G$21^2)^(3/2))*Tableau!$G$20</f>
        <v>-6.8281996946924801</v>
      </c>
      <c r="X400" s="96">
        <f>((Tableau!$G$25-P400)/(AD400^2+Tableau!$G$30^2)^(3/2))*Tableau!$G$29</f>
        <v>111.09366389379625</v>
      </c>
      <c r="Y400" s="96">
        <f>((Tableau!$H$25-Q400)/(AD400^2+Tableau!$G$30^2)^(3/2))*Tableau!$G$29</f>
        <v>-11.807796002450896</v>
      </c>
      <c r="Z400" s="96">
        <f>((Tableau!$G$35-P400)/(AE400^2+Tableau!$G$40^2)^(3/2))*Tableau!$G$39</f>
        <v>117.83230353900676</v>
      </c>
      <c r="AA400" s="97">
        <f>((Tableau!$H$35-Q400)/(AE400^2+Tableau!$G$40^2)^(3/2))*Tableau!$G$39</f>
        <v>-63.653797571986544</v>
      </c>
      <c r="AC400" s="110">
        <f>SQRT((Tableau!$G$16-P400)^2+(Tableau!$H$16-Q400)^2)</f>
        <v>79218.811272298539</v>
      </c>
      <c r="AD400" s="111">
        <f>SQRT((Tableau!$G$25-P400)^2+(Tableau!$H$25-Q400)^2)</f>
        <v>39159.475902276194</v>
      </c>
      <c r="AE400" s="112">
        <f>SQRT((Tableau!$G$35-P400)^2+(Tableau!$H$35-Q400)^2)</f>
        <v>61307.504277813459</v>
      </c>
    </row>
    <row r="401" spans="2:31" x14ac:dyDescent="0.25">
      <c r="B401" s="18">
        <v>398</v>
      </c>
      <c r="C401" s="19">
        <f>Tableau!$G$17*COS(B401*PI()/180)+Tableau!$G$16</f>
        <v>23940.053768033609</v>
      </c>
      <c r="D401" s="19">
        <f>Tableau!$G$17*SIN(B401*PI()/180)+Tableau!$H$16</f>
        <v>10578.307376628292</v>
      </c>
      <c r="F401" s="26">
        <v>398</v>
      </c>
      <c r="G401" s="27">
        <f>Tableau!$G$26*COS(F401*PI()/180)+Tableau!$G$25</f>
        <v>-17241.962362376475</v>
      </c>
      <c r="H401" s="27">
        <f>Tableau!$G$26*SIN(F401*PI()/180)+Tableau!$H$25</f>
        <v>12154.815163639803</v>
      </c>
      <c r="J401" s="34">
        <v>398</v>
      </c>
      <c r="K401" s="35">
        <f>Tableau!$G$36*COS(J401*PI()/180)+Tableau!$G$35</f>
        <v>-1059.9462319663912</v>
      </c>
      <c r="L401" s="35">
        <f>Tableau!$G$36*SIN(J401*PI()/180)+Tableau!$H$35</f>
        <v>-11921.692623371708</v>
      </c>
      <c r="N401" s="98">
        <v>397</v>
      </c>
      <c r="O401" s="99">
        <v>198.5</v>
      </c>
      <c r="P401" s="101">
        <f>P400+R400*Tableau!$G$2+((1/2)*T400)*Tableau!$G$2^2</f>
        <v>-57535.592312345019</v>
      </c>
      <c r="Q401" s="101">
        <f>Q400+S400*Tableau!$G$2+((1/2)*U400)*Tableau!$G$2^2</f>
        <v>12881.035872831751</v>
      </c>
      <c r="R401" s="101">
        <f>R400+T400*Tableau!$G$2</f>
        <v>2886.6293615294417</v>
      </c>
      <c r="S401" s="101">
        <f>S400+U400*Tableau!$G$2</f>
        <v>-2536.151109407097</v>
      </c>
      <c r="T401" s="101">
        <f t="shared" si="12"/>
        <v>329.83108252076454</v>
      </c>
      <c r="U401" s="101">
        <f t="shared" si="13"/>
        <v>-81.618579604722797</v>
      </c>
      <c r="V401" s="101">
        <f>((Tableau!$G$16-P401)/(AC401^2+Tableau!$G$21^2)^(3/2))*Tableau!$G$20</f>
        <v>84.366572200865335</v>
      </c>
      <c r="W401" s="101">
        <f>((Tableau!$H$16-Q401)/(AC401^2+Tableau!$G$21^2)^(3/2))*Tableau!$G$20</f>
        <v>-5.8551116711908424</v>
      </c>
      <c r="X401" s="101">
        <f>((Tableau!$G$25-P401)/(AD401^2+Tableau!$G$30^2)^(3/2))*Tableau!$G$29</f>
        <v>120.07064315451484</v>
      </c>
      <c r="Y401" s="101">
        <f>((Tableau!$H$25-Q401)/(AD401^2+Tableau!$G$30^2)^(3/2))*Tableau!$G$29</f>
        <v>-9.2159949768094052</v>
      </c>
      <c r="Z401" s="101">
        <f>((Tableau!$G$35-P401)/(AE401^2+Tableau!$G$40^2)^(3/2))*Tableau!$G$39</f>
        <v>125.39386716538439</v>
      </c>
      <c r="AA401" s="102">
        <f>((Tableau!$H$35-Q401)/(AE401^2+Tableau!$G$40^2)^(3/2))*Tableau!$G$39</f>
        <v>-66.547472956722544</v>
      </c>
      <c r="AC401" s="113">
        <f>SQRT((Tableau!$G$16-P401)^2+(Tableau!$H$16-Q401)^2)</f>
        <v>77722.092240822225</v>
      </c>
      <c r="AD401" s="114">
        <f>SQRT((Tableau!$G$25-P401)^2+(Tableau!$H$25-Q401)^2)</f>
        <v>37645.996572532356</v>
      </c>
      <c r="AE401" s="115">
        <f>SQRT((Tableau!$G$35-P401)^2+(Tableau!$H$35-Q401)^2)</f>
        <v>59475.54641153838</v>
      </c>
    </row>
    <row r="402" spans="2:31" x14ac:dyDescent="0.25">
      <c r="B402" s="20">
        <v>399</v>
      </c>
      <c r="C402" s="21">
        <f>Tableau!$G$17*COS(B402*PI()/180)+Tableau!$G$16</f>
        <v>23885.729807284857</v>
      </c>
      <c r="D402" s="21">
        <f>Tableau!$G$17*SIN(B402*PI()/180)+Tableau!$H$16</f>
        <v>10646.601955249185</v>
      </c>
      <c r="F402" s="28">
        <v>399</v>
      </c>
      <c r="G402" s="29">
        <f>Tableau!$G$26*COS(F402*PI()/180)+Tableau!$G$25</f>
        <v>-17279.989134900599</v>
      </c>
      <c r="H402" s="29">
        <f>Tableau!$G$26*SIN(F402*PI()/180)+Tableau!$H$25</f>
        <v>12202.621368674429</v>
      </c>
      <c r="J402" s="36">
        <v>399</v>
      </c>
      <c r="K402" s="37">
        <f>Tableau!$G$36*COS(J402*PI()/180)+Tableau!$G$35</f>
        <v>-1114.2701927151429</v>
      </c>
      <c r="L402" s="37">
        <f>Tableau!$G$36*SIN(J402*PI()/180)+Tableau!$H$35</f>
        <v>-11853.398044750815</v>
      </c>
      <c r="N402" s="92">
        <v>398</v>
      </c>
      <c r="O402" s="93">
        <v>199</v>
      </c>
      <c r="P402" s="96">
        <f>P401+R401*Tableau!$G$2+((1/2)*T401)*Tableau!$G$2^2</f>
        <v>-56051.048746265202</v>
      </c>
      <c r="Q402" s="96">
        <f>Q401+S401*Tableau!$G$2+((1/2)*U401)*Tableau!$G$2^2</f>
        <v>11602.757995677614</v>
      </c>
      <c r="R402" s="96">
        <f>R401+T401*Tableau!$G$2</f>
        <v>3051.5449027898239</v>
      </c>
      <c r="S402" s="96">
        <f>S401+U401*Tableau!$G$2</f>
        <v>-2576.9603992094585</v>
      </c>
      <c r="T402" s="96">
        <f t="shared" si="12"/>
        <v>352.20889651993775</v>
      </c>
      <c r="U402" s="96">
        <f t="shared" si="13"/>
        <v>-80.365183839585995</v>
      </c>
      <c r="V402" s="96">
        <f>((Tableau!$G$16-P402)/(AC402^2+Tableau!$G$21^2)^(3/2))*Tableau!$G$20</f>
        <v>87.853720724907916</v>
      </c>
      <c r="W402" s="96">
        <f>((Tableau!$H$16-Q402)/(AC402^2+Tableau!$G$21^2)^(3/2))*Tableau!$G$20</f>
        <v>-4.7394817178223985</v>
      </c>
      <c r="X402" s="96">
        <f>((Tableau!$G$25-P402)/(AD402^2+Tableau!$G$30^2)^(3/2))*Tableau!$G$29</f>
        <v>130.34925579281756</v>
      </c>
      <c r="Y402" s="96">
        <f>((Tableau!$H$25-Q402)/(AD402^2+Tableau!$G$30^2)^(3/2))*Tableau!$G$29</f>
        <v>-5.795068915275543</v>
      </c>
      <c r="Z402" s="96">
        <f>((Tableau!$G$35-P402)/(AE402^2+Tableau!$G$40^2)^(3/2))*Tableau!$G$39</f>
        <v>134.00592000221226</v>
      </c>
      <c r="AA402" s="97">
        <f>((Tableau!$H$35-Q402)/(AE402^2+Tableau!$G$40^2)^(3/2))*Tableau!$G$39</f>
        <v>-69.830633206488059</v>
      </c>
      <c r="AC402" s="110">
        <f>SQRT((Tableau!$G$16-P402)^2+(Tableau!$H$16-Q402)^2)</f>
        <v>76161.634952106324</v>
      </c>
      <c r="AD402" s="111">
        <f>SQRT((Tableau!$G$25-P402)^2+(Tableau!$H$25-Q402)^2)</f>
        <v>36086.658876907655</v>
      </c>
      <c r="AE402" s="112">
        <f>SQRT((Tableau!$G$35-P402)^2+(Tableau!$H$35-Q402)^2)</f>
        <v>57566.624975502389</v>
      </c>
    </row>
    <row r="403" spans="2:31" x14ac:dyDescent="0.25">
      <c r="B403" s="18">
        <v>400</v>
      </c>
      <c r="C403" s="19">
        <f>Tableau!$G$17*COS(B403*PI()/180)+Tableau!$G$16</f>
        <v>23830.222215594891</v>
      </c>
      <c r="D403" s="19">
        <f>Tableau!$G$17*SIN(B403*PI()/180)+Tableau!$H$16</f>
        <v>10713.938048432696</v>
      </c>
      <c r="F403" s="26">
        <v>400</v>
      </c>
      <c r="G403" s="27">
        <f>Tableau!$G$26*COS(F403*PI()/180)+Tableau!$G$25</f>
        <v>-17318.844449083575</v>
      </c>
      <c r="H403" s="27">
        <f>Tableau!$G$26*SIN(F403*PI()/180)+Tableau!$H$25</f>
        <v>12249.756633902887</v>
      </c>
      <c r="J403" s="34">
        <v>400</v>
      </c>
      <c r="K403" s="35">
        <f>Tableau!$G$36*COS(J403*PI()/180)+Tableau!$G$35</f>
        <v>-1169.7777844051093</v>
      </c>
      <c r="L403" s="35">
        <f>Tableau!$G$36*SIN(J403*PI()/180)+Tableau!$H$35</f>
        <v>-11786.061951567304</v>
      </c>
      <c r="N403" s="98">
        <v>399</v>
      </c>
      <c r="O403" s="99">
        <v>199.5</v>
      </c>
      <c r="P403" s="101">
        <f>P402+R402*Tableau!$G$2+((1/2)*T402)*Tableau!$G$2^2</f>
        <v>-54481.250182805292</v>
      </c>
      <c r="Q403" s="101">
        <f>Q402+S402*Tableau!$G$2+((1/2)*U402)*Tableau!$G$2^2</f>
        <v>10304.232148092935</v>
      </c>
      <c r="R403" s="101">
        <f>R402+T402*Tableau!$G$2</f>
        <v>3227.649351049793</v>
      </c>
      <c r="S403" s="101">
        <f>S402+U402*Tableau!$G$2</f>
        <v>-2617.1429911292516</v>
      </c>
      <c r="T403" s="101">
        <f t="shared" si="12"/>
        <v>377.74139386189006</v>
      </c>
      <c r="U403" s="101">
        <f t="shared" si="13"/>
        <v>-78.288724315806718</v>
      </c>
      <c r="V403" s="101">
        <f>((Tableau!$G$16-P403)/(AC403^2+Tableau!$G$21^2)^(3/2))*Tableau!$G$20</f>
        <v>91.697979009971192</v>
      </c>
      <c r="W403" s="101">
        <f>((Tableau!$H$16-Q403)/(AC403^2+Tableau!$G$21^2)^(3/2))*Tableau!$G$20</f>
        <v>-3.4524450116477259</v>
      </c>
      <c r="X403" s="101">
        <f>((Tableau!$G$25-P403)/(AD403^2+Tableau!$G$30^2)^(3/2))*Tableau!$G$29</f>
        <v>142.15721454307251</v>
      </c>
      <c r="Y403" s="101">
        <f>((Tableau!$H$25-Q403)/(AD403^2+Tableau!$G$30^2)^(3/2))*Tableau!$G$29</f>
        <v>-1.2542699153325354</v>
      </c>
      <c r="Z403" s="101">
        <f>((Tableau!$G$35-P403)/(AE403^2+Tableau!$G$40^2)^(3/2))*Tableau!$G$39</f>
        <v>143.88620030884636</v>
      </c>
      <c r="AA403" s="102">
        <f>((Tableau!$H$35-Q403)/(AE403^2+Tableau!$G$40^2)^(3/2))*Tableau!$G$39</f>
        <v>-73.582009388826449</v>
      </c>
      <c r="AC403" s="113">
        <f>SQRT((Tableau!$G$16-P403)^2+(Tableau!$H$16-Q403)^2)</f>
        <v>74534.02140455076</v>
      </c>
      <c r="AD403" s="114">
        <f>SQRT((Tableau!$G$25-P403)^2+(Tableau!$H$25-Q403)^2)</f>
        <v>34482.592294796275</v>
      </c>
      <c r="AE403" s="115">
        <f>SQRT((Tableau!$G$35-P403)^2+(Tableau!$H$35-Q403)^2)</f>
        <v>55576.058552743278</v>
      </c>
    </row>
    <row r="404" spans="2:31" x14ac:dyDescent="0.25">
      <c r="B404" s="20">
        <v>401</v>
      </c>
      <c r="C404" s="21">
        <f>Tableau!$G$17*COS(B404*PI()/180)+Tableau!$G$16</f>
        <v>23773.54790111386</v>
      </c>
      <c r="D404" s="21">
        <f>Tableau!$G$17*SIN(B404*PI()/180)+Tableau!$H$16</f>
        <v>10780.295144952535</v>
      </c>
      <c r="F404" s="28">
        <v>401</v>
      </c>
      <c r="G404" s="29">
        <f>Tableau!$G$26*COS(F404*PI()/180)+Tableau!$G$25</f>
        <v>-17358.516469220296</v>
      </c>
      <c r="H404" s="29">
        <f>Tableau!$G$26*SIN(F404*PI()/180)+Tableau!$H$25</f>
        <v>12296.206601466774</v>
      </c>
      <c r="J404" s="36">
        <v>401</v>
      </c>
      <c r="K404" s="37">
        <f>Tableau!$G$36*COS(J404*PI()/180)+Tableau!$G$35</f>
        <v>-1226.4520988861386</v>
      </c>
      <c r="L404" s="37">
        <f>Tableau!$G$36*SIN(J404*PI()/180)+Tableau!$H$35</f>
        <v>-11719.704855047465</v>
      </c>
      <c r="N404" s="92">
        <v>400</v>
      </c>
      <c r="O404" s="93">
        <v>200</v>
      </c>
      <c r="P404" s="96">
        <f>P403+R403*Tableau!$G$2+((1/2)*T403)*Tableau!$G$2^2</f>
        <v>-52820.207833047658</v>
      </c>
      <c r="Q404" s="96">
        <f>Q403+S403*Tableau!$G$2+((1/2)*U403)*Tableau!$G$2^2</f>
        <v>8985.8745619888341</v>
      </c>
      <c r="R404" s="96">
        <f>R403+T403*Tableau!$G$2</f>
        <v>3416.5200479807381</v>
      </c>
      <c r="S404" s="96">
        <f>S403+U403*Tableau!$G$2</f>
        <v>-2656.2873532871549</v>
      </c>
      <c r="T404" s="96">
        <f t="shared" si="12"/>
        <v>407.02007885039984</v>
      </c>
      <c r="U404" s="96">
        <f t="shared" si="13"/>
        <v>-75.048514573875465</v>
      </c>
      <c r="V404" s="96">
        <f>((Tableau!$G$16-P404)/(AC404^2+Tableau!$G$21^2)^(3/2))*Tableau!$G$20</f>
        <v>95.952906607824033</v>
      </c>
      <c r="W404" s="96">
        <f>((Tableau!$H$16-Q404)/(AC404^2+Tableau!$G$21^2)^(3/2))*Tableau!$G$20</f>
        <v>-1.9578903620315171</v>
      </c>
      <c r="X404" s="96">
        <f>((Tableau!$G$25-P404)/(AD404^2+Tableau!$G$30^2)^(3/2))*Tableau!$G$29</f>
        <v>155.75277101242867</v>
      </c>
      <c r="Y404" s="96">
        <f>((Tableau!$H$25-Q404)/(AD404^2+Tableau!$G$30^2)^(3/2))*Tableau!$G$29</f>
        <v>4.8126705329813459</v>
      </c>
      <c r="Z404" s="96">
        <f>((Tableau!$G$35-P404)/(AE404^2+Tableau!$G$40^2)^(3/2))*Tableau!$G$39</f>
        <v>155.31440123014718</v>
      </c>
      <c r="AA404" s="97">
        <f>((Tableau!$H$35-Q404)/(AE404^2+Tableau!$G$40^2)^(3/2))*Tableau!$G$39</f>
        <v>-77.903294744825288</v>
      </c>
      <c r="AC404" s="110">
        <f>SQRT((Tableau!$G$16-P404)^2+(Tableau!$H$16-Q404)^2)</f>
        <v>72835.365668487051</v>
      </c>
      <c r="AD404" s="111">
        <f>SQRT((Tableau!$G$25-P404)^2+(Tableau!$H$25-Q404)^2)</f>
        <v>32835.872039713882</v>
      </c>
      <c r="AE404" s="112">
        <f>SQRT((Tableau!$G$35-P404)^2+(Tableau!$H$35-Q404)^2)</f>
        <v>53498.546295196997</v>
      </c>
    </row>
    <row r="405" spans="2:31" x14ac:dyDescent="0.25">
      <c r="B405" s="18">
        <v>402</v>
      </c>
      <c r="C405" s="19">
        <f>Tableau!$G$17*COS(B405*PI()/180)+Tableau!$G$16</f>
        <v>23715.724127386969</v>
      </c>
      <c r="D405" s="19">
        <f>Tableau!$G$17*SIN(B405*PI()/180)+Tableau!$H$16</f>
        <v>10845.653031794292</v>
      </c>
      <c r="F405" s="26">
        <v>402</v>
      </c>
      <c r="G405" s="27">
        <f>Tableau!$G$26*COS(F405*PI()/180)+Tableau!$G$25</f>
        <v>-17398.99311082912</v>
      </c>
      <c r="H405" s="27">
        <f>Tableau!$G$26*SIN(F405*PI()/180)+Tableau!$H$25</f>
        <v>12341.957122256004</v>
      </c>
      <c r="J405" s="34">
        <v>402</v>
      </c>
      <c r="K405" s="35">
        <f>Tableau!$G$36*COS(J405*PI()/180)+Tableau!$G$35</f>
        <v>-1284.2758726130301</v>
      </c>
      <c r="L405" s="35">
        <f>Tableau!$G$36*SIN(J405*PI()/180)+Tableau!$H$35</f>
        <v>-11654.346968205708</v>
      </c>
      <c r="N405" s="98">
        <v>401</v>
      </c>
      <c r="O405" s="99">
        <v>200.5</v>
      </c>
      <c r="P405" s="101">
        <f>P404+R404*Tableau!$G$2+((1/2)*T404)*Tableau!$G$2^2</f>
        <v>-51061.07029920099</v>
      </c>
      <c r="Q405" s="101">
        <f>Q404+S404*Tableau!$G$2+((1/2)*U404)*Tableau!$G$2^2</f>
        <v>7648.3498210235221</v>
      </c>
      <c r="R405" s="101">
        <f>R404+T404*Tableau!$G$2</f>
        <v>3620.030087405938</v>
      </c>
      <c r="S405" s="101">
        <f>S404+U404*Tableau!$G$2</f>
        <v>-2693.8116105740928</v>
      </c>
      <c r="T405" s="101">
        <f t="shared" si="12"/>
        <v>440.75107285640172</v>
      </c>
      <c r="U405" s="101">
        <f t="shared" si="13"/>
        <v>-70.160524066265211</v>
      </c>
      <c r="V405" s="101">
        <f>((Tableau!$G$16-P405)/(AC405^2+Tableau!$G$21^2)^(3/2))*Tableau!$G$20</f>
        <v>100.683374004263</v>
      </c>
      <c r="W405" s="101">
        <f>((Tableau!$H$16-Q405)/(AC405^2+Tableau!$G$21^2)^(3/2))*Tableau!$G$20</f>
        <v>-0.21019048053579198</v>
      </c>
      <c r="X405" s="101">
        <f>((Tableau!$G$25-P405)/(AD405^2+Tableau!$G$30^2)^(3/2))*Tableau!$G$29</f>
        <v>171.41274863961189</v>
      </c>
      <c r="Y405" s="101">
        <f>((Tableau!$H$25-Q405)/(AD405^2+Tableau!$G$30^2)^(3/2))*Tableau!$G$29</f>
        <v>12.977750513238519</v>
      </c>
      <c r="Z405" s="101">
        <f>((Tableau!$G$35-P405)/(AE405^2+Tableau!$G$40^2)^(3/2))*Tableau!$G$39</f>
        <v>168.65495021252687</v>
      </c>
      <c r="AA405" s="102">
        <f>((Tableau!$H$35-Q405)/(AE405^2+Tableau!$G$40^2)^(3/2))*Tableau!$G$39</f>
        <v>-82.928084098967943</v>
      </c>
      <c r="AC405" s="113">
        <f>SQRT((Tableau!$G$16-P405)^2+(Tableau!$H$16-Q405)^2)</f>
        <v>71061.22514942578</v>
      </c>
      <c r="AD405" s="114">
        <f>SQRT((Tableau!$G$25-P405)^2+(Tableau!$H$25-Q405)^2)</f>
        <v>31149.965436516715</v>
      </c>
      <c r="AE405" s="115">
        <f>SQRT((Tableau!$G$35-P405)^2+(Tableau!$H$35-Q405)^2)</f>
        <v>51328.061980980659</v>
      </c>
    </row>
    <row r="406" spans="2:31" x14ac:dyDescent="0.25">
      <c r="B406" s="20">
        <v>403</v>
      </c>
      <c r="C406" s="21">
        <f>Tableau!$G$17*COS(B406*PI()/180)+Tableau!$G$16</f>
        <v>23656.768508095854</v>
      </c>
      <c r="D406" s="21">
        <f>Tableau!$G$17*SIN(B406*PI()/180)+Tableau!$H$16</f>
        <v>10909.991800312489</v>
      </c>
      <c r="F406" s="28">
        <v>403</v>
      </c>
      <c r="G406" s="29">
        <f>Tableau!$G$26*COS(F406*PI()/180)+Tableau!$G$25</f>
        <v>-17440.2620443329</v>
      </c>
      <c r="H406" s="29">
        <f>Tableau!$G$26*SIN(F406*PI()/180)+Tableau!$H$25</f>
        <v>12386.994260218742</v>
      </c>
      <c r="J406" s="36">
        <v>403</v>
      </c>
      <c r="K406" s="37">
        <f>Tableau!$G$36*COS(J406*PI()/180)+Tableau!$G$35</f>
        <v>-1343.2314919041451</v>
      </c>
      <c r="L406" s="37">
        <f>Tableau!$G$36*SIN(J406*PI()/180)+Tableau!$H$35</f>
        <v>-11590.008199687511</v>
      </c>
      <c r="N406" s="92">
        <v>402</v>
      </c>
      <c r="O406" s="93">
        <v>201</v>
      </c>
      <c r="P406" s="96">
        <f>P405+R405*Tableau!$G$2+((1/2)*T405)*Tableau!$G$2^2</f>
        <v>-49195.961371390971</v>
      </c>
      <c r="Q406" s="96">
        <f>Q405+S405*Tableau!$G$2+((1/2)*U405)*Tableau!$G$2^2</f>
        <v>6292.6739502281916</v>
      </c>
      <c r="R406" s="96">
        <f>R405+T405*Tableau!$G$2</f>
        <v>3840.4056238341391</v>
      </c>
      <c r="S406" s="96">
        <f>S405+U405*Tableau!$G$2</f>
        <v>-2728.8918726072252</v>
      </c>
      <c r="T406" s="96">
        <f t="shared" si="12"/>
        <v>479.75810575892382</v>
      </c>
      <c r="U406" s="96">
        <f t="shared" si="13"/>
        <v>-62.936273662561092</v>
      </c>
      <c r="V406" s="96">
        <f>((Tableau!$G$16-P406)/(AC406^2+Tableau!$G$21^2)^(3/2))*Tableau!$G$20</f>
        <v>105.96868309144422</v>
      </c>
      <c r="W406" s="96">
        <f>((Tableau!$H$16-Q406)/(AC406^2+Tableau!$G$21^2)^(3/2))*Tableau!$G$20</f>
        <v>1.8489337964341108</v>
      </c>
      <c r="X406" s="96">
        <f>((Tableau!$G$25-P406)/(AD406^2+Tableau!$G$30^2)^(3/2))*Tableau!$G$29</f>
        <v>189.39923324596282</v>
      </c>
      <c r="Y406" s="96">
        <f>((Tableau!$H$25-Q406)/(AD406^2+Tableau!$G$30^2)^(3/2))*Tableau!$G$29</f>
        <v>24.05006303055373</v>
      </c>
      <c r="Z406" s="96">
        <f>((Tableau!$G$35-P406)/(AE406^2+Tableau!$G$40^2)^(3/2))*Tableau!$G$39</f>
        <v>184.39018942151677</v>
      </c>
      <c r="AA406" s="97">
        <f>((Tableau!$H$35-Q406)/(AE406^2+Tableau!$G$40^2)^(3/2))*Tableau!$G$39</f>
        <v>-88.835270489548932</v>
      </c>
      <c r="AC406" s="110">
        <f>SQRT((Tableau!$G$16-P406)^2+(Tableau!$H$16-Q406)^2)</f>
        <v>69206.493238001072</v>
      </c>
      <c r="AD406" s="111">
        <f>SQRT((Tableau!$G$25-P406)^2+(Tableau!$H$25-Q406)^2)</f>
        <v>29430.399705730644</v>
      </c>
      <c r="AE406" s="112">
        <f>SQRT((Tableau!$G$35-P406)^2+(Tableau!$H$35-Q406)^2)</f>
        <v>49057.730945205869</v>
      </c>
    </row>
    <row r="407" spans="2:31" x14ac:dyDescent="0.25">
      <c r="B407" s="18">
        <v>404</v>
      </c>
      <c r="C407" s="19">
        <f>Tableau!$G$17*COS(B407*PI()/180)+Tableau!$G$16</f>
        <v>23596.699001693254</v>
      </c>
      <c r="D407" s="19">
        <f>Tableau!$G$17*SIN(B407*PI()/180)+Tableau!$H$16</f>
        <v>10973.291852294986</v>
      </c>
      <c r="F407" s="26">
        <v>404</v>
      </c>
      <c r="G407" s="27">
        <f>Tableau!$G$26*COS(F407*PI()/180)+Tableau!$G$25</f>
        <v>-17482.310698814719</v>
      </c>
      <c r="H407" s="27">
        <f>Tableau!$G$26*SIN(F407*PI()/180)+Tableau!$H$25</f>
        <v>12431.30429660649</v>
      </c>
      <c r="J407" s="34">
        <v>404</v>
      </c>
      <c r="K407" s="35">
        <f>Tableau!$G$36*COS(J407*PI()/180)+Tableau!$G$35</f>
        <v>-1403.3009983067441</v>
      </c>
      <c r="L407" s="35">
        <f>Tableau!$G$36*SIN(J407*PI()/180)+Tableau!$H$35</f>
        <v>-11526.708147705014</v>
      </c>
      <c r="N407" s="98">
        <v>403</v>
      </c>
      <c r="O407" s="99">
        <v>201.5</v>
      </c>
      <c r="P407" s="101">
        <f>P406+R406*Tableau!$G$2+((1/2)*T406)*Tableau!$G$2^2</f>
        <v>-47215.788796254034</v>
      </c>
      <c r="Q407" s="101">
        <f>Q406+S406*Tableau!$G$2+((1/2)*U406)*Tableau!$G$2^2</f>
        <v>4920.3609797167592</v>
      </c>
      <c r="R407" s="101">
        <f>R406+T406*Tableau!$G$2</f>
        <v>4080.2846767136011</v>
      </c>
      <c r="S407" s="101">
        <f>S406+U406*Tableau!$G$2</f>
        <v>-2760.3600094385056</v>
      </c>
      <c r="T407" s="101">
        <f t="shared" si="12"/>
        <v>524.95891084222592</v>
      </c>
      <c r="U407" s="101">
        <f t="shared" si="13"/>
        <v>-52.40172836595103</v>
      </c>
      <c r="V407" s="101">
        <f>((Tableau!$G$16-P407)/(AC407^2+Tableau!$G$21^2)^(3/2))*Tableau!$G$20</f>
        <v>111.90675253151295</v>
      </c>
      <c r="W407" s="101">
        <f>((Tableau!$H$16-Q407)/(AC407^2+Tableau!$G$21^2)^(3/2))*Tableau!$G$20</f>
        <v>4.2948097557632083</v>
      </c>
      <c r="X407" s="101">
        <f>((Tableau!$G$25-P407)/(AD407^2+Tableau!$G$30^2)^(3/2))*Tableau!$G$29</f>
        <v>209.88249033287769</v>
      </c>
      <c r="Y407" s="101">
        <f>((Tableau!$H$25-Q407)/(AD407^2+Tableau!$G$30^2)^(3/2))*Tableau!$G$29</f>
        <v>39.173117323567965</v>
      </c>
      <c r="Z407" s="101">
        <f>((Tableau!$G$35-P407)/(AE407^2+Tableau!$G$40^2)^(3/2))*Tableau!$G$39</f>
        <v>203.16966797783525</v>
      </c>
      <c r="AA407" s="102">
        <f>((Tableau!$H$35-Q407)/(AE407^2+Tableau!$G$40^2)^(3/2))*Tableau!$G$39</f>
        <v>-95.869655445282206</v>
      </c>
      <c r="AC407" s="113">
        <f>SQRT((Tableau!$G$16-P407)^2+(Tableau!$H$16-Q407)^2)</f>
        <v>67265.271879162101</v>
      </c>
      <c r="AD407" s="114">
        <f>SQRT((Tableau!$G$25-P407)^2+(Tableau!$H$25-Q407)^2)</f>
        <v>27685.770575851606</v>
      </c>
      <c r="AE407" s="115">
        <f>SQRT((Tableau!$G$35-P407)^2+(Tableau!$H$35-Q407)^2)</f>
        <v>46679.691571947536</v>
      </c>
    </row>
    <row r="408" spans="2:31" x14ac:dyDescent="0.25">
      <c r="B408" s="20">
        <v>405</v>
      </c>
      <c r="C408" s="21">
        <f>Tableau!$G$17*COS(B408*PI()/180)+Tableau!$G$16</f>
        <v>23535.533905932742</v>
      </c>
      <c r="D408" s="21">
        <f>Tableau!$G$17*SIN(B408*PI()/180)+Tableau!$H$16</f>
        <v>11035.533905932734</v>
      </c>
      <c r="F408" s="28">
        <v>405</v>
      </c>
      <c r="G408" s="29">
        <f>Tableau!$G$26*COS(F408*PI()/180)+Tableau!$G$25</f>
        <v>-17525.126265847081</v>
      </c>
      <c r="H408" s="29">
        <f>Tableau!$G$26*SIN(F408*PI()/180)+Tableau!$H$25</f>
        <v>12474.873734152914</v>
      </c>
      <c r="J408" s="36">
        <v>405</v>
      </c>
      <c r="K408" s="37">
        <f>Tableau!$G$36*COS(J408*PI()/180)+Tableau!$G$35</f>
        <v>-1464.4660940672584</v>
      </c>
      <c r="L408" s="37">
        <f>Tableau!$G$36*SIN(J408*PI()/180)+Tableau!$H$35</f>
        <v>-11464.466094067266</v>
      </c>
      <c r="N408" s="92">
        <v>404</v>
      </c>
      <c r="O408" s="93">
        <v>202</v>
      </c>
      <c r="P408" s="96">
        <f>P407+R407*Tableau!$G$2+((1/2)*T407)*Tableau!$G$2^2</f>
        <v>-45110.026594041949</v>
      </c>
      <c r="Q408" s="96">
        <f>Q407+S407*Tableau!$G$2+((1/2)*U407)*Tableau!$G$2^2</f>
        <v>3533.6307589517623</v>
      </c>
      <c r="R408" s="96">
        <f>R407+T407*Tableau!$G$2</f>
        <v>4342.7641321347137</v>
      </c>
      <c r="S408" s="96">
        <f>S407+U407*Tableau!$G$2</f>
        <v>-2786.5608736214813</v>
      </c>
      <c r="T408" s="96">
        <f t="shared" si="12"/>
        <v>577.28235830529468</v>
      </c>
      <c r="U408" s="96">
        <f t="shared" si="13"/>
        <v>-37.203286177507337</v>
      </c>
      <c r="V408" s="96">
        <f>((Tableau!$G$16-P408)/(AC408^2+Tableau!$G$21^2)^(3/2))*Tableau!$G$20</f>
        <v>118.61978393849311</v>
      </c>
      <c r="W408" s="96">
        <f>((Tableau!$H$16-Q408)/(AC408^2+Tableau!$G$21^2)^(3/2))*Tableau!$G$20</f>
        <v>7.2260738784044696</v>
      </c>
      <c r="X408" s="96">
        <f>((Tableau!$G$25-P408)/(AD408^2+Tableau!$G$30^2)^(3/2))*Tableau!$G$29</f>
        <v>232.77766152900335</v>
      </c>
      <c r="Y408" s="96">
        <f>((Tableau!$H$25-Q408)/(AD408^2+Tableau!$G$30^2)^(3/2))*Tableau!$G$29</f>
        <v>59.945229642705435</v>
      </c>
      <c r="Z408" s="96">
        <f>((Tableau!$G$35-P408)/(AE408^2+Tableau!$G$40^2)^(3/2))*Tableau!$G$39</f>
        <v>225.88491283779817</v>
      </c>
      <c r="AA408" s="97">
        <f>((Tableau!$H$35-Q408)/(AE408^2+Tableau!$G$40^2)^(3/2))*Tableau!$G$39</f>
        <v>-104.37458969861724</v>
      </c>
      <c r="AC408" s="110">
        <f>SQRT((Tableau!$G$16-P408)^2+(Tableau!$H$16-Q408)^2)</f>
        <v>65230.726257134251</v>
      </c>
      <c r="AD408" s="111">
        <f>SQRT((Tableau!$G$25-P408)^2+(Tableau!$H$25-Q408)^2)</f>
        <v>25929.276247420956</v>
      </c>
      <c r="AE408" s="112">
        <f>SQRT((Tableau!$G$35-P408)^2+(Tableau!$H$35-Q408)^2)</f>
        <v>44184.94882291837</v>
      </c>
    </row>
    <row r="409" spans="2:31" x14ac:dyDescent="0.25">
      <c r="B409" s="18">
        <v>406</v>
      </c>
      <c r="C409" s="19">
        <f>Tableau!$G$17*COS(B409*PI()/180)+Tableau!$G$16</f>
        <v>23473.291852294988</v>
      </c>
      <c r="D409" s="19">
        <f>Tableau!$G$17*SIN(B409*PI()/180)+Tableau!$H$16</f>
        <v>11096.699001693254</v>
      </c>
      <c r="F409" s="26">
        <v>406</v>
      </c>
      <c r="G409" s="27">
        <f>Tableau!$G$26*COS(F409*PI()/180)+Tableau!$G$25</f>
        <v>-17568.69570339351</v>
      </c>
      <c r="H409" s="27">
        <f>Tableau!$G$26*SIN(F409*PI()/180)+Tableau!$H$25</f>
        <v>12517.689301185277</v>
      </c>
      <c r="J409" s="34">
        <v>406</v>
      </c>
      <c r="K409" s="35">
        <f>Tableau!$G$36*COS(J409*PI()/180)+Tableau!$G$35</f>
        <v>-1526.7081477050119</v>
      </c>
      <c r="L409" s="35">
        <f>Tableau!$G$36*SIN(J409*PI()/180)+Tableau!$H$35</f>
        <v>-11403.300998306746</v>
      </c>
      <c r="N409" s="98">
        <v>405</v>
      </c>
      <c r="O409" s="99">
        <v>202.5</v>
      </c>
      <c r="P409" s="101">
        <f>P408+R408*Tableau!$G$2+((1/2)*T408)*Tableau!$G$2^2</f>
        <v>-42866.484233186427</v>
      </c>
      <c r="Q409" s="101">
        <f>Q408+S408*Tableau!$G$2+((1/2)*U408)*Tableau!$G$2^2</f>
        <v>2135.6999113688335</v>
      </c>
      <c r="R409" s="101">
        <f>R408+T408*Tableau!$G$2</f>
        <v>4631.4053112873607</v>
      </c>
      <c r="S409" s="101">
        <f>S408+U408*Tableau!$G$2</f>
        <v>-2805.1625167102347</v>
      </c>
      <c r="T409" s="101">
        <f t="shared" si="12"/>
        <v>637.46750449752301</v>
      </c>
      <c r="U409" s="101">
        <f t="shared" si="13"/>
        <v>-15.538985945499277</v>
      </c>
      <c r="V409" s="101">
        <f>((Tableau!$G$16-P409)/(AC409^2+Tableau!$G$21^2)^(3/2))*Tableau!$G$20</f>
        <v>126.2619823990259</v>
      </c>
      <c r="W409" s="101">
        <f>((Tableau!$H$16-Q409)/(AC409^2+Tableau!$G$21^2)^(3/2))*Tableau!$G$20</f>
        <v>10.773740119799788</v>
      </c>
      <c r="X409" s="101">
        <f>((Tableau!$G$25-P409)/(AD409^2+Tableau!$G$30^2)^(3/2))*Tableau!$G$29</f>
        <v>257.42019107611179</v>
      </c>
      <c r="Y409" s="101">
        <f>((Tableau!$H$25-Q409)/(AD409^2+Tableau!$G$30^2)^(3/2))*Tableau!$G$29</f>
        <v>88.532614408525319</v>
      </c>
      <c r="Z409" s="101">
        <f>((Tableau!$G$35-P409)/(AE409^2+Tableau!$G$40^2)^(3/2))*Tableau!$G$39</f>
        <v>253.78533102238532</v>
      </c>
      <c r="AA409" s="102">
        <f>((Tableau!$H$35-Q409)/(AE409^2+Tableau!$G$40^2)^(3/2))*Tableau!$G$39</f>
        <v>-114.84534047382438</v>
      </c>
      <c r="AC409" s="113">
        <f>SQRT((Tableau!$G$16-P409)^2+(Tableau!$H$16-Q409)^2)</f>
        <v>63094.932881193927</v>
      </c>
      <c r="AD409" s="114">
        <f>SQRT((Tableau!$G$25-P409)^2+(Tableau!$H$25-Q409)^2)</f>
        <v>24181.052852814486</v>
      </c>
      <c r="AE409" s="115">
        <f>SQRT((Tableau!$G$35-P409)^2+(Tableau!$H$35-Q409)^2)</f>
        <v>41563.239041665678</v>
      </c>
    </row>
    <row r="410" spans="2:31" x14ac:dyDescent="0.25">
      <c r="B410" s="20">
        <v>407</v>
      </c>
      <c r="C410" s="21">
        <f>Tableau!$G$17*COS(B410*PI()/180)+Tableau!$G$16</f>
        <v>23409.991800312491</v>
      </c>
      <c r="D410" s="21">
        <f>Tableau!$G$17*SIN(B410*PI()/180)+Tableau!$H$16</f>
        <v>11156.768508095854</v>
      </c>
      <c r="F410" s="28">
        <v>407</v>
      </c>
      <c r="G410" s="29">
        <f>Tableau!$G$26*COS(F410*PI()/180)+Tableau!$G$25</f>
        <v>-17613.005739781256</v>
      </c>
      <c r="H410" s="29">
        <f>Tableau!$G$26*SIN(F410*PI()/180)+Tableau!$H$25</f>
        <v>12559.737955667097</v>
      </c>
      <c r="J410" s="36">
        <v>407</v>
      </c>
      <c r="K410" s="37">
        <f>Tableau!$G$36*COS(J410*PI()/180)+Tableau!$G$35</f>
        <v>-1590.0081996875083</v>
      </c>
      <c r="L410" s="37">
        <f>Tableau!$G$36*SIN(J410*PI()/180)+Tableau!$H$35</f>
        <v>-11343.231491904146</v>
      </c>
      <c r="N410" s="92">
        <v>406</v>
      </c>
      <c r="O410" s="93">
        <v>203</v>
      </c>
      <c r="P410" s="96">
        <f>P409+R409*Tableau!$G$2+((1/2)*T409)*Tableau!$G$2^2</f>
        <v>-40471.098139480557</v>
      </c>
      <c r="Q410" s="96">
        <f>Q409+S409*Tableau!$G$2+((1/2)*U409)*Tableau!$G$2^2</f>
        <v>731.17627977052871</v>
      </c>
      <c r="R410" s="96">
        <f>R409+T409*Tableau!$G$2</f>
        <v>4950.1390635361222</v>
      </c>
      <c r="S410" s="96">
        <f>S409+U409*Tableau!$G$2</f>
        <v>-2812.9320096829842</v>
      </c>
      <c r="T410" s="96">
        <f t="shared" si="12"/>
        <v>705.65763556005606</v>
      </c>
      <c r="U410" s="96">
        <f t="shared" si="13"/>
        <v>14.76248181717861</v>
      </c>
      <c r="V410" s="96">
        <f>((Tableau!$G$16-P410)/(AC410^2+Tableau!$G$21^2)^(3/2))*Tableau!$G$20</f>
        <v>135.0300828182464</v>
      </c>
      <c r="W410" s="96">
        <f>((Tableau!$H$16-Q410)/(AC410^2+Tableau!$G$21^2)^(3/2))*Tableau!$G$20</f>
        <v>15.11457300504957</v>
      </c>
      <c r="X410" s="96">
        <f>((Tableau!$G$25-P410)/(AD410^2+Tableau!$G$30^2)^(3/2))*Tableau!$G$29</f>
        <v>281.96573663923976</v>
      </c>
      <c r="Y410" s="96">
        <f>((Tableau!$H$25-Q410)/(AD410^2+Tableau!$G$30^2)^(3/2))*Tableau!$G$29</f>
        <v>127.66734301436345</v>
      </c>
      <c r="Z410" s="96">
        <f>((Tableau!$G$35-P410)/(AE410^2+Tableau!$G$40^2)^(3/2))*Tableau!$G$39</f>
        <v>288.6618161025699</v>
      </c>
      <c r="AA410" s="97">
        <f>((Tableau!$H$35-Q410)/(AE410^2+Tableau!$G$40^2)^(3/2))*Tableau!$G$39</f>
        <v>-128.01943420223441</v>
      </c>
      <c r="AC410" s="110">
        <f>SQRT((Tableau!$G$16-P410)^2+(Tableau!$H$16-Q410)^2)</f>
        <v>60848.752532408005</v>
      </c>
      <c r="AD410" s="111">
        <f>SQRT((Tableau!$G$25-P410)^2+(Tableau!$H$25-Q410)^2)</f>
        <v>22471.692241416375</v>
      </c>
      <c r="AE410" s="112">
        <f>SQRT((Tableau!$G$35-P410)^2+(Tableau!$H$35-Q410)^2)</f>
        <v>38802.947186597514</v>
      </c>
    </row>
    <row r="411" spans="2:31" x14ac:dyDescent="0.25">
      <c r="B411" s="18">
        <v>408</v>
      </c>
      <c r="C411" s="19">
        <f>Tableau!$G$17*COS(B411*PI()/180)+Tableau!$G$16</f>
        <v>23345.653031794296</v>
      </c>
      <c r="D411" s="19">
        <f>Tableau!$G$17*SIN(B411*PI()/180)+Tableau!$H$16</f>
        <v>11215.724127386969</v>
      </c>
      <c r="F411" s="26">
        <v>408</v>
      </c>
      <c r="G411" s="27">
        <f>Tableau!$G$26*COS(F411*PI()/180)+Tableau!$G$25</f>
        <v>-17658.042877743996</v>
      </c>
      <c r="H411" s="27">
        <f>Tableau!$G$26*SIN(F411*PI()/180)+Tableau!$H$25</f>
        <v>12601.006889170878</v>
      </c>
      <c r="J411" s="34">
        <v>408</v>
      </c>
      <c r="K411" s="35">
        <f>Tableau!$G$36*COS(J411*PI()/180)+Tableau!$G$35</f>
        <v>-1654.3469682057057</v>
      </c>
      <c r="L411" s="35">
        <f>Tableau!$G$36*SIN(J411*PI()/180)+Tableau!$H$35</f>
        <v>-11284.275872613031</v>
      </c>
      <c r="N411" s="98">
        <v>407</v>
      </c>
      <c r="O411" s="99">
        <v>203.5</v>
      </c>
      <c r="P411" s="101">
        <f>P410+R410*Tableau!$G$2+((1/2)*T410)*Tableau!$G$2^2</f>
        <v>-37907.821403267488</v>
      </c>
      <c r="Q411" s="101">
        <f>Q410+S410*Tableau!$G$2+((1/2)*U410)*Tableau!$G$2^2</f>
        <v>-673.44441484381605</v>
      </c>
      <c r="R411" s="101">
        <f>R410+T410*Tableau!$G$2</f>
        <v>5302.9678813161499</v>
      </c>
      <c r="S411" s="101">
        <f>S410+U410*Tableau!$G$2</f>
        <v>-2805.5507687743948</v>
      </c>
      <c r="T411" s="101">
        <f t="shared" si="12"/>
        <v>780.72633972530843</v>
      </c>
      <c r="U411" s="101">
        <f t="shared" si="13"/>
        <v>55.695720687991724</v>
      </c>
      <c r="V411" s="101">
        <f>((Tableau!$G$16-P411)/(AC411^2+Tableau!$G$21^2)^(3/2))*Tableau!$G$20</f>
        <v>145.17755079861297</v>
      </c>
      <c r="W411" s="101">
        <f>((Tableau!$H$16-Q411)/(AC411^2+Tableau!$G$21^2)^(3/2))*Tableau!$G$20</f>
        <v>20.491198131461271</v>
      </c>
      <c r="X411" s="101">
        <f>((Tableau!$G$25-P411)/(AD411^2+Tableau!$G$30^2)^(3/2))*Tableau!$G$29</f>
        <v>302.40519192357885</v>
      </c>
      <c r="Y411" s="101">
        <f>((Tableau!$H$25-Q411)/(AD411^2+Tableau!$G$30^2)^(3/2))*Tableau!$G$29</f>
        <v>180.23995962834221</v>
      </c>
      <c r="Z411" s="101">
        <f>((Tableau!$G$35-P411)/(AE411^2+Tableau!$G$40^2)^(3/2))*Tableau!$G$39</f>
        <v>333.14359700311661</v>
      </c>
      <c r="AA411" s="102">
        <f>((Tableau!$H$35-Q411)/(AE411^2+Tableau!$G$40^2)^(3/2))*Tableau!$G$39</f>
        <v>-145.03543707181174</v>
      </c>
      <c r="AC411" s="113">
        <f>SQRT((Tableau!$G$16-P411)^2+(Tableau!$H$16-Q411)^2)</f>
        <v>58481.800359387584</v>
      </c>
      <c r="AD411" s="114">
        <f>SQRT((Tableau!$G$25-P411)^2+(Tableau!$H$25-Q411)^2)</f>
        <v>20847.361537808225</v>
      </c>
      <c r="AE411" s="115">
        <f>SQRT((Tableau!$G$35-P411)^2+(Tableau!$H$35-Q411)^2)</f>
        <v>35891.153568030095</v>
      </c>
    </row>
    <row r="412" spans="2:31" x14ac:dyDescent="0.25">
      <c r="B412" s="20">
        <v>409</v>
      </c>
      <c r="C412" s="21">
        <f>Tableau!$G$17*COS(B412*PI()/180)+Tableau!$G$16</f>
        <v>23280.295144952535</v>
      </c>
      <c r="D412" s="21">
        <f>Tableau!$G$17*SIN(B412*PI()/180)+Tableau!$H$16</f>
        <v>11273.54790111386</v>
      </c>
      <c r="F412" s="28">
        <v>409</v>
      </c>
      <c r="G412" s="29">
        <f>Tableau!$G$26*COS(F412*PI()/180)+Tableau!$G$25</f>
        <v>-17703.793398533224</v>
      </c>
      <c r="H412" s="29">
        <f>Tableau!$G$26*SIN(F412*PI()/180)+Tableau!$H$25</f>
        <v>12641.483530779702</v>
      </c>
      <c r="J412" s="36">
        <v>409</v>
      </c>
      <c r="K412" s="37">
        <f>Tableau!$G$36*COS(J412*PI()/180)+Tableau!$G$35</f>
        <v>-1719.7048550474628</v>
      </c>
      <c r="L412" s="37">
        <f>Tableau!$G$36*SIN(J412*PI()/180)+Tableau!$H$35</f>
        <v>-11226.45209888614</v>
      </c>
      <c r="N412" s="92">
        <v>408</v>
      </c>
      <c r="O412" s="93">
        <v>204</v>
      </c>
      <c r="P412" s="96">
        <f>P411+R411*Tableau!$G$2+((1/2)*T411)*Tableau!$G$2^2</f>
        <v>-35158.746670143752</v>
      </c>
      <c r="Q412" s="96">
        <f>Q411+S411*Tableau!$G$2+((1/2)*U411)*Tableau!$G$2^2</f>
        <v>-2069.2578341450144</v>
      </c>
      <c r="R412" s="96">
        <f>R411+T411*Tableau!$G$2</f>
        <v>5693.331051178804</v>
      </c>
      <c r="S412" s="96">
        <f>S411+U411*Tableau!$G$2</f>
        <v>-2777.702908430399</v>
      </c>
      <c r="T412" s="96">
        <f t="shared" si="12"/>
        <v>859.54071916838348</v>
      </c>
      <c r="U412" s="96">
        <f t="shared" si="13"/>
        <v>107.39110138038686</v>
      </c>
      <c r="V412" s="96">
        <f>((Tableau!$G$16-P412)/(AC412^2+Tableau!$G$21^2)^(3/2))*Tableau!$G$20</f>
        <v>157.03313438497773</v>
      </c>
      <c r="W412" s="96">
        <f>((Tableau!$H$16-Q412)/(AC412^2+Tableau!$G$21^2)^(3/2))*Tableau!$G$20</f>
        <v>27.243014791834799</v>
      </c>
      <c r="X412" s="96">
        <f>((Tableau!$G$25-P412)/(AD412^2+Tableau!$G$30^2)^(3/2))*Tableau!$G$29</f>
        <v>311.32155660804347</v>
      </c>
      <c r="Y412" s="96">
        <f>((Tableau!$H$25-Q412)/(AD412^2+Tableau!$G$30^2)^(3/2))*Tableau!$G$29</f>
        <v>247.87142484743543</v>
      </c>
      <c r="Z412" s="96">
        <f>((Tableau!$G$35-P412)/(AE412^2+Tableau!$G$40^2)^(3/2))*Tableau!$G$39</f>
        <v>391.18602817536225</v>
      </c>
      <c r="AA412" s="97">
        <f>((Tableau!$H$35-Q412)/(AE412^2+Tableau!$G$40^2)^(3/2))*Tableau!$G$39</f>
        <v>-167.72333825888339</v>
      </c>
      <c r="AC412" s="110">
        <f>SQRT((Tableau!$G$16-P412)^2+(Tableau!$H$16-Q412)^2)</f>
        <v>55982.658294488305</v>
      </c>
      <c r="AD412" s="111">
        <f>SQRT((Tableau!$G$25-P412)^2+(Tableau!$H$25-Q412)^2)</f>
        <v>19376.650517482765</v>
      </c>
      <c r="AE412" s="112">
        <f>SQRT((Tableau!$G$35-P412)^2+(Tableau!$H$35-Q412)^2)</f>
        <v>32813.931396187909</v>
      </c>
    </row>
    <row r="413" spans="2:31" x14ac:dyDescent="0.25">
      <c r="B413" s="18">
        <v>410</v>
      </c>
      <c r="C413" s="19">
        <f>Tableau!$G$17*COS(B413*PI()/180)+Tableau!$G$16</f>
        <v>23213.938048432698</v>
      </c>
      <c r="D413" s="19">
        <f>Tableau!$G$17*SIN(B413*PI()/180)+Tableau!$H$16</f>
        <v>11330.222215594889</v>
      </c>
      <c r="F413" s="26">
        <v>410</v>
      </c>
      <c r="G413" s="27">
        <f>Tableau!$G$26*COS(F413*PI()/180)+Tableau!$G$25</f>
        <v>-17750.243366097111</v>
      </c>
      <c r="H413" s="27">
        <f>Tableau!$G$26*SIN(F413*PI()/180)+Tableau!$H$25</f>
        <v>12681.155550916423</v>
      </c>
      <c r="J413" s="34">
        <v>410</v>
      </c>
      <c r="K413" s="35">
        <f>Tableau!$G$36*COS(J413*PI()/180)+Tableau!$G$35</f>
        <v>-1786.061951567302</v>
      </c>
      <c r="L413" s="35">
        <f>Tableau!$G$36*SIN(J413*PI()/180)+Tableau!$H$35</f>
        <v>-11169.777784405111</v>
      </c>
      <c r="N413" s="98">
        <v>409</v>
      </c>
      <c r="O413" s="99">
        <v>204.5</v>
      </c>
      <c r="P413" s="101">
        <f>P412+R412*Tableau!$G$2+((1/2)*T412)*Tableau!$G$2^2</f>
        <v>-32204.638554658304</v>
      </c>
      <c r="Q413" s="101">
        <f>Q412+S412*Tableau!$G$2+((1/2)*U412)*Tableau!$G$2^2</f>
        <v>-3444.6854006876656</v>
      </c>
      <c r="R413" s="101">
        <f>R412+T412*Tableau!$G$2</f>
        <v>6123.1014107629962</v>
      </c>
      <c r="S413" s="101">
        <f>S412+U412*Tableau!$G$2</f>
        <v>-2724.0073577402054</v>
      </c>
      <c r="T413" s="101">
        <f t="shared" si="12"/>
        <v>937.30838179673208</v>
      </c>
      <c r="U413" s="101">
        <f t="shared" si="13"/>
        <v>164.32307368105899</v>
      </c>
      <c r="V413" s="101">
        <f>((Tableau!$G$16-P413)/(AC413^2+Tableau!$G$21^2)^(3/2))*Tableau!$G$20</f>
        <v>171.02332315933376</v>
      </c>
      <c r="W413" s="101">
        <f>((Tableau!$H$16-Q413)/(AC413^2+Tableau!$G$21^2)^(3/2))*Tableau!$G$20</f>
        <v>35.85498377120792</v>
      </c>
      <c r="X413" s="101">
        <f>((Tableau!$G$25-P413)/(AD413^2+Tableau!$G$30^2)^(3/2))*Tableau!$G$29</f>
        <v>297.40806678561171</v>
      </c>
      <c r="Y413" s="101">
        <f>((Tableau!$H$25-Q413)/(AD413^2+Tableau!$G$30^2)^(3/2))*Tableau!$G$29</f>
        <v>327.62608049814588</v>
      </c>
      <c r="Z413" s="101">
        <f>((Tableau!$G$35-P413)/(AE413^2+Tableau!$G$40^2)^(3/2))*Tableau!$G$39</f>
        <v>468.87699185178661</v>
      </c>
      <c r="AA413" s="102">
        <f>((Tableau!$H$35-Q413)/(AE413^2+Tableau!$G$40^2)^(3/2))*Tableau!$G$39</f>
        <v>-199.15799058829481</v>
      </c>
      <c r="AC413" s="113">
        <f>SQRT((Tableau!$G$16-P413)^2+(Tableau!$H$16-Q413)^2)</f>
        <v>53339.576536963075</v>
      </c>
      <c r="AD413" s="114">
        <f>SQRT((Tableau!$G$25-P413)^2+(Tableau!$H$25-Q413)^2)</f>
        <v>18157.994596687047</v>
      </c>
      <c r="AE413" s="115">
        <f>SQRT((Tableau!$G$35-P413)^2+(Tableau!$H$35-Q413)^2)</f>
        <v>29557.023774031815</v>
      </c>
    </row>
    <row r="414" spans="2:31" x14ac:dyDescent="0.25">
      <c r="B414" s="20">
        <v>411</v>
      </c>
      <c r="C414" s="21">
        <f>Tableau!$G$17*COS(B414*PI()/180)+Tableau!$G$16</f>
        <v>23146.601955249185</v>
      </c>
      <c r="D414" s="21">
        <f>Tableau!$G$17*SIN(B414*PI()/180)+Tableau!$H$16</f>
        <v>11385.729807284855</v>
      </c>
      <c r="F414" s="28">
        <v>411</v>
      </c>
      <c r="G414" s="29">
        <f>Tableau!$G$26*COS(F414*PI()/180)+Tableau!$G$25</f>
        <v>-17797.37863132557</v>
      </c>
      <c r="H414" s="29">
        <f>Tableau!$G$26*SIN(F414*PI()/180)+Tableau!$H$25</f>
        <v>12720.010865099399</v>
      </c>
      <c r="J414" s="36">
        <v>411</v>
      </c>
      <c r="K414" s="37">
        <f>Tableau!$G$36*COS(J414*PI()/180)+Tableau!$G$35</f>
        <v>-1853.3980447508143</v>
      </c>
      <c r="L414" s="37">
        <f>Tableau!$G$36*SIN(J414*PI()/180)+Tableau!$H$35</f>
        <v>-11114.270192715145</v>
      </c>
      <c r="N414" s="92">
        <v>410</v>
      </c>
      <c r="O414" s="93">
        <v>205</v>
      </c>
      <c r="P414" s="96">
        <f>P413+R413*Tableau!$G$2+((1/2)*T413)*Tableau!$G$2^2</f>
        <v>-29025.924301552215</v>
      </c>
      <c r="Q414" s="96">
        <f>Q413+S413*Tableau!$G$2+((1/2)*U413)*Tableau!$G$2^2</f>
        <v>-4786.148695347636</v>
      </c>
      <c r="R414" s="96">
        <f>R413+T413*Tableau!$G$2</f>
        <v>6591.7556016613626</v>
      </c>
      <c r="S414" s="96">
        <f>S413+U413*Tableau!$G$2</f>
        <v>-2641.8458208996758</v>
      </c>
      <c r="T414" s="96">
        <f t="shared" si="12"/>
        <v>1011.9597547445444</v>
      </c>
      <c r="U414" s="96">
        <f t="shared" si="13"/>
        <v>209.40353521598411</v>
      </c>
      <c r="V414" s="96">
        <f>((Tableau!$G$16-P414)/(AC414^2+Tableau!$G$21^2)^(3/2))*Tableau!$G$20</f>
        <v>187.6949550414823</v>
      </c>
      <c r="W414" s="96">
        <f>((Tableau!$H$16-Q414)/(AC414^2+Tableau!$G$21^2)^(3/2))*Tableau!$G$20</f>
        <v>47.037320761604271</v>
      </c>
      <c r="X414" s="96">
        <f>((Tableau!$G$25-P414)/(AD414^2+Tableau!$G$30^2)^(3/2))*Tableau!$G$29</f>
        <v>248.52170019254805</v>
      </c>
      <c r="Y414" s="96">
        <f>((Tableau!$H$25-Q414)/(AD414^2+Tableau!$G$30^2)^(3/2))*Tableau!$G$29</f>
        <v>407.12493150819745</v>
      </c>
      <c r="Z414" s="96">
        <f>((Tableau!$G$35-P414)/(AE414^2+Tableau!$G$40^2)^(3/2))*Tableau!$G$39</f>
        <v>575.74309951051407</v>
      </c>
      <c r="AA414" s="97">
        <f>((Tableau!$H$35-Q414)/(AE414^2+Tableau!$G$40^2)^(3/2))*Tableau!$G$39</f>
        <v>-244.75871705381763</v>
      </c>
      <c r="AC414" s="110">
        <f>SQRT((Tableau!$G$16-P414)^2+(Tableau!$H$16-Q414)^2)</f>
        <v>50541.969722060901</v>
      </c>
      <c r="AD414" s="111">
        <f>SQRT((Tableau!$G$25-P414)^2+(Tableau!$H$25-Q414)^2)</f>
        <v>17323.322508637928</v>
      </c>
      <c r="AE414" s="112">
        <f>SQRT((Tableau!$G$35-P414)^2+(Tableau!$H$35-Q414)^2)</f>
        <v>26106.853449189661</v>
      </c>
    </row>
    <row r="415" spans="2:31" x14ac:dyDescent="0.25">
      <c r="B415" s="18">
        <v>412</v>
      </c>
      <c r="C415" s="19">
        <f>Tableau!$G$17*COS(B415*PI()/180)+Tableau!$G$16</f>
        <v>23078.307376628294</v>
      </c>
      <c r="D415" s="19">
        <f>Tableau!$G$17*SIN(B415*PI()/180)+Tableau!$H$16</f>
        <v>11440.053768033607</v>
      </c>
      <c r="F415" s="26">
        <v>412</v>
      </c>
      <c r="G415" s="27">
        <f>Tableau!$G$26*COS(F415*PI()/180)+Tableau!$G$25</f>
        <v>-17845.184836360193</v>
      </c>
      <c r="H415" s="27">
        <f>Tableau!$G$26*SIN(F415*PI()/180)+Tableau!$H$25</f>
        <v>12758.037637623525</v>
      </c>
      <c r="J415" s="34">
        <v>412</v>
      </c>
      <c r="K415" s="35">
        <f>Tableau!$G$36*COS(J415*PI()/180)+Tableau!$G$35</f>
        <v>-1921.6926233717058</v>
      </c>
      <c r="L415" s="35">
        <f>Tableau!$G$36*SIN(J415*PI()/180)+Tableau!$H$35</f>
        <v>-11059.946231966393</v>
      </c>
      <c r="N415" s="98">
        <v>411</v>
      </c>
      <c r="O415" s="99">
        <v>205.5</v>
      </c>
      <c r="P415" s="101">
        <f>P414+R414*Tableau!$G$2+((1/2)*T414)*Tableau!$G$2^2</f>
        <v>-25603.551531378467</v>
      </c>
      <c r="Q415" s="101">
        <f>Q414+S414*Tableau!$G$2+((1/2)*U414)*Tableau!$G$2^2</f>
        <v>-6080.8961638954761</v>
      </c>
      <c r="R415" s="101">
        <f>R414+T414*Tableau!$G$2</f>
        <v>7097.7354790336349</v>
      </c>
      <c r="S415" s="101">
        <f>S414+U414*Tableau!$G$2</f>
        <v>-2537.1440532916836</v>
      </c>
      <c r="T415" s="101">
        <f t="shared" si="12"/>
        <v>1095.6119807356213</v>
      </c>
      <c r="U415" s="101">
        <f t="shared" si="13"/>
        <v>210.01625644439753</v>
      </c>
      <c r="V415" s="101">
        <f>((Tableau!$G$16-P415)/(AC415^2+Tableau!$G$21^2)^(3/2))*Tableau!$G$20</f>
        <v>207.7264172720626</v>
      </c>
      <c r="W415" s="101">
        <f>((Tableau!$H$16-Q415)/(AC415^2+Tableau!$G$21^2)^(3/2))*Tableau!$G$20</f>
        <v>61.861649120217791</v>
      </c>
      <c r="X415" s="101">
        <f>((Tableau!$G$25-P415)/(AD415^2+Tableau!$G$30^2)^(3/2))*Tableau!$G$29</f>
        <v>161.23753574044866</v>
      </c>
      <c r="Y415" s="101">
        <f>((Tableau!$H$25-Q415)/(AD415^2+Tableau!$G$30^2)^(3/2))*Tableau!$G$29</f>
        <v>462.71441521422111</v>
      </c>
      <c r="Z415" s="101">
        <f>((Tableau!$G$35-P415)/(AE415^2+Tableau!$G$40^2)^(3/2))*Tableau!$G$39</f>
        <v>726.64802772311009</v>
      </c>
      <c r="AA415" s="102">
        <f>((Tableau!$H$35-Q415)/(AE415^2+Tableau!$G$40^2)^(3/2))*Tableau!$G$39</f>
        <v>-314.55980789004138</v>
      </c>
      <c r="AC415" s="113">
        <f>SQRT((Tableau!$G$16-P415)^2+(Tableau!$H$16-Q415)^2)</f>
        <v>47582.818883391119</v>
      </c>
      <c r="AD415" s="114">
        <f>SQRT((Tableau!$G$25-P415)^2+(Tableau!$H$25-Q415)^2)</f>
        <v>17029.239889049721</v>
      </c>
      <c r="AE415" s="115">
        <f>SQRT((Tableau!$G$35-P415)^2+(Tableau!$H$35-Q415)^2)</f>
        <v>22451.208184536139</v>
      </c>
    </row>
    <row r="416" spans="2:31" x14ac:dyDescent="0.25">
      <c r="B416" s="20">
        <v>413</v>
      </c>
      <c r="C416" s="21">
        <f>Tableau!$G$17*COS(B416*PI()/180)+Tableau!$G$16</f>
        <v>23009.075115760243</v>
      </c>
      <c r="D416" s="21">
        <f>Tableau!$G$17*SIN(B416*PI()/180)+Tableau!$H$16</f>
        <v>11493.177550236464</v>
      </c>
      <c r="F416" s="28">
        <v>413</v>
      </c>
      <c r="G416" s="29">
        <f>Tableau!$G$26*COS(F416*PI()/180)+Tableau!$G$25</f>
        <v>-17893.64741896783</v>
      </c>
      <c r="H416" s="29">
        <f>Tableau!$G$26*SIN(F416*PI()/180)+Tableau!$H$25</f>
        <v>12795.224285165525</v>
      </c>
      <c r="J416" s="36">
        <v>413</v>
      </c>
      <c r="K416" s="37">
        <f>Tableau!$G$36*COS(J416*PI()/180)+Tableau!$G$35</f>
        <v>-1990.9248842397583</v>
      </c>
      <c r="L416" s="37">
        <f>Tableau!$G$36*SIN(J416*PI()/180)+Tableau!$H$35</f>
        <v>-11006.822449763536</v>
      </c>
      <c r="N416" s="92">
        <v>412</v>
      </c>
      <c r="O416" s="93">
        <v>206</v>
      </c>
      <c r="P416" s="96">
        <f>P415+R415*Tableau!$G$2+((1/2)*T415)*Tableau!$G$2^2</f>
        <v>-21917.732294269699</v>
      </c>
      <c r="Q416" s="96">
        <f>Q415+S415*Tableau!$G$2+((1/2)*U415)*Tableau!$G$2^2</f>
        <v>-7323.2161584857686</v>
      </c>
      <c r="R416" s="96">
        <f>R415+T415*Tableau!$G$2</f>
        <v>7645.5414694014453</v>
      </c>
      <c r="S416" s="96">
        <f>S415+U415*Tableau!$G$2</f>
        <v>-2432.135925069485</v>
      </c>
      <c r="T416" s="96">
        <f t="shared" si="12"/>
        <v>1227.0526431434466</v>
      </c>
      <c r="U416" s="96">
        <f t="shared" si="13"/>
        <v>123.56878153752729</v>
      </c>
      <c r="V416" s="96">
        <f>((Tableau!$G$16-P416)/(AC416^2+Tableau!$G$21^2)^(3/2))*Tableau!$G$20</f>
        <v>231.897921218812</v>
      </c>
      <c r="W416" s="96">
        <f>((Tableau!$H$16-Q416)/(AC416^2+Tableau!$G$21^2)^(3/2))*Tableau!$G$20</f>
        <v>82.005223679523056</v>
      </c>
      <c r="X416" s="96">
        <f>((Tableau!$G$25-P416)/(AD416^2+Tableau!$G$30^2)^(3/2))*Tableau!$G$29</f>
        <v>51.980500686233377</v>
      </c>
      <c r="Y416" s="96">
        <f>((Tableau!$H$25-Q416)/(AD416^2+Tableau!$G$30^2)^(3/2))*Tableau!$G$29</f>
        <v>469.54908779739287</v>
      </c>
      <c r="Z416" s="96">
        <f>((Tableau!$G$35-P416)/(AE416^2+Tableau!$G$40^2)^(3/2))*Tableau!$G$39</f>
        <v>943.17422123840117</v>
      </c>
      <c r="AA416" s="97">
        <f>((Tableau!$H$35-Q416)/(AE416^2+Tableau!$G$40^2)^(3/2))*Tableau!$G$39</f>
        <v>-427.98552993938864</v>
      </c>
      <c r="AC416" s="110">
        <f>SQRT((Tableau!$G$16-P416)^2+(Tableau!$H$16-Q416)^2)</f>
        <v>44461.489156069147</v>
      </c>
      <c r="AD416" s="111">
        <f>SQRT((Tableau!$G$25-P416)^2+(Tableau!$H$25-Q416)^2)</f>
        <v>17429.042292280647</v>
      </c>
      <c r="AE416" s="112">
        <f>SQRT((Tableau!$G$35-P416)^2+(Tableau!$H$35-Q416)^2)</f>
        <v>18578.015936313273</v>
      </c>
    </row>
    <row r="417" spans="2:31" x14ac:dyDescent="0.25">
      <c r="B417" s="18">
        <v>414</v>
      </c>
      <c r="C417" s="19">
        <f>Tableau!$G$17*COS(B417*PI()/180)+Tableau!$G$16</f>
        <v>22938.926261462369</v>
      </c>
      <c r="D417" s="19">
        <f>Tableau!$G$17*SIN(B417*PI()/180)+Tableau!$H$16</f>
        <v>11545.084971874734</v>
      </c>
      <c r="F417" s="26">
        <v>414</v>
      </c>
      <c r="G417" s="27">
        <f>Tableau!$G$26*COS(F417*PI()/180)+Tableau!$G$25</f>
        <v>-17942.75161697634</v>
      </c>
      <c r="H417" s="27">
        <f>Tableau!$G$26*SIN(F417*PI()/180)+Tableau!$H$25</f>
        <v>12831.559480312313</v>
      </c>
      <c r="J417" s="34">
        <v>414</v>
      </c>
      <c r="K417" s="35">
        <f>Tableau!$G$36*COS(J417*PI()/180)+Tableau!$G$35</f>
        <v>-2061.0737385376297</v>
      </c>
      <c r="L417" s="35">
        <f>Tableau!$G$36*SIN(J417*PI()/180)+Tableau!$H$35</f>
        <v>-10954.915028125266</v>
      </c>
      <c r="N417" s="98">
        <v>413</v>
      </c>
      <c r="O417" s="99">
        <v>206.5</v>
      </c>
      <c r="P417" s="101">
        <f>P416+R416*Tableau!$G$2+((1/2)*T416)*Tableau!$G$2^2</f>
        <v>-17941.579979176044</v>
      </c>
      <c r="Q417" s="101">
        <f>Q416+S416*Tableau!$G$2+((1/2)*U416)*Tableau!$G$2^2</f>
        <v>-8523.8380233283206</v>
      </c>
      <c r="R417" s="101">
        <f>R416+T416*Tableau!$G$2</f>
        <v>8259.0677909731694</v>
      </c>
      <c r="S417" s="101">
        <f>S416+U416*Tableau!$G$2</f>
        <v>-2370.3515343007211</v>
      </c>
      <c r="T417" s="101">
        <f t="shared" si="12"/>
        <v>1459.0424182249494</v>
      </c>
      <c r="U417" s="101">
        <f t="shared" si="13"/>
        <v>-91.217880057335151</v>
      </c>
      <c r="V417" s="101">
        <f>((Tableau!$G$16-P417)/(AC417^2+Tableau!$G$21^2)^(3/2))*Tableau!$G$20</f>
        <v>260.93719086175298</v>
      </c>
      <c r="W417" s="101">
        <f>((Tableau!$H$16-Q417)/(AC417^2+Tableau!$G$21^2)^(3/2))*Tableau!$G$20</f>
        <v>110.20140128391769</v>
      </c>
      <c r="X417" s="101">
        <f>((Tableau!$G$25-P417)/(AD417^2+Tableau!$G$30^2)^(3/2))*Tableau!$G$29</f>
        <v>-46.846388977163421</v>
      </c>
      <c r="Y417" s="101">
        <f>((Tableau!$H$25-Q417)/(AD417^2+Tableau!$G$30^2)^(3/2))*Tableau!$G$29</f>
        <v>421.57330020694735</v>
      </c>
      <c r="Z417" s="101">
        <f>((Tableau!$G$35-P417)/(AE417^2+Tableau!$G$40^2)^(3/2))*Tableau!$G$39</f>
        <v>1244.9516163403598</v>
      </c>
      <c r="AA417" s="102">
        <f>((Tableau!$H$35-Q417)/(AE417^2+Tableau!$G$40^2)^(3/2))*Tableau!$G$39</f>
        <v>-622.99258154820018</v>
      </c>
      <c r="AC417" s="113">
        <f>SQRT((Tableau!$G$16-P417)^2+(Tableau!$H$16-Q417)^2)</f>
        <v>41186.489002026807</v>
      </c>
      <c r="AD417" s="114">
        <f>SQRT((Tableau!$G$25-P417)^2+(Tableau!$H$25-Q417)^2)</f>
        <v>18637.855780551392</v>
      </c>
      <c r="AE417" s="115">
        <f>SQRT((Tableau!$G$35-P417)^2+(Tableau!$H$35-Q417)^2)</f>
        <v>14471.529508158363</v>
      </c>
    </row>
    <row r="418" spans="2:31" x14ac:dyDescent="0.25">
      <c r="B418" s="20">
        <v>415</v>
      </c>
      <c r="C418" s="21">
        <f>Tableau!$G$17*COS(B418*PI()/180)+Tableau!$G$16</f>
        <v>22867.882181755231</v>
      </c>
      <c r="D418" s="21">
        <f>Tableau!$G$17*SIN(B418*PI()/180)+Tableau!$H$16</f>
        <v>11595.760221444958</v>
      </c>
      <c r="F418" s="28">
        <v>415</v>
      </c>
      <c r="G418" s="29">
        <f>Tableau!$G$26*COS(F418*PI()/180)+Tableau!$G$25</f>
        <v>-17992.482472771339</v>
      </c>
      <c r="H418" s="29">
        <f>Tableau!$G$26*SIN(F418*PI()/180)+Tableau!$H$25</f>
        <v>12867.03215501147</v>
      </c>
      <c r="J418" s="36">
        <v>415</v>
      </c>
      <c r="K418" s="37">
        <f>Tableau!$G$36*COS(J418*PI()/180)+Tableau!$G$35</f>
        <v>-2132.1178182447675</v>
      </c>
      <c r="L418" s="37">
        <f>Tableau!$G$36*SIN(J418*PI()/180)+Tableau!$H$35</f>
        <v>-10904.239778555042</v>
      </c>
      <c r="N418" s="92">
        <v>414</v>
      </c>
      <c r="O418" s="93">
        <v>207</v>
      </c>
      <c r="P418" s="96">
        <f>P417+R417*Tableau!$G$2+((1/2)*T417)*Tableau!$G$2^2</f>
        <v>-13629.665781411341</v>
      </c>
      <c r="Q418" s="96">
        <f>Q417+S417*Tableau!$G$2+((1/2)*U417)*Tableau!$G$2^2</f>
        <v>-9720.4160254858471</v>
      </c>
      <c r="R418" s="96">
        <f>R417+T417*Tableau!$G$2</f>
        <v>8988.5890000856434</v>
      </c>
      <c r="S418" s="96">
        <f>S417+U417*Tableau!$G$2</f>
        <v>-2415.9604743293885</v>
      </c>
      <c r="T418" s="96">
        <f t="shared" si="12"/>
        <v>1755.4731776032263</v>
      </c>
      <c r="U418" s="96">
        <f t="shared" si="13"/>
        <v>-470.9917151789457</v>
      </c>
      <c r="V418" s="96">
        <f>((Tableau!$G$16-P418)/(AC418^2+Tableau!$G$21^2)^(3/2))*Tableau!$G$20</f>
        <v>294.95146743037685</v>
      </c>
      <c r="W418" s="96">
        <f>((Tableau!$H$16-Q418)/(AC418^2+Tableau!$G$21^2)^(3/2))*Tableau!$G$20</f>
        <v>151.03293055282543</v>
      </c>
      <c r="X418" s="96">
        <f>((Tableau!$G$25-P418)/(AD418^2+Tableau!$G$30^2)^(3/2))*Tableau!$G$29</f>
        <v>-109.31122675495322</v>
      </c>
      <c r="Y418" s="96">
        <f>((Tableau!$H$25-Q418)/(AD418^2+Tableau!$G$30^2)^(3/2))*Tableau!$G$29</f>
        <v>338.39085892442887</v>
      </c>
      <c r="Z418" s="96">
        <f>((Tableau!$G$35-P418)/(AE418^2+Tableau!$G$40^2)^(3/2))*Tableau!$G$39</f>
        <v>1569.8329369278026</v>
      </c>
      <c r="AA418" s="97">
        <f>((Tableau!$H$35-Q418)/(AE418^2+Tableau!$G$40^2)^(3/2))*Tableau!$G$39</f>
        <v>-960.41550465620003</v>
      </c>
      <c r="AC418" s="110">
        <f>SQRT((Tableau!$G$16-P418)^2+(Tableau!$H$16-Q418)^2)</f>
        <v>37782.23324077388</v>
      </c>
      <c r="AD418" s="111">
        <f>SQRT((Tableau!$G$25-P418)^2+(Tableau!$H$25-Q418)^2)</f>
        <v>20723.801926161152</v>
      </c>
      <c r="AE418" s="112">
        <f>SQRT((Tableau!$G$35-P418)^2+(Tableau!$H$35-Q418)^2)</f>
        <v>10116.577407542951</v>
      </c>
    </row>
    <row r="419" spans="2:31" x14ac:dyDescent="0.25">
      <c r="B419" s="18">
        <v>416</v>
      </c>
      <c r="C419" s="19">
        <f>Tableau!$G$17*COS(B419*PI()/180)+Tableau!$G$16</f>
        <v>22795.964517353732</v>
      </c>
      <c r="D419" s="19">
        <f>Tableau!$G$17*SIN(B419*PI()/180)+Tableau!$H$16</f>
        <v>11645.187862775208</v>
      </c>
      <c r="F419" s="26">
        <v>416</v>
      </c>
      <c r="G419" s="27">
        <f>Tableau!$G$26*COS(F419*PI()/180)+Tableau!$G$25</f>
        <v>-18042.824837852386</v>
      </c>
      <c r="H419" s="27">
        <f>Tableau!$G$26*SIN(F419*PI()/180)+Tableau!$H$25</f>
        <v>12901.631503942646</v>
      </c>
      <c r="J419" s="34">
        <v>416</v>
      </c>
      <c r="K419" s="35">
        <f>Tableau!$G$36*COS(J419*PI()/180)+Tableau!$G$35</f>
        <v>-2204.0354826462667</v>
      </c>
      <c r="L419" s="35">
        <f>Tableau!$G$36*SIN(J419*PI()/180)+Tableau!$H$35</f>
        <v>-10854.812137224792</v>
      </c>
      <c r="N419" s="98">
        <v>415</v>
      </c>
      <c r="O419" s="99">
        <v>207.5</v>
      </c>
      <c r="P419" s="101">
        <f>P418+R418*Tableau!$G$2+((1/2)*T418)*Tableau!$G$2^2</f>
        <v>-8915.9371341681162</v>
      </c>
      <c r="Q419" s="101">
        <f>Q418+S418*Tableau!$G$2+((1/2)*U418)*Tableau!$G$2^2</f>
        <v>-10987.270227047909</v>
      </c>
      <c r="R419" s="101">
        <f>R418+T418*Tableau!$G$2</f>
        <v>9866.3255888872573</v>
      </c>
      <c r="S419" s="101">
        <f>S418+U418*Tableau!$G$2</f>
        <v>-2651.4563319188615</v>
      </c>
      <c r="T419" s="101">
        <f t="shared" si="12"/>
        <v>1560.7397992178269</v>
      </c>
      <c r="U419" s="101">
        <f t="shared" si="13"/>
        <v>-933.67164649080769</v>
      </c>
      <c r="V419" s="101">
        <f>((Tableau!$G$16-P419)/(AC419^2+Tableau!$G$21^2)^(3/2))*Tableau!$G$20</f>
        <v>331.42494675187834</v>
      </c>
      <c r="W419" s="101">
        <f>((Tableau!$H$16-Q419)/(AC419^2+Tableau!$G$21^2)^(3/2))*Tableau!$G$20</f>
        <v>211.89500178249057</v>
      </c>
      <c r="X419" s="101">
        <f>((Tableau!$G$25-P419)/(AD419^2+Tableau!$G$30^2)^(3/2))*Tableau!$G$29</f>
        <v>-131.37779509455171</v>
      </c>
      <c r="Y419" s="101">
        <f>((Tableau!$H$25-Q419)/(AD419^2+Tableau!$G$30^2)^(3/2))*Tableau!$G$29</f>
        <v>248.75908056987981</v>
      </c>
      <c r="Z419" s="101">
        <f>((Tableau!$G$35-P419)/(AE419^2+Tableau!$G$40^2)^(3/2))*Tableau!$G$39</f>
        <v>1360.6926475605003</v>
      </c>
      <c r="AA419" s="102">
        <f>((Tableau!$H$35-Q419)/(AE419^2+Tableau!$G$40^2)^(3/2))*Tableau!$G$39</f>
        <v>-1394.325728843178</v>
      </c>
      <c r="AC419" s="113">
        <f>SQRT((Tableau!$G$16-P419)^2+(Tableau!$H$16-Q419)^2)</f>
        <v>34320.70192748183</v>
      </c>
      <c r="AD419" s="114">
        <f>SQRT((Tableau!$G$25-P419)^2+(Tableau!$H$25-Q419)^2)</f>
        <v>23734.40458905268</v>
      </c>
      <c r="AE419" s="115">
        <f>SQRT((Tableau!$G$35-P419)^2+(Tableau!$H$35-Q419)^2)</f>
        <v>5606.8318923874413</v>
      </c>
    </row>
    <row r="420" spans="2:31" x14ac:dyDescent="0.25">
      <c r="B420" s="20">
        <v>417</v>
      </c>
      <c r="C420" s="21">
        <f>Tableau!$G$17*COS(B420*PI()/180)+Tableau!$G$16</f>
        <v>22723.195175075136</v>
      </c>
      <c r="D420" s="21">
        <f>Tableau!$G$17*SIN(B420*PI()/180)+Tableau!$H$16</f>
        <v>11693.35283972712</v>
      </c>
      <c r="F420" s="28">
        <v>417</v>
      </c>
      <c r="G420" s="29">
        <f>Tableau!$G$26*COS(F420*PI()/180)+Tableau!$G$25</f>
        <v>-18093.763377447405</v>
      </c>
      <c r="H420" s="29">
        <f>Tableau!$G$26*SIN(F420*PI()/180)+Tableau!$H$25</f>
        <v>12935.346987808984</v>
      </c>
      <c r="J420" s="36">
        <v>417</v>
      </c>
      <c r="K420" s="37">
        <f>Tableau!$G$36*COS(J420*PI()/180)+Tableau!$G$35</f>
        <v>-2276.8048249248645</v>
      </c>
      <c r="L420" s="37">
        <f>Tableau!$G$36*SIN(J420*PI()/180)+Tableau!$H$35</f>
        <v>-10806.64716027288</v>
      </c>
      <c r="N420" s="92">
        <v>416</v>
      </c>
      <c r="O420" s="93">
        <v>208</v>
      </c>
      <c r="P420" s="96">
        <f>P419+R419*Tableau!$G$2+((1/2)*T419)*Tableau!$G$2^2</f>
        <v>-3787.6818648222593</v>
      </c>
      <c r="Q420" s="96">
        <f>Q419+S419*Tableau!$G$2+((1/2)*U419)*Tableau!$G$2^2</f>
        <v>-12429.707348818691</v>
      </c>
      <c r="R420" s="96">
        <f>R419+T419*Tableau!$G$2</f>
        <v>10646.695488496171</v>
      </c>
      <c r="S420" s="96">
        <f>S419+U419*Tableau!$G$2</f>
        <v>-3118.2921551642653</v>
      </c>
      <c r="T420" s="96">
        <f t="shared" si="12"/>
        <v>-330.76758240594557</v>
      </c>
      <c r="U420" s="96">
        <f t="shared" si="13"/>
        <v>-723.57894598471376</v>
      </c>
      <c r="V420" s="96">
        <f>((Tableau!$G$16-P420)/(AC420^2+Tableau!$G$21^2)^(3/2))*Tableau!$G$20</f>
        <v>359.35361489395387</v>
      </c>
      <c r="W420" s="96">
        <f>((Tableau!$H$16-Q420)/(AC420^2+Tableau!$G$21^2)^(3/2))*Tableau!$G$20</f>
        <v>301.07231214352328</v>
      </c>
      <c r="X420" s="96">
        <f>((Tableau!$G$25-P420)/(AD420^2+Tableau!$G$30^2)^(3/2))*Tableau!$G$29</f>
        <v>-125.15741274069092</v>
      </c>
      <c r="Y420" s="96">
        <f>((Tableau!$H$25-Q420)/(AD420^2+Tableau!$G$30^2)^(3/2))*Tableau!$G$29</f>
        <v>173.15501194229634</v>
      </c>
      <c r="Z420" s="96">
        <f>((Tableau!$G$35-P420)/(AE420^2+Tableau!$G$40^2)^(3/2))*Tableau!$G$39</f>
        <v>-564.96378455920853</v>
      </c>
      <c r="AA420" s="97">
        <f>((Tableau!$H$35-Q420)/(AE420^2+Tableau!$G$40^2)^(3/2))*Tableau!$G$39</f>
        <v>-1197.8062700705334</v>
      </c>
      <c r="AC420" s="110">
        <f>SQRT((Tableau!$G$16-P420)^2+(Tableau!$H$16-Q420)^2)</f>
        <v>31032.999267095525</v>
      </c>
      <c r="AD420" s="111">
        <f>SQRT((Tableau!$G$25-P420)^2+(Tableau!$H$25-Q420)^2)</f>
        <v>27675.459003779219</v>
      </c>
      <c r="AE420" s="112">
        <f>SQRT((Tableau!$G$35-P420)^2+(Tableau!$H$35-Q420)^2)</f>
        <v>2841.8514341178147</v>
      </c>
    </row>
    <row r="421" spans="2:31" x14ac:dyDescent="0.25">
      <c r="B421" s="18">
        <v>418</v>
      </c>
      <c r="C421" s="19">
        <f>Tableau!$G$17*COS(B421*PI()/180)+Tableau!$G$16</f>
        <v>22649.596321166027</v>
      </c>
      <c r="D421" s="19">
        <f>Tableau!$G$17*SIN(B421*PI()/180)+Tableau!$H$16</f>
        <v>11740.240480782129</v>
      </c>
      <c r="F421" s="26">
        <v>418</v>
      </c>
      <c r="G421" s="27">
        <f>Tableau!$G$26*COS(F421*PI()/180)+Tableau!$G$25</f>
        <v>-18145.282575183781</v>
      </c>
      <c r="H421" s="27">
        <f>Tableau!$G$26*SIN(F421*PI()/180)+Tableau!$H$25</f>
        <v>12968.168336547491</v>
      </c>
      <c r="J421" s="34">
        <v>418</v>
      </c>
      <c r="K421" s="35">
        <f>Tableau!$G$36*COS(J421*PI()/180)+Tableau!$G$35</f>
        <v>-2350.4036788339745</v>
      </c>
      <c r="L421" s="35">
        <f>Tableau!$G$36*SIN(J421*PI()/180)+Tableau!$H$35</f>
        <v>-10759.759519217871</v>
      </c>
      <c r="N421" s="98">
        <v>417</v>
      </c>
      <c r="O421" s="99">
        <v>208.5</v>
      </c>
      <c r="P421" s="101">
        <f>P420+R420*Tableau!$G$2+((1/2)*T420)*Tableau!$G$2^2</f>
        <v>1494.3199316250827</v>
      </c>
      <c r="Q421" s="101">
        <f>Q420+S420*Tableau!$G$2+((1/2)*U420)*Tableau!$G$2^2</f>
        <v>-14079.300794648912</v>
      </c>
      <c r="R421" s="101">
        <f>R420+T420*Tableau!$G$2</f>
        <v>10481.311697293198</v>
      </c>
      <c r="S421" s="101">
        <f>S420+U420*Tableau!$G$2</f>
        <v>-3480.0816281566222</v>
      </c>
      <c r="T421" s="101">
        <f t="shared" si="12"/>
        <v>-1741.0970807171573</v>
      </c>
      <c r="U421" s="101">
        <f t="shared" si="13"/>
        <v>251.06742565285714</v>
      </c>
      <c r="V421" s="101">
        <f>((Tableau!$G$16-P421)/(AC421^2+Tableau!$G$21^2)^(3/2))*Tableau!$G$20</f>
        <v>354.0659861406499</v>
      </c>
      <c r="W421" s="101">
        <f>((Tableau!$H$16-Q421)/(AC421^2+Tableau!$G$21^2)^(3/2))*Tableau!$G$20</f>
        <v>412.87304156631461</v>
      </c>
      <c r="X421" s="101">
        <f>((Tableau!$G$25-P421)/(AD421^2+Tableau!$G$30^2)^(3/2))*Tableau!$G$29</f>
        <v>-107.14889565910019</v>
      </c>
      <c r="Y421" s="101">
        <f>((Tableau!$H$25-Q421)/(AD421^2+Tableau!$G$30^2)^(3/2))*Tableau!$G$29</f>
        <v>120.03499048108091</v>
      </c>
      <c r="Z421" s="101">
        <f>((Tableau!$G$35-P421)/(AE421^2+Tableau!$G$40^2)^(3/2))*Tableau!$G$39</f>
        <v>-1988.0141711987069</v>
      </c>
      <c r="AA421" s="102">
        <f>((Tableau!$H$35-Q421)/(AE421^2+Tableau!$G$40^2)^(3/2))*Tableau!$G$39</f>
        <v>-281.84060639453838</v>
      </c>
      <c r="AC421" s="113">
        <f>SQRT((Tableau!$G$16-P421)^2+(Tableau!$H$16-Q421)^2)</f>
        <v>28427.564397587488</v>
      </c>
      <c r="AD421" s="114">
        <f>SQRT((Tableau!$G$25-P421)^2+(Tableau!$H$25-Q421)^2)</f>
        <v>32277.213573699868</v>
      </c>
      <c r="AE421" s="115">
        <f>SQRT((Tableau!$G$35-P421)^2+(Tableau!$H$35-Q421)^2)</f>
        <v>6559.2589826166295</v>
      </c>
    </row>
    <row r="422" spans="2:31" x14ac:dyDescent="0.25">
      <c r="B422" s="20">
        <v>419</v>
      </c>
      <c r="C422" s="21">
        <f>Tableau!$G$17*COS(B422*PI()/180)+Tableau!$G$16</f>
        <v>22575.190374550271</v>
      </c>
      <c r="D422" s="21">
        <f>Tableau!$G$17*SIN(B422*PI()/180)+Tableau!$H$16</f>
        <v>11785.83650351056</v>
      </c>
      <c r="F422" s="28">
        <v>419</v>
      </c>
      <c r="G422" s="29">
        <f>Tableau!$G$26*COS(F422*PI()/180)+Tableau!$G$25</f>
        <v>-18197.366737814809</v>
      </c>
      <c r="H422" s="29">
        <f>Tableau!$G$26*SIN(F422*PI()/180)+Tableau!$H$25</f>
        <v>13000.085552457393</v>
      </c>
      <c r="J422" s="36">
        <v>419</v>
      </c>
      <c r="K422" s="37">
        <f>Tableau!$G$36*COS(J422*PI()/180)+Tableau!$G$35</f>
        <v>-2424.8096254497277</v>
      </c>
      <c r="L422" s="37">
        <f>Tableau!$G$36*SIN(J422*PI()/180)+Tableau!$H$35</f>
        <v>-10714.16349648944</v>
      </c>
      <c r="N422" s="92">
        <v>418</v>
      </c>
      <c r="O422" s="93">
        <v>209</v>
      </c>
      <c r="P422" s="96">
        <f>P421+R421*Tableau!$G$2+((1/2)*T421)*Tableau!$G$2^2</f>
        <v>6517.3386451820379</v>
      </c>
      <c r="Q422" s="96">
        <f>Q421+S421*Tableau!$G$2+((1/2)*U421)*Tableau!$G$2^2</f>
        <v>-15787.958180520616</v>
      </c>
      <c r="R422" s="96">
        <f>R421+T421*Tableau!$G$2</f>
        <v>9610.7631569346195</v>
      </c>
      <c r="S422" s="96">
        <f>S421+U421*Tableau!$G$2</f>
        <v>-3354.5479153301935</v>
      </c>
      <c r="T422" s="96">
        <f t="shared" si="12"/>
        <v>-1483.4991667343684</v>
      </c>
      <c r="U422" s="96">
        <f t="shared" si="13"/>
        <v>718.01930329452239</v>
      </c>
      <c r="V422" s="96">
        <f>((Tableau!$G$16-P422)/(AC422^2+Tableau!$G$21^2)^(3/2))*Tableau!$G$20</f>
        <v>298.39776156549652</v>
      </c>
      <c r="W422" s="96">
        <f>((Tableau!$H$16-Q422)/(AC422^2+Tableau!$G$21^2)^(3/2))*Tableau!$G$20</f>
        <v>515.40822762080484</v>
      </c>
      <c r="X422" s="96">
        <f>((Tableau!$G$25-P422)/(AD422^2+Tableau!$G$30^2)^(3/2))*Tableau!$G$29</f>
        <v>-89.265051788390068</v>
      </c>
      <c r="Y422" s="96">
        <f>((Tableau!$H$25-Q422)/(AD422^2+Tableau!$G$30^2)^(3/2))*Tableau!$G$29</f>
        <v>86.809745627291932</v>
      </c>
      <c r="Z422" s="96">
        <f>((Tableau!$G$35-P422)/(AE422^2+Tableau!$G$40^2)^(3/2))*Tableau!$G$39</f>
        <v>-1692.631876511475</v>
      </c>
      <c r="AA422" s="97">
        <f>((Tableau!$H$35-Q422)/(AE422^2+Tableau!$G$40^2)^(3/2))*Tableau!$G$39</f>
        <v>115.80133004642568</v>
      </c>
      <c r="AC422" s="110">
        <f>SQRT((Tableau!$G$16-P422)^2+(Tableau!$H$16-Q422)^2)</f>
        <v>26909.313507155453</v>
      </c>
      <c r="AD422" s="111">
        <f>SQRT((Tableau!$G$25-P422)^2+(Tableau!$H$25-Q422)^2)</f>
        <v>36989.02588530205</v>
      </c>
      <c r="AE422" s="112">
        <f>SQRT((Tableau!$G$35-P422)^2+(Tableau!$H$35-Q422)^2)</f>
        <v>11544.261239336753</v>
      </c>
    </row>
    <row r="423" spans="2:31" x14ac:dyDescent="0.25">
      <c r="B423" s="18">
        <v>420</v>
      </c>
      <c r="C423" s="19">
        <f>Tableau!$G$17*COS(B423*PI()/180)+Tableau!$G$16</f>
        <v>22500</v>
      </c>
      <c r="D423" s="19">
        <f>Tableau!$G$17*SIN(B423*PI()/180)+Tableau!$H$16</f>
        <v>11830.127018922194</v>
      </c>
      <c r="F423" s="26">
        <v>420</v>
      </c>
      <c r="G423" s="27">
        <f>Tableau!$G$26*COS(F423*PI()/180)+Tableau!$G$25</f>
        <v>-18250</v>
      </c>
      <c r="H423" s="27">
        <f>Tableau!$G$26*SIN(F423*PI()/180)+Tableau!$H$25</f>
        <v>13031.088913245536</v>
      </c>
      <c r="J423" s="34">
        <v>420</v>
      </c>
      <c r="K423" s="35">
        <f>Tableau!$G$36*COS(J423*PI()/180)+Tableau!$G$35</f>
        <v>-2500.0000000000014</v>
      </c>
      <c r="L423" s="35">
        <f>Tableau!$G$36*SIN(J423*PI()/180)+Tableau!$H$35</f>
        <v>-10669.872981077806</v>
      </c>
      <c r="N423" s="98">
        <v>419</v>
      </c>
      <c r="O423" s="99">
        <v>209.5</v>
      </c>
      <c r="P423" s="101">
        <f>P422+R422*Tableau!$G$2+((1/2)*T422)*Tableau!$G$2^2</f>
        <v>11137.28282780755</v>
      </c>
      <c r="Q423" s="101">
        <f>Q422+S422*Tableau!$G$2+((1/2)*U422)*Tableau!$G$2^2</f>
        <v>-17375.479725273901</v>
      </c>
      <c r="R423" s="101">
        <f>R422+T422*Tableau!$G$2</f>
        <v>8869.0135735674357</v>
      </c>
      <c r="S423" s="101">
        <f>S422+U422*Tableau!$G$2</f>
        <v>-2995.5382636829322</v>
      </c>
      <c r="T423" s="101">
        <f t="shared" si="12"/>
        <v>-1075.5661762382003</v>
      </c>
      <c r="U423" s="101">
        <f t="shared" si="13"/>
        <v>822.23779604504716</v>
      </c>
      <c r="V423" s="101">
        <f>((Tableau!$G$16-P423)/(AC423^2+Tableau!$G$21^2)^(3/2))*Tableau!$G$20</f>
        <v>206.11159966918703</v>
      </c>
      <c r="W423" s="101">
        <f>((Tableau!$H$16-Q423)/(AC423^2+Tableau!$G$21^2)^(3/2))*Tableau!$G$20</f>
        <v>578.50485568934039</v>
      </c>
      <c r="X423" s="101">
        <f>((Tableau!$G$25-P423)/(AD423^2+Tableau!$G$30^2)^(3/2))*Tableau!$G$29</f>
        <v>-75.226263586667841</v>
      </c>
      <c r="Y423" s="101">
        <f>((Tableau!$H$25-Q423)/(AD423^2+Tableau!$G$30^2)^(3/2))*Tableau!$G$29</f>
        <v>66.137917846376823</v>
      </c>
      <c r="Z423" s="101">
        <f>((Tableau!$G$35-P423)/(AE423^2+Tableau!$G$40^2)^(3/2))*Tableau!$G$39</f>
        <v>-1206.4515123207195</v>
      </c>
      <c r="AA423" s="102">
        <f>((Tableau!$H$35-Q423)/(AE423^2+Tableau!$G$40^2)^(3/2))*Tableau!$G$39</f>
        <v>177.59502250932994</v>
      </c>
      <c r="AC423" s="113">
        <f>SQRT((Tableau!$G$16-P423)^2+(Tableau!$H$16-Q423)^2)</f>
        <v>26407.143867461087</v>
      </c>
      <c r="AD423" s="114">
        <f>SQRT((Tableau!$G$25-P423)^2+(Tableau!$H$25-Q423)^2)</f>
        <v>41460.189002074767</v>
      </c>
      <c r="AE423" s="115">
        <f>SQRT((Tableau!$G$35-P423)^2+(Tableau!$H$35-Q423)^2)</f>
        <v>16311.186375915144</v>
      </c>
    </row>
    <row r="424" spans="2:31" x14ac:dyDescent="0.25">
      <c r="B424" s="20">
        <v>421</v>
      </c>
      <c r="C424" s="21">
        <f>Tableau!$G$17*COS(B424*PI()/180)+Tableau!$G$16</f>
        <v>22424.048101231689</v>
      </c>
      <c r="D424" s="21">
        <f>Tableau!$G$17*SIN(B424*PI()/180)+Tableau!$H$16</f>
        <v>11873.098535696976</v>
      </c>
      <c r="F424" s="28">
        <v>421</v>
      </c>
      <c r="G424" s="29">
        <f>Tableau!$G$26*COS(F424*PI()/180)+Tableau!$G$25</f>
        <v>-18303.166329137817</v>
      </c>
      <c r="H424" s="29">
        <f>Tableau!$G$26*SIN(F424*PI()/180)+Tableau!$H$25</f>
        <v>13061.168974987884</v>
      </c>
      <c r="J424" s="36">
        <v>421</v>
      </c>
      <c r="K424" s="37">
        <f>Tableau!$G$36*COS(J424*PI()/180)+Tableau!$G$35</f>
        <v>-2575.9518987683114</v>
      </c>
      <c r="L424" s="37">
        <f>Tableau!$G$36*SIN(J424*PI()/180)+Tableau!$H$35</f>
        <v>-10626.901464303024</v>
      </c>
      <c r="N424" s="92">
        <v>420</v>
      </c>
      <c r="O424" s="93">
        <v>210</v>
      </c>
      <c r="P424" s="96">
        <f>P423+R423*Tableau!$G$2+((1/2)*T423)*Tableau!$G$2^2</f>
        <v>15437.343842561493</v>
      </c>
      <c r="Q424" s="96">
        <f>Q423+S423*Tableau!$G$2+((1/2)*U423)*Tableau!$G$2^2</f>
        <v>-18770.469132609735</v>
      </c>
      <c r="R424" s="96">
        <f>R423+T423*Tableau!$G$2</f>
        <v>8331.2304854483355</v>
      </c>
      <c r="S424" s="96">
        <f>S423+U423*Tableau!$G$2</f>
        <v>-2584.4193656604084</v>
      </c>
      <c r="T424" s="96">
        <f t="shared" si="12"/>
        <v>-833.49911124399341</v>
      </c>
      <c r="U424" s="96">
        <f t="shared" si="13"/>
        <v>809.02390943230421</v>
      </c>
      <c r="V424" s="96">
        <f>((Tableau!$G$16-P424)/(AC424^2+Tableau!$G$21^2)^(3/2))*Tableau!$G$20</f>
        <v>103.447720450308</v>
      </c>
      <c r="W424" s="96">
        <f>((Tableau!$H$16-Q424)/(AC424^2+Tableau!$G$21^2)^(3/2))*Tableau!$G$20</f>
        <v>595.62238598631097</v>
      </c>
      <c r="X424" s="96">
        <f>((Tableau!$G$25-P424)/(AD424^2+Tableau!$G$30^2)^(3/2))*Tableau!$G$29</f>
        <v>-64.625888564930676</v>
      </c>
      <c r="Y424" s="96">
        <f>((Tableau!$H$25-Q424)/(AD424^2+Tableau!$G$30^2)^(3/2))*Tableau!$G$29</f>
        <v>52.467734048727131</v>
      </c>
      <c r="Z424" s="96">
        <f>((Tableau!$G$35-P424)/(AE424^2+Tableau!$G$40^2)^(3/2))*Tableau!$G$39</f>
        <v>-872.32094312937079</v>
      </c>
      <c r="AA424" s="97">
        <f>((Tableau!$H$35-Q424)/(AE424^2+Tableau!$G$40^2)^(3/2))*Tableau!$G$39</f>
        <v>160.93378939726608</v>
      </c>
      <c r="AC424" s="110">
        <f>SQRT((Tableau!$G$16-P424)^2+(Tableau!$H$16-Q424)^2)</f>
        <v>26663.746542044919</v>
      </c>
      <c r="AD424" s="111">
        <f>SQRT((Tableau!$G$25-P424)^2+(Tableau!$H$25-Q424)^2)</f>
        <v>45645.867641292352</v>
      </c>
      <c r="AE424" s="112">
        <f>SQRT((Tableau!$G$35-P424)^2+(Tableau!$H$35-Q424)^2)</f>
        <v>20782.239071357279</v>
      </c>
    </row>
    <row r="425" spans="2:31" x14ac:dyDescent="0.25">
      <c r="B425" s="18">
        <v>422</v>
      </c>
      <c r="C425" s="19">
        <f>Tableau!$G$17*COS(B425*PI()/180)+Tableau!$G$16</f>
        <v>22347.357813929455</v>
      </c>
      <c r="D425" s="19">
        <f>Tableau!$G$17*SIN(B425*PI()/180)+Tableau!$H$16</f>
        <v>11914.737964294634</v>
      </c>
      <c r="F425" s="26">
        <v>422</v>
      </c>
      <c r="G425" s="27">
        <f>Tableau!$G$26*COS(F425*PI()/180)+Tableau!$G$25</f>
        <v>-18356.849530249383</v>
      </c>
      <c r="H425" s="27">
        <f>Tableau!$G$26*SIN(F425*PI()/180)+Tableau!$H$25</f>
        <v>13090.316575006244</v>
      </c>
      <c r="J425" s="34">
        <v>422</v>
      </c>
      <c r="K425" s="35">
        <f>Tableau!$G$36*COS(J425*PI()/180)+Tableau!$G$35</f>
        <v>-2652.6421860705459</v>
      </c>
      <c r="L425" s="35">
        <f>Tableau!$G$36*SIN(J425*PI()/180)+Tableau!$H$35</f>
        <v>-10585.262035705366</v>
      </c>
      <c r="N425" s="98">
        <v>421</v>
      </c>
      <c r="O425" s="99">
        <v>210.5</v>
      </c>
      <c r="P425" s="101">
        <f>P424+R424*Tableau!$G$2+((1/2)*T424)*Tableau!$G$2^2</f>
        <v>19498.771696380161</v>
      </c>
      <c r="Q425" s="101">
        <f>Q424+S424*Tableau!$G$2+((1/2)*U424)*Tableau!$G$2^2</f>
        <v>-19961.550826760904</v>
      </c>
      <c r="R425" s="101">
        <f>R424+T424*Tableau!$G$2</f>
        <v>7914.480929826339</v>
      </c>
      <c r="S425" s="101">
        <f>S424+U424*Tableau!$G$2</f>
        <v>-2179.9074109442563</v>
      </c>
      <c r="T425" s="101">
        <f t="shared" si="12"/>
        <v>-703.37842614398994</v>
      </c>
      <c r="U425" s="101">
        <f t="shared" si="13"/>
        <v>751.76252993015669</v>
      </c>
      <c r="V425" s="101">
        <f>((Tableau!$G$16-P425)/(AC425^2+Tableau!$G$21^2)^(3/2))*Tableau!$G$20</f>
        <v>10.508760552524388</v>
      </c>
      <c r="W425" s="101">
        <f>((Tableau!$H$16-Q425)/(AC425^2+Tableau!$G$21^2)^(3/2))*Tableau!$G$20</f>
        <v>575.75930959056518</v>
      </c>
      <c r="X425" s="101">
        <f>((Tableau!$G$25-P425)/(AD425^2+Tableau!$G$30^2)^(3/2))*Tableau!$G$29</f>
        <v>-56.517697650695673</v>
      </c>
      <c r="Y425" s="101">
        <f>((Tableau!$H$25-Q425)/(AD425^2+Tableau!$G$30^2)^(3/2))*Tableau!$G$29</f>
        <v>42.871152647210302</v>
      </c>
      <c r="Z425" s="101">
        <f>((Tableau!$G$35-P425)/(AE425^2+Tableau!$G$40^2)^(3/2))*Tableau!$G$39</f>
        <v>-657.36948904581868</v>
      </c>
      <c r="AA425" s="102">
        <f>((Tableau!$H$35-Q425)/(AE425^2+Tableau!$G$40^2)^(3/2))*Tableau!$G$39</f>
        <v>133.13206769238113</v>
      </c>
      <c r="AC425" s="113">
        <f>SQRT((Tableau!$G$16-P425)^2+(Tableau!$H$16-Q425)^2)</f>
        <v>27466.124656076296</v>
      </c>
      <c r="AD425" s="114">
        <f>SQRT((Tableau!$G$25-P425)^2+(Tableau!$H$25-Q425)^2)</f>
        <v>49576.682961522747</v>
      </c>
      <c r="AE425" s="115">
        <f>SQRT((Tableau!$G$35-P425)^2+(Tableau!$H$35-Q425)^2)</f>
        <v>24996.135726105535</v>
      </c>
    </row>
    <row r="426" spans="2:31" x14ac:dyDescent="0.25">
      <c r="B426" s="20">
        <v>423</v>
      </c>
      <c r="C426" s="21">
        <f>Tableau!$G$17*COS(B426*PI()/180)+Tableau!$G$16</f>
        <v>22269.952498697734</v>
      </c>
      <c r="D426" s="21">
        <f>Tableau!$G$17*SIN(B426*PI()/180)+Tableau!$H$16</f>
        <v>11955.032620941838</v>
      </c>
      <c r="F426" s="28">
        <v>423</v>
      </c>
      <c r="G426" s="29">
        <f>Tableau!$G$26*COS(F426*PI()/180)+Tableau!$G$25</f>
        <v>-18411.033250911587</v>
      </c>
      <c r="H426" s="29">
        <f>Tableau!$G$26*SIN(F426*PI()/180)+Tableau!$H$25</f>
        <v>13118.522834659287</v>
      </c>
      <c r="J426" s="36">
        <v>423</v>
      </c>
      <c r="K426" s="37">
        <f>Tableau!$G$36*COS(J426*PI()/180)+Tableau!$G$35</f>
        <v>-2730.0475013022647</v>
      </c>
      <c r="L426" s="37">
        <f>Tableau!$G$36*SIN(J426*PI()/180)+Tableau!$H$35</f>
        <v>-10544.967379058162</v>
      </c>
      <c r="N426" s="92">
        <v>422</v>
      </c>
      <c r="O426" s="93">
        <v>211</v>
      </c>
      <c r="P426" s="96">
        <f>P425+R425*Tableau!$G$2+((1/2)*T425)*Tableau!$G$2^2</f>
        <v>23368.089858025331</v>
      </c>
      <c r="Q426" s="96">
        <f>Q425+S425*Tableau!$G$2+((1/2)*U425)*Tableau!$G$2^2</f>
        <v>-20957.534215991764</v>
      </c>
      <c r="R426" s="96">
        <f>R425+T425*Tableau!$G$2</f>
        <v>7562.7917167543437</v>
      </c>
      <c r="S426" s="96">
        <f>S425+U425*Tableau!$G$2</f>
        <v>-1804.026145979178</v>
      </c>
      <c r="T426" s="96">
        <f t="shared" si="12"/>
        <v>-628.44994135296224</v>
      </c>
      <c r="U426" s="96">
        <f t="shared" si="13"/>
        <v>676.96008029506424</v>
      </c>
      <c r="V426" s="96">
        <f>((Tableau!$G$16-P426)/(AC426^2+Tableau!$G$21^2)^(3/2))*Tableau!$G$20</f>
        <v>-63.076687385251851</v>
      </c>
      <c r="W426" s="96">
        <f>((Tableau!$H$16-Q426)/(AC426^2+Tableau!$G$21^2)^(3/2))*Tableau!$G$20</f>
        <v>532.94510098065223</v>
      </c>
      <c r="X426" s="96">
        <f>((Tableau!$G$25-P426)/(AD426^2+Tableau!$G$30^2)^(3/2))*Tableau!$G$29</f>
        <v>-50.180054769975442</v>
      </c>
      <c r="Y426" s="96">
        <f>((Tableau!$H$25-Q426)/(AD426^2+Tableau!$G$30^2)^(3/2))*Tableau!$G$29</f>
        <v>35.820133365048065</v>
      </c>
      <c r="Z426" s="96">
        <f>((Tableau!$G$35-P426)/(AE426^2+Tableau!$G$40^2)^(3/2))*Tableau!$G$39</f>
        <v>-515.19319919773488</v>
      </c>
      <c r="AA426" s="97">
        <f>((Tableau!$H$35-Q426)/(AE426^2+Tableau!$G$40^2)^(3/2))*Tableau!$G$39</f>
        <v>108.19484594936399</v>
      </c>
      <c r="AC426" s="110">
        <f>SQRT((Tableau!$G$16-P426)^2+(Tableau!$H$16-Q426)^2)</f>
        <v>28656.15610904706</v>
      </c>
      <c r="AD426" s="111">
        <f>SQRT((Tableau!$G$25-P426)^2+(Tableau!$H$25-Q426)^2)</f>
        <v>53283.769974243187</v>
      </c>
      <c r="AE426" s="112">
        <f>SQRT((Tableau!$G$35-P426)^2+(Tableau!$H$35-Q426)^2)</f>
        <v>28986.906287627735</v>
      </c>
    </row>
    <row r="427" spans="2:31" x14ac:dyDescent="0.25">
      <c r="B427" s="18">
        <v>424</v>
      </c>
      <c r="C427" s="19">
        <f>Tableau!$G$17*COS(B427*PI()/180)+Tableau!$G$16</f>
        <v>22191.855733945391</v>
      </c>
      <c r="D427" s="19">
        <f>Tableau!$G$17*SIN(B427*PI()/180)+Tableau!$H$16</f>
        <v>11993.970231495834</v>
      </c>
      <c r="F427" s="26">
        <v>424</v>
      </c>
      <c r="G427" s="27">
        <f>Tableau!$G$26*COS(F427*PI()/180)+Tableau!$G$25</f>
        <v>-18465.700986238229</v>
      </c>
      <c r="H427" s="27">
        <f>Tableau!$G$26*SIN(F427*PI()/180)+Tableau!$H$25</f>
        <v>13145.779162047083</v>
      </c>
      <c r="J427" s="34">
        <v>424</v>
      </c>
      <c r="K427" s="35">
        <f>Tableau!$G$36*COS(J427*PI()/180)+Tableau!$G$35</f>
        <v>-2808.1442660546109</v>
      </c>
      <c r="L427" s="35">
        <f>Tableau!$G$36*SIN(J427*PI()/180)+Tableau!$H$35</f>
        <v>-10506.029768504166</v>
      </c>
      <c r="N427" s="98">
        <v>423</v>
      </c>
      <c r="O427" s="99">
        <v>211.5</v>
      </c>
      <c r="P427" s="101">
        <f>P426+R426*Tableau!$G$2+((1/2)*T426)*Tableau!$G$2^2</f>
        <v>27070.92947373338</v>
      </c>
      <c r="Q427" s="101">
        <f>Q426+S426*Tableau!$G$2+((1/2)*U426)*Tableau!$G$2^2</f>
        <v>-21774.927278944469</v>
      </c>
      <c r="R427" s="101">
        <f>R426+T426*Tableau!$G$2</f>
        <v>7248.5667460778623</v>
      </c>
      <c r="S427" s="101">
        <f>S426+U426*Tableau!$G$2</f>
        <v>-1465.5461058316459</v>
      </c>
      <c r="T427" s="101">
        <f t="shared" si="12"/>
        <v>-578.1920737733617</v>
      </c>
      <c r="U427" s="101">
        <f t="shared" si="13"/>
        <v>598.25851398462544</v>
      </c>
      <c r="V427" s="101">
        <f>((Tableau!$G$16-P427)/(AC427^2+Tableau!$G$21^2)^(3/2))*Tableau!$G$20</f>
        <v>-115.85595596061015</v>
      </c>
      <c r="W427" s="101">
        <f>((Tableau!$H$16-Q427)/(AC427^2+Tableau!$G$21^2)^(3/2))*Tableau!$G$20</f>
        <v>479.66461809280139</v>
      </c>
      <c r="X427" s="101">
        <f>((Tableau!$G$25-P427)/(AD427^2+Tableau!$G$30^2)^(3/2))*Tableau!$G$29</f>
        <v>-45.119486928936318</v>
      </c>
      <c r="Y427" s="101">
        <f>((Tableau!$H$25-Q427)/(AD427^2+Tableau!$G$30^2)^(3/2))*Tableau!$G$29</f>
        <v>30.457618578155667</v>
      </c>
      <c r="Z427" s="101">
        <f>((Tableau!$G$35-P427)/(AE427^2+Tableau!$G$40^2)^(3/2))*Tableau!$G$39</f>
        <v>-417.21663088381524</v>
      </c>
      <c r="AA427" s="102">
        <f>((Tableau!$H$35-Q427)/(AE427^2+Tableau!$G$40^2)^(3/2))*Tableau!$G$39</f>
        <v>88.136277313668373</v>
      </c>
      <c r="AC427" s="113">
        <f>SQRT((Tableau!$G$16-P427)^2+(Tableau!$H$16-Q427)^2)</f>
        <v>30116.762953710651</v>
      </c>
      <c r="AD427" s="114">
        <f>SQRT((Tableau!$G$25-P427)^2+(Tableau!$H$25-Q427)^2)</f>
        <v>56791.886789429627</v>
      </c>
      <c r="AE427" s="115">
        <f>SQRT((Tableau!$G$35-P427)^2+(Tableau!$H$35-Q427)^2)</f>
        <v>32778.714998366944</v>
      </c>
    </row>
    <row r="428" spans="2:31" x14ac:dyDescent="0.25">
      <c r="B428" s="20">
        <v>425</v>
      </c>
      <c r="C428" s="21">
        <f>Tableau!$G$17*COS(B428*PI()/180)+Tableau!$G$16</f>
        <v>22113.091308703501</v>
      </c>
      <c r="D428" s="21">
        <f>Tableau!$G$17*SIN(B428*PI()/180)+Tableau!$H$16</f>
        <v>12031.538935183249</v>
      </c>
      <c r="F428" s="28">
        <v>425</v>
      </c>
      <c r="G428" s="29">
        <f>Tableau!$G$26*COS(F428*PI()/180)+Tableau!$G$25</f>
        <v>-18520.83608390755</v>
      </c>
      <c r="H428" s="29">
        <f>Tableau!$G$26*SIN(F428*PI()/180)+Tableau!$H$25</f>
        <v>13172.077254628275</v>
      </c>
      <c r="J428" s="36">
        <v>425</v>
      </c>
      <c r="K428" s="37">
        <f>Tableau!$G$36*COS(J428*PI()/180)+Tableau!$G$35</f>
        <v>-2886.9086912964999</v>
      </c>
      <c r="L428" s="37">
        <f>Tableau!$G$36*SIN(J428*PI()/180)+Tableau!$H$35</f>
        <v>-10468.461064816751</v>
      </c>
      <c r="N428" s="92">
        <v>424</v>
      </c>
      <c r="O428" s="93">
        <v>212</v>
      </c>
      <c r="P428" s="96">
        <f>P427+R427*Tableau!$G$2+((1/2)*T427)*Tableau!$G$2^2</f>
        <v>30622.938837550642</v>
      </c>
      <c r="Q428" s="96">
        <f>Q427+S427*Tableau!$G$2+((1/2)*U427)*Tableau!$G$2^2</f>
        <v>-22432.918017612214</v>
      </c>
      <c r="R428" s="96">
        <f>R427+T427*Tableau!$G$2</f>
        <v>6959.4707091911814</v>
      </c>
      <c r="S428" s="96">
        <f>S427+U427*Tableau!$G$2</f>
        <v>-1166.4168488393332</v>
      </c>
      <c r="T428" s="96">
        <f t="shared" si="12"/>
        <v>-538.66103471756787</v>
      </c>
      <c r="U428" s="96">
        <f t="shared" si="13"/>
        <v>523.15013200352837</v>
      </c>
      <c r="V428" s="96">
        <f>((Tableau!$G$16-P428)/(AC428^2+Tableau!$G$21^2)^(3/2))*Tableau!$G$20</f>
        <v>-150.64265484567795</v>
      </c>
      <c r="W428" s="96">
        <f>((Tableau!$H$16-Q428)/(AC428^2+Tableau!$G$21^2)^(3/2))*Tableau!$G$20</f>
        <v>424.47521410099944</v>
      </c>
      <c r="X428" s="96">
        <f>((Tableau!$G$25-P428)/(AD428^2+Tableau!$G$30^2)^(3/2))*Tableau!$G$29</f>
        <v>-40.999850120305709</v>
      </c>
      <c r="Y428" s="96">
        <f>((Tableau!$H$25-Q428)/(AD428^2+Tableau!$G$30^2)^(3/2))*Tableau!$G$29</f>
        <v>26.267632978666519</v>
      </c>
      <c r="Z428" s="96">
        <f>((Tableau!$G$35-P428)/(AE428^2+Tableau!$G$40^2)^(3/2))*Tableau!$G$39</f>
        <v>-347.0185297515842</v>
      </c>
      <c r="AA428" s="97">
        <f>((Tableau!$H$35-Q428)/(AE428^2+Tableau!$G$40^2)^(3/2))*Tableau!$G$39</f>
        <v>72.407284923862335</v>
      </c>
      <c r="AC428" s="110">
        <f>SQRT((Tableau!$G$16-P428)^2+(Tableau!$H$16-Q428)^2)</f>
        <v>31762.027809877563</v>
      </c>
      <c r="AD428" s="111">
        <f>SQRT((Tableau!$G$25-P428)^2+(Tableau!$H$25-Q428)^2)</f>
        <v>60121.3448592723</v>
      </c>
      <c r="AE428" s="112">
        <f>SQRT((Tableau!$G$35-P428)^2+(Tableau!$H$35-Q428)^2)</f>
        <v>36390.136598815043</v>
      </c>
    </row>
    <row r="429" spans="2:31" x14ac:dyDescent="0.25">
      <c r="B429" s="18">
        <v>426</v>
      </c>
      <c r="C429" s="19">
        <f>Tableau!$G$17*COS(B429*PI()/180)+Tableau!$G$16</f>
        <v>22033.683215379002</v>
      </c>
      <c r="D429" s="19">
        <f>Tableau!$G$17*SIN(B429*PI()/180)+Tableau!$H$16</f>
        <v>12067.727288213006</v>
      </c>
      <c r="F429" s="26">
        <v>426</v>
      </c>
      <c r="G429" s="27">
        <f>Tableau!$G$26*COS(F429*PI()/180)+Tableau!$G$25</f>
        <v>-18576.421749234698</v>
      </c>
      <c r="H429" s="27">
        <f>Tableau!$G$26*SIN(F429*PI()/180)+Tableau!$H$25</f>
        <v>13197.409101749103</v>
      </c>
      <c r="J429" s="34">
        <v>426</v>
      </c>
      <c r="K429" s="35">
        <f>Tableau!$G$36*COS(J429*PI()/180)+Tableau!$G$35</f>
        <v>-2966.316784620999</v>
      </c>
      <c r="L429" s="35">
        <f>Tableau!$G$36*SIN(J429*PI()/180)+Tableau!$H$35</f>
        <v>-10432.272711786994</v>
      </c>
      <c r="N429" s="98">
        <v>425</v>
      </c>
      <c r="O429" s="99">
        <v>212.5</v>
      </c>
      <c r="P429" s="101">
        <f>P428+R428*Tableau!$G$2+((1/2)*T428)*Tableau!$G$2^2</f>
        <v>34035.341562806534</v>
      </c>
      <c r="Q429" s="101">
        <f>Q428+S428*Tableau!$G$2+((1/2)*U428)*Tableau!$G$2^2</f>
        <v>-22950.732675531439</v>
      </c>
      <c r="R429" s="101">
        <f>R428+T428*Tableau!$G$2</f>
        <v>6690.1401918323972</v>
      </c>
      <c r="S429" s="101">
        <f>S428+U428*Tableau!$G$2</f>
        <v>-904.84178283756899</v>
      </c>
      <c r="T429" s="101">
        <f t="shared" si="12"/>
        <v>-504.13257493584257</v>
      </c>
      <c r="U429" s="101">
        <f t="shared" si="13"/>
        <v>455.2215352268272</v>
      </c>
      <c r="V429" s="101">
        <f>((Tableau!$G$16-P429)/(AC429^2+Tableau!$G$21^2)^(3/2))*Tableau!$G$20</f>
        <v>-171.56269519551446</v>
      </c>
      <c r="W429" s="101">
        <f>((Tableau!$H$16-Q429)/(AC429^2+Tableau!$G$21^2)^(3/2))*Tableau!$G$20</f>
        <v>372.21821393619513</v>
      </c>
      <c r="X429" s="101">
        <f>((Tableau!$G$25-P429)/(AD429^2+Tableau!$G$30^2)^(3/2))*Tableau!$G$29</f>
        <v>-37.588380338093806</v>
      </c>
      <c r="Y429" s="101">
        <f>((Tableau!$H$25-Q429)/(AD429^2+Tableau!$G$30^2)^(3/2))*Tableau!$G$29</f>
        <v>22.921381384942642</v>
      </c>
      <c r="Z429" s="101">
        <f>((Tableau!$G$35-P429)/(AE429^2+Tableau!$G$40^2)^(3/2))*Tableau!$G$39</f>
        <v>-294.98149940223431</v>
      </c>
      <c r="AA429" s="102">
        <f>((Tableau!$H$35-Q429)/(AE429^2+Tableau!$G$40^2)^(3/2))*Tableau!$G$39</f>
        <v>60.081939905689403</v>
      </c>
      <c r="AC429" s="113">
        <f>SQRT((Tableau!$G$16-P429)^2+(Tableau!$H$16-Q429)^2)</f>
        <v>33529.657517805375</v>
      </c>
      <c r="AD429" s="114">
        <f>SQRT((Tableau!$G$25-P429)^2+(Tableau!$H$25-Q429)^2)</f>
        <v>63289.564081793949</v>
      </c>
      <c r="AE429" s="115">
        <f>SQRT((Tableau!$G$35-P429)^2+(Tableau!$H$35-Q429)^2)</f>
        <v>39836.817656569088</v>
      </c>
    </row>
    <row r="430" spans="2:31" x14ac:dyDescent="0.25">
      <c r="B430" s="20">
        <v>427</v>
      </c>
      <c r="C430" s="21">
        <f>Tableau!$G$17*COS(B430*PI()/180)+Tableau!$G$16</f>
        <v>21953.655642446367</v>
      </c>
      <c r="D430" s="21">
        <f>Tableau!$G$17*SIN(B430*PI()/180)+Tableau!$H$16</f>
        <v>12102.524267262203</v>
      </c>
      <c r="F430" s="28">
        <v>427</v>
      </c>
      <c r="G430" s="29">
        <f>Tableau!$G$26*COS(F430*PI()/180)+Tableau!$G$25</f>
        <v>-18632.441050287543</v>
      </c>
      <c r="H430" s="29">
        <f>Tableau!$G$26*SIN(F430*PI()/180)+Tableau!$H$25</f>
        <v>13221.766987083542</v>
      </c>
      <c r="J430" s="36">
        <v>427</v>
      </c>
      <c r="K430" s="37">
        <f>Tableau!$G$36*COS(J430*PI()/180)+Tableau!$G$35</f>
        <v>-3046.3443575536344</v>
      </c>
      <c r="L430" s="37">
        <f>Tableau!$G$36*SIN(J430*PI()/180)+Tableau!$H$35</f>
        <v>-10397.475732737797</v>
      </c>
      <c r="N430" s="92">
        <v>426</v>
      </c>
      <c r="O430" s="93">
        <v>213</v>
      </c>
      <c r="P430" s="96">
        <f>P429+R429*Tableau!$G$2+((1/2)*T429)*Tableau!$G$2^2</f>
        <v>37317.395086855751</v>
      </c>
      <c r="Q430" s="96">
        <f>Q429+S429*Tableau!$G$2+((1/2)*U429)*Tableau!$G$2^2</f>
        <v>-23346.25087504687</v>
      </c>
      <c r="R430" s="96">
        <f>R429+T429*Tableau!$G$2</f>
        <v>6438.0739043644762</v>
      </c>
      <c r="S430" s="96">
        <f>S429+U429*Tableau!$G$2</f>
        <v>-677.23101522415539</v>
      </c>
      <c r="T430" s="96">
        <f t="shared" si="12"/>
        <v>-472.50799160363488</v>
      </c>
      <c r="U430" s="96">
        <f t="shared" si="13"/>
        <v>395.65805270632518</v>
      </c>
      <c r="V430" s="96">
        <f>((Tableau!$G$16-P430)/(AC430^2+Tableau!$G$21^2)^(3/2))*Tableau!$G$20</f>
        <v>-182.52120794291855</v>
      </c>
      <c r="W430" s="96">
        <f>((Tableau!$H$16-Q430)/(AC430^2+Tableau!$G$21^2)^(3/2))*Tableau!$G$20</f>
        <v>325.11211657330711</v>
      </c>
      <c r="X430" s="96">
        <f>((Tableau!$G$25-P430)/(AD430^2+Tableau!$G$30^2)^(3/2))*Tableau!$G$29</f>
        <v>-34.720618860518094</v>
      </c>
      <c r="Y430" s="96">
        <f>((Tableau!$H$25-Q430)/(AD430^2+Tableau!$G$30^2)^(3/2))*Tableau!$G$29</f>
        <v>20.199844485347732</v>
      </c>
      <c r="Z430" s="96">
        <f>((Tableau!$G$35-P430)/(AE430^2+Tableau!$G$40^2)^(3/2))*Tableau!$G$39</f>
        <v>-255.26616480019823</v>
      </c>
      <c r="AA430" s="97">
        <f>((Tableau!$H$35-Q430)/(AE430^2+Tableau!$G$40^2)^(3/2))*Tableau!$G$39</f>
        <v>50.346091647670313</v>
      </c>
      <c r="AC430" s="110">
        <f>SQRT((Tableau!$G$16-P430)^2+(Tableau!$H$16-Q430)^2)</f>
        <v>35374.897394064414</v>
      </c>
      <c r="AD430" s="111">
        <f>SQRT((Tableau!$G$25-P430)^2+(Tableau!$H$25-Q430)^2)</f>
        <v>66311.810614431874</v>
      </c>
      <c r="AE430" s="112">
        <f>SQRT((Tableau!$G$35-P430)^2+(Tableau!$H$35-Q430)^2)</f>
        <v>43132.607509936883</v>
      </c>
    </row>
    <row r="431" spans="2:31" x14ac:dyDescent="0.25">
      <c r="B431" s="18">
        <v>428</v>
      </c>
      <c r="C431" s="19">
        <f>Tableau!$G$17*COS(B431*PI()/180)+Tableau!$G$16</f>
        <v>21873.032967079562</v>
      </c>
      <c r="D431" s="19">
        <f>Tableau!$G$17*SIN(B431*PI()/180)+Tableau!$H$16</f>
        <v>12135.919272833937</v>
      </c>
      <c r="F431" s="26">
        <v>428</v>
      </c>
      <c r="G431" s="27">
        <f>Tableau!$G$26*COS(F431*PI()/180)+Tableau!$G$25</f>
        <v>-18688.876923044307</v>
      </c>
      <c r="H431" s="27">
        <f>Tableau!$G$26*SIN(F431*PI()/180)+Tableau!$H$25</f>
        <v>13245.143490983755</v>
      </c>
      <c r="J431" s="34">
        <v>428</v>
      </c>
      <c r="K431" s="35">
        <f>Tableau!$G$36*COS(J431*PI()/180)+Tableau!$G$35</f>
        <v>-3126.9670329204382</v>
      </c>
      <c r="L431" s="35">
        <f>Tableau!$G$36*SIN(J431*PI()/180)+Tableau!$H$35</f>
        <v>-10364.080727166063</v>
      </c>
      <c r="N431" s="98">
        <v>427</v>
      </c>
      <c r="O431" s="99">
        <v>213.5</v>
      </c>
      <c r="P431" s="101">
        <f>P430+R430*Tableau!$G$2+((1/2)*T430)*Tableau!$G$2^2</f>
        <v>40477.368540087533</v>
      </c>
      <c r="Q431" s="101">
        <f>Q430+S430*Tableau!$G$2+((1/2)*U430)*Tableau!$G$2^2</f>
        <v>-23635.409126070655</v>
      </c>
      <c r="R431" s="101">
        <f>R430+T430*Tableau!$G$2</f>
        <v>6201.8199085626584</v>
      </c>
      <c r="S431" s="101">
        <f>S430+U430*Tableau!$G$2</f>
        <v>-479.4019888709928</v>
      </c>
      <c r="T431" s="101">
        <f t="shared" si="12"/>
        <v>-443.12739100314923</v>
      </c>
      <c r="U431" s="101">
        <f t="shared" si="13"/>
        <v>344.33145975625069</v>
      </c>
      <c r="V431" s="101">
        <f>((Tableau!$G$16-P431)/(AC431^2+Tableau!$G$21^2)^(3/2))*Tableau!$G$20</f>
        <v>-186.6577779643878</v>
      </c>
      <c r="W431" s="101">
        <f>((Tableau!$H$16-Q431)/(AC431^2+Tableau!$G$21^2)^(3/2))*Tableau!$G$20</f>
        <v>283.80923418491284</v>
      </c>
      <c r="X431" s="101">
        <f>((Tableau!$G$25-P431)/(AD431^2+Tableau!$G$30^2)^(3/2))*Tableau!$G$29</f>
        <v>-32.27800215657404</v>
      </c>
      <c r="Y431" s="101">
        <f>((Tableau!$H$25-Q431)/(AD431^2+Tableau!$G$30^2)^(3/2))*Tableau!$G$29</f>
        <v>17.951902249002639</v>
      </c>
      <c r="Z431" s="101">
        <f>((Tableau!$G$35-P431)/(AE431^2+Tableau!$G$40^2)^(3/2))*Tableau!$G$39</f>
        <v>-224.19161088218738</v>
      </c>
      <c r="AA431" s="102">
        <f>((Tableau!$H$35-Q431)/(AE431^2+Tableau!$G$40^2)^(3/2))*Tableau!$G$39</f>
        <v>42.57032332233522</v>
      </c>
      <c r="AC431" s="113">
        <f>SQRT((Tableau!$G$16-P431)^2+(Tableau!$H$16-Q431)^2)</f>
        <v>37265.752692980328</v>
      </c>
      <c r="AD431" s="114">
        <f>SQRT((Tableau!$G$25-P431)^2+(Tableau!$H$25-Q431)^2)</f>
        <v>69201.537935306944</v>
      </c>
      <c r="AE431" s="115">
        <f>SQRT((Tableau!$G$35-P431)^2+(Tableau!$H$35-Q431)^2)</f>
        <v>46289.970189076244</v>
      </c>
    </row>
    <row r="432" spans="2:31" x14ac:dyDescent="0.25">
      <c r="B432" s="20">
        <v>429</v>
      </c>
      <c r="C432" s="21">
        <f>Tableau!$G$17*COS(B432*PI()/180)+Tableau!$G$16</f>
        <v>21791.839747726499</v>
      </c>
      <c r="D432" s="21">
        <f>Tableau!$G$17*SIN(B432*PI()/180)+Tableau!$H$16</f>
        <v>12167.90213248601</v>
      </c>
      <c r="F432" s="28">
        <v>429</v>
      </c>
      <c r="G432" s="29">
        <f>Tableau!$G$26*COS(F432*PI()/180)+Tableau!$G$25</f>
        <v>-18745.712176591449</v>
      </c>
      <c r="H432" s="29">
        <f>Tableau!$G$26*SIN(F432*PI()/180)+Tableau!$H$25</f>
        <v>13267.531492740207</v>
      </c>
      <c r="J432" s="36">
        <v>429</v>
      </c>
      <c r="K432" s="37">
        <f>Tableau!$G$36*COS(J432*PI()/180)+Tableau!$G$35</f>
        <v>-3208.1602522735002</v>
      </c>
      <c r="L432" s="37">
        <f>Tableau!$G$36*SIN(J432*PI()/180)+Tableau!$H$35</f>
        <v>-10332.09786751399</v>
      </c>
      <c r="N432" s="92">
        <v>428</v>
      </c>
      <c r="O432" s="93">
        <v>214</v>
      </c>
      <c r="P432" s="96">
        <f>P431+R431*Tableau!$G$2+((1/2)*T431)*Tableau!$G$2^2</f>
        <v>43522.887570493469</v>
      </c>
      <c r="Q432" s="96">
        <f>Q431+S431*Tableau!$G$2+((1/2)*U431)*Tableau!$G$2^2</f>
        <v>-23832.068688036623</v>
      </c>
      <c r="R432" s="96">
        <f>R431+T431*Tableau!$G$2</f>
        <v>5980.2562130610841</v>
      </c>
      <c r="S432" s="96">
        <f>S431+U431*Tableau!$G$2</f>
        <v>-307.23625899286742</v>
      </c>
      <c r="T432" s="96">
        <f t="shared" si="12"/>
        <v>-415.82410737718226</v>
      </c>
      <c r="U432" s="96">
        <f t="shared" si="13"/>
        <v>300.49909346068085</v>
      </c>
      <c r="V432" s="96">
        <f>((Tableau!$G$16-P432)/(AC432^2+Tableau!$G$21^2)^(3/2))*Tableau!$G$20</f>
        <v>-186.29566589909504</v>
      </c>
      <c r="W432" s="96">
        <f>((Tableau!$H$16-Q432)/(AC432^2+Tableau!$G$21^2)^(3/2))*Tableau!$G$20</f>
        <v>248.14252003464881</v>
      </c>
      <c r="X432" s="96">
        <f>((Tableau!$G$25-P432)/(AD432^2+Tableau!$G$30^2)^(3/2))*Tableau!$G$29</f>
        <v>-30.173393019575613</v>
      </c>
      <c r="Y432" s="96">
        <f>((Tableau!$H$25-Q432)/(AD432^2+Tableau!$G$30^2)^(3/2))*Tableau!$G$29</f>
        <v>16.070244036947468</v>
      </c>
      <c r="Z432" s="96">
        <f>((Tableau!$G$35-P432)/(AE432^2+Tableau!$G$40^2)^(3/2))*Tableau!$G$39</f>
        <v>-199.35504845851162</v>
      </c>
      <c r="AA432" s="97">
        <f>((Tableau!$H$35-Q432)/(AE432^2+Tableau!$G$40^2)^(3/2))*Tableau!$G$39</f>
        <v>36.286329389084578</v>
      </c>
      <c r="AC432" s="110">
        <f>SQRT((Tableau!$G$16-P432)^2+(Tableau!$H$16-Q432)^2)</f>
        <v>39179.392133185538</v>
      </c>
      <c r="AD432" s="111">
        <f>SQRT((Tableau!$G$25-P432)^2+(Tableau!$H$25-Q432)^2)</f>
        <v>71970.592029005726</v>
      </c>
      <c r="AE432" s="112">
        <f>SQRT((Tableau!$G$35-P432)^2+(Tableau!$H$35-Q432)^2)</f>
        <v>49320.138437447094</v>
      </c>
    </row>
    <row r="433" spans="2:31" x14ac:dyDescent="0.25">
      <c r="B433" s="18">
        <v>430</v>
      </c>
      <c r="C433" s="19">
        <f>Tableau!$G$17*COS(B433*PI()/180)+Tableau!$G$16</f>
        <v>21710.100716628349</v>
      </c>
      <c r="D433" s="19">
        <f>Tableau!$G$17*SIN(B433*PI()/180)+Tableau!$H$16</f>
        <v>12198.463103929542</v>
      </c>
      <c r="F433" s="26">
        <v>430</v>
      </c>
      <c r="G433" s="27">
        <f>Tableau!$G$26*COS(F433*PI()/180)+Tableau!$G$25</f>
        <v>-18802.929498360158</v>
      </c>
      <c r="H433" s="27">
        <f>Tableau!$G$26*SIN(F433*PI()/180)+Tableau!$H$25</f>
        <v>13288.924172750678</v>
      </c>
      <c r="J433" s="34">
        <v>430</v>
      </c>
      <c r="K433" s="35">
        <f>Tableau!$G$36*COS(J433*PI()/180)+Tableau!$G$35</f>
        <v>-3289.8992833716525</v>
      </c>
      <c r="L433" s="35">
        <f>Tableau!$G$36*SIN(J433*PI()/180)+Tableau!$H$35</f>
        <v>-10301.536896070458</v>
      </c>
      <c r="N433" s="98">
        <v>429</v>
      </c>
      <c r="O433" s="99">
        <v>214.5</v>
      </c>
      <c r="P433" s="101">
        <f>P432+R432*Tableau!$G$2+((1/2)*T432)*Tableau!$G$2^2</f>
        <v>46461.037663601863</v>
      </c>
      <c r="Q433" s="101">
        <f>Q432+S432*Tableau!$G$2+((1/2)*U432)*Tableau!$G$2^2</f>
        <v>-23948.124430850472</v>
      </c>
      <c r="R433" s="101">
        <f>R432+T432*Tableau!$G$2</f>
        <v>5772.3441593724929</v>
      </c>
      <c r="S433" s="101">
        <f>S432+U432*Tableau!$G$2</f>
        <v>-156.98671226252699</v>
      </c>
      <c r="T433" s="101">
        <f t="shared" si="12"/>
        <v>-390.55382863057014</v>
      </c>
      <c r="U433" s="101">
        <f t="shared" si="13"/>
        <v>263.20386518750178</v>
      </c>
      <c r="V433" s="101">
        <f>((Tableau!$G$16-P433)/(AC433^2+Tableau!$G$21^2)^(3/2))*Tableau!$G$20</f>
        <v>-183.07443466537106</v>
      </c>
      <c r="W433" s="101">
        <f>((Tableau!$H$16-Q433)/(AC433^2+Tableau!$G$21^2)^(3/2))*Tableau!$G$20</f>
        <v>217.57830039234022</v>
      </c>
      <c r="X433" s="101">
        <f>((Tableau!$G$25-P433)/(AD433^2+Tableau!$G$30^2)^(3/2))*Tableau!$G$29</f>
        <v>-28.341582870698584</v>
      </c>
      <c r="Y433" s="101">
        <f>((Tableau!$H$25-Q433)/(AD433^2+Tableau!$G$30^2)^(3/2))*Tableau!$G$29</f>
        <v>14.476806497239879</v>
      </c>
      <c r="Z433" s="101">
        <f>((Tableau!$G$35-P433)/(AE433^2+Tableau!$G$40^2)^(3/2))*Tableau!$G$39</f>
        <v>-179.13781109450053</v>
      </c>
      <c r="AA433" s="102">
        <f>((Tableau!$H$35-Q433)/(AE433^2+Tableau!$G$40^2)^(3/2))*Tableau!$G$39</f>
        <v>31.148758297921653</v>
      </c>
      <c r="AC433" s="113">
        <f>SQRT((Tableau!$G$16-P433)^2+(Tableau!$H$16-Q433)^2)</f>
        <v>41099.526085501406</v>
      </c>
      <c r="AD433" s="114">
        <f>SQRT((Tableau!$G$25-P433)^2+(Tableau!$H$25-Q433)^2)</f>
        <v>74629.382147350057</v>
      </c>
      <c r="AE433" s="115">
        <f>SQRT((Tableau!$G$35-P433)^2+(Tableau!$H$35-Q433)^2)</f>
        <v>52233.201397622877</v>
      </c>
    </row>
    <row r="434" spans="2:31" x14ac:dyDescent="0.25">
      <c r="B434" s="20">
        <v>431</v>
      </c>
      <c r="C434" s="21">
        <f>Tableau!$G$17*COS(B434*PI()/180)+Tableau!$G$16</f>
        <v>21627.840772285785</v>
      </c>
      <c r="D434" s="21">
        <f>Tableau!$G$17*SIN(B434*PI()/180)+Tableau!$H$16</f>
        <v>12227.592877996583</v>
      </c>
      <c r="F434" s="28">
        <v>431</v>
      </c>
      <c r="G434" s="29">
        <f>Tableau!$G$26*COS(F434*PI()/180)+Tableau!$G$25</f>
        <v>-18860.51145939995</v>
      </c>
      <c r="H434" s="29">
        <f>Tableau!$G$26*SIN(F434*PI()/180)+Tableau!$H$25</f>
        <v>13309.315014597609</v>
      </c>
      <c r="J434" s="36">
        <v>431</v>
      </c>
      <c r="K434" s="37">
        <f>Tableau!$G$36*COS(J434*PI()/180)+Tableau!$G$35</f>
        <v>-3372.1592277142163</v>
      </c>
      <c r="L434" s="37">
        <f>Tableau!$G$36*SIN(J434*PI()/180)+Tableau!$H$35</f>
        <v>-10272.407122003417</v>
      </c>
      <c r="N434" s="92">
        <v>430</v>
      </c>
      <c r="O434" s="93">
        <v>215</v>
      </c>
      <c r="P434" s="96">
        <f>P433+R433*Tableau!$G$2+((1/2)*T433)*Tableau!$G$2^2</f>
        <v>49298.390514709288</v>
      </c>
      <c r="Q434" s="96">
        <f>Q433+S433*Tableau!$G$2+((1/2)*U433)*Tableau!$G$2^2</f>
        <v>-23993.717303833299</v>
      </c>
      <c r="R434" s="96">
        <f>R433+T433*Tableau!$G$2</f>
        <v>5577.0672450572074</v>
      </c>
      <c r="S434" s="96">
        <f>S433+U433*Tableau!$G$2</f>
        <v>-25.384779668776105</v>
      </c>
      <c r="T434" s="96">
        <f t="shared" si="12"/>
        <v>-367.26897663102011</v>
      </c>
      <c r="U434" s="96">
        <f t="shared" si="13"/>
        <v>231.47979651966642</v>
      </c>
      <c r="V434" s="96">
        <f>((Tableau!$G$16-P434)/(AC434^2+Tableau!$G$21^2)^(3/2))*Tableau!$G$20</f>
        <v>-178.11766112708665</v>
      </c>
      <c r="W434" s="96">
        <f>((Tableau!$H$16-Q434)/(AC434^2+Tableau!$G$21^2)^(3/2))*Tableau!$G$20</f>
        <v>191.46400767441972</v>
      </c>
      <c r="X434" s="96">
        <f>((Tableau!$G$25-P434)/(AD434^2+Tableau!$G$30^2)^(3/2))*Tableau!$G$29</f>
        <v>-26.732946054387174</v>
      </c>
      <c r="Y434" s="96">
        <f>((Tableau!$H$25-Q434)/(AD434^2+Tableau!$G$30^2)^(3/2))*Tableau!$G$29</f>
        <v>13.113612078459044</v>
      </c>
      <c r="Z434" s="96">
        <f>((Tableau!$G$35-P434)/(AE434^2+Tableau!$G$40^2)^(3/2))*Tableau!$G$39</f>
        <v>-162.4183694495463</v>
      </c>
      <c r="AA434" s="97">
        <f>((Tableau!$H$35-Q434)/(AE434^2+Tableau!$G$40^2)^(3/2))*Tableau!$G$39</f>
        <v>26.902176766787633</v>
      </c>
      <c r="AC434" s="110">
        <f>SQRT((Tableau!$G$16-P434)^2+(Tableau!$H$16-Q434)^2)</f>
        <v>43014.531455848453</v>
      </c>
      <c r="AD434" s="111">
        <f>SQRT((Tableau!$G$25-P434)^2+(Tableau!$H$25-Q434)^2)</f>
        <v>77187.043887313674</v>
      </c>
      <c r="AE434" s="112">
        <f>SQRT((Tableau!$G$35-P434)^2+(Tableau!$H$35-Q434)^2)</f>
        <v>55038.188228076164</v>
      </c>
    </row>
    <row r="435" spans="2:31" x14ac:dyDescent="0.25">
      <c r="B435" s="18">
        <v>432</v>
      </c>
      <c r="C435" s="19">
        <f>Tableau!$G$17*COS(B435*PI()/180)+Tableau!$G$16</f>
        <v>21545.084971874738</v>
      </c>
      <c r="D435" s="19">
        <f>Tableau!$G$17*SIN(B435*PI()/180)+Tableau!$H$16</f>
        <v>12255.282581475767</v>
      </c>
      <c r="F435" s="26">
        <v>432</v>
      </c>
      <c r="G435" s="27">
        <f>Tableau!$G$26*COS(F435*PI()/180)+Tableau!$G$25</f>
        <v>-18918.440519687683</v>
      </c>
      <c r="H435" s="27">
        <f>Tableau!$G$26*SIN(F435*PI()/180)+Tableau!$H$25</f>
        <v>13328.697807033037</v>
      </c>
      <c r="J435" s="34">
        <v>432</v>
      </c>
      <c r="K435" s="35">
        <f>Tableau!$G$36*COS(J435*PI()/180)+Tableau!$G$35</f>
        <v>-3454.9150281252614</v>
      </c>
      <c r="L435" s="35">
        <f>Tableau!$G$36*SIN(J435*PI()/180)+Tableau!$H$35</f>
        <v>-10244.717418524233</v>
      </c>
      <c r="N435" s="98">
        <v>431</v>
      </c>
      <c r="O435" s="99">
        <v>215.5</v>
      </c>
      <c r="P435" s="101">
        <f>P434+R434*Tableau!$G$2+((1/2)*T434)*Tableau!$G$2^2</f>
        <v>52041.015515159015</v>
      </c>
      <c r="Q435" s="101">
        <f>Q434+S434*Tableau!$G$2+((1/2)*U434)*Tableau!$G$2^2</f>
        <v>-23977.474719102727</v>
      </c>
      <c r="R435" s="101">
        <f>R434+T434*Tableau!$G$2</f>
        <v>5393.4327567416976</v>
      </c>
      <c r="S435" s="101">
        <f>S434+U434*Tableau!$G$2</f>
        <v>90.355118591057106</v>
      </c>
      <c r="T435" s="101">
        <f t="shared" si="12"/>
        <v>-345.88905312838892</v>
      </c>
      <c r="U435" s="101">
        <f t="shared" si="13"/>
        <v>204.4445952411175</v>
      </c>
      <c r="V435" s="101">
        <f>((Tableau!$G$16-P435)/(AC435^2+Tableau!$G$21^2)^(3/2))*Tableau!$G$20</f>
        <v>-172.17998263496116</v>
      </c>
      <c r="W435" s="101">
        <f>((Tableau!$H$16-Q435)/(AC435^2+Tableau!$G$21^2)^(3/2))*Tableau!$G$20</f>
        <v>169.15166274812242</v>
      </c>
      <c r="X435" s="101">
        <f>((Tableau!$G$25-P435)/(AD435^2+Tableau!$G$30^2)^(3/2))*Tableau!$G$29</f>
        <v>-25.309124784532894</v>
      </c>
      <c r="Y435" s="101">
        <f>((Tableau!$H$25-Q435)/(AD435^2+Tableau!$G$30^2)^(3/2))*Tableau!$G$29</f>
        <v>11.936813235900766</v>
      </c>
      <c r="Z435" s="101">
        <f>((Tableau!$G$35-P435)/(AE435^2+Tableau!$G$40^2)^(3/2))*Tableau!$G$39</f>
        <v>-148.39994570889485</v>
      </c>
      <c r="AA435" s="102">
        <f>((Tableau!$H$35-Q435)/(AE435^2+Tableau!$G$40^2)^(3/2))*Tableau!$G$39</f>
        <v>23.35611925709431</v>
      </c>
      <c r="AC435" s="113">
        <f>SQRT((Tableau!$G$16-P435)^2+(Tableau!$H$16-Q435)^2)</f>
        <v>44916.122828383261</v>
      </c>
      <c r="AD435" s="114">
        <f>SQRT((Tableau!$G$25-P435)^2+(Tableau!$H$25-Q435)^2)</f>
        <v>79651.595745111394</v>
      </c>
      <c r="AE435" s="115">
        <f>SQRT((Tableau!$G$35-P435)^2+(Tableau!$H$35-Q435)^2)</f>
        <v>57743.159796920881</v>
      </c>
    </row>
    <row r="436" spans="2:31" x14ac:dyDescent="0.25">
      <c r="B436" s="20">
        <v>433</v>
      </c>
      <c r="C436" s="21">
        <f>Tableau!$G$17*COS(B436*PI()/180)+Tableau!$G$16</f>
        <v>21461.858523613682</v>
      </c>
      <c r="D436" s="21">
        <f>Tableau!$G$17*SIN(B436*PI()/180)+Tableau!$H$16</f>
        <v>12281.523779815177</v>
      </c>
      <c r="F436" s="28">
        <v>433</v>
      </c>
      <c r="G436" s="29">
        <f>Tableau!$G$26*COS(F436*PI()/180)+Tableau!$G$25</f>
        <v>-18976.699033470424</v>
      </c>
      <c r="H436" s="29">
        <f>Tableau!$G$26*SIN(F436*PI()/180)+Tableau!$H$25</f>
        <v>13347.066645870626</v>
      </c>
      <c r="J436" s="36">
        <v>433</v>
      </c>
      <c r="K436" s="37">
        <f>Tableau!$G$36*COS(J436*PI()/180)+Tableau!$G$35</f>
        <v>-3538.1414763863186</v>
      </c>
      <c r="L436" s="37">
        <f>Tableau!$G$36*SIN(J436*PI()/180)+Tableau!$H$35</f>
        <v>-10218.476220184823</v>
      </c>
      <c r="N436" s="92">
        <v>432</v>
      </c>
      <c r="O436" s="93">
        <v>216</v>
      </c>
      <c r="P436" s="96">
        <f>P435+R435*Tableau!$G$2+((1/2)*T435)*Tableau!$G$2^2</f>
        <v>54694.495761888815</v>
      </c>
      <c r="Q436" s="96">
        <f>Q435+S435*Tableau!$G$2+((1/2)*U435)*Tableau!$G$2^2</f>
        <v>-23906.741585402062</v>
      </c>
      <c r="R436" s="96">
        <f>R435+T435*Tableau!$G$2</f>
        <v>5220.4882301775033</v>
      </c>
      <c r="S436" s="96">
        <f>S435+U435*Tableau!$G$2</f>
        <v>192.57741621161585</v>
      </c>
      <c r="T436" s="96">
        <f t="shared" si="12"/>
        <v>-326.30383589662642</v>
      </c>
      <c r="U436" s="96">
        <f t="shared" si="13"/>
        <v>181.33196819101047</v>
      </c>
      <c r="V436" s="96">
        <f>((Tableau!$G$16-P436)/(AC436^2+Tableau!$G$21^2)^(3/2))*Tableau!$G$20</f>
        <v>-165.76008600459659</v>
      </c>
      <c r="W436" s="96">
        <f>((Tableau!$H$16-Q436)/(AC436^2+Tableau!$G$21^2)^(3/2))*Tableau!$G$20</f>
        <v>150.05216452919464</v>
      </c>
      <c r="X436" s="96">
        <f>((Tableau!$G$25-P436)/(AD436^2+Tableau!$G$30^2)^(3/2))*Tableau!$G$29</f>
        <v>-24.040044087431255</v>
      </c>
      <c r="Y436" s="96">
        <f>((Tableau!$H$25-Q436)/(AD436^2+Tableau!$G$30^2)^(3/2))*Tableau!$G$29</f>
        <v>10.912712566835493</v>
      </c>
      <c r="Z436" s="96">
        <f>((Tableau!$G$35-P436)/(AE436^2+Tableau!$G$40^2)^(3/2))*Tableau!$G$39</f>
        <v>-136.50370580459861</v>
      </c>
      <c r="AA436" s="97">
        <f>((Tableau!$H$35-Q436)/(AE436^2+Tableau!$G$40^2)^(3/2))*Tableau!$G$39</f>
        <v>20.367091094980335</v>
      </c>
      <c r="AC436" s="110">
        <f>SQRT((Tableau!$G$16-P436)^2+(Tableau!$H$16-Q436)^2)</f>
        <v>46798.412934456916</v>
      </c>
      <c r="AD436" s="111">
        <f>SQRT((Tableau!$G$25-P436)^2+(Tableau!$H$25-Q436)^2)</f>
        <v>82030.084859532246</v>
      </c>
      <c r="AE436" s="112">
        <f>SQRT((Tableau!$G$35-P436)^2+(Tableau!$H$35-Q436)^2)</f>
        <v>60355.305234380947</v>
      </c>
    </row>
    <row r="437" spans="2:31" x14ac:dyDescent="0.25">
      <c r="B437" s="18">
        <v>434</v>
      </c>
      <c r="C437" s="19">
        <f>Tableau!$G$17*COS(B437*PI()/180)+Tableau!$G$16</f>
        <v>21378.186779085001</v>
      </c>
      <c r="D437" s="19">
        <f>Tableau!$G$17*SIN(B437*PI()/180)+Tableau!$H$16</f>
        <v>12306.308479691594</v>
      </c>
      <c r="F437" s="26">
        <v>434</v>
      </c>
      <c r="G437" s="27">
        <f>Tableau!$G$26*COS(F437*PI()/180)+Tableau!$G$25</f>
        <v>-19035.269254640501</v>
      </c>
      <c r="H437" s="27">
        <f>Tableau!$G$26*SIN(F437*PI()/180)+Tableau!$H$25</f>
        <v>13364.415935784116</v>
      </c>
      <c r="J437" s="34">
        <v>434</v>
      </c>
      <c r="K437" s="35">
        <f>Tableau!$G$36*COS(J437*PI()/180)+Tableau!$G$35</f>
        <v>-3621.8132209150008</v>
      </c>
      <c r="L437" s="35">
        <f>Tableau!$G$36*SIN(J437*PI()/180)+Tableau!$H$35</f>
        <v>-10193.691520308406</v>
      </c>
      <c r="N437" s="98">
        <v>433</v>
      </c>
      <c r="O437" s="99">
        <v>216.5</v>
      </c>
      <c r="P437" s="101">
        <f>P436+R436*Tableau!$G$2+((1/2)*T436)*Tableau!$G$2^2</f>
        <v>57263.951897490493</v>
      </c>
      <c r="Q437" s="101">
        <f>Q436+S436*Tableau!$G$2+((1/2)*U436)*Tableau!$G$2^2</f>
        <v>-23787.786381272377</v>
      </c>
      <c r="R437" s="101">
        <f>R436+T436*Tableau!$G$2</f>
        <v>5057.3363122291903</v>
      </c>
      <c r="S437" s="101">
        <f>S436+U436*Tableau!$G$2</f>
        <v>283.24340030712108</v>
      </c>
      <c r="T437" s="101">
        <f t="shared" si="12"/>
        <v>-308.38468394901412</v>
      </c>
      <c r="U437" s="101">
        <f t="shared" si="13"/>
        <v>161.49433997954125</v>
      </c>
      <c r="V437" s="101">
        <f>((Tableau!$G$16-P437)/(AC437^2+Tableau!$G$21^2)^(3/2))*Tableau!$G$20</f>
        <v>-159.18219211809287</v>
      </c>
      <c r="W437" s="101">
        <f>((Tableau!$H$16-Q437)/(AC437^2+Tableau!$G$21^2)^(3/2))*Tableau!$G$20</f>
        <v>133.65352221348681</v>
      </c>
      <c r="X437" s="101">
        <f>((Tableau!$G$25-P437)/(AD437^2+Tableau!$G$30^2)^(3/2))*Tableau!$G$29</f>
        <v>-22.901812281150015</v>
      </c>
      <c r="Y437" s="101">
        <f>((Tableau!$H$25-Q437)/(AD437^2+Tableau!$G$30^2)^(3/2))*Tableau!$G$29</f>
        <v>10.015039641334084</v>
      </c>
      <c r="Z437" s="101">
        <f>((Tableau!$G$35-P437)/(AE437^2+Tableau!$G$40^2)^(3/2))*Tableau!$G$39</f>
        <v>-126.30067954977123</v>
      </c>
      <c r="AA437" s="102">
        <f>((Tableau!$H$35-Q437)/(AE437^2+Tableau!$G$40^2)^(3/2))*Tableau!$G$39</f>
        <v>17.825778124720355</v>
      </c>
      <c r="AC437" s="113">
        <f>SQRT((Tableau!$G$16-P437)^2+(Tableau!$H$16-Q437)^2)</f>
        <v>48657.247020958952</v>
      </c>
      <c r="AD437" s="114">
        <f>SQRT((Tableau!$G$25-P437)^2+(Tableau!$H$25-Q437)^2)</f>
        <v>84328.718544539865</v>
      </c>
      <c r="AE437" s="115">
        <f>SQRT((Tableau!$G$35-P437)^2+(Tableau!$H$35-Q437)^2)</f>
        <v>62881.037645508732</v>
      </c>
    </row>
    <row r="438" spans="2:31" x14ac:dyDescent="0.25">
      <c r="B438" s="20">
        <v>435</v>
      </c>
      <c r="C438" s="21">
        <f>Tableau!$G$17*COS(B438*PI()/180)+Tableau!$G$16</f>
        <v>21294.095225512603</v>
      </c>
      <c r="D438" s="21">
        <f>Tableau!$G$17*SIN(B438*PI()/180)+Tableau!$H$16</f>
        <v>12329.629131445341</v>
      </c>
      <c r="F438" s="28">
        <v>435</v>
      </c>
      <c r="G438" s="29">
        <f>Tableau!$G$26*COS(F438*PI()/180)+Tableau!$G$25</f>
        <v>-19094.133342141176</v>
      </c>
      <c r="H438" s="29">
        <f>Tableau!$G$26*SIN(F438*PI()/180)+Tableau!$H$25</f>
        <v>13380.740392011739</v>
      </c>
      <c r="J438" s="36">
        <v>435</v>
      </c>
      <c r="K438" s="37">
        <f>Tableau!$G$36*COS(J438*PI()/180)+Tableau!$G$35</f>
        <v>-3705.904774487396</v>
      </c>
      <c r="L438" s="37">
        <f>Tableau!$G$36*SIN(J438*PI()/180)+Tableau!$H$35</f>
        <v>-10170.370868554659</v>
      </c>
      <c r="N438" s="92">
        <v>434</v>
      </c>
      <c r="O438" s="93">
        <v>217</v>
      </c>
      <c r="P438" s="96">
        <f>P437+R437*Tableau!$G$2+((1/2)*T437)*Tableau!$G$2^2</f>
        <v>59754.071968111464</v>
      </c>
      <c r="Q438" s="96">
        <f>Q437+S437*Tableau!$G$2+((1/2)*U437)*Tableau!$G$2^2</f>
        <v>-23625.977888621375</v>
      </c>
      <c r="R438" s="96">
        <f>R437+T437*Tableau!$G$2</f>
        <v>4903.1439702546832</v>
      </c>
      <c r="S438" s="96">
        <f>S437+U437*Tableau!$G$2</f>
        <v>363.99057029689169</v>
      </c>
      <c r="T438" s="96">
        <f t="shared" si="12"/>
        <v>-291.99532798912247</v>
      </c>
      <c r="U438" s="96">
        <f t="shared" si="13"/>
        <v>144.39261178472691</v>
      </c>
      <c r="V438" s="96">
        <f>((Tableau!$G$16-P438)/(AC438^2+Tableau!$G$21^2)^(3/2))*Tableau!$G$20</f>
        <v>-152.65287575268144</v>
      </c>
      <c r="W438" s="96">
        <f>((Tableau!$H$16-Q438)/(AC438^2+Tableau!$G$21^2)^(3/2))*Tableau!$G$20</f>
        <v>119.5215936401131</v>
      </c>
      <c r="X438" s="96">
        <f>((Tableau!$G$25-P438)/(AD438^2+Tableau!$G$30^2)^(3/2))*Tableau!$G$29</f>
        <v>-21.875220673307421</v>
      </c>
      <c r="Y438" s="96">
        <f>((Tableau!$H$25-Q438)/(AD438^2+Tableau!$G$30^2)^(3/2))*Tableau!$G$29</f>
        <v>9.223048660931795</v>
      </c>
      <c r="Z438" s="96">
        <f>((Tableau!$G$35-P438)/(AE438^2+Tableau!$G$40^2)^(3/2))*Tableau!$G$39</f>
        <v>-117.46723156313361</v>
      </c>
      <c r="AA438" s="97">
        <f>((Tableau!$H$35-Q438)/(AE438^2+Tableau!$G$40^2)^(3/2))*Tableau!$G$39</f>
        <v>15.647969483682019</v>
      </c>
      <c r="AC438" s="110">
        <f>SQRT((Tableau!$G$16-P438)^2+(Tableau!$H$16-Q438)^2)</f>
        <v>50489.729030454626</v>
      </c>
      <c r="AD438" s="111">
        <f>SQRT((Tableau!$G$25-P438)^2+(Tableau!$H$25-Q438)^2)</f>
        <v>86552.980217094533</v>
      </c>
      <c r="AE438" s="112">
        <f>SQRT((Tableau!$G$35-P438)^2+(Tableau!$H$35-Q438)^2)</f>
        <v>65326.084613930012</v>
      </c>
    </row>
    <row r="439" spans="2:31" x14ac:dyDescent="0.25">
      <c r="B439" s="18">
        <v>436</v>
      </c>
      <c r="C439" s="19">
        <f>Tableau!$G$17*COS(B439*PI()/180)+Tableau!$G$16</f>
        <v>21209.609477998343</v>
      </c>
      <c r="D439" s="19">
        <f>Tableau!$G$17*SIN(B439*PI()/180)+Tableau!$H$16</f>
        <v>12351.478631379981</v>
      </c>
      <c r="F439" s="26">
        <v>436</v>
      </c>
      <c r="G439" s="27">
        <f>Tableau!$G$26*COS(F439*PI()/180)+Tableau!$G$25</f>
        <v>-19153.273365401161</v>
      </c>
      <c r="H439" s="27">
        <f>Tableau!$G$26*SIN(F439*PI()/180)+Tableau!$H$25</f>
        <v>13396.035041965986</v>
      </c>
      <c r="J439" s="34">
        <v>436</v>
      </c>
      <c r="K439" s="35">
        <f>Tableau!$G$36*COS(J439*PI()/180)+Tableau!$G$35</f>
        <v>-3790.3905220016559</v>
      </c>
      <c r="L439" s="35">
        <f>Tableau!$G$36*SIN(J439*PI()/180)+Tableau!$H$35</f>
        <v>-10148.521368620019</v>
      </c>
      <c r="N439" s="98">
        <v>435</v>
      </c>
      <c r="O439" s="99">
        <v>217.5</v>
      </c>
      <c r="P439" s="101">
        <f>P438+R438*Tableau!$G$2+((1/2)*T438)*Tableau!$G$2^2</f>
        <v>62169.144537240165</v>
      </c>
      <c r="Q439" s="101">
        <f>Q438+S438*Tableau!$G$2+((1/2)*U438)*Tableau!$G$2^2</f>
        <v>-23425.933526999841</v>
      </c>
      <c r="R439" s="101">
        <f>R438+T438*Tableau!$G$2</f>
        <v>4757.1463062601215</v>
      </c>
      <c r="S439" s="101">
        <f>S438+U438*Tableau!$G$2</f>
        <v>436.18687618925514</v>
      </c>
      <c r="T439" s="101">
        <f t="shared" si="12"/>
        <v>-276.99986437792666</v>
      </c>
      <c r="U439" s="101">
        <f t="shared" si="13"/>
        <v>129.58146083442375</v>
      </c>
      <c r="V439" s="101">
        <f>((Tableau!$G$16-P439)/(AC439^2+Tableau!$G$21^2)^(3/2))*Tableau!$G$20</f>
        <v>-146.29996478666095</v>
      </c>
      <c r="W439" s="101">
        <f>((Tableau!$H$16-Q439)/(AC439^2+Tableau!$G$21^2)^(3/2))*Tableau!$G$20</f>
        <v>107.29321250515473</v>
      </c>
      <c r="X439" s="101">
        <f>((Tableau!$G$25-P439)/(AD439^2+Tableau!$G$30^2)^(3/2))*Tableau!$G$29</f>
        <v>-20.944655172642758</v>
      </c>
      <c r="Y439" s="101">
        <f>((Tableau!$H$25-Q439)/(AD439^2+Tableau!$G$30^2)^(3/2))*Tableau!$G$29</f>
        <v>8.520164783137032</v>
      </c>
      <c r="Z439" s="101">
        <f>((Tableau!$G$35-P439)/(AE439^2+Tableau!$G$40^2)^(3/2))*Tableau!$G$39</f>
        <v>-109.75524441862292</v>
      </c>
      <c r="AA439" s="102">
        <f>((Tableau!$H$35-Q439)/(AE439^2+Tableau!$G$40^2)^(3/2))*Tableau!$G$39</f>
        <v>13.768083546131979</v>
      </c>
      <c r="AC439" s="113">
        <f>SQRT((Tableau!$G$16-P439)^2+(Tableau!$H$16-Q439)^2)</f>
        <v>52293.882199728345</v>
      </c>
      <c r="AD439" s="114">
        <f>SQRT((Tableau!$G$25-P439)^2+(Tableau!$H$25-Q439)^2)</f>
        <v>88707.729911960196</v>
      </c>
      <c r="AE439" s="115">
        <f>SQRT((Tableau!$G$35-P439)^2+(Tableau!$H$35-Q439)^2)</f>
        <v>67695.571004801197</v>
      </c>
    </row>
    <row r="440" spans="2:31" x14ac:dyDescent="0.25">
      <c r="B440" s="20">
        <v>437</v>
      </c>
      <c r="C440" s="21">
        <f>Tableau!$G$17*COS(B440*PI()/180)+Tableau!$G$16</f>
        <v>21124.755271719328</v>
      </c>
      <c r="D440" s="21">
        <f>Tableau!$G$17*SIN(B440*PI()/180)+Tableau!$H$16</f>
        <v>12371.850323926175</v>
      </c>
      <c r="F440" s="28">
        <v>437</v>
      </c>
      <c r="G440" s="29">
        <f>Tableau!$G$26*COS(F440*PI()/180)+Tableau!$G$25</f>
        <v>-19212.671309796471</v>
      </c>
      <c r="H440" s="29">
        <f>Tableau!$G$26*SIN(F440*PI()/180)+Tableau!$H$25</f>
        <v>13410.295226748323</v>
      </c>
      <c r="J440" s="36">
        <v>437</v>
      </c>
      <c r="K440" s="37">
        <f>Tableau!$G$36*COS(J440*PI()/180)+Tableau!$G$35</f>
        <v>-3875.2447282806734</v>
      </c>
      <c r="L440" s="37">
        <f>Tableau!$G$36*SIN(J440*PI()/180)+Tableau!$H$35</f>
        <v>-10128.149676073825</v>
      </c>
      <c r="N440" s="92">
        <v>436</v>
      </c>
      <c r="O440" s="93">
        <v>218</v>
      </c>
      <c r="P440" s="96">
        <f>P439+R439*Tableau!$G$2+((1/2)*T439)*Tableau!$G$2^2</f>
        <v>64513.092707322983</v>
      </c>
      <c r="Q440" s="96">
        <f>Q439+S439*Tableau!$G$2+((1/2)*U439)*Tableau!$G$2^2</f>
        <v>-23191.642406300911</v>
      </c>
      <c r="R440" s="96">
        <f>R439+T439*Tableau!$G$2</f>
        <v>4618.6463740711579</v>
      </c>
      <c r="S440" s="96">
        <f>S439+U439*Tableau!$G$2</f>
        <v>500.97760660646702</v>
      </c>
      <c r="T440" s="96">
        <f t="shared" si="12"/>
        <v>-263.26792524507158</v>
      </c>
      <c r="U440" s="96">
        <f t="shared" si="13"/>
        <v>116.69423934953157</v>
      </c>
      <c r="V440" s="96">
        <f>((Tableau!$G$16-P440)/(AC440^2+Tableau!$G$21^2)^(3/2))*Tableau!$G$20</f>
        <v>-140.19890770840559</v>
      </c>
      <c r="W440" s="96">
        <f>((Tableau!$H$16-Q440)/(AC440^2+Tableau!$G$21^2)^(3/2))*Tableau!$G$20</f>
        <v>96.66672161901883</v>
      </c>
      <c r="X440" s="96">
        <f>((Tableau!$G$25-P440)/(AD440^2+Tableau!$G$30^2)^(3/2))*Tableau!$G$29</f>
        <v>-20.097295400354124</v>
      </c>
      <c r="Y440" s="96">
        <f>((Tableau!$H$25-Q440)/(AD440^2+Tableau!$G$30^2)^(3/2))*Tableau!$G$29</f>
        <v>7.8930047510206647</v>
      </c>
      <c r="Z440" s="96">
        <f>((Tableau!$G$35-P440)/(AE440^2+Tableau!$G$40^2)^(3/2))*Tableau!$G$39</f>
        <v>-102.97172213631188</v>
      </c>
      <c r="AA440" s="97">
        <f>((Tableau!$H$35-Q440)/(AE440^2+Tableau!$G$40^2)^(3/2))*Tableau!$G$39</f>
        <v>12.134512979492074</v>
      </c>
      <c r="AC440" s="110">
        <f>SQRT((Tableau!$G$16-P440)^2+(Tableau!$H$16-Q440)^2)</f>
        <v>54068.404229891778</v>
      </c>
      <c r="AD440" s="111">
        <f>SQRT((Tableau!$G$25-P440)^2+(Tableau!$H$25-Q440)^2)</f>
        <v>90797.290513452681</v>
      </c>
      <c r="AE440" s="112">
        <f>SQRT((Tableau!$G$35-P440)^2+(Tableau!$H$35-Q440)^2)</f>
        <v>69994.093058268758</v>
      </c>
    </row>
    <row r="441" spans="2:31" x14ac:dyDescent="0.25">
      <c r="B441" s="18">
        <v>438</v>
      </c>
      <c r="C441" s="19">
        <f>Tableau!$G$17*COS(B441*PI()/180)+Tableau!$G$16</f>
        <v>21039.558454088794</v>
      </c>
      <c r="D441" s="19">
        <f>Tableau!$G$17*SIN(B441*PI()/180)+Tableau!$H$16</f>
        <v>12390.738003669028</v>
      </c>
      <c r="F441" s="26">
        <v>438</v>
      </c>
      <c r="G441" s="27">
        <f>Tableau!$G$26*COS(F441*PI()/180)+Tableau!$G$25</f>
        <v>-19272.309082137843</v>
      </c>
      <c r="H441" s="27">
        <f>Tableau!$G$26*SIN(F441*PI()/180)+Tableau!$H$25</f>
        <v>13423.516602568319</v>
      </c>
      <c r="J441" s="34">
        <v>438</v>
      </c>
      <c r="K441" s="35">
        <f>Tableau!$G$36*COS(J441*PI()/180)+Tableau!$G$35</f>
        <v>-3960.4415459112051</v>
      </c>
      <c r="L441" s="35">
        <f>Tableau!$G$36*SIN(J441*PI()/180)+Tableau!$H$35</f>
        <v>-10109.261996330972</v>
      </c>
      <c r="N441" s="98">
        <v>437</v>
      </c>
      <c r="O441" s="99">
        <v>218.5</v>
      </c>
      <c r="P441" s="101">
        <f>P440+R440*Tableau!$G$2+((1/2)*T440)*Tableau!$G$2^2</f>
        <v>66789.507403702926</v>
      </c>
      <c r="Q441" s="101">
        <f>Q440+S440*Tableau!$G$2+((1/2)*U440)*Tableau!$G$2^2</f>
        <v>-22926.566823078985</v>
      </c>
      <c r="R441" s="101">
        <f>R440+T440*Tableau!$G$2</f>
        <v>4487.0124114486225</v>
      </c>
      <c r="S441" s="101">
        <f>S440+U440*Tableau!$G$2</f>
        <v>559.32472628123276</v>
      </c>
      <c r="T441" s="101">
        <f t="shared" si="12"/>
        <v>-250.67763539069085</v>
      </c>
      <c r="U441" s="101">
        <f t="shared" si="13"/>
        <v>105.42921420536248</v>
      </c>
      <c r="V441" s="101">
        <f>((Tableau!$G$16-P441)/(AC441^2+Tableau!$G$21^2)^(3/2))*Tableau!$G$20</f>
        <v>-134.39055451669162</v>
      </c>
      <c r="W441" s="101">
        <f>((Tableau!$H$16-Q441)/(AC441^2+Tableau!$G$21^2)^(3/2))*Tableau!$G$20</f>
        <v>87.392311103261378</v>
      </c>
      <c r="X441" s="101">
        <f>((Tableau!$G$25-P441)/(AD441^2+Tableau!$G$30^2)^(3/2))*Tableau!$G$29</f>
        <v>-19.322517414908592</v>
      </c>
      <c r="Y441" s="101">
        <f>((Tableau!$H$25-Q441)/(AD441^2+Tableau!$G$30^2)^(3/2))*Tableau!$G$29</f>
        <v>7.3306575862066747</v>
      </c>
      <c r="Z441" s="101">
        <f>((Tableau!$G$35-P441)/(AE441^2+Tableau!$G$40^2)^(3/2))*Tableau!$G$39</f>
        <v>-96.964563459090641</v>
      </c>
      <c r="AA441" s="102">
        <f>((Tableau!$H$35-Q441)/(AE441^2+Tableau!$G$40^2)^(3/2))*Tableau!$G$39</f>
        <v>10.706245515894436</v>
      </c>
      <c r="AC441" s="113">
        <f>SQRT((Tableau!$G$16-P441)^2+(Tableau!$H$16-Q441)^2)</f>
        <v>55812.489388312199</v>
      </c>
      <c r="AD441" s="114">
        <f>SQRT((Tableau!$G$25-P441)^2+(Tableau!$H$25-Q441)^2)</f>
        <v>92825.521265070696</v>
      </c>
      <c r="AE441" s="115">
        <f>SQRT((Tableau!$G$35-P441)^2+(Tableau!$H$35-Q441)^2)</f>
        <v>72225.783726222406</v>
      </c>
    </row>
    <row r="442" spans="2:31" x14ac:dyDescent="0.25">
      <c r="B442" s="20">
        <v>439</v>
      </c>
      <c r="C442" s="21">
        <f>Tableau!$G$17*COS(B442*PI()/180)+Tableau!$G$16</f>
        <v>20954.044976882727</v>
      </c>
      <c r="D442" s="21">
        <f>Tableau!$G$17*SIN(B442*PI()/180)+Tableau!$H$16</f>
        <v>12408.13591723832</v>
      </c>
      <c r="F442" s="28">
        <v>439</v>
      </c>
      <c r="G442" s="29">
        <f>Tableau!$G$26*COS(F442*PI()/180)+Tableau!$G$25</f>
        <v>-19332.16851618209</v>
      </c>
      <c r="H442" s="29">
        <f>Tableau!$G$26*SIN(F442*PI()/180)+Tableau!$H$25</f>
        <v>13435.695142066823</v>
      </c>
      <c r="J442" s="36">
        <v>439</v>
      </c>
      <c r="K442" s="37">
        <f>Tableau!$G$36*COS(J442*PI()/180)+Tableau!$G$35</f>
        <v>-4045.955023117272</v>
      </c>
      <c r="L442" s="37">
        <f>Tableau!$G$36*SIN(J442*PI()/180)+Tableau!$H$35</f>
        <v>-10091.86408276168</v>
      </c>
      <c r="N442" s="92">
        <v>438</v>
      </c>
      <c r="O442" s="93">
        <v>219</v>
      </c>
      <c r="P442" s="96">
        <f>P441+R441*Tableau!$G$2+((1/2)*T441)*Tableau!$G$2^2</f>
        <v>69001.678905003399</v>
      </c>
      <c r="Q442" s="96">
        <f>Q441+S441*Tableau!$G$2+((1/2)*U441)*Tableau!$G$2^2</f>
        <v>-22633.725808162701</v>
      </c>
      <c r="R442" s="96">
        <f>R441+T441*Tableau!$G$2</f>
        <v>4361.6735937532767</v>
      </c>
      <c r="S442" s="96">
        <f>S441+U441*Tableau!$G$2</f>
        <v>612.03933338391403</v>
      </c>
      <c r="T442" s="96">
        <f t="shared" si="12"/>
        <v>-239.1170191718266</v>
      </c>
      <c r="U442" s="96">
        <f t="shared" si="13"/>
        <v>95.537733388641641</v>
      </c>
      <c r="V442" s="96">
        <f>((Tableau!$G$16-P442)/(AC442^2+Tableau!$G$21^2)^(3/2))*Tableau!$G$20</f>
        <v>-128.89311593720282</v>
      </c>
      <c r="W442" s="96">
        <f>((Tableau!$H$16-Q442)/(AC442^2+Tableau!$G$21^2)^(3/2))*Tableau!$G$20</f>
        <v>79.263198751641369</v>
      </c>
      <c r="X442" s="96">
        <f>((Tableau!$G$25-P442)/(AD442^2+Tableau!$G$30^2)^(3/2))*Tableau!$G$29</f>
        <v>-18.611442659736834</v>
      </c>
      <c r="Y442" s="96">
        <f>((Tableau!$H$25-Q442)/(AD442^2+Tableau!$G$30^2)^(3/2))*Tableau!$G$29</f>
        <v>6.8241489837564204</v>
      </c>
      <c r="Z442" s="96">
        <f>((Tableau!$G$35-P442)/(AE442^2+Tableau!$G$40^2)^(3/2))*Tableau!$G$39</f>
        <v>-91.612460574886953</v>
      </c>
      <c r="AA442" s="97">
        <f>((Tableau!$H$35-Q442)/(AE442^2+Tableau!$G$40^2)^(3/2))*Tableau!$G$39</f>
        <v>9.4503856532438544</v>
      </c>
      <c r="AC442" s="110">
        <f>SQRT((Tableau!$G$16-P442)^2+(Tableau!$H$16-Q442)^2)</f>
        <v>57525.698314671383</v>
      </c>
      <c r="AD442" s="111">
        <f>SQRT((Tableau!$G$25-P442)^2+(Tableau!$H$25-Q442)^2)</f>
        <v>94795.880227105183</v>
      </c>
      <c r="AE442" s="112">
        <f>SQRT((Tableau!$G$35-P442)^2+(Tableau!$H$35-Q442)^2)</f>
        <v>74394.369749823367</v>
      </c>
    </row>
    <row r="443" spans="2:31" x14ac:dyDescent="0.25">
      <c r="B443" s="18">
        <v>440</v>
      </c>
      <c r="C443" s="19">
        <f>Tableau!$G$17*COS(B443*PI()/180)+Tableau!$G$16</f>
        <v>20868.240888334651</v>
      </c>
      <c r="D443" s="19">
        <f>Tableau!$G$17*SIN(B443*PI()/180)+Tableau!$H$16</f>
        <v>12424.038765061039</v>
      </c>
      <c r="F443" s="26">
        <v>440</v>
      </c>
      <c r="G443" s="27">
        <f>Tableau!$G$26*COS(F443*PI()/180)+Tableau!$G$25</f>
        <v>-19392.231378165743</v>
      </c>
      <c r="H443" s="27">
        <f>Tableau!$G$26*SIN(F443*PI()/180)+Tableau!$H$25</f>
        <v>13446.827135542728</v>
      </c>
      <c r="J443" s="34">
        <v>440</v>
      </c>
      <c r="K443" s="35">
        <f>Tableau!$G$36*COS(J443*PI()/180)+Tableau!$G$35</f>
        <v>-4131.7591116653475</v>
      </c>
      <c r="L443" s="35">
        <f>Tableau!$G$36*SIN(J443*PI()/180)+Tableau!$H$35</f>
        <v>-10075.961234938961</v>
      </c>
      <c r="N443" s="98">
        <v>439</v>
      </c>
      <c r="O443" s="99">
        <v>219.5</v>
      </c>
      <c r="P443" s="101">
        <f>P442+R442*Tableau!$G$2+((1/2)*T442)*Tableau!$G$2^2</f>
        <v>71152.62607448356</v>
      </c>
      <c r="Q443" s="101">
        <f>Q442+S442*Tableau!$G$2+((1/2)*U442)*Tableau!$G$2^2</f>
        <v>-22315.763924797164</v>
      </c>
      <c r="R443" s="101">
        <f>R442+T442*Tableau!$G$2</f>
        <v>4242.1150841673634</v>
      </c>
      <c r="S443" s="101">
        <f>S442+U442*Tableau!$G$2</f>
        <v>659.8082000782349</v>
      </c>
      <c r="T443" s="101">
        <f t="shared" si="12"/>
        <v>-228.48439744753284</v>
      </c>
      <c r="U443" s="101">
        <f t="shared" si="13"/>
        <v>86.814363540184942</v>
      </c>
      <c r="V443" s="101">
        <f>((Tableau!$G$16-P443)/(AC443^2+Tableau!$G$21^2)^(3/2))*Tableau!$G$20</f>
        <v>-123.71019484081042</v>
      </c>
      <c r="W443" s="101">
        <f>((Tableau!$H$16-Q443)/(AC443^2+Tableau!$G$21^2)^(3/2))*Tableau!$G$20</f>
        <v>72.108007887872702</v>
      </c>
      <c r="X443" s="101">
        <f>((Tableau!$G$25-P443)/(AD443^2+Tableau!$G$30^2)^(3/2))*Tableau!$G$29</f>
        <v>-17.956593313650938</v>
      </c>
      <c r="Y443" s="101">
        <f>((Tableau!$H$25-Q443)/(AD443^2+Tableau!$G$30^2)^(3/2))*Tableau!$G$29</f>
        <v>6.3660374408014295</v>
      </c>
      <c r="Z443" s="101">
        <f>((Tableau!$G$35-P443)/(AE443^2+Tableau!$G$40^2)^(3/2))*Tableau!$G$39</f>
        <v>-86.817609293071484</v>
      </c>
      <c r="AA443" s="102">
        <f>((Tableau!$H$35-Q443)/(AE443^2+Tableau!$G$40^2)^(3/2))*Tableau!$G$39</f>
        <v>8.3403182115107999</v>
      </c>
      <c r="AC443" s="113">
        <f>SQRT((Tableau!$G$16-P443)^2+(Tableau!$H$16-Q443)^2)</f>
        <v>59207.862085496476</v>
      </c>
      <c r="AD443" s="114">
        <f>SQRT((Tableau!$G$25-P443)^2+(Tableau!$H$25-Q443)^2)</f>
        <v>96711.477283297878</v>
      </c>
      <c r="AE443" s="115">
        <f>SQRT((Tableau!$G$35-P443)^2+(Tableau!$H$35-Q443)^2)</f>
        <v>76503.221238347061</v>
      </c>
    </row>
    <row r="444" spans="2:31" x14ac:dyDescent="0.25">
      <c r="B444" s="20">
        <v>441</v>
      </c>
      <c r="C444" s="21">
        <f>Tableau!$G$17*COS(B444*PI()/180)+Tableau!$G$16</f>
        <v>20782.172325201154</v>
      </c>
      <c r="D444" s="21">
        <f>Tableau!$G$17*SIN(B444*PI()/180)+Tableau!$H$16</f>
        <v>12438.441702975688</v>
      </c>
      <c r="F444" s="28">
        <v>441</v>
      </c>
      <c r="G444" s="29">
        <f>Tableau!$G$26*COS(F444*PI()/180)+Tableau!$G$25</f>
        <v>-19452.47937235919</v>
      </c>
      <c r="H444" s="29">
        <f>Tableau!$G$26*SIN(F444*PI()/180)+Tableau!$H$25</f>
        <v>13456.909192082981</v>
      </c>
      <c r="J444" s="36">
        <v>441</v>
      </c>
      <c r="K444" s="37">
        <f>Tableau!$G$36*COS(J444*PI()/180)+Tableau!$G$35</f>
        <v>-4217.8276747988439</v>
      </c>
      <c r="L444" s="37">
        <f>Tableau!$G$36*SIN(J444*PI()/180)+Tableau!$H$35</f>
        <v>-10061.558297024312</v>
      </c>
      <c r="N444" s="92">
        <v>440</v>
      </c>
      <c r="O444" s="93">
        <v>220</v>
      </c>
      <c r="P444" s="96">
        <f>P443+R443*Tableau!$G$2+((1/2)*T443)*Tableau!$G$2^2</f>
        <v>73245.123066886299</v>
      </c>
      <c r="Q444" s="96">
        <f>Q443+S443*Tableau!$G$2+((1/2)*U443)*Tableau!$G$2^2</f>
        <v>-21975.008029315522</v>
      </c>
      <c r="R444" s="96">
        <f>R443+T443*Tableau!$G$2</f>
        <v>4127.8728854435967</v>
      </c>
      <c r="S444" s="96">
        <f>S443+U443*Tableau!$G$2</f>
        <v>703.21538184832741</v>
      </c>
      <c r="T444" s="96">
        <f t="shared" si="12"/>
        <v>-218.68816691653097</v>
      </c>
      <c r="U444" s="96">
        <f t="shared" si="13"/>
        <v>79.088814325343606</v>
      </c>
      <c r="V444" s="96">
        <f>((Tableau!$G$16-P444)/(AC444^2+Tableau!$G$21^2)^(3/2))*Tableau!$G$20</f>
        <v>-118.8361718720796</v>
      </c>
      <c r="W444" s="96">
        <f>((Tableau!$H$16-Q444)/(AC444^2+Tableau!$G$21^2)^(3/2))*Tableau!$G$20</f>
        <v>65.784374574598928</v>
      </c>
      <c r="X444" s="96">
        <f>((Tableau!$G$25-P444)/(AD444^2+Tableau!$G$30^2)^(3/2))*Tableau!$G$29</f>
        <v>-17.351626039170728</v>
      </c>
      <c r="Y444" s="96">
        <f>((Tableau!$H$25-Q444)/(AD444^2+Tableau!$G$30^2)^(3/2))*Tableau!$G$29</f>
        <v>5.9501061682999081</v>
      </c>
      <c r="Z444" s="96">
        <f>((Tableau!$G$35-P444)/(AE444^2+Tableau!$G$40^2)^(3/2))*Tableau!$G$39</f>
        <v>-82.500369005280632</v>
      </c>
      <c r="AA444" s="97">
        <f>((Tableau!$H$35-Q444)/(AE444^2+Tableau!$G$40^2)^(3/2))*Tableau!$G$39</f>
        <v>7.3543335824447702</v>
      </c>
      <c r="AC444" s="110">
        <f>SQRT((Tableau!$G$16-P444)^2+(Tableau!$H$16-Q444)^2)</f>
        <v>60859.011072610127</v>
      </c>
      <c r="AD444" s="111">
        <f>SQRT((Tableau!$G$25-P444)^2+(Tableau!$H$25-Q444)^2)</f>
        <v>98575.119143897376</v>
      </c>
      <c r="AE444" s="112">
        <f>SQRT((Tableau!$G$35-P444)^2+(Tableau!$H$35-Q444)^2)</f>
        <v>78555.39459999674</v>
      </c>
    </row>
    <row r="445" spans="2:31" x14ac:dyDescent="0.25">
      <c r="B445" s="18">
        <v>442</v>
      </c>
      <c r="C445" s="19">
        <f>Tableau!$G$17*COS(B445*PI()/180)+Tableau!$G$16</f>
        <v>20695.865504800324</v>
      </c>
      <c r="D445" s="19">
        <f>Tableau!$G$17*SIN(B445*PI()/180)+Tableau!$H$16</f>
        <v>12451.340343707852</v>
      </c>
      <c r="F445" s="26">
        <v>442</v>
      </c>
      <c r="G445" s="27">
        <f>Tableau!$G$26*COS(F445*PI()/180)+Tableau!$G$25</f>
        <v>-19512.894146639774</v>
      </c>
      <c r="H445" s="27">
        <f>Tableau!$G$26*SIN(F445*PI()/180)+Tableau!$H$25</f>
        <v>13465.938240595497</v>
      </c>
      <c r="J445" s="34">
        <v>442</v>
      </c>
      <c r="K445" s="35">
        <f>Tableau!$G$36*COS(J445*PI()/180)+Tableau!$G$35</f>
        <v>-4304.1344951996743</v>
      </c>
      <c r="L445" s="35">
        <f>Tableau!$G$36*SIN(J445*PI()/180)+Tableau!$H$35</f>
        <v>-10048.659656292148</v>
      </c>
      <c r="N445" s="98">
        <v>441</v>
      </c>
      <c r="O445" s="99">
        <v>220.5</v>
      </c>
      <c r="P445" s="101">
        <f>P444+R444*Tableau!$G$2+((1/2)*T444)*Tableau!$G$2^2</f>
        <v>75281.723488743533</v>
      </c>
      <c r="Q445" s="101">
        <f>Q444+S444*Tableau!$G$2+((1/2)*U444)*Tableau!$G$2^2</f>
        <v>-21613.514236600691</v>
      </c>
      <c r="R445" s="101">
        <f>R444+T444*Tableau!$G$2</f>
        <v>4018.528801985331</v>
      </c>
      <c r="S445" s="101">
        <f>S444+U444*Tableau!$G$2</f>
        <v>742.75978901099916</v>
      </c>
      <c r="T445" s="101">
        <f t="shared" si="12"/>
        <v>-209.64622942275045</v>
      </c>
      <c r="U445" s="101">
        <f t="shared" si="13"/>
        <v>72.219390674236564</v>
      </c>
      <c r="V445" s="101">
        <f>((Tableau!$G$16-P445)/(AC445^2+Tableau!$G$21^2)^(3/2))*Tableau!$G$20</f>
        <v>-114.25980842807444</v>
      </c>
      <c r="W445" s="101">
        <f>((Tableau!$H$16-Q445)/(AC445^2+Tableau!$G$21^2)^(3/2))*Tableau!$G$20</f>
        <v>60.173676749049903</v>
      </c>
      <c r="X445" s="101">
        <f>((Tableau!$G$25-P445)/(AD445^2+Tableau!$G$30^2)^(3/2))*Tableau!$G$29</f>
        <v>-16.79112417769127</v>
      </c>
      <c r="Y445" s="101">
        <f>((Tableau!$H$25-Q445)/(AD445^2+Tableau!$G$30^2)^(3/2))*Tableau!$G$29</f>
        <v>5.5711255401743882</v>
      </c>
      <c r="Z445" s="101">
        <f>((Tableau!$G$35-P445)/(AE445^2+Tableau!$G$40^2)^(3/2))*Tableau!$G$39</f>
        <v>-78.595296816984757</v>
      </c>
      <c r="AA445" s="102">
        <f>((Tableau!$H$35-Q445)/(AE445^2+Tableau!$G$40^2)^(3/2))*Tableau!$G$39</f>
        <v>6.4745883850122707</v>
      </c>
      <c r="AC445" s="113">
        <f>SQRT((Tableau!$G$16-P445)^2+(Tableau!$H$16-Q445)^2)</f>
        <v>62479.321884049365</v>
      </c>
      <c r="AD445" s="114">
        <f>SQRT((Tableau!$G$25-P445)^2+(Tableau!$H$25-Q445)^2)</f>
        <v>100389.34760906227</v>
      </c>
      <c r="AE445" s="115">
        <f>SQRT((Tableau!$G$35-P445)^2+(Tableau!$H$35-Q445)^2)</f>
        <v>80553.669667376395</v>
      </c>
    </row>
    <row r="446" spans="2:31" x14ac:dyDescent="0.25">
      <c r="B446" s="20">
        <v>443</v>
      </c>
      <c r="C446" s="21">
        <f>Tableau!$G$17*COS(B446*PI()/180)+Tableau!$G$16</f>
        <v>20609.346717025743</v>
      </c>
      <c r="D446" s="21">
        <f>Tableau!$G$17*SIN(B446*PI()/180)+Tableau!$H$16</f>
        <v>12462.73075820661</v>
      </c>
      <c r="F446" s="28">
        <v>443</v>
      </c>
      <c r="G446" s="29">
        <f>Tableau!$G$26*COS(F446*PI()/180)+Tableau!$G$25</f>
        <v>-19573.457298081983</v>
      </c>
      <c r="H446" s="29">
        <f>Tableau!$G$26*SIN(F446*PI()/180)+Tableau!$H$25</f>
        <v>13473.911530744626</v>
      </c>
      <c r="J446" s="36">
        <v>443</v>
      </c>
      <c r="K446" s="37">
        <f>Tableau!$G$36*COS(J446*PI()/180)+Tableau!$G$35</f>
        <v>-4390.6532829742591</v>
      </c>
      <c r="L446" s="37">
        <f>Tableau!$G$36*SIN(J446*PI()/180)+Tableau!$H$35</f>
        <v>-10037.26924179339</v>
      </c>
      <c r="N446" s="92">
        <v>442</v>
      </c>
      <c r="O446" s="93">
        <v>221</v>
      </c>
      <c r="P446" s="96">
        <f>P445+R445*Tableau!$G$2+((1/2)*T445)*Tableau!$G$2^2</f>
        <v>77264.782111058346</v>
      </c>
      <c r="Q446" s="96">
        <f>Q445+S445*Tableau!$G$2+((1/2)*U445)*Tableau!$G$2^2</f>
        <v>-21233.106918260914</v>
      </c>
      <c r="R446" s="96">
        <f>R445+T445*Tableau!$G$2</f>
        <v>3913.7056872739558</v>
      </c>
      <c r="S446" s="96">
        <f>S445+U445*Tableau!$G$2</f>
        <v>778.86948434811745</v>
      </c>
      <c r="T446" s="96">
        <f t="shared" si="12"/>
        <v>-201.28524589186696</v>
      </c>
      <c r="U446" s="96">
        <f t="shared" si="13"/>
        <v>66.087710492267604</v>
      </c>
      <c r="V446" s="96">
        <f>((Tableau!$G$16-P446)/(AC446^2+Tableau!$G$21^2)^(3/2))*Tableau!$G$20</f>
        <v>-109.9666472035959</v>
      </c>
      <c r="W446" s="96">
        <f>((Tableau!$H$16-Q446)/(AC446^2+Tableau!$G$21^2)^(3/2))*Tableau!$G$20</f>
        <v>55.176730183234824</v>
      </c>
      <c r="X446" s="96">
        <f>((Tableau!$G$25-P446)/(AD446^2+Tableau!$G$30^2)^(3/2))*Tableau!$G$29</f>
        <v>-16.270434002446933</v>
      </c>
      <c r="Y446" s="96">
        <f>((Tableau!$H$25-Q446)/(AD446^2+Tableau!$G$30^2)^(3/2))*Tableau!$G$29</f>
        <v>5.2246681046865442</v>
      </c>
      <c r="Z446" s="96">
        <f>((Tableau!$G$35-P446)/(AE446^2+Tableau!$G$40^2)^(3/2))*Tableau!$G$39</f>
        <v>-75.048164685824119</v>
      </c>
      <c r="AA446" s="97">
        <f>((Tableau!$H$35-Q446)/(AE446^2+Tableau!$G$40^2)^(3/2))*Tableau!$G$39</f>
        <v>5.6863122043462315</v>
      </c>
      <c r="AC446" s="110">
        <f>SQRT((Tableau!$G$16-P446)^2+(Tableau!$H$16-Q446)^2)</f>
        <v>64069.077591324829</v>
      </c>
      <c r="AD446" s="111">
        <f>SQRT((Tableau!$G$25-P446)^2+(Tableau!$H$25-Q446)^2)</f>
        <v>102156.47217322637</v>
      </c>
      <c r="AE446" s="112">
        <f>SQRT((Tableau!$G$35-P446)^2+(Tableau!$H$35-Q446)^2)</f>
        <v>82500.581801793232</v>
      </c>
    </row>
    <row r="447" spans="2:31" x14ac:dyDescent="0.25">
      <c r="B447" s="18">
        <v>444</v>
      </c>
      <c r="C447" s="19">
        <f>Tableau!$G$17*COS(B447*PI()/180)+Tableau!$G$16</f>
        <v>20522.642316338268</v>
      </c>
      <c r="D447" s="19">
        <f>Tableau!$G$17*SIN(B447*PI()/180)+Tableau!$H$16</f>
        <v>12472.609476841368</v>
      </c>
      <c r="F447" s="26">
        <v>444</v>
      </c>
      <c r="G447" s="27">
        <f>Tableau!$G$26*COS(F447*PI()/180)+Tableau!$G$25</f>
        <v>-19634.150378563212</v>
      </c>
      <c r="H447" s="27">
        <f>Tableau!$G$26*SIN(F447*PI()/180)+Tableau!$H$25</f>
        <v>13480.826633788956</v>
      </c>
      <c r="J447" s="34">
        <v>444</v>
      </c>
      <c r="K447" s="35">
        <f>Tableau!$G$36*COS(J447*PI()/180)+Tableau!$G$35</f>
        <v>-4477.3576836617322</v>
      </c>
      <c r="L447" s="35">
        <f>Tableau!$G$36*SIN(J447*PI()/180)+Tableau!$H$35</f>
        <v>-10027.390523158632</v>
      </c>
      <c r="N447" s="98">
        <v>443</v>
      </c>
      <c r="O447" s="99">
        <v>221.5</v>
      </c>
      <c r="P447" s="101">
        <f>P446+R446*Tableau!$G$2+((1/2)*T446)*Tableau!$G$2^2</f>
        <v>79196.474298958841</v>
      </c>
      <c r="Q447" s="101">
        <f>Q446+S446*Tableau!$G$2+((1/2)*U446)*Tableau!$G$2^2</f>
        <v>-20835.411212275321</v>
      </c>
      <c r="R447" s="101">
        <f>R446+T446*Tableau!$G$2</f>
        <v>3813.0630643280224</v>
      </c>
      <c r="S447" s="101">
        <f>S446+U446*Tableau!$G$2</f>
        <v>811.91333959425128</v>
      </c>
      <c r="T447" s="101">
        <f t="shared" si="12"/>
        <v>-193.539824640956</v>
      </c>
      <c r="U447" s="101">
        <f t="shared" si="13"/>
        <v>60.594451587359842</v>
      </c>
      <c r="V447" s="101">
        <f>((Tableau!$G$16-P447)/(AC447^2+Tableau!$G$21^2)^(3/2))*Tableau!$G$20</f>
        <v>-105.94060061469037</v>
      </c>
      <c r="W447" s="101">
        <f>((Tableau!$H$16-Q447)/(AC447^2+Tableau!$G$21^2)^(3/2))*Tableau!$G$20</f>
        <v>50.710291753735014</v>
      </c>
      <c r="X447" s="101">
        <f>((Tableau!$G$25-P447)/(AD447^2+Tableau!$G$30^2)^(3/2))*Tableau!$G$29</f>
        <v>-15.785534530048469</v>
      </c>
      <c r="Y447" s="101">
        <f>((Tableau!$H$25-Q447)/(AD447^2+Tableau!$G$30^2)^(3/2))*Tableau!$G$29</f>
        <v>4.906963194807064</v>
      </c>
      <c r="Z447" s="101">
        <f>((Tableau!$G$35-P447)/(AE447^2+Tableau!$G$40^2)^(3/2))*Tableau!$G$39</f>
        <v>-71.813689496217179</v>
      </c>
      <c r="AA447" s="102">
        <f>((Tableau!$H$35-Q447)/(AE447^2+Tableau!$G$40^2)^(3/2))*Tableau!$G$39</f>
        <v>4.9771966388177642</v>
      </c>
      <c r="AC447" s="113">
        <f>SQRT((Tableau!$G$16-P447)^2+(Tableau!$H$16-Q447)^2)</f>
        <v>65628.637788666863</v>
      </c>
      <c r="AD447" s="114">
        <f>SQRT((Tableau!$G$25-P447)^2+(Tableau!$H$25-Q447)^2)</f>
        <v>103878.59788221112</v>
      </c>
      <c r="AE447" s="115">
        <f>SQRT((Tableau!$G$35-P447)^2+(Tableau!$H$35-Q447)^2)</f>
        <v>84398.449680024249</v>
      </c>
    </row>
    <row r="448" spans="2:31" x14ac:dyDescent="0.25">
      <c r="B448" s="20">
        <v>445</v>
      </c>
      <c r="C448" s="21">
        <f>Tableau!$G$17*COS(B448*PI()/180)+Tableau!$G$16</f>
        <v>20435.778713738295</v>
      </c>
      <c r="D448" s="21">
        <f>Tableau!$G$17*SIN(B448*PI()/180)+Tableau!$H$16</f>
        <v>12480.973490458728</v>
      </c>
      <c r="F448" s="28">
        <v>445</v>
      </c>
      <c r="G448" s="29">
        <f>Tableau!$G$26*COS(F448*PI()/180)+Tableau!$G$25</f>
        <v>-19694.954900383193</v>
      </c>
      <c r="H448" s="29">
        <f>Tableau!$G$26*SIN(F448*PI()/180)+Tableau!$H$25</f>
        <v>13486.681443321109</v>
      </c>
      <c r="J448" s="36">
        <v>445</v>
      </c>
      <c r="K448" s="37">
        <f>Tableau!$G$36*COS(J448*PI()/180)+Tableau!$G$35</f>
        <v>-4564.2212862617034</v>
      </c>
      <c r="L448" s="37">
        <f>Tableau!$G$36*SIN(J448*PI()/180)+Tableau!$H$35</f>
        <v>-10019.026509541272</v>
      </c>
      <c r="N448" s="92">
        <v>444</v>
      </c>
      <c r="O448" s="93">
        <v>222</v>
      </c>
      <c r="P448" s="96">
        <f>P447+R447*Tableau!$G$2+((1/2)*T447)*Tableau!$G$2^2</f>
        <v>81078.813353042729</v>
      </c>
      <c r="Q448" s="96">
        <f>Q447+S447*Tableau!$G$2+((1/2)*U447)*Tableau!$G$2^2</f>
        <v>-20421.880236029778</v>
      </c>
      <c r="R448" s="96">
        <f>R447+T447*Tableau!$G$2</f>
        <v>3716.2931520075444</v>
      </c>
      <c r="S448" s="96">
        <f>S447+U447*Tableau!$G$2</f>
        <v>842.21056538793118</v>
      </c>
      <c r="T448" s="96">
        <f t="shared" si="12"/>
        <v>-186.35171018240047</v>
      </c>
      <c r="U448" s="96">
        <f t="shared" si="13"/>
        <v>55.655927017380264</v>
      </c>
      <c r="V448" s="96">
        <f>((Tableau!$G$16-P448)/(AC448^2+Tableau!$G$21^2)^(3/2))*Tableau!$G$20</f>
        <v>-102.16499019770613</v>
      </c>
      <c r="W448" s="96">
        <f>((Tableau!$H$16-Q448)/(AC448^2+Tableau!$G$21^2)^(3/2))*Tableau!$G$20</f>
        <v>46.704224656869471</v>
      </c>
      <c r="X448" s="96">
        <f>((Tableau!$G$25-P448)/(AD448^2+Tableau!$G$30^2)^(3/2))*Tableau!$G$29</f>
        <v>-15.332933144641466</v>
      </c>
      <c r="Y448" s="96">
        <f>((Tableau!$H$25-Q448)/(AD448^2+Tableau!$G$30^2)^(3/2))*Tableau!$G$29</f>
        <v>4.6147816769882226</v>
      </c>
      <c r="Z448" s="96">
        <f>((Tableau!$G$35-P448)/(AE448^2+Tableau!$G$40^2)^(3/2))*Tableau!$G$39</f>
        <v>-68.853786840052862</v>
      </c>
      <c r="AA448" s="97">
        <f>((Tableau!$H$35-Q448)/(AE448^2+Tableau!$G$40^2)^(3/2))*Tableau!$G$39</f>
        <v>4.3369206835225711</v>
      </c>
      <c r="AC448" s="110">
        <f>SQRT((Tableau!$G$16-P448)^2+(Tableau!$H$16-Q448)^2)</f>
        <v>67158.415976934877</v>
      </c>
      <c r="AD448" s="111">
        <f>SQRT((Tableau!$G$25-P448)^2+(Tableau!$H$25-Q448)^2)</f>
        <v>105557.64920627301</v>
      </c>
      <c r="AE448" s="112">
        <f>SQRT((Tableau!$G$35-P448)^2+(Tableau!$H$35-Q448)^2)</f>
        <v>86249.399380875795</v>
      </c>
    </row>
    <row r="449" spans="2:31" x14ac:dyDescent="0.25">
      <c r="B449" s="18">
        <v>446</v>
      </c>
      <c r="C449" s="19">
        <f>Tableau!$G$17*COS(B449*PI()/180)+Tableau!$G$16</f>
        <v>20348.782368720629</v>
      </c>
      <c r="D449" s="19">
        <f>Tableau!$G$17*SIN(B449*PI()/180)+Tableau!$H$16</f>
        <v>12487.820251299121</v>
      </c>
      <c r="F449" s="26">
        <v>446</v>
      </c>
      <c r="G449" s="27">
        <f>Tableau!$G$26*COS(F449*PI()/180)+Tableau!$G$25</f>
        <v>-19755.852341895559</v>
      </c>
      <c r="H449" s="27">
        <f>Tableau!$G$26*SIN(F449*PI()/180)+Tableau!$H$25</f>
        <v>13491.474175909385</v>
      </c>
      <c r="J449" s="34">
        <v>446</v>
      </c>
      <c r="K449" s="35">
        <f>Tableau!$G$36*COS(J449*PI()/180)+Tableau!$G$35</f>
        <v>-4651.2176312793717</v>
      </c>
      <c r="L449" s="35">
        <f>Tableau!$G$36*SIN(J449*PI()/180)+Tableau!$H$35</f>
        <v>-10012.179748700879</v>
      </c>
      <c r="N449" s="98">
        <v>445</v>
      </c>
      <c r="O449" s="99">
        <v>222.5</v>
      </c>
      <c r="P449" s="101">
        <f>P448+R448*Tableau!$G$2+((1/2)*T448)*Tableau!$G$2^2</f>
        <v>82913.6659652737</v>
      </c>
      <c r="Q449" s="101">
        <f>Q448+S448*Tableau!$G$2+((1/2)*U448)*Tableau!$G$2^2</f>
        <v>-19993.817962458637</v>
      </c>
      <c r="R449" s="101">
        <f>R448+T448*Tableau!$G$2</f>
        <v>3623.117296916344</v>
      </c>
      <c r="S449" s="101">
        <f>S448+U448*Tableau!$G$2</f>
        <v>870.0385288966213</v>
      </c>
      <c r="T449" s="101">
        <f t="shared" si="12"/>
        <v>-179.66901015444745</v>
      </c>
      <c r="U449" s="101">
        <f t="shared" si="13"/>
        <v>51.201323531487724</v>
      </c>
      <c r="V449" s="101">
        <f>((Tableau!$G$16-P449)/(AC449^2+Tableau!$G$21^2)^(3/2))*Tableau!$G$20</f>
        <v>-98.623214806637463</v>
      </c>
      <c r="W449" s="101">
        <f>((Tableau!$H$16-Q449)/(AC449^2+Tableau!$G$21^2)^(3/2))*Tableau!$G$20</f>
        <v>43.099200677048792</v>
      </c>
      <c r="X449" s="101">
        <f>((Tableau!$G$25-P449)/(AD449^2+Tableau!$G$30^2)^(3/2))*Tableau!$G$29</f>
        <v>-14.909581260043508</v>
      </c>
      <c r="Y449" s="101">
        <f>((Tableau!$H$25-Q449)/(AD449^2+Tableau!$G$30^2)^(3/2))*Tableau!$G$29</f>
        <v>4.3453438570648855</v>
      </c>
      <c r="Z449" s="101">
        <f>((Tableau!$G$35-P449)/(AE449^2+Tableau!$G$40^2)^(3/2))*Tableau!$G$39</f>
        <v>-66.136214087766476</v>
      </c>
      <c r="AA449" s="102">
        <f>((Tableau!$H$35-Q449)/(AE449^2+Tableau!$G$40^2)^(3/2))*Tableau!$G$39</f>
        <v>3.756778997374052</v>
      </c>
      <c r="AC449" s="113">
        <f>SQRT((Tableau!$G$16-P449)^2+(Tableau!$H$16-Q449)^2)</f>
        <v>68658.862438456199</v>
      </c>
      <c r="AD449" s="114">
        <f>SQRT((Tableau!$G$25-P449)^2+(Tableau!$H$25-Q449)^2)</f>
        <v>107195.39056497271</v>
      </c>
      <c r="AE449" s="115">
        <f>SQRT((Tableau!$G$35-P449)^2+(Tableau!$H$35-Q449)^2)</f>
        <v>88055.385305476331</v>
      </c>
    </row>
    <row r="450" spans="2:31" x14ac:dyDescent="0.25">
      <c r="B450" s="20">
        <v>447</v>
      </c>
      <c r="C450" s="21">
        <f>Tableau!$G$17*COS(B450*PI()/180)+Tableau!$G$16</f>
        <v>20261.679781214723</v>
      </c>
      <c r="D450" s="21">
        <f>Tableau!$G$17*SIN(B450*PI()/180)+Tableau!$H$16</f>
        <v>12493.14767377287</v>
      </c>
      <c r="F450" s="28">
        <v>447</v>
      </c>
      <c r="G450" s="29">
        <f>Tableau!$G$26*COS(F450*PI()/180)+Tableau!$G$25</f>
        <v>-19816.824153149693</v>
      </c>
      <c r="H450" s="29">
        <f>Tableau!$G$26*SIN(F450*PI()/180)+Tableau!$H$25</f>
        <v>13495.203371641008</v>
      </c>
      <c r="J450" s="36">
        <v>447</v>
      </c>
      <c r="K450" s="37">
        <f>Tableau!$G$36*COS(J450*PI()/180)+Tableau!$G$35</f>
        <v>-4738.3202187852776</v>
      </c>
      <c r="L450" s="37">
        <f>Tableau!$G$36*SIN(J450*PI()/180)+Tableau!$H$35</f>
        <v>-10006.85232622713</v>
      </c>
      <c r="N450" s="92">
        <v>446</v>
      </c>
      <c r="O450" s="93">
        <v>223</v>
      </c>
      <c r="P450" s="96">
        <f>P449+R449*Tableau!$G$2+((1/2)*T449)*Tableau!$G$2^2</f>
        <v>84702.765987462568</v>
      </c>
      <c r="Q450" s="96">
        <f>Q449+S449*Tableau!$G$2+((1/2)*U449)*Tableau!$G$2^2</f>
        <v>-19552.398532568892</v>
      </c>
      <c r="R450" s="96">
        <f>R449+T449*Tableau!$G$2</f>
        <v>3533.2827918391204</v>
      </c>
      <c r="S450" s="96">
        <f>S449+U449*Tableau!$G$2</f>
        <v>895.63919066236519</v>
      </c>
      <c r="T450" s="96">
        <f t="shared" si="12"/>
        <v>-173.44547985820537</v>
      </c>
      <c r="U450" s="96">
        <f t="shared" si="13"/>
        <v>47.170469465197883</v>
      </c>
      <c r="V450" s="96">
        <f>((Tableau!$G$16-P450)/(AC450^2+Tableau!$G$21^2)^(3/2))*Tableau!$G$20</f>
        <v>-95.29916814112137</v>
      </c>
      <c r="W450" s="96">
        <f>((Tableau!$H$16-Q450)/(AC450^2+Tableau!$G$21^2)^(3/2))*Tableau!$G$20</f>
        <v>39.844835642350425</v>
      </c>
      <c r="X450" s="96">
        <f>((Tableau!$G$25-P450)/(AD450^2+Tableau!$G$30^2)^(3/2))*Tableau!$G$29</f>
        <v>-14.512805672152805</v>
      </c>
      <c r="Y450" s="96">
        <f>((Tableau!$H$25-Q450)/(AD450^2+Tableau!$G$30^2)^(3/2))*Tableau!$G$29</f>
        <v>4.0962453379745716</v>
      </c>
      <c r="Z450" s="96">
        <f>((Tableau!$G$35-P450)/(AE450^2+Tableau!$G$40^2)^(3/2))*Tableau!$G$39</f>
        <v>-63.63350604493121</v>
      </c>
      <c r="AA450" s="97">
        <f>((Tableau!$H$35-Q450)/(AE450^2+Tableau!$G$40^2)^(3/2))*Tableau!$G$39</f>
        <v>3.2293884848728833</v>
      </c>
      <c r="AC450" s="110">
        <f>SQRT((Tableau!$G$16-P450)^2+(Tableau!$H$16-Q450)^2)</f>
        <v>70130.451251886858</v>
      </c>
      <c r="AD450" s="111">
        <f>SQRT((Tableau!$G$25-P450)^2+(Tableau!$H$25-Q450)^2)</f>
        <v>108793.44403250192</v>
      </c>
      <c r="AE450" s="112">
        <f>SQRT((Tableau!$G$35-P450)^2+(Tableau!$H$35-Q450)^2)</f>
        <v>89818.208388949774</v>
      </c>
    </row>
    <row r="451" spans="2:31" x14ac:dyDescent="0.25">
      <c r="B451" s="18">
        <v>448</v>
      </c>
      <c r="C451" s="19">
        <f>Tableau!$G$17*COS(B451*PI()/180)+Tableau!$G$16</f>
        <v>20174.497483512503</v>
      </c>
      <c r="D451" s="19">
        <f>Tableau!$G$17*SIN(B451*PI()/180)+Tableau!$H$16</f>
        <v>12496.954135095479</v>
      </c>
      <c r="F451" s="26">
        <v>448</v>
      </c>
      <c r="G451" s="27">
        <f>Tableau!$G$26*COS(F451*PI()/180)+Tableau!$G$25</f>
        <v>-19877.851761541246</v>
      </c>
      <c r="H451" s="27">
        <f>Tableau!$G$26*SIN(F451*PI()/180)+Tableau!$H$25</f>
        <v>13497.867894566836</v>
      </c>
      <c r="J451" s="34">
        <v>448</v>
      </c>
      <c r="K451" s="35">
        <f>Tableau!$G$36*COS(J451*PI()/180)+Tableau!$G$35</f>
        <v>-4825.502516487496</v>
      </c>
      <c r="L451" s="35">
        <f>Tableau!$G$36*SIN(J451*PI()/180)+Tableau!$H$35</f>
        <v>-10003.045864904521</v>
      </c>
      <c r="N451" s="98">
        <v>447</v>
      </c>
      <c r="O451" s="99">
        <v>223.5</v>
      </c>
      <c r="P451" s="101">
        <f>P450+R450*Tableau!$G$2+((1/2)*T450)*Tableau!$G$2^2</f>
        <v>86447.726698399856</v>
      </c>
      <c r="Q451" s="101">
        <f>Q450+S450*Tableau!$G$2+((1/2)*U450)*Tableau!$G$2^2</f>
        <v>-19098.682628554558</v>
      </c>
      <c r="R451" s="101">
        <f>R450+T450*Tableau!$G$2</f>
        <v>3446.5600519100176</v>
      </c>
      <c r="S451" s="101">
        <f>S450+U450*Tableau!$G$2</f>
        <v>919.2244253949641</v>
      </c>
      <c r="T451" s="101">
        <f t="shared" si="12"/>
        <v>-167.63987261021231</v>
      </c>
      <c r="U451" s="101">
        <f t="shared" si="13"/>
        <v>43.512025212465531</v>
      </c>
      <c r="V451" s="101">
        <f>((Tableau!$G$16-P451)/(AC451^2+Tableau!$G$21^2)^(3/2))*Tableau!$G$20</f>
        <v>-92.177487525147839</v>
      </c>
      <c r="W451" s="101">
        <f>((Tableau!$H$16-Q451)/(AC451^2+Tableau!$G$21^2)^(3/2))*Tableau!$G$20</f>
        <v>36.898173316108291</v>
      </c>
      <c r="X451" s="101">
        <f>((Tableau!$G$25-P451)/(AD451^2+Tableau!$G$30^2)^(3/2))*Tableau!$G$29</f>
        <v>-14.140252297591511</v>
      </c>
      <c r="Y451" s="101">
        <f>((Tableau!$H$25-Q451)/(AD451^2+Tableau!$G$30^2)^(3/2))*Tableau!$G$29</f>
        <v>3.8653969103643613</v>
      </c>
      <c r="Z451" s="101">
        <f>((Tableau!$G$35-P451)/(AE451^2+Tableau!$G$40^2)^(3/2))*Tableau!$G$39</f>
        <v>-61.322132787472945</v>
      </c>
      <c r="AA451" s="102">
        <f>((Tableau!$H$35-Q451)/(AE451^2+Tableau!$G$40^2)^(3/2))*Tableau!$G$39</f>
        <v>2.7484549859928791</v>
      </c>
      <c r="AC451" s="113">
        <f>SQRT((Tableau!$G$16-P451)^2+(Tableau!$H$16-Q451)^2)</f>
        <v>71573.670444932548</v>
      </c>
      <c r="AD451" s="114">
        <f>SQRT((Tableau!$G$25-P451)^2+(Tableau!$H$25-Q451)^2)</f>
        <v>110353.30466268136</v>
      </c>
      <c r="AE451" s="115">
        <f>SQRT((Tableau!$G$35-P451)^2+(Tableau!$H$35-Q451)^2)</f>
        <v>91539.531993531884</v>
      </c>
    </row>
    <row r="452" spans="2:31" x14ac:dyDescent="0.25">
      <c r="B452" s="20">
        <v>449</v>
      </c>
      <c r="C452" s="21">
        <f>Tableau!$G$17*COS(B452*PI()/180)+Tableau!$G$16</f>
        <v>20087.26203218642</v>
      </c>
      <c r="D452" s="21">
        <f>Tableau!$G$17*SIN(B452*PI()/180)+Tableau!$H$16</f>
        <v>12499.238475781956</v>
      </c>
      <c r="F452" s="28">
        <v>449</v>
      </c>
      <c r="G452" s="29">
        <f>Tableau!$G$26*COS(F452*PI()/180)+Tableau!$G$25</f>
        <v>-19938.916577469507</v>
      </c>
      <c r="H452" s="29">
        <f>Tableau!$G$26*SIN(F452*PI()/180)+Tableau!$H$25</f>
        <v>13499.46693304737</v>
      </c>
      <c r="J452" s="36">
        <v>449</v>
      </c>
      <c r="K452" s="37">
        <f>Tableau!$G$36*COS(J452*PI()/180)+Tableau!$G$35</f>
        <v>-4912.7379678135821</v>
      </c>
      <c r="L452" s="37">
        <f>Tableau!$G$36*SIN(J452*PI()/180)+Tableau!$H$35</f>
        <v>-10000.761524218044</v>
      </c>
      <c r="N452" s="92">
        <v>448</v>
      </c>
      <c r="O452" s="93">
        <v>224</v>
      </c>
      <c r="P452" s="96">
        <f>P451+R451*Tableau!$G$2+((1/2)*T451)*Tableau!$G$2^2</f>
        <v>88150.051740278592</v>
      </c>
      <c r="Q452" s="96">
        <f>Q451+S451*Tableau!$G$2+((1/2)*U451)*Tableau!$G$2^2</f>
        <v>-18633.631412705519</v>
      </c>
      <c r="R452" s="96">
        <f>R451+T451*Tableau!$G$2</f>
        <v>3362.7401156049114</v>
      </c>
      <c r="S452" s="96">
        <f>S451+U451*Tableau!$G$2</f>
        <v>940.98043800119683</v>
      </c>
      <c r="T452" s="96">
        <f t="shared" ref="T452:T515" si="14">V452+X452+Z452</f>
        <v>-162.21535734442199</v>
      </c>
      <c r="U452" s="96">
        <f t="shared" ref="U452:U515" si="15">W452+Y452+AA452</f>
        <v>40.182011308644448</v>
      </c>
      <c r="V452" s="96">
        <f>((Tableau!$G$16-P452)/(AC452^2+Tableau!$G$21^2)^(3/2))*Tableau!$G$20</f>
        <v>-89.243689737340006</v>
      </c>
      <c r="W452" s="96">
        <f>((Tableau!$H$16-Q452)/(AC452^2+Tableau!$G$21^2)^(3/2))*Tableau!$G$20</f>
        <v>34.222449344481745</v>
      </c>
      <c r="X452" s="96">
        <f>((Tableau!$G$25-P452)/(AD452^2+Tableau!$G$30^2)^(3/2))*Tableau!$G$29</f>
        <v>-13.789839765470187</v>
      </c>
      <c r="Y452" s="96">
        <f>((Tableau!$H$25-Q452)/(AD452^2+Tableau!$G$30^2)^(3/2))*Tableau!$G$29</f>
        <v>3.650975498680106</v>
      </c>
      <c r="Z452" s="96">
        <f>((Tableau!$G$35-P452)/(AE452^2+Tableau!$G$40^2)^(3/2))*Tableau!$G$39</f>
        <v>-59.181827841611778</v>
      </c>
      <c r="AA452" s="97">
        <f>((Tableau!$H$35-Q452)/(AE452^2+Tableau!$G$40^2)^(3/2))*Tableau!$G$39</f>
        <v>2.3085864654825956</v>
      </c>
      <c r="AC452" s="110">
        <f>SQRT((Tableau!$G$16-P452)^2+(Tableau!$H$16-Q452)^2)</f>
        <v>72989.014536557472</v>
      </c>
      <c r="AD452" s="111">
        <f>SQRT((Tableau!$G$25-P452)^2+(Tableau!$H$25-Q452)^2)</f>
        <v>111876.35379875236</v>
      </c>
      <c r="AE452" s="112">
        <f>SQRT((Tableau!$G$35-P452)^2+(Tableau!$H$35-Q452)^2)</f>
        <v>93220.895814511357</v>
      </c>
    </row>
    <row r="453" spans="2:31" x14ac:dyDescent="0.25">
      <c r="B453" s="18">
        <v>450</v>
      </c>
      <c r="C453" s="19">
        <f>Tableau!$G$17*COS(B453*PI()/180)+Tableau!$G$16</f>
        <v>20000</v>
      </c>
      <c r="D453" s="19">
        <f>Tableau!$G$17*SIN(B453*PI()/180)+Tableau!$H$16</f>
        <v>12500</v>
      </c>
      <c r="F453" s="26">
        <v>450</v>
      </c>
      <c r="G453" s="27">
        <f>Tableau!$G$26*COS(F453*PI()/180)+Tableau!$G$25</f>
        <v>-20000</v>
      </c>
      <c r="H453" s="27">
        <f>Tableau!$G$26*SIN(F453*PI()/180)+Tableau!$H$25</f>
        <v>13500</v>
      </c>
      <c r="J453" s="34">
        <v>450</v>
      </c>
      <c r="K453" s="35">
        <f>Tableau!$G$36*COS(J453*PI()/180)+Tableau!$G$35</f>
        <v>-4999.9999999999982</v>
      </c>
      <c r="L453" s="35">
        <f>Tableau!$G$36*SIN(J453*PI()/180)+Tableau!$H$35</f>
        <v>-10000</v>
      </c>
      <c r="N453" s="98">
        <v>449</v>
      </c>
      <c r="O453" s="99">
        <v>224.5</v>
      </c>
      <c r="P453" s="101">
        <f>P452+R452*Tableau!$G$2+((1/2)*T452)*Tableau!$G$2^2</f>
        <v>89811.144878413004</v>
      </c>
      <c r="Q453" s="101">
        <f>Q452+S452*Tableau!$G$2+((1/2)*U452)*Tableau!$G$2^2</f>
        <v>-18158.118442291339</v>
      </c>
      <c r="R453" s="101">
        <f>R452+T452*Tableau!$G$2</f>
        <v>3281.6324369327003</v>
      </c>
      <c r="S453" s="101">
        <f>S452+U452*Tableau!$G$2</f>
        <v>961.07144365551903</v>
      </c>
      <c r="T453" s="101">
        <f t="shared" si="14"/>
        <v>-157.13900101079577</v>
      </c>
      <c r="U453" s="101">
        <f t="shared" si="15"/>
        <v>37.14260676997894</v>
      </c>
      <c r="V453" s="101">
        <f>((Tableau!$G$16-P453)/(AC453^2+Tableau!$G$21^2)^(3/2))*Tableau!$G$20</f>
        <v>-86.484231958255833</v>
      </c>
      <c r="W453" s="101">
        <f>((Tableau!$H$16-Q453)/(AC453^2+Tableau!$G$21^2)^(3/2))*Tableau!$G$20</f>
        <v>31.786080443750063</v>
      </c>
      <c r="X453" s="101">
        <f>((Tableau!$G$25-P453)/(AD453^2+Tableau!$G$30^2)^(3/2))*Tableau!$G$29</f>
        <v>-13.459720903962866</v>
      </c>
      <c r="Y453" s="101">
        <f>((Tableau!$H$25-Q453)/(AD453^2+Tableau!$G$30^2)^(3/2))*Tableau!$G$29</f>
        <v>3.4513838812409658</v>
      </c>
      <c r="Z453" s="101">
        <f>((Tableau!$G$35-P453)/(AE453^2+Tableau!$G$40^2)^(3/2))*Tableau!$G$39</f>
        <v>-57.195048148577065</v>
      </c>
      <c r="AA453" s="102">
        <f>((Tableau!$H$35-Q453)/(AE453^2+Tableau!$G$40^2)^(3/2))*Tableau!$G$39</f>
        <v>1.9051424449879064</v>
      </c>
      <c r="AC453" s="113">
        <f>SQRT((Tableau!$G$16-P453)^2+(Tableau!$H$16-Q453)^2)</f>
        <v>74376.97890633512</v>
      </c>
      <c r="AD453" s="114">
        <f>SQRT((Tableau!$G$25-P453)^2+(Tableau!$H$25-Q453)^2)</f>
        <v>113363.87067191169</v>
      </c>
      <c r="AE453" s="115">
        <f>SQRT((Tableau!$G$35-P453)^2+(Tableau!$H$35-Q453)^2)</f>
        <v>94863.728080077912</v>
      </c>
    </row>
    <row r="454" spans="2:31" x14ac:dyDescent="0.25">
      <c r="B454" s="20">
        <v>451</v>
      </c>
      <c r="C454" s="21">
        <f>Tableau!$G$17*COS(B454*PI()/180)+Tableau!$G$16</f>
        <v>19912.73796781358</v>
      </c>
      <c r="D454" s="21">
        <f>Tableau!$G$17*SIN(B454*PI()/180)+Tableau!$H$16</f>
        <v>12499.238475781956</v>
      </c>
      <c r="F454" s="28">
        <v>451</v>
      </c>
      <c r="G454" s="29">
        <f>Tableau!$G$26*COS(F454*PI()/180)+Tableau!$G$25</f>
        <v>-20061.083422530493</v>
      </c>
      <c r="H454" s="29">
        <f>Tableau!$G$26*SIN(F454*PI()/180)+Tableau!$H$25</f>
        <v>13499.46693304737</v>
      </c>
      <c r="J454" s="36">
        <v>451</v>
      </c>
      <c r="K454" s="37">
        <f>Tableau!$G$36*COS(J454*PI()/180)+Tableau!$G$35</f>
        <v>-5087.2620321864197</v>
      </c>
      <c r="L454" s="37">
        <f>Tableau!$G$36*SIN(J454*PI()/180)+Tableau!$H$35</f>
        <v>-10000.761524218044</v>
      </c>
      <c r="N454" s="92">
        <v>450</v>
      </c>
      <c r="O454" s="93">
        <v>225</v>
      </c>
      <c r="P454" s="96">
        <f>P453+R453*Tableau!$G$2+((1/2)*T453)*Tableau!$G$2^2</f>
        <v>91432.318721753007</v>
      </c>
      <c r="Q454" s="96">
        <f>Q453+S453*Tableau!$G$2+((1/2)*U453)*Tableau!$G$2^2</f>
        <v>-17672.939894617331</v>
      </c>
      <c r="R454" s="96">
        <f>R453+T453*Tableau!$G$2</f>
        <v>3203.0629364273022</v>
      </c>
      <c r="S454" s="96">
        <f>S453+U453*Tableau!$G$2</f>
        <v>979.64274704050854</v>
      </c>
      <c r="T454" s="96">
        <f t="shared" si="14"/>
        <v>-152.38131125584357</v>
      </c>
      <c r="U454" s="96">
        <f t="shared" si="15"/>
        <v>34.361164338844304</v>
      </c>
      <c r="V454" s="96">
        <f>((Tableau!$G$16-P454)/(AC454^2+Tableau!$G$21^2)^(3/2))*Tableau!$G$20</f>
        <v>-83.886523812949605</v>
      </c>
      <c r="W454" s="96">
        <f>((Tableau!$H$16-Q454)/(AC454^2+Tableau!$G$21^2)^(3/2))*Tableau!$G$20</f>
        <v>29.56183503068489</v>
      </c>
      <c r="X454" s="96">
        <f>((Tableau!$G$25-P454)/(AD454^2+Tableau!$G$30^2)^(3/2))*Tableau!$G$29</f>
        <v>-13.148250595784329</v>
      </c>
      <c r="Y454" s="96">
        <f>((Tableau!$H$25-Q454)/(AD454^2+Tableau!$G$30^2)^(3/2))*Tableau!$G$29</f>
        <v>3.2652174219316312</v>
      </c>
      <c r="Z454" s="96">
        <f>((Tableau!$G$35-P454)/(AE454^2+Tableau!$G$40^2)^(3/2))*Tableau!$G$39</f>
        <v>-55.34653684710964</v>
      </c>
      <c r="AA454" s="97">
        <f>((Tableau!$H$35-Q454)/(AE454^2+Tableau!$G$40^2)^(3/2))*Tableau!$G$39</f>
        <v>1.5341118862277856</v>
      </c>
      <c r="AC454" s="110">
        <f>SQRT((Tableau!$G$16-P454)^2+(Tableau!$H$16-Q454)^2)</f>
        <v>75738.055565905059</v>
      </c>
      <c r="AD454" s="111">
        <f>SQRT((Tableau!$G$25-P454)^2+(Tableau!$H$25-Q454)^2)</f>
        <v>114817.04254211328</v>
      </c>
      <c r="AE454" s="112">
        <f>SQRT((Tableau!$G$35-P454)^2+(Tableau!$H$35-Q454)^2)</f>
        <v>96469.356283402201</v>
      </c>
    </row>
    <row r="455" spans="2:31" x14ac:dyDescent="0.25">
      <c r="B455" s="18">
        <v>452</v>
      </c>
      <c r="C455" s="19">
        <f>Tableau!$G$17*COS(B455*PI()/180)+Tableau!$G$16</f>
        <v>19825.502516487497</v>
      </c>
      <c r="D455" s="19">
        <f>Tableau!$G$17*SIN(B455*PI()/180)+Tableau!$H$16</f>
        <v>12496.954135095479</v>
      </c>
      <c r="F455" s="26">
        <v>452</v>
      </c>
      <c r="G455" s="27">
        <f>Tableau!$G$26*COS(F455*PI()/180)+Tableau!$G$25</f>
        <v>-20122.148238458751</v>
      </c>
      <c r="H455" s="27">
        <f>Tableau!$G$26*SIN(F455*PI()/180)+Tableau!$H$25</f>
        <v>13497.867894566836</v>
      </c>
      <c r="J455" s="34">
        <v>452</v>
      </c>
      <c r="K455" s="35">
        <f>Tableau!$G$36*COS(J455*PI()/180)+Tableau!$G$35</f>
        <v>-5174.4974835125013</v>
      </c>
      <c r="L455" s="35">
        <f>Tableau!$G$36*SIN(J455*PI()/180)+Tableau!$H$35</f>
        <v>-10003.045864904521</v>
      </c>
      <c r="N455" s="98">
        <v>451</v>
      </c>
      <c r="O455" s="99">
        <v>225.5</v>
      </c>
      <c r="P455" s="101">
        <f>P454+R454*Tableau!$G$2+((1/2)*T454)*Tableau!$G$2^2</f>
        <v>93014.802526059677</v>
      </c>
      <c r="Q455" s="101">
        <f>Q454+S454*Tableau!$G$2+((1/2)*U454)*Tableau!$G$2^2</f>
        <v>-17178.823375554719</v>
      </c>
      <c r="R455" s="101">
        <f>R454+T454*Tableau!$G$2</f>
        <v>3126.8722807993804</v>
      </c>
      <c r="S455" s="101">
        <f>S454+U454*Tableau!$G$2</f>
        <v>996.82332920993065</v>
      </c>
      <c r="T455" s="101">
        <f t="shared" si="14"/>
        <v>-147.91583393853421</v>
      </c>
      <c r="U455" s="101">
        <f t="shared" si="15"/>
        <v>31.809400349676437</v>
      </c>
      <c r="V455" s="101">
        <f>((Tableau!$G$16-P455)/(AC455^2+Tableau!$G$21^2)^(3/2))*Tableau!$G$20</f>
        <v>-81.438908221301602</v>
      </c>
      <c r="W455" s="101">
        <f>((Tableau!$H$16-Q455)/(AC455^2+Tableau!$G$21^2)^(3/2))*Tableau!$G$20</f>
        <v>27.526150347036694</v>
      </c>
      <c r="X455" s="101">
        <f>((Tableau!$G$25-P455)/(AD455^2+Tableau!$G$30^2)^(3/2))*Tableau!$G$29</f>
        <v>-12.853958804700973</v>
      </c>
      <c r="Y455" s="101">
        <f>((Tableau!$H$25-Q455)/(AD455^2+Tableau!$G$30^2)^(3/2))*Tableau!$G$29</f>
        <v>3.091236441784408</v>
      </c>
      <c r="Z455" s="101">
        <f>((Tableau!$G$35-P455)/(AE455^2+Tableau!$G$40^2)^(3/2))*Tableau!$G$39</f>
        <v>-53.622966912531652</v>
      </c>
      <c r="AA455" s="102">
        <f>((Tableau!$H$35-Q455)/(AE455^2+Tableau!$G$40^2)^(3/2))*Tableau!$G$39</f>
        <v>1.1920135608553384</v>
      </c>
      <c r="AC455" s="113">
        <f>SQRT((Tableau!$G$16-P455)^2+(Tableau!$H$16-Q455)^2)</f>
        <v>77072.730009526174</v>
      </c>
      <c r="AD455" s="114">
        <f>SQRT((Tableau!$G$25-P455)^2+(Tableau!$H$25-Q455)^2)</f>
        <v>116236.9735931036</v>
      </c>
      <c r="AE455" s="115">
        <f>SQRT((Tableau!$G$35-P455)^2+(Tableau!$H$35-Q455)^2)</f>
        <v>98039.016649109341</v>
      </c>
    </row>
    <row r="456" spans="2:31" x14ac:dyDescent="0.25">
      <c r="B456" s="20">
        <v>453</v>
      </c>
      <c r="C456" s="21">
        <f>Tableau!$G$17*COS(B456*PI()/180)+Tableau!$G$16</f>
        <v>19738.32021878528</v>
      </c>
      <c r="D456" s="21">
        <f>Tableau!$G$17*SIN(B456*PI()/180)+Tableau!$H$16</f>
        <v>12493.14767377287</v>
      </c>
      <c r="F456" s="28">
        <v>453</v>
      </c>
      <c r="G456" s="29">
        <f>Tableau!$G$26*COS(F456*PI()/180)+Tableau!$G$25</f>
        <v>-20183.175846850303</v>
      </c>
      <c r="H456" s="29">
        <f>Tableau!$G$26*SIN(F456*PI()/180)+Tableau!$H$25</f>
        <v>13495.203371641008</v>
      </c>
      <c r="J456" s="36">
        <v>453</v>
      </c>
      <c r="K456" s="37">
        <f>Tableau!$G$36*COS(J456*PI()/180)+Tableau!$G$35</f>
        <v>-5261.6797812147188</v>
      </c>
      <c r="L456" s="37">
        <f>Tableau!$G$36*SIN(J456*PI()/180)+Tableau!$H$35</f>
        <v>-10006.85232622713</v>
      </c>
      <c r="N456" s="92">
        <v>452</v>
      </c>
      <c r="O456" s="93">
        <v>226</v>
      </c>
      <c r="P456" s="96">
        <f>P455+R455*Tableau!$G$2+((1/2)*T455)*Tableau!$G$2^2</f>
        <v>94559.74918721705</v>
      </c>
      <c r="Q456" s="96">
        <f>Q455+S455*Tableau!$G$2+((1/2)*U455)*Tableau!$G$2^2</f>
        <v>-16676.435535906043</v>
      </c>
      <c r="R456" s="96">
        <f>R455+T455*Tableau!$G$2</f>
        <v>3052.9143638301134</v>
      </c>
      <c r="S456" s="96">
        <f>S455+U455*Tableau!$G$2</f>
        <v>1012.7280293847689</v>
      </c>
      <c r="T456" s="96">
        <f t="shared" si="14"/>
        <v>-143.71879978403621</v>
      </c>
      <c r="U456" s="96">
        <f t="shared" si="15"/>
        <v>29.462725647167229</v>
      </c>
      <c r="V456" s="96">
        <f>((Tableau!$G$16-P456)/(AC456^2+Tableau!$G$21^2)^(3/2))*Tableau!$G$20</f>
        <v>-79.130623099866398</v>
      </c>
      <c r="W456" s="96">
        <f>((Tableau!$H$16-Q456)/(AC456^2+Tableau!$G$21^2)^(3/2))*Tableau!$G$20</f>
        <v>25.658568183837048</v>
      </c>
      <c r="X456" s="96">
        <f>((Tableau!$G$25-P456)/(AD456^2+Tableau!$G$30^2)^(3/2))*Tableau!$G$29</f>
        <v>-12.575527826062324</v>
      </c>
      <c r="Y456" s="96">
        <f>((Tableau!$H$25-Q456)/(AD456^2+Tableau!$G$30^2)^(3/2))*Tableau!$G$29</f>
        <v>2.9283431550963721</v>
      </c>
      <c r="Z456" s="96">
        <f>((Tableau!$G$35-P456)/(AE456^2+Tableau!$G$40^2)^(3/2))*Tableau!$G$39</f>
        <v>-52.012648858107468</v>
      </c>
      <c r="AA456" s="97">
        <f>((Tableau!$H$35-Q456)/(AE456^2+Tableau!$G$40^2)^(3/2))*Tableau!$G$39</f>
        <v>0.87581430823381079</v>
      </c>
      <c r="AC456" s="110">
        <f>SQRT((Tableau!$G$16-P456)^2+(Tableau!$H$16-Q456)^2)</f>
        <v>78381.478897010704</v>
      </c>
      <c r="AD456" s="111">
        <f>SQRT((Tableau!$G$25-P456)^2+(Tableau!$H$25-Q456)^2)</f>
        <v>117624.69275938376</v>
      </c>
      <c r="AE456" s="112">
        <f>SQRT((Tableau!$G$35-P456)^2+(Tableau!$H$35-Q456)^2)</f>
        <v>99573.862505818339</v>
      </c>
    </row>
    <row r="457" spans="2:31" x14ac:dyDescent="0.25">
      <c r="B457" s="18">
        <v>454</v>
      </c>
      <c r="C457" s="19">
        <f>Tableau!$G$17*COS(B457*PI()/180)+Tableau!$G$16</f>
        <v>19651.217631279378</v>
      </c>
      <c r="D457" s="19">
        <f>Tableau!$G$17*SIN(B457*PI()/180)+Tableau!$H$16</f>
        <v>12487.820251299123</v>
      </c>
      <c r="F457" s="26">
        <v>454</v>
      </c>
      <c r="G457" s="27">
        <f>Tableau!$G$26*COS(F457*PI()/180)+Tableau!$G$25</f>
        <v>-20244.147658104434</v>
      </c>
      <c r="H457" s="27">
        <f>Tableau!$G$26*SIN(F457*PI()/180)+Tableau!$H$25</f>
        <v>13491.474175909385</v>
      </c>
      <c r="J457" s="34">
        <v>454</v>
      </c>
      <c r="K457" s="35">
        <f>Tableau!$G$36*COS(J457*PI()/180)+Tableau!$G$35</f>
        <v>-5348.782368720621</v>
      </c>
      <c r="L457" s="35">
        <f>Tableau!$G$36*SIN(J457*PI()/180)+Tableau!$H$35</f>
        <v>-10012.179748700877</v>
      </c>
      <c r="N457" s="98">
        <v>453</v>
      </c>
      <c r="O457" s="99">
        <v>226.5</v>
      </c>
      <c r="P457" s="101">
        <f>P456+R456*Tableau!$G$2+((1/2)*T456)*Tableau!$G$2^2</f>
        <v>96068.241519159099</v>
      </c>
      <c r="Q457" s="101">
        <f>Q456+S456*Tableau!$G$2+((1/2)*U456)*Tableau!$G$2^2</f>
        <v>-16166.388680507762</v>
      </c>
      <c r="R457" s="101">
        <f>R456+T456*Tableau!$G$2</f>
        <v>2981.0549639380952</v>
      </c>
      <c r="S457" s="101">
        <f>S456+U456*Tableau!$G$2</f>
        <v>1027.4593922083525</v>
      </c>
      <c r="T457" s="101">
        <f t="shared" si="14"/>
        <v>-139.7688146208036</v>
      </c>
      <c r="U457" s="101">
        <f t="shared" si="15"/>
        <v>27.299690846859182</v>
      </c>
      <c r="V457" s="101">
        <f>((Tableau!$G$16-P457)/(AC457^2+Tableau!$G$21^2)^(3/2))*Tableau!$G$20</f>
        <v>-76.95175206240647</v>
      </c>
      <c r="W457" s="101">
        <f>((Tableau!$H$16-Q457)/(AC457^2+Tableau!$G$21^2)^(3/2))*Tableau!$G$20</f>
        <v>23.9412669148699</v>
      </c>
      <c r="X457" s="101">
        <f>((Tableau!$G$25-P457)/(AD457^2+Tableau!$G$30^2)^(3/2))*Tableau!$G$29</f>
        <v>-12.311773007647721</v>
      </c>
      <c r="Y457" s="101">
        <f>((Tableau!$H$25-Q457)/(AD457^2+Tableau!$G$30^2)^(3/2))*Tableau!$G$29</f>
        <v>2.7755623213359106</v>
      </c>
      <c r="Z457" s="101">
        <f>((Tableau!$G$35-P457)/(AE457^2+Tableau!$G$40^2)^(3/2))*Tableau!$G$39</f>
        <v>-50.505289550749417</v>
      </c>
      <c r="AA457" s="102">
        <f>((Tableau!$H$35-Q457)/(AE457^2+Tableau!$G$40^2)^(3/2))*Tableau!$G$39</f>
        <v>0.58286161065337183</v>
      </c>
      <c r="AC457" s="113">
        <f>SQRT((Tableau!$G$16-P457)^2+(Tableau!$H$16-Q457)^2)</f>
        <v>79664.768379717178</v>
      </c>
      <c r="AD457" s="114">
        <f>SQRT((Tableau!$G$25-P457)^2+(Tableau!$H$25-Q457)^2)</f>
        <v>118981.16063448554</v>
      </c>
      <c r="AE457" s="115">
        <f>SQRT((Tableau!$G$35-P457)^2+(Tableau!$H$35-Q457)^2)</f>
        <v>101074.97171075089</v>
      </c>
    </row>
    <row r="458" spans="2:31" x14ac:dyDescent="0.25">
      <c r="B458" s="20">
        <v>455</v>
      </c>
      <c r="C458" s="21">
        <f>Tableau!$G$17*COS(B458*PI()/180)+Tableau!$G$16</f>
        <v>19564.221286261713</v>
      </c>
      <c r="D458" s="21">
        <f>Tableau!$G$17*SIN(B458*PI()/180)+Tableau!$H$16</f>
        <v>12480.973490458728</v>
      </c>
      <c r="F458" s="28">
        <v>455</v>
      </c>
      <c r="G458" s="29">
        <f>Tableau!$G$26*COS(F458*PI()/180)+Tableau!$G$25</f>
        <v>-20305.045099616804</v>
      </c>
      <c r="H458" s="29">
        <f>Tableau!$G$26*SIN(F458*PI()/180)+Tableau!$H$25</f>
        <v>13486.681443321109</v>
      </c>
      <c r="J458" s="36">
        <v>455</v>
      </c>
      <c r="K458" s="37">
        <f>Tableau!$G$36*COS(J458*PI()/180)+Tableau!$G$35</f>
        <v>-5435.7787137382893</v>
      </c>
      <c r="L458" s="37">
        <f>Tableau!$G$36*SIN(J458*PI()/180)+Tableau!$H$35</f>
        <v>-10019.026509541272</v>
      </c>
      <c r="N458" s="92">
        <v>454</v>
      </c>
      <c r="O458" s="93">
        <v>227</v>
      </c>
      <c r="P458" s="96">
        <f>P457+R457*Tableau!$G$2+((1/2)*T457)*Tableau!$G$2^2</f>
        <v>97541.297899300553</v>
      </c>
      <c r="Q458" s="96">
        <f>Q457+S457*Tableau!$G$2+((1/2)*U457)*Tableau!$G$2^2</f>
        <v>-15649.246523047728</v>
      </c>
      <c r="R458" s="96">
        <f>R457+T457*Tableau!$G$2</f>
        <v>2911.1705566276933</v>
      </c>
      <c r="S458" s="96">
        <f>S457+U457*Tableau!$G$2</f>
        <v>1041.109237631782</v>
      </c>
      <c r="T458" s="96">
        <f t="shared" si="14"/>
        <v>-136.04658800291509</v>
      </c>
      <c r="U458" s="96">
        <f t="shared" si="15"/>
        <v>25.301524626557011</v>
      </c>
      <c r="V458" s="96">
        <f>((Tableau!$G$16-P458)/(AC458^2+Tableau!$G$21^2)^(3/2))*Tableau!$G$20</f>
        <v>-74.893169584218995</v>
      </c>
      <c r="W458" s="96">
        <f>((Tableau!$H$16-Q458)/(AC458^2+Tableau!$G$21^2)^(3/2))*Tableau!$G$20</f>
        <v>22.358671992426686</v>
      </c>
      <c r="X458" s="96">
        <f>((Tableau!$G$25-P458)/(AD458^2+Tableau!$G$30^2)^(3/2))*Tableau!$G$29</f>
        <v>-12.061626337152189</v>
      </c>
      <c r="Y458" s="96">
        <f>((Tableau!$H$25-Q458)/(AD458^2+Tableau!$G$30^2)^(3/2))*Tableau!$G$29</f>
        <v>2.6320249386351442</v>
      </c>
      <c r="Z458" s="96">
        <f>((Tableau!$G$35-P458)/(AE458^2+Tableau!$G$40^2)^(3/2))*Tableau!$G$39</f>
        <v>-49.091792081543907</v>
      </c>
      <c r="AA458" s="97">
        <f>((Tableau!$H$35-Q458)/(AE458^2+Tableau!$G$40^2)^(3/2))*Tableau!$G$39</f>
        <v>0.31082769549518041</v>
      </c>
      <c r="AC458" s="110">
        <f>SQRT((Tableau!$G$16-P458)^2+(Tableau!$H$16-Q458)^2)</f>
        <v>80923.052923705924</v>
      </c>
      <c r="AD458" s="111">
        <f>SQRT((Tableau!$G$25-P458)^2+(Tableau!$H$25-Q458)^2)</f>
        <v>120307.27558652549</v>
      </c>
      <c r="AE458" s="112">
        <f>SQRT((Tableau!$G$35-P458)^2+(Tableau!$H$35-Q458)^2)</f>
        <v>102543.35325081187</v>
      </c>
    </row>
    <row r="459" spans="2:31" x14ac:dyDescent="0.25">
      <c r="B459" s="18">
        <v>456</v>
      </c>
      <c r="C459" s="19">
        <f>Tableau!$G$17*COS(B459*PI()/180)+Tableau!$G$16</f>
        <v>19477.357683661736</v>
      </c>
      <c r="D459" s="19">
        <f>Tableau!$G$17*SIN(B459*PI()/180)+Tableau!$H$16</f>
        <v>12472.609476841368</v>
      </c>
      <c r="F459" s="26">
        <v>456</v>
      </c>
      <c r="G459" s="27">
        <f>Tableau!$G$26*COS(F459*PI()/180)+Tableau!$G$25</f>
        <v>-20365.849621436784</v>
      </c>
      <c r="H459" s="27">
        <f>Tableau!$G$26*SIN(F459*PI()/180)+Tableau!$H$25</f>
        <v>13480.826633788956</v>
      </c>
      <c r="J459" s="34">
        <v>456</v>
      </c>
      <c r="K459" s="35">
        <f>Tableau!$G$36*COS(J459*PI()/180)+Tableau!$G$35</f>
        <v>-5522.6423163382642</v>
      </c>
      <c r="L459" s="35">
        <f>Tableau!$G$36*SIN(J459*PI()/180)+Tableau!$H$35</f>
        <v>-10027.390523158632</v>
      </c>
      <c r="N459" s="98">
        <v>455</v>
      </c>
      <c r="O459" s="99">
        <v>227.5</v>
      </c>
      <c r="P459" s="101">
        <f>P458+R458*Tableau!$G$2+((1/2)*T458)*Tableau!$G$2^2</f>
        <v>98979.877354114025</v>
      </c>
      <c r="Q459" s="101">
        <f>Q458+S458*Tableau!$G$2+((1/2)*U458)*Tableau!$G$2^2</f>
        <v>-15125.529213653517</v>
      </c>
      <c r="R459" s="101">
        <f>R458+T458*Tableau!$G$2</f>
        <v>2843.1472626262357</v>
      </c>
      <c r="S459" s="101">
        <f>S458+U458*Tableau!$G$2</f>
        <v>1053.7599999450604</v>
      </c>
      <c r="T459" s="101">
        <f t="shared" si="14"/>
        <v>-132.53469547704336</v>
      </c>
      <c r="U459" s="101">
        <f t="shared" si="15"/>
        <v>23.451747991385012</v>
      </c>
      <c r="V459" s="101">
        <f>((Tableau!$G$16-P459)/(AC459^2+Tableau!$G$21^2)^(3/2))*Tableau!$G$20</f>
        <v>-72.946484248425364</v>
      </c>
      <c r="W459" s="101">
        <f>((Tableau!$H$16-Q459)/(AC459^2+Tableau!$G$21^2)^(3/2))*Tableau!$G$20</f>
        <v>20.897130581706239</v>
      </c>
      <c r="X459" s="101">
        <f>((Tableau!$G$25-P459)/(AD459^2+Tableau!$G$30^2)^(3/2))*Tableau!$G$29</f>
        <v>-11.824122409888991</v>
      </c>
      <c r="Y459" s="101">
        <f>((Tableau!$H$25-Q459)/(AD459^2+Tableau!$G$30^2)^(3/2))*Tableau!$G$29</f>
        <v>2.4969544400459793</v>
      </c>
      <c r="Z459" s="101">
        <f>((Tableau!$G$35-P459)/(AE459^2+Tableau!$G$40^2)^(3/2))*Tableau!$G$39</f>
        <v>-47.764088818729014</v>
      </c>
      <c r="AA459" s="102">
        <f>((Tableau!$H$35-Q459)/(AE459^2+Tableau!$G$40^2)^(3/2))*Tableau!$G$39</f>
        <v>5.7662969632792896E-2</v>
      </c>
      <c r="AC459" s="113">
        <f>SQRT((Tableau!$G$16-P459)^2+(Tableau!$H$16-Q459)^2)</f>
        <v>82156.774517192316</v>
      </c>
      <c r="AD459" s="114">
        <f>SQRT((Tableau!$G$25-P459)^2+(Tableau!$H$25-Q459)^2)</f>
        <v>121603.87918757433</v>
      </c>
      <c r="AE459" s="115">
        <f>SQRT((Tableau!$G$35-P459)^2+(Tableau!$H$35-Q459)^2)</f>
        <v>103979.95312636025</v>
      </c>
    </row>
    <row r="460" spans="2:31" x14ac:dyDescent="0.25">
      <c r="B460" s="20">
        <v>457</v>
      </c>
      <c r="C460" s="21">
        <f>Tableau!$G$17*COS(B460*PI()/180)+Tableau!$G$16</f>
        <v>19390.653282974261</v>
      </c>
      <c r="D460" s="21">
        <f>Tableau!$G$17*SIN(B460*PI()/180)+Tableau!$H$16</f>
        <v>12462.73075820661</v>
      </c>
      <c r="F460" s="28">
        <v>457</v>
      </c>
      <c r="G460" s="29">
        <f>Tableau!$G$26*COS(F460*PI()/180)+Tableau!$G$25</f>
        <v>-20426.542701918017</v>
      </c>
      <c r="H460" s="29">
        <f>Tableau!$G$26*SIN(F460*PI()/180)+Tableau!$H$25</f>
        <v>13473.911530744626</v>
      </c>
      <c r="J460" s="36">
        <v>457</v>
      </c>
      <c r="K460" s="37">
        <f>Tableau!$G$36*COS(J460*PI()/180)+Tableau!$G$35</f>
        <v>-5609.3467170257381</v>
      </c>
      <c r="L460" s="37">
        <f>Tableau!$G$36*SIN(J460*PI()/180)+Tableau!$H$35</f>
        <v>-10037.26924179339</v>
      </c>
      <c r="N460" s="92">
        <v>456</v>
      </c>
      <c r="O460" s="93">
        <v>228</v>
      </c>
      <c r="P460" s="96">
        <f>P459+R459*Tableau!$G$2+((1/2)*T459)*Tableau!$G$2^2</f>
        <v>100384.88414849252</v>
      </c>
      <c r="Q460" s="96">
        <f>Q459+S459*Tableau!$G$2+((1/2)*U459)*Tableau!$G$2^2</f>
        <v>-14595.717745182063</v>
      </c>
      <c r="R460" s="96">
        <f>R459+T459*Tableau!$G$2</f>
        <v>2776.8799148877142</v>
      </c>
      <c r="S460" s="96">
        <f>S459+U459*Tableau!$G$2</f>
        <v>1065.485873940753</v>
      </c>
      <c r="T460" s="96">
        <f t="shared" si="14"/>
        <v>-129.21737024425994</v>
      </c>
      <c r="U460" s="96">
        <f t="shared" si="15"/>
        <v>21.735850815035121</v>
      </c>
      <c r="V460" s="96">
        <f>((Tableau!$G$16-P460)/(AC460^2+Tableau!$G$21^2)^(3/2))*Tableau!$G$20</f>
        <v>-71.103982421857722</v>
      </c>
      <c r="W460" s="96">
        <f>((Tableau!$H$16-Q460)/(AC460^2+Tableau!$G$21^2)^(3/2))*Tableau!$G$20</f>
        <v>19.544638806090987</v>
      </c>
      <c r="X460" s="96">
        <f>((Tableau!$G$25-P460)/(AD460^2+Tableau!$G$30^2)^(3/2))*Tableau!$G$29</f>
        <v>-11.598386382515709</v>
      </c>
      <c r="Y460" s="96">
        <f>((Tableau!$H$25-Q460)/(AD460^2+Tableau!$G$30^2)^(3/2))*Tableau!$G$29</f>
        <v>2.3696549594386247</v>
      </c>
      <c r="Z460" s="96">
        <f>((Tableau!$G$35-P460)/(AE460^2+Tableau!$G$40^2)^(3/2))*Tableau!$G$39</f>
        <v>-46.515001439886511</v>
      </c>
      <c r="AA460" s="97">
        <f>((Tableau!$H$35-Q460)/(AE460^2+Tableau!$G$40^2)^(3/2))*Tableau!$G$39</f>
        <v>-0.17844295049448913</v>
      </c>
      <c r="AC460" s="110">
        <f>SQRT((Tableau!$G$16-P460)^2+(Tableau!$H$16-Q460)^2)</f>
        <v>83366.362174688402</v>
      </c>
      <c r="AD460" s="111">
        <f>SQRT((Tableau!$G$25-P460)^2+(Tableau!$H$25-Q460)^2)</f>
        <v>122871.7610472261</v>
      </c>
      <c r="AE460" s="112">
        <f>SQRT((Tableau!$G$35-P460)^2+(Tableau!$H$35-Q460)^2)</f>
        <v>105385.659608567</v>
      </c>
    </row>
    <row r="461" spans="2:31" x14ac:dyDescent="0.25">
      <c r="B461" s="18">
        <v>458</v>
      </c>
      <c r="C461" s="19">
        <f>Tableau!$G$17*COS(B461*PI()/180)+Tableau!$G$16</f>
        <v>19304.134495199676</v>
      </c>
      <c r="D461" s="19">
        <f>Tableau!$G$17*SIN(B461*PI()/180)+Tableau!$H$16</f>
        <v>12451.340343707852</v>
      </c>
      <c r="F461" s="26">
        <v>458</v>
      </c>
      <c r="G461" s="27">
        <f>Tableau!$G$26*COS(F461*PI()/180)+Tableau!$G$25</f>
        <v>-20487.105853360226</v>
      </c>
      <c r="H461" s="27">
        <f>Tableau!$G$26*SIN(F461*PI()/180)+Tableau!$H$25</f>
        <v>13465.938240595497</v>
      </c>
      <c r="J461" s="34">
        <v>458</v>
      </c>
      <c r="K461" s="35">
        <f>Tableau!$G$36*COS(J461*PI()/180)+Tableau!$G$35</f>
        <v>-5695.865504800322</v>
      </c>
      <c r="L461" s="35">
        <f>Tableau!$G$36*SIN(J461*PI()/180)+Tableau!$H$35</f>
        <v>-10048.659656292148</v>
      </c>
      <c r="N461" s="98">
        <v>457</v>
      </c>
      <c r="O461" s="99">
        <v>228.5</v>
      </c>
      <c r="P461" s="101">
        <f>P460+R460*Tableau!$G$2+((1/2)*T460)*Tableau!$G$2^2</f>
        <v>101757.17193465585</v>
      </c>
      <c r="Q461" s="101">
        <f>Q460+S460*Tableau!$G$2+((1/2)*U460)*Tableau!$G$2^2</f>
        <v>-14060.257826859806</v>
      </c>
      <c r="R461" s="101">
        <f>R460+T460*Tableau!$G$2</f>
        <v>2712.2712297655844</v>
      </c>
      <c r="S461" s="101">
        <f>S460+U460*Tableau!$G$2</f>
        <v>1076.3537993482705</v>
      </c>
      <c r="T461" s="101">
        <f t="shared" si="14"/>
        <v>-126.08032045135553</v>
      </c>
      <c r="U461" s="101">
        <f t="shared" si="15"/>
        <v>20.141019619557575</v>
      </c>
      <c r="V461" s="101">
        <f>((Tableau!$G$16-P461)/(AC461^2+Tableau!$G$21^2)^(3/2))*Tableau!$G$20</f>
        <v>-69.358573836326357</v>
      </c>
      <c r="W461" s="101">
        <f>((Tableau!$H$16-Q461)/(AC461^2+Tableau!$G$21^2)^(3/2))*Tableau!$G$20</f>
        <v>18.290612297715896</v>
      </c>
      <c r="X461" s="101">
        <f>((Tableau!$G$25-P461)/(AD461^2+Tableau!$G$30^2)^(3/2))*Tableau!$G$29</f>
        <v>-11.383623591595283</v>
      </c>
      <c r="Y461" s="101">
        <f>((Tableau!$H$25-Q461)/(AD461^2+Tableau!$G$30^2)^(3/2))*Tableau!$G$29</f>
        <v>2.2495013169712754</v>
      </c>
      <c r="Z461" s="101">
        <f>((Tableau!$G$35-P461)/(AE461^2+Tableau!$G$40^2)^(3/2))*Tableau!$G$39</f>
        <v>-45.338123023433887</v>
      </c>
      <c r="AA461" s="102">
        <f>((Tableau!$H$35-Q461)/(AE461^2+Tableau!$G$40^2)^(3/2))*Tableau!$G$39</f>
        <v>-0.39909399512959803</v>
      </c>
      <c r="AC461" s="113">
        <f>SQRT((Tableau!$G$16-P461)^2+(Tableau!$H$16-Q461)^2)</f>
        <v>84552.231669622706</v>
      </c>
      <c r="AD461" s="114">
        <f>SQRT((Tableau!$G$25-P461)^2+(Tableau!$H$25-Q461)^2)</f>
        <v>124111.66312728355</v>
      </c>
      <c r="AE461" s="115">
        <f>SQRT((Tableau!$G$35-P461)^2+(Tableau!$H$35-Q461)^2)</f>
        <v>106761.30794832765</v>
      </c>
    </row>
    <row r="462" spans="2:31" x14ac:dyDescent="0.25">
      <c r="B462" s="20">
        <v>459</v>
      </c>
      <c r="C462" s="21">
        <f>Tableau!$G$17*COS(B462*PI()/180)+Tableau!$G$16</f>
        <v>19217.827674798853</v>
      </c>
      <c r="D462" s="21">
        <f>Tableau!$G$17*SIN(B462*PI()/180)+Tableau!$H$16</f>
        <v>12438.44170297569</v>
      </c>
      <c r="F462" s="28">
        <v>459</v>
      </c>
      <c r="G462" s="29">
        <f>Tableau!$G$26*COS(F462*PI()/180)+Tableau!$G$25</f>
        <v>-20547.520627640803</v>
      </c>
      <c r="H462" s="29">
        <f>Tableau!$G$26*SIN(F462*PI()/180)+Tableau!$H$25</f>
        <v>13456.909192082981</v>
      </c>
      <c r="J462" s="36">
        <v>459</v>
      </c>
      <c r="K462" s="37">
        <f>Tableau!$G$36*COS(J462*PI()/180)+Tableau!$G$35</f>
        <v>-5782.1723252011489</v>
      </c>
      <c r="L462" s="37">
        <f>Tableau!$G$36*SIN(J462*PI()/180)+Tableau!$H$35</f>
        <v>-10061.55829702431</v>
      </c>
      <c r="N462" s="92">
        <v>458</v>
      </c>
      <c r="O462" s="93">
        <v>229</v>
      </c>
      <c r="P462" s="96">
        <f>P461+R461*Tableau!$G$2+((1/2)*T461)*Tableau!$G$2^2</f>
        <v>103097.54750948222</v>
      </c>
      <c r="Q462" s="96">
        <f>Q461+S461*Tableau!$G$2+((1/2)*U461)*Tableau!$G$2^2</f>
        <v>-13519.563299733225</v>
      </c>
      <c r="R462" s="96">
        <f>R461+T461*Tableau!$G$2</f>
        <v>2649.2310695399065</v>
      </c>
      <c r="S462" s="96">
        <f>S461+U461*Tableau!$G$2</f>
        <v>1086.4243091580493</v>
      </c>
      <c r="T462" s="96">
        <f t="shared" si="14"/>
        <v>-123.11056880272393</v>
      </c>
      <c r="U462" s="96">
        <f t="shared" si="15"/>
        <v>18.65590766779405</v>
      </c>
      <c r="V462" s="96">
        <f>((Tableau!$G$16-P462)/(AC462^2+Tableau!$G$21^2)^(3/2))*Tableau!$G$20</f>
        <v>-67.703739955636152</v>
      </c>
      <c r="W462" s="96">
        <f>((Tableau!$H$16-Q462)/(AC462^2+Tableau!$G$21^2)^(3/2))*Tableau!$G$20</f>
        <v>17.125692517745872</v>
      </c>
      <c r="X462" s="96">
        <f>((Tableau!$G$25-P462)/(AD462^2+Tableau!$G$30^2)^(3/2))*Tableau!$G$29</f>
        <v>-11.179110573929233</v>
      </c>
      <c r="Y462" s="96">
        <f>((Tableau!$H$25-Q462)/(AD462^2+Tableau!$G$30^2)^(3/2))*Tableau!$G$29</f>
        <v>2.1359304397026455</v>
      </c>
      <c r="Z462" s="96">
        <f>((Tableau!$G$35-P462)/(AE462^2+Tableau!$G$40^2)^(3/2))*Tableau!$G$39</f>
        <v>-44.227718273158544</v>
      </c>
      <c r="AA462" s="97">
        <f>((Tableau!$H$35-Q462)/(AE462^2+Tableau!$G$40^2)^(3/2))*Tableau!$G$39</f>
        <v>-0.60571528965446564</v>
      </c>
      <c r="AC462" s="110">
        <f>SQRT((Tableau!$G$16-P462)^2+(Tableau!$H$16-Q462)^2)</f>
        <v>85714.785442198627</v>
      </c>
      <c r="AD462" s="111">
        <f>SQRT((Tableau!$G$25-P462)^2+(Tableau!$H$25-Q462)^2)</f>
        <v>125324.2836032163</v>
      </c>
      <c r="AE462" s="112">
        <f>SQRT((Tableau!$G$35-P462)^2+(Tableau!$H$35-Q462)^2)</f>
        <v>108107.68460377025</v>
      </c>
    </row>
    <row r="463" spans="2:31" x14ac:dyDescent="0.25">
      <c r="B463" s="18">
        <v>460</v>
      </c>
      <c r="C463" s="19">
        <f>Tableau!$G$17*COS(B463*PI()/180)+Tableau!$G$16</f>
        <v>19131.759111665349</v>
      </c>
      <c r="D463" s="19">
        <f>Tableau!$G$17*SIN(B463*PI()/180)+Tableau!$H$16</f>
        <v>12424.038765061041</v>
      </c>
      <c r="F463" s="26">
        <v>460</v>
      </c>
      <c r="G463" s="27">
        <f>Tableau!$G$26*COS(F463*PI()/180)+Tableau!$G$25</f>
        <v>-20607.768621834253</v>
      </c>
      <c r="H463" s="27">
        <f>Tableau!$G$26*SIN(F463*PI()/180)+Tableau!$H$25</f>
        <v>13446.827135542728</v>
      </c>
      <c r="J463" s="34">
        <v>460</v>
      </c>
      <c r="K463" s="35">
        <f>Tableau!$G$36*COS(J463*PI()/180)+Tableau!$G$35</f>
        <v>-5868.2408883346488</v>
      </c>
      <c r="L463" s="35">
        <f>Tableau!$G$36*SIN(J463*PI()/180)+Tableau!$H$35</f>
        <v>-10075.961234938959</v>
      </c>
      <c r="N463" s="98">
        <v>459</v>
      </c>
      <c r="O463" s="99">
        <v>229.5</v>
      </c>
      <c r="P463" s="101">
        <f>P462+R462*Tableau!$G$2+((1/2)*T462)*Tableau!$G$2^2</f>
        <v>104406.77422315184</v>
      </c>
      <c r="Q463" s="101">
        <f>Q462+S462*Tableau!$G$2+((1/2)*U462)*Tableau!$G$2^2</f>
        <v>-12974.019156695726</v>
      </c>
      <c r="R463" s="101">
        <f>R462+T462*Tableau!$G$2</f>
        <v>2587.6757851385446</v>
      </c>
      <c r="S463" s="101">
        <f>S462+U462*Tableau!$G$2</f>
        <v>1095.7522629919463</v>
      </c>
      <c r="T463" s="101">
        <f t="shared" si="14"/>
        <v>-120.29631160137737</v>
      </c>
      <c r="U463" s="101">
        <f t="shared" si="15"/>
        <v>17.270440124377984</v>
      </c>
      <c r="V463" s="101">
        <f>((Tableau!$G$16-P463)/(AC463^2+Tableau!$G$21^2)^(3/2))*Tableau!$G$20</f>
        <v>-66.133485605157006</v>
      </c>
      <c r="W463" s="101">
        <f>((Tableau!$H$16-Q463)/(AC463^2+Tableau!$G$21^2)^(3/2))*Tableau!$G$20</f>
        <v>16.041582724146487</v>
      </c>
      <c r="X463" s="101">
        <f>((Tableau!$G$25-P463)/(AD463^2+Tableau!$G$30^2)^(3/2))*Tableau!$G$29</f>
        <v>-10.984187272146233</v>
      </c>
      <c r="Y463" s="101">
        <f>((Tableau!$H$25-Q463)/(AD463^2+Tableau!$G$30^2)^(3/2))*Tableau!$G$29</f>
        <v>2.0284339851009414</v>
      </c>
      <c r="Z463" s="101">
        <f>((Tableau!$G$35-P463)/(AE463^2+Tableau!$G$40^2)^(3/2))*Tableau!$G$39</f>
        <v>-43.178638724074126</v>
      </c>
      <c r="AA463" s="102">
        <f>((Tableau!$H$35-Q463)/(AE463^2+Tableau!$G$40^2)^(3/2))*Tableau!$G$39</f>
        <v>-0.79957658486944616</v>
      </c>
      <c r="AC463" s="113">
        <f>SQRT((Tableau!$G$16-P463)^2+(Tableau!$H$16-Q463)^2)</f>
        <v>86854.412640849012</v>
      </c>
      <c r="AD463" s="114">
        <f>SQRT((Tableau!$G$25-P463)^2+(Tableau!$H$25-Q463)^2)</f>
        <v>126510.2803286061</v>
      </c>
      <c r="AE463" s="115">
        <f>SQRT((Tableau!$G$35-P463)^2+(Tableau!$H$35-Q463)^2)</f>
        <v>109425.53104414507</v>
      </c>
    </row>
    <row r="464" spans="2:31" x14ac:dyDescent="0.25">
      <c r="B464" s="20">
        <v>461</v>
      </c>
      <c r="C464" s="21">
        <f>Tableau!$G$17*COS(B464*PI()/180)+Tableau!$G$16</f>
        <v>19045.955023117276</v>
      </c>
      <c r="D464" s="21">
        <f>Tableau!$G$17*SIN(B464*PI()/180)+Tableau!$H$16</f>
        <v>12408.13591723832</v>
      </c>
      <c r="F464" s="28">
        <v>461</v>
      </c>
      <c r="G464" s="29">
        <f>Tableau!$G$26*COS(F464*PI()/180)+Tableau!$G$25</f>
        <v>-20667.831483817907</v>
      </c>
      <c r="H464" s="29">
        <f>Tableau!$G$26*SIN(F464*PI()/180)+Tableau!$H$25</f>
        <v>13435.695142066823</v>
      </c>
      <c r="J464" s="36">
        <v>461</v>
      </c>
      <c r="K464" s="37">
        <f>Tableau!$G$36*COS(J464*PI()/180)+Tableau!$G$35</f>
        <v>-5954.0449768827248</v>
      </c>
      <c r="L464" s="37">
        <f>Tableau!$G$36*SIN(J464*PI()/180)+Tableau!$H$35</f>
        <v>-10091.86408276168</v>
      </c>
      <c r="N464" s="92">
        <v>460</v>
      </c>
      <c r="O464" s="93">
        <v>230</v>
      </c>
      <c r="P464" s="96">
        <f>P463+R463*Tableau!$G$2+((1/2)*T463)*Tableau!$G$2^2</f>
        <v>105685.57507677093</v>
      </c>
      <c r="Q464" s="96">
        <f>Q463+S463*Tableau!$G$2+((1/2)*U463)*Tableau!$G$2^2</f>
        <v>-12423.984220184204</v>
      </c>
      <c r="R464" s="96">
        <f>R463+T463*Tableau!$G$2</f>
        <v>2527.5276293378561</v>
      </c>
      <c r="S464" s="96">
        <f>S463+U463*Tableau!$G$2</f>
        <v>1104.3874830541354</v>
      </c>
      <c r="T464" s="96">
        <f t="shared" si="14"/>
        <v>-117.62679470237524</v>
      </c>
      <c r="U464" s="96">
        <f t="shared" si="15"/>
        <v>15.975648385038653</v>
      </c>
      <c r="V464" s="96">
        <f>((Tableau!$G$16-P464)/(AC464^2+Tableau!$G$21^2)^(3/2))*Tableau!$G$20</f>
        <v>-64.642294070404773</v>
      </c>
      <c r="W464" s="96">
        <f>((Tableau!$H$16-Q464)/(AC464^2+Tableau!$G$21^2)^(3/2))*Tableau!$G$20</f>
        <v>15.030908596473967</v>
      </c>
      <c r="X464" s="96">
        <f>((Tableau!$G$25-P464)/(AD464^2+Tableau!$G$30^2)^(3/2))*Tableau!$G$29</f>
        <v>-10.798250246497423</v>
      </c>
      <c r="Y464" s="96">
        <f>((Tableau!$H$25-Q464)/(AD464^2+Tableau!$G$30^2)^(3/2))*Tableau!$G$29</f>
        <v>1.9265519769086885</v>
      </c>
      <c r="Z464" s="96">
        <f>((Tableau!$G$35-P464)/(AE464^2+Tableau!$G$40^2)^(3/2))*Tableau!$G$39</f>
        <v>-42.186250385473045</v>
      </c>
      <c r="AA464" s="97">
        <f>((Tableau!$H$35-Q464)/(AE464^2+Tableau!$G$40^2)^(3/2))*Tableau!$G$39</f>
        <v>-0.98181218834400186</v>
      </c>
      <c r="AC464" s="110">
        <f>SQRT((Tableau!$G$16-P464)^2+(Tableau!$H$16-Q464)^2)</f>
        <v>87971.489264665157</v>
      </c>
      <c r="AD464" s="111">
        <f>SQRT((Tableau!$G$25-P464)^2+(Tableau!$H$25-Q464)^2)</f>
        <v>127670.27395085235</v>
      </c>
      <c r="AE464" s="112">
        <f>SQRT((Tableau!$G$35-P464)^2+(Tableau!$H$35-Q464)^2)</f>
        <v>110715.54718002956</v>
      </c>
    </row>
    <row r="465" spans="2:31" x14ac:dyDescent="0.25">
      <c r="B465" s="18">
        <v>462</v>
      </c>
      <c r="C465" s="19">
        <f>Tableau!$G$17*COS(B465*PI()/180)+Tableau!$G$16</f>
        <v>18960.441545911199</v>
      </c>
      <c r="D465" s="19">
        <f>Tableau!$G$17*SIN(B465*PI()/180)+Tableau!$H$16</f>
        <v>12390.738003669027</v>
      </c>
      <c r="F465" s="26">
        <v>462</v>
      </c>
      <c r="G465" s="27">
        <f>Tableau!$G$26*COS(F465*PI()/180)+Tableau!$G$25</f>
        <v>-20727.690917862161</v>
      </c>
      <c r="H465" s="27">
        <f>Tableau!$G$26*SIN(F465*PI()/180)+Tableau!$H$25</f>
        <v>13423.516602568319</v>
      </c>
      <c r="J465" s="34">
        <v>462</v>
      </c>
      <c r="K465" s="35">
        <f>Tableau!$G$36*COS(J465*PI()/180)+Tableau!$G$35</f>
        <v>-6039.5584540888012</v>
      </c>
      <c r="L465" s="35">
        <f>Tableau!$G$36*SIN(J465*PI()/180)+Tableau!$H$35</f>
        <v>-10109.261996330973</v>
      </c>
      <c r="N465" s="98">
        <v>461</v>
      </c>
      <c r="O465" s="99">
        <v>230.5</v>
      </c>
      <c r="P465" s="101">
        <f>P464+R464*Tableau!$G$2+((1/2)*T464)*Tableau!$G$2^2</f>
        <v>106934.63554210206</v>
      </c>
      <c r="Q465" s="101">
        <f>Q464+S464*Tableau!$G$2+((1/2)*U464)*Tableau!$G$2^2</f>
        <v>-11869.793522609007</v>
      </c>
      <c r="R465" s="101">
        <f>R464+T464*Tableau!$G$2</f>
        <v>2468.7142319866684</v>
      </c>
      <c r="S465" s="101">
        <f>S464+U464*Tableau!$G$2</f>
        <v>1112.3753072466548</v>
      </c>
      <c r="T465" s="101">
        <f t="shared" si="14"/>
        <v>-115.09220419375258</v>
      </c>
      <c r="U465" s="101">
        <f t="shared" si="15"/>
        <v>14.763528751285465</v>
      </c>
      <c r="V465" s="101">
        <f>((Tableau!$G$16-P465)/(AC465^2+Tableau!$G$21^2)^(3/2))*Tableau!$G$20</f>
        <v>-63.225085693057046</v>
      </c>
      <c r="W465" s="101">
        <f>((Tableau!$H$16-Q465)/(AC465^2+Tableau!$G$21^2)^(3/2))*Tableau!$G$20</f>
        <v>14.087099436112316</v>
      </c>
      <c r="X465" s="101">
        <f>((Tableau!$G$25-P465)/(AD465^2+Tableau!$G$30^2)^(3/2))*Tableau!$G$29</f>
        <v>-10.620746744133644</v>
      </c>
      <c r="Y465" s="101">
        <f>((Tableau!$H$25-Q465)/(AD465^2+Tableau!$G$30^2)^(3/2))*Tableau!$G$29</f>
        <v>1.8298672963305078</v>
      </c>
      <c r="Z465" s="101">
        <f>((Tableau!$G$35-P465)/(AE465^2+Tableau!$G$40^2)^(3/2))*Tableau!$G$39</f>
        <v>-41.246371756561885</v>
      </c>
      <c r="AA465" s="102">
        <f>((Tableau!$H$35-Q465)/(AE465^2+Tableau!$G$40^2)^(3/2))*Tableau!$G$39</f>
        <v>-1.1534379811573587</v>
      </c>
      <c r="AC465" s="113">
        <f>SQRT((Tableau!$G$16-P465)^2+(Tableau!$H$16-Q465)^2)</f>
        <v>89066.378381219809</v>
      </c>
      <c r="AD465" s="114">
        <f>SQRT((Tableau!$G$25-P465)^2+(Tableau!$H$25-Q465)^2)</f>
        <v>128804.85071971407</v>
      </c>
      <c r="AE465" s="115">
        <f>SQRT((Tableau!$G$35-P465)^2+(Tableau!$H$35-Q465)^2)</f>
        <v>111978.39446310309</v>
      </c>
    </row>
    <row r="466" spans="2:31" x14ac:dyDescent="0.25">
      <c r="B466" s="20">
        <v>463</v>
      </c>
      <c r="C466" s="21">
        <f>Tableau!$G$17*COS(B466*PI()/180)+Tableau!$G$16</f>
        <v>18875.244728280675</v>
      </c>
      <c r="D466" s="21">
        <f>Tableau!$G$17*SIN(B466*PI()/180)+Tableau!$H$16</f>
        <v>12371.850323926177</v>
      </c>
      <c r="F466" s="28">
        <v>463</v>
      </c>
      <c r="G466" s="29">
        <f>Tableau!$G$26*COS(F466*PI()/180)+Tableau!$G$25</f>
        <v>-20787.328690203525</v>
      </c>
      <c r="H466" s="29">
        <f>Tableau!$G$26*SIN(F466*PI()/180)+Tableau!$H$25</f>
        <v>13410.295226748323</v>
      </c>
      <c r="J466" s="36">
        <v>463</v>
      </c>
      <c r="K466" s="37">
        <f>Tableau!$G$36*COS(J466*PI()/180)+Tableau!$G$35</f>
        <v>-6124.7552717193239</v>
      </c>
      <c r="L466" s="37">
        <f>Tableau!$G$36*SIN(J466*PI()/180)+Tableau!$H$35</f>
        <v>-10128.149676073823</v>
      </c>
      <c r="N466" s="92">
        <v>462</v>
      </c>
      <c r="O466" s="93">
        <v>231</v>
      </c>
      <c r="P466" s="96">
        <f>P465+R465*Tableau!$G$2+((1/2)*T465)*Tableau!$G$2^2</f>
        <v>108154.60613257118</v>
      </c>
      <c r="Q466" s="96">
        <f>Q465+S465*Tableau!$G$2+((1/2)*U465)*Tableau!$G$2^2</f>
        <v>-11311.76042789177</v>
      </c>
      <c r="R466" s="96">
        <f>R465+T465*Tableau!$G$2</f>
        <v>2411.168129889792</v>
      </c>
      <c r="S466" s="96">
        <f>S465+U465*Tableau!$G$2</f>
        <v>1119.7570716222974</v>
      </c>
      <c r="T466" s="96">
        <f t="shared" si="14"/>
        <v>-112.68356991130341</v>
      </c>
      <c r="U466" s="96">
        <f t="shared" si="15"/>
        <v>13.626921494245241</v>
      </c>
      <c r="V466" s="96">
        <f>((Tableau!$G$16-P466)/(AC466^2+Tableau!$G$21^2)^(3/2))*Tableau!$G$20</f>
        <v>-61.877179878774612</v>
      </c>
      <c r="W466" s="96">
        <f>((Tableau!$H$16-Q466)/(AC466^2+Tableau!$G$21^2)^(3/2))*Tableau!$G$20</f>
        <v>13.204286592609414</v>
      </c>
      <c r="X466" s="96">
        <f>((Tableau!$G$25-P466)/(AD466^2+Tableau!$G$30^2)^(3/2))*Tableau!$G$29</f>
        <v>-10.451169501795235</v>
      </c>
      <c r="Y466" s="96">
        <f>((Tableau!$H$25-Q466)/(AD466^2+Tableau!$G$30^2)^(3/2))*Tableau!$G$29</f>
        <v>1.7380008985641939</v>
      </c>
      <c r="Z466" s="96">
        <f>((Tableau!$G$35-P466)/(AE466^2+Tableau!$G$40^2)^(3/2))*Tableau!$G$39</f>
        <v>-40.355220530733554</v>
      </c>
      <c r="AA466" s="97">
        <f>((Tableau!$H$35-Q466)/(AE466^2+Tableau!$G$40^2)^(3/2))*Tableau!$G$39</f>
        <v>-1.3153659969283651</v>
      </c>
      <c r="AC466" s="110">
        <f>SQRT((Tableau!$G$16-P466)^2+(Tableau!$H$16-Q466)^2)</f>
        <v>90139.430399715478</v>
      </c>
      <c r="AD466" s="111">
        <f>SQRT((Tableau!$G$25-P466)^2+(Tableau!$H$25-Q466)^2)</f>
        <v>129914.56502459724</v>
      </c>
      <c r="AE466" s="112">
        <f>SQRT((Tableau!$G$35-P466)^2+(Tableau!$H$35-Q466)^2)</f>
        <v>113214.69869305214</v>
      </c>
    </row>
    <row r="467" spans="2:31" x14ac:dyDescent="0.25">
      <c r="B467" s="18">
        <v>464</v>
      </c>
      <c r="C467" s="19">
        <f>Tableau!$G$17*COS(B467*PI()/180)+Tableau!$G$16</f>
        <v>18790.39052200166</v>
      </c>
      <c r="D467" s="19">
        <f>Tableau!$G$17*SIN(B467*PI()/180)+Tableau!$H$16</f>
        <v>12351.478631379981</v>
      </c>
      <c r="F467" s="26">
        <v>464</v>
      </c>
      <c r="G467" s="27">
        <f>Tableau!$G$26*COS(F467*PI()/180)+Tableau!$G$25</f>
        <v>-20846.726634598839</v>
      </c>
      <c r="H467" s="27">
        <f>Tableau!$G$26*SIN(F467*PI()/180)+Tableau!$H$25</f>
        <v>13396.035041965988</v>
      </c>
      <c r="J467" s="34">
        <v>464</v>
      </c>
      <c r="K467" s="35">
        <f>Tableau!$G$36*COS(J467*PI()/180)+Tableau!$G$35</f>
        <v>-6209.6094779983414</v>
      </c>
      <c r="L467" s="35">
        <f>Tableau!$G$36*SIN(J467*PI()/180)+Tableau!$H$35</f>
        <v>-10148.521368620019</v>
      </c>
      <c r="N467" s="98">
        <v>463</v>
      </c>
      <c r="O467" s="99">
        <v>231.5</v>
      </c>
      <c r="P467" s="101">
        <f>P466+R466*Tableau!$G$2+((1/2)*T466)*Tableau!$G$2^2</f>
        <v>109346.10475127716</v>
      </c>
      <c r="Q467" s="101">
        <f>Q466+S466*Tableau!$G$2+((1/2)*U466)*Tableau!$G$2^2</f>
        <v>-10750.17852689384</v>
      </c>
      <c r="R467" s="101">
        <f>R466+T466*Tableau!$G$2</f>
        <v>2354.8263449341403</v>
      </c>
      <c r="S467" s="101">
        <f>S466+U466*Tableau!$G$2</f>
        <v>1126.5705323694201</v>
      </c>
      <c r="T467" s="101">
        <f t="shared" si="14"/>
        <v>-110.39268014740389</v>
      </c>
      <c r="U467" s="101">
        <f t="shared" si="15"/>
        <v>12.559407051047398</v>
      </c>
      <c r="V467" s="101">
        <f>((Tableau!$G$16-P467)/(AC467^2+Tableau!$G$21^2)^(3/2))*Tableau!$G$20</f>
        <v>-60.594260361098236</v>
      </c>
      <c r="W467" s="101">
        <f>((Tableau!$H$16-Q467)/(AC467^2+Tableau!$G$21^2)^(3/2))*Tableau!$G$20</f>
        <v>12.37721635849292</v>
      </c>
      <c r="X467" s="101">
        <f>((Tableau!$G$25-P467)/(AD467^2+Tableau!$G$30^2)^(3/2))*Tableau!$G$29</f>
        <v>-10.289052177990841</v>
      </c>
      <c r="Y467" s="101">
        <f>((Tableau!$H$25-Q467)/(AD467^2+Tableau!$G$30^2)^(3/2))*Tableau!$G$29</f>
        <v>1.6506076466421595</v>
      </c>
      <c r="Z467" s="101">
        <f>((Tableau!$G$35-P467)/(AE467^2+Tableau!$G$40^2)^(3/2))*Tableau!$G$39</f>
        <v>-39.509367608314825</v>
      </c>
      <c r="AA467" s="102">
        <f>((Tableau!$H$35-Q467)/(AE467^2+Tableau!$G$40^2)^(3/2))*Tableau!$G$39</f>
        <v>-1.468416954087681</v>
      </c>
      <c r="AC467" s="113">
        <f>SQRT((Tableau!$G$16-P467)^2+(Tableau!$H$16-Q467)^2)</f>
        <v>91190.983383718863</v>
      </c>
      <c r="AD467" s="114">
        <f>SQRT((Tableau!$G$25-P467)^2+(Tableau!$H$25-Q467)^2)</f>
        <v>130999.94169169058</v>
      </c>
      <c r="AE467" s="115">
        <f>SQRT((Tableau!$G$35-P467)^2+(Tableau!$H$35-Q467)^2)</f>
        <v>114425.05256430221</v>
      </c>
    </row>
    <row r="468" spans="2:31" x14ac:dyDescent="0.25">
      <c r="B468" s="20">
        <v>465</v>
      </c>
      <c r="C468" s="21">
        <f>Tableau!$G$17*COS(B468*PI()/180)+Tableau!$G$16</f>
        <v>18705.904774487401</v>
      </c>
      <c r="D468" s="21">
        <f>Tableau!$G$17*SIN(B468*PI()/180)+Tableau!$H$16</f>
        <v>12329.629131445341</v>
      </c>
      <c r="F468" s="28">
        <v>465</v>
      </c>
      <c r="G468" s="29">
        <f>Tableau!$G$26*COS(F468*PI()/180)+Tableau!$G$25</f>
        <v>-20905.86665785882</v>
      </c>
      <c r="H468" s="29">
        <f>Tableau!$G$26*SIN(F468*PI()/180)+Tableau!$H$25</f>
        <v>13380.740392011739</v>
      </c>
      <c r="J468" s="36">
        <v>465</v>
      </c>
      <c r="K468" s="37">
        <f>Tableau!$G$36*COS(J468*PI()/180)+Tableau!$G$35</f>
        <v>-6294.0952255126012</v>
      </c>
      <c r="L468" s="37">
        <f>Tableau!$G$36*SIN(J468*PI()/180)+Tableau!$H$35</f>
        <v>-10170.370868554659</v>
      </c>
      <c r="N468" s="92">
        <v>464</v>
      </c>
      <c r="O468" s="93">
        <v>232</v>
      </c>
      <c r="P468" s="96">
        <f>P467+R467*Tableau!$G$2+((1/2)*T467)*Tableau!$G$2^2</f>
        <v>110509.71883872581</v>
      </c>
      <c r="Q468" s="96">
        <f>Q467+S467*Tableau!$G$2+((1/2)*U467)*Tableau!$G$2^2</f>
        <v>-10185.32333482775</v>
      </c>
      <c r="R468" s="96">
        <f>R467+T467*Tableau!$G$2</f>
        <v>2299.6300048604385</v>
      </c>
      <c r="S468" s="96">
        <f>S467+U467*Tableau!$G$2</f>
        <v>1132.8502358949438</v>
      </c>
      <c r="T468" s="96">
        <f t="shared" si="14"/>
        <v>-108.21200613443548</v>
      </c>
      <c r="U468" s="96">
        <f t="shared" si="15"/>
        <v>11.555216663873281</v>
      </c>
      <c r="V468" s="96">
        <f>((Tableau!$G$16-P468)/(AC468^2+Tableau!$G$21^2)^(3/2))*Tableau!$G$20</f>
        <v>-59.372343525727707</v>
      </c>
      <c r="W468" s="96">
        <f>((Tableau!$H$16-Q468)/(AC468^2+Tableau!$G$21^2)^(3/2))*Tableau!$G$20</f>
        <v>11.601175054691437</v>
      </c>
      <c r="X468" s="96">
        <f>((Tableau!$G$25-P468)/(AD468^2+Tableau!$G$30^2)^(3/2))*Tableau!$G$29</f>
        <v>-10.133965327274732</v>
      </c>
      <c r="Y468" s="96">
        <f>((Tableau!$H$25-Q468)/(AD468^2+Tableau!$G$30^2)^(3/2))*Tableau!$G$29</f>
        <v>1.5673726724348456</v>
      </c>
      <c r="Z468" s="96">
        <f>((Tableau!$G$35-P468)/(AE468^2+Tableau!$G$40^2)^(3/2))*Tableau!$G$39</f>
        <v>-38.705697281433046</v>
      </c>
      <c r="AA468" s="97">
        <f>((Tableau!$H$35-Q468)/(AE468^2+Tableau!$G$40^2)^(3/2))*Tableau!$G$39</f>
        <v>-1.6133310632530007</v>
      </c>
      <c r="AC468" s="110">
        <f>SQRT((Tableau!$G$16-P468)^2+(Tableau!$H$16-Q468)^2)</f>
        <v>92221.363391150313</v>
      </c>
      <c r="AD468" s="111">
        <f>SQRT((Tableau!$G$25-P468)^2+(Tableau!$H$25-Q468)^2)</f>
        <v>132061.47806796199</v>
      </c>
      <c r="AE468" s="112">
        <f>SQRT((Tableau!$G$35-P468)^2+(Tableau!$H$35-Q468)^2)</f>
        <v>115610.01798110595</v>
      </c>
    </row>
    <row r="469" spans="2:31" x14ac:dyDescent="0.25">
      <c r="B469" s="18">
        <v>466</v>
      </c>
      <c r="C469" s="19">
        <f>Tableau!$G$17*COS(B469*PI()/180)+Tableau!$G$16</f>
        <v>18621.813220915003</v>
      </c>
      <c r="D469" s="19">
        <f>Tableau!$G$17*SIN(B469*PI()/180)+Tableau!$H$16</f>
        <v>12306.308479691594</v>
      </c>
      <c r="F469" s="26">
        <v>466</v>
      </c>
      <c r="G469" s="27">
        <f>Tableau!$G$26*COS(F469*PI()/180)+Tableau!$G$25</f>
        <v>-20964.730745359499</v>
      </c>
      <c r="H469" s="27">
        <f>Tableau!$G$26*SIN(F469*PI()/180)+Tableau!$H$25</f>
        <v>13364.415935784116</v>
      </c>
      <c r="J469" s="34">
        <v>466</v>
      </c>
      <c r="K469" s="35">
        <f>Tableau!$G$36*COS(J469*PI()/180)+Tableau!$G$35</f>
        <v>-6378.1867790849965</v>
      </c>
      <c r="L469" s="35">
        <f>Tableau!$G$36*SIN(J469*PI()/180)+Tableau!$H$35</f>
        <v>-10193.691520308406</v>
      </c>
      <c r="N469" s="98">
        <v>465</v>
      </c>
      <c r="O469" s="99">
        <v>232.5</v>
      </c>
      <c r="P469" s="101">
        <f>P468+R468*Tableau!$G$2+((1/2)*T468)*Tableau!$G$2^2</f>
        <v>111646.00734038922</v>
      </c>
      <c r="Q469" s="101">
        <f>Q468+S468*Tableau!$G$2+((1/2)*U468)*Tableau!$G$2^2</f>
        <v>-9617.4538147972944</v>
      </c>
      <c r="R469" s="101">
        <f>R468+T468*Tableau!$G$2</f>
        <v>2245.5240017932206</v>
      </c>
      <c r="S469" s="101">
        <f>S468+U468*Tableau!$G$2</f>
        <v>1138.6278442268804</v>
      </c>
      <c r="T469" s="101">
        <f t="shared" si="14"/>
        <v>-106.13463507398342</v>
      </c>
      <c r="U469" s="101">
        <f t="shared" si="15"/>
        <v>10.609155232423834</v>
      </c>
      <c r="V469" s="101">
        <f>((Tableau!$G$16-P469)/(AC469^2+Tableau!$G$21^2)^(3/2))*Tableau!$G$20</f>
        <v>-58.207749579907613</v>
      </c>
      <c r="W469" s="101">
        <f>((Tableau!$H$16-Q469)/(AC469^2+Tableau!$G$21^2)^(3/2))*Tableau!$G$20</f>
        <v>10.871924418885696</v>
      </c>
      <c r="X469" s="101">
        <f>((Tableau!$G$25-P469)/(AD469^2+Tableau!$G$30^2)^(3/2))*Tableau!$G$29</f>
        <v>-9.9855128428603805</v>
      </c>
      <c r="Y469" s="101">
        <f>((Tableau!$H$25-Q469)/(AD469^2+Tableau!$G$30^2)^(3/2))*Tableau!$G$29</f>
        <v>1.4880081893055579</v>
      </c>
      <c r="Z469" s="101">
        <f>((Tableau!$G$35-P469)/(AE469^2+Tableau!$G$40^2)^(3/2))*Tableau!$G$39</f>
        <v>-37.941372651215424</v>
      </c>
      <c r="AA469" s="102">
        <f>((Tableau!$H$35-Q469)/(AE469^2+Tableau!$G$40^2)^(3/2))*Tableau!$G$39</f>
        <v>-1.7507773757674201</v>
      </c>
      <c r="AC469" s="113">
        <f>SQRT((Tableau!$G$16-P469)^2+(Tableau!$H$16-Q469)^2)</f>
        <v>93230.884831886011</v>
      </c>
      <c r="AD469" s="114">
        <f>SQRT((Tableau!$G$25-P469)^2+(Tableau!$H$25-Q469)^2)</f>
        <v>133099.64591553772</v>
      </c>
      <c r="AE469" s="115">
        <f>SQRT((Tableau!$G$35-P469)^2+(Tableau!$H$35-Q469)^2)</f>
        <v>116770.12816593966</v>
      </c>
    </row>
    <row r="470" spans="2:31" x14ac:dyDescent="0.25">
      <c r="B470" s="20">
        <v>467</v>
      </c>
      <c r="C470" s="21">
        <f>Tableau!$G$17*COS(B470*PI()/180)+Tableau!$G$16</f>
        <v>18538.141476386321</v>
      </c>
      <c r="D470" s="21">
        <f>Tableau!$G$17*SIN(B470*PI()/180)+Tableau!$H$16</f>
        <v>12281.523779815179</v>
      </c>
      <c r="F470" s="28">
        <v>467</v>
      </c>
      <c r="G470" s="29">
        <f>Tableau!$G$26*COS(F470*PI()/180)+Tableau!$G$25</f>
        <v>-21023.300966529576</v>
      </c>
      <c r="H470" s="29">
        <f>Tableau!$G$26*SIN(F470*PI()/180)+Tableau!$H$25</f>
        <v>13347.066645870626</v>
      </c>
      <c r="J470" s="36">
        <v>467</v>
      </c>
      <c r="K470" s="37">
        <f>Tableau!$G$36*COS(J470*PI()/180)+Tableau!$G$35</f>
        <v>-6461.8585236136787</v>
      </c>
      <c r="L470" s="37">
        <f>Tableau!$G$36*SIN(J470*PI()/180)+Tableau!$H$35</f>
        <v>-10218.476220184821</v>
      </c>
      <c r="N470" s="92">
        <v>466</v>
      </c>
      <c r="O470" s="93">
        <v>233</v>
      </c>
      <c r="P470" s="96">
        <f>P469+R469*Tableau!$G$2+((1/2)*T469)*Tableau!$G$2^2</f>
        <v>112755.50251190158</v>
      </c>
      <c r="Q470" s="96">
        <f>Q469+S469*Tableau!$G$2+((1/2)*U469)*Tableau!$G$2^2</f>
        <v>-9046.8137482798011</v>
      </c>
      <c r="R470" s="96">
        <f>R469+T469*Tableau!$G$2</f>
        <v>2192.456684256229</v>
      </c>
      <c r="S470" s="96">
        <f>S469+U469*Tableau!$G$2</f>
        <v>1143.9324218430922</v>
      </c>
      <c r="T470" s="96">
        <f t="shared" si="14"/>
        <v>-104.15421064754884</v>
      </c>
      <c r="U470" s="96">
        <f t="shared" si="15"/>
        <v>9.7165345262399878</v>
      </c>
      <c r="V470" s="96">
        <f>((Tableau!$G$16-P470)/(AC470^2+Tableau!$G$21^2)^(3/2))*Tableau!$G$20</f>
        <v>-57.097076345634918</v>
      </c>
      <c r="W470" s="96">
        <f>((Tableau!$H$16-Q470)/(AC470^2+Tableau!$G$21^2)^(3/2))*Tableau!$G$20</f>
        <v>10.185645727500727</v>
      </c>
      <c r="X470" s="96">
        <f>((Tableau!$G$25-P470)/(AD470^2+Tableau!$G$30^2)^(3/2))*Tableau!$G$29</f>
        <v>-9.8433288050851413</v>
      </c>
      <c r="Y470" s="96">
        <f>((Tableau!$H$25-Q470)/(AD470^2+Tableau!$G$30^2)^(3/2))*Tableau!$G$29</f>
        <v>1.412250692936259</v>
      </c>
      <c r="Z470" s="96">
        <f>((Tableau!$G$35-P470)/(AE470^2+Tableau!$G$40^2)^(3/2))*Tableau!$G$39</f>
        <v>-37.21380549682879</v>
      </c>
      <c r="AA470" s="97">
        <f>((Tableau!$H$35-Q470)/(AE470^2+Tableau!$G$40^2)^(3/2))*Tableau!$G$39</f>
        <v>-1.8813618941969998</v>
      </c>
      <c r="AC470" s="110">
        <f>SQRT((Tableau!$G$16-P470)^2+(Tableau!$H$16-Q470)^2)</f>
        <v>94219.850835456324</v>
      </c>
      <c r="AD470" s="111">
        <f>SQRT((Tableau!$G$25-P470)^2+(Tableau!$H$25-Q470)^2)</f>
        <v>134114.89313700091</v>
      </c>
      <c r="AE470" s="112">
        <f>SQRT((Tableau!$G$35-P470)^2+(Tableau!$H$35-Q470)^2)</f>
        <v>117905.88958308287</v>
      </c>
    </row>
    <row r="471" spans="2:31" x14ac:dyDescent="0.25">
      <c r="B471" s="18">
        <v>468</v>
      </c>
      <c r="C471" s="19">
        <f>Tableau!$G$17*COS(B471*PI()/180)+Tableau!$G$16</f>
        <v>18454.915028125266</v>
      </c>
      <c r="D471" s="19">
        <f>Tableau!$G$17*SIN(B471*PI()/180)+Tableau!$H$16</f>
        <v>12255.282581475767</v>
      </c>
      <c r="F471" s="26">
        <v>468</v>
      </c>
      <c r="G471" s="27">
        <f>Tableau!$G$26*COS(F471*PI()/180)+Tableau!$G$25</f>
        <v>-21081.559480312317</v>
      </c>
      <c r="H471" s="27">
        <f>Tableau!$G$26*SIN(F471*PI()/180)+Tableau!$H$25</f>
        <v>13328.697807033037</v>
      </c>
      <c r="J471" s="34">
        <v>468</v>
      </c>
      <c r="K471" s="35">
        <f>Tableau!$G$36*COS(J471*PI()/180)+Tableau!$G$35</f>
        <v>-6545.0849718747359</v>
      </c>
      <c r="L471" s="35">
        <f>Tableau!$G$36*SIN(J471*PI()/180)+Tableau!$H$35</f>
        <v>-10244.717418524233</v>
      </c>
      <c r="N471" s="98">
        <v>467</v>
      </c>
      <c r="O471" s="99">
        <v>233.5</v>
      </c>
      <c r="P471" s="101">
        <f>P470+R470*Tableau!$G$2+((1/2)*T470)*Tableau!$G$2^2</f>
        <v>113838.71157769875</v>
      </c>
      <c r="Q471" s="101">
        <f>Q470+S470*Tableau!$G$2+((1/2)*U470)*Tableau!$G$2^2</f>
        <v>-8473.632970542476</v>
      </c>
      <c r="R471" s="101">
        <f>R470+T470*Tableau!$G$2</f>
        <v>2140.3795789324545</v>
      </c>
      <c r="S471" s="101">
        <f>S470+U470*Tableau!$G$2</f>
        <v>1148.7906891062123</v>
      </c>
      <c r="T471" s="101">
        <f t="shared" si="14"/>
        <v>-102.26488008642731</v>
      </c>
      <c r="U471" s="101">
        <f t="shared" si="15"/>
        <v>8.8731152107344933</v>
      </c>
      <c r="V471" s="101">
        <f>((Tableau!$G$16-P471)/(AC471^2+Tableau!$G$21^2)^(3/2))*Tableau!$G$20</f>
        <v>-56.037175458266631</v>
      </c>
      <c r="W471" s="101">
        <f>((Tableau!$H$16-Q471)/(AC471^2+Tableau!$G$21^2)^(3/2))*Tableau!$G$20</f>
        <v>9.5388913426745177</v>
      </c>
      <c r="X471" s="101">
        <f>((Tableau!$G$25-P471)/(AD471^2+Tableau!$G$30^2)^(3/2))*Tableau!$G$29</f>
        <v>-9.707074682614298</v>
      </c>
      <c r="Y471" s="101">
        <f>((Tableau!$H$25-Q471)/(AD471^2+Tableau!$G$30^2)^(3/2))*Tableau!$G$29</f>
        <v>1.3398584967709906</v>
      </c>
      <c r="Z471" s="101">
        <f>((Tableau!$G$35-P471)/(AE471^2+Tableau!$G$40^2)^(3/2))*Tableau!$G$39</f>
        <v>-36.520629945546389</v>
      </c>
      <c r="AA471" s="102">
        <f>((Tableau!$H$35-Q471)/(AE471^2+Tableau!$G$40^2)^(3/2))*Tableau!$G$39</f>
        <v>-2.0056346287110136</v>
      </c>
      <c r="AC471" s="113">
        <f>SQRT((Tableau!$G$16-P471)^2+(Tableau!$H$16-Q471)^2)</f>
        <v>95188.55362300729</v>
      </c>
      <c r="AD471" s="114">
        <f>SQRT((Tableau!$G$25-P471)^2+(Tableau!$H$25-Q471)^2)</f>
        <v>135107.64534958321</v>
      </c>
      <c r="AE471" s="115">
        <f>SQRT((Tableau!$G$35-P471)^2+(Tableau!$H$35-Q471)^2)</f>
        <v>119017.78369659997</v>
      </c>
    </row>
    <row r="472" spans="2:31" x14ac:dyDescent="0.25">
      <c r="B472" s="20">
        <v>469</v>
      </c>
      <c r="C472" s="21">
        <f>Tableau!$G$17*COS(B472*PI()/180)+Tableau!$G$16</f>
        <v>18372.159227714223</v>
      </c>
      <c r="D472" s="21">
        <f>Tableau!$G$17*SIN(B472*PI()/180)+Tableau!$H$16</f>
        <v>12227.592877996587</v>
      </c>
      <c r="F472" s="28">
        <v>469</v>
      </c>
      <c r="G472" s="29">
        <f>Tableau!$G$26*COS(F472*PI()/180)+Tableau!$G$25</f>
        <v>-21139.488540600043</v>
      </c>
      <c r="H472" s="29">
        <f>Tableau!$G$26*SIN(F472*PI()/180)+Tableau!$H$25</f>
        <v>13309.315014597611</v>
      </c>
      <c r="J472" s="36">
        <v>469</v>
      </c>
      <c r="K472" s="37">
        <f>Tableau!$G$36*COS(J472*PI()/180)+Tableau!$G$35</f>
        <v>-6627.8407722857773</v>
      </c>
      <c r="L472" s="37">
        <f>Tableau!$G$36*SIN(J472*PI()/180)+Tableau!$H$35</f>
        <v>-10272.407122003413</v>
      </c>
      <c r="N472" s="92">
        <v>468</v>
      </c>
      <c r="O472" s="93">
        <v>234</v>
      </c>
      <c r="P472" s="96">
        <f>P471+R471*Tableau!$G$2+((1/2)*T471)*Tableau!$G$2^2</f>
        <v>114896.11825715417</v>
      </c>
      <c r="Q472" s="96">
        <f>Q471+S471*Tableau!$G$2+((1/2)*U471)*Tableau!$G$2^2</f>
        <v>-7898.128486588028</v>
      </c>
      <c r="R472" s="96">
        <f>R471+T471*Tableau!$G$2</f>
        <v>2089.2471388892409</v>
      </c>
      <c r="S472" s="96">
        <f>S471+U471*Tableau!$G$2</f>
        <v>1153.2272467115795</v>
      </c>
      <c r="T472" s="96">
        <f t="shared" si="14"/>
        <v>-100.46124700064433</v>
      </c>
      <c r="U472" s="96">
        <f t="shared" si="15"/>
        <v>8.0750563931852337</v>
      </c>
      <c r="V472" s="96">
        <f>((Tableau!$G$16-P472)/(AC472^2+Tableau!$G$21^2)^(3/2))*Tableau!$G$20</f>
        <v>-55.025130760513811</v>
      </c>
      <c r="W472" s="96">
        <f>((Tableau!$H$16-Q472)/(AC472^2+Tableau!$G$21^2)^(3/2))*Tableau!$G$20</f>
        <v>8.9285425895470958</v>
      </c>
      <c r="X472" s="96">
        <f>((Tableau!$G$25-P472)/(AD472^2+Tableau!$G$30^2)^(3/2))*Tableau!$G$29</f>
        <v>-9.5764368410879452</v>
      </c>
      <c r="Y472" s="96">
        <f>((Tableau!$H$25-Q472)/(AD472^2+Tableau!$G$30^2)^(3/2))*Tableau!$G$29</f>
        <v>1.2706095567460634</v>
      </c>
      <c r="Z472" s="96">
        <f>((Tableau!$G$35-P472)/(AE472^2+Tableau!$G$40^2)^(3/2))*Tableau!$G$39</f>
        <v>-35.859679399042584</v>
      </c>
      <c r="AA472" s="97">
        <f>((Tableau!$H$35-Q472)/(AE472^2+Tableau!$G$40^2)^(3/2))*Tableau!$G$39</f>
        <v>-2.1240957531079245</v>
      </c>
      <c r="AC472" s="110">
        <f>SQRT((Tableau!$G$16-P472)^2+(Tableau!$H$16-Q472)^2)</f>
        <v>96137.274879025266</v>
      </c>
      <c r="AD472" s="111">
        <f>SQRT((Tableau!$G$25-P472)^2+(Tableau!$H$25-Q472)^2)</f>
        <v>136078.3073240204</v>
      </c>
      <c r="AE472" s="112">
        <f>SQRT((Tableau!$G$35-P472)^2+(Tableau!$H$35-Q472)^2)</f>
        <v>120106.26857964788</v>
      </c>
    </row>
    <row r="473" spans="2:31" x14ac:dyDescent="0.25">
      <c r="B473" s="18">
        <v>470</v>
      </c>
      <c r="C473" s="19">
        <f>Tableau!$G$17*COS(B473*PI()/180)+Tableau!$G$16</f>
        <v>18289.899283371658</v>
      </c>
      <c r="D473" s="19">
        <f>Tableau!$G$17*SIN(B473*PI()/180)+Tableau!$H$16</f>
        <v>12198.463103929544</v>
      </c>
      <c r="F473" s="26">
        <v>470</v>
      </c>
      <c r="G473" s="27">
        <f>Tableau!$G$26*COS(F473*PI()/180)+Tableau!$G$25</f>
        <v>-21197.070501639839</v>
      </c>
      <c r="H473" s="27">
        <f>Tableau!$G$26*SIN(F473*PI()/180)+Tableau!$H$25</f>
        <v>13288.92417275068</v>
      </c>
      <c r="J473" s="34">
        <v>470</v>
      </c>
      <c r="K473" s="35">
        <f>Tableau!$G$36*COS(J473*PI()/180)+Tableau!$G$35</f>
        <v>-6710.1007166283398</v>
      </c>
      <c r="L473" s="35">
        <f>Tableau!$G$36*SIN(J473*PI()/180)+Tableau!$H$35</f>
        <v>-10301.536896070456</v>
      </c>
      <c r="N473" s="98">
        <v>469</v>
      </c>
      <c r="O473" s="99">
        <v>234.5</v>
      </c>
      <c r="P473" s="101">
        <f>P472+R472*Tableau!$G$2+((1/2)*T472)*Tableau!$G$2^2</f>
        <v>115928.18417072372</v>
      </c>
      <c r="Q473" s="101">
        <f>Q472+S472*Tableau!$G$2+((1/2)*U472)*Tableau!$G$2^2</f>
        <v>-7320.5054811830896</v>
      </c>
      <c r="R473" s="101">
        <f>R472+T472*Tableau!$G$2</f>
        <v>2039.0165153889188</v>
      </c>
      <c r="S473" s="101">
        <f>S472+U472*Tableau!$G$2</f>
        <v>1157.2647749081721</v>
      </c>
      <c r="T473" s="101">
        <f t="shared" si="14"/>
        <v>-98.738329272178689</v>
      </c>
      <c r="U473" s="101">
        <f t="shared" si="15"/>
        <v>7.3188716028268201</v>
      </c>
      <c r="V473" s="101">
        <f>((Tableau!$G$16-P473)/(AC473^2+Tableau!$G$21^2)^(3/2))*Tableau!$G$20</f>
        <v>-54.058238693536637</v>
      </c>
      <c r="W473" s="101">
        <f>((Tableau!$H$16-Q473)/(AC473^2+Tableau!$G$21^2)^(3/2))*Tableau!$G$20</f>
        <v>8.3517730454984704</v>
      </c>
      <c r="X473" s="101">
        <f>((Tableau!$G$25-P473)/(AD473^2+Tableau!$G$30^2)^(3/2))*Tableau!$G$29</f>
        <v>-9.4511243204604778</v>
      </c>
      <c r="Y473" s="101">
        <f>((Tableau!$H$25-Q473)/(AD473^2+Tableau!$G$30^2)^(3/2))*Tableau!$G$29</f>
        <v>1.2042995468127198</v>
      </c>
      <c r="Z473" s="101">
        <f>((Tableau!$G$35-P473)/(AE473^2+Tableau!$G$40^2)^(3/2))*Tableau!$G$39</f>
        <v>-35.228966258181572</v>
      </c>
      <c r="AA473" s="102">
        <f>((Tableau!$H$35-Q473)/(AE473^2+Tableau!$G$40^2)^(3/2))*Tableau!$G$39</f>
        <v>-2.2372009894843705</v>
      </c>
      <c r="AC473" s="113">
        <f>SQRT((Tableau!$G$16-P473)^2+(Tableau!$H$16-Q473)^2)</f>
        <v>97066.286119383716</v>
      </c>
      <c r="AD473" s="114">
        <f>SQRT((Tableau!$G$25-P473)^2+(Tableau!$H$25-Q473)^2)</f>
        <v>137027.26430194057</v>
      </c>
      <c r="AE473" s="115">
        <f>SQRT((Tableau!$G$35-P473)^2+(Tableau!$H$35-Q473)^2)</f>
        <v>121171.78039004384</v>
      </c>
    </row>
    <row r="474" spans="2:31" x14ac:dyDescent="0.25">
      <c r="B474" s="20">
        <v>471</v>
      </c>
      <c r="C474" s="21">
        <f>Tableau!$G$17*COS(B474*PI()/180)+Tableau!$G$16</f>
        <v>18208.160252273497</v>
      </c>
      <c r="D474" s="21">
        <f>Tableau!$G$17*SIN(B474*PI()/180)+Tableau!$H$16</f>
        <v>12167.902132486008</v>
      </c>
      <c r="F474" s="28">
        <v>471</v>
      </c>
      <c r="G474" s="29">
        <f>Tableau!$G$26*COS(F474*PI()/180)+Tableau!$G$25</f>
        <v>-21254.287823408551</v>
      </c>
      <c r="H474" s="29">
        <f>Tableau!$G$26*SIN(F474*PI()/180)+Tableau!$H$25</f>
        <v>13267.531492740207</v>
      </c>
      <c r="J474" s="36">
        <v>471</v>
      </c>
      <c r="K474" s="37">
        <f>Tableau!$G$36*COS(J474*PI()/180)+Tableau!$G$35</f>
        <v>-6791.8397477265016</v>
      </c>
      <c r="L474" s="37">
        <f>Tableau!$G$36*SIN(J474*PI()/180)+Tableau!$H$35</f>
        <v>-10332.097867513992</v>
      </c>
      <c r="N474" s="92">
        <v>470</v>
      </c>
      <c r="O474" s="93">
        <v>235</v>
      </c>
      <c r="P474" s="96">
        <f>P473+R473*Tableau!$G$2+((1/2)*T473)*Tableau!$G$2^2</f>
        <v>116935.35013725916</v>
      </c>
      <c r="Q474" s="96">
        <f>Q473+S473*Tableau!$G$2+((1/2)*U473)*Tableau!$G$2^2</f>
        <v>-6740.9582347786509</v>
      </c>
      <c r="R474" s="96">
        <f>R473+T473*Tableau!$G$2</f>
        <v>1989.6473507528294</v>
      </c>
      <c r="S474" s="96">
        <f>S473+U473*Tableau!$G$2</f>
        <v>1160.9242107095854</v>
      </c>
      <c r="T474" s="96">
        <f t="shared" si="14"/>
        <v>-97.09152140842815</v>
      </c>
      <c r="U474" s="96">
        <f t="shared" si="15"/>
        <v>6.6013902909446625</v>
      </c>
      <c r="V474" s="96">
        <f>((Tableau!$G$16-P474)/(AC474^2+Tableau!$G$21^2)^(3/2))*Tableau!$G$20</f>
        <v>-53.133990500324607</v>
      </c>
      <c r="W474" s="96">
        <f>((Tableau!$H$16-Q474)/(AC474^2+Tableau!$G$21^2)^(3/2))*Tableau!$G$20</f>
        <v>7.8060164686133708</v>
      </c>
      <c r="X474" s="96">
        <f>((Tableau!$G$25-P474)/(AD474^2+Tableau!$G$30^2)^(3/2))*Tableau!$G$29</f>
        <v>-9.3308668477764609</v>
      </c>
      <c r="Y474" s="96">
        <f>((Tableau!$H$25-Q474)/(AD474^2+Tableau!$G$30^2)^(3/2))*Tableau!$G$29</f>
        <v>1.1407401524612117</v>
      </c>
      <c r="Z474" s="96">
        <f>((Tableau!$G$35-P474)/(AE474^2+Tableau!$G$40^2)^(3/2))*Tableau!$G$39</f>
        <v>-34.626664060327073</v>
      </c>
      <c r="AA474" s="97">
        <f>((Tableau!$H$35-Q474)/(AE474^2+Tableau!$G$40^2)^(3/2))*Tableau!$G$39</f>
        <v>-2.3453663301299201</v>
      </c>
      <c r="AC474" s="110">
        <f>SQRT((Tableau!$G$16-P474)^2+(Tableau!$H$16-Q474)^2)</f>
        <v>97975.849053109705</v>
      </c>
      <c r="AD474" s="111">
        <f>SQRT((Tableau!$G$25-P474)^2+(Tableau!$H$25-Q474)^2)</f>
        <v>137954.88320401119</v>
      </c>
      <c r="AE474" s="112">
        <f>SQRT((Tableau!$G$35-P474)^2+(Tableau!$H$35-Q474)^2)</f>
        <v>122214.73472530085</v>
      </c>
    </row>
    <row r="475" spans="2:31" x14ac:dyDescent="0.25">
      <c r="B475" s="18">
        <v>472</v>
      </c>
      <c r="C475" s="19">
        <f>Tableau!$G$17*COS(B475*PI()/180)+Tableau!$G$16</f>
        <v>18126.967032920445</v>
      </c>
      <c r="D475" s="19">
        <f>Tableau!$G$17*SIN(B475*PI()/180)+Tableau!$H$16</f>
        <v>12135.91927283394</v>
      </c>
      <c r="F475" s="26">
        <v>472</v>
      </c>
      <c r="G475" s="27">
        <f>Tableau!$G$26*COS(F475*PI()/180)+Tableau!$G$25</f>
        <v>-21311.12307695569</v>
      </c>
      <c r="H475" s="27">
        <f>Tableau!$G$26*SIN(F475*PI()/180)+Tableau!$H$25</f>
        <v>13245.143490983757</v>
      </c>
      <c r="J475" s="34">
        <v>472</v>
      </c>
      <c r="K475" s="35">
        <f>Tableau!$G$36*COS(J475*PI()/180)+Tableau!$G$35</f>
        <v>-6873.0329670795545</v>
      </c>
      <c r="L475" s="35">
        <f>Tableau!$G$36*SIN(J475*PI()/180)+Tableau!$H$35</f>
        <v>-10364.08072716606</v>
      </c>
      <c r="N475" s="98">
        <v>471</v>
      </c>
      <c r="O475" s="99">
        <v>235.5</v>
      </c>
      <c r="P475" s="101">
        <f>P474+R474*Tableau!$G$2+((1/2)*T474)*Tableau!$G$2^2</f>
        <v>117918.03737245953</v>
      </c>
      <c r="Q475" s="101">
        <f>Q474+S474*Tableau!$G$2+((1/2)*U474)*Tableau!$G$2^2</f>
        <v>-6159.6709556374899</v>
      </c>
      <c r="R475" s="101">
        <f>R474+T474*Tableau!$G$2</f>
        <v>1941.1015900486154</v>
      </c>
      <c r="S475" s="101">
        <f>S474+U474*Tableau!$G$2</f>
        <v>1164.2249058550576</v>
      </c>
      <c r="T475" s="101">
        <f t="shared" si="14"/>
        <v>-95.516560830107281</v>
      </c>
      <c r="U475" s="101">
        <f t="shared" si="15"/>
        <v>5.9197240792408277</v>
      </c>
      <c r="V475" s="101">
        <f>((Tableau!$G$16-P475)/(AC475^2+Tableau!$G$21^2)^(3/2))*Tableau!$G$20</f>
        <v>-52.250056070724696</v>
      </c>
      <c r="W475" s="101">
        <f>((Tableau!$H$16-Q475)/(AC475^2+Tableau!$G$21^2)^(3/2))*Tableau!$G$20</f>
        <v>7.2889387133534322</v>
      </c>
      <c r="X475" s="101">
        <f>((Tableau!$G$25-P475)/(AD475^2+Tableau!$G$30^2)^(3/2))*Tableau!$G$29</f>
        <v>-9.2154130567643548</v>
      </c>
      <c r="Y475" s="101">
        <f>((Tableau!$H$25-Q475)/(AD475^2+Tableau!$G$30^2)^(3/2))*Tableau!$G$29</f>
        <v>1.0797575542307889</v>
      </c>
      <c r="Z475" s="101">
        <f>((Tableau!$G$35-P475)/(AE475^2+Tableau!$G$40^2)^(3/2))*Tableau!$G$39</f>
        <v>-34.05109170261823</v>
      </c>
      <c r="AA475" s="102">
        <f>((Tableau!$H$35-Q475)/(AE475^2+Tableau!$G$40^2)^(3/2))*Tableau!$G$39</f>
        <v>-2.4489721883433933</v>
      </c>
      <c r="AC475" s="113">
        <f>SQRT((Tableau!$G$16-P475)^2+(Tableau!$H$16-Q475)^2)</f>
        <v>98866.21593593368</v>
      </c>
      <c r="AD475" s="114">
        <f>SQRT((Tableau!$G$25-P475)^2+(Tableau!$H$25-Q475)^2)</f>
        <v>138861.51373964502</v>
      </c>
      <c r="AE475" s="115">
        <f>SQRT((Tableau!$G$35-P475)^2+(Tableau!$H$35-Q475)^2)</f>
        <v>123235.52786883316</v>
      </c>
    </row>
    <row r="476" spans="2:31" x14ac:dyDescent="0.25">
      <c r="B476" s="20">
        <v>473</v>
      </c>
      <c r="C476" s="21">
        <f>Tableau!$G$17*COS(B476*PI()/180)+Tableau!$G$16</f>
        <v>18046.344357553633</v>
      </c>
      <c r="D476" s="21">
        <f>Tableau!$G$17*SIN(B476*PI()/180)+Tableau!$H$16</f>
        <v>12102.524267262203</v>
      </c>
      <c r="F476" s="28">
        <v>473</v>
      </c>
      <c r="G476" s="29">
        <f>Tableau!$G$26*COS(F476*PI()/180)+Tableau!$G$25</f>
        <v>-21367.558949712457</v>
      </c>
      <c r="H476" s="29">
        <f>Tableau!$G$26*SIN(F476*PI()/180)+Tableau!$H$25</f>
        <v>13221.766987083542</v>
      </c>
      <c r="J476" s="36">
        <v>473</v>
      </c>
      <c r="K476" s="37">
        <f>Tableau!$G$36*COS(J476*PI()/180)+Tableau!$G$35</f>
        <v>-6953.655642446367</v>
      </c>
      <c r="L476" s="37">
        <f>Tableau!$G$36*SIN(J476*PI()/180)+Tableau!$H$35</f>
        <v>-10397.475732737797</v>
      </c>
      <c r="N476" s="92">
        <v>472</v>
      </c>
      <c r="O476" s="93">
        <v>236</v>
      </c>
      <c r="P476" s="96">
        <f>P475+R475*Tableau!$G$2+((1/2)*T475)*Tableau!$G$2^2</f>
        <v>118876.64859738007</v>
      </c>
      <c r="Q476" s="96">
        <f>Q475+S475*Tableau!$G$2+((1/2)*U475)*Tableau!$G$2^2</f>
        <v>-5576.8185372000562</v>
      </c>
      <c r="R476" s="96">
        <f>R475+T475*Tableau!$G$2</f>
        <v>1893.3433096335618</v>
      </c>
      <c r="S476" s="96">
        <f>S475+U475*Tableau!$G$2</f>
        <v>1167.1847678946781</v>
      </c>
      <c r="T476" s="96">
        <f t="shared" si="14"/>
        <v>-94.009497635216576</v>
      </c>
      <c r="U476" s="96">
        <f t="shared" si="15"/>
        <v>5.271237103096329</v>
      </c>
      <c r="V476" s="96">
        <f>((Tableau!$G$16-P476)/(AC476^2+Tableau!$G$21^2)^(3/2))*Tableau!$G$20</f>
        <v>-51.404269271684761</v>
      </c>
      <c r="W476" s="96">
        <f>((Tableau!$H$16-Q476)/(AC476^2+Tableau!$G$21^2)^(3/2))*Tableau!$G$20</f>
        <v>6.7984130817415451</v>
      </c>
      <c r="X476" s="96">
        <f>((Tableau!$G$25-P476)/(AD476^2+Tableau!$G$30^2)^(3/2))*Tableau!$G$29</f>
        <v>-9.1045288895440919</v>
      </c>
      <c r="Y476" s="96">
        <f>((Tableau!$H$25-Q476)/(AD476^2+Tableau!$G$30^2)^(3/2))*Tableau!$G$29</f>
        <v>1.0211910772002837</v>
      </c>
      <c r="Z476" s="96">
        <f>((Tableau!$G$35-P476)/(AE476^2+Tableau!$G$40^2)^(3/2))*Tableau!$G$39</f>
        <v>-33.500699473987716</v>
      </c>
      <c r="AA476" s="97">
        <f>((Tableau!$H$35-Q476)/(AE476^2+Tableau!$G$40^2)^(3/2))*Tableau!$G$39</f>
        <v>-2.5483670558454992</v>
      </c>
      <c r="AC476" s="110">
        <f>SQRT((Tableau!$G$16-P476)^2+(Tableau!$H$16-Q476)^2)</f>
        <v>99737.629914213627</v>
      </c>
      <c r="AD476" s="111">
        <f>SQRT((Tableau!$G$25-P476)^2+(Tableau!$H$25-Q476)^2)</f>
        <v>139747.48942782855</v>
      </c>
      <c r="AE476" s="112">
        <f>SQRT((Tableau!$G$35-P476)^2+(Tableau!$H$35-Q476)^2)</f>
        <v>124234.53793772343</v>
      </c>
    </row>
    <row r="477" spans="2:31" x14ac:dyDescent="0.25">
      <c r="B477" s="18">
        <v>474</v>
      </c>
      <c r="C477" s="19">
        <f>Tableau!$G$17*COS(B477*PI()/180)+Tableau!$G$16</f>
        <v>17966.316784620998</v>
      </c>
      <c r="D477" s="19">
        <f>Tableau!$G$17*SIN(B477*PI()/180)+Tableau!$H$16</f>
        <v>12067.727288213004</v>
      </c>
      <c r="F477" s="26">
        <v>474</v>
      </c>
      <c r="G477" s="27">
        <f>Tableau!$G$26*COS(F477*PI()/180)+Tableau!$G$25</f>
        <v>-21423.578250765302</v>
      </c>
      <c r="H477" s="27">
        <f>Tableau!$G$26*SIN(F477*PI()/180)+Tableau!$H$25</f>
        <v>13197.409101749103</v>
      </c>
      <c r="J477" s="34">
        <v>474</v>
      </c>
      <c r="K477" s="35">
        <f>Tableau!$G$36*COS(J477*PI()/180)+Tableau!$G$35</f>
        <v>-7033.6832153790019</v>
      </c>
      <c r="L477" s="35">
        <f>Tableau!$G$36*SIN(J477*PI()/180)+Tableau!$H$35</f>
        <v>-10432.272711786996</v>
      </c>
      <c r="N477" s="98">
        <v>473</v>
      </c>
      <c r="O477" s="99">
        <v>236.5</v>
      </c>
      <c r="P477" s="101">
        <f>P476+R476*Tableau!$G$2+((1/2)*T476)*Tableau!$G$2^2</f>
        <v>119811.56906499245</v>
      </c>
      <c r="Q477" s="101">
        <f>Q476+S476*Tableau!$G$2+((1/2)*U476)*Tableau!$G$2^2</f>
        <v>-4992.5672486148305</v>
      </c>
      <c r="R477" s="101">
        <f>R476+T476*Tableau!$G$2</f>
        <v>1846.3385608159535</v>
      </c>
      <c r="S477" s="101">
        <f>S476+U476*Tableau!$G$2</f>
        <v>1169.8203864462262</v>
      </c>
      <c r="T477" s="101">
        <f t="shared" si="14"/>
        <v>-92.566667438995125</v>
      </c>
      <c r="U477" s="101">
        <f t="shared" si="15"/>
        <v>4.6535198950370091</v>
      </c>
      <c r="V477" s="101">
        <f>((Tableau!$G$16-P477)/(AC477^2+Tableau!$G$21^2)^(3/2))*Tableau!$G$20</f>
        <v>-50.594614620056667</v>
      </c>
      <c r="W477" s="101">
        <f>((Tableau!$H$16-Q477)/(AC477^2+Tableau!$G$21^2)^(3/2))*Tableau!$G$20</f>
        <v>6.3324986419885292</v>
      </c>
      <c r="X477" s="101">
        <f>((Tableau!$G$25-P477)/(AD477^2+Tableau!$G$30^2)^(3/2))*Tableau!$G$29</f>
        <v>-8.9979961590731268</v>
      </c>
      <c r="Y477" s="101">
        <f>((Tableau!$H$25-Q477)/(AD477^2+Tableau!$G$30^2)^(3/2))*Tableau!$G$29</f>
        <v>0.96489198583395552</v>
      </c>
      <c r="Z477" s="101">
        <f>((Tableau!$G$35-P477)/(AE477^2+Tableau!$G$40^2)^(3/2))*Tableau!$G$39</f>
        <v>-32.974056659865333</v>
      </c>
      <c r="AA477" s="102">
        <f>((Tableau!$H$35-Q477)/(AE477^2+Tableau!$G$40^2)^(3/2))*Tableau!$G$39</f>
        <v>-2.6438707327854751</v>
      </c>
      <c r="AC477" s="113">
        <f>SQRT((Tableau!$G$16-P477)^2+(Tableau!$H$16-Q477)^2)</f>
        <v>100590.32535824169</v>
      </c>
      <c r="AD477" s="114">
        <f>SQRT((Tableau!$G$25-P477)^2+(Tableau!$H$25-Q477)^2)</f>
        <v>140613.12853755653</v>
      </c>
      <c r="AE477" s="115">
        <f>SQRT((Tableau!$G$35-P477)^2+(Tableau!$H$35-Q477)^2)</f>
        <v>125212.12594129563</v>
      </c>
    </row>
    <row r="478" spans="2:31" x14ac:dyDescent="0.25">
      <c r="B478" s="20">
        <v>475</v>
      </c>
      <c r="C478" s="21">
        <f>Tableau!$G$17*COS(B478*PI()/180)+Tableau!$G$16</f>
        <v>17886.908691296507</v>
      </c>
      <c r="D478" s="21">
        <f>Tableau!$G$17*SIN(B478*PI()/180)+Tableau!$H$16</f>
        <v>12031.538935183251</v>
      </c>
      <c r="F478" s="28">
        <v>475</v>
      </c>
      <c r="G478" s="29">
        <f>Tableau!$G$26*COS(F478*PI()/180)+Tableau!$G$25</f>
        <v>-21479.163916092446</v>
      </c>
      <c r="H478" s="29">
        <f>Tableau!$G$26*SIN(F478*PI()/180)+Tableau!$H$25</f>
        <v>13172.077254628275</v>
      </c>
      <c r="J478" s="36">
        <v>475</v>
      </c>
      <c r="K478" s="37">
        <f>Tableau!$G$36*COS(J478*PI()/180)+Tableau!$G$35</f>
        <v>-7113.0913087034933</v>
      </c>
      <c r="L478" s="37">
        <f>Tableau!$G$36*SIN(J478*PI()/180)+Tableau!$H$35</f>
        <v>-10468.461064816749</v>
      </c>
      <c r="N478" s="92">
        <v>474</v>
      </c>
      <c r="O478" s="93">
        <v>237</v>
      </c>
      <c r="P478" s="96">
        <f>P477+R477*Tableau!$G$2+((1/2)*T477)*Tableau!$G$2^2</f>
        <v>120723.16751197056</v>
      </c>
      <c r="Q478" s="96">
        <f>Q477+S477*Tableau!$G$2+((1/2)*U477)*Tableau!$G$2^2</f>
        <v>-4407.0753654048376</v>
      </c>
      <c r="R478" s="96">
        <f>R477+T477*Tableau!$G$2</f>
        <v>1800.0552270964561</v>
      </c>
      <c r="S478" s="96">
        <f>S477+U477*Tableau!$G$2</f>
        <v>1172.1471463937446</v>
      </c>
      <c r="T478" s="96">
        <f t="shared" si="14"/>
        <v>-91.184666940078614</v>
      </c>
      <c r="U478" s="96">
        <f t="shared" si="15"/>
        <v>4.0643663362305613</v>
      </c>
      <c r="V478" s="96">
        <f>((Tableau!$G$16-P478)/(AC478^2+Tableau!$G$21^2)^(3/2))*Tableau!$G$20</f>
        <v>-49.819215168384304</v>
      </c>
      <c r="W478" s="96">
        <f>((Tableau!$H$16-Q478)/(AC478^2+Tableau!$G$21^2)^(3/2))*Tableau!$G$20</f>
        <v>5.8894211163958099</v>
      </c>
      <c r="X478" s="96">
        <f>((Tableau!$G$25-P478)/(AD478^2+Tableau!$G$30^2)^(3/2))*Tableau!$G$29</f>
        <v>-8.895611253779764</v>
      </c>
      <c r="Y478" s="96">
        <f>((Tableau!$H$25-Q478)/(AD478^2+Tableau!$G$30^2)^(3/2))*Tableau!$G$29</f>
        <v>0.91072240641290725</v>
      </c>
      <c r="Z478" s="96">
        <f>((Tableau!$G$35-P478)/(AE478^2+Tableau!$G$40^2)^(3/2))*Tableau!$G$39</f>
        <v>-32.469840517914548</v>
      </c>
      <c r="AA478" s="97">
        <f>((Tableau!$H$35-Q478)/(AE478^2+Tableau!$G$40^2)^(3/2))*Tableau!$G$39</f>
        <v>-2.7357771865781566</v>
      </c>
      <c r="AC478" s="110">
        <f>SQRT((Tableau!$G$16-P478)^2+(Tableau!$H$16-Q478)^2)</f>
        <v>101424.52818427066</v>
      </c>
      <c r="AD478" s="111">
        <f>SQRT((Tableau!$G$25-P478)^2+(Tableau!$H$25-Q478)^2)</f>
        <v>141458.73495541583</v>
      </c>
      <c r="AE478" s="112">
        <f>SQRT((Tableau!$G$35-P478)^2+(Tableau!$H$35-Q478)^2)</f>
        <v>126168.63675873344</v>
      </c>
    </row>
    <row r="479" spans="2:31" x14ac:dyDescent="0.25">
      <c r="B479" s="18">
        <v>476</v>
      </c>
      <c r="C479" s="19">
        <f>Tableau!$G$17*COS(B479*PI()/180)+Tableau!$G$16</f>
        <v>17808.144266054613</v>
      </c>
      <c r="D479" s="19">
        <f>Tableau!$G$17*SIN(B479*PI()/180)+Tableau!$H$16</f>
        <v>11993.970231495834</v>
      </c>
      <c r="F479" s="26">
        <v>476</v>
      </c>
      <c r="G479" s="27">
        <f>Tableau!$G$26*COS(F479*PI()/180)+Tableau!$G$25</f>
        <v>-21534.299013761771</v>
      </c>
      <c r="H479" s="27">
        <f>Tableau!$G$26*SIN(F479*PI()/180)+Tableau!$H$25</f>
        <v>13145.779162047085</v>
      </c>
      <c r="J479" s="34">
        <v>476</v>
      </c>
      <c r="K479" s="35">
        <f>Tableau!$G$36*COS(J479*PI()/180)+Tableau!$G$35</f>
        <v>-7191.8557339453864</v>
      </c>
      <c r="L479" s="35">
        <f>Tableau!$G$36*SIN(J479*PI()/180)+Tableau!$H$35</f>
        <v>-10506.029768504166</v>
      </c>
      <c r="N479" s="98">
        <v>475</v>
      </c>
      <c r="O479" s="99">
        <v>237.5</v>
      </c>
      <c r="P479" s="101">
        <f>P478+R478*Tableau!$G$2+((1/2)*T478)*Tableau!$G$2^2</f>
        <v>121611.79704215127</v>
      </c>
      <c r="Q479" s="101">
        <f>Q478+S478*Tableau!$G$2+((1/2)*U478)*Tableau!$G$2^2</f>
        <v>-3820.4937464159361</v>
      </c>
      <c r="R479" s="101">
        <f>R478+T478*Tableau!$G$2</f>
        <v>1754.4628936264166</v>
      </c>
      <c r="S479" s="101">
        <f>S478+U478*Tableau!$G$2</f>
        <v>1174.17932956186</v>
      </c>
      <c r="T479" s="101">
        <f t="shared" si="14"/>
        <v>-89.860331906671718</v>
      </c>
      <c r="U479" s="101">
        <f t="shared" si="15"/>
        <v>3.5017532730411292</v>
      </c>
      <c r="V479" s="101">
        <f>((Tableau!$G$16-P479)/(AC479^2+Tableau!$G$21^2)^(3/2))*Tableau!$G$20</f>
        <v>-49.076321486353898</v>
      </c>
      <c r="W479" s="101">
        <f>((Tableau!$H$16-Q479)/(AC479^2+Tableau!$G$21^2)^(3/2))*Tableau!$G$20</f>
        <v>5.4675559989644</v>
      </c>
      <c r="X479" s="101">
        <f>((Tableau!$G$25-P479)/(AD479^2+Tableau!$G$30^2)^(3/2))*Tableau!$G$29</f>
        <v>-8.7971839682493425</v>
      </c>
      <c r="Y479" s="101">
        <f>((Tableau!$H$25-Q479)/(AD479^2+Tableau!$G$30^2)^(3/2))*Tableau!$G$29</f>
        <v>0.85855436170385857</v>
      </c>
      <c r="Z479" s="101">
        <f>((Tableau!$G$35-P479)/(AE479^2+Tableau!$G$40^2)^(3/2))*Tableau!$G$39</f>
        <v>-31.986826452068474</v>
      </c>
      <c r="AA479" s="102">
        <f>((Tableau!$H$35-Q479)/(AE479^2+Tableau!$G$40^2)^(3/2))*Tableau!$G$39</f>
        <v>-2.8243570876271296</v>
      </c>
      <c r="AC479" s="113">
        <f>SQRT((Tableau!$G$16-P479)^2+(Tableau!$H$16-Q479)^2)</f>
        <v>102240.45616485669</v>
      </c>
      <c r="AD479" s="114">
        <f>SQRT((Tableau!$G$25-P479)^2+(Tableau!$H$25-Q479)^2)</f>
        <v>142284.59898703781</v>
      </c>
      <c r="AE479" s="115">
        <f>SQRT((Tableau!$G$35-P479)^2+(Tableau!$H$35-Q479)^2)</f>
        <v>127104.4000431017</v>
      </c>
    </row>
    <row r="480" spans="2:31" x14ac:dyDescent="0.25">
      <c r="B480" s="20">
        <v>477</v>
      </c>
      <c r="C480" s="21">
        <f>Tableau!$G$17*COS(B480*PI()/180)+Tableau!$G$16</f>
        <v>17730.047501302262</v>
      </c>
      <c r="D480" s="21">
        <f>Tableau!$G$17*SIN(B480*PI()/180)+Tableau!$H$16</f>
        <v>11955.032620941838</v>
      </c>
      <c r="F480" s="28">
        <v>477</v>
      </c>
      <c r="G480" s="29">
        <f>Tableau!$G$26*COS(F480*PI()/180)+Tableau!$G$25</f>
        <v>-21588.966749088417</v>
      </c>
      <c r="H480" s="29">
        <f>Tableau!$G$26*SIN(F480*PI()/180)+Tableau!$H$25</f>
        <v>13118.522834659287</v>
      </c>
      <c r="J480" s="36">
        <v>477</v>
      </c>
      <c r="K480" s="37">
        <f>Tableau!$G$36*COS(J480*PI()/180)+Tableau!$G$35</f>
        <v>-7269.9524986977367</v>
      </c>
      <c r="L480" s="37">
        <f>Tableau!$G$36*SIN(J480*PI()/180)+Tableau!$H$35</f>
        <v>-10544.967379058162</v>
      </c>
      <c r="N480" s="92">
        <v>476</v>
      </c>
      <c r="O480" s="93">
        <v>238</v>
      </c>
      <c r="P480" s="96">
        <f>P479+R479*Tableau!$G$2+((1/2)*T479)*Tableau!$G$2^2</f>
        <v>122477.79594747614</v>
      </c>
      <c r="Q480" s="96">
        <f>Q479+S479*Tableau!$G$2+((1/2)*U479)*Tableau!$G$2^2</f>
        <v>-3232.9663624758759</v>
      </c>
      <c r="R480" s="96">
        <f>R479+T479*Tableau!$G$2</f>
        <v>1709.5327276730809</v>
      </c>
      <c r="S480" s="96">
        <f>S479+U479*Tableau!$G$2</f>
        <v>1175.9302061983806</v>
      </c>
      <c r="T480" s="96">
        <f t="shared" si="14"/>
        <v>-88.590717314241331</v>
      </c>
      <c r="U480" s="96">
        <f t="shared" si="15"/>
        <v>2.9638224538543061</v>
      </c>
      <c r="V480" s="96">
        <f>((Tableau!$G$16-P480)/(AC480^2+Tableau!$G$21^2)^(3/2))*Tableau!$G$20</f>
        <v>-48.364301631897433</v>
      </c>
      <c r="W480" s="96">
        <f>((Tableau!$H$16-Q480)/(AC480^2+Tableau!$G$21^2)^(3/2))*Tableau!$G$20</f>
        <v>5.0654136123872853</v>
      </c>
      <c r="X480" s="96">
        <f>((Tableau!$G$25-P480)/(AD480^2+Tableau!$G$30^2)^(3/2))*Tableau!$G$29</f>
        <v>-8.7025364458921945</v>
      </c>
      <c r="Y480" s="96">
        <f>((Tableau!$H$25-Q480)/(AD480^2+Tableau!$G$30^2)^(3/2))*Tableau!$G$29</f>
        <v>0.80826890457489375</v>
      </c>
      <c r="Z480" s="96">
        <f>((Tableau!$G$35-P480)/(AE480^2+Tableau!$G$40^2)^(3/2))*Tableau!$G$39</f>
        <v>-31.523879236451709</v>
      </c>
      <c r="AA480" s="97">
        <f>((Tableau!$H$35-Q480)/(AE480^2+Tableau!$G$40^2)^(3/2))*Tableau!$G$39</f>
        <v>-2.9098600631078733</v>
      </c>
      <c r="AC480" s="110">
        <f>SQRT((Tableau!$G$16-P480)^2+(Tableau!$H$16-Q480)^2)</f>
        <v>103038.31922731754</v>
      </c>
      <c r="AD480" s="111">
        <f>SQRT((Tableau!$G$25-P480)^2+(Tableau!$H$25-Q480)^2)</f>
        <v>143090.99809841663</v>
      </c>
      <c r="AE480" s="112">
        <f>SQRT((Tableau!$G$35-P480)^2+(Tableau!$H$35-Q480)^2)</f>
        <v>128019.73105835285</v>
      </c>
    </row>
    <row r="481" spans="2:31" x14ac:dyDescent="0.25">
      <c r="B481" s="18">
        <v>478</v>
      </c>
      <c r="C481" s="19">
        <f>Tableau!$G$17*COS(B481*PI()/180)+Tableau!$G$16</f>
        <v>17652.642186070549</v>
      </c>
      <c r="D481" s="19">
        <f>Tableau!$G$17*SIN(B481*PI()/180)+Tableau!$H$16</f>
        <v>11914.737964294636</v>
      </c>
      <c r="F481" s="26">
        <v>478</v>
      </c>
      <c r="G481" s="27">
        <f>Tableau!$G$26*COS(F481*PI()/180)+Tableau!$G$25</f>
        <v>-21643.150469750617</v>
      </c>
      <c r="H481" s="27">
        <f>Tableau!$G$26*SIN(F481*PI()/180)+Tableau!$H$25</f>
        <v>13090.316575006245</v>
      </c>
      <c r="J481" s="34">
        <v>478</v>
      </c>
      <c r="K481" s="35">
        <f>Tableau!$G$36*COS(J481*PI()/180)+Tableau!$G$35</f>
        <v>-7347.3578139294514</v>
      </c>
      <c r="L481" s="35">
        <f>Tableau!$G$36*SIN(J481*PI()/180)+Tableau!$H$35</f>
        <v>-10585.262035705364</v>
      </c>
      <c r="N481" s="98">
        <v>477</v>
      </c>
      <c r="O481" s="99">
        <v>238.5</v>
      </c>
      <c r="P481" s="101">
        <f>P480+R480*Tableau!$G$2+((1/2)*T480)*Tableau!$G$2^2</f>
        <v>123321.48847164839</v>
      </c>
      <c r="Q481" s="101">
        <f>Q480+S480*Tableau!$G$2+((1/2)*U480)*Tableau!$G$2^2</f>
        <v>-2644.6307815699538</v>
      </c>
      <c r="R481" s="101">
        <f>R480+T480*Tableau!$G$2</f>
        <v>1665.2373690159602</v>
      </c>
      <c r="S481" s="101">
        <f>S480+U480*Tableau!$G$2</f>
        <v>1177.4121174253078</v>
      </c>
      <c r="T481" s="101">
        <f t="shared" si="14"/>
        <v>-87.37307939898993</v>
      </c>
      <c r="U481" s="101">
        <f t="shared" si="15"/>
        <v>2.4488644904443224</v>
      </c>
      <c r="V481" s="101">
        <f>((Tableau!$G$16-P481)/(AC481^2+Tableau!$G$21^2)^(3/2))*Tableau!$G$20</f>
        <v>-47.68163201634195</v>
      </c>
      <c r="W481" s="101">
        <f>((Tableau!$H$16-Q481)/(AC481^2+Tableau!$G$21^2)^(3/2))*Tableau!$G$20</f>
        <v>4.6816258556051062</v>
      </c>
      <c r="X481" s="101">
        <f>((Tableau!$G$25-P481)/(AD481^2+Tableau!$G$30^2)^(3/2))*Tableau!$G$29</f>
        <v>-8.6115022212967425</v>
      </c>
      <c r="Y481" s="101">
        <f>((Tableau!$H$25-Q481)/(AD481^2+Tableau!$G$30^2)^(3/2))*Tableau!$G$29</f>
        <v>0.75975533902236236</v>
      </c>
      <c r="Z481" s="101">
        <f>((Tableau!$G$35-P481)/(AE481^2+Tableau!$G$40^2)^(3/2))*Tableau!$G$39</f>
        <v>-31.079945161351233</v>
      </c>
      <c r="AA481" s="102">
        <f>((Tableau!$H$35-Q481)/(AE481^2+Tableau!$G$40^2)^(3/2))*Tableau!$G$39</f>
        <v>-2.9925167041831462</v>
      </c>
      <c r="AC481" s="113">
        <f>SQRT((Tableau!$G$16-P481)^2+(Tableau!$H$16-Q481)^2)</f>
        <v>103818.31974026235</v>
      </c>
      <c r="AD481" s="114">
        <f>SQRT((Tableau!$G$25-P481)^2+(Tableau!$H$25-Q481)^2)</f>
        <v>143878.19760245495</v>
      </c>
      <c r="AE481" s="115">
        <f>SQRT((Tableau!$G$35-P481)^2+(Tableau!$H$35-Q481)^2)</f>
        <v>128914.93145521631</v>
      </c>
    </row>
    <row r="482" spans="2:31" x14ac:dyDescent="0.25">
      <c r="B482" s="20">
        <v>479</v>
      </c>
      <c r="C482" s="21">
        <f>Tableau!$G$17*COS(B482*PI()/180)+Tableau!$G$16</f>
        <v>17575.951898768315</v>
      </c>
      <c r="D482" s="21">
        <f>Tableau!$G$17*SIN(B482*PI()/180)+Tableau!$H$16</f>
        <v>11873.09853569698</v>
      </c>
      <c r="F482" s="28">
        <v>479</v>
      </c>
      <c r="G482" s="29">
        <f>Tableau!$G$26*COS(F482*PI()/180)+Tableau!$G$25</f>
        <v>-21696.833670862179</v>
      </c>
      <c r="H482" s="29">
        <f>Tableau!$G$26*SIN(F482*PI()/180)+Tableau!$H$25</f>
        <v>13061.168974987886</v>
      </c>
      <c r="J482" s="36">
        <v>479</v>
      </c>
      <c r="K482" s="37">
        <f>Tableau!$G$36*COS(J482*PI()/180)+Tableau!$G$35</f>
        <v>-7424.0481012316859</v>
      </c>
      <c r="L482" s="37">
        <f>Tableau!$G$36*SIN(J482*PI()/180)+Tableau!$H$35</f>
        <v>-10626.90146430302</v>
      </c>
      <c r="N482" s="92">
        <v>478</v>
      </c>
      <c r="O482" s="93">
        <v>239</v>
      </c>
      <c r="P482" s="96">
        <f>P481+R481*Tableau!$G$2+((1/2)*T481)*Tableau!$G$2^2</f>
        <v>124143.1855212315</v>
      </c>
      <c r="Q482" s="96">
        <f>Q481+S481*Tableau!$G$2+((1/2)*U481)*Tableau!$G$2^2</f>
        <v>-2055.6186147959943</v>
      </c>
      <c r="R482" s="96">
        <f>R481+T481*Tableau!$G$2</f>
        <v>1621.5508293164653</v>
      </c>
      <c r="S482" s="96">
        <f>S481+U481*Tableau!$G$2</f>
        <v>1178.63654967053</v>
      </c>
      <c r="T482" s="96">
        <f t="shared" si="14"/>
        <v>-86.204859419769519</v>
      </c>
      <c r="U482" s="96">
        <f t="shared" si="15"/>
        <v>1.9553045896262109</v>
      </c>
      <c r="V482" s="96">
        <f>((Tableau!$G$16-P482)/(AC482^2+Tableau!$G$21^2)^(3/2))*Tableau!$G$20</f>
        <v>-47.026889077470017</v>
      </c>
      <c r="W482" s="96">
        <f>((Tableau!$H$16-Q482)/(AC482^2+Tableau!$G$21^2)^(3/2))*Tableau!$G$20</f>
        <v>4.3149344281677111</v>
      </c>
      <c r="X482" s="96">
        <f>((Tableau!$G$25-P482)/(AD482^2+Tableau!$G$30^2)^(3/2))*Tableau!$G$29</f>
        <v>-8.5239253514928208</v>
      </c>
      <c r="Y482" s="96">
        <f>((Tableau!$H$25-Q482)/(AD482^2+Tableau!$G$30^2)^(3/2))*Tableau!$G$29</f>
        <v>0.71291051857218857</v>
      </c>
      <c r="Z482" s="96">
        <f>((Tableau!$G$35-P482)/(AE482^2+Tableau!$G$40^2)^(3/2))*Tableau!$G$39</f>
        <v>-30.654044990806675</v>
      </c>
      <c r="AA482" s="97">
        <f>((Tableau!$H$35-Q482)/(AE482^2+Tableau!$G$40^2)^(3/2))*Tableau!$G$39</f>
        <v>-3.0725403571136889</v>
      </c>
      <c r="AC482" s="110">
        <f>SQRT((Tableau!$G$16-P482)^2+(Tableau!$H$16-Q482)^2)</f>
        <v>104580.65278827187</v>
      </c>
      <c r="AD482" s="111">
        <f>SQRT((Tableau!$G$25-P482)^2+(Tableau!$H$25-Q482)^2)</f>
        <v>144646.45129554192</v>
      </c>
      <c r="AE482" s="112">
        <f>SQRT((Tableau!$G$35-P482)^2+(Tableau!$H$35-Q482)^2)</f>
        <v>129790.28999126564</v>
      </c>
    </row>
    <row r="483" spans="2:31" x14ac:dyDescent="0.25">
      <c r="B483" s="18">
        <v>480</v>
      </c>
      <c r="C483" s="19">
        <f>Tableau!$G$17*COS(B483*PI()/180)+Tableau!$G$16</f>
        <v>17500.000000000004</v>
      </c>
      <c r="D483" s="19">
        <f>Tableau!$G$17*SIN(B483*PI()/180)+Tableau!$H$16</f>
        <v>11830.127018922196</v>
      </c>
      <c r="F483" s="26">
        <v>480</v>
      </c>
      <c r="G483" s="27">
        <f>Tableau!$G$26*COS(F483*PI()/180)+Tableau!$G$25</f>
        <v>-21749.999999999996</v>
      </c>
      <c r="H483" s="27">
        <f>Tableau!$G$26*SIN(F483*PI()/180)+Tableau!$H$25</f>
        <v>13031.088913245538</v>
      </c>
      <c r="J483" s="34">
        <v>480</v>
      </c>
      <c r="K483" s="35">
        <f>Tableau!$G$36*COS(J483*PI()/180)+Tableau!$G$35</f>
        <v>-7499.9999999999964</v>
      </c>
      <c r="L483" s="35">
        <f>Tableau!$G$36*SIN(J483*PI()/180)+Tableau!$H$35</f>
        <v>-10669.872981077804</v>
      </c>
      <c r="N483" s="98">
        <v>479</v>
      </c>
      <c r="O483" s="99">
        <v>239.5</v>
      </c>
      <c r="P483" s="101">
        <f>P482+R482*Tableau!$G$2+((1/2)*T482)*Tableau!$G$2^2</f>
        <v>124943.18532846226</v>
      </c>
      <c r="Q483" s="101">
        <f>Q482+S482*Tableau!$G$2+((1/2)*U482)*Tableau!$G$2^2</f>
        <v>-1466.0559268870259</v>
      </c>
      <c r="R483" s="101">
        <f>R482+T482*Tableau!$G$2</f>
        <v>1578.4483996065806</v>
      </c>
      <c r="S483" s="101">
        <f>S482+U482*Tableau!$G$2</f>
        <v>1179.6142019653432</v>
      </c>
      <c r="T483" s="101">
        <f t="shared" si="14"/>
        <v>-85.083668945840174</v>
      </c>
      <c r="U483" s="101">
        <f t="shared" si="15"/>
        <v>1.4816898360810535</v>
      </c>
      <c r="V483" s="101">
        <f>((Tableau!$G$16-P483)/(AC483^2+Tableau!$G$21^2)^(3/2))*Tableau!$G$20</f>
        <v>-46.39874168296506</v>
      </c>
      <c r="W483" s="101">
        <f>((Tableau!$H$16-Q483)/(AC483^2+Tableau!$G$21^2)^(3/2))*Tableau!$G$20</f>
        <v>3.964180347342853</v>
      </c>
      <c r="X483" s="101">
        <f>((Tableau!$G$25-P483)/(AD483^2+Tableau!$G$30^2)^(3/2))*Tableau!$G$29</f>
        <v>-8.4396596266685062</v>
      </c>
      <c r="Y483" s="101">
        <f>((Tableau!$H$25-Q483)/(AD483^2+Tableau!$G$30^2)^(3/2))*Tableau!$G$29</f>
        <v>0.6676382133039066</v>
      </c>
      <c r="Z483" s="101">
        <f>((Tableau!$G$35-P483)/(AE483^2+Tableau!$G$40^2)^(3/2))*Tableau!$G$39</f>
        <v>-30.245267636206599</v>
      </c>
      <c r="AA483" s="102">
        <f>((Tableau!$H$35-Q483)/(AE483^2+Tableau!$G$40^2)^(3/2))*Tableau!$G$39</f>
        <v>-3.1501287245657057</v>
      </c>
      <c r="AC483" s="113">
        <f>SQRT((Tableau!$G$16-P483)^2+(Tableau!$H$16-Q483)^2)</f>
        <v>105325.50643489943</v>
      </c>
      <c r="AD483" s="114">
        <f>SQRT((Tableau!$G$25-P483)^2+(Tableau!$H$25-Q483)^2)</f>
        <v>145396.00204847264</v>
      </c>
      <c r="AE483" s="115">
        <f>SQRT((Tableau!$G$35-P483)^2+(Tableau!$H$35-Q483)^2)</f>
        <v>130646.08319992315</v>
      </c>
    </row>
    <row r="484" spans="2:31" x14ac:dyDescent="0.25">
      <c r="B484" s="20">
        <v>481</v>
      </c>
      <c r="C484" s="21">
        <f>Tableau!$G$17*COS(B484*PI()/180)+Tableau!$G$16</f>
        <v>17424.809625449729</v>
      </c>
      <c r="D484" s="21">
        <f>Tableau!$G$17*SIN(B484*PI()/180)+Tableau!$H$16</f>
        <v>11785.836503510563</v>
      </c>
      <c r="F484" s="28">
        <v>481</v>
      </c>
      <c r="G484" s="29">
        <f>Tableau!$G$26*COS(F484*PI()/180)+Tableau!$G$25</f>
        <v>-21802.633262185191</v>
      </c>
      <c r="H484" s="29">
        <f>Tableau!$G$26*SIN(F484*PI()/180)+Tableau!$H$25</f>
        <v>13000.085552457393</v>
      </c>
      <c r="J484" s="36">
        <v>481</v>
      </c>
      <c r="K484" s="37">
        <f>Tableau!$G$36*COS(J484*PI()/180)+Tableau!$G$35</f>
        <v>-7575.1903745502696</v>
      </c>
      <c r="L484" s="37">
        <f>Tableau!$G$36*SIN(J484*PI()/180)+Tableau!$H$35</f>
        <v>-10714.163496489437</v>
      </c>
      <c r="N484" s="92">
        <v>480</v>
      </c>
      <c r="O484" s="93">
        <v>240</v>
      </c>
      <c r="P484" s="96">
        <f>P483+R483*Tableau!$G$2+((1/2)*T483)*Tableau!$G$2^2</f>
        <v>125721.77406964732</v>
      </c>
      <c r="Q484" s="96">
        <f>Q483+S483*Tableau!$G$2+((1/2)*U483)*Tableau!$G$2^2</f>
        <v>-876.06361467484408</v>
      </c>
      <c r="R484" s="96">
        <f>R483+T483*Tableau!$G$2</f>
        <v>1535.9065651336605</v>
      </c>
      <c r="S484" s="96">
        <f>S483+U483*Tableau!$G$2</f>
        <v>1180.3550468833837</v>
      </c>
      <c r="T484" s="96">
        <f t="shared" si="14"/>
        <v>-84.007276509388419</v>
      </c>
      <c r="U484" s="96">
        <f t="shared" si="15"/>
        <v>1.0266778371010963</v>
      </c>
      <c r="V484" s="96">
        <f>((Tableau!$G$16-P484)/(AC484^2+Tableau!$G$21^2)^(3/2))*Tableau!$G$20</f>
        <v>-45.795944194487063</v>
      </c>
      <c r="W484" s="96">
        <f>((Tableau!$H$16-Q484)/(AC484^2+Tableau!$G$21^2)^(3/2))*Tableau!$G$20</f>
        <v>3.6282945991279125</v>
      </c>
      <c r="X484" s="96">
        <f>((Tableau!$G$25-P484)/(AD484^2+Tableau!$G$30^2)^(3/2))*Tableau!$G$29</f>
        <v>-8.3585678520178153</v>
      </c>
      <c r="Y484" s="96">
        <f>((Tableau!$H$25-Q484)/(AD484^2+Tableau!$G$30^2)^(3/2))*Tableau!$G$29</f>
        <v>0.6238485378490688</v>
      </c>
      <c r="Z484" s="96">
        <f>((Tableau!$G$35-P484)/(AE484^2+Tableau!$G$40^2)^(3/2))*Tableau!$G$39</f>
        <v>-29.852764462883542</v>
      </c>
      <c r="AA484" s="97">
        <f>((Tableau!$H$35-Q484)/(AE484^2+Tableau!$G$40^2)^(3/2))*Tableau!$G$39</f>
        <v>-3.2254652998758848</v>
      </c>
      <c r="AC484" s="110">
        <f>SQRT((Tableau!$G$16-P484)^2+(Tableau!$H$16-Q484)^2)</f>
        <v>106053.0619742336</v>
      </c>
      <c r="AD484" s="111">
        <f>SQRT((Tableau!$G$25-P484)^2+(Tableau!$H$25-Q484)^2)</f>
        <v>146127.08235558454</v>
      </c>
      <c r="AE484" s="112">
        <f>SQRT((Tableau!$G$35-P484)^2+(Tableau!$H$35-Q484)^2)</f>
        <v>131482.57601268933</v>
      </c>
    </row>
    <row r="485" spans="2:31" x14ac:dyDescent="0.25">
      <c r="B485" s="18">
        <v>482</v>
      </c>
      <c r="C485" s="19">
        <f>Tableau!$G$17*COS(B485*PI()/180)+Tableau!$G$16</f>
        <v>17350.403678833973</v>
      </c>
      <c r="D485" s="19">
        <f>Tableau!$G$17*SIN(B485*PI()/180)+Tableau!$H$16</f>
        <v>11740.240480782129</v>
      </c>
      <c r="F485" s="26">
        <v>482</v>
      </c>
      <c r="G485" s="27">
        <f>Tableau!$G$26*COS(F485*PI()/180)+Tableau!$G$25</f>
        <v>-21854.717424816219</v>
      </c>
      <c r="H485" s="27">
        <f>Tableau!$G$26*SIN(F485*PI()/180)+Tableau!$H$25</f>
        <v>12968.168336547489</v>
      </c>
      <c r="J485" s="34">
        <v>482</v>
      </c>
      <c r="K485" s="35">
        <f>Tableau!$G$36*COS(J485*PI()/180)+Tableau!$G$35</f>
        <v>-7649.5963211660273</v>
      </c>
      <c r="L485" s="35">
        <f>Tableau!$G$36*SIN(J485*PI()/180)+Tableau!$H$35</f>
        <v>-10759.759519217871</v>
      </c>
      <c r="N485" s="98">
        <v>481</v>
      </c>
      <c r="O485" s="99">
        <v>240.5</v>
      </c>
      <c r="P485" s="101">
        <f>P484+R484*Tableau!$G$2+((1/2)*T484)*Tableau!$G$2^2</f>
        <v>126479.22644265047</v>
      </c>
      <c r="Q485" s="101">
        <f>Q484+S484*Tableau!$G$2+((1/2)*U484)*Tableau!$G$2^2</f>
        <v>-285.7577565035146</v>
      </c>
      <c r="R485" s="101">
        <f>R484+T484*Tableau!$G$2</f>
        <v>1493.9029268789664</v>
      </c>
      <c r="S485" s="101">
        <f>S484+U484*Tableau!$G$2</f>
        <v>1180.8683858019342</v>
      </c>
      <c r="T485" s="101">
        <f t="shared" si="14"/>
        <v>-82.973595480526413</v>
      </c>
      <c r="U485" s="101">
        <f t="shared" si="15"/>
        <v>0.58902656543009968</v>
      </c>
      <c r="V485" s="101">
        <f>((Tableau!$G$16-P485)/(AC485^2+Tableau!$G$21^2)^(3/2))*Tableau!$G$20</f>
        <v>-45.21733012964949</v>
      </c>
      <c r="W485" s="101">
        <f>((Tableau!$H$16-Q485)/(AC485^2+Tableau!$G$21^2)^(3/2))*Tableau!$G$20</f>
        <v>3.3062897857819502</v>
      </c>
      <c r="X485" s="101">
        <f>((Tableau!$G$25-P485)/(AD485^2+Tableau!$G$30^2)^(3/2))*Tableau!$G$29</f>
        <v>-8.2805211933840432</v>
      </c>
      <c r="Y485" s="101">
        <f>((Tableau!$H$25-Q485)/(AD485^2+Tableau!$G$30^2)^(3/2))*Tableau!$G$29</f>
        <v>0.58145743366611757</v>
      </c>
      <c r="Z485" s="101">
        <f>((Tableau!$G$35-P485)/(AE485^2+Tableau!$G$40^2)^(3/2))*Tableau!$G$39</f>
        <v>-29.475744157492883</v>
      </c>
      <c r="AA485" s="102">
        <f>((Tableau!$H$35-Q485)/(AE485^2+Tableau!$G$40^2)^(3/2))*Tableau!$G$39</f>
        <v>-3.2987206540179681</v>
      </c>
      <c r="AC485" s="113">
        <f>SQRT((Tableau!$G$16-P485)^2+(Tableau!$H$16-Q485)^2)</f>
        <v>106763.49417131396</v>
      </c>
      <c r="AD485" s="114">
        <f>SQRT((Tableau!$G$25-P485)^2+(Tableau!$H$25-Q485)^2)</f>
        <v>146839.91484559895</v>
      </c>
      <c r="AE485" s="115">
        <f>SQRT((Tableau!$G$35-P485)^2+(Tableau!$H$35-Q485)^2)</f>
        <v>132300.02233846395</v>
      </c>
    </row>
    <row r="486" spans="2:31" x14ac:dyDescent="0.25">
      <c r="B486" s="20">
        <v>483</v>
      </c>
      <c r="C486" s="21">
        <f>Tableau!$G$17*COS(B486*PI()/180)+Tableau!$G$16</f>
        <v>17276.804824924868</v>
      </c>
      <c r="D486" s="21">
        <f>Tableau!$G$17*SIN(B486*PI()/180)+Tableau!$H$16</f>
        <v>11693.352839727122</v>
      </c>
      <c r="F486" s="28">
        <v>483</v>
      </c>
      <c r="G486" s="29">
        <f>Tableau!$G$26*COS(F486*PI()/180)+Tableau!$G$25</f>
        <v>-21906.236622552591</v>
      </c>
      <c r="H486" s="29">
        <f>Tableau!$G$26*SIN(F486*PI()/180)+Tableau!$H$25</f>
        <v>12935.346987808985</v>
      </c>
      <c r="J486" s="36">
        <v>483</v>
      </c>
      <c r="K486" s="37">
        <f>Tableau!$G$36*COS(J486*PI()/180)+Tableau!$G$35</f>
        <v>-7723.1951750751323</v>
      </c>
      <c r="L486" s="37">
        <f>Tableau!$G$36*SIN(J486*PI()/180)+Tableau!$H$35</f>
        <v>-10806.647160272878</v>
      </c>
      <c r="N486" s="92">
        <v>482</v>
      </c>
      <c r="O486" s="93">
        <v>241</v>
      </c>
      <c r="P486" s="96">
        <f>P485+R485*Tableau!$G$2+((1/2)*T485)*Tableau!$G$2^2</f>
        <v>127215.80620665489</v>
      </c>
      <c r="Q486" s="96">
        <f>Q485+S485*Tableau!$G$2+((1/2)*U485)*Tableau!$G$2^2</f>
        <v>304.75006471813128</v>
      </c>
      <c r="R486" s="96">
        <f>R485+T485*Tableau!$G$2</f>
        <v>1452.4161291387031</v>
      </c>
      <c r="S486" s="96">
        <f>S485+U485*Tableau!$G$2</f>
        <v>1181.1628990846493</v>
      </c>
      <c r="T486" s="96">
        <f t="shared" si="14"/>
        <v>-81.9806730388771</v>
      </c>
      <c r="U486" s="96">
        <f t="shared" si="15"/>
        <v>0.16758525808222302</v>
      </c>
      <c r="V486" s="96">
        <f>((Tableau!$G$16-P486)/(AC486^2+Tableau!$G$21^2)^(3/2))*Tableau!$G$20</f>
        <v>-44.661806365478981</v>
      </c>
      <c r="W486" s="96">
        <f>((Tableau!$H$16-Q486)/(AC486^2+Tableau!$G$21^2)^(3/2))*Tableau!$G$20</f>
        <v>2.9972526508021309</v>
      </c>
      <c r="X486" s="96">
        <f>((Tableau!$G$25-P486)/(AD486^2+Tableau!$G$30^2)^(3/2))*Tableau!$G$29</f>
        <v>-8.2053985802183664</v>
      </c>
      <c r="Y486" s="96">
        <f>((Tableau!$H$25-Q486)/(AD486^2+Tableau!$G$30^2)^(3/2))*Tableau!$G$29</f>
        <v>0.54038619971384472</v>
      </c>
      <c r="Z486" s="96">
        <f>((Tableau!$G$35-P486)/(AE486^2+Tableau!$G$40^2)^(3/2))*Tableau!$G$39</f>
        <v>-29.113468093179755</v>
      </c>
      <c r="AA486" s="97">
        <f>((Tableau!$H$35-Q486)/(AE486^2+Tableau!$G$40^2)^(3/2))*Tableau!$G$39</f>
        <v>-3.3700535924337527</v>
      </c>
      <c r="AC486" s="110">
        <f>SQRT((Tableau!$G$16-P486)^2+(Tableau!$H$16-Q486)^2)</f>
        <v>107456.9714917285</v>
      </c>
      <c r="AD486" s="111">
        <f>SQRT((Tableau!$G$25-P486)^2+(Tableau!$H$25-Q486)^2)</f>
        <v>147534.7127573133</v>
      </c>
      <c r="AE486" s="112">
        <f>SQRT((Tableau!$G$35-P486)^2+(Tableau!$H$35-Q486)^2)</f>
        <v>133098.66560345076</v>
      </c>
    </row>
    <row r="487" spans="2:31" x14ac:dyDescent="0.25">
      <c r="B487" s="18">
        <v>484</v>
      </c>
      <c r="C487" s="19">
        <f>Tableau!$G$17*COS(B487*PI()/180)+Tableau!$G$16</f>
        <v>17204.035482646264</v>
      </c>
      <c r="D487" s="19">
        <f>Tableau!$G$17*SIN(B487*PI()/180)+Tableau!$H$16</f>
        <v>11645.187862775208</v>
      </c>
      <c r="F487" s="26">
        <v>484</v>
      </c>
      <c r="G487" s="27">
        <f>Tableau!$G$26*COS(F487*PI()/180)+Tableau!$G$25</f>
        <v>-21957.175162147614</v>
      </c>
      <c r="H487" s="27">
        <f>Tableau!$G$26*SIN(F487*PI()/180)+Tableau!$H$25</f>
        <v>12901.631503942646</v>
      </c>
      <c r="J487" s="34">
        <v>484</v>
      </c>
      <c r="K487" s="35">
        <f>Tableau!$G$36*COS(J487*PI()/180)+Tableau!$G$35</f>
        <v>-7795.9645173537347</v>
      </c>
      <c r="L487" s="35">
        <f>Tableau!$G$36*SIN(J487*PI()/180)+Tableau!$H$35</f>
        <v>-10854.812137224792</v>
      </c>
      <c r="N487" s="98">
        <v>483</v>
      </c>
      <c r="O487" s="99">
        <v>241.5</v>
      </c>
      <c r="P487" s="101">
        <f>P486+R486*Tableau!$G$2+((1/2)*T486)*Tableau!$G$2^2</f>
        <v>127931.76668709438</v>
      </c>
      <c r="Q487" s="101">
        <f>Q486+S486*Tableau!$G$2+((1/2)*U486)*Tableau!$G$2^2</f>
        <v>895.3524624177162</v>
      </c>
      <c r="R487" s="101">
        <f>R486+T486*Tableau!$G$2</f>
        <v>1411.4257926192645</v>
      </c>
      <c r="S487" s="101">
        <f>S486+U486*Tableau!$G$2</f>
        <v>1181.2466917136903</v>
      </c>
      <c r="T487" s="101">
        <f t="shared" si="14"/>
        <v>-81.026680130221706</v>
      </c>
      <c r="U487" s="101">
        <f t="shared" si="15"/>
        <v>-0.2387137524067775</v>
      </c>
      <c r="V487" s="101">
        <f>((Tableau!$G$16-P487)/(AC487^2+Tableau!$G$21^2)^(3/2))*Tableau!$G$20</f>
        <v>-44.128347832614992</v>
      </c>
      <c r="W487" s="101">
        <f>((Tableau!$H$16-Q487)/(AC487^2+Tableau!$G$21^2)^(3/2))*Tableau!$G$20</f>
        <v>2.7003373779214224</v>
      </c>
      <c r="X487" s="101">
        <f>((Tableau!$G$25-P487)/(AD487^2+Tableau!$G$30^2)^(3/2))*Tableau!$G$29</f>
        <v>-8.1330861601186157</v>
      </c>
      <c r="Y487" s="101">
        <f>((Tableau!$H$25-Q487)/(AD487^2+Tableau!$G$30^2)^(3/2))*Tableau!$G$29</f>
        <v>0.50056106635498299</v>
      </c>
      <c r="Z487" s="101">
        <f>((Tableau!$G$35-P487)/(AE487^2+Tableau!$G$40^2)^(3/2))*Tableau!$G$39</f>
        <v>-28.765246137488095</v>
      </c>
      <c r="AA487" s="102">
        <f>((Tableau!$H$35-Q487)/(AE487^2+Tableau!$G$40^2)^(3/2))*Tableau!$G$39</f>
        <v>-3.439612196683183</v>
      </c>
      <c r="AC487" s="113">
        <f>SQRT((Tableau!$G$16-P487)^2+(Tableau!$H$16-Q487)^2)</f>
        <v>108133.65632074534</v>
      </c>
      <c r="AD487" s="114">
        <f>SQRT((Tableau!$G$25-P487)^2+(Tableau!$H$25-Q487)^2)</f>
        <v>148211.68038298644</v>
      </c>
      <c r="AE487" s="115">
        <f>SQRT((Tableau!$G$35-P487)^2+(Tableau!$H$35-Q487)^2)</f>
        <v>133878.73925480692</v>
      </c>
    </row>
    <row r="488" spans="2:31" x14ac:dyDescent="0.25">
      <c r="B488" s="20">
        <v>485</v>
      </c>
      <c r="C488" s="21">
        <f>Tableau!$G$17*COS(B488*PI()/180)+Tableau!$G$16</f>
        <v>17132.117818244773</v>
      </c>
      <c r="D488" s="21">
        <f>Tableau!$G$17*SIN(B488*PI()/180)+Tableau!$H$16</f>
        <v>11595.760221444962</v>
      </c>
      <c r="F488" s="28">
        <v>485</v>
      </c>
      <c r="G488" s="29">
        <f>Tableau!$G$26*COS(F488*PI()/180)+Tableau!$G$25</f>
        <v>-22007.517527228658</v>
      </c>
      <c r="H488" s="29">
        <f>Tableau!$G$26*SIN(F488*PI()/180)+Tableau!$H$25</f>
        <v>12867.032155011473</v>
      </c>
      <c r="J488" s="36">
        <v>485</v>
      </c>
      <c r="K488" s="37">
        <f>Tableau!$G$36*COS(J488*PI()/180)+Tableau!$G$35</f>
        <v>-7867.8821817552262</v>
      </c>
      <c r="L488" s="37">
        <f>Tableau!$G$36*SIN(J488*PI()/180)+Tableau!$H$35</f>
        <v>-10904.239778555038</v>
      </c>
      <c r="N488" s="92">
        <v>484</v>
      </c>
      <c r="O488" s="93">
        <v>242</v>
      </c>
      <c r="P488" s="96">
        <f>P487+R487*Tableau!$G$2+((1/2)*T487)*Tableau!$G$2^2</f>
        <v>128627.35124838773</v>
      </c>
      <c r="Q488" s="96">
        <f>Q487+S487*Tableau!$G$2+((1/2)*U487)*Tableau!$G$2^2</f>
        <v>1485.9459690555104</v>
      </c>
      <c r="R488" s="96">
        <f>R487+T487*Tableau!$G$2</f>
        <v>1370.9124525541536</v>
      </c>
      <c r="S488" s="96">
        <f>S487+U487*Tableau!$G$2</f>
        <v>1181.1273348374868</v>
      </c>
      <c r="T488" s="96">
        <f t="shared" si="14"/>
        <v>-80.109902309244148</v>
      </c>
      <c r="U488" s="96">
        <f t="shared" si="15"/>
        <v>-0.63086238191515953</v>
      </c>
      <c r="V488" s="96">
        <f>((Tableau!$G$16-P488)/(AC488^2+Tableau!$G$21^2)^(3/2))*Tableau!$G$20</f>
        <v>-43.615992654599495</v>
      </c>
      <c r="W488" s="96">
        <f>((Tableau!$H$16-Q488)/(AC488^2+Tableau!$G$21^2)^(3/2))*Tableau!$G$20</f>
        <v>2.414759574117229</v>
      </c>
      <c r="X488" s="96">
        <f>((Tableau!$G$25-P488)/(AD488^2+Tableau!$G$30^2)^(3/2))*Tableau!$G$29</f>
        <v>-8.0634767998627979</v>
      </c>
      <c r="Y488" s="96">
        <f>((Tableau!$H$25-Q488)/(AD488^2+Tableau!$G$30^2)^(3/2))*Tableau!$G$29</f>
        <v>0.46191280793644607</v>
      </c>
      <c r="Z488" s="96">
        <f>((Tableau!$G$35-P488)/(AE488^2+Tableau!$G$40^2)^(3/2))*Tableau!$G$39</f>
        <v>-28.430432854781849</v>
      </c>
      <c r="AA488" s="97">
        <f>((Tableau!$H$35-Q488)/(AE488^2+Tableau!$G$40^2)^(3/2))*Tableau!$G$39</f>
        <v>-3.5075347639688346</v>
      </c>
      <c r="AC488" s="110">
        <f>SQRT((Tableau!$G$16-P488)^2+(Tableau!$H$16-Q488)^2)</f>
        <v>108793.70517234773</v>
      </c>
      <c r="AD488" s="111">
        <f>SQRT((Tableau!$G$25-P488)^2+(Tableau!$H$25-Q488)^2)</f>
        <v>148871.01348198534</v>
      </c>
      <c r="AE488" s="112">
        <f>SQRT((Tableau!$G$35-P488)^2+(Tableau!$H$35-Q488)^2)</f>
        <v>134640.4672308983</v>
      </c>
    </row>
    <row r="489" spans="2:31" x14ac:dyDescent="0.25">
      <c r="B489" s="18">
        <v>486</v>
      </c>
      <c r="C489" s="19">
        <f>Tableau!$G$17*COS(B489*PI()/180)+Tableau!$G$16</f>
        <v>17061.073738537634</v>
      </c>
      <c r="D489" s="19">
        <f>Tableau!$G$17*SIN(B489*PI()/180)+Tableau!$H$16</f>
        <v>11545.084971874738</v>
      </c>
      <c r="F489" s="26">
        <v>486</v>
      </c>
      <c r="G489" s="27">
        <f>Tableau!$G$26*COS(F489*PI()/180)+Tableau!$G$25</f>
        <v>-22057.248383023656</v>
      </c>
      <c r="H489" s="27">
        <f>Tableau!$G$26*SIN(F489*PI()/180)+Tableau!$H$25</f>
        <v>12831.559480312317</v>
      </c>
      <c r="J489" s="34">
        <v>486</v>
      </c>
      <c r="K489" s="35">
        <f>Tableau!$G$36*COS(J489*PI()/180)+Tableau!$G$35</f>
        <v>-7938.926261462364</v>
      </c>
      <c r="L489" s="35">
        <f>Tableau!$G$36*SIN(J489*PI()/180)+Tableau!$H$35</f>
        <v>-10954.915028125262</v>
      </c>
      <c r="N489" s="98">
        <v>485</v>
      </c>
      <c r="O489" s="99">
        <v>242.5</v>
      </c>
      <c r="P489" s="101">
        <f>P488+R488*Tableau!$G$2+((1/2)*T488)*Tableau!$G$2^2</f>
        <v>129302.79373687615</v>
      </c>
      <c r="Q489" s="101">
        <f>Q488+S488*Tableau!$G$2+((1/2)*U488)*Tableau!$G$2^2</f>
        <v>2076.4307786765144</v>
      </c>
      <c r="R489" s="101">
        <f>R488+T488*Tableau!$G$2</f>
        <v>1330.8575013995314</v>
      </c>
      <c r="S489" s="101">
        <f>S488+U488*Tableau!$G$2</f>
        <v>1180.8119036465293</v>
      </c>
      <c r="T489" s="101">
        <f t="shared" si="14"/>
        <v>-79.228731380451933</v>
      </c>
      <c r="U489" s="101">
        <f t="shared" si="15"/>
        <v>-1.0097834077909069</v>
      </c>
      <c r="V489" s="101">
        <f>((Tableau!$G$16-P489)/(AC489^2+Tableau!$G$21^2)^(3/2))*Tableau!$G$20</f>
        <v>-43.123837691181222</v>
      </c>
      <c r="W489" s="101">
        <f>((Tableau!$H$16-Q489)/(AC489^2+Tableau!$G$21^2)^(3/2))*Tableau!$G$20</f>
        <v>2.1397908581391807</v>
      </c>
      <c r="X489" s="101">
        <f>((Tableau!$G$25-P489)/(AD489^2+Tableau!$G$30^2)^(3/2))*Tableau!$G$29</f>
        <v>-7.99646962842119</v>
      </c>
      <c r="Y489" s="101">
        <f>((Tableau!$H$25-Q489)/(AD489^2+Tableau!$G$30^2)^(3/2))*Tableau!$G$29</f>
        <v>0.42437639002703276</v>
      </c>
      <c r="Z489" s="101">
        <f>((Tableau!$G$35-P489)/(AE489^2+Tableau!$G$40^2)^(3/2))*Tableau!$G$39</f>
        <v>-28.108424060849529</v>
      </c>
      <c r="AA489" s="102">
        <f>((Tableau!$H$35-Q489)/(AE489^2+Tableau!$G$40^2)^(3/2))*Tableau!$G$39</f>
        <v>-3.5739506559571201</v>
      </c>
      <c r="AC489" s="113">
        <f>SQRT((Tableau!$G$16-P489)^2+(Tableau!$H$16-Q489)^2)</f>
        <v>109437.26888854902</v>
      </c>
      <c r="AD489" s="114">
        <f>SQRT((Tableau!$G$25-P489)^2+(Tableau!$H$25-Q489)^2)</f>
        <v>149512.89966702301</v>
      </c>
      <c r="AE489" s="115">
        <f>SQRT((Tableau!$G$35-P489)^2+(Tableau!$H$35-Q489)^2)</f>
        <v>135384.06440075891</v>
      </c>
    </row>
    <row r="490" spans="2:31" x14ac:dyDescent="0.25">
      <c r="B490" s="20">
        <v>487</v>
      </c>
      <c r="C490" s="21">
        <f>Tableau!$G$17*COS(B490*PI()/180)+Tableau!$G$16</f>
        <v>16990.924884239765</v>
      </c>
      <c r="D490" s="21">
        <f>Tableau!$G$17*SIN(B490*PI()/180)+Tableau!$H$16</f>
        <v>11493.177550236469</v>
      </c>
      <c r="F490" s="28">
        <v>487</v>
      </c>
      <c r="G490" s="29">
        <f>Tableau!$G$26*COS(F490*PI()/180)+Tableau!$G$25</f>
        <v>-22106.352581032166</v>
      </c>
      <c r="H490" s="29">
        <f>Tableau!$G$26*SIN(F490*PI()/180)+Tableau!$H$25</f>
        <v>12795.224285165528</v>
      </c>
      <c r="J490" s="36">
        <v>487</v>
      </c>
      <c r="K490" s="37">
        <f>Tableau!$G$36*COS(J490*PI()/180)+Tableau!$G$35</f>
        <v>-8009.0751157602353</v>
      </c>
      <c r="L490" s="37">
        <f>Tableau!$G$36*SIN(J490*PI()/180)+Tableau!$H$35</f>
        <v>-11006.822449763531</v>
      </c>
      <c r="N490" s="92">
        <v>486</v>
      </c>
      <c r="O490" s="93">
        <v>243</v>
      </c>
      <c r="P490" s="96">
        <f>P489+R489*Tableau!$G$2+((1/2)*T489)*Tableau!$G$2^2</f>
        <v>129958.31889615336</v>
      </c>
      <c r="Q490" s="96">
        <f>Q489+S489*Tableau!$G$2+((1/2)*U489)*Tableau!$G$2^2</f>
        <v>2666.7105075738054</v>
      </c>
      <c r="R490" s="96">
        <f>R489+T489*Tableau!$G$2</f>
        <v>1291.2431357093055</v>
      </c>
      <c r="S490" s="96">
        <f>S489+U489*Tableau!$G$2</f>
        <v>1180.3070119426338</v>
      </c>
      <c r="T490" s="96">
        <f t="shared" si="14"/>
        <v>-78.381657759036315</v>
      </c>
      <c r="U490" s="96">
        <f t="shared" si="15"/>
        <v>-1.3763364331756596</v>
      </c>
      <c r="V490" s="96">
        <f>((Tableau!$G$16-P490)/(AC490^2+Tableau!$G$21^2)^(3/2))*Tableau!$G$20</f>
        <v>-42.651034448644396</v>
      </c>
      <c r="W490" s="96">
        <f>((Tableau!$H$16-Q490)/(AC490^2+Tableau!$G$21^2)^(3/2))*Tableau!$G$20</f>
        <v>1.8747539859756088</v>
      </c>
      <c r="X490" s="96">
        <f>((Tableau!$G$25-P490)/(AD490^2+Tableau!$G$30^2)^(3/2))*Tableau!$G$29</f>
        <v>-7.9319696179277281</v>
      </c>
      <c r="Y490" s="96">
        <f>((Tableau!$H$25-Q490)/(AD490^2+Tableau!$G$30^2)^(3/2))*Tableau!$G$29</f>
        <v>0.38789064775842391</v>
      </c>
      <c r="Z490" s="96">
        <f>((Tableau!$G$35-P490)/(AE490^2+Tableau!$G$40^2)^(3/2))*Tableau!$G$39</f>
        <v>-27.798653692464196</v>
      </c>
      <c r="AA490" s="97">
        <f>((Tableau!$H$35-Q490)/(AE490^2+Tableau!$G$40^2)^(3/2))*Tableau!$G$39</f>
        <v>-3.6389810669096923</v>
      </c>
      <c r="AC490" s="110">
        <f>SQRT((Tableau!$G$16-P490)^2+(Tableau!$H$16-Q490)^2)</f>
        <v>110064.49282936689</v>
      </c>
      <c r="AD490" s="111">
        <f>SQRT((Tableau!$G$25-P490)^2+(Tableau!$H$25-Q490)^2)</f>
        <v>150137.51876509801</v>
      </c>
      <c r="AE490" s="112">
        <f>SQRT((Tableau!$G$35-P490)^2+(Tableau!$H$35-Q490)^2)</f>
        <v>136109.73697511229</v>
      </c>
    </row>
    <row r="491" spans="2:31" x14ac:dyDescent="0.25">
      <c r="B491" s="18">
        <v>488</v>
      </c>
      <c r="C491" s="19">
        <f>Tableau!$G$17*COS(B491*PI()/180)+Tableau!$G$16</f>
        <v>16921.692623371709</v>
      </c>
      <c r="D491" s="19">
        <f>Tableau!$G$17*SIN(B491*PI()/180)+Tableau!$H$16</f>
        <v>11440.053768033613</v>
      </c>
      <c r="F491" s="26">
        <v>488</v>
      </c>
      <c r="G491" s="27">
        <f>Tableau!$G$26*COS(F491*PI()/180)+Tableau!$G$25</f>
        <v>-22154.815163639803</v>
      </c>
      <c r="H491" s="27">
        <f>Tableau!$G$26*SIN(F491*PI()/180)+Tableau!$H$25</f>
        <v>12758.037637623529</v>
      </c>
      <c r="J491" s="34">
        <v>488</v>
      </c>
      <c r="K491" s="35">
        <f>Tableau!$G$36*COS(J491*PI()/180)+Tableau!$G$35</f>
        <v>-8078.3073766282887</v>
      </c>
      <c r="L491" s="35">
        <f>Tableau!$G$36*SIN(J491*PI()/180)+Tableau!$H$35</f>
        <v>-11059.946231966387</v>
      </c>
      <c r="N491" s="98">
        <v>487</v>
      </c>
      <c r="O491" s="99">
        <v>243.5</v>
      </c>
      <c r="P491" s="101">
        <f>P490+R490*Tableau!$G$2+((1/2)*T490)*Tableau!$G$2^2</f>
        <v>130594.14275678813</v>
      </c>
      <c r="Q491" s="101">
        <f>Q490+S490*Tableau!$G$2+((1/2)*U490)*Tableau!$G$2^2</f>
        <v>3256.6919714909754</v>
      </c>
      <c r="R491" s="101">
        <f>R490+T490*Tableau!$G$2</f>
        <v>1252.0523068297873</v>
      </c>
      <c r="S491" s="101">
        <f>S490+U490*Tableau!$G$2</f>
        <v>1179.618843726046</v>
      </c>
      <c r="T491" s="101">
        <f t="shared" si="14"/>
        <v>-77.567263481962328</v>
      </c>
      <c r="U491" s="101">
        <f t="shared" si="15"/>
        <v>-1.7313232745715026</v>
      </c>
      <c r="V491" s="101">
        <f>((Tableau!$G$16-P491)/(AC491^2+Tableau!$G$21^2)^(3/2))*Tableau!$G$20</f>
        <v>-42.196785323853319</v>
      </c>
      <c r="W491" s="101">
        <f>((Tableau!$H$16-Q491)/(AC491^2+Tableau!$G$21^2)^(3/2))*Tableau!$G$20</f>
        <v>1.619018453226253</v>
      </c>
      <c r="X491" s="101">
        <f>((Tableau!$G$25-P491)/(AD491^2+Tableau!$G$30^2)^(3/2))*Tableau!$G$29</f>
        <v>-7.8698871990290939</v>
      </c>
      <c r="Y491" s="101">
        <f>((Tableau!$H$25-Q491)/(AD491^2+Tableau!$G$30^2)^(3/2))*Tableau!$G$29</f>
        <v>0.35239799212098616</v>
      </c>
      <c r="Z491" s="101">
        <f>((Tableau!$G$35-P491)/(AE491^2+Tableau!$G$40^2)^(3/2))*Tableau!$G$39</f>
        <v>-27.500590959079915</v>
      </c>
      <c r="AA491" s="102">
        <f>((Tableau!$H$35-Q491)/(AE491^2+Tableau!$G$40^2)^(3/2))*Tableau!$G$39</f>
        <v>-3.7027397199187417</v>
      </c>
      <c r="AC491" s="113">
        <f>SQRT((Tableau!$G$16-P491)^2+(Tableau!$H$16-Q491)^2)</f>
        <v>110675.51705383464</v>
      </c>
      <c r="AD491" s="114">
        <f>SQRT((Tableau!$G$25-P491)^2+(Tableau!$H$25-Q491)^2)</f>
        <v>150745.04315505447</v>
      </c>
      <c r="AE491" s="115">
        <f>SQRT((Tableau!$G$35-P491)^2+(Tableau!$H$35-Q491)^2)</f>
        <v>136817.68289110195</v>
      </c>
    </row>
    <row r="492" spans="2:31" x14ac:dyDescent="0.25">
      <c r="B492" s="20">
        <v>489</v>
      </c>
      <c r="C492" s="21">
        <f>Tableau!$G$17*COS(B492*PI()/180)+Tableau!$G$16</f>
        <v>16853.398044750815</v>
      </c>
      <c r="D492" s="21">
        <f>Tableau!$G$17*SIN(B492*PI()/180)+Tableau!$H$16</f>
        <v>11385.729807284853</v>
      </c>
      <c r="F492" s="28">
        <v>489</v>
      </c>
      <c r="G492" s="29">
        <f>Tableau!$G$26*COS(F492*PI()/180)+Tableau!$G$25</f>
        <v>-22202.62136867443</v>
      </c>
      <c r="H492" s="29">
        <f>Tableau!$G$26*SIN(F492*PI()/180)+Tableau!$H$25</f>
        <v>12720.010865099397</v>
      </c>
      <c r="J492" s="36">
        <v>489</v>
      </c>
      <c r="K492" s="37">
        <f>Tableau!$G$36*COS(J492*PI()/180)+Tableau!$G$35</f>
        <v>-8146.6019552491871</v>
      </c>
      <c r="L492" s="37">
        <f>Tableau!$G$36*SIN(J492*PI()/180)+Tableau!$H$35</f>
        <v>-11114.270192715147</v>
      </c>
      <c r="N492" s="92">
        <v>488</v>
      </c>
      <c r="O492" s="93">
        <v>244</v>
      </c>
      <c r="P492" s="96">
        <f>P491+R491*Tableau!$G$2+((1/2)*T491)*Tableau!$G$2^2</f>
        <v>131210.4730022678</v>
      </c>
      <c r="Q492" s="96">
        <f>Q491+S491*Tableau!$G$2+((1/2)*U491)*Tableau!$G$2^2</f>
        <v>3846.2849779446769</v>
      </c>
      <c r="R492" s="96">
        <f>R491+T491*Tableau!$G$2</f>
        <v>1213.268675088806</v>
      </c>
      <c r="S492" s="96">
        <f>S491+U491*Tableau!$G$2</f>
        <v>1178.7531820887602</v>
      </c>
      <c r="T492" s="96">
        <f t="shared" si="14"/>
        <v>-76.784215807106278</v>
      </c>
      <c r="U492" s="96">
        <f t="shared" si="15"/>
        <v>-2.0754928358328071</v>
      </c>
      <c r="V492" s="96">
        <f>((Tableau!$G$16-P492)/(AC492^2+Tableau!$G$21^2)^(3/2))*Tableau!$G$20</f>
        <v>-41.76034015198919</v>
      </c>
      <c r="W492" s="96">
        <f>((Tableau!$H$16-Q492)/(AC492^2+Tableau!$G$21^2)^(3/2))*Tableau!$G$20</f>
        <v>1.3719965217336281</v>
      </c>
      <c r="X492" s="96">
        <f>((Tableau!$G$25-P492)/(AD492^2+Tableau!$G$30^2)^(3/2))*Tableau!$G$29</f>
        <v>-7.8101379074132913</v>
      </c>
      <c r="Y492" s="96">
        <f>((Tableau!$H$25-Q492)/(AD492^2+Tableau!$G$30^2)^(3/2))*Tableau!$G$29</f>
        <v>0.31784414142036371</v>
      </c>
      <c r="Z492" s="96">
        <f>((Tableau!$G$35-P492)/(AE492^2+Tableau!$G$40^2)^(3/2))*Tableau!$G$39</f>
        <v>-27.213737747703792</v>
      </c>
      <c r="AA492" s="97">
        <f>((Tableau!$H$35-Q492)/(AE492^2+Tableau!$G$40^2)^(3/2))*Tableau!$G$39</f>
        <v>-3.765333498986799</v>
      </c>
      <c r="AC492" s="110">
        <f>SQRT((Tableau!$G$16-P492)^2+(Tableau!$H$16-Q492)^2)</f>
        <v>111270.47649242151</v>
      </c>
      <c r="AD492" s="111">
        <f>SQRT((Tableau!$G$25-P492)^2+(Tableau!$H$25-Q492)^2)</f>
        <v>151335.63808350704</v>
      </c>
      <c r="AE492" s="112">
        <f>SQRT((Tableau!$G$35-P492)^2+(Tableau!$H$35-Q492)^2)</f>
        <v>137508.09217268426</v>
      </c>
    </row>
    <row r="493" spans="2:31" x14ac:dyDescent="0.25">
      <c r="B493" s="18">
        <v>490</v>
      </c>
      <c r="C493" s="19">
        <f>Tableau!$G$17*COS(B493*PI()/180)+Tableau!$G$16</f>
        <v>16786.061951567306</v>
      </c>
      <c r="D493" s="19">
        <f>Tableau!$G$17*SIN(B493*PI()/180)+Tableau!$H$16</f>
        <v>11330.222215594895</v>
      </c>
      <c r="F493" s="26">
        <v>490</v>
      </c>
      <c r="G493" s="27">
        <f>Tableau!$G$26*COS(F493*PI()/180)+Tableau!$G$25</f>
        <v>-22249.756633902885</v>
      </c>
      <c r="H493" s="27">
        <f>Tableau!$G$26*SIN(F493*PI()/180)+Tableau!$H$25</f>
        <v>12681.155550916426</v>
      </c>
      <c r="J493" s="34">
        <v>490</v>
      </c>
      <c r="K493" s="35">
        <f>Tableau!$G$36*COS(J493*PI()/180)+Tableau!$G$35</f>
        <v>-8213.9380484326921</v>
      </c>
      <c r="L493" s="35">
        <f>Tableau!$G$36*SIN(J493*PI()/180)+Tableau!$H$35</f>
        <v>-11169.777784405105</v>
      </c>
      <c r="N493" s="98">
        <v>489</v>
      </c>
      <c r="O493" s="99">
        <v>244.5</v>
      </c>
      <c r="P493" s="101">
        <f>P492+R492*Tableau!$G$2+((1/2)*T492)*Tableau!$G$2^2</f>
        <v>131807.50931283631</v>
      </c>
      <c r="Q493" s="101">
        <f>Q492+S492*Tableau!$G$2+((1/2)*U492)*Tableau!$G$2^2</f>
        <v>4435.4021323845782</v>
      </c>
      <c r="R493" s="101">
        <f>R492+T492*Tableau!$G$2</f>
        <v>1174.876567185253</v>
      </c>
      <c r="S493" s="101">
        <f>S492+U492*Tableau!$G$2</f>
        <v>1177.7154356708438</v>
      </c>
      <c r="T493" s="101">
        <f t="shared" si="14"/>
        <v>-76.031261344869677</v>
      </c>
      <c r="U493" s="101">
        <f t="shared" si="15"/>
        <v>-2.4095455241434935</v>
      </c>
      <c r="V493" s="101">
        <f>((Tableau!$G$16-P493)/(AC493^2+Tableau!$G$21^2)^(3/2))*Tableau!$G$20</f>
        <v>-41.340993030898211</v>
      </c>
      <c r="W493" s="101">
        <f>((Tableau!$H$16-Q493)/(AC493^2+Tableau!$G$21^2)^(3/2))*Tableau!$G$20</f>
        <v>1.133139624218866</v>
      </c>
      <c r="X493" s="101">
        <f>((Tableau!$G$25-P493)/(AD493^2+Tableau!$G$30^2)^(3/2))*Tableau!$G$29</f>
        <v>-7.7526420586597409</v>
      </c>
      <c r="Y493" s="101">
        <f>((Tableau!$H$25-Q493)/(AD493^2+Tableau!$G$30^2)^(3/2))*Tableau!$G$29</f>
        <v>0.2841778754113044</v>
      </c>
      <c r="Z493" s="101">
        <f>((Tableau!$G$35-P493)/(AE493^2+Tableau!$G$40^2)^(3/2))*Tableau!$G$39</f>
        <v>-26.937626255311731</v>
      </c>
      <c r="AA493" s="102">
        <f>((Tableau!$H$35-Q493)/(AE493^2+Tableau!$G$40^2)^(3/2))*Tableau!$G$39</f>
        <v>-3.8268630237736638</v>
      </c>
      <c r="AC493" s="113">
        <f>SQRT((Tableau!$G$16-P493)^2+(Tableau!$H$16-Q493)^2)</f>
        <v>111849.5011112261</v>
      </c>
      <c r="AD493" s="114">
        <f>SQRT((Tableau!$G$25-P493)^2+(Tableau!$H$25-Q493)^2)</f>
        <v>151909.46196071905</v>
      </c>
      <c r="AE493" s="115">
        <f>SQRT((Tableau!$G$35-P493)^2+(Tableau!$H$35-Q493)^2)</f>
        <v>138181.14726846528</v>
      </c>
    </row>
    <row r="494" spans="2:31" x14ac:dyDescent="0.25">
      <c r="B494" s="20">
        <v>491</v>
      </c>
      <c r="C494" s="21">
        <f>Tableau!$G$17*COS(B494*PI()/180)+Tableau!$G$16</f>
        <v>16719.704855047465</v>
      </c>
      <c r="D494" s="21">
        <f>Tableau!$G$17*SIN(B494*PI()/180)+Tableau!$H$16</f>
        <v>11273.547901113861</v>
      </c>
      <c r="F494" s="28">
        <v>491</v>
      </c>
      <c r="G494" s="29">
        <f>Tableau!$G$26*COS(F494*PI()/180)+Tableau!$G$25</f>
        <v>-22296.206601466773</v>
      </c>
      <c r="H494" s="29">
        <f>Tableau!$G$26*SIN(F494*PI()/180)+Tableau!$H$25</f>
        <v>12641.483530779704</v>
      </c>
      <c r="J494" s="36">
        <v>491</v>
      </c>
      <c r="K494" s="37">
        <f>Tableau!$G$36*COS(J494*PI()/180)+Tableau!$G$35</f>
        <v>-8280.2951449525353</v>
      </c>
      <c r="L494" s="37">
        <f>Tableau!$G$36*SIN(J494*PI()/180)+Tableau!$H$35</f>
        <v>-11226.452098886139</v>
      </c>
      <c r="N494" s="92">
        <v>490</v>
      </c>
      <c r="O494" s="93">
        <v>245</v>
      </c>
      <c r="P494" s="96">
        <f>P493+R493*Tableau!$G$2+((1/2)*T493)*Tableau!$G$2^2</f>
        <v>132385.44368876083</v>
      </c>
      <c r="Q494" s="96">
        <f>Q493+S493*Tableau!$G$2+((1/2)*U493)*Tableau!$G$2^2</f>
        <v>5023.9586570294823</v>
      </c>
      <c r="R494" s="96">
        <f>R493+T493*Tableau!$G$2</f>
        <v>1136.8609365128182</v>
      </c>
      <c r="S494" s="96">
        <f>S493+U493*Tableau!$G$2</f>
        <v>1176.510662908772</v>
      </c>
      <c r="T494" s="96">
        <f t="shared" si="14"/>
        <v>-75.307220672578666</v>
      </c>
      <c r="U494" s="96">
        <f t="shared" si="15"/>
        <v>-2.7341372569262279</v>
      </c>
      <c r="V494" s="96">
        <f>((Tableau!$G$16-P494)/(AC494^2+Tableau!$G$21^2)^(3/2))*Tableau!$G$20</f>
        <v>-40.938079397626367</v>
      </c>
      <c r="W494" s="96">
        <f>((Tableau!$H$16-Q494)/(AC494^2+Tableau!$G$21^2)^(3/2))*Tableau!$G$20</f>
        <v>0.90193510621402184</v>
      </c>
      <c r="X494" s="96">
        <f>((Tableau!$G$25-P494)/(AD494^2+Tableau!$G$30^2)^(3/2))*Tableau!$G$29</f>
        <v>-7.6973244488498311</v>
      </c>
      <c r="Y494" s="96">
        <f>((Tableau!$H$25-Q494)/(AD494^2+Tableau!$G$30^2)^(3/2))*Tableau!$G$29</f>
        <v>0.25135080989733327</v>
      </c>
      <c r="Z494" s="96">
        <f>((Tableau!$G$35-P494)/(AE494^2+Tableau!$G$40^2)^(3/2))*Tableau!$G$39</f>
        <v>-26.671816826102457</v>
      </c>
      <c r="AA494" s="97">
        <f>((Tableau!$H$35-Q494)/(AE494^2+Tableau!$G$40^2)^(3/2))*Tableau!$G$39</f>
        <v>-3.887423173037583</v>
      </c>
      <c r="AC494" s="110">
        <f>SQRT((Tableau!$G$16-P494)^2+(Tableau!$H$16-Q494)^2)</f>
        <v>112412.71606829777</v>
      </c>
      <c r="AD494" s="111">
        <f>SQRT((Tableau!$G$25-P494)^2+(Tableau!$H$25-Q494)^2)</f>
        <v>152466.66663788335</v>
      </c>
      <c r="AE494" s="112">
        <f>SQRT((Tableau!$G$35-P494)^2+(Tableau!$H$35-Q494)^2)</f>
        <v>138837.02336861051</v>
      </c>
    </row>
    <row r="495" spans="2:31" x14ac:dyDescent="0.25">
      <c r="B495" s="18">
        <v>492</v>
      </c>
      <c r="C495" s="19">
        <f>Tableau!$G$17*COS(B495*PI()/180)+Tableau!$G$16</f>
        <v>16654.346968205708</v>
      </c>
      <c r="D495" s="19">
        <f>Tableau!$G$17*SIN(B495*PI()/180)+Tableau!$H$16</f>
        <v>11215.724127386969</v>
      </c>
      <c r="F495" s="26">
        <v>492</v>
      </c>
      <c r="G495" s="27">
        <f>Tableau!$G$26*COS(F495*PI()/180)+Tableau!$G$25</f>
        <v>-22341.957122256004</v>
      </c>
      <c r="H495" s="27">
        <f>Tableau!$G$26*SIN(F495*PI()/180)+Tableau!$H$25</f>
        <v>12601.00688917088</v>
      </c>
      <c r="J495" s="34">
        <v>492</v>
      </c>
      <c r="K495" s="35">
        <f>Tableau!$G$36*COS(J495*PI()/180)+Tableau!$G$35</f>
        <v>-8345.6530317942925</v>
      </c>
      <c r="L495" s="35">
        <f>Tableau!$G$36*SIN(J495*PI()/180)+Tableau!$H$35</f>
        <v>-11284.275872613031</v>
      </c>
      <c r="N495" s="98">
        <v>491</v>
      </c>
      <c r="O495" s="99">
        <v>245.5</v>
      </c>
      <c r="P495" s="101">
        <f>P494+R494*Tableau!$G$2+((1/2)*T494)*Tableau!$G$2^2</f>
        <v>132944.46075443318</v>
      </c>
      <c r="Q495" s="101">
        <f>Q494+S494*Tableau!$G$2+((1/2)*U494)*Tableau!$G$2^2</f>
        <v>5611.872221326752</v>
      </c>
      <c r="R495" s="101">
        <f>R494+T494*Tableau!$G$2</f>
        <v>1099.2073261765288</v>
      </c>
      <c r="S495" s="101">
        <f>S494+U494*Tableau!$G$2</f>
        <v>1175.1435942803089</v>
      </c>
      <c r="T495" s="101">
        <f t="shared" si="14"/>
        <v>-74.610983387142895</v>
      </c>
      <c r="U495" s="101">
        <f t="shared" si="15"/>
        <v>-3.0498831028777134</v>
      </c>
      <c r="V495" s="101">
        <f>((Tableau!$G$16-P495)/(AC495^2+Tableau!$G$21^2)^(3/2))*Tableau!$G$20</f>
        <v>-40.550973335069074</v>
      </c>
      <c r="W495" s="101">
        <f>((Tableau!$H$16-Q495)/(AC495^2+Tableau!$G$21^2)^(3/2))*Tableau!$G$20</f>
        <v>0.67790326940116741</v>
      </c>
      <c r="X495" s="101">
        <f>((Tableau!$G$25-P495)/(AD495^2+Tableau!$G$30^2)^(3/2))*Tableau!$G$29</f>
        <v>-7.6441140786431401</v>
      </c>
      <c r="Y495" s="101">
        <f>((Tableau!$H$25-Q495)/(AD495^2+Tableau!$G$30^2)^(3/2))*Tableau!$G$29</f>
        <v>0.2193171898242085</v>
      </c>
      <c r="Z495" s="101">
        <f>((Tableau!$G$35-P495)/(AE495^2+Tableau!$G$40^2)^(3/2))*Tableau!$G$39</f>
        <v>-26.415895973430679</v>
      </c>
      <c r="AA495" s="102">
        <f>((Tableau!$H$35-Q495)/(AE495^2+Tableau!$G$40^2)^(3/2))*Tableau!$G$39</f>
        <v>-3.9471035621030892</v>
      </c>
      <c r="AC495" s="113">
        <f>SQRT((Tableau!$G$16-P495)^2+(Tableau!$H$16-Q495)^2)</f>
        <v>112960.24186242829</v>
      </c>
      <c r="AD495" s="114">
        <f>SQRT((Tableau!$G$25-P495)^2+(Tableau!$H$25-Q495)^2)</f>
        <v>153007.3976671269</v>
      </c>
      <c r="AE495" s="115">
        <f>SQRT((Tableau!$G$35-P495)^2+(Tableau!$H$35-Q495)^2)</f>
        <v>139475.88870231176</v>
      </c>
    </row>
    <row r="496" spans="2:31" x14ac:dyDescent="0.25">
      <c r="B496" s="20">
        <v>493</v>
      </c>
      <c r="C496" s="21">
        <f>Tableau!$G$17*COS(B496*PI()/180)+Tableau!$G$16</f>
        <v>16590.008199687505</v>
      </c>
      <c r="D496" s="21">
        <f>Tableau!$G$17*SIN(B496*PI()/180)+Tableau!$H$16</f>
        <v>11156.768508095849</v>
      </c>
      <c r="F496" s="28">
        <v>493</v>
      </c>
      <c r="G496" s="29">
        <f>Tableau!$G$26*COS(F496*PI()/180)+Tableau!$G$25</f>
        <v>-22386.994260218748</v>
      </c>
      <c r="H496" s="29">
        <f>Tableau!$G$26*SIN(F496*PI()/180)+Tableau!$H$25</f>
        <v>12559.737955667095</v>
      </c>
      <c r="J496" s="36">
        <v>493</v>
      </c>
      <c r="K496" s="37">
        <f>Tableau!$G$36*COS(J496*PI()/180)+Tableau!$G$35</f>
        <v>-8409.9918003124949</v>
      </c>
      <c r="L496" s="37">
        <f>Tableau!$G$36*SIN(J496*PI()/180)+Tableau!$H$35</f>
        <v>-11343.231491904151</v>
      </c>
      <c r="N496" s="92">
        <v>492</v>
      </c>
      <c r="O496" s="93">
        <v>246</v>
      </c>
      <c r="P496" s="96">
        <f>P495+R495*Tableau!$G$2+((1/2)*T495)*Tableau!$G$2^2</f>
        <v>133484.73804459805</v>
      </c>
      <c r="Q496" s="96">
        <f>Q495+S495*Tableau!$G$2+((1/2)*U495)*Tableau!$G$2^2</f>
        <v>6199.0627830790472</v>
      </c>
      <c r="R496" s="96">
        <f>R495+T495*Tableau!$G$2</f>
        <v>1061.9018344829574</v>
      </c>
      <c r="S496" s="96">
        <f>S495+U495*Tableau!$G$2</f>
        <v>1173.6186527288701</v>
      </c>
      <c r="T496" s="96">
        <f t="shared" si="14"/>
        <v>-73.941503556059061</v>
      </c>
      <c r="U496" s="96">
        <f t="shared" si="15"/>
        <v>-3.357360595312239</v>
      </c>
      <c r="V496" s="96">
        <f>((Tableau!$G$16-P496)/(AC496^2+Tableau!$G$21^2)^(3/2))*Tableau!$G$20</f>
        <v>-40.179085088806282</v>
      </c>
      <c r="W496" s="96">
        <f>((Tableau!$H$16-Q496)/(AC496^2+Tableau!$G$21^2)^(3/2))*Tableau!$G$20</f>
        <v>0.46059468466429532</v>
      </c>
      <c r="X496" s="96">
        <f>((Tableau!$G$25-P496)/(AD496^2+Tableau!$G$30^2)^(3/2))*Tableau!$G$29</f>
        <v>-7.5929438987569</v>
      </c>
      <c r="Y496" s="96">
        <f>((Tableau!$H$25-Q496)/(AD496^2+Tableau!$G$30^2)^(3/2))*Tableau!$G$29</f>
        <v>0.18803369910558823</v>
      </c>
      <c r="Z496" s="96">
        <f>((Tableau!$G$35-P496)/(AE496^2+Tableau!$G$40^2)^(3/2))*Tableau!$G$39</f>
        <v>-26.169474568495875</v>
      </c>
      <c r="AA496" s="97">
        <f>((Tableau!$H$35-Q496)/(AE496^2+Tableau!$G$40^2)^(3/2))*Tableau!$G$39</f>
        <v>-4.0059889790821224</v>
      </c>
      <c r="AC496" s="110">
        <f>SQRT((Tableau!$G$16-P496)^2+(Tableau!$H$16-Q496)^2)</f>
        <v>113492.19447474531</v>
      </c>
      <c r="AD496" s="111">
        <f>SQRT((Tableau!$G$25-P496)^2+(Tableau!$H$25-Q496)^2)</f>
        <v>153531.79454544868</v>
      </c>
      <c r="AE496" s="112">
        <f>SQRT((Tableau!$G$35-P496)^2+(Tableau!$H$35-Q496)^2)</f>
        <v>140097.90481717375</v>
      </c>
    </row>
    <row r="497" spans="2:31" x14ac:dyDescent="0.25">
      <c r="B497" s="18">
        <v>494</v>
      </c>
      <c r="C497" s="19">
        <f>Tableau!$G$17*COS(B497*PI()/180)+Tableau!$G$16</f>
        <v>16526.708147705016</v>
      </c>
      <c r="D497" s="19">
        <f>Tableau!$G$17*SIN(B497*PI()/180)+Tableau!$H$16</f>
        <v>11096.699001693256</v>
      </c>
      <c r="F497" s="26">
        <v>494</v>
      </c>
      <c r="G497" s="27">
        <f>Tableau!$G$26*COS(F497*PI()/180)+Tableau!$G$25</f>
        <v>-22431.30429660649</v>
      </c>
      <c r="H497" s="27">
        <f>Tableau!$G$26*SIN(F497*PI()/180)+Tableau!$H$25</f>
        <v>12517.689301185279</v>
      </c>
      <c r="J497" s="34">
        <v>494</v>
      </c>
      <c r="K497" s="35">
        <f>Tableau!$G$36*COS(J497*PI()/180)+Tableau!$G$35</f>
        <v>-8473.2918522949858</v>
      </c>
      <c r="L497" s="35">
        <f>Tableau!$G$36*SIN(J497*PI()/180)+Tableau!$H$35</f>
        <v>-11403.300998306744</v>
      </c>
      <c r="N497" s="98">
        <v>493</v>
      </c>
      <c r="O497" s="99">
        <v>246.5</v>
      </c>
      <c r="P497" s="101">
        <f>P496+R496*Tableau!$G$2+((1/2)*T496)*Tableau!$G$2^2</f>
        <v>134006.44627389504</v>
      </c>
      <c r="Q497" s="101">
        <f>Q496+S496*Tableau!$G$2+((1/2)*U496)*Tableau!$G$2^2</f>
        <v>6785.4524393690681</v>
      </c>
      <c r="R497" s="101">
        <f>R496+T496*Tableau!$G$2</f>
        <v>1024.9310827049278</v>
      </c>
      <c r="S497" s="101">
        <f>S496+U496*Tableau!$G$2</f>
        <v>1171.9399724312138</v>
      </c>
      <c r="T497" s="101">
        <f t="shared" si="14"/>
        <v>-73.297795530911884</v>
      </c>
      <c r="U497" s="101">
        <f t="shared" si="15"/>
        <v>-3.6571127516224906</v>
      </c>
      <c r="V497" s="101">
        <f>((Tableau!$G$16-P497)/(AC497^2+Tableau!$G$21^2)^(3/2))*Tableau!$G$20</f>
        <v>-39.821858776090203</v>
      </c>
      <c r="W497" s="101">
        <f>((Tableau!$H$16-Q497)/(AC497^2+Tableau!$G$21^2)^(3/2))*Tableau!$G$20</f>
        <v>0.24958774681813939</v>
      </c>
      <c r="X497" s="101">
        <f>((Tableau!$G$25-P497)/(AD497^2+Tableau!$G$30^2)^(3/2))*Tableau!$G$29</f>
        <v>-7.5437505749953466</v>
      </c>
      <c r="Y497" s="101">
        <f>((Tableau!$H$25-Q497)/(AD497^2+Tableau!$G$30^2)^(3/2))*Tableau!$G$29</f>
        <v>0.15745928560504646</v>
      </c>
      <c r="Z497" s="101">
        <f>((Tableau!$G$35-P497)/(AE497^2+Tableau!$G$40^2)^(3/2))*Tableau!$G$39</f>
        <v>-25.932186179826328</v>
      </c>
      <c r="AA497" s="102">
        <f>((Tableau!$H$35-Q497)/(AE497^2+Tableau!$G$40^2)^(3/2))*Tableau!$G$39</f>
        <v>-4.0641597840456765</v>
      </c>
      <c r="AC497" s="113">
        <f>SQRT((Tableau!$G$16-P497)^2+(Tableau!$H$16-Q497)^2)</f>
        <v>114008.68550342522</v>
      </c>
      <c r="AD497" s="114">
        <f>SQRT((Tableau!$G$25-P497)^2+(Tableau!$H$25-Q497)^2)</f>
        <v>154039.99094369513</v>
      </c>
      <c r="AE497" s="115">
        <f>SQRT((Tableau!$G$35-P497)^2+(Tableau!$H$35-Q497)^2)</f>
        <v>140703.22684176537</v>
      </c>
    </row>
    <row r="498" spans="2:31" x14ac:dyDescent="0.25">
      <c r="B498" s="20">
        <v>495</v>
      </c>
      <c r="C498" s="21">
        <f>Tableau!$G$17*COS(B498*PI()/180)+Tableau!$G$16</f>
        <v>16464.466094067262</v>
      </c>
      <c r="D498" s="21">
        <f>Tableau!$G$17*SIN(B498*PI()/180)+Tableau!$H$16</f>
        <v>11035.533905932736</v>
      </c>
      <c r="F498" s="28">
        <v>495</v>
      </c>
      <c r="G498" s="29">
        <f>Tableau!$G$26*COS(F498*PI()/180)+Tableau!$G$25</f>
        <v>-22474.873734152919</v>
      </c>
      <c r="H498" s="29">
        <f>Tableau!$G$26*SIN(F498*PI()/180)+Tableau!$H$25</f>
        <v>12474.873734152916</v>
      </c>
      <c r="J498" s="36">
        <v>495</v>
      </c>
      <c r="K498" s="37">
        <f>Tableau!$G$36*COS(J498*PI()/180)+Tableau!$G$35</f>
        <v>-8535.5339059327398</v>
      </c>
      <c r="L498" s="37">
        <f>Tableau!$G$36*SIN(J498*PI()/180)+Tableau!$H$35</f>
        <v>-11464.466094067264</v>
      </c>
      <c r="N498" s="92">
        <v>494</v>
      </c>
      <c r="O498" s="93">
        <v>247</v>
      </c>
      <c r="P498" s="96">
        <f>P497+R497*Tableau!$G$2+((1/2)*T497)*Tableau!$G$2^2</f>
        <v>134509.74959080614</v>
      </c>
      <c r="Q498" s="96">
        <f>Q497+S497*Tableau!$G$2+((1/2)*U497)*Tableau!$G$2^2</f>
        <v>7370.9652864907221</v>
      </c>
      <c r="R498" s="96">
        <f>R497+T497*Tableau!$G$2</f>
        <v>988.2821849394719</v>
      </c>
      <c r="S498" s="96">
        <f>S497+U497*Tableau!$G$2</f>
        <v>1170.1114160554025</v>
      </c>
      <c r="T498" s="96">
        <f t="shared" si="14"/>
        <v>-72.678930091146043</v>
      </c>
      <c r="U498" s="96">
        <f t="shared" si="15"/>
        <v>-3.9496508288416314</v>
      </c>
      <c r="V498" s="96">
        <f>((Tableau!$G$16-P498)/(AC498^2+Tableau!$G$21^2)^(3/2))*Tableau!$G$20</f>
        <v>-39.478770270670601</v>
      </c>
      <c r="W498" s="96">
        <f>((Tableau!$H$16-Q498)/(AC498^2+Tableau!$G$21^2)^(3/2))*Tableau!$G$20</f>
        <v>4.4486446174043355E-2</v>
      </c>
      <c r="X498" s="96">
        <f>((Tableau!$G$25-P498)/(AD498^2+Tableau!$G$30^2)^(3/2))*Tableau!$G$29</f>
        <v>-7.4964742711598396</v>
      </c>
      <c r="Y498" s="96">
        <f>((Tableau!$H$25-Q498)/(AD498^2+Tableau!$G$30^2)^(3/2))*Tableau!$G$29</f>
        <v>0.12755499986248831</v>
      </c>
      <c r="Z498" s="96">
        <f>((Tableau!$G$35-P498)/(AE498^2+Tableau!$G$40^2)^(3/2))*Tableau!$G$39</f>
        <v>-25.703685549315605</v>
      </c>
      <c r="AA498" s="97">
        <f>((Tableau!$H$35-Q498)/(AE498^2+Tableau!$G$40^2)^(3/2))*Tableau!$G$39</f>
        <v>-4.1216922748781633</v>
      </c>
      <c r="AC498" s="110">
        <f>SQRT((Tableau!$G$16-P498)^2+(Tableau!$H$16-Q498)^2)</f>
        <v>114509.8222918297</v>
      </c>
      <c r="AD498" s="111">
        <f>SQRT((Tableau!$G$25-P498)^2+(Tableau!$H$25-Q498)^2)</f>
        <v>154532.11492158662</v>
      </c>
      <c r="AE498" s="112">
        <f>SQRT((Tableau!$G$35-P498)^2+(Tableau!$H$35-Q498)^2)</f>
        <v>141292.00373247883</v>
      </c>
    </row>
    <row r="499" spans="2:31" x14ac:dyDescent="0.25">
      <c r="B499" s="18">
        <v>496</v>
      </c>
      <c r="C499" s="19">
        <f>Tableau!$G$17*COS(B499*PI()/180)+Tableau!$G$16</f>
        <v>16403.300998306746</v>
      </c>
      <c r="D499" s="19">
        <f>Tableau!$G$17*SIN(B499*PI()/180)+Tableau!$H$16</f>
        <v>10973.291852294988</v>
      </c>
      <c r="F499" s="26">
        <v>496</v>
      </c>
      <c r="G499" s="27">
        <f>Tableau!$G$26*COS(F499*PI()/180)+Tableau!$G$25</f>
        <v>-22517.689301185277</v>
      </c>
      <c r="H499" s="27">
        <f>Tableau!$G$26*SIN(F499*PI()/180)+Tableau!$H$25</f>
        <v>12431.304296606491</v>
      </c>
      <c r="J499" s="34">
        <v>496</v>
      </c>
      <c r="K499" s="35">
        <f>Tableau!$G$36*COS(J499*PI()/180)+Tableau!$G$35</f>
        <v>-8596.6990016932541</v>
      </c>
      <c r="L499" s="35">
        <f>Tableau!$G$36*SIN(J499*PI()/180)+Tableau!$H$35</f>
        <v>-11526.708147705012</v>
      </c>
      <c r="N499" s="98">
        <v>495</v>
      </c>
      <c r="O499" s="99">
        <v>247.5</v>
      </c>
      <c r="P499" s="101">
        <f>P498+R498*Tableau!$G$2+((1/2)*T498)*Tableau!$G$2^2</f>
        <v>134994.80581701448</v>
      </c>
      <c r="Q499" s="101">
        <f>Q498+S498*Tableau!$G$2+((1/2)*U498)*Tableau!$G$2^2</f>
        <v>7955.5272881648179</v>
      </c>
      <c r="R499" s="101">
        <f>R498+T498*Tableau!$G$2</f>
        <v>951.94271989389892</v>
      </c>
      <c r="S499" s="101">
        <f>S498+U498*Tableau!$G$2</f>
        <v>1168.1365906409817</v>
      </c>
      <c r="T499" s="101">
        <f t="shared" si="14"/>
        <v>-72.084030889107183</v>
      </c>
      <c r="U499" s="101">
        <f t="shared" si="15"/>
        <v>-4.235456841942451</v>
      </c>
      <c r="V499" s="101">
        <f>((Tableau!$G$16-P499)/(AC499^2+Tableau!$G$21^2)^(3/2))*Tableau!$G$20</f>
        <v>-39.149325248682636</v>
      </c>
      <c r="W499" s="101">
        <f>((Tableau!$H$16-Q499)/(AC499^2+Tableau!$G$21^2)^(3/2))*Tableau!$G$20</f>
        <v>-0.15508166510053106</v>
      </c>
      <c r="X499" s="101">
        <f>((Tableau!$G$25-P499)/(AD499^2+Tableau!$G$30^2)^(3/2))*Tableau!$G$29</f>
        <v>-7.4510584483344289</v>
      </c>
      <c r="Y499" s="101">
        <f>((Tableau!$H$25-Q499)/(AD499^2+Tableau!$G$30^2)^(3/2))*Tableau!$G$29</f>
        <v>9.8283846298005989E-2</v>
      </c>
      <c r="Z499" s="101">
        <f>((Tableau!$G$35-P499)/(AE499^2+Tableau!$G$40^2)^(3/2))*Tableau!$G$39</f>
        <v>-25.483647192090114</v>
      </c>
      <c r="AA499" s="102">
        <f>((Tableau!$H$35-Q499)/(AE499^2+Tableau!$G$40^2)^(3/2))*Tableau!$G$39</f>
        <v>-4.1786590231399261</v>
      </c>
      <c r="AC499" s="113">
        <f>SQRT((Tableau!$G$16-P499)^2+(Tableau!$H$16-Q499)^2)</f>
        <v>114995.70805035782</v>
      </c>
      <c r="AD499" s="114">
        <f>SQRT((Tableau!$G$25-P499)^2+(Tableau!$H$25-Q499)^2)</f>
        <v>155008.2891297219</v>
      </c>
      <c r="AE499" s="115">
        <f>SQRT((Tableau!$G$35-P499)^2+(Tableau!$H$35-Q499)^2)</f>
        <v>141864.37850574494</v>
      </c>
    </row>
    <row r="500" spans="2:31" x14ac:dyDescent="0.25">
      <c r="B500" s="20">
        <v>497</v>
      </c>
      <c r="C500" s="21">
        <f>Tableau!$G$17*COS(B500*PI()/180)+Tableau!$G$16</f>
        <v>16343.231491904147</v>
      </c>
      <c r="D500" s="21">
        <f>Tableau!$G$17*SIN(B500*PI()/180)+Tableau!$H$16</f>
        <v>10909.991800312491</v>
      </c>
      <c r="F500" s="28">
        <v>497</v>
      </c>
      <c r="G500" s="29">
        <f>Tableau!$G$26*COS(F500*PI()/180)+Tableau!$G$25</f>
        <v>-22559.737955667097</v>
      </c>
      <c r="H500" s="29">
        <f>Tableau!$G$26*SIN(F500*PI()/180)+Tableau!$H$25</f>
        <v>12386.994260218744</v>
      </c>
      <c r="J500" s="36">
        <v>497</v>
      </c>
      <c r="K500" s="37">
        <f>Tableau!$G$36*COS(J500*PI()/180)+Tableau!$G$35</f>
        <v>-8656.7685080958527</v>
      </c>
      <c r="L500" s="37">
        <f>Tableau!$G$36*SIN(J500*PI()/180)+Tableau!$H$35</f>
        <v>-11590.008199687509</v>
      </c>
      <c r="N500" s="92">
        <v>496</v>
      </c>
      <c r="O500" s="93">
        <v>248</v>
      </c>
      <c r="P500" s="96">
        <f>P499+R499*Tableau!$G$2+((1/2)*T499)*Tableau!$G$2^2</f>
        <v>135461.76667310027</v>
      </c>
      <c r="Q500" s="96">
        <f>Q499+S499*Tableau!$G$2+((1/2)*U499)*Tableau!$G$2^2</f>
        <v>8539.066151380066</v>
      </c>
      <c r="R500" s="96">
        <f>R499+T499*Tableau!$G$2</f>
        <v>915.90070444934531</v>
      </c>
      <c r="S500" s="96">
        <f>S499+U499*Tableau!$G$2</f>
        <v>1166.0188622200105</v>
      </c>
      <c r="T500" s="96">
        <f t="shared" si="14"/>
        <v>-71.512271170226398</v>
      </c>
      <c r="U500" s="96">
        <f t="shared" si="15"/>
        <v>-4.5149858685731123</v>
      </c>
      <c r="V500" s="96">
        <f>((Tableau!$G$16-P500)/(AC500^2+Tableau!$G$21^2)^(3/2))*Tableau!$G$20</f>
        <v>-38.833057382207151</v>
      </c>
      <c r="W500" s="96">
        <f>((Tableau!$H$16-Q500)/(AC500^2+Tableau!$G$21^2)^(3/2))*Tableau!$G$20</f>
        <v>-0.34946733142142217</v>
      </c>
      <c r="X500" s="96">
        <f>((Tableau!$G$25-P500)/(AD500^2+Tableau!$G$30^2)^(3/2))*Tableau!$G$29</f>
        <v>-7.4074496791888693</v>
      </c>
      <c r="Y500" s="96">
        <f>((Tableau!$H$25-Q500)/(AD500^2+Tableau!$G$30^2)^(3/2))*Tableau!$G$29</f>
        <v>6.9610645754667078E-2</v>
      </c>
      <c r="Z500" s="96">
        <f>((Tableau!$G$35-P500)/(AE500^2+Tableau!$G$40^2)^(3/2))*Tableau!$G$39</f>
        <v>-25.271764108830371</v>
      </c>
      <c r="AA500" s="97">
        <f>((Tableau!$H$35-Q500)/(AE500^2+Tableau!$G$40^2)^(3/2))*Tableau!$G$39</f>
        <v>-4.2351291829063573</v>
      </c>
      <c r="AC500" s="110">
        <f>SQRT((Tableau!$G$16-P500)^2+(Tableau!$H$16-Q500)^2)</f>
        <v>115466.44197229076</v>
      </c>
      <c r="AD500" s="111">
        <f>SQRT((Tableau!$G$25-P500)^2+(Tableau!$H$25-Q500)^2)</f>
        <v>155468.63099941259</v>
      </c>
      <c r="AE500" s="112">
        <f>SQRT((Tableau!$G$35-P500)^2+(Tableau!$H$35-Q500)^2)</f>
        <v>142420.4884565683</v>
      </c>
    </row>
    <row r="501" spans="2:31" x14ac:dyDescent="0.25">
      <c r="B501" s="18">
        <v>498</v>
      </c>
      <c r="C501" s="19">
        <f>Tableau!$G$17*COS(B501*PI()/180)+Tableau!$G$16</f>
        <v>16284.275872613032</v>
      </c>
      <c r="D501" s="19">
        <f>Tableau!$G$17*SIN(B501*PI()/180)+Tableau!$H$16</f>
        <v>10845.653031794294</v>
      </c>
      <c r="F501" s="26">
        <v>498</v>
      </c>
      <c r="G501" s="27">
        <f>Tableau!$G$26*COS(F501*PI()/180)+Tableau!$G$25</f>
        <v>-22601.006889170876</v>
      </c>
      <c r="H501" s="27">
        <f>Tableau!$G$26*SIN(F501*PI()/180)+Tableau!$H$25</f>
        <v>12341.957122256006</v>
      </c>
      <c r="J501" s="34">
        <v>498</v>
      </c>
      <c r="K501" s="35">
        <f>Tableau!$G$36*COS(J501*PI()/180)+Tableau!$G$35</f>
        <v>-8715.7241273869677</v>
      </c>
      <c r="L501" s="35">
        <f>Tableau!$G$36*SIN(J501*PI()/180)+Tableau!$H$35</f>
        <v>-11654.346968205706</v>
      </c>
      <c r="N501" s="98">
        <v>497</v>
      </c>
      <c r="O501" s="99">
        <v>248.5</v>
      </c>
      <c r="P501" s="101">
        <f>P500+R500*Tableau!$G$2+((1/2)*T500)*Tableau!$G$2^2</f>
        <v>135910.77799142865</v>
      </c>
      <c r="Q501" s="101">
        <f>Q500+S500*Tableau!$G$2+((1/2)*U500)*Tableau!$G$2^2</f>
        <v>9121.5112092564996</v>
      </c>
      <c r="R501" s="101">
        <f>R500+T500*Tableau!$G$2</f>
        <v>880.14456886423216</v>
      </c>
      <c r="S501" s="101">
        <f>S500+U500*Tableau!$G$2</f>
        <v>1163.761369285724</v>
      </c>
      <c r="T501" s="101">
        <f t="shared" si="14"/>
        <v>-70.962870744773383</v>
      </c>
      <c r="U501" s="101">
        <f t="shared" si="15"/>
        <v>-4.7886681613467168</v>
      </c>
      <c r="V501" s="101">
        <f>((Tableau!$G$16-P501)/(AC501^2+Tableau!$G$21^2)^(3/2))*Tableau!$G$20</f>
        <v>-38.529526668361761</v>
      </c>
      <c r="W501" s="101">
        <f>((Tableau!$H$16-Q501)/(AC501^2+Tableau!$G$21^2)^(3/2))*Tableau!$G$20</f>
        <v>-0.53900129446733414</v>
      </c>
      <c r="X501" s="101">
        <f>((Tableau!$G$25-P501)/(AD501^2+Tableau!$G$30^2)^(3/2))*Tableau!$G$29</f>
        <v>-7.3655974760719847</v>
      </c>
      <c r="Y501" s="101">
        <f>((Tableau!$H$25-Q501)/(AD501^2+Tableau!$G$30^2)^(3/2))*Tableau!$G$29</f>
        <v>4.1501908355646738E-2</v>
      </c>
      <c r="Z501" s="101">
        <f>((Tableau!$G$35-P501)/(AE501^2+Tableau!$G$40^2)^(3/2))*Tableau!$G$39</f>
        <v>-25.067746600339635</v>
      </c>
      <c r="AA501" s="102">
        <f>((Tableau!$H$35-Q501)/(AE501^2+Tableau!$G$40^2)^(3/2))*Tableau!$G$39</f>
        <v>-4.2911687752350289</v>
      </c>
      <c r="AC501" s="113">
        <f>SQRT((Tableau!$G$16-P501)^2+(Tableau!$H$16-Q501)^2)</f>
        <v>115922.11934389401</v>
      </c>
      <c r="AD501" s="114">
        <f>SQRT((Tableau!$G$25-P501)^2+(Tableau!$H$25-Q501)^2)</f>
        <v>155913.25292112923</v>
      </c>
      <c r="AE501" s="115">
        <f>SQRT((Tableau!$G$35-P501)^2+(Tableau!$H$35-Q501)^2)</f>
        <v>142960.46536426767</v>
      </c>
    </row>
    <row r="502" spans="2:31" x14ac:dyDescent="0.25">
      <c r="B502" s="20">
        <v>499</v>
      </c>
      <c r="C502" s="21">
        <f>Tableau!$G$17*COS(B502*PI()/180)+Tableau!$G$16</f>
        <v>16226.45209888614</v>
      </c>
      <c r="D502" s="21">
        <f>Tableau!$G$17*SIN(B502*PI()/180)+Tableau!$H$16</f>
        <v>10780.295144952537</v>
      </c>
      <c r="F502" s="28">
        <v>499</v>
      </c>
      <c r="G502" s="29">
        <f>Tableau!$G$26*COS(F502*PI()/180)+Tableau!$G$25</f>
        <v>-22641.4835307797</v>
      </c>
      <c r="H502" s="29">
        <f>Tableau!$G$26*SIN(F502*PI()/180)+Tableau!$H$25</f>
        <v>12296.206601466776</v>
      </c>
      <c r="J502" s="36">
        <v>499</v>
      </c>
      <c r="K502" s="37">
        <f>Tableau!$G$36*COS(J502*PI()/180)+Tableau!$G$35</f>
        <v>-8773.5479011138596</v>
      </c>
      <c r="L502" s="37">
        <f>Tableau!$G$36*SIN(J502*PI()/180)+Tableau!$H$35</f>
        <v>-11719.704855047463</v>
      </c>
      <c r="N502" s="92">
        <v>498</v>
      </c>
      <c r="O502" s="93">
        <v>249</v>
      </c>
      <c r="P502" s="96">
        <f>P501+R501*Tableau!$G$2+((1/2)*T501)*Tableau!$G$2^2</f>
        <v>136341.97991701768</v>
      </c>
      <c r="Q502" s="96">
        <f>Q501+S501*Tableau!$G$2+((1/2)*U501)*Tableau!$G$2^2</f>
        <v>9702.7933103791929</v>
      </c>
      <c r="R502" s="96">
        <f>R501+T501*Tableau!$G$2</f>
        <v>844.66313349184543</v>
      </c>
      <c r="S502" s="96">
        <f>S501+U501*Tableau!$G$2</f>
        <v>1161.3670352050506</v>
      </c>
      <c r="T502" s="96">
        <f t="shared" si="14"/>
        <v>-70.43509318989112</v>
      </c>
      <c r="U502" s="96">
        <f t="shared" si="15"/>
        <v>-5.056911086533896</v>
      </c>
      <c r="V502" s="96">
        <f>((Tableau!$G$16-P502)/(AC502^2+Tableau!$G$21^2)^(3/2))*Tableau!$G$20</f>
        <v>-38.238317882891991</v>
      </c>
      <c r="W502" s="96">
        <f>((Tableau!$H$16-Q502)/(AC502^2+Tableau!$G$21^2)^(3/2))*Tableau!$G$20</f>
        <v>-0.72399585164930491</v>
      </c>
      <c r="X502" s="96">
        <f>((Tableau!$G$25-P502)/(AD502^2+Tableau!$G$30^2)^(3/2))*Tableau!$G$29</f>
        <v>-7.3254541317842694</v>
      </c>
      <c r="Y502" s="96">
        <f>((Tableau!$H$25-Q502)/(AD502^2+Tableau!$G$30^2)^(3/2))*Tableau!$G$29</f>
        <v>1.3925715752303088E-2</v>
      </c>
      <c r="Z502" s="96">
        <f>((Tableau!$G$35-P502)/(AE502^2+Tableau!$G$40^2)^(3/2))*Tableau!$G$39</f>
        <v>-24.871321175214856</v>
      </c>
      <c r="AA502" s="97">
        <f>((Tableau!$H$35-Q502)/(AE502^2+Tableau!$G$40^2)^(3/2))*Tableau!$G$39</f>
        <v>-4.3468409506368939</v>
      </c>
      <c r="AC502" s="110">
        <f>SQRT((Tableau!$G$16-P502)^2+(Tableau!$H$16-Q502)^2)</f>
        <v>116362.83164902785</v>
      </c>
      <c r="AD502" s="111">
        <f>SQRT((Tableau!$G$25-P502)^2+(Tableau!$H$25-Q502)^2)</f>
        <v>156342.26241227775</v>
      </c>
      <c r="AE502" s="112">
        <f>SQRT((Tableau!$G$35-P502)^2+(Tableau!$H$35-Q502)^2)</f>
        <v>143484.43568623721</v>
      </c>
    </row>
    <row r="503" spans="2:31" x14ac:dyDescent="0.25">
      <c r="B503" s="18">
        <v>500</v>
      </c>
      <c r="C503" s="19">
        <f>Tableau!$G$17*COS(B503*PI()/180)+Tableau!$G$16</f>
        <v>16169.777784405114</v>
      </c>
      <c r="D503" s="19">
        <f>Tableau!$G$17*SIN(B503*PI()/180)+Tableau!$H$16</f>
        <v>10713.938048432701</v>
      </c>
      <c r="F503" s="26">
        <v>500</v>
      </c>
      <c r="G503" s="27">
        <f>Tableau!$G$26*COS(F503*PI()/180)+Tableau!$G$25</f>
        <v>-22681.155550916421</v>
      </c>
      <c r="H503" s="27">
        <f>Tableau!$G$26*SIN(F503*PI()/180)+Tableau!$H$25</f>
        <v>12249.756633902891</v>
      </c>
      <c r="J503" s="34">
        <v>500</v>
      </c>
      <c r="K503" s="35">
        <f>Tableau!$G$36*COS(J503*PI()/180)+Tableau!$G$35</f>
        <v>-8830.2222155948857</v>
      </c>
      <c r="L503" s="35">
        <f>Tableau!$G$36*SIN(J503*PI()/180)+Tableau!$H$35</f>
        <v>-11786.061951567299</v>
      </c>
      <c r="N503" s="98">
        <v>499</v>
      </c>
      <c r="O503" s="99">
        <v>249.5</v>
      </c>
      <c r="P503" s="101">
        <f>P502+R502*Tableau!$G$2+((1/2)*T502)*Tableau!$G$2^2</f>
        <v>136755.50709711487</v>
      </c>
      <c r="Q503" s="101">
        <f>Q502+S502*Tableau!$G$2+((1/2)*U502)*Tableau!$G$2^2</f>
        <v>10282.844714095902</v>
      </c>
      <c r="R503" s="101">
        <f>R502+T502*Tableau!$G$2</f>
        <v>809.44558689689984</v>
      </c>
      <c r="S503" s="101">
        <f>S502+U502*Tableau!$G$2</f>
        <v>1158.8385796617836</v>
      </c>
      <c r="T503" s="101">
        <f t="shared" si="14"/>
        <v>-69.928243262684617</v>
      </c>
      <c r="U503" s="101">
        <f t="shared" si="15"/>
        <v>-5.3201009060064717</v>
      </c>
      <c r="V503" s="101">
        <f>((Tableau!$G$16-P503)/(AC503^2+Tableau!$G$21^2)^(3/2))*Tableau!$G$20</f>
        <v>-37.959039148262185</v>
      </c>
      <c r="W503" s="101">
        <f>((Tableau!$H$16-Q503)/(AC503^2+Tableau!$G$21^2)^(3/2))*Tableau!$G$20</f>
        <v>-0.90474628625471609</v>
      </c>
      <c r="X503" s="101">
        <f>((Tableau!$G$25-P503)/(AD503^2+Tableau!$G$30^2)^(3/2))*Tableau!$G$29</f>
        <v>-7.2869745720250689</v>
      </c>
      <c r="Y503" s="101">
        <f>((Tableau!$H$25-Q503)/(AD503^2+Tableau!$G$30^2)^(3/2))*Tableau!$G$29</f>
        <v>-1.3148388070166052E-2</v>
      </c>
      <c r="Z503" s="101">
        <f>((Tableau!$G$35-P503)/(AE503^2+Tableau!$G$40^2)^(3/2))*Tableau!$G$39</f>
        <v>-24.682229542397359</v>
      </c>
      <c r="AA503" s="102">
        <f>((Tableau!$H$35-Q503)/(AE503^2+Tableau!$G$40^2)^(3/2))*Tableau!$G$39</f>
        <v>-4.4022062316815891</v>
      </c>
      <c r="AC503" s="113">
        <f>SQRT((Tableau!$G$16-P503)^2+(Tableau!$H$16-Q503)^2)</f>
        <v>116788.66666850518</v>
      </c>
      <c r="AD503" s="114">
        <f>SQRT((Tableau!$G$25-P503)^2+(Tableau!$H$25-Q503)^2)</f>
        <v>156755.76227496687</v>
      </c>
      <c r="AE503" s="115">
        <f>SQRT((Tableau!$G$35-P503)^2+(Tableau!$H$35-Q503)^2)</f>
        <v>143992.52074047897</v>
      </c>
    </row>
    <row r="504" spans="2:31" x14ac:dyDescent="0.25">
      <c r="B504" s="20">
        <v>501</v>
      </c>
      <c r="C504" s="21">
        <f>Tableau!$G$17*COS(B504*PI()/180)+Tableau!$G$16</f>
        <v>16114.270192715148</v>
      </c>
      <c r="D504" s="21">
        <f>Tableau!$G$17*SIN(B504*PI()/180)+Tableau!$H$16</f>
        <v>10646.601955249189</v>
      </c>
      <c r="F504" s="28">
        <v>501</v>
      </c>
      <c r="G504" s="29">
        <f>Tableau!$G$26*COS(F504*PI()/180)+Tableau!$G$25</f>
        <v>-22720.010865099397</v>
      </c>
      <c r="H504" s="29">
        <f>Tableau!$G$26*SIN(F504*PI()/180)+Tableau!$H$25</f>
        <v>12202.621368674432</v>
      </c>
      <c r="J504" s="36">
        <v>501</v>
      </c>
      <c r="K504" s="37">
        <f>Tableau!$G$36*COS(J504*PI()/180)+Tableau!$G$35</f>
        <v>-8885.7298072848516</v>
      </c>
      <c r="L504" s="37">
        <f>Tableau!$G$36*SIN(J504*PI()/180)+Tableau!$H$35</f>
        <v>-11853.398044750811</v>
      </c>
      <c r="N504" s="92">
        <v>500</v>
      </c>
      <c r="O504" s="93">
        <v>250</v>
      </c>
      <c r="P504" s="96">
        <f>P503+R503*Tableau!$G$2+((1/2)*T503)*Tableau!$G$2^2</f>
        <v>137151.48886015548</v>
      </c>
      <c r="Q504" s="96">
        <f>Q503+S503*Tableau!$G$2+((1/2)*U503)*Tableau!$G$2^2</f>
        <v>10861.598991313544</v>
      </c>
      <c r="R504" s="96">
        <f>R503+T503*Tableau!$G$2</f>
        <v>774.48146526555752</v>
      </c>
      <c r="S504" s="96">
        <f>S503+U503*Tableau!$G$2</f>
        <v>1156.1785292087804</v>
      </c>
      <c r="T504" s="96">
        <f t="shared" si="14"/>
        <v>-69.441664506944392</v>
      </c>
      <c r="U504" s="96">
        <f t="shared" si="15"/>
        <v>-5.5786044175143363</v>
      </c>
      <c r="V504" s="96">
        <f>((Tableau!$G$16-P504)/(AC504^2+Tableau!$G$21^2)^(3/2))*Tableau!$G$20</f>
        <v>-37.691320607141094</v>
      </c>
      <c r="W504" s="96">
        <f>((Tableau!$H$16-Q504)/(AC504^2+Tableau!$G$21^2)^(3/2))*Tableau!$G$20</f>
        <v>-1.0815321816821912</v>
      </c>
      <c r="X504" s="96">
        <f>((Tableau!$G$25-P504)/(AD504^2+Tableau!$G$30^2)^(3/2))*Tableau!$G$29</f>
        <v>-7.2501162186025212</v>
      </c>
      <c r="Y504" s="96">
        <f>((Tableau!$H$25-Q504)/(AD504^2+Tableau!$G$30^2)^(3/2))*Tableau!$G$29</f>
        <v>-3.9749498182690746E-2</v>
      </c>
      <c r="Z504" s="96">
        <f>((Tableau!$G$35-P504)/(AE504^2+Tableau!$G$40^2)^(3/2))*Tableau!$G$39</f>
        <v>-24.500227681200784</v>
      </c>
      <c r="AA504" s="97">
        <f>((Tableau!$H$35-Q504)/(AE504^2+Tableau!$G$40^2)^(3/2))*Tableau!$G$39</f>
        <v>-4.4573227376494549</v>
      </c>
      <c r="AC504" s="110">
        <f>SQRT((Tableau!$G$16-P504)^2+(Tableau!$H$16-Q504)^2)</f>
        <v>117199.70857442239</v>
      </c>
      <c r="AD504" s="111">
        <f>SQRT((Tableau!$G$25-P504)^2+(Tableau!$H$25-Q504)^2)</f>
        <v>157153.85074437535</v>
      </c>
      <c r="AE504" s="112">
        <f>SQRT((Tableau!$G$35-P504)^2+(Tableau!$H$35-Q504)^2)</f>
        <v>144484.8368775991</v>
      </c>
    </row>
    <row r="505" spans="2:31" x14ac:dyDescent="0.25">
      <c r="B505" s="18">
        <v>502</v>
      </c>
      <c r="C505" s="19">
        <f>Tableau!$G$17*COS(B505*PI()/180)+Tableau!$G$16</f>
        <v>16059.946231966391</v>
      </c>
      <c r="D505" s="19">
        <f>Tableau!$G$17*SIN(B505*PI()/180)+Tableau!$H$16</f>
        <v>10578.307376628291</v>
      </c>
      <c r="F505" s="26">
        <v>502</v>
      </c>
      <c r="G505" s="27">
        <f>Tableau!$G$26*COS(F505*PI()/180)+Tableau!$G$25</f>
        <v>-22758.037637623529</v>
      </c>
      <c r="H505" s="27">
        <f>Tableau!$G$26*SIN(F505*PI()/180)+Tableau!$H$25</f>
        <v>12154.815163639803</v>
      </c>
      <c r="J505" s="34">
        <v>502</v>
      </c>
      <c r="K505" s="35">
        <f>Tableau!$G$36*COS(J505*PI()/180)+Tableau!$G$35</f>
        <v>-8940.0537680336092</v>
      </c>
      <c r="L505" s="35">
        <f>Tableau!$G$36*SIN(J505*PI()/180)+Tableau!$H$35</f>
        <v>-11921.692623371709</v>
      </c>
      <c r="N505" s="98">
        <v>501</v>
      </c>
      <c r="O505" s="99">
        <v>250.5</v>
      </c>
      <c r="P505" s="101">
        <f>P504+R504*Tableau!$G$2+((1/2)*T504)*Tableau!$G$2^2</f>
        <v>137530.0493847249</v>
      </c>
      <c r="Q505" s="101">
        <f>Q504+S504*Tableau!$G$2+((1/2)*U504)*Tableau!$G$2^2</f>
        <v>11438.990930365744</v>
      </c>
      <c r="R505" s="101">
        <f>R504+T504*Tableau!$G$2</f>
        <v>739.76063301208535</v>
      </c>
      <c r="S505" s="101">
        <f>S504+U504*Tableau!$G$2</f>
        <v>1153.3892270000233</v>
      </c>
      <c r="T505" s="101">
        <f t="shared" si="14"/>
        <v>-68.974737037749577</v>
      </c>
      <c r="U505" s="101">
        <f t="shared" si="15"/>
        <v>-5.8327704668207678</v>
      </c>
      <c r="V505" s="101">
        <f>((Tableau!$G$16-P505)/(AC505^2+Tableau!$G$21^2)^(3/2))*Tableau!$G$20</f>
        <v>-37.434813193009397</v>
      </c>
      <c r="W505" s="101">
        <f>((Tableau!$H$16-Q505)/(AC505^2+Tableau!$G$21^2)^(3/2))*Tableau!$G$20</f>
        <v>-1.2546186308874669</v>
      </c>
      <c r="X505" s="101">
        <f>((Tableau!$G$25-P505)/(AD505^2+Tableau!$G$30^2)^(3/2))*Tableau!$G$29</f>
        <v>-7.2148388625790041</v>
      </c>
      <c r="Y505" s="101">
        <f>((Tableau!$H$25-Q505)/(AD505^2+Tableau!$G$30^2)^(3/2))*Tableau!$G$29</f>
        <v>-6.5905442979618589E-2</v>
      </c>
      <c r="Z505" s="101">
        <f>((Tableau!$G$35-P505)/(AE505^2+Tableau!$G$40^2)^(3/2))*Tableau!$G$39</f>
        <v>-24.325084982161172</v>
      </c>
      <c r="AA505" s="102">
        <f>((Tableau!$H$35-Q505)/(AE505^2+Tableau!$G$40^2)^(3/2))*Tableau!$G$39</f>
        <v>-4.5122463929536822</v>
      </c>
      <c r="AC505" s="113">
        <f>SQRT((Tableau!$G$16-P505)^2+(Tableau!$H$16-Q505)^2)</f>
        <v>117596.03801967725</v>
      </c>
      <c r="AD505" s="114">
        <f>SQRT((Tableau!$G$25-P505)^2+(Tableau!$H$25-Q505)^2)</f>
        <v>157536.62162827898</v>
      </c>
      <c r="AE505" s="115">
        <f>SQRT((Tableau!$G$35-P505)^2+(Tableau!$H$35-Q505)^2)</f>
        <v>144961.49564290539</v>
      </c>
    </row>
    <row r="506" spans="2:31" x14ac:dyDescent="0.25">
      <c r="B506" s="20">
        <v>503</v>
      </c>
      <c r="C506" s="21">
        <f>Tableau!$G$17*COS(B506*PI()/180)+Tableau!$G$16</f>
        <v>16006.822449763538</v>
      </c>
      <c r="D506" s="21">
        <f>Tableau!$G$17*SIN(B506*PI()/180)+Tableau!$H$16</f>
        <v>10509.075115760246</v>
      </c>
      <c r="F506" s="28">
        <v>503</v>
      </c>
      <c r="G506" s="29">
        <f>Tableau!$G$26*COS(F506*PI()/180)+Tableau!$G$25</f>
        <v>-22795.224285165525</v>
      </c>
      <c r="H506" s="29">
        <f>Tableau!$G$26*SIN(F506*PI()/180)+Tableau!$H$25</f>
        <v>12106.352581032172</v>
      </c>
      <c r="J506" s="36">
        <v>503</v>
      </c>
      <c r="K506" s="37">
        <f>Tableau!$G$36*COS(J506*PI()/180)+Tableau!$G$35</f>
        <v>-8993.1775502364617</v>
      </c>
      <c r="L506" s="37">
        <f>Tableau!$G$36*SIN(J506*PI()/180)+Tableau!$H$35</f>
        <v>-11990.924884239754</v>
      </c>
      <c r="N506" s="92">
        <v>502</v>
      </c>
      <c r="O506" s="93">
        <v>251</v>
      </c>
      <c r="P506" s="96">
        <f>P505+R505*Tableau!$G$2+((1/2)*T505)*Tableau!$G$2^2</f>
        <v>137891.30785910125</v>
      </c>
      <c r="Q506" s="96">
        <f>Q505+S505*Tableau!$G$2+((1/2)*U505)*Tableau!$G$2^2</f>
        <v>12014.956447557402</v>
      </c>
      <c r="R506" s="96">
        <f>R505+T505*Tableau!$G$2</f>
        <v>705.2732644932106</v>
      </c>
      <c r="S506" s="96">
        <f>S505+U505*Tableau!$G$2</f>
        <v>1150.4728417666129</v>
      </c>
      <c r="T506" s="96">
        <f t="shared" si="14"/>
        <v>-68.526875489654273</v>
      </c>
      <c r="U506" s="96">
        <f t="shared" si="15"/>
        <v>-6.082931343838875</v>
      </c>
      <c r="V506" s="96">
        <f>((Tableau!$G$16-P506)/(AC506^2+Tableau!$G$21^2)^(3/2))*Tableau!$G$20</f>
        <v>-37.189187490360908</v>
      </c>
      <c r="W506" s="96">
        <f>((Tableau!$H$16-Q506)/(AC506^2+Tableau!$G$21^2)^(3/2))*Tableau!$G$20</f>
        <v>-1.4242573510143952</v>
      </c>
      <c r="X506" s="96">
        <f>((Tableau!$G$25-P506)/(AD506^2+Tableau!$G$30^2)^(3/2))*Tableau!$G$29</f>
        <v>-7.1811045466025343</v>
      </c>
      <c r="Y506" s="96">
        <f>((Tableau!$H$25-Q506)/(AD506^2+Tableau!$G$30^2)^(3/2))*Tableau!$G$29</f>
        <v>-9.1642871941202242E-2</v>
      </c>
      <c r="Z506" s="96">
        <f>((Tableau!$G$35-P506)/(AE506^2+Tableau!$G$40^2)^(3/2))*Tableau!$G$39</f>
        <v>-24.156583452690835</v>
      </c>
      <c r="AA506" s="97">
        <f>((Tableau!$H$35-Q506)/(AE506^2+Tableau!$G$40^2)^(3/2))*Tableau!$G$39</f>
        <v>-4.5670311208832777</v>
      </c>
      <c r="AC506" s="110">
        <f>SQRT((Tableau!$G$16-P506)^2+(Tableau!$H$16-Q506)^2)</f>
        <v>117977.7322228764</v>
      </c>
      <c r="AD506" s="111">
        <f>SQRT((Tableau!$G$25-P506)^2+(Tableau!$H$25-Q506)^2)</f>
        <v>157904.16443825362</v>
      </c>
      <c r="AE506" s="112">
        <f>SQRT((Tableau!$G$35-P506)^2+(Tableau!$H$35-Q506)^2)</f>
        <v>145422.60392919619</v>
      </c>
    </row>
    <row r="507" spans="2:31" x14ac:dyDescent="0.25">
      <c r="B507" s="18">
        <v>504</v>
      </c>
      <c r="C507" s="19">
        <f>Tableau!$G$17*COS(B507*PI()/180)+Tableau!$G$16</f>
        <v>15954.915028125264</v>
      </c>
      <c r="D507" s="19">
        <f>Tableau!$G$17*SIN(B507*PI()/180)+Tableau!$H$16</f>
        <v>10438.926261462366</v>
      </c>
      <c r="F507" s="26">
        <v>504</v>
      </c>
      <c r="G507" s="27">
        <f>Tableau!$G$26*COS(F507*PI()/180)+Tableau!$G$25</f>
        <v>-22831.559480312317</v>
      </c>
      <c r="H507" s="27">
        <f>Tableau!$G$26*SIN(F507*PI()/180)+Tableau!$H$25</f>
        <v>12057.248383023656</v>
      </c>
      <c r="J507" s="34">
        <v>504</v>
      </c>
      <c r="K507" s="35">
        <f>Tableau!$G$36*COS(J507*PI()/180)+Tableau!$G$35</f>
        <v>-9045.0849718747359</v>
      </c>
      <c r="L507" s="35">
        <f>Tableau!$G$36*SIN(J507*PI()/180)+Tableau!$H$35</f>
        <v>-12061.073738537634</v>
      </c>
      <c r="N507" s="98">
        <v>503</v>
      </c>
      <c r="O507" s="99">
        <v>251.5</v>
      </c>
      <c r="P507" s="101">
        <f>P506+R506*Tableau!$G$2+((1/2)*T506)*Tableau!$G$2^2</f>
        <v>138235.37863191165</v>
      </c>
      <c r="Q507" s="101">
        <f>Q506+S506*Tableau!$G$2+((1/2)*U506)*Tableau!$G$2^2</f>
        <v>12589.432502022728</v>
      </c>
      <c r="R507" s="101">
        <f>R506+T506*Tableau!$G$2</f>
        <v>671.00982674838349</v>
      </c>
      <c r="S507" s="101">
        <f>S506+U506*Tableau!$G$2</f>
        <v>1147.4313760946934</v>
      </c>
      <c r="T507" s="101">
        <f t="shared" si="14"/>
        <v>-68.097527115492454</v>
      </c>
      <c r="U507" s="101">
        <f t="shared" si="15"/>
        <v>-6.3294040736924728</v>
      </c>
      <c r="V507" s="101">
        <f>((Tableau!$G$16-P507)/(AC507^2+Tableau!$G$21^2)^(3/2))*Tableau!$G$20</f>
        <v>-36.95413267763594</v>
      </c>
      <c r="W507" s="101">
        <f>((Tableau!$H$16-Q507)/(AC507^2+Tableau!$G$21^2)^(3/2))*Tableau!$G$20</f>
        <v>-1.5906877121706027</v>
      </c>
      <c r="X507" s="101">
        <f>((Tableau!$G$25-P507)/(AD507^2+Tableau!$G$30^2)^(3/2))*Tableau!$G$29</f>
        <v>-7.1488774557404478</v>
      </c>
      <c r="Y507" s="101">
        <f>((Tableau!$H$25-Q507)/(AD507^2+Tableau!$G$30^2)^(3/2))*Tableau!$G$29</f>
        <v>-0.11698733745209748</v>
      </c>
      <c r="Z507" s="101">
        <f>((Tableau!$G$35-P507)/(AE507^2+Tableau!$G$40^2)^(3/2))*Tableau!$G$39</f>
        <v>-23.994516982116071</v>
      </c>
      <c r="AA507" s="102">
        <f>((Tableau!$H$35-Q507)/(AE507^2+Tableau!$G$40^2)^(3/2))*Tableau!$G$39</f>
        <v>-4.621729024069773</v>
      </c>
      <c r="AC507" s="113">
        <f>SQRT((Tableau!$G$16-P507)^2+(Tableau!$H$16-Q507)^2)</f>
        <v>118344.86504882312</v>
      </c>
      <c r="AD507" s="114">
        <f>SQRT((Tableau!$G$25-P507)^2+(Tableau!$H$25-Q507)^2)</f>
        <v>158256.56451303046</v>
      </c>
      <c r="AE507" s="115">
        <f>SQRT((Tableau!$G$35-P507)^2+(Tableau!$H$35-Q507)^2)</f>
        <v>145868.26412078386</v>
      </c>
    </row>
    <row r="508" spans="2:31" x14ac:dyDescent="0.25">
      <c r="B508" s="20">
        <v>505</v>
      </c>
      <c r="C508" s="21">
        <f>Tableau!$G$17*COS(B508*PI()/180)+Tableau!$G$16</f>
        <v>15904.239778555046</v>
      </c>
      <c r="D508" s="21">
        <f>Tableau!$G$17*SIN(B508*PI()/180)+Tableau!$H$16</f>
        <v>10367.882181755236</v>
      </c>
      <c r="F508" s="28">
        <v>505</v>
      </c>
      <c r="G508" s="29">
        <f>Tableau!$G$26*COS(F508*PI()/180)+Tableau!$G$25</f>
        <v>-22867.032155011468</v>
      </c>
      <c r="H508" s="29">
        <f>Tableau!$G$26*SIN(F508*PI()/180)+Tableau!$H$25</f>
        <v>12007.517527228665</v>
      </c>
      <c r="J508" s="36">
        <v>505</v>
      </c>
      <c r="K508" s="37">
        <f>Tableau!$G$36*COS(J508*PI()/180)+Tableau!$G$35</f>
        <v>-9095.7602214449544</v>
      </c>
      <c r="L508" s="37">
        <f>Tableau!$G$36*SIN(J508*PI()/180)+Tableau!$H$35</f>
        <v>-12132.117818244764</v>
      </c>
      <c r="N508" s="92">
        <v>504</v>
      </c>
      <c r="O508" s="93">
        <v>252</v>
      </c>
      <c r="P508" s="96">
        <f>P507+R507*Tableau!$G$2+((1/2)*T507)*Tableau!$G$2^2</f>
        <v>138562.3713543964</v>
      </c>
      <c r="Q508" s="96">
        <f>Q507+S507*Tableau!$G$2+((1/2)*U507)*Tableau!$G$2^2</f>
        <v>13162.357014560863</v>
      </c>
      <c r="R508" s="96">
        <f>R507+T507*Tableau!$G$2</f>
        <v>636.96106319063722</v>
      </c>
      <c r="S508" s="96">
        <f>S507+U507*Tableau!$G$2</f>
        <v>1144.2666740578472</v>
      </c>
      <c r="T508" s="96">
        <f t="shared" si="14"/>
        <v>-67.686170024031185</v>
      </c>
      <c r="U508" s="96">
        <f t="shared" si="15"/>
        <v>-6.5724916125394124</v>
      </c>
      <c r="V508" s="96">
        <f>((Tableau!$G$16-P508)/(AC508^2+Tableau!$G$21^2)^(3/2))*Tableau!$G$20</f>
        <v>-36.729355546646218</v>
      </c>
      <c r="W508" s="96">
        <f>((Tableau!$H$16-Q508)/(AC508^2+Tableau!$G$21^2)^(3/2))*Tableau!$G$20</f>
        <v>-1.7541376884086779</v>
      </c>
      <c r="X508" s="96">
        <f>((Tableau!$G$25-P508)/(AD508^2+Tableau!$G$30^2)^(3/2))*Tableau!$G$29</f>
        <v>-7.1181238161955021</v>
      </c>
      <c r="Y508" s="96">
        <f>((Tableau!$H$25-Q508)/(AD508^2+Tableau!$G$30^2)^(3/2))*Tableau!$G$29</f>
        <v>-0.14196337118563443</v>
      </c>
      <c r="Z508" s="96">
        <f>((Tableau!$G$35-P508)/(AE508^2+Tableau!$G$40^2)^(3/2))*Tableau!$G$39</f>
        <v>-23.83869066118946</v>
      </c>
      <c r="AA508" s="97">
        <f>((Tableau!$H$35-Q508)/(AE508^2+Tableau!$G$40^2)^(3/2))*Tableau!$G$39</f>
        <v>-4.6763905529451</v>
      </c>
      <c r="AC508" s="110">
        <f>SQRT((Tableau!$G$16-P508)^2+(Tableau!$H$16-Q508)^2)</f>
        <v>118697.50708476629</v>
      </c>
      <c r="AD508" s="111">
        <f>SQRT((Tableau!$G$25-P508)^2+(Tableau!$H$25-Q508)^2)</f>
        <v>158593.90313444287</v>
      </c>
      <c r="AE508" s="112">
        <f>SQRT((Tableau!$G$35-P508)^2+(Tableau!$H$35-Q508)^2)</f>
        <v>146298.57422925625</v>
      </c>
    </row>
    <row r="509" spans="2:31" x14ac:dyDescent="0.25">
      <c r="B509" s="18">
        <v>506</v>
      </c>
      <c r="C509" s="19">
        <f>Tableau!$G$17*COS(B509*PI()/180)+Tableau!$G$16</f>
        <v>15854.812137224793</v>
      </c>
      <c r="D509" s="19">
        <f>Tableau!$G$17*SIN(B509*PI()/180)+Tableau!$H$16</f>
        <v>10295.964517353737</v>
      </c>
      <c r="F509" s="26">
        <v>506</v>
      </c>
      <c r="G509" s="27">
        <f>Tableau!$G$26*COS(F509*PI()/180)+Tableau!$G$25</f>
        <v>-22901.631503942644</v>
      </c>
      <c r="H509" s="27">
        <f>Tableau!$G$26*SIN(F509*PI()/180)+Tableau!$H$25</f>
        <v>11957.175162147616</v>
      </c>
      <c r="J509" s="34">
        <v>506</v>
      </c>
      <c r="K509" s="35">
        <f>Tableau!$G$36*COS(J509*PI()/180)+Tableau!$G$35</f>
        <v>-9145.1878627752067</v>
      </c>
      <c r="L509" s="35">
        <f>Tableau!$G$36*SIN(J509*PI()/180)+Tableau!$H$35</f>
        <v>-12204.035482646263</v>
      </c>
      <c r="N509" s="98">
        <v>505</v>
      </c>
      <c r="O509" s="99">
        <v>252.5</v>
      </c>
      <c r="P509" s="101">
        <f>P508+R508*Tableau!$G$2+((1/2)*T508)*Tableau!$G$2^2</f>
        <v>138872.39111473871</v>
      </c>
      <c r="Q509" s="101">
        <f>Q508+S508*Tableau!$G$2+((1/2)*U508)*Tableau!$G$2^2</f>
        <v>13733.668790138219</v>
      </c>
      <c r="R509" s="101">
        <f>R508+T508*Tableau!$G$2</f>
        <v>603.11797817862157</v>
      </c>
      <c r="S509" s="101">
        <f>S508+U508*Tableau!$G$2</f>
        <v>1140.9804282515775</v>
      </c>
      <c r="T509" s="101">
        <f t="shared" si="14"/>
        <v>-67.292311545764449</v>
      </c>
      <c r="U509" s="101">
        <f t="shared" si="15"/>
        <v>-6.8124839570330185</v>
      </c>
      <c r="V509" s="101">
        <f>((Tableau!$G$16-P509)/(AC509^2+Tableau!$G$21^2)^(3/2))*Tableau!$G$20</f>
        <v>-36.514579592789147</v>
      </c>
      <c r="W509" s="101">
        <f>((Tableau!$H$16-Q509)/(AC509^2+Tableau!$G$21^2)^(3/2))*Tableau!$G$20</f>
        <v>-1.9148247381756043</v>
      </c>
      <c r="X509" s="101">
        <f>((Tableau!$G$25-P509)/(AD509^2+Tableau!$G$30^2)^(3/2))*Tableau!$G$29</f>
        <v>-7.0888118013407153</v>
      </c>
      <c r="Y509" s="101">
        <f>((Tableau!$H$25-Q509)/(AD509^2+Tableau!$G$30^2)^(3/2))*Tableau!$G$29</f>
        <v>-0.16659455551792177</v>
      </c>
      <c r="Z509" s="101">
        <f>((Tableau!$G$35-P509)/(AE509^2+Tableau!$G$40^2)^(3/2))*Tableau!$G$39</f>
        <v>-23.688920151634591</v>
      </c>
      <c r="AA509" s="102">
        <f>((Tableau!$H$35-Q509)/(AE509^2+Tableau!$G$40^2)^(3/2))*Tableau!$G$39</f>
        <v>-4.7310646633394926</v>
      </c>
      <c r="AC509" s="113">
        <f>SQRT((Tableau!$G$16-P509)^2+(Tableau!$H$16-Q509)^2)</f>
        <v>119035.72571257989</v>
      </c>
      <c r="AD509" s="114">
        <f>SQRT((Tableau!$G$25-P509)^2+(Tableau!$H$25-Q509)^2)</f>
        <v>158916.25763636947</v>
      </c>
      <c r="AE509" s="115">
        <f>SQRT((Tableau!$G$35-P509)^2+(Tableau!$H$35-Q509)^2)</f>
        <v>146713.62802144082</v>
      </c>
    </row>
    <row r="510" spans="2:31" x14ac:dyDescent="0.25">
      <c r="B510" s="20">
        <v>507</v>
      </c>
      <c r="C510" s="21">
        <f>Tableau!$G$17*COS(B510*PI()/180)+Tableau!$G$16</f>
        <v>15806.64716027288</v>
      </c>
      <c r="D510" s="21">
        <f>Tableau!$G$17*SIN(B510*PI()/180)+Tableau!$H$16</f>
        <v>10223.195175075136</v>
      </c>
      <c r="F510" s="28">
        <v>507</v>
      </c>
      <c r="G510" s="29">
        <f>Tableau!$G$26*COS(F510*PI()/180)+Tableau!$G$25</f>
        <v>-22935.346987808985</v>
      </c>
      <c r="H510" s="29">
        <f>Tableau!$G$26*SIN(F510*PI()/180)+Tableau!$H$25</f>
        <v>11906.236622552595</v>
      </c>
      <c r="J510" s="36">
        <v>507</v>
      </c>
      <c r="K510" s="37">
        <f>Tableau!$G$36*COS(J510*PI()/180)+Tableau!$G$35</f>
        <v>-9193.3528397271202</v>
      </c>
      <c r="L510" s="37">
        <f>Tableau!$G$36*SIN(J510*PI()/180)+Tableau!$H$35</f>
        <v>-12276.804824924864</v>
      </c>
      <c r="N510" s="92">
        <v>506</v>
      </c>
      <c r="O510" s="93">
        <v>253</v>
      </c>
      <c r="P510" s="96">
        <f>P509+R509*Tableau!$G$2+((1/2)*T509)*Tableau!$G$2^2</f>
        <v>139165.5385648848</v>
      </c>
      <c r="Q510" s="96">
        <f>Q509+S509*Tableau!$G$2+((1/2)*U509)*Tableau!$G$2^2</f>
        <v>14303.307443769378</v>
      </c>
      <c r="R510" s="96">
        <f>R509+T509*Tableau!$G$2</f>
        <v>569.47182240573932</v>
      </c>
      <c r="S510" s="96">
        <f>S509+U509*Tableau!$G$2</f>
        <v>1137.5741862730608</v>
      </c>
      <c r="T510" s="96">
        <f t="shared" si="14"/>
        <v>-66.915486717128246</v>
      </c>
      <c r="U510" s="96">
        <f t="shared" si="15"/>
        <v>-7.0496591754443454</v>
      </c>
      <c r="V510" s="96">
        <f>((Tableau!$G$16-P510)/(AC510^2+Tableau!$G$21^2)^(3/2))*Tableau!$G$20</f>
        <v>-36.309544170863482</v>
      </c>
      <c r="W510" s="96">
        <f>((Tableau!$H$16-Q510)/(AC510^2+Tableau!$G$21^2)^(3/2))*Tableau!$G$20</f>
        <v>-2.0729566207851708</v>
      </c>
      <c r="X510" s="96">
        <f>((Tableau!$G$25-P510)/(AD510^2+Tableau!$G$30^2)^(3/2))*Tableau!$G$29</f>
        <v>-7.0609114445575258</v>
      </c>
      <c r="Y510" s="96">
        <f>((Tableau!$H$25-Q510)/(AD510^2+Tableau!$G$30^2)^(3/2))*Tableau!$G$29</f>
        <v>-0.19090359039481436</v>
      </c>
      <c r="Z510" s="96">
        <f>((Tableau!$G$35-P510)/(AE510^2+Tableau!$G$40^2)^(3/2))*Tableau!$G$39</f>
        <v>-23.545031101707242</v>
      </c>
      <c r="AA510" s="97">
        <f>((Tableau!$H$35-Q510)/(AE510^2+Tableau!$G$40^2)^(3/2))*Tableau!$G$39</f>
        <v>-4.7857989642643606</v>
      </c>
      <c r="AC510" s="110">
        <f>SQRT((Tableau!$G$16-P510)^2+(Tableau!$H$16-Q510)^2)</f>
        <v>119359.58517703341</v>
      </c>
      <c r="AD510" s="111">
        <f>SQRT((Tableau!$G$25-P510)^2+(Tableau!$H$25-Q510)^2)</f>
        <v>159223.70150704772</v>
      </c>
      <c r="AE510" s="112">
        <f>SQRT((Tableau!$G$35-P510)^2+(Tableau!$H$35-Q510)^2)</f>
        <v>147113.5151400012</v>
      </c>
    </row>
    <row r="511" spans="2:31" x14ac:dyDescent="0.25">
      <c r="B511" s="18">
        <v>508</v>
      </c>
      <c r="C511" s="19">
        <f>Tableau!$G$17*COS(B511*PI()/180)+Tableau!$G$16</f>
        <v>15759.759519217869</v>
      </c>
      <c r="D511" s="19">
        <f>Tableau!$G$17*SIN(B511*PI()/180)+Tableau!$H$16</f>
        <v>10149.596321166022</v>
      </c>
      <c r="F511" s="26">
        <v>508</v>
      </c>
      <c r="G511" s="27">
        <f>Tableau!$G$26*COS(F511*PI()/180)+Tableau!$G$25</f>
        <v>-22968.168336547493</v>
      </c>
      <c r="H511" s="27">
        <f>Tableau!$G$26*SIN(F511*PI()/180)+Tableau!$H$25</f>
        <v>11854.717424816215</v>
      </c>
      <c r="J511" s="34">
        <v>508</v>
      </c>
      <c r="K511" s="35">
        <f>Tableau!$G$36*COS(J511*PI()/180)+Tableau!$G$35</f>
        <v>-9240.2404807821313</v>
      </c>
      <c r="L511" s="35">
        <f>Tableau!$G$36*SIN(J511*PI()/180)+Tableau!$H$35</f>
        <v>-12350.403678833978</v>
      </c>
      <c r="N511" s="98">
        <v>507</v>
      </c>
      <c r="O511" s="99">
        <v>253.5</v>
      </c>
      <c r="P511" s="101">
        <f>P510+R510*Tableau!$G$2+((1/2)*T510)*Tableau!$G$2^2</f>
        <v>139441.91004024804</v>
      </c>
      <c r="Q511" s="101">
        <f>Q510+S510*Tableau!$G$2+((1/2)*U510)*Tableau!$G$2^2</f>
        <v>14871.213329508977</v>
      </c>
      <c r="R511" s="101">
        <f>R510+T510*Tableau!$G$2</f>
        <v>536.01407904717519</v>
      </c>
      <c r="S511" s="101">
        <f>S510+U510*Tableau!$G$2</f>
        <v>1134.0493566853386</v>
      </c>
      <c r="T511" s="101">
        <f t="shared" si="14"/>
        <v>-66.555256874274988</v>
      </c>
      <c r="U511" s="101">
        <f t="shared" si="15"/>
        <v>-7.2842843677046059</v>
      </c>
      <c r="V511" s="101">
        <f>((Tableau!$G$16-P511)/(AC511^2+Tableau!$G$21^2)^(3/2))*Tableau!$G$20</f>
        <v>-36.114003711744992</v>
      </c>
      <c r="W511" s="101">
        <f>((Tableau!$H$16-Q511)/(AC511^2+Tableau!$G$21^2)^(3/2))*Tableau!$G$20</f>
        <v>-2.2287321548378558</v>
      </c>
      <c r="X511" s="101">
        <f>((Tableau!$G$25-P511)/(AD511^2+Tableau!$G$30^2)^(3/2))*Tableau!$G$29</f>
        <v>-7.034394558411063</v>
      </c>
      <c r="Y511" s="101">
        <f>((Tableau!$H$25-Q511)/(AD511^2+Tableau!$G$30^2)^(3/2))*Tableau!$G$29</f>
        <v>-0.21491235603805539</v>
      </c>
      <c r="Z511" s="101">
        <f>((Tableau!$G$35-P511)/(AE511^2+Tableau!$G$40^2)^(3/2))*Tableau!$G$39</f>
        <v>-23.406858604118934</v>
      </c>
      <c r="AA511" s="102">
        <f>((Tableau!$H$35-Q511)/(AE511^2+Tableau!$G$40^2)^(3/2))*Tableau!$G$39</f>
        <v>-4.8406398568286946</v>
      </c>
      <c r="AC511" s="113">
        <f>SQRT((Tableau!$G$16-P511)^2+(Tableau!$H$16-Q511)^2)</f>
        <v>119669.14665030346</v>
      </c>
      <c r="AD511" s="114">
        <f>SQRT((Tableau!$G$25-P511)^2+(Tableau!$H$25-Q511)^2)</f>
        <v>159516.30448510314</v>
      </c>
      <c r="AE511" s="115">
        <f>SQRT((Tableau!$G$35-P511)^2+(Tableau!$H$35-Q511)^2)</f>
        <v>147498.32121706384</v>
      </c>
    </row>
    <row r="512" spans="2:31" x14ac:dyDescent="0.25">
      <c r="B512" s="20">
        <v>509</v>
      </c>
      <c r="C512" s="21">
        <f>Tableau!$G$17*COS(B512*PI()/180)+Tableau!$G$16</f>
        <v>15714.16349648944</v>
      </c>
      <c r="D512" s="21">
        <f>Tableau!$G$17*SIN(B512*PI()/180)+Tableau!$H$16</f>
        <v>10075.190374550273</v>
      </c>
      <c r="F512" s="28">
        <v>509</v>
      </c>
      <c r="G512" s="29">
        <f>Tableau!$G$26*COS(F512*PI()/180)+Tableau!$G$25</f>
        <v>-23000.085552457393</v>
      </c>
      <c r="H512" s="29">
        <f>Tableau!$G$26*SIN(F512*PI()/180)+Tableau!$H$25</f>
        <v>11802.633262185191</v>
      </c>
      <c r="J512" s="36">
        <v>509</v>
      </c>
      <c r="K512" s="37">
        <f>Tableau!$G$36*COS(J512*PI()/180)+Tableau!$G$35</f>
        <v>-9285.8365035105599</v>
      </c>
      <c r="L512" s="37">
        <f>Tableau!$G$36*SIN(J512*PI()/180)+Tableau!$H$35</f>
        <v>-12424.809625449727</v>
      </c>
      <c r="N512" s="92">
        <v>508</v>
      </c>
      <c r="O512" s="93">
        <v>254</v>
      </c>
      <c r="P512" s="96">
        <f>P511+R511*Tableau!$G$2+((1/2)*T511)*Tableau!$G$2^2</f>
        <v>139701.59767266235</v>
      </c>
      <c r="Q512" s="96">
        <f>Q511+S511*Tableau!$G$2+((1/2)*U511)*Tableau!$G$2^2</f>
        <v>15437.327472305684</v>
      </c>
      <c r="R512" s="96">
        <f>R511+T511*Tableau!$G$2</f>
        <v>502.73645061003771</v>
      </c>
      <c r="S512" s="96">
        <f>S511+U511*Tableau!$G$2</f>
        <v>1130.4072145014864</v>
      </c>
      <c r="T512" s="96">
        <f t="shared" si="14"/>
        <v>-66.211208348346432</v>
      </c>
      <c r="U512" s="96">
        <f t="shared" si="15"/>
        <v>-7.5166165609517126</v>
      </c>
      <c r="V512" s="96">
        <f>((Tableau!$G$16-P512)/(AC512^2+Tableau!$G$21^2)^(3/2))*Tableau!$G$20</f>
        <v>-35.927726995597666</v>
      </c>
      <c r="W512" s="96">
        <f>((Tableau!$H$16-Q512)/(AC512^2+Tableau!$G$21^2)^(3/2))*Tableau!$G$20</f>
        <v>-2.3823419239523114</v>
      </c>
      <c r="X512" s="96">
        <f>((Tableau!$G$25-P512)/(AD512^2+Tableau!$G$30^2)^(3/2))*Tableau!$G$29</f>
        <v>-7.0092346597350943</v>
      </c>
      <c r="Y512" s="96">
        <f>((Tableau!$H$25-Q512)/(AD512^2+Tableau!$G$30^2)^(3/2))*Tableau!$G$29</f>
        <v>-0.23864197184383409</v>
      </c>
      <c r="Z512" s="96">
        <f>((Tableau!$G$35-P512)/(AE512^2+Tableau!$G$40^2)^(3/2))*Tableau!$G$39</f>
        <v>-23.274246693013669</v>
      </c>
      <c r="AA512" s="97">
        <f>((Tableau!$H$35-Q512)/(AE512^2+Tableau!$G$40^2)^(3/2))*Tableau!$G$39</f>
        <v>-4.8956326651555671</v>
      </c>
      <c r="AC512" s="110">
        <f>SQRT((Tableau!$G$16-P512)^2+(Tableau!$H$16-Q512)^2)</f>
        <v>119964.46829286804</v>
      </c>
      <c r="AD512" s="111">
        <f>SQRT((Tableau!$G$25-P512)^2+(Tableau!$H$25-Q512)^2)</f>
        <v>159794.13264961264</v>
      </c>
      <c r="AE512" s="112">
        <f>SQRT((Tableau!$G$35-P512)^2+(Tableau!$H$35-Q512)^2)</f>
        <v>147868.12798124354</v>
      </c>
    </row>
    <row r="513" spans="2:31" x14ac:dyDescent="0.25">
      <c r="B513" s="18">
        <v>510</v>
      </c>
      <c r="C513" s="19">
        <f>Tableau!$G$17*COS(B513*PI()/180)+Tableau!$G$16</f>
        <v>15669.872981077806</v>
      </c>
      <c r="D513" s="19">
        <f>Tableau!$G$17*SIN(B513*PI()/180)+Tableau!$H$16</f>
        <v>10000</v>
      </c>
      <c r="F513" s="26">
        <v>510</v>
      </c>
      <c r="G513" s="27">
        <f>Tableau!$G$26*COS(F513*PI()/180)+Tableau!$G$25</f>
        <v>-23031.088913245534</v>
      </c>
      <c r="H513" s="27">
        <f>Tableau!$G$26*SIN(F513*PI()/180)+Tableau!$H$25</f>
        <v>11750</v>
      </c>
      <c r="J513" s="34">
        <v>510</v>
      </c>
      <c r="K513" s="35">
        <f>Tableau!$G$36*COS(J513*PI()/180)+Tableau!$G$35</f>
        <v>-9330.1270189221941</v>
      </c>
      <c r="L513" s="35">
        <f>Tableau!$G$36*SIN(J513*PI()/180)+Tableau!$H$35</f>
        <v>-12500</v>
      </c>
      <c r="N513" s="98">
        <v>509</v>
      </c>
      <c r="O513" s="99">
        <v>254.5</v>
      </c>
      <c r="P513" s="101">
        <f>P512+R512*Tableau!$G$2+((1/2)*T512)*Tableau!$G$2^2</f>
        <v>139944.68949692382</v>
      </c>
      <c r="Q513" s="101">
        <f>Q512+S512*Tableau!$G$2+((1/2)*U512)*Tableau!$G$2^2</f>
        <v>16001.591502486308</v>
      </c>
      <c r="R513" s="101">
        <f>R512+T512*Tableau!$G$2</f>
        <v>469.6308464358645</v>
      </c>
      <c r="S513" s="101">
        <f>S512+U512*Tableau!$G$2</f>
        <v>1126.6489062210105</v>
      </c>
      <c r="T513" s="101">
        <f t="shared" si="14"/>
        <v>-65.882951254902594</v>
      </c>
      <c r="U513" s="101">
        <f t="shared" si="15"/>
        <v>-7.7469035465615805</v>
      </c>
      <c r="V513" s="101">
        <f>((Tableau!$G$16-P513)/(AC513^2+Tableau!$G$21^2)^(3/2))*Tableau!$G$20</f>
        <v>-35.750496477672051</v>
      </c>
      <c r="W513" s="101">
        <f>((Tableau!$H$16-Q513)/(AC513^2+Tableau!$G$21^2)^(3/2))*Tableau!$G$20</f>
        <v>-2.5339689346733301</v>
      </c>
      <c r="X513" s="101">
        <f>((Tableau!$G$25-P513)/(AD513^2+Tableau!$G$30^2)^(3/2))*Tableau!$G$29</f>
        <v>-6.9854069002389254</v>
      </c>
      <c r="Y513" s="101">
        <f>((Tableau!$H$25-Q513)/(AD513^2+Tableau!$G$30^2)^(3/2))*Tableau!$G$29</f>
        <v>-0.26211285179736749</v>
      </c>
      <c r="Z513" s="101">
        <f>((Tableau!$G$35-P513)/(AE513^2+Tableau!$G$40^2)^(3/2))*Tableau!$G$39</f>
        <v>-23.147047876991618</v>
      </c>
      <c r="AA513" s="102">
        <f>((Tableau!$H$35-Q513)/(AE513^2+Tableau!$G$40^2)^(3/2))*Tableau!$G$39</f>
        <v>-4.950821760090883</v>
      </c>
      <c r="AC513" s="113">
        <f>SQRT((Tableau!$G$16-P513)^2+(Tableau!$H$16-Q513)^2)</f>
        <v>120245.6053109161</v>
      </c>
      <c r="AD513" s="114">
        <f>SQRT((Tableau!$G$25-P513)^2+(Tableau!$H$25-Q513)^2)</f>
        <v>160057.24850449633</v>
      </c>
      <c r="AE513" s="115">
        <f>SQRT((Tableau!$G$35-P513)^2+(Tableau!$H$35-Q513)^2)</f>
        <v>148223.01335840762</v>
      </c>
    </row>
    <row r="514" spans="2:31" x14ac:dyDescent="0.25">
      <c r="B514" s="20">
        <v>511</v>
      </c>
      <c r="C514" s="21">
        <f>Tableau!$G$17*COS(B514*PI()/180)+Tableau!$G$16</f>
        <v>15626.901464303024</v>
      </c>
      <c r="D514" s="21">
        <f>Tableau!$G$17*SIN(B514*PI()/180)+Tableau!$H$16</f>
        <v>9924.0481012316886</v>
      </c>
      <c r="F514" s="28">
        <v>511</v>
      </c>
      <c r="G514" s="29">
        <f>Tableau!$G$26*COS(F514*PI()/180)+Tableau!$G$25</f>
        <v>-23061.168974987882</v>
      </c>
      <c r="H514" s="29">
        <f>Tableau!$G$26*SIN(F514*PI()/180)+Tableau!$H$25</f>
        <v>11696.833670862183</v>
      </c>
      <c r="J514" s="36">
        <v>511</v>
      </c>
      <c r="K514" s="37">
        <f>Tableau!$G$36*COS(J514*PI()/180)+Tableau!$G$35</f>
        <v>-9373.0985356969759</v>
      </c>
      <c r="L514" s="37">
        <f>Tableau!$G$36*SIN(J514*PI()/180)+Tableau!$H$35</f>
        <v>-12575.951898768311</v>
      </c>
      <c r="N514" s="92">
        <v>510</v>
      </c>
      <c r="O514" s="93">
        <v>255</v>
      </c>
      <c r="P514" s="96">
        <f>P513+R513*Tableau!$G$2+((1/2)*T513)*Tableau!$G$2^2</f>
        <v>140171.26955123487</v>
      </c>
      <c r="Q514" s="96">
        <f>Q513+S513*Tableau!$G$2+((1/2)*U513)*Tableau!$G$2^2</f>
        <v>16563.947592653494</v>
      </c>
      <c r="R514" s="96">
        <f>R513+T513*Tableau!$G$2</f>
        <v>436.68937080841317</v>
      </c>
      <c r="S514" s="96">
        <f>S513+U513*Tableau!$G$2</f>
        <v>1122.7754544477298</v>
      </c>
      <c r="T514" s="96">
        <f t="shared" si="14"/>
        <v>-65.570118370810448</v>
      </c>
      <c r="U514" s="96">
        <f t="shared" si="15"/>
        <v>-7.9753846641061141</v>
      </c>
      <c r="V514" s="96">
        <f>((Tableau!$G$16-P514)/(AC514^2+Tableau!$G$21^2)^(3/2))*Tableau!$G$20</f>
        <v>-35.582107663086767</v>
      </c>
      <c r="W514" s="96">
        <f>((Tableau!$H$16-Q514)/(AC514^2+Tableau!$G$21^2)^(3/2))*Tableau!$G$20</f>
        <v>-2.6837892309764539</v>
      </c>
      <c r="X514" s="96">
        <f>((Tableau!$G$25-P514)/(AD514^2+Tableau!$G$30^2)^(3/2))*Tableau!$G$29</f>
        <v>-6.9628880022826358</v>
      </c>
      <c r="Y514" s="96">
        <f>((Tableau!$H$25-Q514)/(AD514^2+Tableau!$G$30^2)^(3/2))*Tableau!$G$29</f>
        <v>-0.28534475670044807</v>
      </c>
      <c r="Z514" s="96">
        <f>((Tableau!$G$35-P514)/(AE514^2+Tableau!$G$40^2)^(3/2))*Tableau!$G$39</f>
        <v>-23.025122705441046</v>
      </c>
      <c r="AA514" s="97">
        <f>((Tableau!$H$35-Q514)/(AE514^2+Tableau!$G$40^2)^(3/2))*Tableau!$G$39</f>
        <v>-5.0062506764292127</v>
      </c>
      <c r="AC514" s="110">
        <f>SQRT((Tableau!$G$16-P514)^2+(Tableau!$H$16-Q514)^2)</f>
        <v>120512.6100103965</v>
      </c>
      <c r="AD514" s="111">
        <f>SQRT((Tableau!$G$25-P514)^2+(Tableau!$H$25-Q514)^2)</f>
        <v>160305.7110575086</v>
      </c>
      <c r="AE514" s="112">
        <f>SQRT((Tableau!$G$35-P514)^2+(Tableau!$H$35-Q514)^2)</f>
        <v>148563.05156649507</v>
      </c>
    </row>
    <row r="515" spans="2:31" x14ac:dyDescent="0.25">
      <c r="B515" s="18">
        <v>512</v>
      </c>
      <c r="C515" s="19">
        <f>Tableau!$G$17*COS(B515*PI()/180)+Tableau!$G$16</f>
        <v>15585.262035705366</v>
      </c>
      <c r="D515" s="19">
        <f>Tableau!$G$17*SIN(B515*PI()/180)+Tableau!$H$16</f>
        <v>9847.357813929455</v>
      </c>
      <c r="F515" s="26">
        <v>512</v>
      </c>
      <c r="G515" s="27">
        <f>Tableau!$G$26*COS(F515*PI()/180)+Tableau!$G$25</f>
        <v>-23090.316575006244</v>
      </c>
      <c r="H515" s="27">
        <f>Tableau!$G$26*SIN(F515*PI()/180)+Tableau!$H$25</f>
        <v>11643.150469750619</v>
      </c>
      <c r="J515" s="34">
        <v>512</v>
      </c>
      <c r="K515" s="35">
        <f>Tableau!$G$36*COS(J515*PI()/180)+Tableau!$G$35</f>
        <v>-9414.7379642946344</v>
      </c>
      <c r="L515" s="35">
        <f>Tableau!$G$36*SIN(J515*PI()/180)+Tableau!$H$35</f>
        <v>-12652.642186070545</v>
      </c>
      <c r="N515" s="98">
        <v>511</v>
      </c>
      <c r="O515" s="99">
        <v>255.5</v>
      </c>
      <c r="P515" s="101">
        <f>P514+R514*Tableau!$G$2+((1/2)*T514)*Tableau!$G$2^2</f>
        <v>140381.41797184275</v>
      </c>
      <c r="Q515" s="101">
        <f>Q514+S514*Tableau!$G$2+((1/2)*U514)*Tableau!$G$2^2</f>
        <v>17124.338396794345</v>
      </c>
      <c r="R515" s="101">
        <f>R514+T514*Tableau!$G$2</f>
        <v>403.90431162300797</v>
      </c>
      <c r="S515" s="101">
        <f>S514+U514*Tableau!$G$2</f>
        <v>1118.7877621156767</v>
      </c>
      <c r="T515" s="101">
        <f t="shared" si="14"/>
        <v>-65.27236409248826</v>
      </c>
      <c r="U515" s="101">
        <f t="shared" si="15"/>
        <v>-8.2022915372007112</v>
      </c>
      <c r="V515" s="101">
        <f>((Tableau!$G$16-P515)/(AC515^2+Tableau!$G$21^2)^(3/2))*Tableau!$G$20</f>
        <v>-35.422368527300414</v>
      </c>
      <c r="W515" s="101">
        <f>((Tableau!$H$16-Q515)/(AC515^2+Tableau!$G$21^2)^(3/2))*Tableau!$G$20</f>
        <v>-2.8319724693925559</v>
      </c>
      <c r="X515" s="101">
        <f>((Tableau!$G$25-P515)/(AD515^2+Tableau!$G$30^2)^(3/2))*Tableau!$G$29</f>
        <v>-6.9416561994982819</v>
      </c>
      <c r="Y515" s="101">
        <f>((Tableau!$H$25-Q515)/(AD515^2+Tableau!$G$30^2)^(3/2))*Tableau!$G$29</f>
        <v>-0.30835684348490788</v>
      </c>
      <c r="Z515" s="101">
        <f>((Tableau!$G$35-P515)/(AE515^2+Tableau!$G$40^2)^(3/2))*Tableau!$G$39</f>
        <v>-22.908339365689571</v>
      </c>
      <c r="AA515" s="102">
        <f>((Tableau!$H$35-Q515)/(AE515^2+Tableau!$G$40^2)^(3/2))*Tableau!$G$39</f>
        <v>-5.0619622243232483</v>
      </c>
      <c r="AC515" s="113">
        <f>SQRT((Tableau!$G$16-P515)^2+(Tableau!$H$16-Q515)^2)</f>
        <v>120765.53184782284</v>
      </c>
      <c r="AD515" s="114">
        <f>SQRT((Tableau!$G$25-P515)^2+(Tableau!$H$25-Q515)^2)</f>
        <v>160539.57589407967</v>
      </c>
      <c r="AE515" s="115">
        <f>SQRT((Tableau!$G$35-P515)^2+(Tableau!$H$35-Q515)^2)</f>
        <v>148888.3132046817</v>
      </c>
    </row>
    <row r="516" spans="2:31" x14ac:dyDescent="0.25">
      <c r="B516" s="20">
        <v>513</v>
      </c>
      <c r="C516" s="21">
        <f>Tableau!$G$17*COS(B516*PI()/180)+Tableau!$G$16</f>
        <v>15544.967379058158</v>
      </c>
      <c r="D516" s="21">
        <f>Tableau!$G$17*SIN(B516*PI()/180)+Tableau!$H$16</f>
        <v>9769.9524986977322</v>
      </c>
      <c r="F516" s="28">
        <v>513</v>
      </c>
      <c r="G516" s="29">
        <f>Tableau!$G$26*COS(F516*PI()/180)+Tableau!$G$25</f>
        <v>-23118.522834659288</v>
      </c>
      <c r="H516" s="29">
        <f>Tableau!$G$26*SIN(F516*PI()/180)+Tableau!$H$25</f>
        <v>11588.966749088413</v>
      </c>
      <c r="J516" s="36">
        <v>513</v>
      </c>
      <c r="K516" s="37">
        <f>Tableau!$G$36*COS(J516*PI()/180)+Tableau!$G$35</f>
        <v>-9455.0326209418417</v>
      </c>
      <c r="L516" s="37">
        <f>Tableau!$G$36*SIN(J516*PI()/180)+Tableau!$H$35</f>
        <v>-12730.047501302268</v>
      </c>
      <c r="N516" s="92">
        <v>512</v>
      </c>
      <c r="O516" s="93">
        <v>256</v>
      </c>
      <c r="P516" s="96">
        <f>P515+R515*Tableau!$G$2+((1/2)*T515)*Tableau!$G$2^2</f>
        <v>140575.21108214269</v>
      </c>
      <c r="Q516" s="96">
        <f>Q515+S515*Tableau!$G$2+((1/2)*U515)*Tableau!$G$2^2</f>
        <v>17682.706991410036</v>
      </c>
      <c r="R516" s="96">
        <f>R515+T515*Tableau!$G$2</f>
        <v>371.26812957676384</v>
      </c>
      <c r="S516" s="96">
        <f>S515+U515*Tableau!$G$2</f>
        <v>1114.6866163470763</v>
      </c>
      <c r="T516" s="96">
        <f t="shared" ref="T516:T579" si="16">V516+X516+Z516</f>
        <v>-64.98936346994077</v>
      </c>
      <c r="U516" s="96">
        <f t="shared" ref="U516:U579" si="17">W516+Y516+AA516</f>
        <v>-8.4278487657765595</v>
      </c>
      <c r="V516" s="96">
        <f>((Tableau!$G$16-P516)/(AC516^2+Tableau!$G$21^2)^(3/2))*Tableau!$G$20</f>
        <v>-35.2710989792673</v>
      </c>
      <c r="W516" s="96">
        <f>((Tableau!$H$16-Q516)/(AC516^2+Tableau!$G$21^2)^(3/2))*Tableau!$G$20</f>
        <v>-2.9786824584219347</v>
      </c>
      <c r="X516" s="96">
        <f>((Tableau!$G$25-P516)/(AD516^2+Tableau!$G$30^2)^(3/2))*Tableau!$G$29</f>
        <v>-6.9216911819642277</v>
      </c>
      <c r="Y516" s="96">
        <f>((Tableau!$H$25-Q516)/(AD516^2+Tableau!$G$30^2)^(3/2))*Tableau!$G$29</f>
        <v>-0.33116771186341309</v>
      </c>
      <c r="Z516" s="96">
        <f>((Tableau!$G$35-P516)/(AE516^2+Tableau!$G$40^2)^(3/2))*Tableau!$G$39</f>
        <v>-22.796573308709242</v>
      </c>
      <c r="AA516" s="97">
        <f>((Tableau!$H$35-Q516)/(AE516^2+Tableau!$G$40^2)^(3/2))*Tableau!$G$39</f>
        <v>-5.1179985954912119</v>
      </c>
      <c r="AC516" s="110">
        <f>SQRT((Tableau!$G$16-P516)^2+(Tableau!$H$16-Q516)^2)</f>
        <v>121004.41747794242</v>
      </c>
      <c r="AD516" s="111">
        <f>SQRT((Tableau!$G$25-P516)^2+(Tableau!$H$25-Q516)^2)</f>
        <v>160758.89524623682</v>
      </c>
      <c r="AE516" s="112">
        <f>SQRT((Tableau!$G$35-P516)^2+(Tableau!$H$35-Q516)^2)</f>
        <v>149198.86533716254</v>
      </c>
    </row>
    <row r="517" spans="2:31" x14ac:dyDescent="0.25">
      <c r="B517" s="18">
        <v>514</v>
      </c>
      <c r="C517" s="19">
        <f>Tableau!$G$17*COS(B517*PI()/180)+Tableau!$G$16</f>
        <v>15506.029768504166</v>
      </c>
      <c r="D517" s="19">
        <f>Tableau!$G$17*SIN(B517*PI()/180)+Tableau!$H$16</f>
        <v>9691.8557339453891</v>
      </c>
      <c r="F517" s="26">
        <v>514</v>
      </c>
      <c r="G517" s="27">
        <f>Tableau!$G$26*COS(F517*PI()/180)+Tableau!$G$25</f>
        <v>-23145.779162047082</v>
      </c>
      <c r="H517" s="27">
        <f>Tableau!$G$26*SIN(F517*PI()/180)+Tableau!$H$25</f>
        <v>11534.299013761773</v>
      </c>
      <c r="J517" s="34">
        <v>514</v>
      </c>
      <c r="K517" s="35">
        <f>Tableau!$G$36*COS(J517*PI()/180)+Tableau!$G$35</f>
        <v>-9493.970231495834</v>
      </c>
      <c r="L517" s="35">
        <f>Tableau!$G$36*SIN(J517*PI()/180)+Tableau!$H$35</f>
        <v>-12808.144266054611</v>
      </c>
      <c r="N517" s="98">
        <v>513</v>
      </c>
      <c r="O517" s="99">
        <v>256.5</v>
      </c>
      <c r="P517" s="101">
        <f>P516+R516*Tableau!$G$2+((1/2)*T516)*Tableau!$G$2^2</f>
        <v>140752.72147649733</v>
      </c>
      <c r="Q517" s="101">
        <f>Q516+S516*Tableau!$G$2+((1/2)*U516)*Tableau!$G$2^2</f>
        <v>18238.996818487853</v>
      </c>
      <c r="R517" s="101">
        <f>R516+T516*Tableau!$G$2</f>
        <v>338.77344784179343</v>
      </c>
      <c r="S517" s="101">
        <f>S516+U516*Tableau!$G$2</f>
        <v>1110.472691964188</v>
      </c>
      <c r="T517" s="101">
        <f t="shared" si="16"/>
        <v>-64.720811311510772</v>
      </c>
      <c r="U517" s="101">
        <f t="shared" si="17"/>
        <v>-8.6522745789307933</v>
      </c>
      <c r="V517" s="101">
        <f>((Tableau!$G$16-P517)/(AC517^2+Tableau!$G$21^2)^(3/2))*Tableau!$G$20</f>
        <v>-35.128130364537931</v>
      </c>
      <c r="W517" s="101">
        <f>((Tableau!$H$16-Q517)/(AC517^2+Tableau!$G$21^2)^(3/2))*Tableau!$G$20</f>
        <v>-3.1240776655921869</v>
      </c>
      <c r="X517" s="101">
        <f>((Tableau!$G$25-P517)/(AD517^2+Tableau!$G$30^2)^(3/2))*Tableau!$G$29</f>
        <v>-6.902974045665534</v>
      </c>
      <c r="Y517" s="101">
        <f>((Tableau!$H$25-Q517)/(AD517^2+Tableau!$G$30^2)^(3/2))*Tableau!$G$29</f>
        <v>-0.35379544854957679</v>
      </c>
      <c r="Z517" s="101">
        <f>((Tableau!$G$35-P517)/(AE517^2+Tableau!$G$40^2)^(3/2))*Tableau!$G$39</f>
        <v>-22.689706901307304</v>
      </c>
      <c r="AA517" s="102">
        <f>((Tableau!$H$35-Q517)/(AE517^2+Tableau!$G$40^2)^(3/2))*Tableau!$G$39</f>
        <v>-5.17440146478903</v>
      </c>
      <c r="AC517" s="113">
        <f>SQRT((Tableau!$G$16-P517)^2+(Tableau!$H$16-Q517)^2)</f>
        <v>121229.31079837099</v>
      </c>
      <c r="AD517" s="114">
        <f>SQRT((Tableau!$G$25-P517)^2+(Tableau!$H$25-Q517)^2)</f>
        <v>160963.71805681981</v>
      </c>
      <c r="AE517" s="115">
        <f>SQRT((Tableau!$G$35-P517)^2+(Tableau!$H$35-Q517)^2)</f>
        <v>149494.77157180064</v>
      </c>
    </row>
    <row r="518" spans="2:31" x14ac:dyDescent="0.25">
      <c r="B518" s="20">
        <v>515</v>
      </c>
      <c r="C518" s="21">
        <f>Tableau!$G$17*COS(B518*PI()/180)+Tableau!$G$16</f>
        <v>15468.461064816751</v>
      </c>
      <c r="D518" s="21">
        <f>Tableau!$G$17*SIN(B518*PI()/180)+Tableau!$H$16</f>
        <v>9613.0913087034969</v>
      </c>
      <c r="F518" s="28">
        <v>515</v>
      </c>
      <c r="G518" s="29">
        <f>Tableau!$G$26*COS(F518*PI()/180)+Tableau!$G$25</f>
        <v>-23172.077254628275</v>
      </c>
      <c r="H518" s="29">
        <f>Tableau!$G$26*SIN(F518*PI()/180)+Tableau!$H$25</f>
        <v>11479.163916092448</v>
      </c>
      <c r="J518" s="36">
        <v>515</v>
      </c>
      <c r="K518" s="37">
        <f>Tableau!$G$36*COS(J518*PI()/180)+Tableau!$G$35</f>
        <v>-9531.5389351832491</v>
      </c>
      <c r="L518" s="37">
        <f>Tableau!$G$36*SIN(J518*PI()/180)+Tableau!$H$35</f>
        <v>-12886.908691296503</v>
      </c>
      <c r="N518" s="92">
        <v>514</v>
      </c>
      <c r="O518" s="93">
        <v>257</v>
      </c>
      <c r="P518" s="96">
        <f>P517+R517*Tableau!$G$2+((1/2)*T517)*Tableau!$G$2^2</f>
        <v>140914.01809900429</v>
      </c>
      <c r="Q518" s="96">
        <f>Q517+S517*Tableau!$G$2+((1/2)*U517)*Tableau!$G$2^2</f>
        <v>18793.151630147582</v>
      </c>
      <c r="R518" s="96">
        <f>R517+T517*Tableau!$G$2</f>
        <v>306.41304218603807</v>
      </c>
      <c r="S518" s="96">
        <f>S517+U517*Tableau!$G$2</f>
        <v>1106.1465546747227</v>
      </c>
      <c r="T518" s="96">
        <f t="shared" si="16"/>
        <v>-64.466421354710036</v>
      </c>
      <c r="U518" s="96">
        <f t="shared" si="17"/>
        <v>-8.8757814521667591</v>
      </c>
      <c r="V518" s="96">
        <f>((Tableau!$G$16-P518)/(AC518^2+Tableau!$G$21^2)^(3/2))*Tableau!$G$20</f>
        <v>-34.993305005792244</v>
      </c>
      <c r="W518" s="96">
        <f>((Tableau!$H$16-Q518)/(AC518^2+Tableau!$G$21^2)^(3/2))*Tableau!$G$20</f>
        <v>-3.2683116952315441</v>
      </c>
      <c r="X518" s="96">
        <f>((Tableau!$G$25-P518)/(AD518^2+Tableau!$G$30^2)^(3/2))*Tableau!$G$29</f>
        <v>-6.8854872459986654</v>
      </c>
      <c r="Y518" s="96">
        <f>((Tableau!$H$25-Q518)/(AD518^2+Tableau!$G$30^2)^(3/2))*Tableau!$G$29</f>
        <v>-0.37625766926199322</v>
      </c>
      <c r="Z518" s="96">
        <f>((Tableau!$G$35-P518)/(AE518^2+Tableau!$G$40^2)^(3/2))*Tableau!$G$39</f>
        <v>-22.587629102919127</v>
      </c>
      <c r="AA518" s="97">
        <f>((Tableau!$H$35-Q518)/(AE518^2+Tableau!$G$40^2)^(3/2))*Tableau!$G$39</f>
        <v>-5.2312120876732209</v>
      </c>
      <c r="AC518" s="110">
        <f>SQRT((Tableau!$G$16-P518)^2+(Tableau!$H$16-Q518)^2)</f>
        <v>121440.25299128721</v>
      </c>
      <c r="AD518" s="111">
        <f>SQRT((Tableau!$G$25-P518)^2+(Tableau!$H$25-Q518)^2)</f>
        <v>161154.09003918406</v>
      </c>
      <c r="AE518" s="112">
        <f>SQRT((Tableau!$G$35-P518)^2+(Tableau!$H$35-Q518)^2)</f>
        <v>149776.09213387393</v>
      </c>
    </row>
    <row r="519" spans="2:31" x14ac:dyDescent="0.25">
      <c r="B519" s="18">
        <v>516</v>
      </c>
      <c r="C519" s="19">
        <f>Tableau!$G$17*COS(B519*PI()/180)+Tableau!$G$16</f>
        <v>15432.272711786998</v>
      </c>
      <c r="D519" s="19">
        <f>Tableau!$G$17*SIN(B519*PI()/180)+Tableau!$H$16</f>
        <v>9533.6832153790056</v>
      </c>
      <c r="F519" s="26">
        <v>516</v>
      </c>
      <c r="G519" s="27">
        <f>Tableau!$G$26*COS(F519*PI()/180)+Tableau!$G$25</f>
        <v>-23197.409101749101</v>
      </c>
      <c r="H519" s="27">
        <f>Tableau!$G$26*SIN(F519*PI()/180)+Tableau!$H$25</f>
        <v>11423.578250765304</v>
      </c>
      <c r="J519" s="34">
        <v>516</v>
      </c>
      <c r="K519" s="35">
        <f>Tableau!$G$36*COS(J519*PI()/180)+Tableau!$G$35</f>
        <v>-9567.7272882130019</v>
      </c>
      <c r="L519" s="35">
        <f>Tableau!$G$36*SIN(J519*PI()/180)+Tableau!$H$35</f>
        <v>-12966.316784620994</v>
      </c>
      <c r="N519" s="98">
        <v>515</v>
      </c>
      <c r="O519" s="99">
        <v>257.5</v>
      </c>
      <c r="P519" s="101">
        <f>P518+R518*Tableau!$G$2+((1/2)*T518)*Tableau!$G$2^2</f>
        <v>141059.16631742797</v>
      </c>
      <c r="Q519" s="101">
        <f>Q518+S518*Tableau!$G$2+((1/2)*U518)*Tableau!$G$2^2</f>
        <v>19345.115434803422</v>
      </c>
      <c r="R519" s="101">
        <f>R518+T518*Tableau!$G$2</f>
        <v>274.17983150868304</v>
      </c>
      <c r="S519" s="101">
        <f>S518+U518*Tableau!$G$2</f>
        <v>1101.7086639486392</v>
      </c>
      <c r="T519" s="101">
        <f t="shared" si="16"/>
        <v>-64.225925498918457</v>
      </c>
      <c r="U519" s="101">
        <f t="shared" si="17"/>
        <v>-9.0985766925345963</v>
      </c>
      <c r="V519" s="101">
        <f>((Tableau!$G$16-P519)/(AC519^2+Tableau!$G$21^2)^(3/2))*Tableau!$G$20</f>
        <v>-34.86647577853298</v>
      </c>
      <c r="W519" s="101">
        <f>((Tableau!$H$16-Q519)/(AC519^2+Tableau!$G$21^2)^(3/2))*Tableau!$G$20</f>
        <v>-3.4115337397796415</v>
      </c>
      <c r="X519" s="101">
        <f>((Tableau!$G$25-P519)/(AD519^2+Tableau!$G$30^2)^(3/2))*Tableau!$G$29</f>
        <v>-6.8692145550995161</v>
      </c>
      <c r="Y519" s="101">
        <f>((Tableau!$H$25-Q519)/(AD519^2+Tableau!$G$30^2)^(3/2))*Tableau!$G$29</f>
        <v>-0.39857155871103322</v>
      </c>
      <c r="Z519" s="101">
        <f>((Tableau!$G$35-P519)/(AE519^2+Tableau!$G$40^2)^(3/2))*Tableau!$G$39</f>
        <v>-22.490235165285956</v>
      </c>
      <c r="AA519" s="102">
        <f>((Tableau!$H$35-Q519)/(AE519^2+Tableau!$G$40^2)^(3/2))*Tableau!$G$39</f>
        <v>-5.2884713940439214</v>
      </c>
      <c r="AC519" s="113">
        <f>SQRT((Tableau!$G$16-P519)^2+(Tableau!$H$16-Q519)^2)</f>
        <v>121637.28256227408</v>
      </c>
      <c r="AD519" s="114">
        <f>SQRT((Tableau!$G$25-P519)^2+(Tableau!$H$25-Q519)^2)</f>
        <v>161330.05373257247</v>
      </c>
      <c r="AE519" s="115">
        <f>SQRT((Tableau!$G$35-P519)^2+(Tableau!$H$35-Q519)^2)</f>
        <v>150042.88393513387</v>
      </c>
    </row>
    <row r="520" spans="2:31" x14ac:dyDescent="0.25">
      <c r="B520" s="20">
        <v>517</v>
      </c>
      <c r="C520" s="21">
        <f>Tableau!$G$17*COS(B520*PI()/180)+Tableau!$G$16</f>
        <v>15397.475732737799</v>
      </c>
      <c r="D520" s="21">
        <f>Tableau!$G$17*SIN(B520*PI()/180)+Tableau!$H$16</f>
        <v>9453.6556424463706</v>
      </c>
      <c r="F520" s="28">
        <v>517</v>
      </c>
      <c r="G520" s="29">
        <f>Tableau!$G$26*COS(F520*PI()/180)+Tableau!$G$25</f>
        <v>-23221.766987083542</v>
      </c>
      <c r="H520" s="29">
        <f>Tableau!$G$26*SIN(F520*PI()/180)+Tableau!$H$25</f>
        <v>11367.558949712458</v>
      </c>
      <c r="J520" s="36">
        <v>517</v>
      </c>
      <c r="K520" s="37">
        <f>Tableau!$G$36*COS(J520*PI()/180)+Tableau!$G$35</f>
        <v>-9602.5242672622007</v>
      </c>
      <c r="L520" s="37">
        <f>Tableau!$G$36*SIN(J520*PI()/180)+Tableau!$H$35</f>
        <v>-13046.344357553629</v>
      </c>
      <c r="N520" s="92">
        <v>516</v>
      </c>
      <c r="O520" s="93">
        <v>258</v>
      </c>
      <c r="P520" s="96">
        <f>P519+R519*Tableau!$G$2+((1/2)*T519)*Tableau!$G$2^2</f>
        <v>141188.22799249494</v>
      </c>
      <c r="Q520" s="96">
        <f>Q519+S519*Tableau!$G$2+((1/2)*U519)*Tableau!$G$2^2</f>
        <v>19894.832444691172</v>
      </c>
      <c r="R520" s="96">
        <f>R519+T519*Tableau!$G$2</f>
        <v>242.06686875922381</v>
      </c>
      <c r="S520" s="96">
        <f>S519+U519*Tableau!$G$2</f>
        <v>1097.1593756023719</v>
      </c>
      <c r="T520" s="96">
        <f t="shared" si="16"/>
        <v>-63.999073096090711</v>
      </c>
      <c r="U520" s="96">
        <f t="shared" si="17"/>
        <v>-9.3208629949095183</v>
      </c>
      <c r="V520" s="96">
        <f>((Tableau!$G$16-P520)/(AC520^2+Tableau!$G$21^2)^(3/2))*Tableau!$G$20</f>
        <v>-34.747505719847403</v>
      </c>
      <c r="W520" s="96">
        <f>((Tableau!$H$16-Q520)/(AC520^2+Tableau!$G$21^2)^(3/2))*Tableau!$G$20</f>
        <v>-3.5538890072320291</v>
      </c>
      <c r="X520" s="96">
        <f>((Tableau!$G$25-P520)/(AD520^2+Tableau!$G$30^2)^(3/2))*Tableau!$G$29</f>
        <v>-6.8541410227968322</v>
      </c>
      <c r="Y520" s="96">
        <f>((Tableau!$H$25-Q520)/(AD520^2+Tableau!$G$30^2)^(3/2))*Tableau!$G$29</f>
        <v>-0.42075390875329066</v>
      </c>
      <c r="Z520" s="96">
        <f>((Tableau!$G$35-P520)/(AE520^2+Tableau!$G$40^2)^(3/2))*Tableau!$G$39</f>
        <v>-22.397426353446477</v>
      </c>
      <c r="AA520" s="97">
        <f>((Tableau!$H$35-Q520)/(AE520^2+Tableau!$G$40^2)^(3/2))*Tableau!$G$39</f>
        <v>-5.3462200789241994</v>
      </c>
      <c r="AC520" s="110">
        <f>SQRT((Tableau!$G$16-P520)^2+(Tableau!$H$16-Q520)^2)</f>
        <v>121820.43537638873</v>
      </c>
      <c r="AD520" s="111">
        <f>SQRT((Tableau!$G$25-P520)^2+(Tableau!$H$25-Q520)^2)</f>
        <v>161491.64855332006</v>
      </c>
      <c r="AE520" s="112">
        <f>SQRT((Tableau!$G$35-P520)^2+(Tableau!$H$35-Q520)^2)</f>
        <v>150295.20063837286</v>
      </c>
    </row>
    <row r="521" spans="2:31" x14ac:dyDescent="0.25">
      <c r="B521" s="18">
        <v>518</v>
      </c>
      <c r="C521" s="19">
        <f>Tableau!$G$17*COS(B521*PI()/180)+Tableau!$G$16</f>
        <v>15364.080727166067</v>
      </c>
      <c r="D521" s="19">
        <f>Tableau!$G$17*SIN(B521*PI()/180)+Tableau!$H$16</f>
        <v>9373.0329670795672</v>
      </c>
      <c r="F521" s="26">
        <v>518</v>
      </c>
      <c r="G521" s="27">
        <f>Tableau!$G$26*COS(F521*PI()/180)+Tableau!$G$25</f>
        <v>-23245.143490983755</v>
      </c>
      <c r="H521" s="27">
        <f>Tableau!$G$26*SIN(F521*PI()/180)+Tableau!$H$25</f>
        <v>11311.123076955697</v>
      </c>
      <c r="J521" s="34">
        <v>518</v>
      </c>
      <c r="K521" s="35">
        <f>Tableau!$G$36*COS(J521*PI()/180)+Tableau!$G$35</f>
        <v>-9635.9192728339331</v>
      </c>
      <c r="L521" s="35">
        <f>Tableau!$G$36*SIN(J521*PI()/180)+Tableau!$H$35</f>
        <v>-13126.967032920433</v>
      </c>
      <c r="N521" s="98">
        <v>517</v>
      </c>
      <c r="O521" s="99">
        <v>258.5</v>
      </c>
      <c r="P521" s="101">
        <f>P520+R520*Tableau!$G$2+((1/2)*T520)*Tableau!$G$2^2</f>
        <v>141301.26154273754</v>
      </c>
      <c r="Q521" s="101">
        <f>Q520+S520*Tableau!$G$2+((1/2)*U520)*Tableau!$G$2^2</f>
        <v>20442.247024617995</v>
      </c>
      <c r="R521" s="101">
        <f>R520+T520*Tableau!$G$2</f>
        <v>210.06733221117844</v>
      </c>
      <c r="S521" s="101">
        <f>S520+U520*Tableau!$G$2</f>
        <v>1092.4989441049172</v>
      </c>
      <c r="T521" s="101">
        <f t="shared" si="16"/>
        <v>-63.785630295977271</v>
      </c>
      <c r="U521" s="101">
        <f t="shared" si="17"/>
        <v>-9.5428389724073206</v>
      </c>
      <c r="V521" s="101">
        <f>((Tableau!$G$16-P521)/(AC521^2+Tableau!$G$21^2)^(3/2))*Tableau!$G$20</f>
        <v>-34.636267668354435</v>
      </c>
      <c r="W521" s="101">
        <f>((Tableau!$H$16-Q521)/(AC521^2+Tableau!$G$21^2)^(3/2))*Tableau!$G$20</f>
        <v>-3.6955191271171999</v>
      </c>
      <c r="X521" s="101">
        <f>((Tableau!$G$25-P521)/(AD521^2+Tableau!$G$30^2)^(3/2))*Tableau!$G$29</f>
        <v>-6.8402529410103634</v>
      </c>
      <c r="Y521" s="101">
        <f>((Tableau!$H$25-Q521)/(AD521^2+Tableau!$G$30^2)^(3/2))*Tableau!$G$29</f>
        <v>-0.44282115488585228</v>
      </c>
      <c r="Z521" s="101">
        <f>((Tableau!$G$35-P521)/(AE521^2+Tableau!$G$40^2)^(3/2))*Tableau!$G$39</f>
        <v>-22.309109686612469</v>
      </c>
      <c r="AA521" s="102">
        <f>((Tableau!$H$35-Q521)/(AE521^2+Tableau!$G$40^2)^(3/2))*Tableau!$G$39</f>
        <v>-5.4044986904042673</v>
      </c>
      <c r="AC521" s="113">
        <f>SQRT((Tableau!$G$16-P521)^2+(Tableau!$H$16-Q521)^2)</f>
        <v>121989.74469153484</v>
      </c>
      <c r="AD521" s="114">
        <f>SQRT((Tableau!$G$25-P521)^2+(Tableau!$H$25-Q521)^2)</f>
        <v>161638.9108420425</v>
      </c>
      <c r="AE521" s="115">
        <f>SQRT((Tableau!$G$35-P521)^2+(Tableau!$H$35-Q521)^2)</f>
        <v>150533.09271768297</v>
      </c>
    </row>
    <row r="522" spans="2:31" x14ac:dyDescent="0.25">
      <c r="B522" s="20">
        <v>519</v>
      </c>
      <c r="C522" s="21">
        <f>Tableau!$G$17*COS(B522*PI()/180)+Tableau!$G$16</f>
        <v>15332.097867513992</v>
      </c>
      <c r="D522" s="21">
        <f>Tableau!$G$17*SIN(B522*PI()/180)+Tableau!$H$16</f>
        <v>9291.8397477265044</v>
      </c>
      <c r="F522" s="28">
        <v>519</v>
      </c>
      <c r="G522" s="29">
        <f>Tableau!$G$26*COS(F522*PI()/180)+Tableau!$G$25</f>
        <v>-23267.531492740207</v>
      </c>
      <c r="H522" s="29">
        <f>Tableau!$G$26*SIN(F522*PI()/180)+Tableau!$H$25</f>
        <v>11254.287823408553</v>
      </c>
      <c r="J522" s="36">
        <v>519</v>
      </c>
      <c r="K522" s="37">
        <f>Tableau!$G$36*COS(J522*PI()/180)+Tableau!$G$35</f>
        <v>-9667.9021324860078</v>
      </c>
      <c r="L522" s="37">
        <f>Tableau!$G$36*SIN(J522*PI()/180)+Tableau!$H$35</f>
        <v>-13208.160252273496</v>
      </c>
      <c r="N522" s="92">
        <v>518</v>
      </c>
      <c r="O522" s="93">
        <v>259</v>
      </c>
      <c r="P522" s="96">
        <f>P521+R521*Tableau!$G$2+((1/2)*T521)*Tableau!$G$2^2</f>
        <v>141398.32200505614</v>
      </c>
      <c r="Q522" s="96">
        <f>Q521+S521*Tableau!$G$2+((1/2)*U521)*Tableau!$G$2^2</f>
        <v>20987.303641798902</v>
      </c>
      <c r="R522" s="96">
        <f>R521+T521*Tableau!$G$2</f>
        <v>178.1745170631898</v>
      </c>
      <c r="S522" s="96">
        <f>S521+U521*Tableau!$G$2</f>
        <v>1087.7275246187135</v>
      </c>
      <c r="T522" s="96">
        <f t="shared" si="16"/>
        <v>-63.585379442656389</v>
      </c>
      <c r="U522" s="96">
        <f t="shared" si="17"/>
        <v>-9.7646996637203642</v>
      </c>
      <c r="V522" s="96">
        <f>((Tableau!$G$16-P522)/(AC522^2+Tableau!$G$21^2)^(3/2))*Tableau!$G$20</f>
        <v>-34.532643933606032</v>
      </c>
      <c r="W522" s="96">
        <f>((Tableau!$H$16-Q522)/(AC522^2+Tableau!$G$21^2)^(3/2))*Tableau!$G$20</f>
        <v>-3.8365625372257721</v>
      </c>
      <c r="X522" s="96">
        <f>((Tableau!$G$25-P522)/(AD522^2+Tableau!$G$30^2)^(3/2))*Tableau!$G$29</f>
        <v>-6.8275378114306662</v>
      </c>
      <c r="Y522" s="96">
        <f>((Tableau!$H$25-Q522)/(AD522^2+Tableau!$G$30^2)^(3/2))*Tableau!$G$29</f>
        <v>-0.46478941124122602</v>
      </c>
      <c r="Z522" s="96">
        <f>((Tableau!$G$35-P522)/(AE522^2+Tableau!$G$40^2)^(3/2))*Tableau!$G$39</f>
        <v>-22.225197697619695</v>
      </c>
      <c r="AA522" s="97">
        <f>((Tableau!$H$35-Q522)/(AE522^2+Tableau!$G$40^2)^(3/2))*Tableau!$G$39</f>
        <v>-5.4633477152533656</v>
      </c>
      <c r="AC522" s="110">
        <f>SQRT((Tableau!$G$16-P522)^2+(Tableau!$H$16-Q522)^2)</f>
        <v>122145.2411892063</v>
      </c>
      <c r="AD522" s="111">
        <f>SQRT((Tableau!$G$25-P522)^2+(Tableau!$H$25-Q522)^2)</f>
        <v>161771.87390694613</v>
      </c>
      <c r="AE522" s="112">
        <f>SQRT((Tableau!$G$35-P522)^2+(Tableau!$H$35-Q522)^2)</f>
        <v>150756.60751457341</v>
      </c>
    </row>
    <row r="523" spans="2:31" x14ac:dyDescent="0.25">
      <c r="B523" s="18">
        <v>520</v>
      </c>
      <c r="C523" s="19">
        <f>Tableau!$G$17*COS(B523*PI()/180)+Tableau!$G$16</f>
        <v>15301.536896070458</v>
      </c>
      <c r="D523" s="19">
        <f>Tableau!$G$17*SIN(B523*PI()/180)+Tableau!$H$16</f>
        <v>9210.1007166283434</v>
      </c>
      <c r="F523" s="26">
        <v>520</v>
      </c>
      <c r="G523" s="27">
        <f>Tableau!$G$26*COS(F523*PI()/180)+Tableau!$G$25</f>
        <v>-23288.924172750681</v>
      </c>
      <c r="H523" s="27">
        <f>Tableau!$G$26*SIN(F523*PI()/180)+Tableau!$H$25</f>
        <v>11197.070501639841</v>
      </c>
      <c r="J523" s="34">
        <v>520</v>
      </c>
      <c r="K523" s="35">
        <f>Tableau!$G$36*COS(J523*PI()/180)+Tableau!$G$35</f>
        <v>-9698.4631039295418</v>
      </c>
      <c r="L523" s="35">
        <f>Tableau!$G$36*SIN(J523*PI()/180)+Tableau!$H$35</f>
        <v>-13289.899283371657</v>
      </c>
      <c r="N523" s="98">
        <v>519</v>
      </c>
      <c r="O523" s="99">
        <v>259.5</v>
      </c>
      <c r="P523" s="101">
        <f>P522+R522*Tableau!$G$2+((1/2)*T522)*Tableau!$G$2^2</f>
        <v>141479.4610911574</v>
      </c>
      <c r="Q523" s="101">
        <f>Q522+S522*Tableau!$G$2+((1/2)*U522)*Tableau!$G$2^2</f>
        <v>21529.946816650292</v>
      </c>
      <c r="R523" s="101">
        <f>R522+T522*Tableau!$G$2</f>
        <v>146.38182734186159</v>
      </c>
      <c r="S523" s="101">
        <f>S522+U522*Tableau!$G$2</f>
        <v>1082.8451747868532</v>
      </c>
      <c r="T523" s="101">
        <f t="shared" si="16"/>
        <v>-63.398118519487028</v>
      </c>
      <c r="U523" s="101">
        <f t="shared" si="17"/>
        <v>-9.9866370199702885</v>
      </c>
      <c r="V523" s="101">
        <f>((Tableau!$G$16-P523)/(AC523^2+Tableau!$G$21^2)^(3/2))*Tableau!$G$20</f>
        <v>-34.436525993389438</v>
      </c>
      <c r="W523" s="101">
        <f>((Tableau!$H$16-Q523)/(AC523^2+Tableau!$G$21^2)^(3/2))*Tableau!$G$20</f>
        <v>-3.9771548531558114</v>
      </c>
      <c r="X523" s="101">
        <f>((Tableau!$G$25-P523)/(AD523^2+Tableau!$G$30^2)^(3/2))*Tableau!$G$29</f>
        <v>-6.8159843163371399</v>
      </c>
      <c r="Y523" s="101">
        <f>((Tableau!$H$25-Q523)/(AD523^2+Tableau!$G$30^2)^(3/2))*Tableau!$G$29</f>
        <v>-0.48667450423385877</v>
      </c>
      <c r="Z523" s="101">
        <f>((Tableau!$G$35-P523)/(AE523^2+Tableau!$G$40^2)^(3/2))*Tableau!$G$39</f>
        <v>-22.145608209760457</v>
      </c>
      <c r="AA523" s="102">
        <f>((Tableau!$H$35-Q523)/(AE523^2+Tableau!$G$40^2)^(3/2))*Tableau!$G$39</f>
        <v>-5.5228076625806182</v>
      </c>
      <c r="AC523" s="113">
        <f>SQRT((Tableau!$G$16-P523)^2+(Tableau!$H$16-Q523)^2)</f>
        <v>122286.95300266525</v>
      </c>
      <c r="AD523" s="114">
        <f>SQRT((Tableau!$G$25-P523)^2+(Tableau!$H$25-Q523)^2)</f>
        <v>161890.56806338471</v>
      </c>
      <c r="AE523" s="115">
        <f>SQRT((Tableau!$G$35-P523)^2+(Tableau!$H$35-Q523)^2)</f>
        <v>150965.78929010106</v>
      </c>
    </row>
    <row r="524" spans="2:31" x14ac:dyDescent="0.25">
      <c r="B524" s="20">
        <v>521</v>
      </c>
      <c r="C524" s="21">
        <f>Tableau!$G$17*COS(B524*PI()/180)+Tableau!$G$16</f>
        <v>15272.407122003417</v>
      </c>
      <c r="D524" s="21">
        <f>Tableau!$G$17*SIN(B524*PI()/180)+Tableau!$H$16</f>
        <v>9127.8407722857883</v>
      </c>
      <c r="F524" s="28">
        <v>521</v>
      </c>
      <c r="G524" s="29">
        <f>Tableau!$G$26*COS(F524*PI()/180)+Tableau!$G$25</f>
        <v>-23309.315014597607</v>
      </c>
      <c r="H524" s="29">
        <f>Tableau!$G$26*SIN(F524*PI()/180)+Tableau!$H$25</f>
        <v>11139.488540600052</v>
      </c>
      <c r="J524" s="36">
        <v>521</v>
      </c>
      <c r="K524" s="37">
        <f>Tableau!$G$36*COS(J524*PI()/180)+Tableau!$G$35</f>
        <v>-9727.5928779965834</v>
      </c>
      <c r="L524" s="37">
        <f>Tableau!$G$36*SIN(J524*PI()/180)+Tableau!$H$35</f>
        <v>-13372.159227714212</v>
      </c>
      <c r="N524" s="92">
        <v>520</v>
      </c>
      <c r="O524" s="93">
        <v>260</v>
      </c>
      <c r="P524" s="96">
        <f>P523+R523*Tableau!$G$2+((1/2)*T523)*Tableau!$G$2^2</f>
        <v>141544.7272400134</v>
      </c>
      <c r="Q524" s="96">
        <f>Q523+S523*Tableau!$G$2+((1/2)*U523)*Tableau!$G$2^2</f>
        <v>22070.121074416224</v>
      </c>
      <c r="R524" s="96">
        <f>R523+T523*Tableau!$G$2</f>
        <v>114.68276808211809</v>
      </c>
      <c r="S524" s="96">
        <f>S523+U523*Tableau!$G$2</f>
        <v>1077.8518562768681</v>
      </c>
      <c r="T524" s="96">
        <f t="shared" si="16"/>
        <v>-63.223660639841086</v>
      </c>
      <c r="U524" s="96">
        <f t="shared" si="17"/>
        <v>-10.208840373504913</v>
      </c>
      <c r="V524" s="96">
        <f>((Tableau!$G$16-P524)/(AC524^2+Tableau!$G$21^2)^(3/2))*Tableau!$G$20</f>
        <v>-34.347814217511441</v>
      </c>
      <c r="W524" s="96">
        <f>((Tableau!$H$16-Q524)/(AC524^2+Tableau!$G$21^2)^(3/2))*Tableau!$G$20</f>
        <v>-4.117429222597691</v>
      </c>
      <c r="X524" s="96">
        <f>((Tableau!$G$25-P524)/(AD524^2+Tableau!$G$30^2)^(3/2))*Tableau!$G$29</f>
        <v>-6.8055822924214269</v>
      </c>
      <c r="Y524" s="96">
        <f>((Tableau!$H$25-Q524)/(AD524^2+Tableau!$G$30^2)^(3/2))*Tableau!$G$29</f>
        <v>-0.50849200499985892</v>
      </c>
      <c r="Z524" s="96">
        <f>((Tableau!$G$35-P524)/(AE524^2+Tableau!$G$40^2)^(3/2))*Tableau!$G$39</f>
        <v>-22.070264129908214</v>
      </c>
      <c r="AA524" s="97">
        <f>((Tableau!$H$35-Q524)/(AE524^2+Tableau!$G$40^2)^(3/2))*Tableau!$G$39</f>
        <v>-5.582919145907363</v>
      </c>
      <c r="AC524" s="110">
        <f>SQRT((Tableau!$G$16-P524)^2+(Tableau!$H$16-Q524)^2)</f>
        <v>122414.90574261127</v>
      </c>
      <c r="AD524" s="111">
        <f>SQRT((Tableau!$G$25-P524)^2+(Tableau!$H$25-Q524)^2)</f>
        <v>161995.02066977674</v>
      </c>
      <c r="AE524" s="112">
        <f>SQRT((Tableau!$G$35-P524)^2+(Tableau!$H$35-Q524)^2)</f>
        <v>151160.67927315555</v>
      </c>
    </row>
    <row r="525" spans="2:31" x14ac:dyDescent="0.25">
      <c r="B525" s="18">
        <v>522</v>
      </c>
      <c r="C525" s="19">
        <f>Tableau!$G$17*COS(B525*PI()/180)+Tableau!$G$16</f>
        <v>15244.717418524233</v>
      </c>
      <c r="D525" s="19">
        <f>Tableau!$G$17*SIN(B525*PI()/180)+Tableau!$H$16</f>
        <v>9045.0849718747395</v>
      </c>
      <c r="F525" s="26">
        <v>522</v>
      </c>
      <c r="G525" s="27">
        <f>Tableau!$G$26*COS(F525*PI()/180)+Tableau!$G$25</f>
        <v>-23328.697807033037</v>
      </c>
      <c r="H525" s="27">
        <f>Tableau!$G$26*SIN(F525*PI()/180)+Tableau!$H$25</f>
        <v>11081.559480312317</v>
      </c>
      <c r="J525" s="34">
        <v>522</v>
      </c>
      <c r="K525" s="35">
        <f>Tableau!$G$36*COS(J525*PI()/180)+Tableau!$G$35</f>
        <v>-9755.2825814757671</v>
      </c>
      <c r="L525" s="35">
        <f>Tableau!$G$36*SIN(J525*PI()/180)+Tableau!$H$35</f>
        <v>-13454.915028125261</v>
      </c>
      <c r="N525" s="98">
        <v>521</v>
      </c>
      <c r="O525" s="99">
        <v>260.5</v>
      </c>
      <c r="P525" s="101">
        <f>P524+R524*Tableau!$G$2+((1/2)*T524)*Tableau!$G$2^2</f>
        <v>141594.16566647447</v>
      </c>
      <c r="Q525" s="101">
        <f>Q524+S524*Tableau!$G$2+((1/2)*U524)*Tableau!$G$2^2</f>
        <v>22607.770897507969</v>
      </c>
      <c r="R525" s="101">
        <f>R524+T524*Tableau!$G$2</f>
        <v>83.070937762197545</v>
      </c>
      <c r="S525" s="101">
        <f>S524+U524*Tableau!$G$2</f>
        <v>1072.7474360901158</v>
      </c>
      <c r="T525" s="101">
        <f t="shared" si="16"/>
        <v>-63.061833581232221</v>
      </c>
      <c r="U525" s="101">
        <f t="shared" si="17"/>
        <v>-10.431496890920499</v>
      </c>
      <c r="V525" s="101">
        <f>((Tableau!$G$16-P525)/(AC525^2+Tableau!$G$21^2)^(3/2))*Tableau!$G$20</f>
        <v>-34.266417616791301</v>
      </c>
      <c r="W525" s="101">
        <f>((Tableau!$H$16-Q525)/(AC525^2+Tableau!$G$21^2)^(3/2))*Tableau!$G$20</f>
        <v>-4.2575166661598267</v>
      </c>
      <c r="X525" s="101">
        <f>((Tableau!$G$25-P525)/(AD525^2+Tableau!$G$30^2)^(3/2))*Tableau!$G$29</f>
        <v>-6.7963227075030357</v>
      </c>
      <c r="Y525" s="101">
        <f>((Tableau!$H$25-Q525)/(AD525^2+Tableau!$G$30^2)^(3/2))*Tableau!$G$29</f>
        <v>-0.53025726076387969</v>
      </c>
      <c r="Z525" s="101">
        <f>((Tableau!$G$35-P525)/(AE525^2+Tableau!$G$40^2)^(3/2))*Tableau!$G$39</f>
        <v>-21.999093256937879</v>
      </c>
      <c r="AA525" s="102">
        <f>((Tableau!$H$35-Q525)/(AE525^2+Tableau!$G$40^2)^(3/2))*Tableau!$G$39</f>
        <v>-5.643722963996793</v>
      </c>
      <c r="AC525" s="113">
        <f>SQRT((Tableau!$G$16-P525)^2+(Tableau!$H$16-Q525)^2)</f>
        <v>122529.1225203936</v>
      </c>
      <c r="AD525" s="114">
        <f>SQRT((Tableau!$G$25-P525)^2+(Tableau!$H$25-Q525)^2)</f>
        <v>162085.25615998526</v>
      </c>
      <c r="AE525" s="115">
        <f>SQRT((Tableau!$G$35-P525)^2+(Tableau!$H$35-Q525)^2)</f>
        <v>151341.31570502883</v>
      </c>
    </row>
    <row r="526" spans="2:31" x14ac:dyDescent="0.25">
      <c r="B526" s="20">
        <v>523</v>
      </c>
      <c r="C526" s="21">
        <f>Tableau!$G$17*COS(B526*PI()/180)+Tableau!$G$16</f>
        <v>15218.476220184823</v>
      </c>
      <c r="D526" s="21">
        <f>Tableau!$G$17*SIN(B526*PI()/180)+Tableau!$H$16</f>
        <v>8961.8585236136823</v>
      </c>
      <c r="F526" s="28">
        <v>523</v>
      </c>
      <c r="G526" s="29">
        <f>Tableau!$G$26*COS(F526*PI()/180)+Tableau!$G$25</f>
        <v>-23347.066645870626</v>
      </c>
      <c r="H526" s="29">
        <f>Tableau!$G$26*SIN(F526*PI()/180)+Tableau!$H$25</f>
        <v>11023.300966529578</v>
      </c>
      <c r="J526" s="36">
        <v>523</v>
      </c>
      <c r="K526" s="37">
        <f>Tableau!$G$36*COS(J526*PI()/180)+Tableau!$G$35</f>
        <v>-9781.5237798151775</v>
      </c>
      <c r="L526" s="37">
        <f>Tableau!$G$36*SIN(J526*PI()/180)+Tableau!$H$35</f>
        <v>-13538.141476386318</v>
      </c>
      <c r="N526" s="92">
        <v>522</v>
      </c>
      <c r="O526" s="93">
        <v>261</v>
      </c>
      <c r="P526" s="96">
        <f>P525+R525*Tableau!$G$2+((1/2)*T525)*Tableau!$G$2^2</f>
        <v>141627.81840615792</v>
      </c>
      <c r="Q526" s="96">
        <f>Q525+S525*Tableau!$G$2+((1/2)*U525)*Tableau!$G$2^2</f>
        <v>23142.840678441662</v>
      </c>
      <c r="R526" s="96">
        <f>R525+T525*Tableau!$G$2</f>
        <v>51.540020971581434</v>
      </c>
      <c r="S526" s="96">
        <f>S525+U525*Tableau!$G$2</f>
        <v>1067.5316876446554</v>
      </c>
      <c r="T526" s="96">
        <f t="shared" si="16"/>
        <v>-62.912479360685573</v>
      </c>
      <c r="U526" s="96">
        <f t="shared" si="17"/>
        <v>-10.654792012462678</v>
      </c>
      <c r="V526" s="96">
        <f>((Tableau!$G$16-P526)/(AC526^2+Tableau!$G$21^2)^(3/2))*Tableau!$G$20</f>
        <v>-34.192253616115622</v>
      </c>
      <c r="W526" s="96">
        <f>((Tableau!$H$16-Q526)/(AC526^2+Tableau!$G$21^2)^(3/2))*Tableau!$G$20</f>
        <v>-4.3975464064287433</v>
      </c>
      <c r="X526" s="96">
        <f>((Tableau!$G$25-P526)/(AD526^2+Tableau!$G$30^2)^(3/2))*Tableau!$G$29</f>
        <v>-6.788197640033605</v>
      </c>
      <c r="Y526" s="96">
        <f>((Tableau!$H$25-Q526)/(AD526^2+Tableau!$G$30^2)^(3/2))*Tableau!$G$29</f>
        <v>-0.55198542525979089</v>
      </c>
      <c r="Z526" s="96">
        <f>((Tableau!$G$35-P526)/(AE526^2+Tableau!$G$40^2)^(3/2))*Tableau!$G$39</f>
        <v>-21.93202810453635</v>
      </c>
      <c r="AA526" s="97">
        <f>((Tableau!$H$35-Q526)/(AE526^2+Tableau!$G$40^2)^(3/2))*Tableau!$G$39</f>
        <v>-5.7052601807741432</v>
      </c>
      <c r="AC526" s="110">
        <f>SQRT((Tableau!$G$16-P526)^2+(Tableau!$H$16-Q526)^2)</f>
        <v>122629.62396881284</v>
      </c>
      <c r="AD526" s="111">
        <f>SQRT((Tableau!$G$25-P526)^2+(Tableau!$H$25-Q526)^2)</f>
        <v>162161.29607225291</v>
      </c>
      <c r="AE526" s="112">
        <f>SQRT((Tableau!$G$35-P526)^2+(Tableau!$H$35-Q526)^2)</f>
        <v>151507.73388038715</v>
      </c>
    </row>
    <row r="527" spans="2:31" x14ac:dyDescent="0.25">
      <c r="B527" s="18">
        <v>524</v>
      </c>
      <c r="C527" s="19">
        <f>Tableau!$G$17*COS(B527*PI()/180)+Tableau!$G$16</f>
        <v>15193.691520308405</v>
      </c>
      <c r="D527" s="19">
        <f>Tableau!$G$17*SIN(B527*PI()/180)+Tableau!$H$16</f>
        <v>8878.1867790849901</v>
      </c>
      <c r="F527" s="26">
        <v>524</v>
      </c>
      <c r="G527" s="27">
        <f>Tableau!$G$26*COS(F527*PI()/180)+Tableau!$G$25</f>
        <v>-23364.415935784116</v>
      </c>
      <c r="H527" s="27">
        <f>Tableau!$G$26*SIN(F527*PI()/180)+Tableau!$H$25</f>
        <v>10964.730745359493</v>
      </c>
      <c r="J527" s="34">
        <v>524</v>
      </c>
      <c r="K527" s="35">
        <f>Tableau!$G$36*COS(J527*PI()/180)+Tableau!$G$35</f>
        <v>-9806.3084796915955</v>
      </c>
      <c r="L527" s="35">
        <f>Tableau!$G$36*SIN(J527*PI()/180)+Tableau!$H$35</f>
        <v>-13621.81322091501</v>
      </c>
      <c r="N527" s="98">
        <v>523</v>
      </c>
      <c r="O527" s="99">
        <v>261.5</v>
      </c>
      <c r="P527" s="101">
        <f>P526+R526*Tableau!$G$2+((1/2)*T526)*Tableau!$G$2^2</f>
        <v>141645.72435672363</v>
      </c>
      <c r="Q527" s="101">
        <f>Q526+S526*Tableau!$G$2+((1/2)*U526)*Tableau!$G$2^2</f>
        <v>23675.274673262429</v>
      </c>
      <c r="R527" s="101">
        <f>R526+T526*Tableau!$G$2</f>
        <v>20.083781291238648</v>
      </c>
      <c r="S527" s="101">
        <f>S526+U526*Tableau!$G$2</f>
        <v>1062.2042916384241</v>
      </c>
      <c r="T527" s="101">
        <f t="shared" si="16"/>
        <v>-62.775453849404173</v>
      </c>
      <c r="U527" s="101">
        <f t="shared" si="17"/>
        <v>-10.878909879846681</v>
      </c>
      <c r="V527" s="101">
        <f>((Tableau!$G$16-P527)/(AC527^2+Tableau!$G$21^2)^(3/2))*Tableau!$G$20</f>
        <v>-34.125247850529554</v>
      </c>
      <c r="W527" s="101">
        <f>((Tableau!$H$16-Q527)/(AC527^2+Tableau!$G$21^2)^(3/2))*Tableau!$G$20</f>
        <v>-4.537646186862994</v>
      </c>
      <c r="X527" s="101">
        <f>((Tableau!$G$25-P527)/(AD527^2+Tableau!$G$30^2)^(3/2))*Tableau!$G$29</f>
        <v>-6.7812002613022191</v>
      </c>
      <c r="Y527" s="101">
        <f>((Tableau!$H$25-Q527)/(AD527^2+Tableau!$G$30^2)^(3/2))*Tableau!$G$29</f>
        <v>-0.57369148832577532</v>
      </c>
      <c r="Z527" s="101">
        <f>((Tableau!$G$35-P527)/(AE527^2+Tableau!$G$40^2)^(3/2))*Tableau!$G$39</f>
        <v>-21.869005737572405</v>
      </c>
      <c r="AA527" s="102">
        <f>((Tableau!$H$35-Q527)/(AE527^2+Tableau!$G$40^2)^(3/2))*Tableau!$G$39</f>
        <v>-5.7675722046579105</v>
      </c>
      <c r="AC527" s="113">
        <f>SQRT((Tableau!$G$16-P527)^2+(Tableau!$H$16-Q527)^2)</f>
        <v>122716.42826055308</v>
      </c>
      <c r="AD527" s="114">
        <f>SQRT((Tableau!$G$25-P527)^2+(Tableau!$H$25-Q527)^2)</f>
        <v>162223.15907477282</v>
      </c>
      <c r="AE527" s="115">
        <f>SQRT((Tableau!$G$35-P527)^2+(Tableau!$H$35-Q527)^2)</f>
        <v>151659.96618475314</v>
      </c>
    </row>
    <row r="528" spans="2:31" x14ac:dyDescent="0.25">
      <c r="B528" s="20">
        <v>525</v>
      </c>
      <c r="C528" s="21">
        <f>Tableau!$G$17*COS(B528*PI()/180)+Tableau!$G$16</f>
        <v>15170.370868554659</v>
      </c>
      <c r="D528" s="21">
        <f>Tableau!$G$17*SIN(B528*PI()/180)+Tableau!$H$16</f>
        <v>8794.0952255126031</v>
      </c>
      <c r="F528" s="28">
        <v>525</v>
      </c>
      <c r="G528" s="29">
        <f>Tableau!$G$26*COS(F528*PI()/180)+Tableau!$G$25</f>
        <v>-23380.740392011739</v>
      </c>
      <c r="H528" s="29">
        <f>Tableau!$G$26*SIN(F528*PI()/180)+Tableau!$H$25</f>
        <v>10905.866657858824</v>
      </c>
      <c r="J528" s="36">
        <v>525</v>
      </c>
      <c r="K528" s="37">
        <f>Tableau!$G$36*COS(J528*PI()/180)+Tableau!$G$35</f>
        <v>-9829.629131445341</v>
      </c>
      <c r="L528" s="37">
        <f>Tableau!$G$36*SIN(J528*PI()/180)+Tableau!$H$35</f>
        <v>-13705.904774487397</v>
      </c>
      <c r="N528" s="92">
        <v>524</v>
      </c>
      <c r="O528" s="93">
        <v>262</v>
      </c>
      <c r="P528" s="96">
        <f>P527+R527*Tableau!$G$2+((1/2)*T527)*Tableau!$G$2^2</f>
        <v>141647.91931563808</v>
      </c>
      <c r="Q528" s="96">
        <f>Q527+S527*Tableau!$G$2+((1/2)*U527)*Tableau!$G$2^2</f>
        <v>24205.016955346659</v>
      </c>
      <c r="R528" s="96">
        <f>R527+T527*Tableau!$G$2</f>
        <v>-11.303945633463439</v>
      </c>
      <c r="S528" s="96">
        <f>S527+U527*Tableau!$G$2</f>
        <v>1056.7648366985009</v>
      </c>
      <c r="T528" s="96">
        <f t="shared" si="16"/>
        <v>-62.65062642499062</v>
      </c>
      <c r="U528" s="96">
        <f t="shared" si="17"/>
        <v>-11.104033754443444</v>
      </c>
      <c r="V528" s="96">
        <f>((Tableau!$G$16-P528)/(AC528^2+Tableau!$G$21^2)^(3/2))*Tableau!$G$20</f>
        <v>-34.065333983450245</v>
      </c>
      <c r="W528" s="96">
        <f>((Tableau!$H$16-Q528)/(AC528^2+Tableau!$G$21^2)^(3/2))*Tableau!$G$20</f>
        <v>-4.6779425820391243</v>
      </c>
      <c r="X528" s="96">
        <f>((Tableau!$G$25-P528)/(AD528^2+Tableau!$G$30^2)^(3/2))*Tableau!$G$29</f>
        <v>-6.7753248202646219</v>
      </c>
      <c r="Y528" s="96">
        <f>((Tableau!$H$25-Q528)/(AD528^2+Tableau!$G$30^2)^(3/2))*Tableau!$G$29</f>
        <v>-0.59539030478896637</v>
      </c>
      <c r="Z528" s="96">
        <f>((Tableau!$G$35-P528)/(AE528^2+Tableau!$G$40^2)^(3/2))*Tableau!$G$39</f>
        <v>-21.809967621275753</v>
      </c>
      <c r="AA528" s="97">
        <f>((Tableau!$H$35-Q528)/(AE528^2+Tableau!$G$40^2)^(3/2))*Tableau!$G$39</f>
        <v>-5.8307008676153531</v>
      </c>
      <c r="AC528" s="110">
        <f>SQRT((Tableau!$G$16-P528)^2+(Tableau!$H$16-Q528)^2)</f>
        <v>122789.55112428097</v>
      </c>
      <c r="AD528" s="111">
        <f>SQRT((Tableau!$G$25-P528)^2+(Tableau!$H$25-Q528)^2)</f>
        <v>162270.86098796889</v>
      </c>
      <c r="AE528" s="112">
        <f>SQRT((Tableau!$G$35-P528)^2+(Tableau!$H$35-Q528)^2)</f>
        <v>151798.0421285957</v>
      </c>
    </row>
    <row r="529" spans="2:31" x14ac:dyDescent="0.25">
      <c r="B529" s="18">
        <v>526</v>
      </c>
      <c r="C529" s="19">
        <f>Tableau!$G$17*COS(B529*PI()/180)+Tableau!$G$16</f>
        <v>15148.521368620017</v>
      </c>
      <c r="D529" s="19">
        <f>Tableau!$G$17*SIN(B529*PI()/180)+Tableau!$H$16</f>
        <v>8709.6094779983359</v>
      </c>
      <c r="F529" s="26">
        <v>526</v>
      </c>
      <c r="G529" s="27">
        <f>Tableau!$G$26*COS(F529*PI()/180)+Tableau!$G$25</f>
        <v>-23396.035041965988</v>
      </c>
      <c r="H529" s="27">
        <f>Tableau!$G$26*SIN(F529*PI()/180)+Tableau!$H$25</f>
        <v>10846.726634598836</v>
      </c>
      <c r="J529" s="34">
        <v>526</v>
      </c>
      <c r="K529" s="35">
        <f>Tableau!$G$36*COS(J529*PI()/180)+Tableau!$G$35</f>
        <v>-9851.4786313799832</v>
      </c>
      <c r="L529" s="35">
        <f>Tableau!$G$36*SIN(J529*PI()/180)+Tableau!$H$35</f>
        <v>-13790.390522001664</v>
      </c>
      <c r="N529" s="98">
        <v>525</v>
      </c>
      <c r="O529" s="99">
        <v>262.5</v>
      </c>
      <c r="P529" s="101">
        <f>P528+R528*Tableau!$G$2+((1/2)*T528)*Tableau!$G$2^2</f>
        <v>141634.43601451823</v>
      </c>
      <c r="Q529" s="101">
        <f>Q528+S528*Tableau!$G$2+((1/2)*U528)*Tableau!$G$2^2</f>
        <v>24732.011369476604</v>
      </c>
      <c r="R529" s="101">
        <f>R528+T528*Tableau!$G$2</f>
        <v>-42.629258845958745</v>
      </c>
      <c r="S529" s="101">
        <f>S528+U528*Tableau!$G$2</f>
        <v>1051.212819821279</v>
      </c>
      <c r="T529" s="101">
        <f t="shared" si="16"/>
        <v>-62.537879659666103</v>
      </c>
      <c r="U529" s="101">
        <f t="shared" si="17"/>
        <v>-11.330346427695966</v>
      </c>
      <c r="V529" s="101">
        <f>((Tableau!$G$16-P529)/(AC529^2+Tableau!$G$21^2)^(3/2))*Tableau!$G$20</f>
        <v>-34.012453546196504</v>
      </c>
      <c r="W529" s="101">
        <f>((Tableau!$H$16-Q529)/(AC529^2+Tableau!$G$21^2)^(3/2))*Tableau!$G$20</f>
        <v>-4.8185613006985619</v>
      </c>
      <c r="X529" s="101">
        <f>((Tableau!$G$25-P529)/(AD529^2+Tableau!$G$30^2)^(3/2))*Tableau!$G$29</f>
        <v>-6.7705666309317651</v>
      </c>
      <c r="Y529" s="101">
        <f>((Tableau!$H$25-Q529)/(AD529^2+Tableau!$G$30^2)^(3/2))*Tableau!$G$29</f>
        <v>-0.61709662275015775</v>
      </c>
      <c r="Z529" s="101">
        <f>((Tableau!$G$35-P529)/(AE529^2+Tableau!$G$40^2)^(3/2))*Tableau!$G$39</f>
        <v>-21.754859482537835</v>
      </c>
      <c r="AA529" s="102">
        <f>((Tableau!$H$35-Q529)/(AE529^2+Tableau!$G$40^2)^(3/2))*Tableau!$G$39</f>
        <v>-5.894688504247247</v>
      </c>
      <c r="AC529" s="113">
        <f>SQRT((Tableau!$G$16-P529)^2+(Tableau!$H$16-Q529)^2)</f>
        <v>122849.00585844275</v>
      </c>
      <c r="AD529" s="114">
        <f>SQRT((Tableau!$G$25-P529)^2+(Tableau!$H$25-Q529)^2)</f>
        <v>162304.41480354677</v>
      </c>
      <c r="AE529" s="115">
        <f>SQRT((Tableau!$G$35-P529)^2+(Tableau!$H$35-Q529)^2)</f>
        <v>151921.98837811482</v>
      </c>
    </row>
    <row r="530" spans="2:31" x14ac:dyDescent="0.25">
      <c r="B530" s="20">
        <v>527</v>
      </c>
      <c r="C530" s="21">
        <f>Tableau!$G$17*COS(B530*PI()/180)+Tableau!$G$16</f>
        <v>15128.149676073825</v>
      </c>
      <c r="D530" s="21">
        <f>Tableau!$G$17*SIN(B530*PI()/180)+Tableau!$H$16</f>
        <v>8624.7552717193266</v>
      </c>
      <c r="F530" s="28">
        <v>527</v>
      </c>
      <c r="G530" s="29">
        <f>Tableau!$G$26*COS(F530*PI()/180)+Tableau!$G$25</f>
        <v>-23410.295226748323</v>
      </c>
      <c r="H530" s="29">
        <f>Tableau!$G$26*SIN(F530*PI()/180)+Tableau!$H$25</f>
        <v>10787.328690203529</v>
      </c>
      <c r="J530" s="36">
        <v>527</v>
      </c>
      <c r="K530" s="37">
        <f>Tableau!$G$36*COS(J530*PI()/180)+Tableau!$G$35</f>
        <v>-9871.8503239261754</v>
      </c>
      <c r="L530" s="37">
        <f>Tableau!$G$36*SIN(J530*PI()/180)+Tableau!$H$35</f>
        <v>-13875.244728280673</v>
      </c>
      <c r="N530" s="92">
        <v>526</v>
      </c>
      <c r="O530" s="93">
        <v>263</v>
      </c>
      <c r="P530" s="96">
        <f>P529+R529*Tableau!$G$2+((1/2)*T529)*Tableau!$G$2^2</f>
        <v>141605.30415013782</v>
      </c>
      <c r="Q530" s="96">
        <f>Q529+S529*Tableau!$G$2+((1/2)*U529)*Tableau!$G$2^2</f>
        <v>25256.201486083784</v>
      </c>
      <c r="R530" s="96">
        <f>R529+T529*Tableau!$G$2</f>
        <v>-73.898198675791804</v>
      </c>
      <c r="S530" s="96">
        <f>S529+U529*Tableau!$G$2</f>
        <v>1045.547646607431</v>
      </c>
      <c r="T530" s="96">
        <f t="shared" si="16"/>
        <v>-62.43710904311088</v>
      </c>
      <c r="U530" s="96">
        <f t="shared" si="17"/>
        <v>-11.558030625564122</v>
      </c>
      <c r="V530" s="96">
        <f>((Tableau!$G$16-P530)/(AC530^2+Tableau!$G$21^2)^(3/2))*Tableau!$G$20</f>
        <v>-33.966555798134742</v>
      </c>
      <c r="W530" s="96">
        <f>((Tableau!$H$16-Q530)/(AC530^2+Tableau!$G$21^2)^(3/2))*Tableau!$G$20</f>
        <v>-4.9596274829867637</v>
      </c>
      <c r="X530" s="96">
        <f>((Tableau!$G$25-P530)/(AD530^2+Tableau!$G$30^2)^(3/2))*Tableau!$G$29</f>
        <v>-6.7669220622651398</v>
      </c>
      <c r="Y530" s="96">
        <f>((Tableau!$H$25-Q530)/(AD530^2+Tableau!$G$30^2)^(3/2))*Tableau!$G$29</f>
        <v>-0.63882511137524778</v>
      </c>
      <c r="Z530" s="96">
        <f>((Tableau!$G$35-P530)/(AE530^2+Tableau!$G$40^2)^(3/2))*Tableau!$G$39</f>
        <v>-21.703631182711</v>
      </c>
      <c r="AA530" s="97">
        <f>((Tableau!$H$35-Q530)/(AE530^2+Tableau!$G$40^2)^(3/2))*Tableau!$G$39</f>
        <v>-5.9595780312021098</v>
      </c>
      <c r="AC530" s="110">
        <f>SQRT((Tableau!$G$16-P530)^2+(Tableau!$H$16-Q530)^2)</f>
        <v>122894.80334278553</v>
      </c>
      <c r="AD530" s="111">
        <f>SQRT((Tableau!$G$25-P530)^2+(Tableau!$H$25-Q530)^2)</f>
        <v>162323.83070037048</v>
      </c>
      <c r="AE530" s="112">
        <f>SQRT((Tableau!$G$35-P530)^2+(Tableau!$H$35-Q530)^2)</f>
        <v>152031.82878279992</v>
      </c>
    </row>
    <row r="531" spans="2:31" x14ac:dyDescent="0.25">
      <c r="B531" s="18">
        <v>528</v>
      </c>
      <c r="C531" s="19">
        <f>Tableau!$G$17*COS(B531*PI()/180)+Tableau!$G$16</f>
        <v>15109.261996330972</v>
      </c>
      <c r="D531" s="19">
        <f>Tableau!$G$17*SIN(B531*PI()/180)+Tableau!$H$16</f>
        <v>8539.5584540887958</v>
      </c>
      <c r="F531" s="26">
        <v>528</v>
      </c>
      <c r="G531" s="27">
        <f>Tableau!$G$26*COS(F531*PI()/180)+Tableau!$G$25</f>
        <v>-23423.516602568321</v>
      </c>
      <c r="H531" s="27">
        <f>Tableau!$G$26*SIN(F531*PI()/180)+Tableau!$H$25</f>
        <v>10727.690917862157</v>
      </c>
      <c r="J531" s="34">
        <v>528</v>
      </c>
      <c r="K531" s="35">
        <f>Tableau!$G$36*COS(J531*PI()/180)+Tableau!$G$35</f>
        <v>-9890.7380036690283</v>
      </c>
      <c r="L531" s="35">
        <f>Tableau!$G$36*SIN(J531*PI()/180)+Tableau!$H$35</f>
        <v>-13960.441545911204</v>
      </c>
      <c r="N531" s="98">
        <v>527</v>
      </c>
      <c r="O531" s="99">
        <v>263.5</v>
      </c>
      <c r="P531" s="101">
        <f>P530+R530*Tableau!$G$2+((1/2)*T530)*Tableau!$G$2^2</f>
        <v>141560.55041216954</v>
      </c>
      <c r="Q531" s="101">
        <f>Q530+S530*Tableau!$G$2+((1/2)*U530)*Tableau!$G$2^2</f>
        <v>25777.530555559304</v>
      </c>
      <c r="R531" s="101">
        <f>R530+T530*Tableau!$G$2</f>
        <v>-105.11675319734724</v>
      </c>
      <c r="S531" s="101">
        <f>S530+U530*Tableau!$G$2</f>
        <v>1039.7686312946489</v>
      </c>
      <c r="T531" s="101">
        <f t="shared" si="16"/>
        <v>-62.348222738709588</v>
      </c>
      <c r="U531" s="101">
        <f t="shared" si="17"/>
        <v>-11.787269408741935</v>
      </c>
      <c r="V531" s="101">
        <f>((Tableau!$G$16-P531)/(AC531^2+Tableau!$G$21^2)^(3/2))*Tableau!$G$20</f>
        <v>-33.927597606827561</v>
      </c>
      <c r="W531" s="101">
        <f>((Tableau!$H$16-Q531)/(AC531^2+Tableau!$G$21^2)^(3/2))*Tableau!$G$20</f>
        <v>-5.101265993226626</v>
      </c>
      <c r="X531" s="101">
        <f>((Tableau!$G$25-P531)/(AD531^2+Tableau!$G$30^2)^(3/2))*Tableau!$G$29</f>
        <v>-6.7643885305358475</v>
      </c>
      <c r="Y531" s="101">
        <f>((Tableau!$H$25-Q531)/(AD531^2+Tableau!$G$30^2)^(3/2))*Tableau!$G$29</f>
        <v>-0.66059038829670358</v>
      </c>
      <c r="Z531" s="101">
        <f>((Tableau!$G$35-P531)/(AE531^2+Tableau!$G$40^2)^(3/2))*Tableau!$G$39</f>
        <v>-21.65623660134618</v>
      </c>
      <c r="AA531" s="102">
        <f>((Tableau!$H$35-Q531)/(AE531^2+Tableau!$G$40^2)^(3/2))*Tableau!$G$39</f>
        <v>-6.0254130272186064</v>
      </c>
      <c r="AC531" s="113">
        <f>SQRT((Tableau!$G$16-P531)^2+(Tableau!$H$16-Q531)^2)</f>
        <v>122926.95204762468</v>
      </c>
      <c r="AD531" s="114">
        <f>SQRT((Tableau!$G$25-P531)^2+(Tableau!$H$25-Q531)^2)</f>
        <v>162329.11605720886</v>
      </c>
      <c r="AE531" s="115">
        <f>SQRT((Tableau!$G$35-P531)^2+(Tableau!$H$35-Q531)^2)</f>
        <v>152127.58439983084</v>
      </c>
    </row>
    <row r="532" spans="2:31" x14ac:dyDescent="0.25">
      <c r="B532" s="20">
        <v>529</v>
      </c>
      <c r="C532" s="21">
        <f>Tableau!$G$17*COS(B532*PI()/180)+Tableau!$G$16</f>
        <v>15091.86408276168</v>
      </c>
      <c r="D532" s="21">
        <f>Tableau!$G$17*SIN(B532*PI()/180)+Tableau!$H$16</f>
        <v>8454.0449768827275</v>
      </c>
      <c r="F532" s="28">
        <v>529</v>
      </c>
      <c r="G532" s="29">
        <f>Tableau!$G$26*COS(F532*PI()/180)+Tableau!$G$25</f>
        <v>-23435.695142066823</v>
      </c>
      <c r="H532" s="29">
        <f>Tableau!$G$26*SIN(F532*PI()/180)+Tableau!$H$25</f>
        <v>10667.83148381791</v>
      </c>
      <c r="J532" s="36">
        <v>529</v>
      </c>
      <c r="K532" s="37">
        <f>Tableau!$G$36*COS(J532*PI()/180)+Tableau!$G$35</f>
        <v>-9908.13591723832</v>
      </c>
      <c r="L532" s="37">
        <f>Tableau!$G$36*SIN(J532*PI()/180)+Tableau!$H$35</f>
        <v>-14045.955023117273</v>
      </c>
      <c r="N532" s="92">
        <v>528</v>
      </c>
      <c r="O532" s="93">
        <v>264</v>
      </c>
      <c r="P532" s="96">
        <f>P531+R531*Tableau!$G$2+((1/2)*T531)*Tableau!$G$2^2</f>
        <v>141500.19850772855</v>
      </c>
      <c r="Q532" s="96">
        <f>Q531+S531*Tableau!$G$2+((1/2)*U531)*Tableau!$G$2^2</f>
        <v>26295.941462530533</v>
      </c>
      <c r="R532" s="96">
        <f>R531+T531*Tableau!$G$2</f>
        <v>-136.29086456670203</v>
      </c>
      <c r="S532" s="96">
        <f>S531+U531*Tableau!$G$2</f>
        <v>1033.874996590278</v>
      </c>
      <c r="T532" s="96">
        <f t="shared" si="16"/>
        <v>-62.271141372146253</v>
      </c>
      <c r="U532" s="96">
        <f t="shared" si="17"/>
        <v>-12.018246570348737</v>
      </c>
      <c r="V532" s="96">
        <f>((Tableau!$G$16-P532)/(AC532^2+Tableau!$G$21^2)^(3/2))*Tableau!$G$20</f>
        <v>-33.895543347674845</v>
      </c>
      <c r="W532" s="96">
        <f>((Tableau!$H$16-Q532)/(AC532^2+Tableau!$G$21^2)^(3/2))*Tableau!$G$20</f>
        <v>-5.2436017095316689</v>
      </c>
      <c r="X532" s="96">
        <f>((Tableau!$G$25-P532)/(AD532^2+Tableau!$G$30^2)^(3/2))*Tableau!$G$29</f>
        <v>-6.7629644941166775</v>
      </c>
      <c r="Y532" s="96">
        <f>((Tableau!$H$25-Q532)/(AD532^2+Tableau!$G$30^2)^(3/2))*Tableau!$G$29</f>
        <v>-0.68240704672585129</v>
      </c>
      <c r="Z532" s="96">
        <f>((Tableau!$G$35-P532)/(AE532^2+Tableau!$G$40^2)^(3/2))*Tableau!$G$39</f>
        <v>-21.612633530354728</v>
      </c>
      <c r="AA532" s="97">
        <f>((Tableau!$H$35-Q532)/(AE532^2+Tableau!$G$40^2)^(3/2))*Tableau!$G$39</f>
        <v>-6.0922378140912166</v>
      </c>
      <c r="AC532" s="110">
        <f>SQRT((Tableau!$G$16-P532)^2+(Tableau!$H$16-Q532)^2)</f>
        <v>122945.45804087403</v>
      </c>
      <c r="AD532" s="111">
        <f>SQRT((Tableau!$G$25-P532)^2+(Tableau!$H$25-Q532)^2)</f>
        <v>162320.27546238934</v>
      </c>
      <c r="AE532" s="112">
        <f>SQRT((Tableau!$G$35-P532)^2+(Tableau!$H$35-Q532)^2)</f>
        <v>152209.27351538284</v>
      </c>
    </row>
    <row r="533" spans="2:31" x14ac:dyDescent="0.25">
      <c r="B533" s="18">
        <v>530</v>
      </c>
      <c r="C533" s="19">
        <f>Tableau!$G$17*COS(B533*PI()/180)+Tableau!$G$16</f>
        <v>15075.961234938961</v>
      </c>
      <c r="D533" s="19">
        <f>Tableau!$G$17*SIN(B533*PI()/180)+Tableau!$H$16</f>
        <v>8368.2408883346525</v>
      </c>
      <c r="F533" s="26">
        <v>530</v>
      </c>
      <c r="G533" s="27">
        <f>Tableau!$G$26*COS(F533*PI()/180)+Tableau!$G$25</f>
        <v>-23446.827135542728</v>
      </c>
      <c r="H533" s="27">
        <f>Tableau!$G$26*SIN(F533*PI()/180)+Tableau!$H$25</f>
        <v>10607.768621834257</v>
      </c>
      <c r="J533" s="34">
        <v>530</v>
      </c>
      <c r="K533" s="35">
        <f>Tableau!$G$36*COS(J533*PI()/180)+Tableau!$G$35</f>
        <v>-9924.0387650610392</v>
      </c>
      <c r="L533" s="35">
        <f>Tableau!$G$36*SIN(J533*PI()/180)+Tableau!$H$35</f>
        <v>-14131.759111665348</v>
      </c>
      <c r="N533" s="98">
        <v>529</v>
      </c>
      <c r="O533" s="99">
        <v>264.5</v>
      </c>
      <c r="P533" s="101">
        <f>P532+R532*Tableau!$G$2+((1/2)*T532)*Tableau!$G$2^2</f>
        <v>141424.26918277369</v>
      </c>
      <c r="Q533" s="101">
        <f>Q532+S532*Tableau!$G$2+((1/2)*U532)*Tableau!$G$2^2</f>
        <v>26811.376680004378</v>
      </c>
      <c r="R533" s="101">
        <f>R532+T532*Tableau!$G$2</f>
        <v>-167.42643525277515</v>
      </c>
      <c r="S533" s="101">
        <f>S532+U532*Tableau!$G$2</f>
        <v>1027.8658733051036</v>
      </c>
      <c r="T533" s="101">
        <f t="shared" si="16"/>
        <v>-62.205797851444579</v>
      </c>
      <c r="U533" s="101">
        <f t="shared" si="17"/>
        <v>-12.251147032767271</v>
      </c>
      <c r="V533" s="101">
        <f>((Tableau!$G$16-P533)/(AC533^2+Tableau!$G$21^2)^(3/2))*Tableau!$G$20</f>
        <v>-33.870364822618079</v>
      </c>
      <c r="W533" s="101">
        <f>((Tableau!$H$16-Q533)/(AC533^2+Tableau!$G$21^2)^(3/2))*Tableau!$G$20</f>
        <v>-5.3867598115347883</v>
      </c>
      <c r="X533" s="101">
        <f>((Tableau!$G$25-P533)/(AD533^2+Tableau!$G$30^2)^(3/2))*Tableau!$G$29</f>
        <v>-6.7626494506858021</v>
      </c>
      <c r="Y533" s="101">
        <f>((Tableau!$H$25-Q533)/(AD533^2+Tableau!$G$30^2)^(3/2))*Tableau!$G$29</f>
        <v>-0.70428968237469969</v>
      </c>
      <c r="Z533" s="101">
        <f>((Tableau!$G$35-P533)/(AE533^2+Tableau!$G$40^2)^(3/2))*Tableau!$G$39</f>
        <v>-21.572783578140701</v>
      </c>
      <c r="AA533" s="102">
        <f>((Tableau!$H$35-Q533)/(AE533^2+Tableau!$G$40^2)^(3/2))*Tableau!$G$39</f>
        <v>-6.1600975388577819</v>
      </c>
      <c r="AC533" s="113">
        <f>SQRT((Tableau!$G$16-P533)^2+(Tableau!$H$16-Q533)^2)</f>
        <v>122950.32499285108</v>
      </c>
      <c r="AD533" s="114">
        <f>SQRT((Tableau!$G$25-P533)^2+(Tableau!$H$25-Q533)^2)</f>
        <v>162297.31072038616</v>
      </c>
      <c r="AE533" s="115">
        <f>SQRT((Tableau!$G$35-P533)^2+(Tableau!$H$35-Q533)^2)</f>
        <v>152276.91166288662</v>
      </c>
    </row>
    <row r="534" spans="2:31" x14ac:dyDescent="0.25">
      <c r="B534" s="20">
        <v>531</v>
      </c>
      <c r="C534" s="21">
        <f>Tableau!$G$17*COS(B534*PI()/180)+Tableau!$G$16</f>
        <v>15061.558297024312</v>
      </c>
      <c r="D534" s="21">
        <f>Tableau!$G$17*SIN(B534*PI()/180)+Tableau!$H$16</f>
        <v>8282.1723252011598</v>
      </c>
      <c r="F534" s="28">
        <v>531</v>
      </c>
      <c r="G534" s="29">
        <f>Tableau!$G$26*COS(F534*PI()/180)+Tableau!$G$25</f>
        <v>-23456.909192082981</v>
      </c>
      <c r="H534" s="29">
        <f>Tableau!$G$26*SIN(F534*PI()/180)+Tableau!$H$25</f>
        <v>10547.520627640812</v>
      </c>
      <c r="J534" s="36">
        <v>531</v>
      </c>
      <c r="K534" s="37">
        <f>Tableau!$G$36*COS(J534*PI()/180)+Tableau!$G$35</f>
        <v>-9938.4417029756878</v>
      </c>
      <c r="L534" s="37">
        <f>Tableau!$G$36*SIN(J534*PI()/180)+Tableau!$H$35</f>
        <v>-14217.82767479884</v>
      </c>
      <c r="N534" s="92">
        <v>530</v>
      </c>
      <c r="O534" s="93">
        <v>265</v>
      </c>
      <c r="P534" s="96">
        <f>P533+R533*Tableau!$G$2+((1/2)*T533)*Tableau!$G$2^2</f>
        <v>141332.78024041586</v>
      </c>
      <c r="Q534" s="96">
        <f>Q533+S533*Tableau!$G$2+((1/2)*U533)*Tableau!$G$2^2</f>
        <v>27323.778223277834</v>
      </c>
      <c r="R534" s="96">
        <f>R533+T533*Tableau!$G$2</f>
        <v>-198.52933417849744</v>
      </c>
      <c r="S534" s="96">
        <f>S533+U533*Tableau!$G$2</f>
        <v>1021.74029978872</v>
      </c>
      <c r="T534" s="96">
        <f t="shared" si="16"/>
        <v>-62.152137217695568</v>
      </c>
      <c r="U534" s="96">
        <f t="shared" si="17"/>
        <v>-12.486157245282822</v>
      </c>
      <c r="V534" s="96">
        <f>((Tableau!$G$16-P534)/(AC534^2+Tableau!$G$21^2)^(3/2))*Tableau!$G$20</f>
        <v>-33.852041197574451</v>
      </c>
      <c r="W534" s="96">
        <f>((Tableau!$H$16-Q534)/(AC534^2+Tableau!$G$21^2)^(3/2))*Tableau!$G$20</f>
        <v>-5.5308660674903569</v>
      </c>
      <c r="X534" s="96">
        <f>((Tableau!$G$25-P534)/(AD534^2+Tableau!$G$30^2)^(3/2))*Tableau!$G$29</f>
        <v>-6.7634439368318402</v>
      </c>
      <c r="Y534" s="96">
        <f>((Tableau!$H$25-Q534)/(AD534^2+Tableau!$G$30^2)^(3/2))*Tableau!$G$29</f>
        <v>-0.72625292028467625</v>
      </c>
      <c r="Z534" s="96">
        <f>((Tableau!$G$35-P534)/(AE534^2+Tableau!$G$40^2)^(3/2))*Tableau!$G$39</f>
        <v>-21.53665208328928</v>
      </c>
      <c r="AA534" s="97">
        <f>((Tableau!$H$35-Q534)/(AE534^2+Tableau!$G$40^2)^(3/2))*Tableau!$G$39</f>
        <v>-6.2290382575077885</v>
      </c>
      <c r="AC534" s="110">
        <f>SQRT((Tableau!$G$16-P534)^2+(Tableau!$H$16-Q534)^2)</f>
        <v>122941.55417886481</v>
      </c>
      <c r="AD534" s="111">
        <f>SQRT((Tableau!$G$25-P534)^2+(Tableau!$H$25-Q534)^2)</f>
        <v>162260.2208553644</v>
      </c>
      <c r="AE534" s="112">
        <f>SQRT((Tableau!$G$35-P534)^2+(Tableau!$H$35-Q534)^2)</f>
        <v>152330.51163828949</v>
      </c>
    </row>
    <row r="535" spans="2:31" x14ac:dyDescent="0.25">
      <c r="B535" s="18">
        <v>532</v>
      </c>
      <c r="C535" s="19">
        <f>Tableau!$G$17*COS(B535*PI()/180)+Tableau!$G$16</f>
        <v>15048.659656292148</v>
      </c>
      <c r="D535" s="19">
        <f>Tableau!$G$17*SIN(B535*PI()/180)+Tableau!$H$16</f>
        <v>8195.8655048003293</v>
      </c>
      <c r="F535" s="26">
        <v>532</v>
      </c>
      <c r="G535" s="27">
        <f>Tableau!$G$26*COS(F535*PI()/180)+Tableau!$G$25</f>
        <v>-23465.938240595497</v>
      </c>
      <c r="H535" s="27">
        <f>Tableau!$G$26*SIN(F535*PI()/180)+Tableau!$H$25</f>
        <v>10487.105853360232</v>
      </c>
      <c r="J535" s="34">
        <v>532</v>
      </c>
      <c r="K535" s="35">
        <f>Tableau!$G$36*COS(J535*PI()/180)+Tableau!$G$35</f>
        <v>-9951.3403437078523</v>
      </c>
      <c r="L535" s="35">
        <f>Tableau!$G$36*SIN(J535*PI()/180)+Tableau!$H$35</f>
        <v>-14304.134495199671</v>
      </c>
      <c r="N535" s="98">
        <v>531</v>
      </c>
      <c r="O535" s="99">
        <v>265.5</v>
      </c>
      <c r="P535" s="101">
        <f>P534+R534*Tableau!$G$2+((1/2)*T534)*Tableau!$G$2^2</f>
        <v>141225.74655617439</v>
      </c>
      <c r="Q535" s="101">
        <f>Q534+S534*Tableau!$G$2+((1/2)*U534)*Tableau!$G$2^2</f>
        <v>27833.087603516531</v>
      </c>
      <c r="R535" s="101">
        <f>R534+T534*Tableau!$G$2</f>
        <v>-229.60540278734521</v>
      </c>
      <c r="S535" s="101">
        <f>S534+U534*Tableau!$G$2</f>
        <v>1015.4972211660786</v>
      </c>
      <c r="T535" s="101">
        <f t="shared" si="16"/>
        <v>-62.110116525843253</v>
      </c>
      <c r="U535" s="101">
        <f t="shared" si="17"/>
        <v>-12.723465584169707</v>
      </c>
      <c r="V535" s="101">
        <f>((Tableau!$G$16-P535)/(AC535^2+Tableau!$G$21^2)^(3/2))*Tableau!$G$20</f>
        <v>-33.840558958334761</v>
      </c>
      <c r="W535" s="101">
        <f>((Tableau!$H$16-Q535)/(AC535^2+Tableau!$G$21^2)^(3/2))*Tableau!$G$20</f>
        <v>-5.6760471219943227</v>
      </c>
      <c r="X535" s="101">
        <f>((Tableau!$G$25-P535)/(AD535^2+Tableau!$G$30^2)^(3/2))*Tableau!$G$29</f>
        <v>-6.7653495300600301</v>
      </c>
      <c r="Y535" s="101">
        <f>((Tableau!$H$25-Q535)/(AD535^2+Tableau!$G$30^2)^(3/2))*Tableau!$G$29</f>
        <v>-0.74831144165881713</v>
      </c>
      <c r="Z535" s="101">
        <f>((Tableau!$G$35-P535)/(AE535^2+Tableau!$G$40^2)^(3/2))*Tableau!$G$39</f>
        <v>-21.504208037448468</v>
      </c>
      <c r="AA535" s="102">
        <f>((Tableau!$H$35-Q535)/(AE535^2+Tableau!$G$40^2)^(3/2))*Tableau!$G$39</f>
        <v>-6.2991070205165673</v>
      </c>
      <c r="AC535" s="113">
        <f>SQRT((Tableau!$G$16-P535)^2+(Tableau!$H$16-Q535)^2)</f>
        <v>122919.14447958911</v>
      </c>
      <c r="AD535" s="114">
        <f>SQRT((Tableau!$G$25-P535)^2+(Tableau!$H$25-Q535)^2)</f>
        <v>162209.00211169067</v>
      </c>
      <c r="AE535" s="115">
        <f>SQRT((Tableau!$G$35-P535)^2+(Tableau!$H$35-Q535)^2)</f>
        <v>152370.08351235182</v>
      </c>
    </row>
    <row r="536" spans="2:31" x14ac:dyDescent="0.25">
      <c r="B536" s="20">
        <v>533</v>
      </c>
      <c r="C536" s="21">
        <f>Tableau!$G$17*COS(B536*PI()/180)+Tableau!$G$16</f>
        <v>15037.26924179339</v>
      </c>
      <c r="D536" s="21">
        <f>Tableau!$G$17*SIN(B536*PI()/180)+Tableau!$H$16</f>
        <v>8109.3467170257454</v>
      </c>
      <c r="F536" s="28">
        <v>533</v>
      </c>
      <c r="G536" s="29">
        <f>Tableau!$G$26*COS(F536*PI()/180)+Tableau!$G$25</f>
        <v>-23473.911530744626</v>
      </c>
      <c r="H536" s="29">
        <f>Tableau!$G$26*SIN(F536*PI()/180)+Tableau!$H$25</f>
        <v>10426.542701918022</v>
      </c>
      <c r="J536" s="36">
        <v>533</v>
      </c>
      <c r="K536" s="37">
        <f>Tableau!$G$36*COS(J536*PI()/180)+Tableau!$G$35</f>
        <v>-9962.7307582066096</v>
      </c>
      <c r="L536" s="37">
        <f>Tableau!$G$36*SIN(J536*PI()/180)+Tableau!$H$35</f>
        <v>-14390.653282974254</v>
      </c>
      <c r="N536" s="92">
        <v>532</v>
      </c>
      <c r="O536" s="93">
        <v>266</v>
      </c>
      <c r="P536" s="96">
        <f>P535+R535*Tableau!$G$2+((1/2)*T535)*Tableau!$G$2^2</f>
        <v>141103.180090215</v>
      </c>
      <c r="Q536" s="96">
        <f>Q535+S535*Tableau!$G$2+((1/2)*U535)*Tableau!$G$2^2</f>
        <v>28339.24578090155</v>
      </c>
      <c r="R536" s="96">
        <f>R535+T535*Tableau!$G$2</f>
        <v>-260.66046105026686</v>
      </c>
      <c r="S536" s="96">
        <f>S535+U535*Tableau!$G$2</f>
        <v>1009.1354883739938</v>
      </c>
      <c r="T536" s="96">
        <f t="shared" si="16"/>
        <v>-62.079704755052532</v>
      </c>
      <c r="U536" s="96">
        <f t="shared" si="17"/>
        <v>-12.963262756877864</v>
      </c>
      <c r="V536" s="96">
        <f>((Tableau!$G$16-P536)/(AC536^2+Tableau!$G$21^2)^(3/2))*Tableau!$G$20</f>
        <v>-33.835911884764258</v>
      </c>
      <c r="W536" s="96">
        <f>((Tableau!$H$16-Q536)/(AC536^2+Tableau!$G$21^2)^(3/2))*Tableau!$G$20</f>
        <v>-5.822430785568633</v>
      </c>
      <c r="X536" s="96">
        <f>((Tableau!$G$25-P536)/(AD536^2+Tableau!$G$30^2)^(3/2))*Tableau!$G$29</f>
        <v>-6.7683688532094113</v>
      </c>
      <c r="Y536" s="96">
        <f>((Tableau!$H$25-Q536)/(AD536^2+Tableau!$G$30^2)^(3/2))*Tableau!$G$29</f>
        <v>-0.77048001079368689</v>
      </c>
      <c r="Z536" s="96">
        <f>((Tableau!$G$35-P536)/(AE536^2+Tableau!$G$40^2)^(3/2))*Tableau!$G$39</f>
        <v>-21.475424017078861</v>
      </c>
      <c r="AA536" s="97">
        <f>((Tableau!$H$35-Q536)/(AE536^2+Tableau!$G$40^2)^(3/2))*Tableau!$G$39</f>
        <v>-6.3703519605155439</v>
      </c>
      <c r="AC536" s="110">
        <f>SQRT((Tableau!$G$16-P536)^2+(Tableau!$H$16-Q536)^2)</f>
        <v>122883.09237921982</v>
      </c>
      <c r="AD536" s="111">
        <f>SQRT((Tableau!$G$25-P536)^2+(Tableau!$H$25-Q536)^2)</f>
        <v>162143.64795141548</v>
      </c>
      <c r="AE536" s="112">
        <f>SQRT((Tableau!$G$35-P536)^2+(Tableau!$H$35-Q536)^2)</f>
        <v>152395.63464000926</v>
      </c>
    </row>
    <row r="537" spans="2:31" x14ac:dyDescent="0.25">
      <c r="B537" s="18">
        <v>534</v>
      </c>
      <c r="C537" s="19">
        <f>Tableau!$G$17*COS(B537*PI()/180)+Tableau!$G$16</f>
        <v>15027.390523158632</v>
      </c>
      <c r="D537" s="19">
        <f>Tableau!$G$17*SIN(B537*PI()/180)+Tableau!$H$16</f>
        <v>8022.6423163382724</v>
      </c>
      <c r="F537" s="26">
        <v>534</v>
      </c>
      <c r="G537" s="27">
        <f>Tableau!$G$26*COS(F537*PI()/180)+Tableau!$G$25</f>
        <v>-23480.826633788958</v>
      </c>
      <c r="H537" s="27">
        <f>Tableau!$G$26*SIN(F537*PI()/180)+Tableau!$H$25</f>
        <v>10365.84962143679</v>
      </c>
      <c r="J537" s="34">
        <v>534</v>
      </c>
      <c r="K537" s="35">
        <f>Tableau!$G$36*COS(J537*PI()/180)+Tableau!$G$35</f>
        <v>-9972.6094768413677</v>
      </c>
      <c r="L537" s="35">
        <f>Tableau!$G$36*SIN(J537*PI()/180)+Tableau!$H$35</f>
        <v>-14477.357683661729</v>
      </c>
      <c r="N537" s="98">
        <v>533</v>
      </c>
      <c r="O537" s="99">
        <v>266.5</v>
      </c>
      <c r="P537" s="101">
        <f>P536+R536*Tableau!$G$2+((1/2)*T536)*Tableau!$G$2^2</f>
        <v>140965.08989659548</v>
      </c>
      <c r="Q537" s="101">
        <f>Q536+S536*Tableau!$G$2+((1/2)*U536)*Tableau!$G$2^2</f>
        <v>28842.193117243936</v>
      </c>
      <c r="R537" s="101">
        <f>R536+T536*Tableau!$G$2</f>
        <v>-291.70031342779311</v>
      </c>
      <c r="S537" s="101">
        <f>S536+U536*Tableau!$G$2</f>
        <v>1002.6538569955549</v>
      </c>
      <c r="T537" s="101">
        <f t="shared" si="16"/>
        <v>-62.060882748297047</v>
      </c>
      <c r="U537" s="101">
        <f t="shared" si="17"/>
        <v>-13.20574221198496</v>
      </c>
      <c r="V537" s="101">
        <f>((Tableau!$G$16-P537)/(AC537^2+Tableau!$G$21^2)^(3/2))*Tableau!$G$20</f>
        <v>-33.838101043206855</v>
      </c>
      <c r="W537" s="101">
        <f>((Tableau!$H$16-Q537)/(AC537^2+Tableau!$G$21^2)^(3/2))*Tableau!$G$20</f>
        <v>-5.9701463273600188</v>
      </c>
      <c r="X537" s="101">
        <f>((Tableau!$G$25-P537)/(AD537^2+Tableau!$G$30^2)^(3/2))*Tableau!$G$29</f>
        <v>-6.7725055813020614</v>
      </c>
      <c r="Y537" s="101">
        <f>((Tableau!$H$25-Q537)/(AD537^2+Tableau!$G$30^2)^(3/2))*Tableau!$G$29</f>
        <v>-0.79277350220772835</v>
      </c>
      <c r="Z537" s="101">
        <f>((Tableau!$G$35-P537)/(AE537^2+Tableau!$G$40^2)^(3/2))*Tableau!$G$39</f>
        <v>-21.450276123788132</v>
      </c>
      <c r="AA537" s="102">
        <f>((Tableau!$H$35-Q537)/(AE537^2+Tableau!$G$40^2)^(3/2))*Tableau!$G$39</f>
        <v>-6.4428223824172131</v>
      </c>
      <c r="AC537" s="113">
        <f>SQRT((Tableau!$G$16-P537)^2+(Tableau!$H$16-Q537)^2)</f>
        <v>122833.3919614091</v>
      </c>
      <c r="AD537" s="114">
        <f>SQRT((Tableau!$G$25-P537)^2+(Tableau!$H$25-Q537)^2)</f>
        <v>162064.14904872261</v>
      </c>
      <c r="AE537" s="115">
        <f>SQRT((Tableau!$G$35-P537)^2+(Tableau!$H$35-Q537)^2)</f>
        <v>152407.16966682018</v>
      </c>
    </row>
    <row r="538" spans="2:31" x14ac:dyDescent="0.25">
      <c r="B538" s="20">
        <v>535</v>
      </c>
      <c r="C538" s="21">
        <f>Tableau!$G$17*COS(B538*PI()/180)+Tableau!$G$16</f>
        <v>15019.026509541272</v>
      </c>
      <c r="D538" s="21">
        <f>Tableau!$G$17*SIN(B538*PI()/180)+Tableau!$H$16</f>
        <v>7935.778713738292</v>
      </c>
      <c r="F538" s="28">
        <v>535</v>
      </c>
      <c r="G538" s="29">
        <f>Tableau!$G$26*COS(F538*PI()/180)+Tableau!$G$25</f>
        <v>-23486.681443321111</v>
      </c>
      <c r="H538" s="29">
        <f>Tableau!$G$26*SIN(F538*PI()/180)+Tableau!$H$25</f>
        <v>10305.045099616804</v>
      </c>
      <c r="J538" s="36">
        <v>535</v>
      </c>
      <c r="K538" s="37">
        <f>Tableau!$G$36*COS(J538*PI()/180)+Tableau!$G$35</f>
        <v>-9980.9734904587276</v>
      </c>
      <c r="L538" s="37">
        <f>Tableau!$G$36*SIN(J538*PI()/180)+Tableau!$H$35</f>
        <v>-14564.221286261707</v>
      </c>
      <c r="N538" s="92">
        <v>534</v>
      </c>
      <c r="O538" s="93">
        <v>267</v>
      </c>
      <c r="P538" s="96">
        <f>P537+R537*Tableau!$G$2+((1/2)*T537)*Tableau!$G$2^2</f>
        <v>140811.48212953805</v>
      </c>
      <c r="Q538" s="96">
        <f>Q537+S537*Tableau!$G$2+((1/2)*U537)*Tableau!$G$2^2</f>
        <v>29341.869327965214</v>
      </c>
      <c r="R538" s="96">
        <f>R537+T537*Tableau!$G$2</f>
        <v>-322.73075480194166</v>
      </c>
      <c r="S538" s="96">
        <f>S537+U537*Tableau!$G$2</f>
        <v>996.05098588956241</v>
      </c>
      <c r="T538" s="96">
        <f t="shared" si="16"/>
        <v>-62.053643180945315</v>
      </c>
      <c r="U538" s="96">
        <f t="shared" si="17"/>
        <v>-13.451100556607905</v>
      </c>
      <c r="V538" s="96">
        <f>((Tableau!$G$16-P538)/(AC538^2+Tableau!$G$21^2)^(3/2))*Tableau!$G$20</f>
        <v>-33.847134797084202</v>
      </c>
      <c r="W538" s="96">
        <f>((Tableau!$H$16-Q538)/(AC538^2+Tableau!$G$21^2)^(3/2))*Tableau!$G$20</f>
        <v>-6.1193247722203443</v>
      </c>
      <c r="X538" s="96">
        <f>((Tableau!$G$25-P538)/(AD538^2+Tableau!$G$30^2)^(3/2))*Tableau!$G$29</f>
        <v>-6.7777644508546313</v>
      </c>
      <c r="Y538" s="96">
        <f>((Tableau!$H$25-Q538)/(AD538^2+Tableau!$G$30^2)^(3/2))*Tableau!$G$29</f>
        <v>-0.81520692806349404</v>
      </c>
      <c r="Z538" s="96">
        <f>((Tableau!$G$35-P538)/(AE538^2+Tableau!$G$40^2)^(3/2))*Tableau!$G$39</f>
        <v>-21.428743933006484</v>
      </c>
      <c r="AA538" s="97">
        <f>((Tableau!$H$35-Q538)/(AE538^2+Tableau!$G$40^2)^(3/2))*Tableau!$G$39</f>
        <v>-6.5165688563240671</v>
      </c>
      <c r="AC538" s="110">
        <f>SQRT((Tableau!$G$16-P538)^2+(Tableau!$H$16-Q538)^2)</f>
        <v>122770.03490296645</v>
      </c>
      <c r="AD538" s="111">
        <f>SQRT((Tableau!$G$25-P538)^2+(Tableau!$H$25-Q538)^2)</f>
        <v>161970.49328133449</v>
      </c>
      <c r="AE538" s="112">
        <f>SQRT((Tableau!$G$35-P538)^2+(Tableau!$H$35-Q538)^2)</f>
        <v>152404.69053251261</v>
      </c>
    </row>
    <row r="539" spans="2:31" x14ac:dyDescent="0.25">
      <c r="B539" s="18">
        <v>536</v>
      </c>
      <c r="C539" s="19">
        <f>Tableau!$G$17*COS(B539*PI()/180)+Tableau!$G$16</f>
        <v>15012.179748700879</v>
      </c>
      <c r="D539" s="19">
        <f>Tableau!$G$17*SIN(B539*PI()/180)+Tableau!$H$16</f>
        <v>7848.7823687206328</v>
      </c>
      <c r="F539" s="26">
        <v>536</v>
      </c>
      <c r="G539" s="27">
        <f>Tableau!$G$26*COS(F539*PI()/180)+Tableau!$G$25</f>
        <v>-23491.474175909385</v>
      </c>
      <c r="H539" s="27">
        <f>Tableau!$G$26*SIN(F539*PI()/180)+Tableau!$H$25</f>
        <v>10244.147658104443</v>
      </c>
      <c r="J539" s="34">
        <v>536</v>
      </c>
      <c r="K539" s="35">
        <f>Tableau!$G$36*COS(J539*PI()/180)+Tableau!$G$35</f>
        <v>-9987.8202512991211</v>
      </c>
      <c r="L539" s="35">
        <f>Tableau!$G$36*SIN(J539*PI()/180)+Tableau!$H$35</f>
        <v>-14651.217631279367</v>
      </c>
      <c r="N539" s="98">
        <v>535</v>
      </c>
      <c r="O539" s="99">
        <v>267.5</v>
      </c>
      <c r="P539" s="101">
        <f>P538+R538*Tableau!$G$2+((1/2)*T538)*Tableau!$G$2^2</f>
        <v>140642.36004673946</v>
      </c>
      <c r="Q539" s="101">
        <f>Q538+S538*Tableau!$G$2+((1/2)*U538)*Tableau!$G$2^2</f>
        <v>29838.213433340417</v>
      </c>
      <c r="R539" s="101">
        <f>R538+T538*Tableau!$G$2</f>
        <v>-353.75757639241431</v>
      </c>
      <c r="S539" s="101">
        <f>S538+U538*Tableau!$G$2</f>
        <v>989.32543561125851</v>
      </c>
      <c r="T539" s="101">
        <f t="shared" si="16"/>
        <v>-62.057990558249564</v>
      </c>
      <c r="U539" s="101">
        <f t="shared" si="17"/>
        <v>-13.699537983004845</v>
      </c>
      <c r="V539" s="101">
        <f>((Tableau!$G$16-P539)/(AC539^2+Tableau!$G$21^2)^(3/2))*Tableau!$G$20</f>
        <v>-33.86302883576171</v>
      </c>
      <c r="W539" s="101">
        <f>((Tableau!$H$16-Q539)/(AC539^2+Tableau!$G$21^2)^(3/2))*Tableau!$G$20</f>
        <v>-6.2700992034600871</v>
      </c>
      <c r="X539" s="101">
        <f>((Tableau!$G$25-P539)/(AD539^2+Tableau!$G$30^2)^(3/2))*Tableau!$G$29</f>
        <v>-6.7841512716945855</v>
      </c>
      <c r="Y539" s="101">
        <f>((Tableau!$H$25-Q539)/(AD539^2+Tableau!$G$30^2)^(3/2))*Tableau!$G$29</f>
        <v>-0.83779546598286347</v>
      </c>
      <c r="Z539" s="101">
        <f>((Tableau!$G$35-P539)/(AE539^2+Tableau!$G$40^2)^(3/2))*Tableau!$G$39</f>
        <v>-21.410810450793271</v>
      </c>
      <c r="AA539" s="102">
        <f>((Tableau!$H$35-Q539)/(AE539^2+Tableau!$G$40^2)^(3/2))*Tableau!$G$39</f>
        <v>-6.591643313561895</v>
      </c>
      <c r="AC539" s="113">
        <f>SQRT((Tableau!$G$16-P539)^2+(Tableau!$H$16-Q539)^2)</f>
        <v>122693.01046530966</v>
      </c>
      <c r="AD539" s="114">
        <f>SQRT((Tableau!$G$25-P539)^2+(Tableau!$H$25-Q539)^2)</f>
        <v>161862.66571885266</v>
      </c>
      <c r="AE539" s="115">
        <f>SQRT((Tableau!$G$35-P539)^2+(Tableau!$H$35-Q539)^2)</f>
        <v>152388.19647163581</v>
      </c>
    </row>
    <row r="540" spans="2:31" x14ac:dyDescent="0.25">
      <c r="B540" s="20">
        <v>537</v>
      </c>
      <c r="C540" s="21">
        <f>Tableau!$G$17*COS(B540*PI()/180)+Tableau!$G$16</f>
        <v>15006.85232622713</v>
      </c>
      <c r="D540" s="21">
        <f>Tableau!$G$17*SIN(B540*PI()/180)+Tableau!$H$16</f>
        <v>7761.6797812147224</v>
      </c>
      <c r="F540" s="28">
        <v>537</v>
      </c>
      <c r="G540" s="29">
        <f>Tableau!$G$26*COS(F540*PI()/180)+Tableau!$G$25</f>
        <v>-23495.203371641008</v>
      </c>
      <c r="H540" s="29">
        <f>Tableau!$G$26*SIN(F540*PI()/180)+Tableau!$H$25</f>
        <v>10183.175846850305</v>
      </c>
      <c r="J540" s="36">
        <v>537</v>
      </c>
      <c r="K540" s="37">
        <f>Tableau!$G$36*COS(J540*PI()/180)+Tableau!$G$35</f>
        <v>-9993.1476737728699</v>
      </c>
      <c r="L540" s="37">
        <f>Tableau!$G$36*SIN(J540*PI()/180)+Tableau!$H$35</f>
        <v>-14738.320218785277</v>
      </c>
      <c r="N540" s="92">
        <v>536</v>
      </c>
      <c r="O540" s="93">
        <v>268</v>
      </c>
      <c r="P540" s="96">
        <f>P539+R539*Tableau!$G$2+((1/2)*T539)*Tableau!$G$2^2</f>
        <v>140457.72400972346</v>
      </c>
      <c r="Q540" s="96">
        <f>Q539+S539*Tableau!$G$2+((1/2)*U539)*Tableau!$G$2^2</f>
        <v>30331.16370889817</v>
      </c>
      <c r="R540" s="96">
        <f>R539+T539*Tableau!$G$2</f>
        <v>-384.78657167153909</v>
      </c>
      <c r="S540" s="96">
        <f>S539+U539*Tableau!$G$2</f>
        <v>982.47566661975611</v>
      </c>
      <c r="T540" s="96">
        <f t="shared" si="16"/>
        <v>-62.073941241766931</v>
      </c>
      <c r="U540" s="96">
        <f t="shared" si="17"/>
        <v>-13.951258706148234</v>
      </c>
      <c r="V540" s="96">
        <f>((Tableau!$G$16-P540)/(AC540^2+Tableau!$G$21^2)^(3/2))*Tableau!$G$20</f>
        <v>-33.885806221830904</v>
      </c>
      <c r="W540" s="96">
        <f>((Tableau!$H$16-Q540)/(AC540^2+Tableau!$G$21^2)^(3/2))*Tableau!$G$20</f>
        <v>-6.4226050725993424</v>
      </c>
      <c r="X540" s="96">
        <f>((Tableau!$G$25-P540)/(AD540^2+Tableau!$G$30^2)^(3/2))*Tableau!$G$29</f>
        <v>-6.7916729413337764</v>
      </c>
      <c r="Y540" s="96">
        <f>((Tableau!$H$25-Q540)/(AD540^2+Tableau!$G$30^2)^(3/2))*Tableau!$G$29</f>
        <v>-0.86055448735632956</v>
      </c>
      <c r="Z540" s="96">
        <f>((Tableau!$G$35-P540)/(AE540^2+Tableau!$G$40^2)^(3/2))*Tableau!$G$39</f>
        <v>-21.396462078602251</v>
      </c>
      <c r="AA540" s="97">
        <f>((Tableau!$H$35-Q540)/(AE540^2+Tableau!$G$40^2)^(3/2))*Tableau!$G$39</f>
        <v>-6.6680991461925618</v>
      </c>
      <c r="AC540" s="110">
        <f>SQRT((Tableau!$G$16-P540)^2+(Tableau!$H$16-Q540)^2)</f>
        <v>122602.30548364585</v>
      </c>
      <c r="AD540" s="111">
        <f>SQRT((Tableau!$G$25-P540)^2+(Tableau!$H$25-Q540)^2)</f>
        <v>161740.64860800639</v>
      </c>
      <c r="AE540" s="112">
        <f>SQRT((Tableau!$G$35-P540)^2+(Tableau!$H$35-Q540)^2)</f>
        <v>152357.68401131532</v>
      </c>
    </row>
    <row r="541" spans="2:31" x14ac:dyDescent="0.25">
      <c r="B541" s="18">
        <v>538</v>
      </c>
      <c r="C541" s="19">
        <f>Tableau!$G$17*COS(B541*PI()/180)+Tableau!$G$16</f>
        <v>15003.045864904521</v>
      </c>
      <c r="D541" s="19">
        <f>Tableau!$G$17*SIN(B541*PI()/180)+Tableau!$H$16</f>
        <v>7674.4974835125049</v>
      </c>
      <c r="F541" s="26">
        <v>538</v>
      </c>
      <c r="G541" s="27">
        <f>Tableau!$G$26*COS(F541*PI()/180)+Tableau!$G$25</f>
        <v>-23497.867894566836</v>
      </c>
      <c r="H541" s="27">
        <f>Tableau!$G$26*SIN(F541*PI()/180)+Tableau!$H$25</f>
        <v>10122.148238458753</v>
      </c>
      <c r="J541" s="34">
        <v>538</v>
      </c>
      <c r="K541" s="35">
        <f>Tableau!$G$36*COS(J541*PI()/180)+Tableau!$G$35</f>
        <v>-9996.9541350954787</v>
      </c>
      <c r="L541" s="35">
        <f>Tableau!$G$36*SIN(J541*PI()/180)+Tableau!$H$35</f>
        <v>-14825.502516487495</v>
      </c>
      <c r="N541" s="98">
        <v>537</v>
      </c>
      <c r="O541" s="99">
        <v>268.5</v>
      </c>
      <c r="P541" s="101">
        <f>P540+R540*Tableau!$G$2+((1/2)*T540)*Tableau!$G$2^2</f>
        <v>140257.57148123247</v>
      </c>
      <c r="Q541" s="101">
        <f>Q540+S540*Tableau!$G$2+((1/2)*U540)*Tableau!$G$2^2</f>
        <v>30820.657634869778</v>
      </c>
      <c r="R541" s="101">
        <f>R540+T540*Tableau!$G$2</f>
        <v>-415.82354229242253</v>
      </c>
      <c r="S541" s="101">
        <f>S540+U540*Tableau!$G$2</f>
        <v>975.50003726668194</v>
      </c>
      <c r="T541" s="101">
        <f t="shared" si="16"/>
        <v>-62.101523504872375</v>
      </c>
      <c r="U541" s="101">
        <f t="shared" si="17"/>
        <v>-14.20647141411127</v>
      </c>
      <c r="V541" s="101">
        <f>((Tableau!$G$16-P541)/(AC541^2+Tableau!$G$21^2)^(3/2))*Tableau!$G$20</f>
        <v>-33.915497457043422</v>
      </c>
      <c r="W541" s="101">
        <f>((Tableau!$H$16-Q541)/(AC541^2+Tableau!$G$21^2)^(3/2))*Tableau!$G$20</f>
        <v>-6.5769805174840066</v>
      </c>
      <c r="X541" s="101">
        <f>((Tableau!$G$25-P541)/(AD541^2+Tableau!$G$30^2)^(3/2))*Tableau!$G$29</f>
        <v>-6.8003374619636947</v>
      </c>
      <c r="Y541" s="101">
        <f>((Tableau!$H$25-Q541)/(AD541^2+Tableau!$G$30^2)^(3/2))*Tableau!$G$29</f>
        <v>-0.88349958625016645</v>
      </c>
      <c r="Z541" s="101">
        <f>((Tableau!$G$35-P541)/(AE541^2+Tableau!$G$40^2)^(3/2))*Tableau!$G$39</f>
        <v>-21.38568858586526</v>
      </c>
      <c r="AA541" s="102">
        <f>((Tableau!$H$35-Q541)/(AE541^2+Tableau!$G$40^2)^(3/2))*Tableau!$G$39</f>
        <v>-6.7459913103770983</v>
      </c>
      <c r="AC541" s="113">
        <f>SQRT((Tableau!$G$16-P541)^2+(Tableau!$H$16-Q541)^2)</f>
        <v>122497.90435385639</v>
      </c>
      <c r="AD541" s="114">
        <f>SQRT((Tableau!$G$25-P541)^2+(Tableau!$H$25-Q541)^2)</f>
        <v>161604.42135477235</v>
      </c>
      <c r="AE541" s="115">
        <f>SQRT((Tableau!$G$35-P541)^2+(Tableau!$H$35-Q541)^2)</f>
        <v>152313.14696610175</v>
      </c>
    </row>
    <row r="542" spans="2:31" x14ac:dyDescent="0.25">
      <c r="B542" s="20">
        <v>539</v>
      </c>
      <c r="C542" s="21">
        <f>Tableau!$G$17*COS(B542*PI()/180)+Tableau!$G$16</f>
        <v>15000.761524218044</v>
      </c>
      <c r="D542" s="21">
        <f>Tableau!$G$17*SIN(B542*PI()/180)+Tableau!$H$16</f>
        <v>7587.2620321864142</v>
      </c>
      <c r="F542" s="28">
        <v>539</v>
      </c>
      <c r="G542" s="29">
        <f>Tableau!$G$26*COS(F542*PI()/180)+Tableau!$G$25</f>
        <v>-23499.46693304737</v>
      </c>
      <c r="H542" s="29">
        <f>Tableau!$G$26*SIN(F542*PI()/180)+Tableau!$H$25</f>
        <v>10061.08342253049</v>
      </c>
      <c r="J542" s="36">
        <v>539</v>
      </c>
      <c r="K542" s="37">
        <f>Tableau!$G$36*COS(J542*PI()/180)+Tableau!$G$35</f>
        <v>-9999.2384757819564</v>
      </c>
      <c r="L542" s="37">
        <f>Tableau!$G$36*SIN(J542*PI()/180)+Tableau!$H$35</f>
        <v>-14912.737967813586</v>
      </c>
      <c r="N542" s="92">
        <v>538</v>
      </c>
      <c r="O542" s="93">
        <v>269</v>
      </c>
      <c r="P542" s="96">
        <f>P541+R541*Tableau!$G$2+((1/2)*T541)*Tableau!$G$2^2</f>
        <v>140041.89701964817</v>
      </c>
      <c r="Q542" s="96">
        <f>Q541+S541*Tableau!$G$2+((1/2)*U541)*Tableau!$G$2^2</f>
        <v>31306.631844576357</v>
      </c>
      <c r="R542" s="96">
        <f>R541+T541*Tableau!$G$2</f>
        <v>-446.87430404485872</v>
      </c>
      <c r="S542" s="96">
        <f>S541+U541*Tableau!$G$2</f>
        <v>968.39680155962628</v>
      </c>
      <c r="T542" s="96">
        <f t="shared" si="16"/>
        <v>-62.140777617658436</v>
      </c>
      <c r="U542" s="96">
        <f t="shared" si="17"/>
        <v>-14.465389733186328</v>
      </c>
      <c r="V542" s="96">
        <f>((Tableau!$G$16-P542)/(AC542^2+Tableau!$G$21^2)^(3/2))*Tableau!$G$20</f>
        <v>-33.95214056721845</v>
      </c>
      <c r="W542" s="96">
        <f>((Tableau!$H$16-Q542)/(AC542^2+Tableau!$G$21^2)^(3/2))*Tableau!$G$20</f>
        <v>-6.7333666901879869</v>
      </c>
      <c r="X542" s="96">
        <f>((Tableau!$G$25-P542)/(AD542^2+Tableau!$G$30^2)^(3/2))*Tableau!$G$29</f>
        <v>-6.8101539601487122</v>
      </c>
      <c r="Y542" s="96">
        <f>((Tableau!$H$25-Q542)/(AD542^2+Tableau!$G$30^2)^(3/2))*Tableau!$G$29</f>
        <v>-0.90664660901862715</v>
      </c>
      <c r="Z542" s="96">
        <f>((Tableau!$G$35-P542)/(AE542^2+Tableau!$G$40^2)^(3/2))*Tableau!$G$39</f>
        <v>-21.378483090291276</v>
      </c>
      <c r="AA542" s="97">
        <f>((Tableau!$H$35-Q542)/(AE542^2+Tableau!$G$40^2)^(3/2))*Tableau!$G$39</f>
        <v>-6.8253764339797147</v>
      </c>
      <c r="AC542" s="110">
        <f>SQRT((Tableau!$G$16-P542)^2+(Tableau!$H$16-Q542)^2)</f>
        <v>122379.78901705547</v>
      </c>
      <c r="AD542" s="111">
        <f>SQRT((Tableau!$G$25-P542)^2+(Tableau!$H$25-Q542)^2)</f>
        <v>161453.96050332114</v>
      </c>
      <c r="AE542" s="112">
        <f>SQRT((Tableau!$G$35-P542)^2+(Tableau!$H$35-Q542)^2)</f>
        <v>152254.57642989705</v>
      </c>
    </row>
    <row r="543" spans="2:31" x14ac:dyDescent="0.25">
      <c r="B543" s="18">
        <v>540</v>
      </c>
      <c r="C543" s="19">
        <f>Tableau!$G$17*COS(B543*PI()/180)+Tableau!$G$16</f>
        <v>15000</v>
      </c>
      <c r="D543" s="19">
        <f>Tableau!$G$17*SIN(B543*PI()/180)+Tableau!$H$16</f>
        <v>7500.0000000000018</v>
      </c>
      <c r="F543" s="26">
        <v>540</v>
      </c>
      <c r="G543" s="27">
        <f>Tableau!$G$26*COS(F543*PI()/180)+Tableau!$G$25</f>
        <v>-23500</v>
      </c>
      <c r="H543" s="27">
        <f>Tableau!$G$26*SIN(F543*PI()/180)+Tableau!$H$25</f>
        <v>10000.000000000002</v>
      </c>
      <c r="J543" s="34">
        <v>540</v>
      </c>
      <c r="K543" s="35">
        <f>Tableau!$G$36*COS(J543*PI()/180)+Tableau!$G$35</f>
        <v>-10000</v>
      </c>
      <c r="L543" s="35">
        <f>Tableau!$G$36*SIN(J543*PI()/180)+Tableau!$H$35</f>
        <v>-14999.999999999998</v>
      </c>
      <c r="N543" s="98">
        <v>539</v>
      </c>
      <c r="O543" s="99">
        <v>269.5</v>
      </c>
      <c r="P543" s="101">
        <f>P542+R542*Tableau!$G$2+((1/2)*T542)*Tableau!$G$2^2</f>
        <v>139810.69227042352</v>
      </c>
      <c r="Q543" s="101">
        <f>Q542+S542*Tableau!$G$2+((1/2)*U542)*Tableau!$G$2^2</f>
        <v>31789.022071639523</v>
      </c>
      <c r="R543" s="101">
        <f>R542+T542*Tableau!$G$2</f>
        <v>-477.94469285368791</v>
      </c>
      <c r="S543" s="101">
        <f>S542+U542*Tableau!$G$2</f>
        <v>961.16410669303309</v>
      </c>
      <c r="T543" s="101">
        <f t="shared" si="16"/>
        <v>-62.191755961630776</v>
      </c>
      <c r="U543" s="101">
        <f t="shared" si="17"/>
        <v>-14.728232709737352</v>
      </c>
      <c r="V543" s="101">
        <f>((Tableau!$G$16-P543)/(AC543^2+Tableau!$G$21^2)^(3/2))*Tableau!$G$20</f>
        <v>-33.995781206523297</v>
      </c>
      <c r="W543" s="101">
        <f>((Tableau!$H$16-Q543)/(AC543^2+Tableau!$G$21^2)^(3/2))*Tableau!$G$20</f>
        <v>-6.891908096183422</v>
      </c>
      <c r="X543" s="101">
        <f>((Tableau!$G$25-P543)/(AD543^2+Tableau!$G$30^2)^(3/2))*Tableau!$G$29</f>
        <v>-6.8211327093051404</v>
      </c>
      <c r="Y543" s="101">
        <f>((Tableau!$H$25-Q543)/(AD543^2+Tableau!$G$30^2)^(3/2))*Tableau!$G$29</f>
        <v>-0.93001168473217655</v>
      </c>
      <c r="Z543" s="101">
        <f>((Tableau!$G$35-P543)/(AE543^2+Tableau!$G$40^2)^(3/2))*Tableau!$G$39</f>
        <v>-21.374842045802342</v>
      </c>
      <c r="AA543" s="102">
        <f>((Tableau!$H$35-Q543)/(AE543^2+Tableau!$G$40^2)^(3/2))*Tableau!$G$39</f>
        <v>-6.9063129288217544</v>
      </c>
      <c r="AC543" s="113">
        <f>SQRT((Tableau!$G$16-P543)^2+(Tableau!$H$16-Q543)^2)</f>
        <v>122247.93894178631</v>
      </c>
      <c r="AD543" s="114">
        <f>SQRT((Tableau!$G$25-P543)^2+(Tableau!$H$25-Q543)^2)</f>
        <v>161289.23971173773</v>
      </c>
      <c r="AE543" s="115">
        <f>SQRT((Tableau!$G$35-P543)^2+(Tableau!$H$35-Q543)^2)</f>
        <v>152181.9607649332</v>
      </c>
    </row>
    <row r="544" spans="2:31" x14ac:dyDescent="0.25">
      <c r="B544" s="20">
        <v>541</v>
      </c>
      <c r="C544" s="21">
        <f>Tableau!$G$17*COS(B544*PI()/180)+Tableau!$G$16</f>
        <v>15000.761524218044</v>
      </c>
      <c r="D544" s="21">
        <f>Tableau!$G$17*SIN(B544*PI()/180)+Tableau!$H$16</f>
        <v>7412.7379678135812</v>
      </c>
      <c r="F544" s="28">
        <v>541</v>
      </c>
      <c r="G544" s="29">
        <f>Tableau!$G$26*COS(F544*PI()/180)+Tableau!$G$25</f>
        <v>-23499.46693304737</v>
      </c>
      <c r="H544" s="29">
        <f>Tableau!$G$26*SIN(F544*PI()/180)+Tableau!$H$25</f>
        <v>9938.9165774695066</v>
      </c>
      <c r="J544" s="36">
        <v>541</v>
      </c>
      <c r="K544" s="37">
        <f>Tableau!$G$36*COS(J544*PI()/180)+Tableau!$G$35</f>
        <v>-9999.2384757819564</v>
      </c>
      <c r="L544" s="37">
        <f>Tableau!$G$36*SIN(J544*PI()/180)+Tableau!$H$35</f>
        <v>-15087.26203218642</v>
      </c>
      <c r="N544" s="92">
        <v>540</v>
      </c>
      <c r="O544" s="93">
        <v>270</v>
      </c>
      <c r="P544" s="96">
        <f>P543+R543*Tableau!$G$2+((1/2)*T543)*Tableau!$G$2^2</f>
        <v>139563.94595450148</v>
      </c>
      <c r="Q544" s="96">
        <f>Q543+S543*Tableau!$G$2+((1/2)*U543)*Tableau!$G$2^2</f>
        <v>32267.76309589732</v>
      </c>
      <c r="R544" s="96">
        <f>R543+T543*Tableau!$G$2</f>
        <v>-509.04057083450328</v>
      </c>
      <c r="S544" s="96">
        <f>S543+U543*Tableau!$G$2</f>
        <v>953.79999033816443</v>
      </c>
      <c r="T544" s="96">
        <f t="shared" si="16"/>
        <v>-62.254523174768551</v>
      </c>
      <c r="U544" s="96">
        <f t="shared" si="17"/>
        <v>-14.995225310896441</v>
      </c>
      <c r="V544" s="96">
        <f>((Tableau!$G$16-P544)/(AC544^2+Tableau!$G$21^2)^(3/2))*Tableau!$G$20</f>
        <v>-34.046472781628566</v>
      </c>
      <c r="W544" s="96">
        <f>((Tableau!$H$16-Q544)/(AC544^2+Tableau!$G$21^2)^(3/2))*Tableau!$G$20</f>
        <v>-7.052752946337038</v>
      </c>
      <c r="X544" s="96">
        <f>((Tableau!$G$25-P544)/(AD544^2+Tableau!$G$30^2)^(3/2))*Tableau!$G$29</f>
        <v>-6.8332851550688627</v>
      </c>
      <c r="Y544" s="96">
        <f>((Tableau!$H$25-Q544)/(AD544^2+Tableau!$G$30^2)^(3/2))*Tableau!$G$29</f>
        <v>-0.95361125653769752</v>
      </c>
      <c r="Z544" s="96">
        <f>((Tableau!$G$35-P544)/(AE544^2+Tableau!$G$40^2)^(3/2))*Tableau!$G$39</f>
        <v>-21.374765238071124</v>
      </c>
      <c r="AA544" s="97">
        <f>((Tableau!$H$35-Q544)/(AE544^2+Tableau!$G$40^2)^(3/2))*Tableau!$G$39</f>
        <v>-6.9888611080217045</v>
      </c>
      <c r="AC544" s="110">
        <f>SQRT((Tableau!$G$16-P544)^2+(Tableau!$H$16-Q544)^2)</f>
        <v>122102.33110381408</v>
      </c>
      <c r="AD544" s="111">
        <f>SQRT((Tableau!$G$25-P544)^2+(Tableau!$H$25-Q544)^2)</f>
        <v>161110.22972445318</v>
      </c>
      <c r="AE544" s="112">
        <f>SQRT((Tableau!$G$35-P544)^2+(Tableau!$H$35-Q544)^2)</f>
        <v>152095.28558777191</v>
      </c>
    </row>
    <row r="545" spans="2:31" x14ac:dyDescent="0.25">
      <c r="B545" s="18">
        <v>542</v>
      </c>
      <c r="C545" s="19">
        <f>Tableau!$G$17*COS(B545*PI()/180)+Tableau!$G$16</f>
        <v>15003.045864904521</v>
      </c>
      <c r="D545" s="19">
        <f>Tableau!$G$17*SIN(B545*PI()/180)+Tableau!$H$16</f>
        <v>7325.5025164874987</v>
      </c>
      <c r="F545" s="26">
        <v>542</v>
      </c>
      <c r="G545" s="27">
        <f>Tableau!$G$26*COS(F545*PI()/180)+Tableau!$G$25</f>
        <v>-23497.867894566836</v>
      </c>
      <c r="H545" s="27">
        <f>Tableau!$G$26*SIN(F545*PI()/180)+Tableau!$H$25</f>
        <v>9877.8517615412493</v>
      </c>
      <c r="J545" s="34">
        <v>542</v>
      </c>
      <c r="K545" s="35">
        <f>Tableau!$G$36*COS(J545*PI()/180)+Tableau!$G$35</f>
        <v>-9996.9541350954787</v>
      </c>
      <c r="L545" s="35">
        <f>Tableau!$G$36*SIN(J545*PI()/180)+Tableau!$H$35</f>
        <v>-15174.497483512501</v>
      </c>
      <c r="N545" s="98">
        <v>541</v>
      </c>
      <c r="O545" s="99">
        <v>270.5</v>
      </c>
      <c r="P545" s="101">
        <f>P544+R544*Tableau!$G$2+((1/2)*T544)*Tableau!$G$2^2</f>
        <v>139301.64385368739</v>
      </c>
      <c r="Q545" s="101">
        <f>Q544+S544*Tableau!$G$2+((1/2)*U544)*Tableau!$G$2^2</f>
        <v>32742.788687902539</v>
      </c>
      <c r="R545" s="101">
        <f>R544+T544*Tableau!$G$2</f>
        <v>-540.16783242188751</v>
      </c>
      <c r="S545" s="101">
        <f>S544+U544*Tableau!$G$2</f>
        <v>946.30237768271627</v>
      </c>
      <c r="T545" s="101">
        <f t="shared" si="16"/>
        <v>-62.329156327637875</v>
      </c>
      <c r="U545" s="101">
        <f t="shared" si="17"/>
        <v>-15.266598946327122</v>
      </c>
      <c r="V545" s="101">
        <f>((Tableau!$G$16-P545)/(AC545^2+Tableau!$G$21^2)^(3/2))*Tableau!$G$20</f>
        <v>-34.104276596325121</v>
      </c>
      <c r="W545" s="101">
        <f>((Tableau!$H$16-Q545)/(AC545^2+Tableau!$G$21^2)^(3/2))*Tableau!$G$20</f>
        <v>-7.2160535233748728</v>
      </c>
      <c r="X545" s="101">
        <f>((Tableau!$G$25-P545)/(AD545^2+Tableau!$G$30^2)^(3/2))*Tableau!$G$29</f>
        <v>-6.8466239436664909</v>
      </c>
      <c r="Y545" s="101">
        <f>((Tableau!$H$25-Q545)/(AD545^2+Tableau!$G$30^2)^(3/2))*Tableau!$G$29</f>
        <v>-0.97746211407181705</v>
      </c>
      <c r="Z545" s="101">
        <f>((Tableau!$G$35-P545)/(AE545^2+Tableau!$G$40^2)^(3/2))*Tableau!$G$39</f>
        <v>-21.37825578764626</v>
      </c>
      <c r="AA545" s="102">
        <f>((Tableau!$H$35-Q545)/(AE545^2+Tableau!$G$40^2)^(3/2))*Tableau!$G$39</f>
        <v>-7.0730833088804319</v>
      </c>
      <c r="AC545" s="113">
        <f>SQRT((Tableau!$G$16-P545)^2+(Tableau!$H$16-Q545)^2)</f>
        <v>121942.93996346885</v>
      </c>
      <c r="AD545" s="114">
        <f>SQRT((Tableau!$G$25-P545)^2+(Tableau!$H$25-Q545)^2)</f>
        <v>160916.89834131667</v>
      </c>
      <c r="AE545" s="115">
        <f>SQRT((Tableau!$G$35-P545)^2+(Tableau!$H$35-Q545)^2)</f>
        <v>151994.53375228384</v>
      </c>
    </row>
    <row r="546" spans="2:31" x14ac:dyDescent="0.25">
      <c r="B546" s="20">
        <v>543</v>
      </c>
      <c r="C546" s="21">
        <f>Tableau!$G$17*COS(B546*PI()/180)+Tableau!$G$16</f>
        <v>15006.85232622713</v>
      </c>
      <c r="D546" s="21">
        <f>Tableau!$G$17*SIN(B546*PI()/180)+Tableau!$H$16</f>
        <v>7238.3202187852812</v>
      </c>
      <c r="F546" s="28">
        <v>543</v>
      </c>
      <c r="G546" s="29">
        <f>Tableau!$G$26*COS(F546*PI()/180)+Tableau!$G$25</f>
        <v>-23495.203371641008</v>
      </c>
      <c r="H546" s="29">
        <f>Tableau!$G$26*SIN(F546*PI()/180)+Tableau!$H$25</f>
        <v>9816.8241531496969</v>
      </c>
      <c r="J546" s="36">
        <v>543</v>
      </c>
      <c r="K546" s="37">
        <f>Tableau!$G$36*COS(J546*PI()/180)+Tableau!$G$35</f>
        <v>-9993.1476737728699</v>
      </c>
      <c r="L546" s="37">
        <f>Tableau!$G$36*SIN(J546*PI()/180)+Tableau!$H$35</f>
        <v>-15261.67978121472</v>
      </c>
      <c r="N546" s="92">
        <v>542</v>
      </c>
      <c r="O546" s="93">
        <v>271</v>
      </c>
      <c r="P546" s="96">
        <f>P545+R545*Tableau!$G$2+((1/2)*T545)*Tableau!$G$2^2</f>
        <v>139023.7687929355</v>
      </c>
      <c r="Q546" s="96">
        <f>Q545+S545*Tableau!$G$2+((1/2)*U545)*Tableau!$G$2^2</f>
        <v>33214.031551875611</v>
      </c>
      <c r="R546" s="96">
        <f>R545+T545*Tableau!$G$2</f>
        <v>-571.3324105857065</v>
      </c>
      <c r="S546" s="96">
        <f>S545+U545*Tableau!$G$2</f>
        <v>938.66907820955271</v>
      </c>
      <c r="T546" s="96">
        <f t="shared" si="16"/>
        <v>-62.415745131393798</v>
      </c>
      <c r="U546" s="96">
        <f t="shared" si="17"/>
        <v>-15.542592013411467</v>
      </c>
      <c r="V546" s="96">
        <f>((Tableau!$G$16-P546)/(AC546^2+Tableau!$G$21^2)^(3/2))*Tableau!$G$20</f>
        <v>-34.169262017284687</v>
      </c>
      <c r="W546" s="96">
        <f>((Tableau!$H$16-Q546)/(AC546^2+Tableau!$G$21^2)^(3/2))*Tableau!$G$20</f>
        <v>-7.3819665645549053</v>
      </c>
      <c r="X546" s="96">
        <f>((Tableau!$G$25-P546)/(AD546^2+Tableau!$G$30^2)^(3/2))*Tableau!$G$29</f>
        <v>-6.8611629534197958</v>
      </c>
      <c r="Y546" s="96">
        <f>((Tableau!$H$25-Q546)/(AD546^2+Tableau!$G$30^2)^(3/2))*Tableau!$G$29</f>
        <v>-1.0015814270547136</v>
      </c>
      <c r="Z546" s="96">
        <f>((Tableau!$G$35-P546)/(AE546^2+Tableau!$G$40^2)^(3/2))*Tableau!$G$39</f>
        <v>-21.385320160689318</v>
      </c>
      <c r="AA546" s="97">
        <f>((Tableau!$H$35-Q546)/(AE546^2+Tableau!$G$40^2)^(3/2))*Tableau!$G$39</f>
        <v>-7.1590440218018472</v>
      </c>
      <c r="AC546" s="110">
        <f>SQRT((Tableau!$G$16-P546)^2+(Tableau!$H$16-Q546)^2)</f>
        <v>121769.73744048651</v>
      </c>
      <c r="AD546" s="111">
        <f>SQRT((Tableau!$G$25-P546)^2+(Tableau!$H$25-Q546)^2)</f>
        <v>160709.21038322753</v>
      </c>
      <c r="AE546" s="112">
        <f>SQRT((Tableau!$G$35-P546)^2+(Tableau!$H$35-Q546)^2)</f>
        <v>151879.6853295601</v>
      </c>
    </row>
    <row r="547" spans="2:31" x14ac:dyDescent="0.25">
      <c r="B547" s="18">
        <v>544</v>
      </c>
      <c r="C547" s="19">
        <f>Tableau!$G$17*COS(B547*PI()/180)+Tableau!$G$16</f>
        <v>15012.179748700879</v>
      </c>
      <c r="D547" s="19">
        <f>Tableau!$G$17*SIN(B547*PI()/180)+Tableau!$H$16</f>
        <v>7151.2176312793708</v>
      </c>
      <c r="F547" s="26">
        <v>544</v>
      </c>
      <c r="G547" s="27">
        <f>Tableau!$G$26*COS(F547*PI()/180)+Tableau!$G$25</f>
        <v>-23491.474175909385</v>
      </c>
      <c r="H547" s="27">
        <f>Tableau!$G$26*SIN(F547*PI()/180)+Tableau!$H$25</f>
        <v>9755.8523418955592</v>
      </c>
      <c r="J547" s="34">
        <v>544</v>
      </c>
      <c r="K547" s="35">
        <f>Tableau!$G$36*COS(J547*PI()/180)+Tableau!$G$35</f>
        <v>-9987.8202512991211</v>
      </c>
      <c r="L547" s="35">
        <f>Tableau!$G$36*SIN(J547*PI()/180)+Tableau!$H$35</f>
        <v>-15348.782368720629</v>
      </c>
      <c r="N547" s="98">
        <v>543</v>
      </c>
      <c r="O547" s="99">
        <v>271.5</v>
      </c>
      <c r="P547" s="101">
        <f>P546+R546*Tableau!$G$2+((1/2)*T546)*Tableau!$G$2^2</f>
        <v>138730.30061950121</v>
      </c>
      <c r="Q547" s="101">
        <f>Q546+S546*Tableau!$G$2+((1/2)*U546)*Tableau!$G$2^2</f>
        <v>33681.423266978709</v>
      </c>
      <c r="R547" s="101">
        <f>R546+T546*Tableau!$G$2</f>
        <v>-602.5402831514034</v>
      </c>
      <c r="S547" s="101">
        <f>S546+U546*Tableau!$G$2</f>
        <v>930.897782202847</v>
      </c>
      <c r="T547" s="101">
        <f t="shared" si="16"/>
        <v>-62.514392178669794</v>
      </c>
      <c r="U547" s="101">
        <f t="shared" si="17"/>
        <v>-15.823450468372089</v>
      </c>
      <c r="V547" s="101">
        <f>((Tableau!$G$16-P547)/(AC547^2+Tableau!$G$21^2)^(3/2))*Tableau!$G$20</f>
        <v>-34.241506661761044</v>
      </c>
      <c r="W547" s="101">
        <f>((Tableau!$H$16-Q547)/(AC547^2+Tableau!$G$21^2)^(3/2))*Tableau!$G$20</f>
        <v>-7.5506536624012393</v>
      </c>
      <c r="X547" s="101">
        <f>((Tableau!$G$25-P547)/(AD547^2+Tableau!$G$30^2)^(3/2))*Tableau!$G$29</f>
        <v>-6.8769173295297126</v>
      </c>
      <c r="Y547" s="101">
        <f>((Tableau!$H$25-Q547)/(AD547^2+Tableau!$G$30^2)^(3/2))*Tableau!$G$29</f>
        <v>-1.0259867801989537</v>
      </c>
      <c r="Z547" s="101">
        <f>((Tableau!$G$35-P547)/(AE547^2+Tableau!$G$40^2)^(3/2))*Tableau!$G$39</f>
        <v>-21.395968187379037</v>
      </c>
      <c r="AA547" s="102">
        <f>((Tableau!$H$35-Q547)/(AE547^2+Tableau!$G$40^2)^(3/2))*Tableau!$G$39</f>
        <v>-7.2468100257718966</v>
      </c>
      <c r="AC547" s="113">
        <f>SQRT((Tableau!$G$16-P547)^2+(Tableau!$H$16-Q547)^2)</f>
        <v>121582.69288628963</v>
      </c>
      <c r="AD547" s="114">
        <f>SQRT((Tableau!$G$25-P547)^2+(Tableau!$H$25-Q547)^2)</f>
        <v>160487.12765423596</v>
      </c>
      <c r="AE547" s="115">
        <f>SQRT((Tableau!$G$35-P547)^2+(Tableau!$H$35-Q547)^2)</f>
        <v>151750.71758469852</v>
      </c>
    </row>
    <row r="548" spans="2:31" x14ac:dyDescent="0.25">
      <c r="B548" s="20">
        <v>545</v>
      </c>
      <c r="C548" s="21">
        <f>Tableau!$G$17*COS(B548*PI()/180)+Tableau!$G$16</f>
        <v>15019.026509541272</v>
      </c>
      <c r="D548" s="21">
        <f>Tableau!$G$17*SIN(B548*PI()/180)+Tableau!$H$16</f>
        <v>7064.2212862617116</v>
      </c>
      <c r="F548" s="28">
        <v>545</v>
      </c>
      <c r="G548" s="29">
        <f>Tableau!$G$26*COS(F548*PI()/180)+Tableau!$G$25</f>
        <v>-23486.681443321111</v>
      </c>
      <c r="H548" s="29">
        <f>Tableau!$G$26*SIN(F548*PI()/180)+Tableau!$H$25</f>
        <v>9694.954900383198</v>
      </c>
      <c r="J548" s="36">
        <v>545</v>
      </c>
      <c r="K548" s="37">
        <f>Tableau!$G$36*COS(J548*PI()/180)+Tableau!$G$35</f>
        <v>-9980.9734904587276</v>
      </c>
      <c r="L548" s="37">
        <f>Tableau!$G$36*SIN(J548*PI()/180)+Tableau!$H$35</f>
        <v>-15435.778713738289</v>
      </c>
      <c r="N548" s="92">
        <v>544</v>
      </c>
      <c r="O548" s="93">
        <v>272</v>
      </c>
      <c r="P548" s="96">
        <f>P547+R547*Tableau!$G$2+((1/2)*T547)*Tableau!$G$2^2</f>
        <v>138421.21617890318</v>
      </c>
      <c r="Q548" s="96">
        <f>Q547+S547*Tableau!$G$2+((1/2)*U547)*Tableau!$G$2^2</f>
        <v>34144.89422677159</v>
      </c>
      <c r="R548" s="96">
        <f>R547+T547*Tableau!$G$2</f>
        <v>-633.79747924073831</v>
      </c>
      <c r="S548" s="96">
        <f>S547+U547*Tableau!$G$2</f>
        <v>922.98605696866093</v>
      </c>
      <c r="T548" s="96">
        <f t="shared" si="16"/>
        <v>-62.625213218490927</v>
      </c>
      <c r="U548" s="96">
        <f t="shared" si="17"/>
        <v>-16.109428426005799</v>
      </c>
      <c r="V548" s="96">
        <f>((Tableau!$G$16-P548)/(AC548^2+Tableau!$G$21^2)^(3/2))*Tableau!$G$20</f>
        <v>-34.321096608121614</v>
      </c>
      <c r="W548" s="96">
        <f>((Tableau!$H$16-Q548)/(AC548^2+Tableau!$G$21^2)^(3/2))*Tableau!$G$20</f>
        <v>-7.7222816854766032</v>
      </c>
      <c r="X548" s="96">
        <f>((Tableau!$G$25-P548)/(AD548^2+Tableau!$G$30^2)^(3/2))*Tableau!$G$29</f>
        <v>-6.8939035223020513</v>
      </c>
      <c r="Y548" s="96">
        <f>((Tableau!$H$25-Q548)/(AD548^2+Tableau!$G$30^2)^(3/2))*Tableau!$G$29</f>
        <v>-1.0506962095757315</v>
      </c>
      <c r="Z548" s="96">
        <f>((Tableau!$G$35-P548)/(AE548^2+Tableau!$G$40^2)^(3/2))*Tableau!$G$39</f>
        <v>-21.410213088067255</v>
      </c>
      <c r="AA548" s="97">
        <f>((Tableau!$H$35-Q548)/(AE548^2+Tableau!$G$40^2)^(3/2))*Tableau!$G$39</f>
        <v>-7.3364505309534653</v>
      </c>
      <c r="AC548" s="110">
        <f>SQRT((Tableau!$G$16-P548)^2+(Tableau!$H$16-Q548)^2)</f>
        <v>121381.77305364412</v>
      </c>
      <c r="AD548" s="111">
        <f>SQRT((Tableau!$G$25-P548)^2+(Tableau!$H$25-Q548)^2)</f>
        <v>160250.60890001251</v>
      </c>
      <c r="AE548" s="112">
        <f>SQRT((Tableau!$G$35-P548)^2+(Tableau!$H$35-Q548)^2)</f>
        <v>151607.60495039899</v>
      </c>
    </row>
    <row r="549" spans="2:31" x14ac:dyDescent="0.25">
      <c r="B549" s="18">
        <v>546</v>
      </c>
      <c r="C549" s="19">
        <f>Tableau!$G$17*COS(B549*PI()/180)+Tableau!$G$16</f>
        <v>15027.390523158632</v>
      </c>
      <c r="D549" s="19">
        <f>Tableau!$G$17*SIN(B549*PI()/180)+Tableau!$H$16</f>
        <v>6977.3576836617312</v>
      </c>
      <c r="F549" s="26">
        <v>546</v>
      </c>
      <c r="G549" s="27">
        <f>Tableau!$G$26*COS(F549*PI()/180)+Tableau!$G$25</f>
        <v>-23480.826633788958</v>
      </c>
      <c r="H549" s="27">
        <f>Tableau!$G$26*SIN(F549*PI()/180)+Tableau!$H$25</f>
        <v>9634.1503785632121</v>
      </c>
      <c r="J549" s="34">
        <v>546</v>
      </c>
      <c r="K549" s="35">
        <f>Tableau!$G$36*COS(J549*PI()/180)+Tableau!$G$35</f>
        <v>-9972.6094768413677</v>
      </c>
      <c r="L549" s="35">
        <f>Tableau!$G$36*SIN(J549*PI()/180)+Tableau!$H$35</f>
        <v>-15522.642316338268</v>
      </c>
      <c r="N549" s="98">
        <v>545</v>
      </c>
      <c r="O549" s="99">
        <v>272.5</v>
      </c>
      <c r="P549" s="101">
        <f>P548+R548*Tableau!$G$2+((1/2)*T548)*Tableau!$G$2^2</f>
        <v>138096.48928763051</v>
      </c>
      <c r="Q549" s="101">
        <f>Q548+S548*Tableau!$G$2+((1/2)*U548)*Tableau!$G$2^2</f>
        <v>34604.373576702666</v>
      </c>
      <c r="R549" s="101">
        <f>R548+T548*Tableau!$G$2</f>
        <v>-665.11008584998376</v>
      </c>
      <c r="S549" s="101">
        <f>S548+U548*Tableau!$G$2</f>
        <v>914.93134275565808</v>
      </c>
      <c r="T549" s="101">
        <f t="shared" si="16"/>
        <v>-62.748337466531709</v>
      </c>
      <c r="U549" s="101">
        <f t="shared" si="17"/>
        <v>-16.400788790901256</v>
      </c>
      <c r="V549" s="101">
        <f>((Tableau!$G$16-P549)/(AC549^2+Tableau!$G$21^2)^(3/2))*Tableau!$G$20</f>
        <v>-34.408126630226036</v>
      </c>
      <c r="W549" s="101">
        <f>((Tableau!$H$16-Q549)/(AC549^2+Tableau!$G$21^2)^(3/2))*Tableau!$G$20</f>
        <v>-7.8970232213145053</v>
      </c>
      <c r="X549" s="101">
        <f>((Tableau!$G$25-P549)/(AD549^2+Tableau!$G$30^2)^(3/2))*Tableau!$G$29</f>
        <v>-6.9121393289953552</v>
      </c>
      <c r="Y549" s="101">
        <f>((Tableau!$H$25-Q549)/(AD549^2+Tableau!$G$30^2)^(3/2))*Tableau!$G$29</f>
        <v>-1.0757282405898865</v>
      </c>
      <c r="Z549" s="101">
        <f>((Tableau!$G$35-P549)/(AE549^2+Tableau!$G$40^2)^(3/2))*Tableau!$G$39</f>
        <v>-21.428071507310317</v>
      </c>
      <c r="AA549" s="102">
        <f>((Tableau!$H$35-Q549)/(AE549^2+Tableau!$G$40^2)^(3/2))*Tableau!$G$39</f>
        <v>-7.4280373289968642</v>
      </c>
      <c r="AC549" s="113">
        <f>SQRT((Tableau!$G$16-P549)^2+(Tableau!$H$16-Q549)^2)</f>
        <v>121166.94206362098</v>
      </c>
      <c r="AD549" s="114">
        <f>SQRT((Tableau!$G$25-P549)^2+(Tableau!$H$25-Q549)^2)</f>
        <v>159999.60976257353</v>
      </c>
      <c r="AE549" s="115">
        <f>SQRT((Tableau!$G$35-P549)^2+(Tableau!$H$35-Q549)^2)</f>
        <v>151450.31899729374</v>
      </c>
    </row>
    <row r="550" spans="2:31" x14ac:dyDescent="0.25">
      <c r="B550" s="20">
        <v>547</v>
      </c>
      <c r="C550" s="21">
        <f>Tableau!$G$17*COS(B550*PI()/180)+Tableau!$G$16</f>
        <v>15037.26924179339</v>
      </c>
      <c r="D550" s="21">
        <f>Tableau!$G$17*SIN(B550*PI()/180)+Tableau!$H$16</f>
        <v>6890.6532829742673</v>
      </c>
      <c r="F550" s="28">
        <v>547</v>
      </c>
      <c r="G550" s="29">
        <f>Tableau!$G$26*COS(F550*PI()/180)+Tableau!$G$25</f>
        <v>-23473.911530744626</v>
      </c>
      <c r="H550" s="29">
        <f>Tableau!$G$26*SIN(F550*PI()/180)+Tableau!$H$25</f>
        <v>9573.4572980819867</v>
      </c>
      <c r="J550" s="36">
        <v>547</v>
      </c>
      <c r="K550" s="37">
        <f>Tableau!$G$36*COS(J550*PI()/180)+Tableau!$G$35</f>
        <v>-9962.7307582066096</v>
      </c>
      <c r="L550" s="37">
        <f>Tableau!$G$36*SIN(J550*PI()/180)+Tableau!$H$35</f>
        <v>-15609.346717025734</v>
      </c>
      <c r="N550" s="92">
        <v>546</v>
      </c>
      <c r="O550" s="93">
        <v>273</v>
      </c>
      <c r="P550" s="96">
        <f>P549+R549*Tableau!$G$2+((1/2)*T549)*Tableau!$G$2^2</f>
        <v>137756.0907025222</v>
      </c>
      <c r="Q550" s="96">
        <f>Q549+S549*Tableau!$G$2+((1/2)*U549)*Tableau!$G$2^2</f>
        <v>35059.789149481636</v>
      </c>
      <c r="R550" s="96">
        <f>R549+T549*Tableau!$G$2</f>
        <v>-696.48425458324959</v>
      </c>
      <c r="S550" s="96">
        <f>S549+U549*Tableau!$G$2</f>
        <v>906.73094836020744</v>
      </c>
      <c r="T550" s="96">
        <f t="shared" si="16"/>
        <v>-62.883907952199166</v>
      </c>
      <c r="U550" s="96">
        <f t="shared" si="17"/>
        <v>-16.69780392322259</v>
      </c>
      <c r="V550" s="96">
        <f>((Tableau!$G$16-P550)/(AC550^2+Tableau!$G$21^2)^(3/2))*Tableau!$G$20</f>
        <v>-34.502700456784588</v>
      </c>
      <c r="W550" s="96">
        <f>((Tableau!$H$16-Q550)/(AC550^2+Tableau!$G$21^2)^(3/2))*Tableau!$G$20</f>
        <v>-8.0750570437911104</v>
      </c>
      <c r="X550" s="96">
        <f>((Tableau!$G$25-P550)/(AD550^2+Tableau!$G$30^2)^(3/2))*Tableau!$G$29</f>
        <v>-6.9316439394902476</v>
      </c>
      <c r="Y550" s="96">
        <f>((Tableau!$H$25-Q550)/(AD550^2+Tableau!$G$30^2)^(3/2))*Tableau!$G$29</f>
        <v>-1.1011019277250045</v>
      </c>
      <c r="Z550" s="96">
        <f>((Tableau!$G$35-P550)/(AE550^2+Tableau!$G$40^2)^(3/2))*Tableau!$G$39</f>
        <v>-21.449563555924332</v>
      </c>
      <c r="AA550" s="97">
        <f>((Tableau!$H$35-Q550)/(AE550^2+Tableau!$G$40^2)^(3/2))*Tableau!$G$39</f>
        <v>-7.5216449517064747</v>
      </c>
      <c r="AC550" s="110">
        <f>SQRT((Tableau!$G$16-P550)^2+(Tableau!$H$16-Q550)^2)</f>
        <v>120938.1613697865</v>
      </c>
      <c r="AD550" s="111">
        <f>SQRT((Tableau!$G$25-P550)^2+(Tableau!$H$25-Q550)^2)</f>
        <v>159734.08273114066</v>
      </c>
      <c r="AE550" s="112">
        <f>SQRT((Tableau!$G$35-P550)^2+(Tableau!$H$35-Q550)^2)</f>
        <v>151278.82840092762</v>
      </c>
    </row>
    <row r="551" spans="2:31" x14ac:dyDescent="0.25">
      <c r="B551" s="18">
        <v>548</v>
      </c>
      <c r="C551" s="19">
        <f>Tableau!$G$17*COS(B551*PI()/180)+Tableau!$G$16</f>
        <v>15048.659656292148</v>
      </c>
      <c r="D551" s="19">
        <f>Tableau!$G$17*SIN(B551*PI()/180)+Tableau!$H$16</f>
        <v>6804.1344951996734</v>
      </c>
      <c r="F551" s="26">
        <v>548</v>
      </c>
      <c r="G551" s="27">
        <f>Tableau!$G$26*COS(F551*PI()/180)+Tableau!$G$25</f>
        <v>-23465.938240595497</v>
      </c>
      <c r="H551" s="27">
        <f>Tableau!$G$26*SIN(F551*PI()/180)+Tableau!$H$25</f>
        <v>9512.8941466397719</v>
      </c>
      <c r="J551" s="34">
        <v>548</v>
      </c>
      <c r="K551" s="35">
        <f>Tableau!$G$36*COS(J551*PI()/180)+Tableau!$G$35</f>
        <v>-9951.3403437078523</v>
      </c>
      <c r="L551" s="35">
        <f>Tableau!$G$36*SIN(J551*PI()/180)+Tableau!$H$35</f>
        <v>-15695.865504800326</v>
      </c>
      <c r="N551" s="98">
        <v>547</v>
      </c>
      <c r="O551" s="99">
        <v>273.5</v>
      </c>
      <c r="P551" s="101">
        <f>P550+R550*Tableau!$G$2+((1/2)*T550)*Tableau!$G$2^2</f>
        <v>137399.98808673656</v>
      </c>
      <c r="Q551" s="101">
        <f>Q550+S550*Tableau!$G$2+((1/2)*U550)*Tableau!$G$2^2</f>
        <v>35511.067398171333</v>
      </c>
      <c r="R551" s="101">
        <f>R550+T550*Tableau!$G$2</f>
        <v>-727.92620855934922</v>
      </c>
      <c r="S551" s="101">
        <f>S550+U550*Tableau!$G$2</f>
        <v>898.38204639859612</v>
      </c>
      <c r="T551" s="101">
        <f t="shared" si="16"/>
        <v>-63.032081904223723</v>
      </c>
      <c r="U551" s="101">
        <f t="shared" si="17"/>
        <v>-17.00075634238442</v>
      </c>
      <c r="V551" s="101">
        <f>((Tableau!$G$16-P551)/(AC551^2+Tableau!$G$21^2)^(3/2))*Tableau!$G$20</f>
        <v>-34.604931056962322</v>
      </c>
      <c r="W551" s="101">
        <f>((Tableau!$H$16-Q551)/(AC551^2+Tableau!$G$21^2)^(3/2))*Tableau!$G$20</f>
        <v>-8.2565686073962592</v>
      </c>
      <c r="X551" s="101">
        <f>((Tableau!$G$25-P551)/(AD551^2+Tableau!$G$30^2)^(3/2))*Tableau!$G$29</f>
        <v>-6.9524379860013639</v>
      </c>
      <c r="Y551" s="101">
        <f>((Tableau!$H$25-Q551)/(AD551^2+Tableau!$G$30^2)^(3/2))*Tableau!$G$29</f>
        <v>-1.1268368962312083</v>
      </c>
      <c r="Z551" s="101">
        <f>((Tableau!$G$35-P551)/(AE551^2+Tableau!$G$40^2)^(3/2))*Tableau!$G$39</f>
        <v>-21.474712861260038</v>
      </c>
      <c r="AA551" s="102">
        <f>((Tableau!$H$35-Q551)/(AE551^2+Tableau!$G$40^2)^(3/2))*Tableau!$G$39</f>
        <v>-7.6173508387569502</v>
      </c>
      <c r="AC551" s="113">
        <f>SQRT((Tableau!$G$16-P551)^2+(Tableau!$H$16-Q551)^2)</f>
        <v>120695.38971953644</v>
      </c>
      <c r="AD551" s="114">
        <f>SQRT((Tableau!$G$25-P551)^2+(Tableau!$H$25-Q551)^2)</f>
        <v>159453.97708899848</v>
      </c>
      <c r="AE551" s="115">
        <f>SQRT((Tableau!$G$35-P551)^2+(Tableau!$H$35-Q551)^2)</f>
        <v>151093.09890529522</v>
      </c>
    </row>
    <row r="552" spans="2:31" x14ac:dyDescent="0.25">
      <c r="B552" s="20">
        <v>549</v>
      </c>
      <c r="C552" s="21">
        <f>Tableau!$G$17*COS(B552*PI()/180)+Tableau!$G$16</f>
        <v>15061.55829702431</v>
      </c>
      <c r="D552" s="21">
        <f>Tableau!$G$17*SIN(B552*PI()/180)+Tableau!$H$16</f>
        <v>6717.8276747988521</v>
      </c>
      <c r="F552" s="28">
        <v>549</v>
      </c>
      <c r="G552" s="29">
        <f>Tableau!$G$26*COS(F552*PI()/180)+Tableau!$G$25</f>
        <v>-23456.909192082981</v>
      </c>
      <c r="H552" s="29">
        <f>Tableau!$G$26*SIN(F552*PI()/180)+Tableau!$H$25</f>
        <v>9452.4793723591956</v>
      </c>
      <c r="J552" s="36">
        <v>549</v>
      </c>
      <c r="K552" s="37">
        <f>Tableau!$G$36*COS(J552*PI()/180)+Tableau!$G$35</f>
        <v>-9938.4417029756896</v>
      </c>
      <c r="L552" s="37">
        <f>Tableau!$G$36*SIN(J552*PI()/180)+Tableau!$H$35</f>
        <v>-15782.172325201149</v>
      </c>
      <c r="N552" s="92">
        <v>548</v>
      </c>
      <c r="O552" s="93">
        <v>274</v>
      </c>
      <c r="P552" s="96">
        <f>P551+R551*Tableau!$G$2+((1/2)*T551)*Tableau!$G$2^2</f>
        <v>137028.14597221886</v>
      </c>
      <c r="Q552" s="96">
        <f>Q551+S551*Tableau!$G$2+((1/2)*U551)*Tableau!$G$2^2</f>
        <v>35958.133326827832</v>
      </c>
      <c r="R552" s="96">
        <f>R551+T551*Tableau!$G$2</f>
        <v>-759.44224951146111</v>
      </c>
      <c r="S552" s="96">
        <f>S551+U551*Tableau!$G$2</f>
        <v>889.88166822740391</v>
      </c>
      <c r="T552" s="96">
        <f t="shared" si="16"/>
        <v>-63.193031176626519</v>
      </c>
      <c r="U552" s="96">
        <f t="shared" si="17"/>
        <v>-17.309939472205983</v>
      </c>
      <c r="V552" s="96">
        <f>((Tableau!$G$16-P552)/(AC552^2+Tableau!$G$21^2)^(3/2))*Tableau!$G$20</f>
        <v>-34.714940953635576</v>
      </c>
      <c r="W552" s="96">
        <f>((Tableau!$H$16-Q552)/(AC552^2+Tableau!$G$21^2)^(3/2))*Tableau!$G$20</f>
        <v>-8.441750571063805</v>
      </c>
      <c r="X552" s="96">
        <f>((Tableau!$G$25-P552)/(AD552^2+Tableau!$G$30^2)^(3/2))*Tableau!$G$29</f>
        <v>-6.9745435970745806</v>
      </c>
      <c r="Y552" s="96">
        <f>((Tableau!$H$25-Q552)/(AD552^2+Tableau!$G$30^2)^(3/2))*Tableau!$G$29</f>
        <v>-1.1529533859405414</v>
      </c>
      <c r="Z552" s="96">
        <f>((Tableau!$G$35-P552)/(AE552^2+Tableau!$G$40^2)^(3/2))*Tableau!$G$39</f>
        <v>-21.503546625916368</v>
      </c>
      <c r="AA552" s="97">
        <f>((Tableau!$H$35-Q552)/(AE552^2+Tableau!$G$40^2)^(3/2))*Tableau!$G$39</f>
        <v>-7.7152355152016341</v>
      </c>
      <c r="AC552" s="110">
        <f>SQRT((Tableau!$G$16-P552)^2+(Tableau!$H$16-Q552)^2)</f>
        <v>120438.583112483</v>
      </c>
      <c r="AD552" s="111">
        <f>SQRT((Tableau!$G$25-P552)^2+(Tableau!$H$25-Q552)^2)</f>
        <v>159159.23885620289</v>
      </c>
      <c r="AE552" s="112">
        <f>SQRT((Tableau!$G$35-P552)^2+(Tableau!$H$35-Q552)^2)</f>
        <v>150893.09328282945</v>
      </c>
    </row>
    <row r="553" spans="2:31" x14ac:dyDescent="0.25">
      <c r="B553" s="18">
        <v>550</v>
      </c>
      <c r="C553" s="19">
        <f>Tableau!$G$17*COS(B553*PI()/180)+Tableau!$G$16</f>
        <v>15075.961234938959</v>
      </c>
      <c r="D553" s="19">
        <f>Tableau!$G$17*SIN(B553*PI()/180)+Tableau!$H$16</f>
        <v>6631.7591116653512</v>
      </c>
      <c r="F553" s="26">
        <v>550</v>
      </c>
      <c r="G553" s="27">
        <f>Tableau!$G$26*COS(F553*PI()/180)+Tableau!$G$25</f>
        <v>-23446.827135542728</v>
      </c>
      <c r="H553" s="27">
        <f>Tableau!$G$26*SIN(F553*PI()/180)+Tableau!$H$25</f>
        <v>9392.2313781657467</v>
      </c>
      <c r="J553" s="34">
        <v>550</v>
      </c>
      <c r="K553" s="35">
        <f>Tableau!$G$36*COS(J553*PI()/180)+Tableau!$G$35</f>
        <v>-9924.038765061041</v>
      </c>
      <c r="L553" s="35">
        <f>Tableau!$G$36*SIN(J553*PI()/180)+Tableau!$H$35</f>
        <v>-15868.240888334649</v>
      </c>
      <c r="N553" s="98">
        <v>549</v>
      </c>
      <c r="O553" s="99">
        <v>274.5</v>
      </c>
      <c r="P553" s="101">
        <f>P552+R552*Tableau!$G$2+((1/2)*T552)*Tableau!$G$2^2</f>
        <v>136640.52571856603</v>
      </c>
      <c r="Q553" s="101">
        <f>Q552+S552*Tableau!$G$2+((1/2)*U552)*Tableau!$G$2^2</f>
        <v>36400.910418507512</v>
      </c>
      <c r="R553" s="101">
        <f>R552+T552*Tableau!$G$2</f>
        <v>-791.03876509977442</v>
      </c>
      <c r="S553" s="101">
        <f>S552+U552*Tableau!$G$2</f>
        <v>881.22669849130091</v>
      </c>
      <c r="T553" s="101">
        <f t="shared" si="16"/>
        <v>-63.366942717153151</v>
      </c>
      <c r="U553" s="101">
        <f t="shared" si="17"/>
        <v>-17.625658431431898</v>
      </c>
      <c r="V553" s="101">
        <f>((Tableau!$G$16-P553)/(AC553^2+Tableau!$G$21^2)^(3/2))*Tableau!$G$20</f>
        <v>-34.832862565856075</v>
      </c>
      <c r="W553" s="101">
        <f>((Tableau!$H$16-Q553)/(AC553^2+Tableau!$G$21^2)^(3/2))*Tableau!$G$20</f>
        <v>-8.6308033544446765</v>
      </c>
      <c r="X553" s="101">
        <f>((Tableau!$G$25-P553)/(AD553^2+Tableau!$G$30^2)^(3/2))*Tableau!$G$29</f>
        <v>-6.9979844561368587</v>
      </c>
      <c r="Y553" s="101">
        <f>((Tableau!$H$25-Q553)/(AD553^2+Tableau!$G$30^2)^(3/2))*Tableau!$G$29</f>
        <v>-1.1794722974086591</v>
      </c>
      <c r="Z553" s="101">
        <f>((Tableau!$G$35-P553)/(AE553^2+Tableau!$G$40^2)^(3/2))*Tableau!$G$39</f>
        <v>-21.536095695160217</v>
      </c>
      <c r="AA553" s="102">
        <f>((Tableau!$H$35-Q553)/(AE553^2+Tableau!$G$40^2)^(3/2))*Tableau!$G$39</f>
        <v>-7.815382779578564</v>
      </c>
      <c r="AC553" s="113">
        <f>SQRT((Tableau!$G$16-P553)^2+(Tableau!$H$16-Q553)^2)</f>
        <v>120167.69475579557</v>
      </c>
      <c r="AD553" s="114">
        <f>SQRT((Tableau!$G$25-P553)^2+(Tableau!$H$25-Q553)^2)</f>
        <v>158849.81072797917</v>
      </c>
      <c r="AE553" s="115">
        <f>SQRT((Tableau!$G$35-P553)^2+(Tableau!$H$35-Q553)^2)</f>
        <v>150678.77129072693</v>
      </c>
    </row>
    <row r="554" spans="2:31" x14ac:dyDescent="0.25">
      <c r="B554" s="20">
        <v>551</v>
      </c>
      <c r="C554" s="21">
        <f>Tableau!$G$17*COS(B554*PI()/180)+Tableau!$G$16</f>
        <v>15091.864082761678</v>
      </c>
      <c r="D554" s="21">
        <f>Tableau!$G$17*SIN(B554*PI()/180)+Tableau!$H$16</f>
        <v>6545.9550231172843</v>
      </c>
      <c r="F554" s="28">
        <v>551</v>
      </c>
      <c r="G554" s="29">
        <f>Tableau!$G$26*COS(F554*PI()/180)+Tableau!$G$25</f>
        <v>-23435.695142066827</v>
      </c>
      <c r="H554" s="29">
        <f>Tableau!$G$26*SIN(F554*PI()/180)+Tableau!$H$25</f>
        <v>9332.1685161820988</v>
      </c>
      <c r="J554" s="36">
        <v>551</v>
      </c>
      <c r="K554" s="37">
        <f>Tableau!$G$36*COS(J554*PI()/180)+Tableau!$G$35</f>
        <v>-9908.1359172383218</v>
      </c>
      <c r="L554" s="37">
        <f>Tableau!$G$36*SIN(J554*PI()/180)+Tableau!$H$35</f>
        <v>-15954.044976882717</v>
      </c>
      <c r="N554" s="92">
        <v>550</v>
      </c>
      <c r="O554" s="93">
        <v>275</v>
      </c>
      <c r="P554" s="96">
        <f>P553+R553*Tableau!$G$2+((1/2)*T553)*Tableau!$G$2^2</f>
        <v>136237.08546817649</v>
      </c>
      <c r="Q554" s="96">
        <f>Q553+S553*Tableau!$G$2+((1/2)*U553)*Tableau!$G$2^2</f>
        <v>36839.320560449232</v>
      </c>
      <c r="R554" s="96">
        <f>R553+T553*Tableau!$G$2</f>
        <v>-822.72223645835095</v>
      </c>
      <c r="S554" s="96">
        <f>S553+U553*Tableau!$G$2</f>
        <v>872.41386927558494</v>
      </c>
      <c r="T554" s="96">
        <f t="shared" si="16"/>
        <v>-63.554019080494193</v>
      </c>
      <c r="U554" s="96">
        <f t="shared" si="17"/>
        <v>-17.94823087383741</v>
      </c>
      <c r="V554" s="96">
        <f>((Tableau!$G$16-P554)/(AC554^2+Tableau!$G$21^2)^(3/2))*Tableau!$G$20</f>
        <v>-34.95883858224645</v>
      </c>
      <c r="W554" s="96">
        <f>((Tableau!$H$16-Q554)/(AC554^2+Tableau!$G$21^2)^(3/2))*Tableau!$G$20</f>
        <v>-8.8239357297575882</v>
      </c>
      <c r="X554" s="96">
        <f>((Tableau!$G$25-P554)/(AD554^2+Tableau!$G$30^2)^(3/2))*Tableau!$G$29</f>
        <v>-7.0227858648938257</v>
      </c>
      <c r="Y554" s="96">
        <f>((Tableau!$H$25-Q554)/(AD554^2+Tableau!$G$30^2)^(3/2))*Tableau!$G$29</f>
        <v>-1.2064152405970827</v>
      </c>
      <c r="Z554" s="96">
        <f>((Tableau!$G$35-P554)/(AE554^2+Tableau!$G$40^2)^(3/2))*Tableau!$G$39</f>
        <v>-21.572394633353916</v>
      </c>
      <c r="AA554" s="97">
        <f>((Tableau!$H$35-Q554)/(AE554^2+Tableau!$G$40^2)^(3/2))*Tableau!$G$39</f>
        <v>-7.9178799034827367</v>
      </c>
      <c r="AC554" s="110">
        <f>SQRT((Tableau!$G$16-P554)^2+(Tableau!$H$16-Q554)^2)</f>
        <v>119882.67501638827</v>
      </c>
      <c r="AD554" s="111">
        <f>SQRT((Tableau!$G$25-P554)^2+(Tableau!$H$25-Q554)^2)</f>
        <v>158525.63200863398</v>
      </c>
      <c r="AE554" s="112">
        <f>SQRT((Tableau!$G$35-P554)^2+(Tableau!$H$35-Q554)^2)</f>
        <v>150450.08962348278</v>
      </c>
    </row>
    <row r="555" spans="2:31" x14ac:dyDescent="0.25">
      <c r="B555" s="18">
        <v>552</v>
      </c>
      <c r="C555" s="19">
        <f>Tableau!$G$17*COS(B555*PI()/180)+Tableau!$G$16</f>
        <v>15109.26199633097</v>
      </c>
      <c r="D555" s="19">
        <f>Tableau!$G$17*SIN(B555*PI()/180)+Tableau!$H$16</f>
        <v>6460.4415459112079</v>
      </c>
      <c r="F555" s="26">
        <v>552</v>
      </c>
      <c r="G555" s="27">
        <f>Tableau!$G$26*COS(F555*PI()/180)+Tableau!$G$25</f>
        <v>-23423.516602568321</v>
      </c>
      <c r="H555" s="27">
        <f>Tableau!$G$26*SIN(F555*PI()/180)+Tableau!$H$25</f>
        <v>9272.3090821378464</v>
      </c>
      <c r="J555" s="34">
        <v>552</v>
      </c>
      <c r="K555" s="35">
        <f>Tableau!$G$36*COS(J555*PI()/180)+Tableau!$G$35</f>
        <v>-9890.7380036690301</v>
      </c>
      <c r="L555" s="35">
        <f>Tableau!$G$36*SIN(J555*PI()/180)+Tableau!$H$35</f>
        <v>-16039.558454088792</v>
      </c>
      <c r="N555" s="98">
        <v>551</v>
      </c>
      <c r="O555" s="99">
        <v>275.5</v>
      </c>
      <c r="P555" s="101">
        <f>P554+R554*Tableau!$G$2+((1/2)*T554)*Tableau!$G$2^2</f>
        <v>135817.78009756227</v>
      </c>
      <c r="Q555" s="101">
        <f>Q554+S554*Tableau!$G$2+((1/2)*U554)*Tableau!$G$2^2</f>
        <v>37273.283966227791</v>
      </c>
      <c r="R555" s="101">
        <f>R554+T554*Tableau!$G$2</f>
        <v>-854.4992459985981</v>
      </c>
      <c r="S555" s="101">
        <f>S554+U554*Tableau!$G$2</f>
        <v>863.43975383866621</v>
      </c>
      <c r="T555" s="101">
        <f t="shared" si="16"/>
        <v>-63.754478988854302</v>
      </c>
      <c r="U555" s="101">
        <f t="shared" si="17"/>
        <v>-18.27798788250287</v>
      </c>
      <c r="V555" s="101">
        <f>((Tableau!$G$16-P555)/(AC555^2+Tableau!$G$21^2)^(3/2))*Tableau!$G$20</f>
        <v>-35.09302236722143</v>
      </c>
      <c r="W555" s="101">
        <f>((Tableau!$H$16-Q555)/(AC555^2+Tableau!$G$21^2)^(3/2))*Tableau!$G$20</f>
        <v>-9.0213654526301763</v>
      </c>
      <c r="X555" s="101">
        <f>((Tableau!$G$25-P555)/(AD555^2+Tableau!$G$30^2)^(3/2))*Tableau!$G$29</f>
        <v>-7.0489748118980922</v>
      </c>
      <c r="Y555" s="101">
        <f>((Tableau!$H$25-Q555)/(AD555^2+Tableau!$G$30^2)^(3/2))*Tableau!$G$29</f>
        <v>-1.2338045863271252</v>
      </c>
      <c r="Z555" s="101">
        <f>((Tableau!$G$35-P555)/(AE555^2+Tableau!$G$40^2)^(3/2))*Tableau!$G$39</f>
        <v>-21.612481809734778</v>
      </c>
      <c r="AA555" s="102">
        <f>((Tableau!$H$35-Q555)/(AE555^2+Tableau!$G$40^2)^(3/2))*Tableau!$G$39</f>
        <v>-8.0228178435455693</v>
      </c>
      <c r="AC555" s="113">
        <f>SQRT((Tableau!$G$16-P555)^2+(Tableau!$H$16-Q555)^2)</f>
        <v>119583.47136983827</v>
      </c>
      <c r="AD555" s="114">
        <f>SQRT((Tableau!$G$25-P555)^2+(Tableau!$H$25-Q555)^2)</f>
        <v>158186.63854079071</v>
      </c>
      <c r="AE555" s="115">
        <f>SQRT((Tableau!$G$35-P555)^2+(Tableau!$H$35-Q555)^2)</f>
        <v>150207.00186149543</v>
      </c>
    </row>
    <row r="556" spans="2:31" x14ac:dyDescent="0.25">
      <c r="B556" s="20">
        <v>553</v>
      </c>
      <c r="C556" s="21">
        <f>Tableau!$G$17*COS(B556*PI()/180)+Tableau!$G$16</f>
        <v>15128.149676073823</v>
      </c>
      <c r="D556" s="21">
        <f>Tableau!$G$17*SIN(B556*PI()/180)+Tableau!$H$16</f>
        <v>6375.2447282806761</v>
      </c>
      <c r="F556" s="28">
        <v>553</v>
      </c>
      <c r="G556" s="29">
        <f>Tableau!$G$26*COS(F556*PI()/180)+Tableau!$G$25</f>
        <v>-23410.295226748323</v>
      </c>
      <c r="H556" s="29">
        <f>Tableau!$G$26*SIN(F556*PI()/180)+Tableau!$H$25</f>
        <v>9212.671309796473</v>
      </c>
      <c r="J556" s="36">
        <v>553</v>
      </c>
      <c r="K556" s="37">
        <f>Tableau!$G$36*COS(J556*PI()/180)+Tableau!$G$35</f>
        <v>-9871.8503239261772</v>
      </c>
      <c r="L556" s="37">
        <f>Tableau!$G$36*SIN(J556*PI()/180)+Tableau!$H$35</f>
        <v>-16124.755271719323</v>
      </c>
      <c r="N556" s="92">
        <v>552</v>
      </c>
      <c r="O556" s="93">
        <v>276</v>
      </c>
      <c r="P556" s="96">
        <f>P555+R555*Tableau!$G$2+((1/2)*T555)*Tableau!$G$2^2</f>
        <v>135382.56116468934</v>
      </c>
      <c r="Q556" s="96">
        <f>Q555+S555*Tableau!$G$2+((1/2)*U555)*Tableau!$G$2^2</f>
        <v>37702.719094661814</v>
      </c>
      <c r="R556" s="96">
        <f>R555+T555*Tableau!$G$2</f>
        <v>-886.37648549302526</v>
      </c>
      <c r="S556" s="96">
        <f>S555+U555*Tableau!$G$2</f>
        <v>854.30075989741476</v>
      </c>
      <c r="T556" s="96">
        <f t="shared" si="16"/>
        <v>-63.96855794270629</v>
      </c>
      <c r="U556" s="96">
        <f t="shared" si="17"/>
        <v>-18.615274923254006</v>
      </c>
      <c r="V556" s="96">
        <f>((Tableau!$G$16-P556)/(AC556^2+Tableau!$G$21^2)^(3/2))*Tableau!$G$20</f>
        <v>-35.235578402124943</v>
      </c>
      <c r="W556" s="96">
        <f>((Tableau!$H$16-Q556)/(AC556^2+Tableau!$G$21^2)^(3/2))*Tableau!$G$20</f>
        <v>-9.2233199356558764</v>
      </c>
      <c r="X556" s="96">
        <f>((Tableau!$G$25-P556)/(AD556^2+Tableau!$G$30^2)^(3/2))*Tableau!$G$29</f>
        <v>-7.0765800466434774</v>
      </c>
      <c r="Y556" s="96">
        <f>((Tableau!$H$25-Q556)/(AD556^2+Tableau!$G$30^2)^(3/2))*Tableau!$G$29</f>
        <v>-1.2616635207555276</v>
      </c>
      <c r="Z556" s="96">
        <f>((Tableau!$G$35-P556)/(AE556^2+Tableau!$G$40^2)^(3/2))*Tableau!$G$39</f>
        <v>-21.656399493937869</v>
      </c>
      <c r="AA556" s="97">
        <f>((Tableau!$H$35-Q556)/(AE556^2+Tableau!$G$40^2)^(3/2))*Tableau!$G$39</f>
        <v>-8.1302914668426034</v>
      </c>
      <c r="AC556" s="110">
        <f>SQRT((Tableau!$G$16-P556)^2+(Tableau!$H$16-Q556)^2)</f>
        <v>119270.02834591064</v>
      </c>
      <c r="AD556" s="111">
        <f>SQRT((Tableau!$G$25-P556)^2+(Tableau!$H$25-Q556)^2)</f>
        <v>157832.76262974099</v>
      </c>
      <c r="AE556" s="112">
        <f>SQRT((Tableau!$G$35-P556)^2+(Tableau!$H$35-Q556)^2)</f>
        <v>149949.45841558938</v>
      </c>
    </row>
    <row r="557" spans="2:31" x14ac:dyDescent="0.25">
      <c r="B557" s="18">
        <v>554</v>
      </c>
      <c r="C557" s="19">
        <f>Tableau!$G$17*COS(B557*PI()/180)+Tableau!$G$16</f>
        <v>15148.521368620019</v>
      </c>
      <c r="D557" s="19">
        <f>Tableau!$G$17*SIN(B557*PI()/180)+Tableau!$H$16</f>
        <v>6290.3905220016595</v>
      </c>
      <c r="F557" s="26">
        <v>554</v>
      </c>
      <c r="G557" s="27">
        <f>Tableau!$G$26*COS(F557*PI()/180)+Tableau!$G$25</f>
        <v>-23396.035041965988</v>
      </c>
      <c r="H557" s="27">
        <f>Tableau!$G$26*SIN(F557*PI()/180)+Tableau!$H$25</f>
        <v>9153.2733654011608</v>
      </c>
      <c r="J557" s="34">
        <v>554</v>
      </c>
      <c r="K557" s="35">
        <f>Tableau!$G$36*COS(J557*PI()/180)+Tableau!$G$35</f>
        <v>-9851.4786313799814</v>
      </c>
      <c r="L557" s="35">
        <f>Tableau!$G$36*SIN(J557*PI()/180)+Tableau!$H$35</f>
        <v>-16209.60947799834</v>
      </c>
      <c r="N557" s="98">
        <v>553</v>
      </c>
      <c r="O557" s="99">
        <v>276.5</v>
      </c>
      <c r="P557" s="101">
        <f>P556+R556*Tableau!$G$2+((1/2)*T556)*Tableau!$G$2^2</f>
        <v>134931.37685219999</v>
      </c>
      <c r="Q557" s="101">
        <f>Q556+S556*Tableau!$G$2+((1/2)*U556)*Tableau!$G$2^2</f>
        <v>38127.542565245116</v>
      </c>
      <c r="R557" s="101">
        <f>R556+T556*Tableau!$G$2</f>
        <v>-918.36076446437835</v>
      </c>
      <c r="S557" s="101">
        <f>S556+U556*Tableau!$G$2</f>
        <v>844.99312243578777</v>
      </c>
      <c r="T557" s="101">
        <f t="shared" si="16"/>
        <v>-64.196508884853117</v>
      </c>
      <c r="U557" s="101">
        <f t="shared" si="17"/>
        <v>-18.960452862719492</v>
      </c>
      <c r="V557" s="101">
        <f>((Tableau!$G$16-P557)/(AC557^2+Tableau!$G$21^2)^(3/2))*Tableau!$G$20</f>
        <v>-35.38668276357928</v>
      </c>
      <c r="W557" s="101">
        <f>((Tableau!$H$16-Q557)/(AC557^2+Tableau!$G$21^2)^(3/2))*Tableau!$G$20</f>
        <v>-9.4300369687392642</v>
      </c>
      <c r="X557" s="101">
        <f>((Tableau!$G$25-P557)/(AD557^2+Tableau!$G$30^2)^(3/2))*Tableau!$G$29</f>
        <v>-7.1056321595759311</v>
      </c>
      <c r="Y557" s="101">
        <f>((Tableau!$H$25-Q557)/(AD557^2+Tableau!$G$30^2)^(3/2))*Tableau!$G$29</f>
        <v>-1.2900161031429482</v>
      </c>
      <c r="Z557" s="101">
        <f>((Tableau!$G$35-P557)/(AE557^2+Tableau!$G$40^2)^(3/2))*Tableau!$G$39</f>
        <v>-21.704193961697904</v>
      </c>
      <c r="AA557" s="102">
        <f>((Tableau!$H$35-Q557)/(AE557^2+Tableau!$G$40^2)^(3/2))*Tableau!$G$39</f>
        <v>-8.2403997908372819</v>
      </c>
      <c r="AC557" s="113">
        <f>SQRT((Tableau!$G$16-P557)^2+(Tableau!$H$16-Q557)^2)</f>
        <v>118942.2874705557</v>
      </c>
      <c r="AD557" s="114">
        <f>SQRT((Tableau!$G$25-P557)^2+(Tableau!$H$25-Q557)^2)</f>
        <v>157463.93296268859</v>
      </c>
      <c r="AE557" s="115">
        <f>SQRT((Tableau!$G$35-P557)^2+(Tableau!$H$35-Q557)^2)</f>
        <v>149677.40646728998</v>
      </c>
    </row>
    <row r="558" spans="2:31" x14ac:dyDescent="0.25">
      <c r="B558" s="20">
        <v>555</v>
      </c>
      <c r="C558" s="21">
        <f>Tableau!$G$17*COS(B558*PI()/180)+Tableau!$G$16</f>
        <v>15170.370868554659</v>
      </c>
      <c r="D558" s="21">
        <f>Tableau!$G$17*SIN(B558*PI()/180)+Tableau!$H$16</f>
        <v>6205.9047744873906</v>
      </c>
      <c r="F558" s="28">
        <v>555</v>
      </c>
      <c r="G558" s="29">
        <f>Tableau!$G$26*COS(F558*PI()/180)+Tableau!$G$25</f>
        <v>-23380.740392011739</v>
      </c>
      <c r="H558" s="29">
        <f>Tableau!$G$26*SIN(F558*PI()/180)+Tableau!$H$25</f>
        <v>9094.1333421411728</v>
      </c>
      <c r="J558" s="36">
        <v>555</v>
      </c>
      <c r="K558" s="37">
        <f>Tableau!$G$36*COS(J558*PI()/180)+Tableau!$G$35</f>
        <v>-9829.629131445341</v>
      </c>
      <c r="L558" s="37">
        <f>Tableau!$G$36*SIN(J558*PI()/180)+Tableau!$H$35</f>
        <v>-16294.095225512609</v>
      </c>
      <c r="N558" s="92">
        <v>554</v>
      </c>
      <c r="O558" s="93">
        <v>277</v>
      </c>
      <c r="P558" s="96">
        <f>P557+R557*Tableau!$G$2+((1/2)*T557)*Tableau!$G$2^2</f>
        <v>134464.17190635719</v>
      </c>
      <c r="Q558" s="96">
        <f>Q557+S557*Tableau!$G$2+((1/2)*U557)*Tableau!$G$2^2</f>
        <v>38547.669069855168</v>
      </c>
      <c r="R558" s="96">
        <f>R557+T557*Tableau!$G$2</f>
        <v>-950.45901890680489</v>
      </c>
      <c r="S558" s="96">
        <f>S557+U557*Tableau!$G$2</f>
        <v>835.51289600442806</v>
      </c>
      <c r="T558" s="96">
        <f t="shared" si="16"/>
        <v>-64.438602921241312</v>
      </c>
      <c r="U558" s="96">
        <f t="shared" si="17"/>
        <v>-19.313899056967422</v>
      </c>
      <c r="V558" s="96">
        <f>((Tableau!$G$16-P558)/(AC558^2+Tableau!$G$21^2)^(3/2))*Tableau!$G$20</f>
        <v>-35.546523641574694</v>
      </c>
      <c r="W558" s="96">
        <f>((Tableau!$H$16-Q558)/(AC558^2+Tableau!$G$21^2)^(3/2))*Tableau!$G$20</f>
        <v>-9.6417654906923733</v>
      </c>
      <c r="X558" s="96">
        <f>((Tableau!$G$25-P558)/(AD558^2+Tableau!$G$30^2)^(3/2))*Tableau!$G$29</f>
        <v>-7.1361636684493046</v>
      </c>
      <c r="Y558" s="96">
        <f>((Tableau!$H$25-Q558)/(AD558^2+Tableau!$G$30^2)^(3/2))*Tableau!$G$29</f>
        <v>-1.318887327209566</v>
      </c>
      <c r="Z558" s="96">
        <f>((Tableau!$G$35-P558)/(AE558^2+Tableau!$G$40^2)^(3/2))*Tableau!$G$39</f>
        <v>-21.755915611217304</v>
      </c>
      <c r="AA558" s="97">
        <f>((Tableau!$H$35-Q558)/(AE558^2+Tableau!$G$40^2)^(3/2))*Tableau!$G$39</f>
        <v>-8.3532462390654807</v>
      </c>
      <c r="AC558" s="110">
        <f>SQRT((Tableau!$G$16-P558)^2+(Tableau!$H$16-Q558)^2)</f>
        <v>118600.18720423392</v>
      </c>
      <c r="AD558" s="111">
        <f>SQRT((Tableau!$G$25-P558)^2+(Tableau!$H$25-Q558)^2)</f>
        <v>157080.07452264157</v>
      </c>
      <c r="AE558" s="112">
        <f>SQRT((Tableau!$G$35-P558)^2+(Tableau!$H$35-Q558)^2)</f>
        <v>149390.78990466808</v>
      </c>
    </row>
    <row r="559" spans="2:31" x14ac:dyDescent="0.25">
      <c r="B559" s="18">
        <v>556</v>
      </c>
      <c r="C559" s="19">
        <f>Tableau!$G$17*COS(B559*PI()/180)+Tableau!$G$16</f>
        <v>15193.691520308406</v>
      </c>
      <c r="D559" s="19">
        <f>Tableau!$G$17*SIN(B559*PI()/180)+Tableau!$H$16</f>
        <v>6121.8132209150044</v>
      </c>
      <c r="F559" s="26">
        <v>556</v>
      </c>
      <c r="G559" s="27">
        <f>Tableau!$G$26*COS(F559*PI()/180)+Tableau!$G$25</f>
        <v>-23364.415935784116</v>
      </c>
      <c r="H559" s="27">
        <f>Tableau!$G$26*SIN(F559*PI()/180)+Tableau!$H$25</f>
        <v>9035.2692546405033</v>
      </c>
      <c r="J559" s="34">
        <v>556</v>
      </c>
      <c r="K559" s="35">
        <f>Tableau!$G$36*COS(J559*PI()/180)+Tableau!$G$35</f>
        <v>-9806.3084796915937</v>
      </c>
      <c r="L559" s="35">
        <f>Tableau!$G$36*SIN(J559*PI()/180)+Tableau!$H$35</f>
        <v>-16378.186779084996</v>
      </c>
      <c r="N559" s="98">
        <v>555</v>
      </c>
      <c r="O559" s="99">
        <v>277.5</v>
      </c>
      <c r="P559" s="101">
        <f>P558+R558*Tableau!$G$2+((1/2)*T558)*Tableau!$G$2^2</f>
        <v>133980.88757153862</v>
      </c>
      <c r="Q559" s="101">
        <f>Q558+S558*Tableau!$G$2+((1/2)*U558)*Tableau!$G$2^2</f>
        <v>38963.011280475257</v>
      </c>
      <c r="R559" s="101">
        <f>R558+T558*Tableau!$G$2</f>
        <v>-982.6783203674255</v>
      </c>
      <c r="S559" s="101">
        <f>S558+U558*Tableau!$G$2</f>
        <v>825.85594647594439</v>
      </c>
      <c r="T559" s="101">
        <f t="shared" si="16"/>
        <v>-64.695130102304091</v>
      </c>
      <c r="U559" s="101">
        <f t="shared" si="17"/>
        <v>-19.676008517245918</v>
      </c>
      <c r="V559" s="101">
        <f>((Tableau!$G$16-P559)/(AC559^2+Tableau!$G$21^2)^(3/2))*Tableau!$G$20</f>
        <v>-35.715301900064631</v>
      </c>
      <c r="W559" s="101">
        <f>((Tableau!$H$16-Q559)/(AC559^2+Tableau!$G$21^2)^(3/2))*Tableau!$G$20</f>
        <v>-9.8587664169752163</v>
      </c>
      <c r="X559" s="101">
        <f>((Tableau!$G$25-P559)/(AD559^2+Tableau!$G$30^2)^(3/2))*Tableau!$G$29</f>
        <v>-7.1682091114966378</v>
      </c>
      <c r="Y559" s="101">
        <f>((Tableau!$H$25-Q559)/(AD559^2+Tableau!$G$30^2)^(3/2))*Tableau!$G$29</f>
        <v>-1.348303186397902</v>
      </c>
      <c r="Z559" s="101">
        <f>((Tableau!$G$35-P559)/(AE559^2+Tableau!$G$40^2)^(3/2))*Tableau!$G$39</f>
        <v>-21.81161909074282</v>
      </c>
      <c r="AA559" s="102">
        <f>((Tableau!$H$35-Q559)/(AE559^2+Tableau!$G$40^2)^(3/2))*Tableau!$G$39</f>
        <v>-8.4689389138728011</v>
      </c>
      <c r="AC559" s="113">
        <f>SQRT((Tableau!$G$16-P559)^2+(Tableau!$H$16-Q559)^2)</f>
        <v>118243.66287641398</v>
      </c>
      <c r="AD559" s="114">
        <f>SQRT((Tableau!$G$25-P559)^2+(Tableau!$H$25-Q559)^2)</f>
        <v>156681.10849669066</v>
      </c>
      <c r="AE559" s="115">
        <f>SQRT((Tableau!$G$35-P559)^2+(Tableau!$H$35-Q559)^2)</f>
        <v>149089.54925355889</v>
      </c>
    </row>
    <row r="560" spans="2:31" x14ac:dyDescent="0.25">
      <c r="B560" s="20">
        <v>557</v>
      </c>
      <c r="C560" s="21">
        <f>Tableau!$G$17*COS(B560*PI()/180)+Tableau!$G$16</f>
        <v>15218.476220184824</v>
      </c>
      <c r="D560" s="21">
        <f>Tableau!$G$17*SIN(B560*PI()/180)+Tableau!$H$16</f>
        <v>6038.1414763863131</v>
      </c>
      <c r="F560" s="28">
        <v>557</v>
      </c>
      <c r="G560" s="29">
        <f>Tableau!$G$26*COS(F560*PI()/180)+Tableau!$G$25</f>
        <v>-23347.066645870626</v>
      </c>
      <c r="H560" s="29">
        <f>Tableau!$G$26*SIN(F560*PI()/180)+Tableau!$H$25</f>
        <v>8976.6990334704187</v>
      </c>
      <c r="J560" s="36">
        <v>557</v>
      </c>
      <c r="K560" s="37">
        <f>Tableau!$G$36*COS(J560*PI()/180)+Tableau!$G$35</f>
        <v>-9781.5237798151757</v>
      </c>
      <c r="L560" s="37">
        <f>Tableau!$G$36*SIN(J560*PI()/180)+Tableau!$H$35</f>
        <v>-16461.858523613686</v>
      </c>
      <c r="N560" s="92">
        <v>556</v>
      </c>
      <c r="O560" s="93">
        <v>278</v>
      </c>
      <c r="P560" s="96">
        <f>P559+R559*Tableau!$G$2+((1/2)*T559)*Tableau!$G$2^2</f>
        <v>133481.46152009213</v>
      </c>
      <c r="Q560" s="96">
        <f>Q559+S559*Tableau!$G$2+((1/2)*U559)*Tableau!$G$2^2</f>
        <v>39373.479752648571</v>
      </c>
      <c r="R560" s="96">
        <f>R559+T559*Tableau!$G$2</f>
        <v>-1015.0258854185776</v>
      </c>
      <c r="S560" s="96">
        <f>S559+U559*Tableau!$G$2</f>
        <v>816.01794221732143</v>
      </c>
      <c r="T560" s="96">
        <f t="shared" si="16"/>
        <v>-64.966400269000374</v>
      </c>
      <c r="U560" s="96">
        <f t="shared" si="17"/>
        <v>-20.047195159988114</v>
      </c>
      <c r="V560" s="96">
        <f>((Tableau!$G$16-P560)/(AC560^2+Tableau!$G$21^2)^(3/2))*Tableau!$G$20</f>
        <v>-35.893231683116376</v>
      </c>
      <c r="W560" s="96">
        <f>((Tableau!$H$16-Q560)/(AC560^2+Tableau!$G$21^2)^(3/2))*Tableau!$G$20</f>
        <v>-10.081313528962427</v>
      </c>
      <c r="X560" s="96">
        <f>((Tableau!$G$25-P560)/(AD560^2+Tableau!$G$30^2)^(3/2))*Tableau!$G$29</f>
        <v>-7.201805147934051</v>
      </c>
      <c r="Y560" s="96">
        <f>((Tableau!$H$25-Q560)/(AD560^2+Tableau!$G$30^2)^(3/2))*Tableau!$G$29</f>
        <v>-1.3782907433916267</v>
      </c>
      <c r="Z560" s="96">
        <f>((Tableau!$G$35-P560)/(AE560^2+Tableau!$G$40^2)^(3/2))*Tableau!$G$39</f>
        <v>-21.871363437949949</v>
      </c>
      <c r="AA560" s="97">
        <f>((Tableau!$H$35-Q560)/(AE560^2+Tableau!$G$40^2)^(3/2))*Tableau!$G$39</f>
        <v>-8.5875908876340592</v>
      </c>
      <c r="AC560" s="110">
        <f>SQRT((Tableau!$G$16-P560)^2+(Tableau!$H$16-Q560)^2)</f>
        <v>117872.64661607733</v>
      </c>
      <c r="AD560" s="111">
        <f>SQRT((Tableau!$G$25-P560)^2+(Tableau!$H$25-Q560)^2)</f>
        <v>156266.95217838854</v>
      </c>
      <c r="AE560" s="112">
        <f>SQRT((Tableau!$G$35-P560)^2+(Tableau!$H$35-Q560)^2)</f>
        <v>148773.62160394041</v>
      </c>
    </row>
    <row r="561" spans="2:31" x14ac:dyDescent="0.25">
      <c r="B561" s="18">
        <v>558</v>
      </c>
      <c r="C561" s="19">
        <f>Tableau!$G$17*COS(B561*PI()/180)+Tableau!$G$16</f>
        <v>15244.717418524233</v>
      </c>
      <c r="D561" s="19">
        <f>Tableau!$G$17*SIN(B561*PI()/180)+Tableau!$H$16</f>
        <v>5954.9150281252641</v>
      </c>
      <c r="F561" s="26">
        <v>558</v>
      </c>
      <c r="G561" s="27">
        <f>Tableau!$G$26*COS(F561*PI()/180)+Tableau!$G$25</f>
        <v>-23328.697807033037</v>
      </c>
      <c r="H561" s="27">
        <f>Tableau!$G$26*SIN(F561*PI()/180)+Tableau!$H$25</f>
        <v>8918.4405196876851</v>
      </c>
      <c r="J561" s="34">
        <v>558</v>
      </c>
      <c r="K561" s="35">
        <f>Tableau!$G$36*COS(J561*PI()/180)+Tableau!$G$35</f>
        <v>-9755.2825814757671</v>
      </c>
      <c r="L561" s="35">
        <f>Tableau!$G$36*SIN(J561*PI()/180)+Tableau!$H$35</f>
        <v>-16545.084971874734</v>
      </c>
      <c r="N561" s="98">
        <v>557</v>
      </c>
      <c r="O561" s="99">
        <v>278.5</v>
      </c>
      <c r="P561" s="101">
        <f>P560+R560*Tableau!$G$2+((1/2)*T560)*Tableau!$G$2^2</f>
        <v>132965.82777734922</v>
      </c>
      <c r="Q561" s="101">
        <f>Q560+S560*Tableau!$G$2+((1/2)*U560)*Tableau!$G$2^2</f>
        <v>39778.982824362232</v>
      </c>
      <c r="R561" s="101">
        <f>R560+T560*Tableau!$G$2</f>
        <v>-1047.5090855530777</v>
      </c>
      <c r="S561" s="101">
        <f>S560+U560*Tableau!$G$2</f>
        <v>805.99434463732734</v>
      </c>
      <c r="T561" s="101">
        <f t="shared" si="16"/>
        <v>-65.252743968117841</v>
      </c>
      <c r="U561" s="101">
        <f t="shared" si="17"/>
        <v>-20.427893148943845</v>
      </c>
      <c r="V561" s="101">
        <f>((Tableau!$G$16-P561)/(AC561^2+Tableau!$G$21^2)^(3/2))*Tableau!$G$20</f>
        <v>-36.080541069956169</v>
      </c>
      <c r="W561" s="101">
        <f>((Tableau!$H$16-Q561)/(AC561^2+Tableau!$G$21^2)^(3/2))*Tableau!$G$20</f>
        <v>-10.309694430658029</v>
      </c>
      <c r="X561" s="101">
        <f>((Tableau!$G$25-P561)/(AD561^2+Tableau!$G$30^2)^(3/2))*Tableau!$G$29</f>
        <v>-7.2369906663651768</v>
      </c>
      <c r="Y561" s="101">
        <f>((Tableau!$H$25-Q561)/(AD561^2+Tableau!$G$30^2)^(3/2))*Tableau!$G$29</f>
        <v>-1.4088782042708667</v>
      </c>
      <c r="Z561" s="101">
        <f>((Tableau!$G$35-P561)/(AE561^2+Tableau!$G$40^2)^(3/2))*Tableau!$G$39</f>
        <v>-21.935212231796498</v>
      </c>
      <c r="AA561" s="102">
        <f>((Tableau!$H$35-Q561)/(AE561^2+Tableau!$G$40^2)^(3/2))*Tableau!$G$39</f>
        <v>-8.7093205140149479</v>
      </c>
      <c r="AC561" s="113">
        <f>SQRT((Tableau!$G$16-P561)^2+(Tableau!$H$16-Q561)^2)</f>
        <v>117487.06727805064</v>
      </c>
      <c r="AD561" s="114">
        <f>SQRT((Tableau!$G$25-P561)^2+(Tableau!$H$25-Q561)^2)</f>
        <v>155837.51886392225</v>
      </c>
      <c r="AE561" s="115">
        <f>SQRT((Tableau!$G$35-P561)^2+(Tableau!$H$35-Q561)^2)</f>
        <v>148442.940531239</v>
      </c>
    </row>
    <row r="562" spans="2:31" x14ac:dyDescent="0.25">
      <c r="B562" s="20">
        <v>559</v>
      </c>
      <c r="C562" s="21">
        <f>Tableau!$G$17*COS(B562*PI()/180)+Tableau!$G$16</f>
        <v>15272.407122003417</v>
      </c>
      <c r="D562" s="21">
        <f>Tableau!$G$17*SIN(B562*PI()/180)+Tableau!$H$16</f>
        <v>5872.1592277142154</v>
      </c>
      <c r="F562" s="28">
        <v>559</v>
      </c>
      <c r="G562" s="29">
        <f>Tableau!$G$26*COS(F562*PI()/180)+Tableau!$G$25</f>
        <v>-23309.315014597611</v>
      </c>
      <c r="H562" s="29">
        <f>Tableau!$G$26*SIN(F562*PI()/180)+Tableau!$H$25</f>
        <v>8860.5114593999497</v>
      </c>
      <c r="J562" s="36">
        <v>559</v>
      </c>
      <c r="K562" s="37">
        <f>Tableau!$G$36*COS(J562*PI()/180)+Tableau!$G$35</f>
        <v>-9727.5928779965834</v>
      </c>
      <c r="L562" s="37">
        <f>Tableau!$G$36*SIN(J562*PI()/180)+Tableau!$H$35</f>
        <v>-16627.840772285785</v>
      </c>
      <c r="N562" s="92">
        <v>558</v>
      </c>
      <c r="O562" s="93">
        <v>279</v>
      </c>
      <c r="P562" s="96">
        <f>P561+R561*Tableau!$G$2+((1/2)*T561)*Tableau!$G$2^2</f>
        <v>132433.91664157668</v>
      </c>
      <c r="Q562" s="96">
        <f>Q561+S561*Tableau!$G$2+((1/2)*U561)*Tableau!$G$2^2</f>
        <v>40179.426510037272</v>
      </c>
      <c r="R562" s="96">
        <f>R561+T561*Tableau!$G$2</f>
        <v>-1080.1354575371367</v>
      </c>
      <c r="S562" s="96">
        <f>S561+U561*Tableau!$G$2</f>
        <v>795.7803980628554</v>
      </c>
      <c r="T562" s="96">
        <f t="shared" si="16"/>
        <v>-65.554513441858944</v>
      </c>
      <c r="U562" s="96">
        <f t="shared" si="17"/>
        <v>-20.818558338087769</v>
      </c>
      <c r="V562" s="96">
        <f>((Tableau!$G$16-P562)/(AC562^2+Tableau!$G$21^2)^(3/2))*Tableau!$G$20</f>
        <v>-36.277472782570221</v>
      </c>
      <c r="W562" s="96">
        <f>((Tableau!$H$16-Q562)/(AC562^2+Tableau!$G$21^2)^(3/2))*Tableau!$G$20</f>
        <v>-10.544211579386424</v>
      </c>
      <c r="X562" s="96">
        <f>((Tableau!$G$25-P562)/(AD562^2+Tableau!$G$30^2)^(3/2))*Tableau!$G$29</f>
        <v>-7.2738069017112599</v>
      </c>
      <c r="Y562" s="96">
        <f>((Tableau!$H$25-Q562)/(AD562^2+Tableau!$G$30^2)^(3/2))*Tableau!$G$29</f>
        <v>-1.4400949977199662</v>
      </c>
      <c r="Z562" s="96">
        <f>((Tableau!$G$35-P562)/(AE562^2+Tableau!$G$40^2)^(3/2))*Tableau!$G$39</f>
        <v>-22.003233757577469</v>
      </c>
      <c r="AA562" s="97">
        <f>((Tableau!$H$35-Q562)/(AE562^2+Tableau!$G$40^2)^(3/2))*Tableau!$G$39</f>
        <v>-8.8342517609813811</v>
      </c>
      <c r="AC562" s="110">
        <f>SQRT((Tableau!$G$16-P562)^2+(Tableau!$H$16-Q562)^2)</f>
        <v>117086.85036497455</v>
      </c>
      <c r="AD562" s="111">
        <f>SQRT((Tableau!$G$25-P562)^2+(Tableau!$H$25-Q562)^2)</f>
        <v>155392.71774174582</v>
      </c>
      <c r="AE562" s="112">
        <f>SQRT((Tableau!$G$35-P562)^2+(Tableau!$H$35-Q562)^2)</f>
        <v>148097.43601231067</v>
      </c>
    </row>
    <row r="563" spans="2:31" x14ac:dyDescent="0.25">
      <c r="B563" s="18">
        <v>560</v>
      </c>
      <c r="C563" s="19">
        <f>Tableau!$G$17*COS(B563*PI()/180)+Tableau!$G$16</f>
        <v>15301.536896070456</v>
      </c>
      <c r="D563" s="19">
        <f>Tableau!$G$17*SIN(B563*PI()/180)+Tableau!$H$16</f>
        <v>5789.8992833716602</v>
      </c>
      <c r="F563" s="26">
        <v>560</v>
      </c>
      <c r="G563" s="27">
        <f>Tableau!$G$26*COS(F563*PI()/180)+Tableau!$G$25</f>
        <v>-23288.924172750681</v>
      </c>
      <c r="H563" s="27">
        <f>Tableau!$G$26*SIN(F563*PI()/180)+Tableau!$H$25</f>
        <v>8802.9294983601612</v>
      </c>
      <c r="J563" s="34">
        <v>560</v>
      </c>
      <c r="K563" s="35">
        <f>Tableau!$G$36*COS(J563*PI()/180)+Tableau!$G$35</f>
        <v>-9698.4631039295436</v>
      </c>
      <c r="L563" s="35">
        <f>Tableau!$G$36*SIN(J563*PI()/180)+Tableau!$H$35</f>
        <v>-16710.100716628342</v>
      </c>
      <c r="N563" s="98">
        <v>559</v>
      </c>
      <c r="O563" s="99">
        <v>279.5</v>
      </c>
      <c r="P563" s="101">
        <f>P562+R562*Tableau!$G$2+((1/2)*T562)*Tableau!$G$2^2</f>
        <v>131885.65459862788</v>
      </c>
      <c r="Q563" s="101">
        <f>Q562+S562*Tableau!$G$2+((1/2)*U562)*Tableau!$G$2^2</f>
        <v>40574.714389276436</v>
      </c>
      <c r="R563" s="101">
        <f>R562+T562*Tableau!$G$2</f>
        <v>-1112.9127142580662</v>
      </c>
      <c r="S563" s="101">
        <f>S562+U562*Tableau!$G$2</f>
        <v>785.37111889381151</v>
      </c>
      <c r="T563" s="101">
        <f t="shared" si="16"/>
        <v>-65.87208369722677</v>
      </c>
      <c r="U563" s="101">
        <f t="shared" si="17"/>
        <v>-21.219669824833943</v>
      </c>
      <c r="V563" s="101">
        <f>((Tableau!$G$16-P563)/(AC563^2+Tableau!$G$21^2)^(3/2))*Tableau!$G$20</f>
        <v>-36.484284949890728</v>
      </c>
      <c r="W563" s="101">
        <f>((Tableau!$H$16-Q563)/(AC563^2+Tableau!$G$21^2)^(3/2))*Tableau!$G$20</f>
        <v>-10.78518339767046</v>
      </c>
      <c r="X563" s="101">
        <f>((Tableau!$G$25-P563)/(AD563^2+Tableau!$G$30^2)^(3/2))*Tableau!$G$29</f>
        <v>-7.312297561353029</v>
      </c>
      <c r="Y563" s="101">
        <f>((Tableau!$H$25-Q563)/(AD563^2+Tableau!$G$30^2)^(3/2))*Tableau!$G$29</f>
        <v>-1.4719718597426459</v>
      </c>
      <c r="Z563" s="101">
        <f>((Tableau!$G$35-P563)/(AE563^2+Tableau!$G$40^2)^(3/2))*Tableau!$G$39</f>
        <v>-22.075501185983011</v>
      </c>
      <c r="AA563" s="102">
        <f>((Tableau!$H$35-Q563)/(AE563^2+Tableau!$G$40^2)^(3/2))*Tableau!$G$39</f>
        <v>-8.9625145674208344</v>
      </c>
      <c r="AC563" s="113">
        <f>SQRT((Tableau!$G$16-P563)^2+(Tableau!$H$16-Q563)^2)</f>
        <v>116671.91794470369</v>
      </c>
      <c r="AD563" s="114">
        <f>SQRT((Tableau!$G$25-P563)^2+(Tableau!$H$25-Q563)^2)</f>
        <v>154932.45377531307</v>
      </c>
      <c r="AE563" s="115">
        <f>SQRT((Tableau!$G$35-P563)^2+(Tableau!$H$35-Q563)^2)</f>
        <v>147737.03433582422</v>
      </c>
    </row>
    <row r="564" spans="2:31" x14ac:dyDescent="0.25">
      <c r="B564" s="20">
        <v>561</v>
      </c>
      <c r="C564" s="21">
        <f>Tableau!$G$17*COS(B564*PI()/180)+Tableau!$G$16</f>
        <v>15332.097867513992</v>
      </c>
      <c r="D564" s="21">
        <f>Tableau!$G$17*SIN(B564*PI()/180)+Tableau!$H$16</f>
        <v>5708.1602522734993</v>
      </c>
      <c r="F564" s="28">
        <v>561</v>
      </c>
      <c r="G564" s="29">
        <f>Tableau!$G$26*COS(F564*PI()/180)+Tableau!$G$25</f>
        <v>-23267.531492740207</v>
      </c>
      <c r="H564" s="29">
        <f>Tableau!$G$26*SIN(F564*PI()/180)+Tableau!$H$25</f>
        <v>8745.712176591449</v>
      </c>
      <c r="J564" s="36">
        <v>561</v>
      </c>
      <c r="K564" s="37">
        <f>Tableau!$G$36*COS(J564*PI()/180)+Tableau!$G$35</f>
        <v>-9667.9021324860078</v>
      </c>
      <c r="L564" s="37">
        <f>Tableau!$G$36*SIN(J564*PI()/180)+Tableau!$H$35</f>
        <v>-16791.839747726503</v>
      </c>
      <c r="N564" s="92">
        <v>560</v>
      </c>
      <c r="O564" s="93">
        <v>280</v>
      </c>
      <c r="P564" s="96">
        <f>P563+R563*Tableau!$G$2+((1/2)*T563)*Tableau!$G$2^2</f>
        <v>131320.96423103669</v>
      </c>
      <c r="Q564" s="96">
        <f>Q563+S563*Tableau!$G$2+((1/2)*U563)*Tableau!$G$2^2</f>
        <v>40964.747489995243</v>
      </c>
      <c r="R564" s="96">
        <f>R563+T563*Tableau!$G$2</f>
        <v>-1145.8487561066795</v>
      </c>
      <c r="S564" s="96">
        <f>S563+U563*Tableau!$G$2</f>
        <v>774.76128398139451</v>
      </c>
      <c r="T564" s="96">
        <f t="shared" si="16"/>
        <v>-66.205853661266573</v>
      </c>
      <c r="U564" s="96">
        <f t="shared" si="17"/>
        <v>-21.63173162406963</v>
      </c>
      <c r="V564" s="96">
        <f>((Tableau!$G$16-P564)/(AC564^2+Tableau!$G$21^2)^(3/2))*Tableau!$G$20</f>
        <v>-36.701251932981044</v>
      </c>
      <c r="W564" s="96">
        <f>((Tableau!$H$16-Q564)/(AC564^2+Tableau!$G$21^2)^(3/2))*Tableau!$G$20</f>
        <v>-11.0329454742675</v>
      </c>
      <c r="X564" s="96">
        <f>((Tableau!$G$25-P564)/(AD564^2+Tableau!$G$30^2)^(3/2))*Tableau!$G$29</f>
        <v>-7.3525089612416048</v>
      </c>
      <c r="Y564" s="96">
        <f>((Tableau!$H$25-Q564)/(AD564^2+Tableau!$G$30^2)^(3/2))*Tableau!$G$29</f>
        <v>-1.5045409243835464</v>
      </c>
      <c r="Z564" s="96">
        <f>((Tableau!$G$35-P564)/(AE564^2+Tableau!$G$40^2)^(3/2))*Tableau!$G$39</f>
        <v>-22.152092767043921</v>
      </c>
      <c r="AA564" s="97">
        <f>((Tableau!$H$35-Q564)/(AE564^2+Tableau!$G$40^2)^(3/2))*Tableau!$G$39</f>
        <v>-9.0942452254185842</v>
      </c>
      <c r="AC564" s="110">
        <f>SQRT((Tableau!$G$16-P564)^2+(Tableau!$H$16-Q564)^2)</f>
        <v>116242.18856291761</v>
      </c>
      <c r="AD564" s="111">
        <f>SQRT((Tableau!$G$25-P564)^2+(Tableau!$H$25-Q564)^2)</f>
        <v>154456.62757852074</v>
      </c>
      <c r="AE564" s="112">
        <f>SQRT((Tableau!$G$35-P564)^2+(Tableau!$H$35-Q564)^2)</f>
        <v>147361.65800675057</v>
      </c>
    </row>
    <row r="565" spans="2:31" x14ac:dyDescent="0.25">
      <c r="B565" s="18">
        <v>562</v>
      </c>
      <c r="C565" s="19">
        <f>Tableau!$G$17*COS(B565*PI()/180)+Tableau!$G$16</f>
        <v>15364.08072716606</v>
      </c>
      <c r="D565" s="19">
        <f>Tableau!$G$17*SIN(B565*PI()/180)+Tableau!$H$16</f>
        <v>5626.9670329204455</v>
      </c>
      <c r="F565" s="26">
        <v>562</v>
      </c>
      <c r="G565" s="27">
        <f>Tableau!$G$26*COS(F565*PI()/180)+Tableau!$G$25</f>
        <v>-23245.143490983759</v>
      </c>
      <c r="H565" s="27">
        <f>Tableau!$G$26*SIN(F565*PI()/180)+Tableau!$H$25</f>
        <v>8688.8769230443122</v>
      </c>
      <c r="J565" s="34">
        <v>562</v>
      </c>
      <c r="K565" s="35">
        <f>Tableau!$G$36*COS(J565*PI()/180)+Tableau!$G$35</f>
        <v>-9635.9192728339403</v>
      </c>
      <c r="L565" s="35">
        <f>Tableau!$G$36*SIN(J565*PI()/180)+Tableau!$H$35</f>
        <v>-16873.032967079555</v>
      </c>
      <c r="N565" s="98">
        <v>561</v>
      </c>
      <c r="O565" s="99">
        <v>280.5</v>
      </c>
      <c r="P565" s="101">
        <f>P564+R564*Tableau!$G$2+((1/2)*T564)*Tableau!$G$2^2</f>
        <v>130739.76412127569</v>
      </c>
      <c r="Q565" s="101">
        <f>Q564+S564*Tableau!$G$2+((1/2)*U564)*Tableau!$G$2^2</f>
        <v>41349.424165532932</v>
      </c>
      <c r="R565" s="101">
        <f>R564+T564*Tableau!$G$2</f>
        <v>-1178.9516829373129</v>
      </c>
      <c r="S565" s="101">
        <f>S564+U564*Tableau!$G$2</f>
        <v>763.94541816935975</v>
      </c>
      <c r="T565" s="101">
        <f t="shared" si="16"/>
        <v>-66.55624742881858</v>
      </c>
      <c r="U565" s="101">
        <f t="shared" si="17"/>
        <v>-22.055274474624341</v>
      </c>
      <c r="V565" s="101">
        <f>((Tableau!$G$16-P565)/(AC565^2+Tableau!$G$21^2)^(3/2))*Tableau!$G$20</f>
        <v>-36.928665216072275</v>
      </c>
      <c r="W565" s="101">
        <f>((Tableau!$H$16-Q565)/(AC565^2+Tableau!$G$21^2)^(3/2))*Tableau!$G$20</f>
        <v>-11.287851863192072</v>
      </c>
      <c r="X565" s="101">
        <f>((Tableau!$G$25-P565)/(AD565^2+Tableau!$G$30^2)^(3/2))*Tableau!$G$29</f>
        <v>-7.3944901728112118</v>
      </c>
      <c r="Y565" s="101">
        <f>((Tableau!$H$25-Q565)/(AD565^2+Tableau!$G$30^2)^(3/2))*Tableau!$G$29</f>
        <v>-1.5378358210035508</v>
      </c>
      <c r="Z565" s="101">
        <f>((Tableau!$G$35-P565)/(AE565^2+Tableau!$G$40^2)^(3/2))*Tableau!$G$39</f>
        <v>-22.233092039935094</v>
      </c>
      <c r="AA565" s="102">
        <f>((Tableau!$H$35-Q565)/(AE565^2+Tableau!$G$40^2)^(3/2))*Tableau!$G$39</f>
        <v>-9.2295867904287192</v>
      </c>
      <c r="AC565" s="113">
        <f>SQRT((Tableau!$G$16-P565)^2+(Tableau!$H$16-Q565)^2)</f>
        <v>115797.57715070702</v>
      </c>
      <c r="AD565" s="114">
        <f>SQRT((Tableau!$G$25-P565)^2+(Tableau!$H$25-Q565)^2)</f>
        <v>153965.13528344114</v>
      </c>
      <c r="AE565" s="115">
        <f>SQRT((Tableau!$G$35-P565)^2+(Tableau!$H$35-Q565)^2)</f>
        <v>146971.22564463667</v>
      </c>
    </row>
    <row r="566" spans="2:31" x14ac:dyDescent="0.25">
      <c r="B566" s="20">
        <v>563</v>
      </c>
      <c r="C566" s="21">
        <f>Tableau!$G$17*COS(B566*PI()/180)+Tableau!$G$16</f>
        <v>15397.475732737797</v>
      </c>
      <c r="D566" s="21">
        <f>Tableau!$G$17*SIN(B566*PI()/180)+Tableau!$H$16</f>
        <v>5546.344357553633</v>
      </c>
      <c r="F566" s="28">
        <v>563</v>
      </c>
      <c r="G566" s="29">
        <f>Tableau!$G$26*COS(F566*PI()/180)+Tableau!$G$25</f>
        <v>-23221.766987083542</v>
      </c>
      <c r="H566" s="29">
        <f>Tableau!$G$26*SIN(F566*PI()/180)+Tableau!$H$25</f>
        <v>8632.4410502875435</v>
      </c>
      <c r="J566" s="36">
        <v>563</v>
      </c>
      <c r="K566" s="37">
        <f>Tableau!$G$36*COS(J566*PI()/180)+Tableau!$G$35</f>
        <v>-9602.5242672622026</v>
      </c>
      <c r="L566" s="37">
        <f>Tableau!$G$36*SIN(J566*PI()/180)+Tableau!$H$35</f>
        <v>-16953.655642446367</v>
      </c>
      <c r="N566" s="92">
        <v>562</v>
      </c>
      <c r="O566" s="93">
        <v>281</v>
      </c>
      <c r="P566" s="96">
        <f>P565+R565*Tableau!$G$2+((1/2)*T565)*Tableau!$G$2^2</f>
        <v>130141.96874887843</v>
      </c>
      <c r="Q566" s="96">
        <f>Q565+S565*Tableau!$G$2+((1/2)*U565)*Tableau!$G$2^2</f>
        <v>41728.639965308284</v>
      </c>
      <c r="R566" s="96">
        <f>R565+T565*Tableau!$G$2</f>
        <v>-1212.2298066517221</v>
      </c>
      <c r="S566" s="96">
        <f>S565+U565*Tableau!$G$2</f>
        <v>752.91778093204755</v>
      </c>
      <c r="T566" s="96">
        <f t="shared" si="16"/>
        <v>-66.923715610089658</v>
      </c>
      <c r="U566" s="96">
        <f t="shared" si="17"/>
        <v>-22.490857791023029</v>
      </c>
      <c r="V566" s="96">
        <f>((Tableau!$G$16-P566)/(AC566^2+Tableau!$G$21^2)^(3/2))*Tableau!$G$20</f>
        <v>-37.166834368775561</v>
      </c>
      <c r="W566" s="96">
        <f>((Tableau!$H$16-Q566)/(AC566^2+Tableau!$G$21^2)^(3/2))*Tableau!$G$20</f>
        <v>-11.550276490513696</v>
      </c>
      <c r="X566" s="96">
        <f>((Tableau!$G$25-P566)/(AD566^2+Tableau!$G$30^2)^(3/2))*Tableau!$G$29</f>
        <v>-7.4382931816116438</v>
      </c>
      <c r="Y566" s="96">
        <f>((Tableau!$H$25-Q566)/(AD566^2+Tableau!$G$30^2)^(3/2))*Tableau!$G$29</f>
        <v>-1.57189177871045</v>
      </c>
      <c r="Z566" s="96">
        <f>((Tableau!$G$35-P566)/(AE566^2+Tableau!$G$40^2)^(3/2))*Tableau!$G$39</f>
        <v>-22.318588059702464</v>
      </c>
      <c r="AA566" s="97">
        <f>((Tableau!$H$35-Q566)/(AE566^2+Tableau!$G$40^2)^(3/2))*Tableau!$G$39</f>
        <v>-9.368689521798883</v>
      </c>
      <c r="AC566" s="110">
        <f>SQRT((Tableau!$G$16-P566)^2+(Tableau!$H$16-Q566)^2)</f>
        <v>115337.99492688267</v>
      </c>
      <c r="AD566" s="111">
        <f>SQRT((Tableau!$G$25-P566)^2+(Tableau!$H$25-Q566)^2)</f>
        <v>153457.86839988799</v>
      </c>
      <c r="AE566" s="112">
        <f>SQRT((Tableau!$G$35-P566)^2+(Tableau!$H$35-Q566)^2)</f>
        <v>146565.65187531628</v>
      </c>
    </row>
    <row r="567" spans="2:31" x14ac:dyDescent="0.25">
      <c r="B567" s="18">
        <v>564</v>
      </c>
      <c r="C567" s="19">
        <f>Tableau!$G$17*COS(B567*PI()/180)+Tableau!$G$16</f>
        <v>15432.272711786993</v>
      </c>
      <c r="D567" s="19">
        <f>Tableau!$G$17*SIN(B567*PI()/180)+Tableau!$H$16</f>
        <v>5466.3167846210063</v>
      </c>
      <c r="F567" s="26">
        <v>564</v>
      </c>
      <c r="G567" s="27">
        <f>Tableau!$G$26*COS(F567*PI()/180)+Tableau!$G$25</f>
        <v>-23197.409101749105</v>
      </c>
      <c r="H567" s="27">
        <f>Tableau!$G$26*SIN(F567*PI()/180)+Tableau!$H$25</f>
        <v>8576.4217492347052</v>
      </c>
      <c r="J567" s="34">
        <v>564</v>
      </c>
      <c r="K567" s="35">
        <f>Tableau!$G$36*COS(J567*PI()/180)+Tableau!$G$35</f>
        <v>-9567.7272882130073</v>
      </c>
      <c r="L567" s="35">
        <f>Tableau!$G$36*SIN(J567*PI()/180)+Tableau!$H$35</f>
        <v>-17033.683215378995</v>
      </c>
      <c r="N567" s="98">
        <v>563</v>
      </c>
      <c r="O567" s="99">
        <v>281.5</v>
      </c>
      <c r="P567" s="101">
        <f>P566+R566*Tableau!$G$2+((1/2)*T566)*Tableau!$G$2^2</f>
        <v>129527.48838110131</v>
      </c>
      <c r="Q567" s="101">
        <f>Q566+S566*Tableau!$G$2+((1/2)*U566)*Tableau!$G$2^2</f>
        <v>42102.287498550431</v>
      </c>
      <c r="R567" s="101">
        <f>R566+T566*Tableau!$G$2</f>
        <v>-1245.6916644567671</v>
      </c>
      <c r="S567" s="101">
        <f>S566+U566*Tableau!$G$2</f>
        <v>741.67235203653604</v>
      </c>
      <c r="T567" s="101">
        <f t="shared" si="16"/>
        <v>-67.308736786087266</v>
      </c>
      <c r="U567" s="101">
        <f t="shared" si="17"/>
        <v>-22.939071774762382</v>
      </c>
      <c r="V567" s="101">
        <f>((Tableau!$G$16-P567)/(AC567^2+Tableau!$G$21^2)^(3/2))*Tableau!$G$20</f>
        <v>-37.416088085329939</v>
      </c>
      <c r="W567" s="101">
        <f>((Tableau!$H$16-Q567)/(AC567^2+Tableau!$G$21^2)^(3/2))*Tableau!$G$20</f>
        <v>-11.820614679803686</v>
      </c>
      <c r="X567" s="101">
        <f>((Tableau!$G$25-P567)/(AD567^2+Tableau!$G$30^2)^(3/2))*Tableau!$G$29</f>
        <v>-7.4839730586750433</v>
      </c>
      <c r="Y567" s="101">
        <f>((Tableau!$H$25-Q567)/(AD567^2+Tableau!$G$30^2)^(3/2))*Tableau!$G$29</f>
        <v>-1.6067457386073334</v>
      </c>
      <c r="Z567" s="101">
        <f>((Tableau!$G$35-P567)/(AE567^2+Tableau!$G$40^2)^(3/2))*Tableau!$G$39</f>
        <v>-22.40867564208229</v>
      </c>
      <c r="AA567" s="102">
        <f>((Tableau!$H$35-Q567)/(AE567^2+Tableau!$G$40^2)^(3/2))*Tableau!$G$39</f>
        <v>-9.5117113563513627</v>
      </c>
      <c r="AC567" s="113">
        <f>SQRT((Tableau!$G$16-P567)^2+(Tableau!$H$16-Q567)^2)</f>
        <v>114863.3492947364</v>
      </c>
      <c r="AD567" s="114">
        <f>SQRT((Tableau!$G$25-P567)^2+(Tableau!$H$25-Q567)^2)</f>
        <v>152934.71366632226</v>
      </c>
      <c r="AE567" s="115">
        <f>SQRT((Tableau!$G$35-P567)^2+(Tableau!$H$35-Q567)^2)</f>
        <v>146144.84721568003</v>
      </c>
    </row>
    <row r="568" spans="2:31" x14ac:dyDescent="0.25">
      <c r="B568" s="20">
        <v>565</v>
      </c>
      <c r="C568" s="21">
        <f>Tableau!$G$17*COS(B568*PI()/180)+Tableau!$G$16</f>
        <v>15468.461064816747</v>
      </c>
      <c r="D568" s="21">
        <f>Tableau!$G$17*SIN(B568*PI()/180)+Tableau!$H$16</f>
        <v>5386.9086912965067</v>
      </c>
      <c r="F568" s="28">
        <v>565</v>
      </c>
      <c r="G568" s="29">
        <f>Tableau!$G$26*COS(F568*PI()/180)+Tableau!$G$25</f>
        <v>-23172.077254628275</v>
      </c>
      <c r="H568" s="29">
        <f>Tableau!$G$26*SIN(F568*PI()/180)+Tableau!$H$25</f>
        <v>8520.836083907554</v>
      </c>
      <c r="J568" s="36">
        <v>565</v>
      </c>
      <c r="K568" s="37">
        <f>Tableau!$G$36*COS(J568*PI()/180)+Tableau!$G$35</f>
        <v>-9531.5389351832528</v>
      </c>
      <c r="L568" s="37">
        <f>Tableau!$G$36*SIN(J568*PI()/180)+Tableau!$H$35</f>
        <v>-17113.091308703493</v>
      </c>
      <c r="N568" s="92">
        <v>564</v>
      </c>
      <c r="O568" s="93">
        <v>282</v>
      </c>
      <c r="P568" s="96">
        <f>P567+R567*Tableau!$G$2+((1/2)*T567)*Tableau!$G$2^2</f>
        <v>128896.22895677466</v>
      </c>
      <c r="Q568" s="96">
        <f>Q567+S567*Tableau!$G$2+((1/2)*U567)*Tableau!$G$2^2</f>
        <v>42470.256290596852</v>
      </c>
      <c r="R568" s="96">
        <f>R567+T567*Tableau!$G$2</f>
        <v>-1279.3460328498106</v>
      </c>
      <c r="S568" s="96">
        <f>S567+U567*Tableau!$G$2</f>
        <v>730.20281614915484</v>
      </c>
      <c r="T568" s="96">
        <f t="shared" si="16"/>
        <v>-67.711819080756001</v>
      </c>
      <c r="U568" s="96">
        <f t="shared" si="17"/>
        <v>-23.400539700906187</v>
      </c>
      <c r="V568" s="96">
        <f>((Tableau!$G$16-P568)/(AC568^2+Tableau!$G$21^2)^(3/2))*Tableau!$G$20</f>
        <v>-37.676775307324306</v>
      </c>
      <c r="W568" s="96">
        <f>((Tableau!$H$16-Q568)/(AC568^2+Tableau!$G$21^2)^(3/2))*Tableau!$G$20</f>
        <v>-12.099284808322956</v>
      </c>
      <c r="X568" s="96">
        <f>((Tableau!$G$25-P568)/(AD568^2+Tableau!$G$30^2)^(3/2))*Tableau!$G$29</f>
        <v>-7.5315881457358005</v>
      </c>
      <c r="Y568" s="96">
        <f>((Tableau!$H$25-Q568)/(AD568^2+Tableau!$G$30^2)^(3/2))*Tableau!$G$29</f>
        <v>-1.6424364745883353</v>
      </c>
      <c r="Z568" s="96">
        <f>((Tableau!$G$35-P568)/(AE568^2+Tableau!$G$40^2)^(3/2))*Tableau!$G$39</f>
        <v>-22.503455627695889</v>
      </c>
      <c r="AA568" s="97">
        <f>((Tableau!$H$35-Q568)/(AE568^2+Tableau!$G$40^2)^(3/2))*Tableau!$G$39</f>
        <v>-9.6588184179948975</v>
      </c>
      <c r="AC568" s="110">
        <f>SQRT((Tableau!$G$16-P568)^2+(Tableau!$H$16-Q568)^2)</f>
        <v>114373.54373296439</v>
      </c>
      <c r="AD568" s="111">
        <f>SQRT((Tableau!$G$25-P568)^2+(Tableau!$H$25-Q568)^2)</f>
        <v>152395.55289156342</v>
      </c>
      <c r="AE568" s="112">
        <f>SQRT((Tableau!$G$35-P568)^2+(Tableau!$H$35-Q568)^2)</f>
        <v>145708.71795109552</v>
      </c>
    </row>
    <row r="569" spans="2:31" x14ac:dyDescent="0.25">
      <c r="B569" s="18">
        <v>566</v>
      </c>
      <c r="C569" s="19">
        <f>Tableau!$G$17*COS(B569*PI()/180)+Tableau!$G$16</f>
        <v>15506.029768504166</v>
      </c>
      <c r="D569" s="19">
        <f>Tableau!$G$17*SIN(B569*PI()/180)+Tableau!$H$16</f>
        <v>5308.1442660546145</v>
      </c>
      <c r="F569" s="26">
        <v>566</v>
      </c>
      <c r="G569" s="27">
        <f>Tableau!$G$26*COS(F569*PI()/180)+Tableau!$G$25</f>
        <v>-23145.779162047085</v>
      </c>
      <c r="H569" s="27">
        <f>Tableau!$G$26*SIN(F569*PI()/180)+Tableau!$H$25</f>
        <v>8465.7009862382292</v>
      </c>
      <c r="J569" s="34">
        <v>566</v>
      </c>
      <c r="K569" s="35">
        <f>Tableau!$G$36*COS(J569*PI()/180)+Tableau!$G$35</f>
        <v>-9493.970231495834</v>
      </c>
      <c r="L569" s="35">
        <f>Tableau!$G$36*SIN(J569*PI()/180)+Tableau!$H$35</f>
        <v>-17191.855733945387</v>
      </c>
      <c r="N569" s="98">
        <v>565</v>
      </c>
      <c r="O569" s="99">
        <v>282.5</v>
      </c>
      <c r="P569" s="101">
        <f>P568+R568*Tableau!$G$2+((1/2)*T568)*Tableau!$G$2^2</f>
        <v>128248.09196296467</v>
      </c>
      <c r="Q569" s="101">
        <f>Q568+S568*Tableau!$G$2+((1/2)*U568)*Tableau!$G$2^2</f>
        <v>42832.432631208816</v>
      </c>
      <c r="R569" s="101">
        <f>R568+T568*Tableau!$G$2</f>
        <v>-1313.2019423901886</v>
      </c>
      <c r="S569" s="101">
        <f>S568+U568*Tableau!$G$2</f>
        <v>718.50254629870176</v>
      </c>
      <c r="T569" s="101">
        <f t="shared" si="16"/>
        <v>-68.133501859542832</v>
      </c>
      <c r="U569" s="101">
        <f t="shared" si="17"/>
        <v>-23.875920397549084</v>
      </c>
      <c r="V569" s="101">
        <f>((Tableau!$G$16-P569)/(AC569^2+Tableau!$G$21^2)^(3/2))*Tableau!$G$20</f>
        <v>-37.949266436974071</v>
      </c>
      <c r="W569" s="101">
        <f>((Tableau!$H$16-Q569)/(AC569^2+Tableau!$G$21^2)^(3/2))*Tableau!$G$20</f>
        <v>-12.386730107417755</v>
      </c>
      <c r="X569" s="101">
        <f>((Tableau!$G$25-P569)/(AD569^2+Tableau!$G$30^2)^(3/2))*Tableau!$G$29</f>
        <v>-7.5812002555411562</v>
      </c>
      <c r="Y569" s="101">
        <f>((Tableau!$H$25-Q569)/(AD569^2+Tableau!$G$30^2)^(3/2))*Tableau!$G$29</f>
        <v>-1.6790047234870351</v>
      </c>
      <c r="Z569" s="101">
        <f>((Tableau!$G$35-P569)/(AE569^2+Tableau!$G$40^2)^(3/2))*Tableau!$G$39</f>
        <v>-22.603035167027606</v>
      </c>
      <c r="AA569" s="102">
        <f>((Tableau!$H$35-Q569)/(AE569^2+Tableau!$G$40^2)^(3/2))*Tableau!$G$39</f>
        <v>-9.8101855666442948</v>
      </c>
      <c r="AC569" s="113">
        <f>SQRT((Tableau!$G$16-P569)^2+(Tableau!$H$16-Q569)^2)</f>
        <v>113868.47768044221</v>
      </c>
      <c r="AD569" s="114">
        <f>SQRT((Tableau!$G$25-P569)^2+(Tableau!$H$25-Q569)^2)</f>
        <v>151840.2627867276</v>
      </c>
      <c r="AE569" s="115">
        <f>SQRT((Tableau!$G$35-P569)^2+(Tableau!$H$35-Q569)^2)</f>
        <v>145257.166005034</v>
      </c>
    </row>
    <row r="570" spans="2:31" x14ac:dyDescent="0.25">
      <c r="B570" s="20">
        <v>567</v>
      </c>
      <c r="C570" s="21">
        <f>Tableau!$G$17*COS(B570*PI()/180)+Tableau!$G$16</f>
        <v>15544.967379058158</v>
      </c>
      <c r="D570" s="21">
        <f>Tableau!$G$17*SIN(B570*PI()/180)+Tableau!$H$16</f>
        <v>5230.0475013022715</v>
      </c>
      <c r="F570" s="28">
        <v>567</v>
      </c>
      <c r="G570" s="29">
        <f>Tableau!$G$26*COS(F570*PI()/180)+Tableau!$G$25</f>
        <v>-23118.522834659288</v>
      </c>
      <c r="H570" s="29">
        <f>Tableau!$G$26*SIN(F570*PI()/180)+Tableau!$H$25</f>
        <v>8411.0332509115906</v>
      </c>
      <c r="J570" s="36">
        <v>567</v>
      </c>
      <c r="K570" s="37">
        <f>Tableau!$G$36*COS(J570*PI()/180)+Tableau!$G$35</f>
        <v>-9455.0326209418417</v>
      </c>
      <c r="L570" s="37">
        <f>Tableau!$G$36*SIN(J570*PI()/180)+Tableau!$H$35</f>
        <v>-17269.952498697727</v>
      </c>
      <c r="N570" s="92">
        <v>566</v>
      </c>
      <c r="O570" s="93">
        <v>283</v>
      </c>
      <c r="P570" s="96">
        <f>P569+R569*Tableau!$G$2+((1/2)*T569)*Tableau!$G$2^2</f>
        <v>127582.97430403714</v>
      </c>
      <c r="Q570" s="96">
        <f>Q569+S569*Tableau!$G$2+((1/2)*U569)*Tableau!$G$2^2</f>
        <v>43188.699414308474</v>
      </c>
      <c r="R570" s="96">
        <f>R569+T569*Tableau!$G$2</f>
        <v>-1347.26869331996</v>
      </c>
      <c r="S570" s="96">
        <f>S569+U569*Tableau!$G$2</f>
        <v>706.56458609992717</v>
      </c>
      <c r="T570" s="96">
        <f t="shared" si="16"/>
        <v>-68.574357565110162</v>
      </c>
      <c r="U570" s="96">
        <f t="shared" si="17"/>
        <v>-24.365910937677882</v>
      </c>
      <c r="V570" s="96">
        <f>((Tableau!$G$16-P570)/(AC570^2+Tableau!$G$21^2)^(3/2))*Tableau!$G$20</f>
        <v>-38.23395464875572</v>
      </c>
      <c r="W570" s="96">
        <f>((Tableau!$H$16-Q570)/(AC570^2+Tableau!$G$21^2)^(3/2))*Tableau!$G$20</f>
        <v>-12.683420622147088</v>
      </c>
      <c r="X570" s="96">
        <f>((Tableau!$G$25-P570)/(AD570^2+Tableau!$G$30^2)^(3/2))*Tableau!$G$29</f>
        <v>-7.6328748886225402</v>
      </c>
      <c r="Y570" s="96">
        <f>((Tableau!$H$25-Q570)/(AD570^2+Tableau!$G$30^2)^(3/2))*Tableau!$G$29</f>
        <v>-1.716493325467469</v>
      </c>
      <c r="Z570" s="96">
        <f>((Tableau!$G$35-P570)/(AE570^2+Tableau!$G$40^2)^(3/2))*Tableau!$G$39</f>
        <v>-22.707528027731907</v>
      </c>
      <c r="AA570" s="97">
        <f>((Tableau!$H$35-Q570)/(AE570^2+Tableau!$G$40^2)^(3/2))*Tableau!$G$39</f>
        <v>-9.9659969900633225</v>
      </c>
      <c r="AC570" s="110">
        <f>SQRT((Tableau!$G$16-P570)^2+(Tableau!$H$16-Q570)^2)</f>
        <v>113348.04641451909</v>
      </c>
      <c r="AD570" s="111">
        <f>SQRT((Tableau!$G$25-P570)^2+(Tableau!$H$25-Q570)^2)</f>
        <v>151268.71478676418</v>
      </c>
      <c r="AE570" s="112">
        <f>SQRT((Tableau!$G$35-P570)^2+(Tableau!$H$35-Q570)^2)</f>
        <v>144790.08880042072</v>
      </c>
    </row>
    <row r="571" spans="2:31" x14ac:dyDescent="0.25">
      <c r="B571" s="18">
        <v>568</v>
      </c>
      <c r="C571" s="19">
        <f>Tableau!$G$17*COS(B571*PI()/180)+Tableau!$G$16</f>
        <v>15585.262035705364</v>
      </c>
      <c r="D571" s="19">
        <f>Tableau!$G$17*SIN(B571*PI()/180)+Tableau!$H$16</f>
        <v>5152.6421860705486</v>
      </c>
      <c r="F571" s="26">
        <v>568</v>
      </c>
      <c r="G571" s="27">
        <f>Tableau!$G$26*COS(F571*PI()/180)+Tableau!$G$25</f>
        <v>-23090.316575006247</v>
      </c>
      <c r="H571" s="27">
        <f>Tableau!$G$26*SIN(F571*PI()/180)+Tableau!$H$25</f>
        <v>8356.8495302493848</v>
      </c>
      <c r="J571" s="34">
        <v>568</v>
      </c>
      <c r="K571" s="35">
        <f>Tableau!$G$36*COS(J571*PI()/180)+Tableau!$G$35</f>
        <v>-9414.7379642946362</v>
      </c>
      <c r="L571" s="35">
        <f>Tableau!$G$36*SIN(J571*PI()/180)+Tableau!$H$35</f>
        <v>-17347.357813929451</v>
      </c>
      <c r="N571" s="98">
        <v>567</v>
      </c>
      <c r="O571" s="99">
        <v>283.5</v>
      </c>
      <c r="P571" s="101">
        <f>P570+R570*Tableau!$G$2+((1/2)*T570)*Tableau!$G$2^2</f>
        <v>126900.76816268152</v>
      </c>
      <c r="Q571" s="101">
        <f>Q570+S570*Tableau!$G$2+((1/2)*U570)*Tableau!$G$2^2</f>
        <v>43538.935968491227</v>
      </c>
      <c r="R571" s="101">
        <f>R570+T570*Tableau!$G$2</f>
        <v>-1381.555872102515</v>
      </c>
      <c r="S571" s="101">
        <f>S570+U570*Tableau!$G$2</f>
        <v>694.38163063108823</v>
      </c>
      <c r="T571" s="101">
        <f t="shared" si="16"/>
        <v>-69.034993701994139</v>
      </c>
      <c r="U571" s="101">
        <f t="shared" si="17"/>
        <v>-24.871249565185945</v>
      </c>
      <c r="V571" s="101">
        <f>((Tableau!$G$16-P571)/(AC571^2+Tableau!$G$21^2)^(3/2))*Tableau!$G$20</f>
        <v>-38.531257307987119</v>
      </c>
      <c r="W571" s="101">
        <f>((Tableau!$H$16-Q571)/(AC571^2+Tableau!$G$21^2)^(3/2))*Tableau!$G$20</f>
        <v>-12.989855346921344</v>
      </c>
      <c r="X571" s="101">
        <f>((Tableau!$G$25-P571)/(AD571^2+Tableau!$G$30^2)^(3/2))*Tableau!$G$29</f>
        <v>-7.6866814680452693</v>
      </c>
      <c r="Y571" s="101">
        <f>((Tableau!$H$25-Q571)/(AD571^2+Tableau!$G$30^2)^(3/2))*Tableau!$G$29</f>
        <v>-1.7549473756424536</v>
      </c>
      <c r="Z571" s="101">
        <f>((Tableau!$G$35-P571)/(AE571^2+Tableau!$G$40^2)^(3/2))*Tableau!$G$39</f>
        <v>-22.817054925961749</v>
      </c>
      <c r="AA571" s="102">
        <f>((Tableau!$H$35-Q571)/(AE571^2+Tableau!$G$40^2)^(3/2))*Tableau!$G$39</f>
        <v>-10.126446842622148</v>
      </c>
      <c r="AC571" s="113">
        <f>SQRT((Tableau!$G$16-P571)^2+(Tableau!$H$16-Q571)^2)</f>
        <v>112812.14092247516</v>
      </c>
      <c r="AD571" s="114">
        <f>SQRT((Tableau!$G$25-P571)^2+(Tableau!$H$25-Q571)^2)</f>
        <v>150680.77486091069</v>
      </c>
      <c r="AE571" s="115">
        <f>SQRT((Tableau!$G$35-P571)^2+(Tableau!$H$35-Q571)^2)</f>
        <v>144307.37911218737</v>
      </c>
    </row>
    <row r="572" spans="2:31" x14ac:dyDescent="0.25">
      <c r="B572" s="20">
        <v>569</v>
      </c>
      <c r="C572" s="21">
        <f>Tableau!$G$17*COS(B572*PI()/180)+Tableau!$G$16</f>
        <v>15626.90146430302</v>
      </c>
      <c r="D572" s="21">
        <f>Tableau!$G$17*SIN(B572*PI()/180)+Tableau!$H$16</f>
        <v>5075.951898768315</v>
      </c>
      <c r="F572" s="28">
        <v>569</v>
      </c>
      <c r="G572" s="29">
        <f>Tableau!$G$26*COS(F572*PI()/180)+Tableau!$G$25</f>
        <v>-23061.168974987886</v>
      </c>
      <c r="H572" s="29">
        <f>Tableau!$G$26*SIN(F572*PI()/180)+Tableau!$H$25</f>
        <v>8303.1663291378209</v>
      </c>
      <c r="J572" s="36">
        <v>569</v>
      </c>
      <c r="K572" s="37">
        <f>Tableau!$G$36*COS(J572*PI()/180)+Tableau!$G$35</f>
        <v>-9373.0985356969795</v>
      </c>
      <c r="L572" s="37">
        <f>Tableau!$G$36*SIN(J572*PI()/180)+Tableau!$H$35</f>
        <v>-17424.048101231685</v>
      </c>
      <c r="N572" s="92">
        <v>568</v>
      </c>
      <c r="O572" s="93">
        <v>284</v>
      </c>
      <c r="P572" s="96">
        <f>P571+R571*Tableau!$G$2+((1/2)*T571)*Tableau!$G$2^2</f>
        <v>126201.36085241752</v>
      </c>
      <c r="Q572" s="96">
        <f>Q571+S571*Tableau!$G$2+((1/2)*U571)*Tableau!$G$2^2</f>
        <v>43883.017877611121</v>
      </c>
      <c r="R572" s="96">
        <f>R571+T571*Tableau!$G$2</f>
        <v>-1416.073368953512</v>
      </c>
      <c r="S572" s="96">
        <f>S571+U571*Tableau!$G$2</f>
        <v>681.94600584849525</v>
      </c>
      <c r="T572" s="96">
        <f t="shared" si="16"/>
        <v>-69.516054983229964</v>
      </c>
      <c r="U572" s="96">
        <f t="shared" si="17"/>
        <v>-25.392718879321926</v>
      </c>
      <c r="V572" s="96">
        <f>((Tableau!$G$16-P572)/(AC572^2+Tableau!$G$21^2)^(3/2))*Tableau!$G$20</f>
        <v>-38.841617505824345</v>
      </c>
      <c r="W572" s="96">
        <f>((Tableau!$H$16-Q572)/(AC572^2+Tableau!$G$21^2)^(3/2))*Tableau!$G$20</f>
        <v>-13.306564555924631</v>
      </c>
      <c r="X572" s="96">
        <f>((Tableau!$G$25-P572)/(AD572^2+Tableau!$G$30^2)^(3/2))*Tableau!$G$29</f>
        <v>-7.7426935938210502</v>
      </c>
      <c r="Y572" s="96">
        <f>((Tableau!$H$25-Q572)/(AD572^2+Tableau!$G$30^2)^(3/2))*Tableau!$G$29</f>
        <v>-1.7944143880105727</v>
      </c>
      <c r="Z572" s="96">
        <f>((Tableau!$G$35-P572)/(AE572^2+Tableau!$G$40^2)^(3/2))*Tableau!$G$39</f>
        <v>-22.93174388358457</v>
      </c>
      <c r="AA572" s="97">
        <f>((Tableau!$H$35-Q572)/(AE572^2+Tableau!$G$40^2)^(3/2))*Tableau!$G$39</f>
        <v>-10.291739935386721</v>
      </c>
      <c r="AC572" s="110">
        <f>SQRT((Tableau!$G$16-P572)^2+(Tableau!$H$16-Q572)^2)</f>
        <v>112260.64776575971</v>
      </c>
      <c r="AD572" s="111">
        <f>SQRT((Tableau!$G$25-P572)^2+(Tableau!$H$25-Q572)^2)</f>
        <v>150076.30331132669</v>
      </c>
      <c r="AE572" s="112">
        <f>SQRT((Tableau!$G$35-P572)^2+(Tableau!$H$35-Q572)^2)</f>
        <v>143808.92491045661</v>
      </c>
    </row>
    <row r="573" spans="2:31" x14ac:dyDescent="0.25">
      <c r="B573" s="18">
        <v>570</v>
      </c>
      <c r="C573" s="19">
        <f>Tableau!$G$17*COS(B573*PI()/180)+Tableau!$G$16</f>
        <v>15669.87298107781</v>
      </c>
      <c r="D573" s="19">
        <f>Tableau!$G$17*SIN(B573*PI()/180)+Tableau!$H$16</f>
        <v>4999.9999999999964</v>
      </c>
      <c r="F573" s="26">
        <v>570</v>
      </c>
      <c r="G573" s="27">
        <f>Tableau!$G$26*COS(F573*PI()/180)+Tableau!$G$25</f>
        <v>-23031.088913245534</v>
      </c>
      <c r="H573" s="27">
        <f>Tableau!$G$26*SIN(F573*PI()/180)+Tableau!$H$25</f>
        <v>8249.9999999999982</v>
      </c>
      <c r="J573" s="34">
        <v>570</v>
      </c>
      <c r="K573" s="35">
        <f>Tableau!$G$36*COS(J573*PI()/180)+Tableau!$G$35</f>
        <v>-9330.1270189221905</v>
      </c>
      <c r="L573" s="35">
        <f>Tableau!$G$36*SIN(J573*PI()/180)+Tableau!$H$35</f>
        <v>-17500.000000000004</v>
      </c>
      <c r="N573" s="98">
        <v>569</v>
      </c>
      <c r="O573" s="99">
        <v>284.5</v>
      </c>
      <c r="P573" s="101">
        <f>P572+R572*Tableau!$G$2+((1/2)*T572)*Tableau!$G$2^2</f>
        <v>125484.63466106786</v>
      </c>
      <c r="Q573" s="101">
        <f>Q572+S572*Tableau!$G$2+((1/2)*U572)*Tableau!$G$2^2</f>
        <v>44220.816790675453</v>
      </c>
      <c r="R573" s="101">
        <f>R572+T572*Tableau!$G$2</f>
        <v>-1450.831396445127</v>
      </c>
      <c r="S573" s="101">
        <f>S572+U572*Tableau!$G$2</f>
        <v>669.24964640883434</v>
      </c>
      <c r="T573" s="101">
        <f t="shared" si="16"/>
        <v>-70.018225653308761</v>
      </c>
      <c r="U573" s="101">
        <f t="shared" si="17"/>
        <v>-25.931149304705919</v>
      </c>
      <c r="V573" s="101">
        <f>((Tableau!$G$16-P573)/(AC573^2+Tableau!$G$21^2)^(3/2))*Tableau!$G$20</f>
        <v>-39.165505721127047</v>
      </c>
      <c r="W573" s="101">
        <f>((Tableau!$H$16-Q573)/(AC573^2+Tableau!$G$21^2)^(3/2))*Tableau!$G$20</f>
        <v>-13.634112349354924</v>
      </c>
      <c r="X573" s="101">
        <f>((Tableau!$G$25-P573)/(AD573^2+Tableau!$G$30^2)^(3/2))*Tableau!$G$29</f>
        <v>-7.8009893188518058</v>
      </c>
      <c r="Y573" s="101">
        <f>((Tableau!$H$25-Q573)/(AD573^2+Tableau!$G$30^2)^(3/2))*Tableau!$G$29</f>
        <v>-1.8349444729222808</v>
      </c>
      <c r="Z573" s="101">
        <f>((Tableau!$G$35-P573)/(AE573^2+Tableau!$G$40^2)^(3/2))*Tableau!$G$39</f>
        <v>-23.051730613329905</v>
      </c>
      <c r="AA573" s="102">
        <f>((Tableau!$H$35-Q573)/(AE573^2+Tableau!$G$40^2)^(3/2))*Tableau!$G$39</f>
        <v>-10.462092482428712</v>
      </c>
      <c r="AC573" s="113">
        <f>SQRT((Tableau!$G$16-P573)^2+(Tableau!$H$16-Q573)^2)</f>
        <v>111693.44893660197</v>
      </c>
      <c r="AD573" s="114">
        <f>SQRT((Tableau!$G$25-P573)^2+(Tableau!$H$25-Q573)^2)</f>
        <v>149455.15455910299</v>
      </c>
      <c r="AE573" s="115">
        <f>SQRT((Tableau!$G$35-P573)^2+(Tableau!$H$35-Q573)^2)</f>
        <v>143294.60919374146</v>
      </c>
    </row>
    <row r="574" spans="2:31" x14ac:dyDescent="0.25">
      <c r="B574" s="20">
        <v>571</v>
      </c>
      <c r="C574" s="21">
        <f>Tableau!$G$17*COS(B574*PI()/180)+Tableau!$G$16</f>
        <v>15714.163496489437</v>
      </c>
      <c r="D574" s="21">
        <f>Tableau!$G$17*SIN(B574*PI()/180)+Tableau!$H$16</f>
        <v>4924.8096254497304</v>
      </c>
      <c r="F574" s="28">
        <v>571</v>
      </c>
      <c r="G574" s="29">
        <f>Tableau!$G$26*COS(F574*PI()/180)+Tableau!$G$25</f>
        <v>-23000.085552457393</v>
      </c>
      <c r="H574" s="29">
        <f>Tableau!$G$26*SIN(F574*PI()/180)+Tableau!$H$25</f>
        <v>8197.3667378148111</v>
      </c>
      <c r="J574" s="36">
        <v>571</v>
      </c>
      <c r="K574" s="37">
        <f>Tableau!$G$36*COS(J574*PI()/180)+Tableau!$G$35</f>
        <v>-9285.8365035105635</v>
      </c>
      <c r="L574" s="37">
        <f>Tableau!$G$36*SIN(J574*PI()/180)+Tableau!$H$35</f>
        <v>-17575.190374550271</v>
      </c>
      <c r="N574" s="92">
        <v>570</v>
      </c>
      <c r="O574" s="93">
        <v>285</v>
      </c>
      <c r="P574" s="96">
        <f>P573+R573*Tableau!$G$2+((1/2)*T573)*Tableau!$G$2^2</f>
        <v>124750.46668463862</v>
      </c>
      <c r="Q574" s="96">
        <f>Q573+S573*Tableau!$G$2+((1/2)*U573)*Tableau!$G$2^2</f>
        <v>44552.200220216779</v>
      </c>
      <c r="R574" s="96">
        <f>R573+T573*Tableau!$G$2</f>
        <v>-1485.8405092717815</v>
      </c>
      <c r="S574" s="96">
        <f>S573+U573*Tableau!$G$2</f>
        <v>656.28407175648135</v>
      </c>
      <c r="T574" s="96">
        <f t="shared" si="16"/>
        <v>-70.542232003322709</v>
      </c>
      <c r="U574" s="96">
        <f t="shared" si="17"/>
        <v>-26.487422877278075</v>
      </c>
      <c r="V574" s="96">
        <f>((Tableau!$G$16-P574)/(AC574^2+Tableau!$G$21^2)^(3/2))*Tableau!$G$20</f>
        <v>-39.503421620720005</v>
      </c>
      <c r="W574" s="96">
        <f>((Tableau!$H$16-Q574)/(AC574^2+Tableau!$G$21^2)^(3/2))*Tableau!$G$20</f>
        <v>-13.973099439080627</v>
      </c>
      <c r="X574" s="96">
        <f>((Tableau!$G$25-P574)/(AD574^2+Tableau!$G$30^2)^(3/2))*Tableau!$G$29</f>
        <v>-7.8616514484861977</v>
      </c>
      <c r="Y574" s="96">
        <f>((Tableau!$H$25-Q574)/(AD574^2+Tableau!$G$30^2)^(3/2))*Tableau!$G$29</f>
        <v>-1.8765905294209277</v>
      </c>
      <c r="Z574" s="96">
        <f>((Tableau!$G$35-P574)/(AE574^2+Tableau!$G$40^2)^(3/2))*Tableau!$G$39</f>
        <v>-23.177158934116498</v>
      </c>
      <c r="AA574" s="97">
        <f>((Tableau!$H$35-Q574)/(AE574^2+Tableau!$G$40^2)^(3/2))*Tableau!$G$39</f>
        <v>-10.63773290877652</v>
      </c>
      <c r="AC574" s="110">
        <f>SQRT((Tableau!$G$16-P574)^2+(Tableau!$H$16-Q574)^2)</f>
        <v>111110.42170655559</v>
      </c>
      <c r="AD574" s="111">
        <f>SQRT((Tableau!$G$25-P574)^2+(Tableau!$H$25-Q574)^2)</f>
        <v>148817.17691677474</v>
      </c>
      <c r="AE574" s="112">
        <f>SQRT((Tableau!$G$35-P574)^2+(Tableau!$H$35-Q574)^2)</f>
        <v>142764.30981148721</v>
      </c>
    </row>
    <row r="575" spans="2:31" x14ac:dyDescent="0.25">
      <c r="B575" s="18">
        <v>572</v>
      </c>
      <c r="C575" s="19">
        <f>Tableau!$G$17*COS(B575*PI()/180)+Tableau!$G$16</f>
        <v>15759.759519217871</v>
      </c>
      <c r="D575" s="19">
        <f>Tableau!$G$17*SIN(B575*PI()/180)+Tableau!$H$16</f>
        <v>4850.4036788339727</v>
      </c>
      <c r="F575" s="26">
        <v>572</v>
      </c>
      <c r="G575" s="27">
        <f>Tableau!$G$26*COS(F575*PI()/180)+Tableau!$G$25</f>
        <v>-22968.168336547489</v>
      </c>
      <c r="H575" s="27">
        <f>Tableau!$G$26*SIN(F575*PI()/180)+Tableau!$H$25</f>
        <v>8145.2825751837809</v>
      </c>
      <c r="J575" s="34">
        <v>572</v>
      </c>
      <c r="K575" s="35">
        <f>Tableau!$G$36*COS(J575*PI()/180)+Tableau!$G$35</f>
        <v>-9240.2404807821295</v>
      </c>
      <c r="L575" s="35">
        <f>Tableau!$G$36*SIN(J575*PI()/180)+Tableau!$H$35</f>
        <v>-17649.596321166027</v>
      </c>
      <c r="N575" s="98">
        <v>571</v>
      </c>
      <c r="O575" s="99">
        <v>285.5</v>
      </c>
      <c r="P575" s="101">
        <f>P574+R574*Tableau!$G$2+((1/2)*T574)*Tableau!$G$2^2</f>
        <v>123998.72865100233</v>
      </c>
      <c r="Q575" s="101">
        <f>Q574+S574*Tableau!$G$2+((1/2)*U574)*Tableau!$G$2^2</f>
        <v>44877.03132823536</v>
      </c>
      <c r="R575" s="101">
        <f>R574+T574*Tableau!$G$2</f>
        <v>-1521.1116252734428</v>
      </c>
      <c r="S575" s="101">
        <f>S574+U574*Tableau!$G$2</f>
        <v>643.04036031784233</v>
      </c>
      <c r="T575" s="101">
        <f t="shared" si="16"/>
        <v>-71.088845095836291</v>
      </c>
      <c r="U575" s="101">
        <f t="shared" si="17"/>
        <v>-27.062477380221296</v>
      </c>
      <c r="V575" s="101">
        <f>((Tableau!$G$16-P575)/(AC575^2+Tableau!$G$21^2)^(3/2))*Tableau!$G$20</f>
        <v>-39.855896010797608</v>
      </c>
      <c r="W575" s="101">
        <f>((Tableau!$H$16-Q575)/(AC575^2+Tableau!$G$21^2)^(3/2))*Tableau!$G$20</f>
        <v>-14.324166200238595</v>
      </c>
      <c r="X575" s="101">
        <f>((Tableau!$G$25-P575)/(AD575^2+Tableau!$G$30^2)^(3/2))*Tableau!$G$29</f>
        <v>-7.9247678660035392</v>
      </c>
      <c r="Y575" s="101">
        <f>((Tableau!$H$25-Q575)/(AD575^2+Tableau!$G$30^2)^(3/2))*Tableau!$G$29</f>
        <v>-1.9194084539556413</v>
      </c>
      <c r="Z575" s="101">
        <f>((Tableau!$G$35-P575)/(AE575^2+Tableau!$G$40^2)^(3/2))*Tableau!$G$39</f>
        <v>-23.308181219035134</v>
      </c>
      <c r="AA575" s="102">
        <f>((Tableau!$H$35-Q575)/(AE575^2+Tableau!$G$40^2)^(3/2))*Tableau!$G$39</f>
        <v>-10.818902726027057</v>
      </c>
      <c r="AC575" s="113">
        <f>SQRT((Tableau!$G$16-P575)^2+(Tableau!$H$16-Q575)^2)</f>
        <v>110511.43846650762</v>
      </c>
      <c r="AD575" s="114">
        <f>SQRT((Tableau!$G$25-P575)^2+(Tableau!$H$25-Q575)^2)</f>
        <v>148162.21234638646</v>
      </c>
      <c r="AE575" s="115">
        <f>SQRT((Tableau!$G$35-P575)^2+(Tableau!$H$35-Q575)^2)</f>
        <v>142217.89927522276</v>
      </c>
    </row>
    <row r="576" spans="2:31" x14ac:dyDescent="0.25">
      <c r="B576" s="20">
        <v>573</v>
      </c>
      <c r="C576" s="21">
        <f>Tableau!$G$17*COS(B576*PI()/180)+Tableau!$G$16</f>
        <v>15806.647160272878</v>
      </c>
      <c r="D576" s="21">
        <f>Tableau!$G$17*SIN(B576*PI()/180)+Tableau!$H$16</f>
        <v>4776.8048249248677</v>
      </c>
      <c r="F576" s="28">
        <v>573</v>
      </c>
      <c r="G576" s="29">
        <f>Tableau!$G$26*COS(F576*PI()/180)+Tableau!$G$25</f>
        <v>-22935.346987808985</v>
      </c>
      <c r="H576" s="29">
        <f>Tableau!$G$26*SIN(F576*PI()/180)+Tableau!$H$25</f>
        <v>8093.763377447407</v>
      </c>
      <c r="J576" s="36">
        <v>573</v>
      </c>
      <c r="K576" s="37">
        <f>Tableau!$G$36*COS(J576*PI()/180)+Tableau!$G$35</f>
        <v>-9193.352839727122</v>
      </c>
      <c r="L576" s="37">
        <f>Tableau!$G$36*SIN(J576*PI()/180)+Tableau!$H$35</f>
        <v>-17723.195175075132</v>
      </c>
      <c r="N576" s="92">
        <v>572</v>
      </c>
      <c r="O576" s="93">
        <v>286</v>
      </c>
      <c r="P576" s="96">
        <f>P575+R575*Tableau!$G$2+((1/2)*T575)*Tableau!$G$2^2</f>
        <v>123229.28673272862</v>
      </c>
      <c r="Q576" s="96">
        <f>Q575+S575*Tableau!$G$2+((1/2)*U575)*Tableau!$G$2^2</f>
        <v>45195.168698721754</v>
      </c>
      <c r="R576" s="96">
        <f>R575+T575*Tableau!$G$2</f>
        <v>-1556.656047821361</v>
      </c>
      <c r="S576" s="96">
        <f>S575+U575*Tableau!$G$2</f>
        <v>629.5091216277317</v>
      </c>
      <c r="T576" s="96">
        <f t="shared" si="16"/>
        <v>-71.658883718882379</v>
      </c>
      <c r="U576" s="96">
        <f t="shared" si="17"/>
        <v>-27.657310868074816</v>
      </c>
      <c r="V576" s="96">
        <f>((Tableau!$G$16-P576)/(AC576^2+Tableau!$G$21^2)^(3/2))*Tableau!$G$20</f>
        <v>-40.223492953564445</v>
      </c>
      <c r="W576" s="96">
        <f>((Tableau!$H$16-Q576)/(AC576^2+Tableau!$G$21^2)^(3/2))*Tableau!$G$20</f>
        <v>-14.68799601863121</v>
      </c>
      <c r="X576" s="96">
        <f>((Tableau!$G$25-P576)/(AD576^2+Tableau!$G$30^2)^(3/2))*Tableau!$G$29</f>
        <v>-7.9904318866078263</v>
      </c>
      <c r="Y576" s="96">
        <f>((Tableau!$H$25-Q576)/(AD576^2+Tableau!$G$30^2)^(3/2))*Tableau!$G$29</f>
        <v>-1.9634573671345859</v>
      </c>
      <c r="Z576" s="96">
        <f>((Tableau!$G$35-P576)/(AE576^2+Tableau!$G$40^2)^(3/2))*Tableau!$G$39</f>
        <v>-23.444958878710114</v>
      </c>
      <c r="AA576" s="97">
        <f>((Tableau!$H$35-Q576)/(AE576^2+Tableau!$G$40^2)^(3/2))*Tableau!$G$39</f>
        <v>-11.005857482309017</v>
      </c>
      <c r="AC576" s="110">
        <f>SQRT((Tableau!$G$16-P576)^2+(Tableau!$H$16-Q576)^2)</f>
        <v>109896.36655764827</v>
      </c>
      <c r="AD576" s="111">
        <f>SQRT((Tableau!$G$25-P576)^2+(Tableau!$H$25-Q576)^2)</f>
        <v>147490.09620207615</v>
      </c>
      <c r="AE576" s="112">
        <f>SQRT((Tableau!$G$35-P576)^2+(Tableau!$H$35-Q576)^2)</f>
        <v>141655.2445575239</v>
      </c>
    </row>
    <row r="577" spans="2:31" x14ac:dyDescent="0.25">
      <c r="B577" s="18">
        <v>574</v>
      </c>
      <c r="C577" s="19">
        <f>Tableau!$G$17*COS(B577*PI()/180)+Tableau!$G$16</f>
        <v>15854.812137224792</v>
      </c>
      <c r="D577" s="19">
        <f>Tableau!$G$17*SIN(B577*PI()/180)+Tableau!$H$16</f>
        <v>4704.0354826462662</v>
      </c>
      <c r="F577" s="26">
        <v>574</v>
      </c>
      <c r="G577" s="27">
        <f>Tableau!$G$26*COS(F577*PI()/180)+Tableau!$G$25</f>
        <v>-22901.631503942644</v>
      </c>
      <c r="H577" s="27">
        <f>Tableau!$G$26*SIN(F577*PI()/180)+Tableau!$H$25</f>
        <v>8042.8248378523858</v>
      </c>
      <c r="J577" s="34">
        <v>574</v>
      </c>
      <c r="K577" s="35">
        <f>Tableau!$G$36*COS(J577*PI()/180)+Tableau!$G$35</f>
        <v>-9145.1878627752085</v>
      </c>
      <c r="L577" s="35">
        <f>Tableau!$G$36*SIN(J577*PI()/180)+Tableau!$H$35</f>
        <v>-17795.964517353736</v>
      </c>
      <c r="N577" s="98">
        <v>573</v>
      </c>
      <c r="O577" s="99">
        <v>286.5</v>
      </c>
      <c r="P577" s="101">
        <f>P576+R576*Tableau!$G$2+((1/2)*T576)*Tableau!$G$2^2</f>
        <v>122442.00134835308</v>
      </c>
      <c r="Q577" s="101">
        <f>Q576+S576*Tableau!$G$2+((1/2)*U576)*Tableau!$G$2^2</f>
        <v>45506.466095677111</v>
      </c>
      <c r="R577" s="101">
        <f>R576+T576*Tableau!$G$2</f>
        <v>-1592.4854896808022</v>
      </c>
      <c r="S577" s="101">
        <f>S576+U576*Tableau!$G$2</f>
        <v>615.68046619369431</v>
      </c>
      <c r="T577" s="101">
        <f t="shared" si="16"/>
        <v>-72.25321759055285</v>
      </c>
      <c r="U577" s="101">
        <f t="shared" si="17"/>
        <v>-28.272986622009675</v>
      </c>
      <c r="V577" s="101">
        <f>((Tableau!$G$16-P577)/(AC577^2+Tableau!$G$21^2)^(3/2))*Tableau!$G$20</f>
        <v>-40.606812064697998</v>
      </c>
      <c r="W577" s="101">
        <f>((Tableau!$H$16-Q577)/(AC577^2+Tableau!$G$21^2)^(3/2))*Tableau!$G$20</f>
        <v>-15.065318967582703</v>
      </c>
      <c r="X577" s="101">
        <f>((Tableau!$G$25-P577)/(AD577^2+Tableau!$G$30^2)^(3/2))*Tableau!$G$29</f>
        <v>-8.0587426428157034</v>
      </c>
      <c r="Y577" s="101">
        <f>((Tableau!$H$25-Q577)/(AD577^2+Tableau!$G$30^2)^(3/2))*Tableau!$G$29</f>
        <v>-2.0087998603807278</v>
      </c>
      <c r="Z577" s="101">
        <f>((Tableau!$G$35-P577)/(AE577^2+Tableau!$G$40^2)^(3/2))*Tableau!$G$39</f>
        <v>-23.587662883039144</v>
      </c>
      <c r="AA577" s="102">
        <f>((Tableau!$H$35-Q577)/(AE577^2+Tableau!$G$40^2)^(3/2))*Tableau!$G$39</f>
        <v>-11.198867794046246</v>
      </c>
      <c r="AC577" s="113">
        <f>SQRT((Tableau!$G$16-P577)^2+(Tableau!$H$16-Q577)^2)</f>
        <v>109265.06809286226</v>
      </c>
      <c r="AD577" s="114">
        <f>SQRT((Tableau!$G$25-P577)^2+(Tableau!$H$25-Q577)^2)</f>
        <v>146800.65695604938</v>
      </c>
      <c r="AE577" s="115">
        <f>SQRT((Tableau!$G$35-P577)^2+(Tableau!$H$35-Q577)^2)</f>
        <v>141076.2068779174</v>
      </c>
    </row>
    <row r="578" spans="2:31" x14ac:dyDescent="0.25">
      <c r="B578" s="20">
        <v>575</v>
      </c>
      <c r="C578" s="21">
        <f>Tableau!$G$17*COS(B578*PI()/180)+Tableau!$G$16</f>
        <v>15904.239778555038</v>
      </c>
      <c r="D578" s="21">
        <f>Tableau!$G$17*SIN(B578*PI()/180)+Tableau!$H$16</f>
        <v>4632.1178182447748</v>
      </c>
      <c r="F578" s="28">
        <v>575</v>
      </c>
      <c r="G578" s="29">
        <f>Tableau!$G$26*COS(F578*PI()/180)+Tableau!$G$25</f>
        <v>-22867.032155011475</v>
      </c>
      <c r="H578" s="29">
        <f>Tableau!$G$26*SIN(F578*PI()/180)+Tableau!$H$25</f>
        <v>7992.4824727713421</v>
      </c>
      <c r="J578" s="36">
        <v>575</v>
      </c>
      <c r="K578" s="37">
        <f>Tableau!$G$36*COS(J578*PI()/180)+Tableau!$G$35</f>
        <v>-9095.7602214449616</v>
      </c>
      <c r="L578" s="37">
        <f>Tableau!$G$36*SIN(J578*PI()/180)+Tableau!$H$35</f>
        <v>-17867.882181755227</v>
      </c>
      <c r="N578" s="92">
        <v>574</v>
      </c>
      <c r="O578" s="93">
        <v>287</v>
      </c>
      <c r="P578" s="96">
        <f>P577+R577*Tableau!$G$2+((1/2)*T577)*Tableau!$G$2^2</f>
        <v>121636.72695131386</v>
      </c>
      <c r="Q578" s="96">
        <f>Q577+S577*Tableau!$G$2+((1/2)*U577)*Tableau!$G$2^2</f>
        <v>45810.772205446206</v>
      </c>
      <c r="R578" s="96">
        <f>R577+T577*Tableau!$G$2</f>
        <v>-1628.6120984760787</v>
      </c>
      <c r="S578" s="96">
        <f>S577+U577*Tableau!$G$2</f>
        <v>601.54397288268945</v>
      </c>
      <c r="T578" s="96">
        <f t="shared" si="16"/>
        <v>-72.872770837993755</v>
      </c>
      <c r="U578" s="96">
        <f t="shared" si="17"/>
        <v>-28.910638584671574</v>
      </c>
      <c r="V578" s="96">
        <f>((Tableau!$G$16-P578)/(AC578^2+Tableau!$G$21^2)^(3/2))*Tableau!$G$20</f>
        <v>-41.006491008909187</v>
      </c>
      <c r="W578" s="96">
        <f>((Tableau!$H$16-Q578)/(AC578^2+Tableau!$G$21^2)^(3/2))*Tableau!$G$20</f>
        <v>-15.456915852273909</v>
      </c>
      <c r="X578" s="96">
        <f>((Tableau!$G$25-P578)/(AD578^2+Tableau!$G$30^2)^(3/2))*Tableau!$G$29</f>
        <v>-8.1298055044627802</v>
      </c>
      <c r="Y578" s="96">
        <f>((Tableau!$H$25-Q578)/(AD578^2+Tableau!$G$30^2)^(3/2))*Tableau!$G$29</f>
        <v>-2.0555022645713481</v>
      </c>
      <c r="Z578" s="96">
        <f>((Tableau!$G$35-P578)/(AE578^2+Tableau!$G$40^2)^(3/2))*Tableau!$G$39</f>
        <v>-23.736474324621788</v>
      </c>
      <c r="AA578" s="97">
        <f>((Tableau!$H$35-Q578)/(AE578^2+Tableau!$G$40^2)^(3/2))*Tableau!$G$39</f>
        <v>-11.398220467826317</v>
      </c>
      <c r="AC578" s="110">
        <f>SQRT((Tableau!$G$16-P578)^2+(Tableau!$H$16-Q578)^2)</f>
        <v>108617.39976796314</v>
      </c>
      <c r="AD578" s="111">
        <f>SQRT((Tableau!$G$25-P578)^2+(Tableau!$H$25-Q578)^2)</f>
        <v>146093.7159067131</v>
      </c>
      <c r="AE578" s="112">
        <f>SQRT((Tableau!$G$35-P578)^2+(Tableau!$H$35-Q578)^2)</f>
        <v>140480.64147477507</v>
      </c>
    </row>
    <row r="579" spans="2:31" x14ac:dyDescent="0.25">
      <c r="B579" s="18">
        <v>576</v>
      </c>
      <c r="C579" s="19">
        <f>Tableau!$G$17*COS(B579*PI()/180)+Tableau!$G$16</f>
        <v>15954.915028125262</v>
      </c>
      <c r="D579" s="19">
        <f>Tableau!$G$17*SIN(B579*PI()/180)+Tableau!$H$16</f>
        <v>4561.073738537636</v>
      </c>
      <c r="F579" s="26">
        <v>576</v>
      </c>
      <c r="G579" s="27">
        <f>Tableau!$G$26*COS(F579*PI()/180)+Tableau!$G$25</f>
        <v>-22831.559480312317</v>
      </c>
      <c r="H579" s="27">
        <f>Tableau!$G$26*SIN(F579*PI()/180)+Tableau!$H$25</f>
        <v>7942.7516169763458</v>
      </c>
      <c r="J579" s="34">
        <v>576</v>
      </c>
      <c r="K579" s="35">
        <f>Tableau!$G$36*COS(J579*PI()/180)+Tableau!$G$35</f>
        <v>-9045.0849718747377</v>
      </c>
      <c r="L579" s="35">
        <f>Tableau!$G$36*SIN(J579*PI()/180)+Tableau!$H$35</f>
        <v>-17938.926261462366</v>
      </c>
      <c r="N579" s="98">
        <v>575</v>
      </c>
      <c r="O579" s="99">
        <v>287.5</v>
      </c>
      <c r="P579" s="101">
        <f>P578+R578*Tableau!$G$2+((1/2)*T578)*Tableau!$G$2^2</f>
        <v>120813.31180572107</v>
      </c>
      <c r="Q579" s="101">
        <f>Q578+S578*Tableau!$G$2+((1/2)*U578)*Tableau!$G$2^2</f>
        <v>46107.930362064464</v>
      </c>
      <c r="R579" s="101">
        <f>R578+T578*Tableau!$G$2</f>
        <v>-1665.0484838950756</v>
      </c>
      <c r="S579" s="101">
        <f>S578+U578*Tableau!$G$2</f>
        <v>587.08865359035372</v>
      </c>
      <c r="T579" s="101">
        <f t="shared" si="16"/>
        <v>-73.518525777204246</v>
      </c>
      <c r="U579" s="101">
        <f t="shared" si="17"/>
        <v>-29.571477329197506</v>
      </c>
      <c r="V579" s="101">
        <f>((Tableau!$G$16-P579)/(AC579^2+Tableau!$G$21^2)^(3/2))*Tableau!$G$20</f>
        <v>-41.423208212734437</v>
      </c>
      <c r="W579" s="101">
        <f>((Tableau!$H$16-Q579)/(AC579^2+Tableau!$G$21^2)^(3/2))*Tableau!$G$20</f>
        <v>-15.863622664559573</v>
      </c>
      <c r="X579" s="101">
        <f>((Tableau!$G$25-P579)/(AD579^2+Tableau!$G$30^2)^(3/2))*Tableau!$G$29</f>
        <v>-8.2037325369399099</v>
      </c>
      <c r="Y579" s="101">
        <f>((Tableau!$H$25-Q579)/(AD579^2+Tableau!$G$30^2)^(3/2))*Tableau!$G$29</f>
        <v>-2.10363494299119</v>
      </c>
      <c r="Z579" s="101">
        <f>((Tableau!$G$35-P579)/(AE579^2+Tableau!$G$40^2)^(3/2))*Tableau!$G$39</f>
        <v>-23.891585027529906</v>
      </c>
      <c r="AA579" s="102">
        <f>((Tableau!$H$35-Q579)/(AE579^2+Tableau!$G$40^2)^(3/2))*Tableau!$G$39</f>
        <v>-11.604219721646743</v>
      </c>
      <c r="AC579" s="113">
        <f>SQRT((Tableau!$G$16-P579)^2+(Tableau!$H$16-Q579)^2)</f>
        <v>107953.21266215082</v>
      </c>
      <c r="AD579" s="114">
        <f>SQRT((Tableau!$G$25-P579)^2+(Tableau!$H$25-Q579)^2)</f>
        <v>145369.0868676244</v>
      </c>
      <c r="AE579" s="115">
        <f>SQRT((Tableau!$G$35-P579)^2+(Tableau!$H$35-Q579)^2)</f>
        <v>139868.39736215794</v>
      </c>
    </row>
    <row r="580" spans="2:31" x14ac:dyDescent="0.25">
      <c r="B580" s="20">
        <v>577</v>
      </c>
      <c r="C580" s="21">
        <f>Tableau!$G$17*COS(B580*PI()/180)+Tableau!$G$16</f>
        <v>16006.822449763536</v>
      </c>
      <c r="D580" s="21">
        <f>Tableau!$G$17*SIN(B580*PI()/180)+Tableau!$H$16</f>
        <v>4490.9248842397574</v>
      </c>
      <c r="F580" s="28">
        <v>577</v>
      </c>
      <c r="G580" s="29">
        <f>Tableau!$G$26*COS(F580*PI()/180)+Tableau!$G$25</f>
        <v>-22795.224285165525</v>
      </c>
      <c r="H580" s="29">
        <f>Tableau!$G$26*SIN(F580*PI()/180)+Tableau!$H$25</f>
        <v>7893.6474189678302</v>
      </c>
      <c r="J580" s="36">
        <v>577</v>
      </c>
      <c r="K580" s="37">
        <f>Tableau!$G$36*COS(J580*PI()/180)+Tableau!$G$35</f>
        <v>-8993.1775502364635</v>
      </c>
      <c r="L580" s="37">
        <f>Tableau!$G$36*SIN(J580*PI()/180)+Tableau!$H$35</f>
        <v>-18009.075115760243</v>
      </c>
      <c r="N580" s="92">
        <v>576</v>
      </c>
      <c r="O580" s="93">
        <v>288</v>
      </c>
      <c r="P580" s="96">
        <f>P579+R579*Tableau!$G$2+((1/2)*T579)*Tableau!$G$2^2</f>
        <v>119971.59774805138</v>
      </c>
      <c r="Q580" s="96">
        <f>Q579+S579*Tableau!$G$2+((1/2)*U579)*Tableau!$G$2^2</f>
        <v>46397.778254193494</v>
      </c>
      <c r="R580" s="96">
        <f>R579+T579*Tableau!$G$2</f>
        <v>-1701.8077467836777</v>
      </c>
      <c r="S580" s="96">
        <f>S579+U579*Tableau!$G$2</f>
        <v>572.30291492575498</v>
      </c>
      <c r="T580" s="96">
        <f t="shared" ref="T580:T643" si="18">V580+X580+Z580</f>
        <v>-74.191527022957544</v>
      </c>
      <c r="U580" s="96">
        <f t="shared" ref="U580:U643" si="19">W580+Y580+AA580</f>
        <v>-30.256796624121954</v>
      </c>
      <c r="V580" s="96">
        <f>((Tableau!$G$16-P580)/(AC580^2+Tableau!$G$21^2)^(3/2))*Tableau!$G$20</f>
        <v>-41.857685815793552</v>
      </c>
      <c r="W580" s="96">
        <f>((Tableau!$H$16-Q580)/(AC580^2+Tableau!$G$21^2)^(3/2))*Tableau!$G$20</f>
        <v>-16.286335497005439</v>
      </c>
      <c r="X580" s="96">
        <f>((Tableau!$G$25-P580)/(AD580^2+Tableau!$G$30^2)^(3/2))*Tableau!$G$29</f>
        <v>-8.2806430017115389</v>
      </c>
      <c r="Y580" s="96">
        <f>((Tableau!$H$25-Q580)/(AD580^2+Tableau!$G$30^2)^(3/2))*Tableau!$G$29</f>
        <v>-2.1532726112118108</v>
      </c>
      <c r="Z580" s="96">
        <f>((Tableau!$G$35-P580)/(AE580^2+Tableau!$G$40^2)^(3/2))*Tableau!$G$39</f>
        <v>-24.053198205452457</v>
      </c>
      <c r="AA580" s="97">
        <f>((Tableau!$H$35-Q580)/(AE580^2+Tableau!$G$40^2)^(3/2))*Tableau!$G$39</f>
        <v>-11.817188515904704</v>
      </c>
      <c r="AC580" s="110">
        <f>SQRT((Tableau!$G$16-P580)^2+(Tableau!$H$16-Q580)^2)</f>
        <v>107272.35202702791</v>
      </c>
      <c r="AD580" s="111">
        <f>SQRT((Tableau!$G$25-P580)^2+(Tableau!$H$25-Q580)^2)</f>
        <v>144626.57583578388</v>
      </c>
      <c r="AE580" s="112">
        <f>SQRT((Tableau!$G$35-P580)^2+(Tableau!$H$35-Q580)^2)</f>
        <v>139239.3170704736</v>
      </c>
    </row>
    <row r="581" spans="2:31" x14ac:dyDescent="0.25">
      <c r="B581" s="18">
        <v>578</v>
      </c>
      <c r="C581" s="19">
        <f>Tableau!$G$17*COS(B581*PI()/180)+Tableau!$G$16</f>
        <v>16059.946231966387</v>
      </c>
      <c r="D581" s="19">
        <f>Tableau!$G$17*SIN(B581*PI()/180)+Tableau!$H$16</f>
        <v>4421.6926233717113</v>
      </c>
      <c r="F581" s="26">
        <v>578</v>
      </c>
      <c r="G581" s="27">
        <f>Tableau!$G$26*COS(F581*PI()/180)+Tableau!$G$25</f>
        <v>-22758.037637623529</v>
      </c>
      <c r="H581" s="27">
        <f>Tableau!$G$26*SIN(F581*PI()/180)+Tableau!$H$25</f>
        <v>7845.1848363601985</v>
      </c>
      <c r="J581" s="34">
        <v>578</v>
      </c>
      <c r="K581" s="35">
        <f>Tableau!$G$36*COS(J581*PI()/180)+Tableau!$G$35</f>
        <v>-8940.0537680336129</v>
      </c>
      <c r="L581" s="35">
        <f>Tableau!$G$36*SIN(J581*PI()/180)+Tableau!$H$35</f>
        <v>-18078.307376628287</v>
      </c>
      <c r="N581" s="98">
        <v>577</v>
      </c>
      <c r="O581" s="99">
        <v>288.5</v>
      </c>
      <c r="P581" s="101">
        <f>P580+R580*Tableau!$G$2+((1/2)*T580)*Tableau!$G$2^2</f>
        <v>119111.41993378167</v>
      </c>
      <c r="Q581" s="101">
        <f>Q580+S580*Tableau!$G$2+((1/2)*U580)*Tableau!$G$2^2</f>
        <v>46680.147612078355</v>
      </c>
      <c r="R581" s="101">
        <f>R580+T580*Tableau!$G$2</f>
        <v>-1738.9035102951564</v>
      </c>
      <c r="S581" s="101">
        <f>S580+U580*Tableau!$G$2</f>
        <v>557.17451661369398</v>
      </c>
      <c r="T581" s="101">
        <f t="shared" si="18"/>
        <v>-74.892885961425904</v>
      </c>
      <c r="U581" s="101">
        <f t="shared" si="19"/>
        <v>-30.967980664042006</v>
      </c>
      <c r="V581" s="101">
        <f>((Tableau!$G$16-P581)/(AC581^2+Tableau!$G$21^2)^(3/2))*Tableau!$G$20</f>
        <v>-42.310692884078094</v>
      </c>
      <c r="W581" s="101">
        <f>((Tableau!$H$16-Q581)/(AC581^2+Tableau!$G$21^2)^(3/2))*Tableau!$G$20</f>
        <v>-16.726015971469906</v>
      </c>
      <c r="X581" s="101">
        <f>((Tableau!$G$25-P581)/(AD581^2+Tableau!$G$30^2)^(3/2))*Tableau!$G$29</f>
        <v>-8.3606639036673069</v>
      </c>
      <c r="Y581" s="101">
        <f>((Tableau!$H$25-Q581)/(AD581^2+Tableau!$G$30^2)^(3/2))*Tableau!$G$29</f>
        <v>-2.2044946868306714</v>
      </c>
      <c r="Z581" s="101">
        <f>((Tableau!$G$35-P581)/(AE581^2+Tableau!$G$40^2)^(3/2))*Tableau!$G$39</f>
        <v>-24.221529173680505</v>
      </c>
      <c r="AA581" s="102">
        <f>((Tableau!$H$35-Q581)/(AE581^2+Tableau!$G$40^2)^(3/2))*Tableau!$G$39</f>
        <v>-12.037470005741429</v>
      </c>
      <c r="AC581" s="113">
        <f>SQRT((Tableau!$G$16-P581)^2+(Tableau!$H$16-Q581)^2)</f>
        <v>106574.65706346263</v>
      </c>
      <c r="AD581" s="114">
        <f>SQRT((Tableau!$G$25-P581)^2+(Tableau!$H$25-Q581)^2)</f>
        <v>143865.98063766432</v>
      </c>
      <c r="AE581" s="115">
        <f>SQRT((Tableau!$G$35-P581)^2+(Tableau!$H$35-Q581)^2)</f>
        <v>138593.23636969907</v>
      </c>
    </row>
    <row r="582" spans="2:31" x14ac:dyDescent="0.25">
      <c r="B582" s="20">
        <v>579</v>
      </c>
      <c r="C582" s="21">
        <f>Tableau!$G$17*COS(B582*PI()/180)+Tableau!$G$16</f>
        <v>16114.270192715147</v>
      </c>
      <c r="D582" s="21">
        <f>Tableau!$G$17*SIN(B582*PI()/180)+Tableau!$H$16</f>
        <v>4353.3980447508129</v>
      </c>
      <c r="F582" s="28">
        <v>579</v>
      </c>
      <c r="G582" s="29">
        <f>Tableau!$G$26*COS(F582*PI()/180)+Tableau!$G$25</f>
        <v>-22720.010865099397</v>
      </c>
      <c r="H582" s="29">
        <f>Tableau!$G$26*SIN(F582*PI()/180)+Tableau!$H$25</f>
        <v>7797.3786313255696</v>
      </c>
      <c r="J582" s="36">
        <v>579</v>
      </c>
      <c r="K582" s="37">
        <f>Tableau!$G$36*COS(J582*PI()/180)+Tableau!$G$35</f>
        <v>-8885.7298072848535</v>
      </c>
      <c r="L582" s="37">
        <f>Tableau!$G$36*SIN(J582*PI()/180)+Tableau!$H$35</f>
        <v>-18146.601955249185</v>
      </c>
      <c r="N582" s="92">
        <v>578</v>
      </c>
      <c r="O582" s="93">
        <v>289</v>
      </c>
      <c r="P582" s="96">
        <f>P581+R581*Tableau!$G$2+((1/2)*T581)*Tableau!$G$2^2</f>
        <v>118232.60656788891</v>
      </c>
      <c r="Q582" s="96">
        <f>Q581+S581*Tableau!$G$2+((1/2)*U581)*Tableau!$G$2^2</f>
        <v>46954.863872802198</v>
      </c>
      <c r="R582" s="96">
        <f>R581+T581*Tableau!$G$2</f>
        <v>-1776.3499532758692</v>
      </c>
      <c r="S582" s="96">
        <f>S581+U581*Tableau!$G$2</f>
        <v>541.69052628167299</v>
      </c>
      <c r="T582" s="96">
        <f t="shared" si="18"/>
        <v>-75.623785621763886</v>
      </c>
      <c r="U582" s="96">
        <f t="shared" si="19"/>
        <v>-31.706512045288559</v>
      </c>
      <c r="V582" s="96">
        <f>((Tableau!$G$16-P582)/(AC582^2+Tableau!$G$21^2)^(3/2))*Tableau!$G$20</f>
        <v>-42.783048911459133</v>
      </c>
      <c r="W582" s="96">
        <f>((Tableau!$H$16-Q582)/(AC582^2+Tableau!$G$21^2)^(3/2))*Tableau!$G$20</f>
        <v>-17.183697245155312</v>
      </c>
      <c r="X582" s="96">
        <f>((Tableau!$G$25-P582)/(AD582^2+Tableau!$G$30^2)^(3/2))*Tableau!$G$29</f>
        <v>-8.4439305904310853</v>
      </c>
      <c r="Y582" s="96">
        <f>((Tableau!$H$25-Q582)/(AD582^2+Tableau!$G$30^2)^(3/2))*Tableau!$G$29</f>
        <v>-2.2573856723704293</v>
      </c>
      <c r="Z582" s="96">
        <f>((Tableau!$G$35-P582)/(AE582^2+Tableau!$G$40^2)^(3/2))*Tableau!$G$39</f>
        <v>-24.396806119873659</v>
      </c>
      <c r="AA582" s="97">
        <f>((Tableau!$H$35-Q582)/(AE582^2+Tableau!$G$40^2)^(3/2))*Tableau!$G$39</f>
        <v>-12.265429127762818</v>
      </c>
      <c r="AC582" s="110">
        <f>SQRT((Tableau!$G$16-P582)^2+(Tableau!$H$16-Q582)^2)</f>
        <v>105859.96068553494</v>
      </c>
      <c r="AD582" s="111">
        <f>SQRT((Tableau!$G$25-P582)^2+(Tableau!$H$25-Q582)^2)</f>
        <v>143087.09055120978</v>
      </c>
      <c r="AE582" s="112">
        <f>SQRT((Tableau!$G$35-P582)^2+(Tableau!$H$35-Q582)^2)</f>
        <v>137929.983973803</v>
      </c>
    </row>
    <row r="583" spans="2:31" x14ac:dyDescent="0.25">
      <c r="B583" s="18">
        <v>580</v>
      </c>
      <c r="C583" s="19">
        <f>Tableau!$G$17*COS(B583*PI()/180)+Tableau!$G$16</f>
        <v>16169.777784405105</v>
      </c>
      <c r="D583" s="19">
        <f>Tableau!$G$17*SIN(B583*PI()/180)+Tableau!$H$16</f>
        <v>4286.0619515673079</v>
      </c>
      <c r="F583" s="26">
        <v>580</v>
      </c>
      <c r="G583" s="27">
        <f>Tableau!$G$26*COS(F583*PI()/180)+Tableau!$G$25</f>
        <v>-22681.155550916425</v>
      </c>
      <c r="H583" s="27">
        <f>Tableau!$G$26*SIN(F583*PI()/180)+Tableau!$H$25</f>
        <v>7750.2433660971155</v>
      </c>
      <c r="J583" s="34">
        <v>580</v>
      </c>
      <c r="K583" s="35">
        <f>Tableau!$G$36*COS(J583*PI()/180)+Tableau!$G$35</f>
        <v>-8830.2222155948948</v>
      </c>
      <c r="L583" s="35">
        <f>Tableau!$G$36*SIN(J583*PI()/180)+Tableau!$H$35</f>
        <v>-18213.93804843269</v>
      </c>
      <c r="N583" s="98">
        <v>579</v>
      </c>
      <c r="O583" s="99">
        <v>289.5</v>
      </c>
      <c r="P583" s="101">
        <f>P582+R582*Tableau!$G$2+((1/2)*T582)*Tableau!$G$2^2</f>
        <v>117334.97861804826</v>
      </c>
      <c r="Q583" s="101">
        <f>Q582+S582*Tableau!$G$2+((1/2)*U582)*Tableau!$G$2^2</f>
        <v>47221.745821937373</v>
      </c>
      <c r="R583" s="101">
        <f>R582+T582*Tableau!$G$2</f>
        <v>-1814.1618460867512</v>
      </c>
      <c r="S583" s="101">
        <f>S582+U582*Tableau!$G$2</f>
        <v>525.83727025902874</v>
      </c>
      <c r="T583" s="101">
        <f t="shared" si="18"/>
        <v>-76.385485987006291</v>
      </c>
      <c r="U583" s="101">
        <f t="shared" si="19"/>
        <v>-32.47398057664374</v>
      </c>
      <c r="V583" s="101">
        <f>((Tableau!$G$16-P583)/(AC583^2+Tableau!$G$21^2)^(3/2))*Tableau!$G$20</f>
        <v>-43.275627638520433</v>
      </c>
      <c r="W583" s="101">
        <f>((Tableau!$H$16-Q583)/(AC583^2+Tableau!$G$21^2)^(3/2))*Tableau!$G$20</f>
        <v>-17.660490665822937</v>
      </c>
      <c r="X583" s="101">
        <f>((Tableau!$G$25-P583)/(AD583^2+Tableau!$G$30^2)^(3/2))*Tableau!$G$29</f>
        <v>-8.53058740940204</v>
      </c>
      <c r="Y583" s="101">
        <f>((Tableau!$H$25-Q583)/(AD583^2+Tableau!$G$30^2)^(3/2))*Tableau!$G$29</f>
        <v>-2.3120355750567225</v>
      </c>
      <c r="Z583" s="101">
        <f>((Tableau!$G$35-P583)/(AE583^2+Tableau!$G$40^2)^(3/2))*Tableau!$G$39</f>
        <v>-24.579270939083816</v>
      </c>
      <c r="AA583" s="102">
        <f>((Tableau!$H$35-Q583)/(AE583^2+Tableau!$G$40^2)^(3/2))*Tableau!$G$39</f>
        <v>-12.501454335764079</v>
      </c>
      <c r="AC583" s="113">
        <f>SQRT((Tableau!$G$16-P583)^2+(Tableau!$H$16-Q583)^2)</f>
        <v>105128.08927074872</v>
      </c>
      <c r="AD583" s="114">
        <f>SQRT((Tableau!$G$25-P583)^2+(Tableau!$H$25-Q583)^2)</f>
        <v>142289.6859018695</v>
      </c>
      <c r="AE583" s="115">
        <f>SQRT((Tableau!$G$35-P583)^2+(Tableau!$H$35-Q583)^2)</f>
        <v>137249.38122486419</v>
      </c>
    </row>
    <row r="584" spans="2:31" x14ac:dyDescent="0.25">
      <c r="B584" s="20">
        <v>581</v>
      </c>
      <c r="C584" s="21">
        <f>Tableau!$G$17*COS(B584*PI()/180)+Tableau!$G$16</f>
        <v>16226.452098886139</v>
      </c>
      <c r="D584" s="21">
        <f>Tableau!$G$17*SIN(B584*PI()/180)+Tableau!$H$16</f>
        <v>4219.7048550474647</v>
      </c>
      <c r="F584" s="28">
        <v>581</v>
      </c>
      <c r="G584" s="29">
        <f>Tableau!$G$26*COS(F584*PI()/180)+Tableau!$G$25</f>
        <v>-22641.483530779704</v>
      </c>
      <c r="H584" s="29">
        <f>Tableau!$G$26*SIN(F584*PI()/180)+Tableau!$H$25</f>
        <v>7703.7933985332256</v>
      </c>
      <c r="J584" s="36">
        <v>581</v>
      </c>
      <c r="K584" s="37">
        <f>Tableau!$G$36*COS(J584*PI()/180)+Tableau!$G$35</f>
        <v>-8773.5479011138614</v>
      </c>
      <c r="L584" s="37">
        <f>Tableau!$G$36*SIN(J584*PI()/180)+Tableau!$H$35</f>
        <v>-18280.295144952535</v>
      </c>
      <c r="N584" s="92">
        <v>580</v>
      </c>
      <c r="O584" s="93">
        <v>290</v>
      </c>
      <c r="P584" s="96">
        <f>P583+R583*Tableau!$G$2+((1/2)*T583)*Tableau!$G$2^2</f>
        <v>116418.3495092565</v>
      </c>
      <c r="Q584" s="96">
        <f>Q583+S583*Tableau!$G$2+((1/2)*U583)*Tableau!$G$2^2</f>
        <v>47480.60520949481</v>
      </c>
      <c r="R584" s="96">
        <f>R583+T583*Tableau!$G$2</f>
        <v>-1852.3545890802543</v>
      </c>
      <c r="S584" s="96">
        <f>S583+U583*Tableau!$G$2</f>
        <v>509.60027997070688</v>
      </c>
      <c r="T584" s="96">
        <f t="shared" si="18"/>
        <v>-77.17932978927891</v>
      </c>
      <c r="U584" s="96">
        <f t="shared" si="19"/>
        <v>-33.272093027615853</v>
      </c>
      <c r="V584" s="96">
        <f>((Tableau!$G$16-P584)/(AC584^2+Tableau!$G$21^2)^(3/2))*Tableau!$G$20</f>
        <v>-43.789361221108663</v>
      </c>
      <c r="W584" s="96">
        <f>((Tableau!$H$16-Q584)/(AC584^2+Tableau!$G$21^2)^(3/2))*Tableau!$G$20</f>
        <v>-18.157593158022596</v>
      </c>
      <c r="X584" s="96">
        <f>((Tableau!$G$25-P584)/(AD584^2+Tableau!$G$30^2)^(3/2))*Tableau!$G$29</f>
        <v>-8.6207884290526433</v>
      </c>
      <c r="Y584" s="96">
        <f>((Tableau!$H$25-Q584)/(AD584^2+Tableau!$G$30^2)^(3/2))*Tableau!$G$29</f>
        <v>-2.3685403676723031</v>
      </c>
      <c r="Z584" s="96">
        <f>((Tableau!$G$35-P584)/(AE584^2+Tableau!$G$40^2)^(3/2))*Tableau!$G$39</f>
        <v>-24.769180139117601</v>
      </c>
      <c r="AA584" s="97">
        <f>((Tableau!$H$35-Q584)/(AE584^2+Tableau!$G$40^2)^(3/2))*Tableau!$G$39</f>
        <v>-12.74595950192095</v>
      </c>
      <c r="AC584" s="110">
        <f>SQRT((Tableau!$G$16-P584)^2+(Tableau!$H$16-Q584)^2)</f>
        <v>104378.86239563367</v>
      </c>
      <c r="AD584" s="111">
        <f>SQRT((Tableau!$G$25-P584)^2+(Tableau!$H$25-Q584)^2)</f>
        <v>141473.53763053947</v>
      </c>
      <c r="AE584" s="112">
        <f>SQRT((Tableau!$G$35-P584)^2+(Tableau!$H$35-Q584)^2)</f>
        <v>136551.2417552353</v>
      </c>
    </row>
    <row r="585" spans="2:31" x14ac:dyDescent="0.25">
      <c r="B585" s="18">
        <v>582</v>
      </c>
      <c r="C585" s="19">
        <f>Tableau!$G$17*COS(B585*PI()/180)+Tableau!$G$16</f>
        <v>16284.275872613023</v>
      </c>
      <c r="D585" s="19">
        <f>Tableau!$G$17*SIN(B585*PI()/180)+Tableau!$H$16</f>
        <v>4154.3469682057148</v>
      </c>
      <c r="F585" s="26">
        <v>582</v>
      </c>
      <c r="G585" s="27">
        <f>Tableau!$G$26*COS(F585*PI()/180)+Tableau!$G$25</f>
        <v>-22601.006889170883</v>
      </c>
      <c r="H585" s="27">
        <f>Tableau!$G$26*SIN(F585*PI()/180)+Tableau!$H$25</f>
        <v>7658.0428777440011</v>
      </c>
      <c r="J585" s="34">
        <v>582</v>
      </c>
      <c r="K585" s="35">
        <f>Tableau!$G$36*COS(J585*PI()/180)+Tableau!$G$35</f>
        <v>-8715.7241273869768</v>
      </c>
      <c r="L585" s="35">
        <f>Tableau!$G$36*SIN(J585*PI()/180)+Tableau!$H$35</f>
        <v>-18345.653031794285</v>
      </c>
      <c r="N585" s="98">
        <v>581</v>
      </c>
      <c r="O585" s="99">
        <v>290.5</v>
      </c>
      <c r="P585" s="101">
        <f>P584+R584*Tableau!$G$2+((1/2)*T584)*Tableau!$G$2^2</f>
        <v>115482.52479849271</v>
      </c>
      <c r="Q585" s="101">
        <f>Q584+S584*Tableau!$G$2+((1/2)*U584)*Tableau!$G$2^2</f>
        <v>47731.246337851713</v>
      </c>
      <c r="R585" s="101">
        <f>R584+T584*Tableau!$G$2</f>
        <v>-1890.9442539748939</v>
      </c>
      <c r="S585" s="101">
        <f>S584+U584*Tableau!$G$2</f>
        <v>492.96423345689897</v>
      </c>
      <c r="T585" s="101">
        <f t="shared" si="18"/>
        <v>-78.006748839508916</v>
      </c>
      <c r="U585" s="101">
        <f t="shared" si="19"/>
        <v>-34.102683931194832</v>
      </c>
      <c r="V585" s="101">
        <f>((Tableau!$G$16-P585)/(AC585^2+Tableau!$G$21^2)^(3/2))*Tableau!$G$20</f>
        <v>-44.325244784656277</v>
      </c>
      <c r="W585" s="101">
        <f>((Tableau!$H$16-Q585)/(AC585^2+Tableau!$G$21^2)^(3/2))*Tableau!$G$20</f>
        <v>-18.676295433960227</v>
      </c>
      <c r="X585" s="101">
        <f>((Tableau!$G$25-P585)/(AD585^2+Tableau!$G$30^2)^(3/2))*Tableau!$G$29</f>
        <v>-8.7146982318624833</v>
      </c>
      <c r="Y585" s="101">
        <f>((Tableau!$H$25-Q585)/(AD585^2+Tableau!$G$30^2)^(3/2))*Tableau!$G$29</f>
        <v>-2.4270024952332618</v>
      </c>
      <c r="Z585" s="101">
        <f>((Tableau!$G$35-P585)/(AE585^2+Tableau!$G$40^2)^(3/2))*Tableau!$G$39</f>
        <v>-24.966805822990153</v>
      </c>
      <c r="AA585" s="102">
        <f>((Tableau!$H$35-Q585)/(AE585^2+Tableau!$G$40^2)^(3/2))*Tableau!$G$39</f>
        <v>-12.999386002001343</v>
      </c>
      <c r="AC585" s="113">
        <f>SQRT((Tableau!$G$16-P585)^2+(Tableau!$H$16-Q585)^2)</f>
        <v>103612.09255580009</v>
      </c>
      <c r="AD585" s="114">
        <f>SQRT((Tableau!$G$25-P585)^2+(Tableau!$H$25-Q585)^2)</f>
        <v>140638.40683107101</v>
      </c>
      <c r="AE585" s="115">
        <f>SQRT((Tableau!$G$35-P585)^2+(Tableau!$H$35-Q585)^2)</f>
        <v>135835.37112593185</v>
      </c>
    </row>
    <row r="586" spans="2:31" x14ac:dyDescent="0.25">
      <c r="B586" s="20">
        <v>583</v>
      </c>
      <c r="C586" s="21">
        <f>Tableau!$G$17*COS(B586*PI()/180)+Tableau!$G$16</f>
        <v>16343.231491904144</v>
      </c>
      <c r="D586" s="21">
        <f>Tableau!$G$17*SIN(B586*PI()/180)+Tableau!$H$16</f>
        <v>4090.008199687511</v>
      </c>
      <c r="F586" s="28">
        <v>583</v>
      </c>
      <c r="G586" s="29">
        <f>Tableau!$G$26*COS(F586*PI()/180)+Tableau!$G$25</f>
        <v>-22559.7379556671</v>
      </c>
      <c r="H586" s="29">
        <f>Tableau!$G$26*SIN(F586*PI()/180)+Tableau!$H$25</f>
        <v>7613.0057397812579</v>
      </c>
      <c r="J586" s="36">
        <v>583</v>
      </c>
      <c r="K586" s="37">
        <f>Tableau!$G$36*COS(J586*PI()/180)+Tableau!$G$35</f>
        <v>-8656.7685080958563</v>
      </c>
      <c r="L586" s="37">
        <f>Tableau!$G$36*SIN(J586*PI()/180)+Tableau!$H$35</f>
        <v>-18409.991800312488</v>
      </c>
      <c r="N586" s="92">
        <v>582</v>
      </c>
      <c r="O586" s="93">
        <v>291</v>
      </c>
      <c r="P586" s="96">
        <f>P585+R585*Tableau!$G$2+((1/2)*T585)*Tableau!$G$2^2</f>
        <v>114527.30182790033</v>
      </c>
      <c r="Q586" s="96">
        <f>Q585+S585*Tableau!$G$2+((1/2)*U585)*Tableau!$G$2^2</f>
        <v>47973.465619088762</v>
      </c>
      <c r="R586" s="96">
        <f>R585+T585*Tableau!$G$2</f>
        <v>-1929.9476283946483</v>
      </c>
      <c r="S586" s="96">
        <f>S585+U585*Tableau!$G$2</f>
        <v>475.91289149130154</v>
      </c>
      <c r="T586" s="96">
        <f t="shared" si="18"/>
        <v>-78.869270947694289</v>
      </c>
      <c r="U586" s="96">
        <f t="shared" si="19"/>
        <v>-34.967727574730354</v>
      </c>
      <c r="V586" s="96">
        <f>((Tableau!$G$16-P586)/(AC586^2+Tableau!$G$21^2)^(3/2))*Tableau!$G$20</f>
        <v>-44.884341404449941</v>
      </c>
      <c r="W586" s="96">
        <f>((Tableau!$H$16-Q586)/(AC586^2+Tableau!$G$21^2)^(3/2))*Tableau!$G$20</f>
        <v>-19.217991136315906</v>
      </c>
      <c r="X586" s="96">
        <f>((Tableau!$G$25-P586)/(AD586^2+Tableau!$G$30^2)^(3/2))*Tableau!$G$29</f>
        <v>-8.8124927872574741</v>
      </c>
      <c r="Y586" s="96">
        <f>((Tableau!$H$25-Q586)/(AD586^2+Tableau!$G$30^2)^(3/2))*Tableau!$G$29</f>
        <v>-2.487531432864778</v>
      </c>
      <c r="Z586" s="96">
        <f>((Tableau!$G$35-P586)/(AE586^2+Tableau!$G$40^2)^(3/2))*Tableau!$G$39</f>
        <v>-25.172436755986876</v>
      </c>
      <c r="AA586" s="97">
        <f>((Tableau!$H$35-Q586)/(AE586^2+Tableau!$G$40^2)^(3/2))*Tableau!$G$39</f>
        <v>-13.262205005549671</v>
      </c>
      <c r="AC586" s="110">
        <f>SQRT((Tableau!$G$16-P586)^2+(Tableau!$H$16-Q586)^2)</f>
        <v>102827.58486944313</v>
      </c>
      <c r="AD586" s="111">
        <f>SQRT((Tableau!$G$25-P586)^2+(Tableau!$H$25-Q586)^2)</f>
        <v>139784.04425476864</v>
      </c>
      <c r="AE586" s="112">
        <f>SQRT((Tableau!$G$35-P586)^2+(Tableau!$H$35-Q586)^2)</f>
        <v>135101.56643924059</v>
      </c>
    </row>
    <row r="587" spans="2:31" x14ac:dyDescent="0.25">
      <c r="B587" s="18">
        <v>584</v>
      </c>
      <c r="C587" s="19">
        <f>Tableau!$G$17*COS(B587*PI()/180)+Tableau!$G$16</f>
        <v>16403.300998306742</v>
      </c>
      <c r="D587" s="19">
        <f>Tableau!$G$17*SIN(B587*PI()/180)+Tableau!$H$16</f>
        <v>4026.7081477050142</v>
      </c>
      <c r="F587" s="26">
        <v>584</v>
      </c>
      <c r="G587" s="27">
        <f>Tableau!$G$26*COS(F587*PI()/180)+Tableau!$G$25</f>
        <v>-22517.689301185281</v>
      </c>
      <c r="H587" s="27">
        <f>Tableau!$G$26*SIN(F587*PI()/180)+Tableau!$H$25</f>
        <v>7568.6957033935105</v>
      </c>
      <c r="J587" s="34">
        <v>584</v>
      </c>
      <c r="K587" s="35">
        <f>Tableau!$G$36*COS(J587*PI()/180)+Tableau!$G$35</f>
        <v>-8596.6990016932559</v>
      </c>
      <c r="L587" s="35">
        <f>Tableau!$G$36*SIN(J587*PI()/180)+Tableau!$H$35</f>
        <v>-18473.291852294984</v>
      </c>
      <c r="N587" s="98">
        <v>583</v>
      </c>
      <c r="O587" s="99">
        <v>291.5</v>
      </c>
      <c r="P587" s="101">
        <f>P586+R586*Tableau!$G$2+((1/2)*T586)*Tableau!$G$2^2</f>
        <v>113552.46935483455</v>
      </c>
      <c r="Q587" s="101">
        <f>Q586+S586*Tableau!$G$2+((1/2)*U586)*Tableau!$G$2^2</f>
        <v>48207.051098887569</v>
      </c>
      <c r="R587" s="101">
        <f>R586+T586*Tableau!$G$2</f>
        <v>-1969.3822638684953</v>
      </c>
      <c r="S587" s="101">
        <f>S586+U586*Tableau!$G$2</f>
        <v>458.42902770393636</v>
      </c>
      <c r="T587" s="101">
        <f t="shared" si="18"/>
        <v>-79.768527496377587</v>
      </c>
      <c r="U587" s="101">
        <f t="shared" si="19"/>
        <v>-35.869351331987517</v>
      </c>
      <c r="V587" s="101">
        <f>((Tableau!$G$16-P587)/(AC587^2+Tableau!$G$21^2)^(3/2))*Tableau!$G$20</f>
        <v>-45.467787556616194</v>
      </c>
      <c r="W587" s="101">
        <f>((Tableau!$H$16-Q587)/(AC587^2+Tableau!$G$21^2)^(3/2))*Tableau!$G$20</f>
        <v>-19.784187036265461</v>
      </c>
      <c r="X587" s="101">
        <f>((Tableau!$G$25-P587)/(AD587^2+Tableau!$G$30^2)^(3/2))*Tableau!$G$29</f>
        <v>-8.9143604140563539</v>
      </c>
      <c r="Y587" s="101">
        <f>((Tableau!$H$25-Q587)/(AD587^2+Tableau!$G$30^2)^(3/2))*Tableau!$G$29</f>
        <v>-2.5502443009783433</v>
      </c>
      <c r="Z587" s="101">
        <f>((Tableau!$G$35-P587)/(AE587^2+Tableau!$G$40^2)^(3/2))*Tableau!$G$39</f>
        <v>-25.386379525705042</v>
      </c>
      <c r="AA587" s="102">
        <f>((Tableau!$H$35-Q587)/(AE587^2+Tableau!$G$40^2)^(3/2))*Tableau!$G$39</f>
        <v>-13.534919994743715</v>
      </c>
      <c r="AC587" s="113">
        <f>SQRT((Tableau!$G$16-P587)^2+(Tableau!$H$16-Q587)^2)</f>
        <v>102025.1367632247</v>
      </c>
      <c r="AD587" s="114">
        <f>SQRT((Tableau!$G$25-P587)^2+(Tableau!$H$25-Q587)^2)</f>
        <v>138910.18977903322</v>
      </c>
      <c r="AE587" s="115">
        <f>SQRT((Tableau!$G$35-P587)^2+(Tableau!$H$35-Q587)^2)</f>
        <v>134349.6159233303</v>
      </c>
    </row>
    <row r="588" spans="2:31" x14ac:dyDescent="0.25">
      <c r="B588" s="20">
        <v>585</v>
      </c>
      <c r="C588" s="21">
        <f>Tableau!$G$17*COS(B588*PI()/180)+Tableau!$G$16</f>
        <v>16464.466094067266</v>
      </c>
      <c r="D588" s="21">
        <f>Tableau!$G$17*SIN(B588*PI()/180)+Tableau!$H$16</f>
        <v>3964.4660940672607</v>
      </c>
      <c r="F588" s="28">
        <v>585</v>
      </c>
      <c r="G588" s="29">
        <f>Tableau!$G$26*COS(F588*PI()/180)+Tableau!$G$25</f>
        <v>-22474.873734152916</v>
      </c>
      <c r="H588" s="29">
        <f>Tableau!$G$26*SIN(F588*PI()/180)+Tableau!$H$25</f>
        <v>7525.1262658470823</v>
      </c>
      <c r="J588" s="36">
        <v>585</v>
      </c>
      <c r="K588" s="37">
        <f>Tableau!$G$36*COS(J588*PI()/180)+Tableau!$G$35</f>
        <v>-8535.5339059327362</v>
      </c>
      <c r="L588" s="37">
        <f>Tableau!$G$36*SIN(J588*PI()/180)+Tableau!$H$35</f>
        <v>-18535.533905932738</v>
      </c>
      <c r="N588" s="92">
        <v>584</v>
      </c>
      <c r="O588" s="93">
        <v>292</v>
      </c>
      <c r="P588" s="96">
        <f>P587+R587*Tableau!$G$2+((1/2)*T587)*Tableau!$G$2^2</f>
        <v>112557.80715696326</v>
      </c>
      <c r="Q588" s="96">
        <f>Q587+S587*Tableau!$G$2+((1/2)*U587)*Tableau!$G$2^2</f>
        <v>48431.781943823044</v>
      </c>
      <c r="R588" s="96">
        <f>R587+T587*Tableau!$G$2</f>
        <v>-2009.266527616684</v>
      </c>
      <c r="S588" s="96">
        <f>S587+U587*Tableau!$G$2</f>
        <v>440.49435203794258</v>
      </c>
      <c r="T588" s="96">
        <f t="shared" si="18"/>
        <v>-80.706261737403551</v>
      </c>
      <c r="U588" s="96">
        <f t="shared" si="19"/>
        <v>-36.809850512045259</v>
      </c>
      <c r="V588" s="96">
        <f>((Tableau!$G$16-P588)/(AC588^2+Tableau!$G$21^2)^(3/2))*Tableau!$G$20</f>
        <v>-46.07679908974589</v>
      </c>
      <c r="W588" s="96">
        <f>((Tableau!$H$16-Q588)/(AC588^2+Tableau!$G$21^2)^(3/2))*Tableau!$G$20</f>
        <v>-20.376514428571745</v>
      </c>
      <c r="X588" s="96">
        <f>((Tableau!$G$25-P588)/(AD588^2+Tableau!$G$30^2)^(3/2))*Tableau!$G$29</f>
        <v>-9.0205028432432641</v>
      </c>
      <c r="Y588" s="96">
        <f>((Tableau!$H$25-Q588)/(AD588^2+Tableau!$G$30^2)^(3/2))*Tableau!$G$29</f>
        <v>-2.6152665446906509</v>
      </c>
      <c r="Z588" s="96">
        <f>((Tableau!$G$35-P588)/(AE588^2+Tableau!$G$40^2)^(3/2))*Tableau!$G$39</f>
        <v>-25.6089598044144</v>
      </c>
      <c r="AA588" s="97">
        <f>((Tableau!$H$35-Q588)/(AE588^2+Tableau!$G$40^2)^(3/2))*Tableau!$G$39</f>
        <v>-13.818069538782858</v>
      </c>
      <c r="AC588" s="110">
        <f>SQRT((Tableau!$G$16-P588)^2+(Tableau!$H$16-Q588)^2)</f>
        <v>101204.53763938787</v>
      </c>
      <c r="AD588" s="111">
        <f>SQRT((Tableau!$G$25-P588)^2+(Tableau!$H$25-Q588)^2)</f>
        <v>138016.57183700887</v>
      </c>
      <c r="AE588" s="112">
        <f>SQRT((Tableau!$G$35-P588)^2+(Tableau!$H$35-Q588)^2)</f>
        <v>133579.29848641399</v>
      </c>
    </row>
    <row r="589" spans="2:31" x14ac:dyDescent="0.25">
      <c r="B589" s="18">
        <v>586</v>
      </c>
      <c r="C589" s="19">
        <f>Tableau!$G$17*COS(B589*PI()/180)+Tableau!$G$16</f>
        <v>16526.708147705012</v>
      </c>
      <c r="D589" s="19">
        <f>Tableau!$G$17*SIN(B589*PI()/180)+Tableau!$H$16</f>
        <v>3903.3009983067464</v>
      </c>
      <c r="F589" s="26">
        <v>586</v>
      </c>
      <c r="G589" s="27">
        <f>Tableau!$G$26*COS(F589*PI()/180)+Tableau!$G$25</f>
        <v>-22431.304296606493</v>
      </c>
      <c r="H589" s="27">
        <f>Tableau!$G$26*SIN(F589*PI()/180)+Tableau!$H$25</f>
        <v>7482.3106988147229</v>
      </c>
      <c r="J589" s="34">
        <v>586</v>
      </c>
      <c r="K589" s="35">
        <f>Tableau!$G$36*COS(J589*PI()/180)+Tableau!$G$35</f>
        <v>-8473.2918522949876</v>
      </c>
      <c r="L589" s="35">
        <f>Tableau!$G$36*SIN(J589*PI()/180)+Tableau!$H$35</f>
        <v>-18596.699001693254</v>
      </c>
      <c r="N589" s="98">
        <v>585</v>
      </c>
      <c r="O589" s="99">
        <v>292.5</v>
      </c>
      <c r="P589" s="101">
        <f>P588+R588*Tableau!$G$2+((1/2)*T588)*Tableau!$G$2^2</f>
        <v>111543.08561043775</v>
      </c>
      <c r="Q589" s="101">
        <f>Q588+S588*Tableau!$G$2+((1/2)*U588)*Tableau!$G$2^2</f>
        <v>48647.427888528007</v>
      </c>
      <c r="R589" s="101">
        <f>R588+T588*Tableau!$G$2</f>
        <v>-2049.6196584853856</v>
      </c>
      <c r="S589" s="101">
        <f>S588+U588*Tableau!$G$2</f>
        <v>422.08942678191994</v>
      </c>
      <c r="T589" s="101">
        <f t="shared" si="18"/>
        <v>-81.684337890436183</v>
      </c>
      <c r="U589" s="101">
        <f t="shared" si="19"/>
        <v>-37.791704927100412</v>
      </c>
      <c r="V589" s="101">
        <f>((Tableau!$G$16-P589)/(AC589^2+Tableau!$G$21^2)^(3/2))*Tableau!$G$20</f>
        <v>-46.712677772859983</v>
      </c>
      <c r="W589" s="101">
        <f>((Tableau!$H$16-Q589)/(AC589^2+Tableau!$G$21^2)^(3/2))*Tableau!$G$20</f>
        <v>-20.996741887403047</v>
      </c>
      <c r="X589" s="101">
        <f>((Tableau!$G$25-P589)/(AD589^2+Tableau!$G$30^2)^(3/2))*Tableau!$G$29</f>
        <v>-9.1311363934033078</v>
      </c>
      <c r="Y589" s="101">
        <f>((Tableau!$H$25-Q589)/(AD589^2+Tableau!$G$30^2)^(3/2))*Tableau!$G$29</f>
        <v>-2.6827326853914579</v>
      </c>
      <c r="Z589" s="101">
        <f>((Tableau!$G$35-P589)/(AE589^2+Tableau!$G$40^2)^(3/2))*Tableau!$G$39</f>
        <v>-25.840523724172893</v>
      </c>
      <c r="AA589" s="102">
        <f>((Tableau!$H$35-Q589)/(AE589^2+Tableau!$G$40^2)^(3/2))*Tableau!$G$39</f>
        <v>-14.112230354305908</v>
      </c>
      <c r="AC589" s="113">
        <f>SQRT((Tableau!$G$16-P589)^2+(Tableau!$H$16-Q589)^2)</f>
        <v>100365.56852288311</v>
      </c>
      <c r="AD589" s="114">
        <f>SQRT((Tableau!$G$25-P589)^2+(Tableau!$H$25-Q589)^2)</f>
        <v>137102.90680475713</v>
      </c>
      <c r="AE589" s="115">
        <f>SQRT((Tableau!$G$35-P589)^2+(Tableau!$H$35-Q589)^2)</f>
        <v>132790.38323774503</v>
      </c>
    </row>
    <row r="590" spans="2:31" x14ac:dyDescent="0.25">
      <c r="B590" s="20">
        <v>587</v>
      </c>
      <c r="C590" s="21">
        <f>Tableau!$G$17*COS(B590*PI()/180)+Tableau!$G$16</f>
        <v>16590.008199687509</v>
      </c>
      <c r="D590" s="21">
        <f>Tableau!$G$17*SIN(B590*PI()/180)+Tableau!$H$16</f>
        <v>3843.2314919041473</v>
      </c>
      <c r="F590" s="28">
        <v>587</v>
      </c>
      <c r="G590" s="29">
        <f>Tableau!$G$26*COS(F590*PI()/180)+Tableau!$G$25</f>
        <v>-22386.994260218744</v>
      </c>
      <c r="H590" s="29">
        <f>Tableau!$G$26*SIN(F590*PI()/180)+Tableau!$H$25</f>
        <v>7440.2620443329033</v>
      </c>
      <c r="J590" s="36">
        <v>587</v>
      </c>
      <c r="K590" s="37">
        <f>Tableau!$G$36*COS(J590*PI()/180)+Tableau!$G$35</f>
        <v>-8409.9918003124913</v>
      </c>
      <c r="L590" s="37">
        <f>Tableau!$G$36*SIN(J590*PI()/180)+Tableau!$H$35</f>
        <v>-18656.768508095854</v>
      </c>
      <c r="N590" s="92">
        <v>586</v>
      </c>
      <c r="O590" s="93">
        <v>293</v>
      </c>
      <c r="P590" s="96">
        <f>P589+R589*Tableau!$G$2+((1/2)*T589)*Tableau!$G$2^2</f>
        <v>110508.06523895875</v>
      </c>
      <c r="Q590" s="96">
        <f>Q589+S589*Tableau!$G$2+((1/2)*U589)*Tableau!$G$2^2</f>
        <v>48853.748638803081</v>
      </c>
      <c r="R590" s="96">
        <f>R589+T589*Tableau!$G$2</f>
        <v>-2090.4618274306035</v>
      </c>
      <c r="S590" s="96">
        <f>S589+U589*Tableau!$G$2</f>
        <v>403.19357431836971</v>
      </c>
      <c r="T590" s="96">
        <f t="shared" si="18"/>
        <v>-82.704751131136248</v>
      </c>
      <c r="U590" s="96">
        <f t="shared" si="19"/>
        <v>-38.817597412109684</v>
      </c>
      <c r="V590" s="96">
        <f>((Tableau!$G$16-P590)/(AC590^2+Tableau!$G$21^2)^(3/2))*Tableau!$G$20</f>
        <v>-47.376818481843493</v>
      </c>
      <c r="W590" s="96">
        <f>((Tableau!$H$16-Q590)/(AC590^2+Tableau!$G$21^2)^(3/2))*Tableau!$G$20</f>
        <v>-21.646789572085829</v>
      </c>
      <c r="X590" s="96">
        <f>((Tableau!$G$25-P590)/(AD590^2+Tableau!$G$30^2)^(3/2))*Tableau!$G$29</f>
        <v>-9.2464932729226952</v>
      </c>
      <c r="Y590" s="96">
        <f>((Tableau!$H$25-Q590)/(AD590^2+Tableau!$G$30^2)^(3/2))*Tableau!$G$29</f>
        <v>-2.7527871534890922</v>
      </c>
      <c r="Z590" s="96">
        <f>((Tableau!$G$35-P590)/(AE590^2+Tableau!$G$40^2)^(3/2))*Tableau!$G$39</f>
        <v>-26.081439376370053</v>
      </c>
      <c r="AA590" s="97">
        <f>((Tableau!$H$35-Q590)/(AE590^2+Tableau!$G$40^2)^(3/2))*Tableau!$G$39</f>
        <v>-14.418020686534764</v>
      </c>
      <c r="AC590" s="110">
        <f>SQRT((Tableau!$G$16-P590)^2+(Tableau!$H$16-Q590)^2)</f>
        <v>99508.001687205644</v>
      </c>
      <c r="AD590" s="111">
        <f>SQRT((Tableau!$G$25-P590)^2+(Tableau!$H$25-Q590)^2)</f>
        <v>136168.89834210897</v>
      </c>
      <c r="AE590" s="112">
        <f>SQRT((Tableau!$G$35-P590)^2+(Tableau!$H$35-Q590)^2)</f>
        <v>131982.62897243333</v>
      </c>
    </row>
    <row r="591" spans="2:31" x14ac:dyDescent="0.25">
      <c r="B591" s="18">
        <v>588</v>
      </c>
      <c r="C591" s="19">
        <f>Tableau!$G$17*COS(B591*PI()/180)+Tableau!$G$16</f>
        <v>16654.346968205711</v>
      </c>
      <c r="D591" s="19">
        <f>Tableau!$G$17*SIN(B591*PI()/180)+Tableau!$H$16</f>
        <v>3784.275872613026</v>
      </c>
      <c r="F591" s="26">
        <v>588</v>
      </c>
      <c r="G591" s="27">
        <f>Tableau!$G$26*COS(F591*PI()/180)+Tableau!$G$25</f>
        <v>-22341.957122256001</v>
      </c>
      <c r="H591" s="27">
        <f>Tableau!$G$26*SIN(F591*PI()/180)+Tableau!$H$25</f>
        <v>7398.9931108291185</v>
      </c>
      <c r="J591" s="34">
        <v>588</v>
      </c>
      <c r="K591" s="35">
        <f>Tableau!$G$36*COS(J591*PI()/180)+Tableau!$G$35</f>
        <v>-8345.6530317942888</v>
      </c>
      <c r="L591" s="35">
        <f>Tableau!$G$36*SIN(J591*PI()/180)+Tableau!$H$35</f>
        <v>-18715.724127386973</v>
      </c>
      <c r="N591" s="98">
        <v>587</v>
      </c>
      <c r="O591" s="99">
        <v>293.5</v>
      </c>
      <c r="P591" s="101">
        <f>P590+R590*Tableau!$G$2+((1/2)*T590)*Tableau!$G$2^2</f>
        <v>109452.49623135205</v>
      </c>
      <c r="Q591" s="101">
        <f>Q590+S590*Tableau!$G$2+((1/2)*U590)*Tableau!$G$2^2</f>
        <v>49050.493226285755</v>
      </c>
      <c r="R591" s="101">
        <f>R590+T590*Tableau!$G$2</f>
        <v>-2131.8142029961718</v>
      </c>
      <c r="S591" s="101">
        <f>S590+U590*Tableau!$G$2</f>
        <v>383.78477561231489</v>
      </c>
      <c r="T591" s="101">
        <f t="shared" si="18"/>
        <v>-83.769638567574333</v>
      </c>
      <c r="U591" s="101">
        <f t="shared" si="19"/>
        <v>-39.890434565429615</v>
      </c>
      <c r="V591" s="101">
        <f>((Tableau!$G$16-P591)/(AC591^2+Tableau!$G$21^2)^(3/2))*Tableau!$G$20</f>
        <v>-48.070717093688003</v>
      </c>
      <c r="W591" s="101">
        <f>((Tableau!$H$16-Q591)/(AC591^2+Tableau!$G$21^2)^(3/2))*Tableau!$G$20</f>
        <v>-22.328745302067162</v>
      </c>
      <c r="X591" s="101">
        <f>((Tableau!$G$25-P591)/(AD591^2+Tableau!$G$30^2)^(3/2))*Tableau!$G$29</f>
        <v>-9.3668230251090456</v>
      </c>
      <c r="Y591" s="101">
        <f>((Tableau!$H$25-Q591)/(AD591^2+Tableau!$G$30^2)^(3/2))*Tableau!$G$29</f>
        <v>-2.8255852126646772</v>
      </c>
      <c r="Z591" s="101">
        <f>((Tableau!$G$35-P591)/(AE591^2+Tableau!$G$40^2)^(3/2))*Tableau!$G$39</f>
        <v>-26.332098448777288</v>
      </c>
      <c r="AA591" s="102">
        <f>((Tableau!$H$35-Q591)/(AE591^2+Tableau!$G$40^2)^(3/2))*Tableau!$G$39</f>
        <v>-14.736104050697778</v>
      </c>
      <c r="AC591" s="113">
        <f>SQRT((Tableau!$G$16-P591)^2+(Tableau!$H$16-Q591)^2)</f>
        <v>98631.600257562852</v>
      </c>
      <c r="AD591" s="114">
        <f>SQRT((Tableau!$G$25-P591)^2+(Tableau!$H$25-Q591)^2)</f>
        <v>135214.23668291888</v>
      </c>
      <c r="AE591" s="115">
        <f>SQRT((Tableau!$G$35-P591)^2+(Tableau!$H$35-Q591)^2)</f>
        <v>131155.78361672859</v>
      </c>
    </row>
    <row r="592" spans="2:31" x14ac:dyDescent="0.25">
      <c r="B592" s="20">
        <v>589</v>
      </c>
      <c r="C592" s="21">
        <f>Tableau!$G$17*COS(B592*PI()/180)+Tableau!$G$16</f>
        <v>16719.704855047461</v>
      </c>
      <c r="D592" s="21">
        <f>Tableau!$G$17*SIN(B592*PI()/180)+Tableau!$H$16</f>
        <v>3726.4520988861409</v>
      </c>
      <c r="F592" s="28">
        <v>589</v>
      </c>
      <c r="G592" s="29">
        <f>Tableau!$G$26*COS(F592*PI()/180)+Tableau!$G$25</f>
        <v>-22296.206601466776</v>
      </c>
      <c r="H592" s="29">
        <f>Tableau!$G$26*SIN(F592*PI()/180)+Tableau!$H$25</f>
        <v>7358.5164692202989</v>
      </c>
      <c r="J592" s="36">
        <v>589</v>
      </c>
      <c r="K592" s="37">
        <f>Tableau!$G$36*COS(J592*PI()/180)+Tableau!$G$35</f>
        <v>-8280.2951449525372</v>
      </c>
      <c r="L592" s="37">
        <f>Tableau!$G$36*SIN(J592*PI()/180)+Tableau!$H$35</f>
        <v>-18773.54790111386</v>
      </c>
      <c r="N592" s="92">
        <v>588</v>
      </c>
      <c r="O592" s="93">
        <v>294</v>
      </c>
      <c r="P592" s="96">
        <f>P591+R591*Tableau!$G$2+((1/2)*T591)*Tableau!$G$2^2</f>
        <v>108376.11792503302</v>
      </c>
      <c r="Q592" s="96">
        <f>Q591+S591*Tableau!$G$2+((1/2)*U591)*Tableau!$G$2^2</f>
        <v>49237.39930977123</v>
      </c>
      <c r="R592" s="96">
        <f>R591+T591*Tableau!$G$2</f>
        <v>-2173.6990222799591</v>
      </c>
      <c r="S592" s="96">
        <f>S591+U591*Tableau!$G$2</f>
        <v>363.8395583296001</v>
      </c>
      <c r="T592" s="96">
        <f t="shared" si="18"/>
        <v>-84.881291315456266</v>
      </c>
      <c r="U592" s="96">
        <f t="shared" si="19"/>
        <v>-41.013370022208143</v>
      </c>
      <c r="V592" s="96">
        <f>((Tableau!$G$16-P592)/(AC592^2+Tableau!$G$21^2)^(3/2))*Tableau!$G$20</f>
        <v>-48.795979165886116</v>
      </c>
      <c r="W592" s="96">
        <f>((Tableau!$H$16-Q592)/(AC592^2+Tableau!$G$21^2)^(3/2))*Tableau!$G$20</f>
        <v>-23.044882655803818</v>
      </c>
      <c r="X592" s="96">
        <f>((Tableau!$G$25-P592)/(AD592^2+Tableau!$G$30^2)^(3/2))*Tableau!$G$29</f>
        <v>-9.4923941347811738</v>
      </c>
      <c r="Y592" s="96">
        <f>((Tableau!$H$25-Q592)/(AD592^2+Tableau!$G$30^2)^(3/2))*Tableau!$G$29</f>
        <v>-2.9012939874816945</v>
      </c>
      <c r="Z592" s="96">
        <f>((Tableau!$G$35-P592)/(AE592^2+Tableau!$G$40^2)^(3/2))*Tableau!$G$39</f>
        <v>-26.592918014788982</v>
      </c>
      <c r="AA592" s="97">
        <f>((Tableau!$H$35-Q592)/(AE592^2+Tableau!$G$40^2)^(3/2))*Tableau!$G$39</f>
        <v>-15.06719337892263</v>
      </c>
      <c r="AC592" s="110">
        <f>SQRT((Tableau!$G$16-P592)^2+(Tableau!$H$16-Q592)^2)</f>
        <v>97736.117789907294</v>
      </c>
      <c r="AD592" s="111">
        <f>SQRT((Tableau!$G$25-P592)^2+(Tableau!$H$25-Q592)^2)</f>
        <v>134238.59786997337</v>
      </c>
      <c r="AE592" s="112">
        <f>SQRT((Tableau!$G$35-P592)^2+(Tableau!$H$35-Q592)^2)</f>
        <v>130309.58363003848</v>
      </c>
    </row>
    <row r="593" spans="2:31" x14ac:dyDescent="0.25">
      <c r="B593" s="18">
        <v>590</v>
      </c>
      <c r="C593" s="19">
        <f>Tableau!$G$17*COS(B593*PI()/180)+Tableau!$G$16</f>
        <v>16786.061951567306</v>
      </c>
      <c r="D593" s="19">
        <f>Tableau!$G$17*SIN(B593*PI()/180)+Tableau!$H$16</f>
        <v>3669.7777844051088</v>
      </c>
      <c r="F593" s="26">
        <v>590</v>
      </c>
      <c r="G593" s="27">
        <f>Tableau!$G$26*COS(F593*PI()/180)+Tableau!$G$25</f>
        <v>-22249.756633902885</v>
      </c>
      <c r="H593" s="27">
        <f>Tableau!$G$26*SIN(F593*PI()/180)+Tableau!$H$25</f>
        <v>7318.8444490835764</v>
      </c>
      <c r="J593" s="34">
        <v>590</v>
      </c>
      <c r="K593" s="35">
        <f>Tableau!$G$36*COS(J593*PI()/180)+Tableau!$G$35</f>
        <v>-8213.9380484326957</v>
      </c>
      <c r="L593" s="35">
        <f>Tableau!$G$36*SIN(J593*PI()/180)+Tableau!$H$35</f>
        <v>-18830.222215594891</v>
      </c>
      <c r="N593" s="98">
        <v>589</v>
      </c>
      <c r="O593" s="99">
        <v>294.5</v>
      </c>
      <c r="P593" s="101">
        <f>P592+R592*Tableau!$G$2+((1/2)*T592)*Tableau!$G$2^2</f>
        <v>107278.65825247861</v>
      </c>
      <c r="Q593" s="101">
        <f>Q592+S592*Tableau!$G$2+((1/2)*U592)*Tableau!$G$2^2</f>
        <v>49414.192417683247</v>
      </c>
      <c r="R593" s="101">
        <f>R592+T592*Tableau!$G$2</f>
        <v>-2216.1396679376871</v>
      </c>
      <c r="S593" s="101">
        <f>S592+U592*Tableau!$G$2</f>
        <v>343.33287331849601</v>
      </c>
      <c r="T593" s="101">
        <f t="shared" si="18"/>
        <v>-86.042167796265801</v>
      </c>
      <c r="U593" s="101">
        <f t="shared" si="19"/>
        <v>-42.189830622504289</v>
      </c>
      <c r="V593" s="101">
        <f>((Tableau!$G$16-P593)/(AC593^2+Tableau!$G$21^2)^(3/2))*Tableau!$G$20</f>
        <v>-49.554329487240643</v>
      </c>
      <c r="W593" s="101">
        <f>((Tableau!$H$16-Q593)/(AC593^2+Tableau!$G$21^2)^(3/2))*Tableau!$G$20</f>
        <v>-23.797681390209664</v>
      </c>
      <c r="X593" s="101">
        <f>((Tableau!$G$25-P593)/(AD593^2+Tableau!$G$30^2)^(3/2))*Tableau!$G$29</f>
        <v>-9.6234958176787533</v>
      </c>
      <c r="Y593" s="101">
        <f>((Tableau!$H$25-Q593)/(AD593^2+Tableau!$G$30^2)^(3/2))*Tableau!$G$29</f>
        <v>-2.9800936079664706</v>
      </c>
      <c r="Z593" s="101">
        <f>((Tableau!$G$35-P593)/(AE593^2+Tableau!$G$40^2)^(3/2))*Tableau!$G$39</f>
        <v>-26.864342491346402</v>
      </c>
      <c r="AA593" s="102">
        <f>((Tableau!$H$35-Q593)/(AE593^2+Tableau!$G$40^2)^(3/2))*Tableau!$G$39</f>
        <v>-15.412055624328152</v>
      </c>
      <c r="AC593" s="113">
        <f>SQRT((Tableau!$G$16-P593)^2+(Tableau!$H$16-Q593)^2)</f>
        <v>96821.297824288267</v>
      </c>
      <c r="AD593" s="114">
        <f>SQRT((Tableau!$G$25-P593)^2+(Tableau!$H$25-Q593)^2)</f>
        <v>133241.64292926367</v>
      </c>
      <c r="AE593" s="115">
        <f>SQRT((Tableau!$G$35-P593)^2+(Tableau!$H$35-Q593)^2)</f>
        <v>129443.75335951599</v>
      </c>
    </row>
    <row r="594" spans="2:31" x14ac:dyDescent="0.25">
      <c r="B594" s="20">
        <v>591</v>
      </c>
      <c r="C594" s="21">
        <f>Tableau!$G$17*COS(B594*PI()/180)+Tableau!$G$16</f>
        <v>16853.398044750811</v>
      </c>
      <c r="D594" s="21">
        <f>Tableau!$G$17*SIN(B594*PI()/180)+Tableau!$H$16</f>
        <v>3614.2701927151479</v>
      </c>
      <c r="F594" s="28">
        <v>591</v>
      </c>
      <c r="G594" s="29">
        <f>Tableau!$G$26*COS(F594*PI()/180)+Tableau!$G$25</f>
        <v>-22202.621368674434</v>
      </c>
      <c r="H594" s="29">
        <f>Tableau!$G$26*SIN(F594*PI()/180)+Tableau!$H$25</f>
        <v>7279.9891349006029</v>
      </c>
      <c r="J594" s="36">
        <v>591</v>
      </c>
      <c r="K594" s="37">
        <f>Tableau!$G$36*COS(J594*PI()/180)+Tableau!$G$35</f>
        <v>-8146.6019552491898</v>
      </c>
      <c r="L594" s="37">
        <f>Tableau!$G$36*SIN(J594*PI()/180)+Tableau!$H$35</f>
        <v>-18885.729807284853</v>
      </c>
      <c r="N594" s="92">
        <v>590</v>
      </c>
      <c r="O594" s="93">
        <v>295</v>
      </c>
      <c r="P594" s="96">
        <f>P593+R593*Tableau!$G$2+((1/2)*T593)*Tableau!$G$2^2</f>
        <v>106159.83314753523</v>
      </c>
      <c r="Q594" s="96">
        <f>Q593+S593*Tableau!$G$2+((1/2)*U593)*Tableau!$G$2^2</f>
        <v>49580.585125514677</v>
      </c>
      <c r="R594" s="96">
        <f>R593+T593*Tableau!$G$2</f>
        <v>-2259.1607518358201</v>
      </c>
      <c r="S594" s="96">
        <f>S593+U593*Tableau!$G$2</f>
        <v>322.23795800724389</v>
      </c>
      <c r="T594" s="96">
        <f t="shared" si="18"/>
        <v>-87.254908397668061</v>
      </c>
      <c r="U594" s="96">
        <f t="shared" si="19"/>
        <v>-43.423545895502627</v>
      </c>
      <c r="V594" s="96">
        <f>((Tableau!$G$16-P594)/(AC594^2+Tableau!$G$21^2)^(3/2))*Tableau!$G$20</f>
        <v>-50.347622596213448</v>
      </c>
      <c r="W594" s="96">
        <f>((Tableau!$H$16-Q594)/(AC594^2+Tableau!$G$21^2)^(3/2))*Tableau!$G$20</f>
        <v>-24.589850526977891</v>
      </c>
      <c r="X594" s="96">
        <f>((Tableau!$G$25-P594)/(AD594^2+Tableau!$G$30^2)^(3/2))*Tableau!$G$29</f>
        <v>-9.7604400173262498</v>
      </c>
      <c r="Y594" s="96">
        <f>((Tableau!$H$25-Q594)/(AD594^2+Tableau!$G$30^2)^(3/2))*Tableau!$G$29</f>
        <v>-3.0621784868444011</v>
      </c>
      <c r="Z594" s="96">
        <f>((Tableau!$G$35-P594)/(AE594^2+Tableau!$G$40^2)^(3/2))*Tableau!$G$39</f>
        <v>-27.146845784128363</v>
      </c>
      <c r="AA594" s="97">
        <f>((Tableau!$H$35-Q594)/(AE594^2+Tableau!$G$40^2)^(3/2))*Tableau!$G$39</f>
        <v>-15.771516881680332</v>
      </c>
      <c r="AC594" s="110">
        <f>SQRT((Tableau!$G$16-P594)^2+(Tableau!$H$16-Q594)^2)</f>
        <v>95886.873410893939</v>
      </c>
      <c r="AD594" s="111">
        <f>SQRT((Tableau!$G$25-P594)^2+(Tableau!$H$25-Q594)^2)</f>
        <v>132223.0169777261</v>
      </c>
      <c r="AE594" s="112">
        <f>SQRT((Tableau!$G$35-P594)^2+(Tableau!$H$35-Q594)^2)</f>
        <v>128558.00434256018</v>
      </c>
    </row>
    <row r="595" spans="2:31" x14ac:dyDescent="0.25">
      <c r="B595" s="18">
        <v>592</v>
      </c>
      <c r="C595" s="19">
        <f>Tableau!$G$17*COS(B595*PI()/180)+Tableau!$G$16</f>
        <v>16921.692623371709</v>
      </c>
      <c r="D595" s="19">
        <f>Tableau!$G$17*SIN(B595*PI()/180)+Tableau!$H$16</f>
        <v>3559.9462319663903</v>
      </c>
      <c r="F595" s="26">
        <v>592</v>
      </c>
      <c r="G595" s="27">
        <f>Tableau!$G$26*COS(F595*PI()/180)+Tableau!$G$25</f>
        <v>-22154.815163639803</v>
      </c>
      <c r="H595" s="27">
        <f>Tableau!$G$26*SIN(F595*PI()/180)+Tableau!$H$25</f>
        <v>7241.9623623764728</v>
      </c>
      <c r="J595" s="34">
        <v>592</v>
      </c>
      <c r="K595" s="35">
        <f>Tableau!$G$36*COS(J595*PI()/180)+Tableau!$G$35</f>
        <v>-8078.3073766282914</v>
      </c>
      <c r="L595" s="35">
        <f>Tableau!$G$36*SIN(J595*PI()/180)+Tableau!$H$35</f>
        <v>-18940.053768033609</v>
      </c>
      <c r="N595" s="98">
        <v>591</v>
      </c>
      <c r="O595" s="99">
        <v>295.5</v>
      </c>
      <c r="P595" s="101">
        <f>P594+R594*Tableau!$G$2+((1/2)*T594)*Tableau!$G$2^2</f>
        <v>105019.34590806761</v>
      </c>
      <c r="Q595" s="101">
        <f>Q594+S594*Tableau!$G$2+((1/2)*U594)*Tableau!$G$2^2</f>
        <v>49736.276161281363</v>
      </c>
      <c r="R595" s="101">
        <f>R594+T594*Tableau!$G$2</f>
        <v>-2302.7882060346542</v>
      </c>
      <c r="S595" s="101">
        <f>S594+U594*Tableau!$G$2</f>
        <v>300.5261850594926</v>
      </c>
      <c r="T595" s="101">
        <f t="shared" si="18"/>
        <v>-88.522351652632494</v>
      </c>
      <c r="U595" s="101">
        <f t="shared" si="19"/>
        <v>-44.718581351599482</v>
      </c>
      <c r="V595" s="101">
        <f>((Tableau!$G$16-P595)/(AC595^2+Tableau!$G$21^2)^(3/2))*Tableau!$G$20</f>
        <v>-51.177854373827316</v>
      </c>
      <c r="W595" s="101">
        <f>((Tableau!$H$16-Q595)/(AC595^2+Tableau!$G$21^2)^(3/2))*Tableau!$G$20</f>
        <v>-25.424354511173647</v>
      </c>
      <c r="X595" s="101">
        <f>((Tableau!$G$25-P595)/(AD595^2+Tableau!$G$30^2)^(3/2))*Tableau!$G$29</f>
        <v>-9.9035636378499703</v>
      </c>
      <c r="Y595" s="101">
        <f>((Tableau!$H$25-Q595)/(AD595^2+Tableau!$G$30^2)^(3/2))*Tableau!$G$29</f>
        <v>-3.1477587475446538</v>
      </c>
      <c r="Z595" s="101">
        <f>((Tableau!$G$35-P595)/(AE595^2+Tableau!$G$40^2)^(3/2))*Tableau!$G$39</f>
        <v>-27.440933640955201</v>
      </c>
      <c r="AA595" s="102">
        <f>((Tableau!$H$35-Q595)/(AE595^2+Tableau!$G$40^2)^(3/2))*Tableau!$G$39</f>
        <v>-16.146468092881186</v>
      </c>
      <c r="AC595" s="113">
        <f>SQRT((Tableau!$G$16-P595)^2+(Tableau!$H$16-Q595)^2)</f>
        <v>94932.566607079978</v>
      </c>
      <c r="AD595" s="114">
        <f>SQRT((Tableau!$G$25-P595)^2+(Tableau!$H$25-Q595)^2)</f>
        <v>131182.34825786081</v>
      </c>
      <c r="AE595" s="115">
        <f>SQRT((Tableau!$G$35-P595)^2+(Tableau!$H$35-Q595)^2)</f>
        <v>127652.03455201456</v>
      </c>
    </row>
    <row r="596" spans="2:31" x14ac:dyDescent="0.25">
      <c r="B596" s="20">
        <v>593</v>
      </c>
      <c r="C596" s="21">
        <f>Tableau!$G$17*COS(B596*PI()/180)+Tableau!$G$16</f>
        <v>16990.924884239754</v>
      </c>
      <c r="D596" s="21">
        <f>Tableau!$G$17*SIN(B596*PI()/180)+Tableau!$H$16</f>
        <v>3506.8224497635392</v>
      </c>
      <c r="F596" s="28">
        <v>593</v>
      </c>
      <c r="G596" s="29">
        <f>Tableau!$G$26*COS(F596*PI()/180)+Tableau!$G$25</f>
        <v>-22106.352581032173</v>
      </c>
      <c r="H596" s="29">
        <f>Tableau!$G$26*SIN(F596*PI()/180)+Tableau!$H$25</f>
        <v>7204.7757148344772</v>
      </c>
      <c r="J596" s="36">
        <v>593</v>
      </c>
      <c r="K596" s="37">
        <f>Tableau!$G$36*COS(J596*PI()/180)+Tableau!$G$35</f>
        <v>-8009.0751157602463</v>
      </c>
      <c r="L596" s="37">
        <f>Tableau!$G$36*SIN(J596*PI()/180)+Tableau!$H$35</f>
        <v>-18993.177550236462</v>
      </c>
      <c r="N596" s="92">
        <v>592</v>
      </c>
      <c r="O596" s="93">
        <v>296</v>
      </c>
      <c r="P596" s="96">
        <f>P595+R595*Tableau!$G$2+((1/2)*T595)*Tableau!$G$2^2</f>
        <v>103856.8865110937</v>
      </c>
      <c r="Q596" s="96">
        <f>Q595+S595*Tableau!$G$2+((1/2)*U595)*Tableau!$G$2^2</f>
        <v>49880.949431142159</v>
      </c>
      <c r="R596" s="96">
        <f>R595+T595*Tableau!$G$2</f>
        <v>-2347.0493818609702</v>
      </c>
      <c r="S596" s="96">
        <f>S595+U595*Tableau!$G$2</f>
        <v>278.16689438369286</v>
      </c>
      <c r="T596" s="96">
        <f t="shared" si="18"/>
        <v>-89.847552112933556</v>
      </c>
      <c r="U596" s="96">
        <f t="shared" si="19"/>
        <v>-46.0793761578676</v>
      </c>
      <c r="V596" s="96">
        <f>((Tableau!$G$16-P596)/(AC596^2+Tableau!$G$21^2)^(3/2))*Tableau!$G$20</f>
        <v>-52.047174830056385</v>
      </c>
      <c r="W596" s="96">
        <f>((Tableau!$H$16-Q596)/(AC596^2+Tableau!$G$21^2)^(3/2))*Tableau!$G$20</f>
        <v>-26.304442917930427</v>
      </c>
      <c r="X596" s="96">
        <f>((Tableau!$G$25-P596)/(AD596^2+Tableau!$G$30^2)^(3/2))*Tableau!$G$29</f>
        <v>-10.05323104580178</v>
      </c>
      <c r="Y596" s="96">
        <f>((Tableau!$H$25-Q596)/(AD596^2+Tableau!$G$30^2)^(3/2))*Tableau!$G$29</f>
        <v>-3.237061823940635</v>
      </c>
      <c r="Z596" s="96">
        <f>((Tableau!$G$35-P596)/(AE596^2+Tableau!$G$40^2)^(3/2))*Tableau!$G$39</f>
        <v>-27.747146237075398</v>
      </c>
      <c r="AA596" s="97">
        <f>((Tableau!$H$35-Q596)/(AE596^2+Tableau!$G$40^2)^(3/2))*Tableau!$G$39</f>
        <v>-16.537871415996538</v>
      </c>
      <c r="AC596" s="110">
        <f>SQRT((Tableau!$G$16-P596)^2+(Tableau!$H$16-Q596)^2)</f>
        <v>93958.087943611739</v>
      </c>
      <c r="AD596" s="111">
        <f>SQRT((Tableau!$G$25-P596)^2+(Tableau!$H$25-Q596)^2)</f>
        <v>130119.24709185518</v>
      </c>
      <c r="AE596" s="112">
        <f>SQRT((Tableau!$G$35-P596)^2+(Tableau!$H$35-Q596)^2)</f>
        <v>126725.5275782096</v>
      </c>
    </row>
    <row r="597" spans="2:31" x14ac:dyDescent="0.25">
      <c r="B597" s="18">
        <v>594</v>
      </c>
      <c r="C597" s="19">
        <f>Tableau!$G$17*COS(B597*PI()/180)+Tableau!$G$16</f>
        <v>17061.073738537634</v>
      </c>
      <c r="D597" s="19">
        <f>Tableau!$G$17*SIN(B597*PI()/180)+Tableau!$H$16</f>
        <v>3454.9150281252637</v>
      </c>
      <c r="F597" s="26">
        <v>594</v>
      </c>
      <c r="G597" s="27">
        <f>Tableau!$G$26*COS(F597*PI()/180)+Tableau!$G$25</f>
        <v>-22057.248383023656</v>
      </c>
      <c r="H597" s="27">
        <f>Tableau!$G$26*SIN(F597*PI()/180)+Tableau!$H$25</f>
        <v>7168.4405196876851</v>
      </c>
      <c r="J597" s="34">
        <v>594</v>
      </c>
      <c r="K597" s="35">
        <f>Tableau!$G$36*COS(J597*PI()/180)+Tableau!$G$35</f>
        <v>-7938.9262614623676</v>
      </c>
      <c r="L597" s="35">
        <f>Tableau!$G$36*SIN(J597*PI()/180)+Tableau!$H$35</f>
        <v>-19045.084971874738</v>
      </c>
      <c r="N597" s="98">
        <v>593</v>
      </c>
      <c r="O597" s="99">
        <v>296.5</v>
      </c>
      <c r="P597" s="101">
        <f>P596+R596*Tableau!$G$2+((1/2)*T596)*Tableau!$G$2^2</f>
        <v>102672.13087614911</v>
      </c>
      <c r="Q597" s="101">
        <f>Q596+S596*Tableau!$G$2+((1/2)*U596)*Tableau!$G$2^2</f>
        <v>50014.272956314278</v>
      </c>
      <c r="R597" s="101">
        <f>R596+T596*Tableau!$G$2</f>
        <v>-2391.9731579174372</v>
      </c>
      <c r="S597" s="101">
        <f>S596+U596*Tableau!$G$2</f>
        <v>255.12720630475906</v>
      </c>
      <c r="T597" s="101">
        <f t="shared" si="18"/>
        <v>-91.23380011419043</v>
      </c>
      <c r="U597" s="101">
        <f t="shared" si="19"/>
        <v>-47.510785872284025</v>
      </c>
      <c r="V597" s="101">
        <f>((Tableau!$G$16-P597)/(AC597^2+Tableau!$G$21^2)^(3/2))*Tableau!$G$20</f>
        <v>-52.957902215626532</v>
      </c>
      <c r="W597" s="101">
        <f>((Tableau!$H$16-Q597)/(AC597^2+Tableau!$G$21^2)^(3/2))*Tableau!$G$20</f>
        <v>-27.233684267336269</v>
      </c>
      <c r="X597" s="101">
        <f>((Tableau!$G$25-P597)/(AD597^2+Tableau!$G$30^2)^(3/2))*Tableau!$G$29</f>
        <v>-10.209836879436512</v>
      </c>
      <c r="Y597" s="101">
        <f>((Tableau!$H$25-Q597)/(AD597^2+Tableau!$G$30^2)^(3/2))*Tableau!$G$29</f>
        <v>-3.3303342561619109</v>
      </c>
      <c r="Z597" s="101">
        <f>((Tableau!$G$35-P597)/(AE597^2+Tableau!$G$40^2)^(3/2))*Tableau!$G$39</f>
        <v>-28.066061019127389</v>
      </c>
      <c r="AA597" s="102">
        <f>((Tableau!$H$35-Q597)/(AE597^2+Tableau!$G$40^2)^(3/2))*Tableau!$G$39</f>
        <v>-16.946767348785844</v>
      </c>
      <c r="AC597" s="113">
        <f>SQRT((Tableau!$G$16-P597)^2+(Tableau!$H$16-Q597)^2)</f>
        <v>92963.13585829128</v>
      </c>
      <c r="AD597" s="114">
        <f>SQRT((Tableau!$G$25-P597)^2+(Tableau!$H$25-Q597)^2)</f>
        <v>129033.30474694306</v>
      </c>
      <c r="AE597" s="115">
        <f>SQRT((Tableau!$G$35-P597)^2+(Tableau!$H$35-Q597)^2)</f>
        <v>125778.15174126514</v>
      </c>
    </row>
    <row r="598" spans="2:31" x14ac:dyDescent="0.25">
      <c r="B598" s="20">
        <v>595</v>
      </c>
      <c r="C598" s="21">
        <f>Tableau!$G$17*COS(B598*PI()/180)+Tableau!$G$16</f>
        <v>17132.117818244762</v>
      </c>
      <c r="D598" s="21">
        <f>Tableau!$G$17*SIN(B598*PI()/180)+Tableau!$H$16</f>
        <v>3404.2397785550456</v>
      </c>
      <c r="F598" s="28">
        <v>595</v>
      </c>
      <c r="G598" s="29">
        <f>Tableau!$G$26*COS(F598*PI()/180)+Tableau!$G$25</f>
        <v>-22007.517527228665</v>
      </c>
      <c r="H598" s="29">
        <f>Tableau!$G$26*SIN(F598*PI()/180)+Tableau!$H$25</f>
        <v>7132.9678449885323</v>
      </c>
      <c r="J598" s="36">
        <v>595</v>
      </c>
      <c r="K598" s="37">
        <f>Tableau!$G$36*COS(J598*PI()/180)+Tableau!$G$35</f>
        <v>-7867.8821817552362</v>
      </c>
      <c r="L598" s="37">
        <f>Tableau!$G$36*SIN(J598*PI()/180)+Tableau!$H$35</f>
        <v>-19095.760221444954</v>
      </c>
      <c r="N598" s="92">
        <v>594</v>
      </c>
      <c r="O598" s="93">
        <v>297</v>
      </c>
      <c r="P598" s="96">
        <f>P597+R597*Tableau!$G$2+((1/2)*T597)*Tableau!$G$2^2</f>
        <v>101464.74007217612</v>
      </c>
      <c r="Q598" s="96">
        <f>Q597+S597*Tableau!$G$2+((1/2)*U597)*Tableau!$G$2^2</f>
        <v>50135.897711232625</v>
      </c>
      <c r="R598" s="96">
        <f>R597+T597*Tableau!$G$2</f>
        <v>-2437.5900579745326</v>
      </c>
      <c r="S598" s="96">
        <f>S597+U597*Tableau!$G$2</f>
        <v>231.37181336861704</v>
      </c>
      <c r="T598" s="96">
        <f t="shared" si="18"/>
        <v>-92.684643653535602</v>
      </c>
      <c r="U598" s="96">
        <f t="shared" si="19"/>
        <v>-49.018131031583707</v>
      </c>
      <c r="V598" s="96">
        <f>((Tableau!$G$16-P598)/(AC598^2+Tableau!$G$21^2)^(3/2))*Tableau!$G$20</f>
        <v>-53.912538605100039</v>
      </c>
      <c r="W598" s="96">
        <f>((Tableau!$H$16-Q598)/(AC598^2+Tableau!$G$21^2)^(3/2))*Tableau!$G$20</f>
        <v>-28.216004608661411</v>
      </c>
      <c r="X598" s="96">
        <f>((Tableau!$G$25-P598)/(AD598^2+Tableau!$G$30^2)^(3/2))*Tableau!$G$29</f>
        <v>-10.373809210286192</v>
      </c>
      <c r="Y598" s="96">
        <f>((Tableau!$H$25-Q598)/(AD598^2+Tableau!$G$30^2)^(3/2))*Tableau!$G$29</f>
        <v>-3.4278437107960795</v>
      </c>
      <c r="Z598" s="96">
        <f>((Tableau!$G$35-P598)/(AE598^2+Tableau!$G$40^2)^(3/2))*Tableau!$G$39</f>
        <v>-28.398295838149373</v>
      </c>
      <c r="AA598" s="97">
        <f>((Tableau!$H$35-Q598)/(AE598^2+Tableau!$G$40^2)^(3/2))*Tableau!$G$39</f>
        <v>-17.374282712126217</v>
      </c>
      <c r="AC598" s="110">
        <f>SQRT((Tableau!$G$16-P598)^2+(Tableau!$H$16-Q598)^2)</f>
        <v>91947.396095103803</v>
      </c>
      <c r="AD598" s="111">
        <f>SQRT((Tableau!$G$25-P598)^2+(Tableau!$H$25-Q598)^2)</f>
        <v>127924.09220271152</v>
      </c>
      <c r="AE598" s="112">
        <f>SQRT((Tableau!$G$35-P598)^2+(Tableau!$H$35-Q598)^2)</f>
        <v>124809.55912623112</v>
      </c>
    </row>
    <row r="599" spans="2:31" x14ac:dyDescent="0.25">
      <c r="B599" s="18">
        <v>596</v>
      </c>
      <c r="C599" s="19">
        <f>Tableau!$G$17*COS(B599*PI()/180)+Tableau!$G$16</f>
        <v>17204.035482646264</v>
      </c>
      <c r="D599" s="19">
        <f>Tableau!$G$17*SIN(B599*PI()/180)+Tableau!$H$16</f>
        <v>3354.8121372247933</v>
      </c>
      <c r="F599" s="26">
        <v>596</v>
      </c>
      <c r="G599" s="27">
        <f>Tableau!$G$26*COS(F599*PI()/180)+Tableau!$G$25</f>
        <v>-21957.175162147618</v>
      </c>
      <c r="H599" s="27">
        <f>Tableau!$G$26*SIN(F599*PI()/180)+Tableau!$H$25</f>
        <v>7098.3684960573555</v>
      </c>
      <c r="J599" s="34">
        <v>596</v>
      </c>
      <c r="K599" s="35">
        <f>Tableau!$G$36*COS(J599*PI()/180)+Tableau!$G$35</f>
        <v>-7795.9645173537374</v>
      </c>
      <c r="L599" s="35">
        <f>Tableau!$G$36*SIN(J599*PI()/180)+Tableau!$H$35</f>
        <v>-19145.187862775208</v>
      </c>
      <c r="N599" s="98">
        <v>595</v>
      </c>
      <c r="O599" s="99">
        <v>297.5</v>
      </c>
      <c r="P599" s="101">
        <f>P598+R598*Tableau!$G$2+((1/2)*T598)*Tableau!$G$2^2</f>
        <v>100234.35946273216</v>
      </c>
      <c r="Q599" s="101">
        <f>Q598+S598*Tableau!$G$2+((1/2)*U598)*Tableau!$G$2^2</f>
        <v>50245.456351537985</v>
      </c>
      <c r="R599" s="101">
        <f>R598+T598*Tableau!$G$2</f>
        <v>-2483.9323798013002</v>
      </c>
      <c r="S599" s="101">
        <f>S598+U598*Tableau!$G$2</f>
        <v>206.86274785282518</v>
      </c>
      <c r="T599" s="101">
        <f t="shared" si="18"/>
        <v>-94.203912627565344</v>
      </c>
      <c r="U599" s="101">
        <f t="shared" si="19"/>
        <v>-50.607252531017338</v>
      </c>
      <c r="V599" s="101">
        <f>((Tableau!$G$16-P599)/(AC599^2+Tableau!$G$21^2)^(3/2))*Tableau!$G$20</f>
        <v>-54.913787111915752</v>
      </c>
      <c r="W599" s="101">
        <f>((Tableau!$H$16-Q599)/(AC599^2+Tableau!$G$21^2)^(3/2))*Tableau!$G$20</f>
        <v>-29.25573165671425</v>
      </c>
      <c r="X599" s="101">
        <f>((Tableau!$G$25-P599)/(AD599^2+Tableau!$G$30^2)^(3/2))*Tableau!$G$29</f>
        <v>-10.545613109496927</v>
      </c>
      <c r="Y599" s="101">
        <f>((Tableau!$H$25-Q599)/(AD599^2+Tableau!$G$30^2)^(3/2))*Tableau!$G$29</f>
        <v>-3.5298812585267387</v>
      </c>
      <c r="Z599" s="101">
        <f>((Tableau!$G$35-P599)/(AE599^2+Tableau!$G$40^2)^(3/2))*Tableau!$G$39</f>
        <v>-28.744512406152666</v>
      </c>
      <c r="AA599" s="102">
        <f>((Tableau!$H$35-Q599)/(AE599^2+Tableau!$G$40^2)^(3/2))*Tableau!$G$39</f>
        <v>-17.821639615776348</v>
      </c>
      <c r="AC599" s="113">
        <f>SQRT((Tableau!$G$16-P599)^2+(Tableau!$H$16-Q599)^2)</f>
        <v>90910.541067008046</v>
      </c>
      <c r="AD599" s="114">
        <f>SQRT((Tableau!$G$25-P599)^2+(Tableau!$H$25-Q599)^2)</f>
        <v>126791.15880989905</v>
      </c>
      <c r="AE599" s="115">
        <f>SQRT((Tableau!$G$35-P599)^2+(Tableau!$H$35-Q599)^2)</f>
        <v>123819.3845326812</v>
      </c>
    </row>
    <row r="600" spans="2:31" x14ac:dyDescent="0.25">
      <c r="B600" s="20">
        <v>597</v>
      </c>
      <c r="C600" s="21">
        <f>Tableau!$G$17*COS(B600*PI()/180)+Tableau!$G$16</f>
        <v>17276.804824924857</v>
      </c>
      <c r="D600" s="21">
        <f>Tableau!$G$17*SIN(B600*PI()/180)+Tableau!$H$16</f>
        <v>3306.6471602728843</v>
      </c>
      <c r="F600" s="28">
        <v>597</v>
      </c>
      <c r="G600" s="29">
        <f>Tableau!$G$26*COS(F600*PI()/180)+Tableau!$G$25</f>
        <v>-21906.236622552598</v>
      </c>
      <c r="H600" s="29">
        <f>Tableau!$G$26*SIN(F600*PI()/180)+Tableau!$H$25</f>
        <v>7064.6530121910191</v>
      </c>
      <c r="J600" s="36">
        <v>597</v>
      </c>
      <c r="K600" s="37">
        <f>Tableau!$G$36*COS(J600*PI()/180)+Tableau!$G$35</f>
        <v>-7723.1951750751432</v>
      </c>
      <c r="L600" s="37">
        <f>Tableau!$G$36*SIN(J600*PI()/180)+Tableau!$H$35</f>
        <v>-19193.352839727115</v>
      </c>
      <c r="N600" s="92">
        <v>596</v>
      </c>
      <c r="O600" s="93">
        <v>298</v>
      </c>
      <c r="P600" s="96">
        <f>P599+R599*Tableau!$G$2+((1/2)*T599)*Tableau!$G$2^2</f>
        <v>98980.61778375307</v>
      </c>
      <c r="Q600" s="96">
        <f>Q599+S599*Tableau!$G$2+((1/2)*U599)*Tableau!$G$2^2</f>
        <v>50342.561818898015</v>
      </c>
      <c r="R600" s="96">
        <f>R599+T599*Tableau!$G$2</f>
        <v>-2531.0343361150826</v>
      </c>
      <c r="S600" s="96">
        <f>S599+U599*Tableau!$G$2</f>
        <v>181.5591215873165</v>
      </c>
      <c r="T600" s="96">
        <f t="shared" si="18"/>
        <v>-95.795745707471355</v>
      </c>
      <c r="U600" s="96">
        <f t="shared" si="19"/>
        <v>-52.284574906990656</v>
      </c>
      <c r="V600" s="96">
        <f>((Tableau!$G$16-P600)/(AC600^2+Tableau!$G$21^2)^(3/2))*Tableau!$G$20</f>
        <v>-55.964570911434393</v>
      </c>
      <c r="W600" s="96">
        <f>((Tableau!$H$16-Q600)/(AC600^2+Tableau!$G$21^2)^(3/2))*Tableau!$G$20</f>
        <v>-30.357645409991314</v>
      </c>
      <c r="X600" s="96">
        <f>((Tableau!$G$25-P600)/(AD600^2+Tableau!$G$30^2)^(3/2))*Tableau!$G$29</f>
        <v>-10.725754680496415</v>
      </c>
      <c r="Y600" s="96">
        <f>((Tableau!$H$25-Q600)/(AD600^2+Tableau!$G$30^2)^(3/2))*Tableau!$G$29</f>
        <v>-3.6367639478784723</v>
      </c>
      <c r="Z600" s="96">
        <f>((Tableau!$G$35-P600)/(AE600^2+Tableau!$G$40^2)^(3/2))*Tableau!$G$39</f>
        <v>-29.105420115540536</v>
      </c>
      <c r="AA600" s="97">
        <f>((Tableau!$H$35-Q600)/(AE600^2+Tableau!$G$40^2)^(3/2))*Tableau!$G$39</f>
        <v>-18.290165549120868</v>
      </c>
      <c r="AC600" s="110">
        <f>SQRT((Tableau!$G$16-P600)^2+(Tableau!$H$16-Q600)^2)</f>
        <v>89852.229180523893</v>
      </c>
      <c r="AD600" s="111">
        <f>SQRT((Tableau!$G$25-P600)^2+(Tableau!$H$25-Q600)^2)</f>
        <v>125634.03082889263</v>
      </c>
      <c r="AE600" s="112">
        <f>SQRT((Tableau!$G$35-P600)^2+(Tableau!$H$35-Q600)^2)</f>
        <v>122807.24432926363</v>
      </c>
    </row>
    <row r="601" spans="2:31" x14ac:dyDescent="0.25">
      <c r="B601" s="18">
        <v>598</v>
      </c>
      <c r="C601" s="19">
        <f>Tableau!$G$17*COS(B601*PI()/180)+Tableau!$G$16</f>
        <v>17350.403678833969</v>
      </c>
      <c r="D601" s="19">
        <f>Tableau!$G$17*SIN(B601*PI()/180)+Tableau!$H$16</f>
        <v>3259.7595192178733</v>
      </c>
      <c r="F601" s="26">
        <v>598</v>
      </c>
      <c r="G601" s="27">
        <f>Tableau!$G$26*COS(F601*PI()/180)+Tableau!$G$25</f>
        <v>-21854.717424816219</v>
      </c>
      <c r="H601" s="27">
        <f>Tableau!$G$26*SIN(F601*PI()/180)+Tableau!$H$25</f>
        <v>7031.8316634525108</v>
      </c>
      <c r="J601" s="34">
        <v>598</v>
      </c>
      <c r="K601" s="35">
        <f>Tableau!$G$36*COS(J601*PI()/180)+Tableau!$G$35</f>
        <v>-7649.5963211660301</v>
      </c>
      <c r="L601" s="35">
        <f>Tableau!$G$36*SIN(J601*PI()/180)+Tableau!$H$35</f>
        <v>-19240.240480782126</v>
      </c>
      <c r="N601" s="98">
        <v>597</v>
      </c>
      <c r="O601" s="99">
        <v>298.5</v>
      </c>
      <c r="P601" s="101">
        <f>P600+R600*Tableau!$G$2+((1/2)*T600)*Tableau!$G$2^2</f>
        <v>97703.126147482093</v>
      </c>
      <c r="Q601" s="101">
        <f>Q600+S600*Tableau!$G$2+((1/2)*U600)*Tableau!$G$2^2</f>
        <v>50426.805807828299</v>
      </c>
      <c r="R601" s="101">
        <f>R600+T600*Tableau!$G$2</f>
        <v>-2578.9322089688185</v>
      </c>
      <c r="S601" s="101">
        <f>S600+U600*Tableau!$G$2</f>
        <v>155.41683413382117</v>
      </c>
      <c r="T601" s="101">
        <f t="shared" si="18"/>
        <v>-97.464620160151767</v>
      </c>
      <c r="U601" s="101">
        <f t="shared" si="19"/>
        <v>-54.057178842227884</v>
      </c>
      <c r="V601" s="101">
        <f>((Tableau!$G$16-P601)/(AC601^2+Tableau!$G$21^2)^(3/2))*Tableau!$G$20</f>
        <v>-57.06805426348518</v>
      </c>
      <c r="W601" s="101">
        <f>((Tableau!$H$16-Q601)/(AC601^2+Tableau!$G$21^2)^(3/2))*Tableau!$G$20</f>
        <v>-31.527036358222741</v>
      </c>
      <c r="X601" s="101">
        <f>((Tableau!$G$25-P601)/(AD601^2+Tableau!$G$30^2)^(3/2))*Tableau!$G$29</f>
        <v>-10.914785630478349</v>
      </c>
      <c r="Y601" s="101">
        <f>((Tableau!$H$25-Q601)/(AD601^2+Tableau!$G$30^2)^(3/2))*Tableau!$G$29</f>
        <v>-3.7488377204572845</v>
      </c>
      <c r="Z601" s="101">
        <f>((Tableau!$G$35-P601)/(AE601^2+Tableau!$G$40^2)^(3/2))*Tableau!$G$39</f>
        <v>-29.481780266188238</v>
      </c>
      <c r="AA601" s="102">
        <f>((Tableau!$H$35-Q601)/(AE601^2+Tableau!$G$40^2)^(3/2))*Tableau!$G$39</f>
        <v>-18.781304763547862</v>
      </c>
      <c r="AC601" s="113">
        <f>SQRT((Tableau!$G$16-P601)^2+(Tableau!$H$16-Q601)^2)</f>
        <v>88772.104120351447</v>
      </c>
      <c r="AD601" s="114">
        <f>SQRT((Tableau!$G$25-P601)^2+(Tableau!$H$25-Q601)^2)</f>
        <v>124452.20983459451</v>
      </c>
      <c r="AE601" s="115">
        <f>SQRT((Tableau!$G$35-P601)^2+(Tableau!$H$35-Q601)^2)</f>
        <v>121772.73520242902</v>
      </c>
    </row>
    <row r="602" spans="2:31" x14ac:dyDescent="0.25">
      <c r="B602" s="20">
        <v>599</v>
      </c>
      <c r="C602" s="21">
        <f>Tableau!$G$17*COS(B602*PI()/180)+Tableau!$G$16</f>
        <v>17424.809625449729</v>
      </c>
      <c r="D602" s="21">
        <f>Tableau!$G$17*SIN(B602*PI()/180)+Tableau!$H$16</f>
        <v>3214.1634964894401</v>
      </c>
      <c r="F602" s="28">
        <v>599</v>
      </c>
      <c r="G602" s="29">
        <f>Tableau!$G$26*COS(F602*PI()/180)+Tableau!$G$25</f>
        <v>-21802.633262185191</v>
      </c>
      <c r="H602" s="29">
        <f>Tableau!$G$26*SIN(F602*PI()/180)+Tableau!$H$25</f>
        <v>6999.9144475426074</v>
      </c>
      <c r="J602" s="36">
        <v>599</v>
      </c>
      <c r="K602" s="37">
        <f>Tableau!$G$36*COS(J602*PI()/180)+Tableau!$G$35</f>
        <v>-7575.1903745502732</v>
      </c>
      <c r="L602" s="37">
        <f>Tableau!$G$36*SIN(J602*PI()/180)+Tableau!$H$35</f>
        <v>-19285.83650351056</v>
      </c>
      <c r="N602" s="92">
        <v>598</v>
      </c>
      <c r="O602" s="93">
        <v>299</v>
      </c>
      <c r="P602" s="96">
        <f>P601+R601*Tableau!$G$2+((1/2)*T601)*Tableau!$G$2^2</f>
        <v>96401.476965477661</v>
      </c>
      <c r="Q602" s="96">
        <f>Q601+S601*Tableau!$G$2+((1/2)*U601)*Tableau!$G$2^2</f>
        <v>50497.757077539929</v>
      </c>
      <c r="R602" s="96">
        <f>R601+T601*Tableau!$G$2</f>
        <v>-2627.6645190488944</v>
      </c>
      <c r="S602" s="96">
        <f>S601+U601*Tableau!$G$2</f>
        <v>128.38824471270723</v>
      </c>
      <c r="T602" s="96">
        <f t="shared" si="18"/>
        <v>-99.215384958456454</v>
      </c>
      <c r="U602" s="96">
        <f t="shared" si="19"/>
        <v>-55.932884466117457</v>
      </c>
      <c r="V602" s="96">
        <f>((Tableau!$G$16-P602)/(AC602^2+Tableau!$G$21^2)^(3/2))*Tableau!$G$20</f>
        <v>-58.227665740726586</v>
      </c>
      <c r="W602" s="96">
        <f>((Tableau!$H$16-Q602)/(AC602^2+Tableau!$G$21^2)^(3/2))*Tableau!$G$20</f>
        <v>-32.769772603260598</v>
      </c>
      <c r="X602" s="96">
        <f>((Tableau!$G$25-P602)/(AD602^2+Tableau!$G$30^2)^(3/2))*Tableau!$G$29</f>
        <v>-11.113308466327924</v>
      </c>
      <c r="Y602" s="96">
        <f>((Tableau!$H$25-Q602)/(AD602^2+Tableau!$G$30^2)^(3/2))*Tableau!$G$29</f>
        <v>-3.8664807211217438</v>
      </c>
      <c r="Z602" s="96">
        <f>((Tableau!$G$35-P602)/(AE602^2+Tableau!$G$40^2)^(3/2))*Tableau!$G$39</f>
        <v>-29.874410751401943</v>
      </c>
      <c r="AA602" s="97">
        <f>((Tableau!$H$35-Q602)/(AE602^2+Tableau!$G$40^2)^(3/2))*Tableau!$G$39</f>
        <v>-19.296631141735109</v>
      </c>
      <c r="AC602" s="110">
        <f>SQRT((Tableau!$G$16-P602)^2+(Tableau!$H$16-Q602)^2)</f>
        <v>87669.794092409895</v>
      </c>
      <c r="AD602" s="111">
        <f>SQRT((Tableau!$G$25-P602)^2+(Tableau!$H$25-Q602)^2)</f>
        <v>123245.17097256209</v>
      </c>
      <c r="AE602" s="112">
        <f>SQRT((Tableau!$G$35-P602)^2+(Tableau!$H$35-Q602)^2)</f>
        <v>120715.43278706633</v>
      </c>
    </row>
    <row r="603" spans="2:31" x14ac:dyDescent="0.25">
      <c r="B603" s="18">
        <v>600</v>
      </c>
      <c r="C603" s="19">
        <f>Tableau!$G$17*COS(B603*PI()/180)+Tableau!$G$16</f>
        <v>17500</v>
      </c>
      <c r="D603" s="19">
        <f>Tableau!$G$17*SIN(B603*PI()/180)+Tableau!$H$16</f>
        <v>3169.8729810778068</v>
      </c>
      <c r="F603" s="26">
        <v>600</v>
      </c>
      <c r="G603" s="27">
        <f>Tableau!$G$26*COS(F603*PI()/180)+Tableau!$G$25</f>
        <v>-21750</v>
      </c>
      <c r="H603" s="27">
        <f>Tableau!$G$26*SIN(F603*PI()/180)+Tableau!$H$25</f>
        <v>6968.9110867544641</v>
      </c>
      <c r="J603" s="34">
        <v>600</v>
      </c>
      <c r="K603" s="35">
        <f>Tableau!$G$36*COS(J603*PI()/180)+Tableau!$G$35</f>
        <v>-7499.9999999999991</v>
      </c>
      <c r="L603" s="35">
        <f>Tableau!$G$36*SIN(J603*PI()/180)+Tableau!$H$35</f>
        <v>-19330.127018922194</v>
      </c>
      <c r="N603" s="98">
        <v>599</v>
      </c>
      <c r="O603" s="99">
        <v>299.5</v>
      </c>
      <c r="P603" s="101">
        <f>P602+R602*Tableau!$G$2+((1/2)*T602)*Tableau!$G$2^2</f>
        <v>95075.242782833404</v>
      </c>
      <c r="Q603" s="101">
        <f>Q602+S602*Tableau!$G$2+((1/2)*U602)*Tableau!$G$2^2</f>
        <v>50554.959589338017</v>
      </c>
      <c r="R603" s="101">
        <f>R602+T602*Tableau!$G$2</f>
        <v>-2677.2722115281226</v>
      </c>
      <c r="S603" s="101">
        <f>S602+U602*Tableau!$G$2</f>
        <v>100.42180247964851</v>
      </c>
      <c r="T603" s="101">
        <f t="shared" si="18"/>
        <v>-101.05329756003552</v>
      </c>
      <c r="U603" s="101">
        <f t="shared" si="19"/>
        <v>-57.920347330796375</v>
      </c>
      <c r="V603" s="101">
        <f>((Tableau!$G$16-P603)/(AC603^2+Tableau!$G$21^2)^(3/2))*Tableau!$G$20</f>
        <v>-59.44712388211169</v>
      </c>
      <c r="W603" s="101">
        <f>((Tableau!$H$16-Q603)/(AC603^2+Tableau!$G$21^2)^(3/2))*Tableau!$G$20</f>
        <v>-34.092377481221277</v>
      </c>
      <c r="X603" s="101">
        <f>((Tableau!$G$25-P603)/(AD603^2+Tableau!$G$30^2)^(3/2))*Tableau!$G$29</f>
        <v>-11.321982416484438</v>
      </c>
      <c r="Y603" s="101">
        <f>((Tableau!$H$25-Q603)/(AD603^2+Tableau!$G$30^2)^(3/2))*Tableau!$G$29</f>
        <v>-3.9901070661935516</v>
      </c>
      <c r="Z603" s="101">
        <f>((Tableau!$G$35-P603)/(AE603^2+Tableau!$G$40^2)^(3/2))*Tableau!$G$39</f>
        <v>-30.284191261439393</v>
      </c>
      <c r="AA603" s="102">
        <f>((Tableau!$H$35-Q603)/(AE603^2+Tableau!$G$40^2)^(3/2))*Tableau!$G$39</f>
        <v>-19.837862783381542</v>
      </c>
      <c r="AC603" s="113">
        <f>SQRT((Tableau!$G$16-P603)^2+(Tableau!$H$16-Q603)^2)</f>
        <v>86544.911023935478</v>
      </c>
      <c r="AD603" s="114">
        <f>SQRT((Tableau!$G$25-P603)^2+(Tableau!$H$25-Q603)^2)</f>
        <v>122012.36104928423</v>
      </c>
      <c r="AE603" s="115">
        <f>SQRT((Tableau!$G$35-P603)^2+(Tableau!$H$35-Q603)^2)</f>
        <v>119634.8901650467</v>
      </c>
    </row>
    <row r="604" spans="2:31" x14ac:dyDescent="0.25">
      <c r="B604" s="20">
        <v>601</v>
      </c>
      <c r="C604" s="21">
        <f>Tableau!$G$17*COS(B604*PI()/180)+Tableau!$G$16</f>
        <v>17575.951898768319</v>
      </c>
      <c r="D604" s="21">
        <f>Tableau!$G$17*SIN(B604*PI()/180)+Tableau!$H$16</f>
        <v>3126.9014643030187</v>
      </c>
      <c r="F604" s="28">
        <v>601</v>
      </c>
      <c r="G604" s="29">
        <f>Tableau!$G$26*COS(F604*PI()/180)+Tableau!$G$25</f>
        <v>-21696.833670862175</v>
      </c>
      <c r="H604" s="29">
        <f>Tableau!$G$26*SIN(F604*PI()/180)+Tableau!$H$25</f>
        <v>6938.831025012114</v>
      </c>
      <c r="J604" s="36">
        <v>601</v>
      </c>
      <c r="K604" s="37">
        <f>Tableau!$G$36*COS(J604*PI()/180)+Tableau!$G$35</f>
        <v>-7424.0481012316814</v>
      </c>
      <c r="L604" s="37">
        <f>Tableau!$G$36*SIN(J604*PI()/180)+Tableau!$H$35</f>
        <v>-19373.098535696983</v>
      </c>
      <c r="N604" s="92">
        <v>600</v>
      </c>
      <c r="O604" s="93">
        <v>300</v>
      </c>
      <c r="P604" s="96">
        <f>P603+R603*Tableau!$G$2+((1/2)*T603)*Tableau!$G$2^2</f>
        <v>93723.975014874333</v>
      </c>
      <c r="Q604" s="96">
        <f>Q603+S603*Tableau!$G$2+((1/2)*U603)*Tableau!$G$2^2</f>
        <v>50597.930447161489</v>
      </c>
      <c r="R604" s="96">
        <f>R603+T603*Tableau!$G$2</f>
        <v>-2727.7988603081403</v>
      </c>
      <c r="S604" s="96">
        <f>S603+U603*Tableau!$G$2</f>
        <v>71.461628814250318</v>
      </c>
      <c r="T604" s="96">
        <f t="shared" si="18"/>
        <v>-102.9840647716135</v>
      </c>
      <c r="U604" s="96">
        <f t="shared" si="19"/>
        <v>-60.029169319609757</v>
      </c>
      <c r="V604" s="96">
        <f>((Tableau!$G$16-P604)/(AC604^2+Tableau!$G$21^2)^(3/2))*Tableau!$G$20</f>
        <v>-60.730465500169736</v>
      </c>
      <c r="W604" s="96">
        <f>((Tableau!$H$16-Q604)/(AC604^2+Tableau!$G$21^2)^(3/2))*Tableau!$G$20</f>
        <v>-35.502119597077957</v>
      </c>
      <c r="X604" s="96">
        <f>((Tableau!$G$25-P604)/(AD604^2+Tableau!$G$30^2)^(3/2))*Tableau!$G$29</f>
        <v>-11.541530199490975</v>
      </c>
      <c r="Y604" s="96">
        <f>((Tableau!$H$25-Q604)/(AD604^2+Tableau!$G$30^2)^(3/2))*Tableau!$G$29</f>
        <v>-4.1201711444879026</v>
      </c>
      <c r="Z604" s="96">
        <f>((Tableau!$G$35-P604)/(AE604^2+Tableau!$G$40^2)^(3/2))*Tableau!$G$39</f>
        <v>-30.712069071952804</v>
      </c>
      <c r="AA604" s="97">
        <f>((Tableau!$H$35-Q604)/(AE604^2+Tableau!$G$40^2)^(3/2))*Tableau!$G$39</f>
        <v>-20.406878578043894</v>
      </c>
      <c r="AC604" s="110">
        <f>SQRT((Tableau!$G$16-P604)^2+(Tableau!$H$16-Q604)^2)</f>
        <v>85397.049719660601</v>
      </c>
      <c r="AD604" s="111">
        <f>SQRT((Tableau!$G$25-P604)^2+(Tableau!$H$25-Q604)^2)</f>
        <v>120753.19643709778</v>
      </c>
      <c r="AE604" s="112">
        <f>SQRT((Tableau!$G$35-P604)^2+(Tableau!$H$35-Q604)^2)</f>
        <v>118530.63621565593</v>
      </c>
    </row>
    <row r="605" spans="2:31" x14ac:dyDescent="0.25">
      <c r="B605" s="18">
        <v>602</v>
      </c>
      <c r="C605" s="19">
        <f>Tableau!$G$17*COS(B605*PI()/180)+Tableau!$G$16</f>
        <v>17652.642186070545</v>
      </c>
      <c r="D605" s="19">
        <f>Tableau!$G$17*SIN(B605*PI()/180)+Tableau!$H$16</f>
        <v>3085.2620357053656</v>
      </c>
      <c r="F605" s="26">
        <v>602</v>
      </c>
      <c r="G605" s="27">
        <f>Tableau!$G$26*COS(F605*PI()/180)+Tableau!$G$25</f>
        <v>-21643.150469750617</v>
      </c>
      <c r="H605" s="27">
        <f>Tableau!$G$26*SIN(F605*PI()/180)+Tableau!$H$25</f>
        <v>6909.6834249937565</v>
      </c>
      <c r="J605" s="34">
        <v>602</v>
      </c>
      <c r="K605" s="35">
        <f>Tableau!$G$36*COS(J605*PI()/180)+Tableau!$G$35</f>
        <v>-7347.357813929455</v>
      </c>
      <c r="L605" s="35">
        <f>Tableau!$G$36*SIN(J605*PI()/180)+Tableau!$H$35</f>
        <v>-19414.737964294633</v>
      </c>
      <c r="N605" s="98">
        <v>601</v>
      </c>
      <c r="O605" s="99">
        <v>300.5</v>
      </c>
      <c r="P605" s="101">
        <f>P604+R604*Tableau!$G$2+((1/2)*T604)*Tableau!$G$2^2</f>
        <v>92347.202576623822</v>
      </c>
      <c r="Q605" s="101">
        <f>Q604+S604*Tableau!$G$2+((1/2)*U604)*Tableau!$G$2^2</f>
        <v>50626.157615403667</v>
      </c>
      <c r="R605" s="101">
        <f>R604+T604*Tableau!$G$2</f>
        <v>-2779.2908926939472</v>
      </c>
      <c r="S605" s="101">
        <f>S604+U604*Tableau!$G$2</f>
        <v>41.447044154445436</v>
      </c>
      <c r="T605" s="101">
        <f t="shared" si="18"/>
        <v>-105.01388815232798</v>
      </c>
      <c r="U605" s="101">
        <f t="shared" si="19"/>
        <v>-62.270027205717284</v>
      </c>
      <c r="V605" s="101">
        <f>((Tableau!$G$16-P605)/(AC605^2+Tableau!$G$21^2)^(3/2))*Tableau!$G$20</f>
        <v>-62.082076874021411</v>
      </c>
      <c r="W605" s="101">
        <f>((Tableau!$H$16-Q605)/(AC605^2+Tableau!$G$21^2)^(3/2))*Tableau!$G$20</f>
        <v>-37.007117580324234</v>
      </c>
      <c r="X605" s="101">
        <f>((Tableau!$G$25-P605)/(AD605^2+Tableau!$G$30^2)^(3/2))*Tableau!$G$29</f>
        <v>-11.772745783427508</v>
      </c>
      <c r="Y605" s="101">
        <f>((Tableau!$H$25-Q605)/(AD605^2+Tableau!$G$30^2)^(3/2))*Tableau!$G$29</f>
        <v>-4.2571725400764127</v>
      </c>
      <c r="Z605" s="101">
        <f>((Tableau!$G$35-P605)/(AE605^2+Tableau!$G$40^2)^(3/2))*Tableau!$G$39</f>
        <v>-31.159065494879059</v>
      </c>
      <c r="AA605" s="102">
        <f>((Tableau!$H$35-Q605)/(AE605^2+Tableau!$G$40^2)^(3/2))*Tableau!$G$39</f>
        <v>-21.005737085316643</v>
      </c>
      <c r="AC605" s="113">
        <f>SQRT((Tableau!$G$16-P605)^2+(Tableau!$H$16-Q605)^2)</f>
        <v>84225.786973656024</v>
      </c>
      <c r="AD605" s="114">
        <f>SQRT((Tableau!$G$25-P605)^2+(Tableau!$H$25-Q605)^2)</f>
        <v>119467.0607715138</v>
      </c>
      <c r="AE605" s="115">
        <f>SQRT((Tableau!$G$35-P605)^2+(Tableau!$H$35-Q605)^2)</f>
        <v>117402.17379953423</v>
      </c>
    </row>
    <row r="606" spans="2:31" x14ac:dyDescent="0.25">
      <c r="B606" s="20">
        <v>603</v>
      </c>
      <c r="C606" s="21">
        <f>Tableau!$G$17*COS(B606*PI()/180)+Tableau!$G$16</f>
        <v>17730.04750130227</v>
      </c>
      <c r="D606" s="21">
        <f>Tableau!$G$17*SIN(B606*PI()/180)+Tableau!$H$16</f>
        <v>3044.9673790581592</v>
      </c>
      <c r="F606" s="28">
        <v>603</v>
      </c>
      <c r="G606" s="29">
        <f>Tableau!$G$26*COS(F606*PI()/180)+Tableau!$G$25</f>
        <v>-21588.966749088413</v>
      </c>
      <c r="H606" s="29">
        <f>Tableau!$G$26*SIN(F606*PI()/180)+Tableau!$H$25</f>
        <v>6881.4771653407115</v>
      </c>
      <c r="J606" s="36">
        <v>603</v>
      </c>
      <c r="K606" s="37">
        <f>Tableau!$G$36*COS(J606*PI()/180)+Tableau!$G$35</f>
        <v>-7269.9524986977322</v>
      </c>
      <c r="L606" s="37">
        <f>Tableau!$G$36*SIN(J606*PI()/180)+Tableau!$H$35</f>
        <v>-19455.032620941842</v>
      </c>
      <c r="N606" s="92">
        <v>602</v>
      </c>
      <c r="O606" s="93">
        <v>301</v>
      </c>
      <c r="P606" s="96">
        <f>P605+R605*Tableau!$G$2+((1/2)*T605)*Tableau!$G$2^2</f>
        <v>90944.430394257812</v>
      </c>
      <c r="Q606" s="96">
        <f>Q605+S605*Tableau!$G$2+((1/2)*U605)*Tableau!$G$2^2</f>
        <v>50639.097384080174</v>
      </c>
      <c r="R606" s="96">
        <f>R605+T605*Tableau!$G$2</f>
        <v>-2831.7978367701112</v>
      </c>
      <c r="S606" s="96">
        <f>S605+U605*Tableau!$G$2</f>
        <v>10.312030551586794</v>
      </c>
      <c r="T606" s="96">
        <f t="shared" si="18"/>
        <v>-107.14951444348817</v>
      </c>
      <c r="U606" s="96">
        <f t="shared" si="19"/>
        <v>-64.654822146274697</v>
      </c>
      <c r="V606" s="96">
        <f>((Tableau!$G$16-P606)/(AC606^2+Tableau!$G$21^2)^(3/2))*Tableau!$G$20</f>
        <v>-63.506728053186585</v>
      </c>
      <c r="W606" s="96">
        <f>((Tableau!$H$16-Q606)/(AC606^2+Tableau!$G$21^2)^(3/2))*Tableau!$G$20</f>
        <v>-38.616462360834682</v>
      </c>
      <c r="X606" s="96">
        <f>((Tableau!$G$25-P606)/(AD606^2+Tableau!$G$30^2)^(3/2))*Tableau!$G$29</f>
        <v>-12.0165033091072</v>
      </c>
      <c r="Y606" s="96">
        <f>((Tableau!$H$25-Q606)/(AD606^2+Tableau!$G$30^2)^(3/2))*Tableau!$G$29</f>
        <v>-4.4016616828761901</v>
      </c>
      <c r="Z606" s="96">
        <f>((Tableau!$G$35-P606)/(AE606^2+Tableau!$G$40^2)^(3/2))*Tableau!$G$39</f>
        <v>-31.626283081194391</v>
      </c>
      <c r="AA606" s="97">
        <f>((Tableau!$H$35-Q606)/(AE606^2+Tableau!$G$40^2)^(3/2))*Tableau!$G$39</f>
        <v>-21.63669810256383</v>
      </c>
      <c r="AC606" s="110">
        <f>SQRT((Tableau!$G$16-P606)^2+(Tableau!$H$16-Q606)^2)</f>
        <v>83030.680637212921</v>
      </c>
      <c r="AD606" s="111">
        <f>SQRT((Tableau!$G$25-P606)^2+(Tableau!$H$25-Q606)^2)</f>
        <v>118153.30241554431</v>
      </c>
      <c r="AE606" s="112">
        <f>SQRT((Tableau!$G$35-P606)^2+(Tableau!$H$35-Q606)^2)</f>
        <v>116248.97775496928</v>
      </c>
    </row>
    <row r="607" spans="2:31" x14ac:dyDescent="0.25">
      <c r="B607" s="18">
        <v>604</v>
      </c>
      <c r="C607" s="19">
        <f>Tableau!$G$17*COS(B607*PI()/180)+Tableau!$G$16</f>
        <v>17808.144266054609</v>
      </c>
      <c r="D607" s="19">
        <f>Tableau!$G$17*SIN(B607*PI()/180)+Tableau!$H$16</f>
        <v>3006.0297685041669</v>
      </c>
      <c r="F607" s="26">
        <v>604</v>
      </c>
      <c r="G607" s="27">
        <f>Tableau!$G$26*COS(F607*PI()/180)+Tableau!$G$25</f>
        <v>-21534.299013761774</v>
      </c>
      <c r="H607" s="27">
        <f>Tableau!$G$26*SIN(F607*PI()/180)+Tableau!$H$25</f>
        <v>6854.2208379529166</v>
      </c>
      <c r="J607" s="34">
        <v>604</v>
      </c>
      <c r="K607" s="35">
        <f>Tableau!$G$36*COS(J607*PI()/180)+Tableau!$G$35</f>
        <v>-7191.8557339453891</v>
      </c>
      <c r="L607" s="35">
        <f>Tableau!$G$36*SIN(J607*PI()/180)+Tableau!$H$35</f>
        <v>-19493.970231495834</v>
      </c>
      <c r="N607" s="98">
        <v>603</v>
      </c>
      <c r="O607" s="99">
        <v>301.5</v>
      </c>
      <c r="P607" s="101">
        <f>P606+R606*Tableau!$G$2+((1/2)*T606)*Tableau!$G$2^2</f>
        <v>89515.137786567328</v>
      </c>
      <c r="Q607" s="101">
        <f>Q606+S606*Tableau!$G$2+((1/2)*U606)*Tableau!$G$2^2</f>
        <v>50636.171546587684</v>
      </c>
      <c r="R607" s="101">
        <f>R606+T606*Tableau!$G$2</f>
        <v>-2885.3725939918554</v>
      </c>
      <c r="S607" s="101">
        <f>S606+U606*Tableau!$G$2</f>
        <v>-22.015380521550554</v>
      </c>
      <c r="T607" s="101">
        <f t="shared" si="18"/>
        <v>-109.39829153870659</v>
      </c>
      <c r="U607" s="101">
        <f t="shared" si="19"/>
        <v>-67.196854099254665</v>
      </c>
      <c r="V607" s="101">
        <f>((Tableau!$G$16-P607)/(AC607^2+Tableau!$G$21^2)^(3/2))*Tableau!$G$20</f>
        <v>-65.009610474624196</v>
      </c>
      <c r="W607" s="101">
        <f>((Tableau!$H$16-Q607)/(AC607^2+Tableau!$G$21^2)^(3/2))*Tableau!$G$20</f>
        <v>-40.340360371868698</v>
      </c>
      <c r="X607" s="101">
        <f>((Tableau!$G$25-P607)/(AD607^2+Tableau!$G$30^2)^(3/2))*Tableau!$G$29</f>
        <v>-12.273767385159973</v>
      </c>
      <c r="Y607" s="101">
        <f>((Tableau!$H$25-Q607)/(AD607^2+Tableau!$G$30^2)^(3/2))*Tableau!$G$29</f>
        <v>-4.55424635412776</v>
      </c>
      <c r="Z607" s="101">
        <f>((Tableau!$G$35-P607)/(AE607^2+Tableau!$G$40^2)^(3/2))*Tableau!$G$39</f>
        <v>-32.114913678922427</v>
      </c>
      <c r="AA607" s="102">
        <f>((Tableau!$H$35-Q607)/(AE607^2+Tableau!$G$40^2)^(3/2))*Tableau!$G$39</f>
        <v>-22.302247373258204</v>
      </c>
      <c r="AC607" s="113">
        <f>SQRT((Tableau!$G$16-P607)^2+(Tableau!$H$16-Q607)^2)</f>
        <v>81811.268644252676</v>
      </c>
      <c r="AD607" s="114">
        <f>SQRT((Tableau!$G$25-P607)^2+(Tableau!$H$25-Q607)^2)</f>
        <v>116811.2316619191</v>
      </c>
      <c r="AE607" s="115">
        <f>SQRT((Tableau!$G$35-P607)^2+(Tableau!$H$35-Q607)^2)</f>
        <v>115070.49268212462</v>
      </c>
    </row>
    <row r="608" spans="2:31" x14ac:dyDescent="0.25">
      <c r="B608" s="20">
        <v>605</v>
      </c>
      <c r="C608" s="21">
        <f>Tableau!$G$17*COS(B608*PI()/180)+Tableau!$G$16</f>
        <v>17886.908691296503</v>
      </c>
      <c r="D608" s="21">
        <f>Tableau!$G$17*SIN(B608*PI()/180)+Tableau!$H$16</f>
        <v>2968.46106481675</v>
      </c>
      <c r="F608" s="28">
        <v>605</v>
      </c>
      <c r="G608" s="29">
        <f>Tableau!$G$26*COS(F608*PI()/180)+Tableau!$G$25</f>
        <v>-21479.163916092446</v>
      </c>
      <c r="H608" s="29">
        <f>Tableau!$G$26*SIN(F608*PI()/180)+Tableau!$H$25</f>
        <v>6827.9227453717249</v>
      </c>
      <c r="J608" s="36">
        <v>605</v>
      </c>
      <c r="K608" s="37">
        <f>Tableau!$G$36*COS(J608*PI()/180)+Tableau!$G$35</f>
        <v>-7113.0913087034969</v>
      </c>
      <c r="L608" s="37">
        <f>Tableau!$G$36*SIN(J608*PI()/180)+Tableau!$H$35</f>
        <v>-19531.538935183249</v>
      </c>
      <c r="N608" s="92">
        <v>604</v>
      </c>
      <c r="O608" s="93">
        <v>302</v>
      </c>
      <c r="P608" s="96">
        <f>P607+R607*Tableau!$G$2+((1/2)*T607)*Tableau!$G$2^2</f>
        <v>88058.776703129057</v>
      </c>
      <c r="Q608" s="96">
        <f>Q607+S607*Tableau!$G$2+((1/2)*U607)*Tableau!$G$2^2</f>
        <v>50616.764249564498</v>
      </c>
      <c r="R608" s="96">
        <f>R607+T607*Tableau!$G$2</f>
        <v>-2940.0717397612088</v>
      </c>
      <c r="S608" s="96">
        <f>S607+U607*Tableau!$G$2</f>
        <v>-55.613807571177887</v>
      </c>
      <c r="T608" s="96">
        <f t="shared" si="18"/>
        <v>-111.76823052171218</v>
      </c>
      <c r="U608" s="96">
        <f t="shared" si="19"/>
        <v>-69.911026020893289</v>
      </c>
      <c r="V608" s="96">
        <f>((Tableau!$G$16-P608)/(AC608^2+Tableau!$G$21^2)^(3/2))*Tableau!$G$20</f>
        <v>-66.596378048818295</v>
      </c>
      <c r="W608" s="96">
        <f>((Tableau!$H$16-Q608)/(AC608^2+Tableau!$G$21^2)^(3/2))*Tableau!$G$20</f>
        <v>-42.190301843520423</v>
      </c>
      <c r="X608" s="96">
        <f>((Tableau!$G$25-P608)/(AD608^2+Tableau!$G$30^2)^(3/2))*Tableau!$G$29</f>
        <v>-12.54560500663829</v>
      </c>
      <c r="Y608" s="96">
        <f>((Tableau!$H$25-Q608)/(AD608^2+Tableau!$G$30^2)^(3/2))*Tableau!$G$29</f>
        <v>-4.7155991995236795</v>
      </c>
      <c r="Z608" s="96">
        <f>((Tableau!$G$35-P608)/(AE608^2+Tableau!$G$40^2)^(3/2))*Tableau!$G$39</f>
        <v>-32.626247466255599</v>
      </c>
      <c r="AA608" s="97">
        <f>((Tableau!$H$35-Q608)/(AE608^2+Tableau!$G$40^2)^(3/2))*Tableau!$G$39</f>
        <v>-23.005124977849189</v>
      </c>
      <c r="AC608" s="110">
        <f>SQRT((Tableau!$G$16-P608)^2+(Tableau!$H$16-Q608)^2)</f>
        <v>80567.067997283521</v>
      </c>
      <c r="AD608" s="111">
        <f>SQRT((Tableau!$G$25-P608)^2+(Tableau!$H$25-Q608)^2)</f>
        <v>115440.11763975905</v>
      </c>
      <c r="AE608" s="112">
        <f>SQRT((Tableau!$G$35-P608)^2+(Tableau!$H$35-Q608)^2)</f>
        <v>113866.13048692646</v>
      </c>
    </row>
    <row r="609" spans="2:31" x14ac:dyDescent="0.25">
      <c r="B609" s="18">
        <v>606</v>
      </c>
      <c r="C609" s="19">
        <f>Tableau!$G$17*COS(B609*PI()/180)+Tableau!$G$16</f>
        <v>17966.316784620994</v>
      </c>
      <c r="D609" s="19">
        <f>Tableau!$G$17*SIN(B609*PI()/180)+Tableau!$H$16</f>
        <v>2932.2727117869972</v>
      </c>
      <c r="F609" s="26">
        <v>606</v>
      </c>
      <c r="G609" s="27">
        <f>Tableau!$G$26*COS(F609*PI()/180)+Tableau!$G$25</f>
        <v>-21423.578250765306</v>
      </c>
      <c r="H609" s="27">
        <f>Tableau!$G$26*SIN(F609*PI()/180)+Tableau!$H$25</f>
        <v>6802.5908982508981</v>
      </c>
      <c r="J609" s="34">
        <v>606</v>
      </c>
      <c r="K609" s="35">
        <f>Tableau!$G$36*COS(J609*PI()/180)+Tableau!$G$35</f>
        <v>-7033.6832153790056</v>
      </c>
      <c r="L609" s="35">
        <f>Tableau!$G$36*SIN(J609*PI()/180)+Tableau!$H$35</f>
        <v>-19567.727288213002</v>
      </c>
      <c r="N609" s="98">
        <v>605</v>
      </c>
      <c r="O609" s="99">
        <v>302.5</v>
      </c>
      <c r="P609" s="101">
        <f>P608+R608*Tableau!$G$2+((1/2)*T608)*Tableau!$G$2^2</f>
        <v>86574.769804433236</v>
      </c>
      <c r="Q609" s="101">
        <f>Q608+S608*Tableau!$G$2+((1/2)*U608)*Tableau!$G$2^2</f>
        <v>50580.218467526298</v>
      </c>
      <c r="R609" s="101">
        <f>R608+T608*Tableau!$G$2</f>
        <v>-2995.955855022065</v>
      </c>
      <c r="S609" s="101">
        <f>S608+U608*Tableau!$G$2</f>
        <v>-90.569320581624538</v>
      </c>
      <c r="T609" s="101">
        <f t="shared" si="18"/>
        <v>-114.26807428975843</v>
      </c>
      <c r="U609" s="101">
        <f t="shared" si="19"/>
        <v>-72.814083787372212</v>
      </c>
      <c r="V609" s="101">
        <f>((Tableau!$G$16-P609)/(AC609^2+Tableau!$G$21^2)^(3/2))*Tableau!$G$20</f>
        <v>-68.273191787909525</v>
      </c>
      <c r="W609" s="101">
        <f>((Tableau!$H$16-Q609)/(AC609^2+Tableau!$G$21^2)^(3/2))*Tableau!$G$20</f>
        <v>-44.179259295052162</v>
      </c>
      <c r="X609" s="101">
        <f>((Tableau!$G$25-P609)/(AD609^2+Tableau!$G$30^2)^(3/2))*Tableau!$G$29</f>
        <v>-12.833199402765569</v>
      </c>
      <c r="Y609" s="101">
        <f>((Tableau!$H$25-Q609)/(AD609^2+Tableau!$G$30^2)^(3/2))*Tableau!$G$29</f>
        <v>-4.8864664343839097</v>
      </c>
      <c r="Z609" s="101">
        <f>((Tableau!$G$35-P609)/(AE609^2+Tableau!$G$40^2)^(3/2))*Tableau!$G$39</f>
        <v>-33.161683099083326</v>
      </c>
      <c r="AA609" s="102">
        <f>((Tableau!$H$35-Q609)/(AE609^2+Tableau!$G$40^2)^(3/2))*Tableau!$G$39</f>
        <v>-23.748358057936134</v>
      </c>
      <c r="AC609" s="113">
        <f>SQRT((Tableau!$G$16-P609)^2+(Tableau!$H$16-Q609)^2)</f>
        <v>79297.573719017848</v>
      </c>
      <c r="AD609" s="114">
        <f>SQRT((Tableau!$G$25-P609)^2+(Tableau!$H$25-Q609)^2)</f>
        <v>114039.18488721363</v>
      </c>
      <c r="AE609" s="115">
        <f>SQRT((Tableau!$G$35-P609)^2+(Tableau!$H$35-Q609)^2)</f>
        <v>112635.26765175912</v>
      </c>
    </row>
    <row r="610" spans="2:31" x14ac:dyDescent="0.25">
      <c r="B610" s="20">
        <v>607</v>
      </c>
      <c r="C610" s="21">
        <f>Tableau!$G$17*COS(B610*PI()/180)+Tableau!$G$16</f>
        <v>18046.344357553629</v>
      </c>
      <c r="D610" s="21">
        <f>Tableau!$G$17*SIN(B610*PI()/180)+Tableau!$H$16</f>
        <v>2897.4757327377993</v>
      </c>
      <c r="F610" s="28">
        <v>607</v>
      </c>
      <c r="G610" s="29">
        <f>Tableau!$G$26*COS(F610*PI()/180)+Tableau!$G$25</f>
        <v>-21367.55894971246</v>
      </c>
      <c r="H610" s="29">
        <f>Tableau!$G$26*SIN(F610*PI()/180)+Tableau!$H$25</f>
        <v>6778.2330129164593</v>
      </c>
      <c r="J610" s="36">
        <v>607</v>
      </c>
      <c r="K610" s="37">
        <f>Tableau!$G$36*COS(J610*PI()/180)+Tableau!$G$35</f>
        <v>-6953.6556424463706</v>
      </c>
      <c r="L610" s="37">
        <f>Tableau!$G$36*SIN(J610*PI()/180)+Tableau!$H$35</f>
        <v>-19602.524267262201</v>
      </c>
      <c r="N610" s="92">
        <v>606</v>
      </c>
      <c r="O610" s="93">
        <v>303</v>
      </c>
      <c r="P610" s="96">
        <f>P609+R609*Tableau!$G$2+((1/2)*T609)*Tableau!$G$2^2</f>
        <v>85062.508367635979</v>
      </c>
      <c r="Q610" s="96">
        <f>Q609+S609*Tableau!$G$2+((1/2)*U609)*Tableau!$G$2^2</f>
        <v>50525.832046762065</v>
      </c>
      <c r="R610" s="96">
        <f>R609+T609*Tableau!$G$2</f>
        <v>-3053.0898921669441</v>
      </c>
      <c r="S610" s="96">
        <f>S609+U609*Tableau!$G$2</f>
        <v>-126.97636247531065</v>
      </c>
      <c r="T610" s="96">
        <f t="shared" si="18"/>
        <v>-116.90737323442571</v>
      </c>
      <c r="U610" s="96">
        <f t="shared" si="19"/>
        <v>-75.92489914373229</v>
      </c>
      <c r="V610" s="96">
        <f>((Tableau!$G$16-P610)/(AC610^2+Tableau!$G$21^2)^(3/2))*Tableau!$G$20</f>
        <v>-70.046767912395467</v>
      </c>
      <c r="W610" s="96">
        <f>((Tableau!$H$16-Q610)/(AC610^2+Tableau!$G$21^2)^(3/2))*Tableau!$G$20</f>
        <v>-46.321922520841717</v>
      </c>
      <c r="X610" s="96">
        <f>((Tableau!$G$25-P610)/(AD610^2+Tableau!$G$30^2)^(3/2))*Tableau!$G$29</f>
        <v>-13.137866186766461</v>
      </c>
      <c r="Y610" s="96">
        <f>((Tableau!$H$25-Q610)/(AD610^2+Tableau!$G$30^2)^(3/2))*Tableau!$G$29</f>
        <v>-5.067677964385461</v>
      </c>
      <c r="Z610" s="96">
        <f>((Tableau!$G$35-P610)/(AE610^2+Tableau!$G$40^2)^(3/2))*Tableau!$G$39</f>
        <v>-33.722739135263772</v>
      </c>
      <c r="AA610" s="97">
        <f>((Tableau!$H$35-Q610)/(AE610^2+Tableau!$G$40^2)^(3/2))*Tableau!$G$39</f>
        <v>-24.535298658505109</v>
      </c>
      <c r="AC610" s="110">
        <f>SQRT((Tableau!$G$16-P610)^2+(Tableau!$H$16-Q610)^2)</f>
        <v>78002.257777611027</v>
      </c>
      <c r="AD610" s="111">
        <f>SQRT((Tableau!$G$25-P610)^2+(Tableau!$H$25-Q610)^2)</f>
        <v>112607.60954563394</v>
      </c>
      <c r="AE610" s="112">
        <f>SQRT((Tableau!$G$35-P610)^2+(Tableau!$H$35-Q610)^2)</f>
        <v>111377.24219467356</v>
      </c>
    </row>
    <row r="611" spans="2:31" x14ac:dyDescent="0.25">
      <c r="B611" s="18">
        <v>608</v>
      </c>
      <c r="C611" s="19">
        <f>Tableau!$G$17*COS(B611*PI()/180)+Tableau!$G$16</f>
        <v>18126.967032920435</v>
      </c>
      <c r="D611" s="19">
        <f>Tableau!$G$17*SIN(B611*PI()/180)+Tableau!$H$16</f>
        <v>2864.080727166066</v>
      </c>
      <c r="F611" s="26">
        <v>608</v>
      </c>
      <c r="G611" s="27">
        <f>Tableau!$G$26*COS(F611*PI()/180)+Tableau!$G$25</f>
        <v>-21311.123076955697</v>
      </c>
      <c r="H611" s="27">
        <f>Tableau!$G$26*SIN(F611*PI()/180)+Tableau!$H$25</f>
        <v>6754.8565090162465</v>
      </c>
      <c r="J611" s="34">
        <v>608</v>
      </c>
      <c r="K611" s="35">
        <f>Tableau!$G$36*COS(J611*PI()/180)+Tableau!$G$35</f>
        <v>-6873.0329670795672</v>
      </c>
      <c r="L611" s="35">
        <f>Tableau!$G$36*SIN(J611*PI()/180)+Tableau!$H$35</f>
        <v>-19635.919272833933</v>
      </c>
      <c r="N611" s="98">
        <v>607</v>
      </c>
      <c r="O611" s="99">
        <v>303.5</v>
      </c>
      <c r="P611" s="101">
        <f>P610+R610*Tableau!$G$2+((1/2)*T610)*Tableau!$G$2^2</f>
        <v>83521.349999898201</v>
      </c>
      <c r="Q611" s="101">
        <f>Q610+S610*Tableau!$G$2+((1/2)*U610)*Tableau!$G$2^2</f>
        <v>50452.853253131441</v>
      </c>
      <c r="R611" s="101">
        <f>R610+T610*Tableau!$G$2</f>
        <v>-3111.543578784157</v>
      </c>
      <c r="S611" s="101">
        <f>S610+U610*Tableau!$G$2</f>
        <v>-164.93881204717678</v>
      </c>
      <c r="T611" s="101">
        <f t="shared" si="18"/>
        <v>-119.69656834745132</v>
      </c>
      <c r="U611" s="101">
        <f t="shared" si="19"/>
        <v>-79.264804692796176</v>
      </c>
      <c r="V611" s="101">
        <f>((Tableau!$G$16-P611)/(AC611^2+Tableau!$G$21^2)^(3/2))*Tableau!$G$20</f>
        <v>-71.924429156988126</v>
      </c>
      <c r="W611" s="101">
        <f>((Tableau!$H$16-Q611)/(AC611^2+Tableau!$G$21^2)^(3/2))*Tableau!$G$20</f>
        <v>-48.634977860204636</v>
      </c>
      <c r="X611" s="101">
        <f>((Tableau!$G$25-P611)/(AD611^2+Tableau!$G$30^2)^(3/2))*Tableau!$G$29</f>
        <v>-13.461072265132904</v>
      </c>
      <c r="Y611" s="101">
        <f>((Tableau!$H$25-Q611)/(AD611^2+Tableau!$G$30^2)^(3/2))*Tableau!$G$29</f>
        <v>-5.2601591939416785</v>
      </c>
      <c r="Z611" s="101">
        <f>((Tableau!$G$35-P611)/(AE611^2+Tableau!$G$40^2)^(3/2))*Tableau!$G$39</f>
        <v>-34.311066925330287</v>
      </c>
      <c r="AA611" s="102">
        <f>((Tableau!$H$35-Q611)/(AE611^2+Tableau!$G$40^2)^(3/2))*Tableau!$G$39</f>
        <v>-25.369667638649862</v>
      </c>
      <c r="AC611" s="113">
        <f>SQRT((Tableau!$G$16-P611)^2+(Tableau!$H$16-Q611)^2)</f>
        <v>76680.567997339531</v>
      </c>
      <c r="AD611" s="114">
        <f>SQRT((Tableau!$G$25-P611)^2+(Tableau!$H$25-Q611)^2)</f>
        <v>111144.5151238729</v>
      </c>
      <c r="AE611" s="115">
        <f>SQRT((Tableau!$G$35-P611)^2+(Tableau!$H$35-Q611)^2)</f>
        <v>110091.35027230992</v>
      </c>
    </row>
    <row r="612" spans="2:31" x14ac:dyDescent="0.25">
      <c r="B612" s="20">
        <v>609</v>
      </c>
      <c r="C612" s="21">
        <f>Tableau!$G$17*COS(B612*PI()/180)+Tableau!$G$16</f>
        <v>18208.160252273494</v>
      </c>
      <c r="D612" s="21">
        <f>Tableau!$G$17*SIN(B612*PI()/180)+Tableau!$H$16</f>
        <v>2832.0978675139922</v>
      </c>
      <c r="F612" s="28">
        <v>609</v>
      </c>
      <c r="G612" s="29">
        <f>Tableau!$G$26*COS(F612*PI()/180)+Tableau!$G$25</f>
        <v>-21254.287823408555</v>
      </c>
      <c r="H612" s="29">
        <f>Tableau!$G$26*SIN(F612*PI()/180)+Tableau!$H$25</f>
        <v>6732.4685072597949</v>
      </c>
      <c r="J612" s="36">
        <v>609</v>
      </c>
      <c r="K612" s="37">
        <f>Tableau!$G$36*COS(J612*PI()/180)+Tableau!$G$35</f>
        <v>-6791.8397477265044</v>
      </c>
      <c r="L612" s="37">
        <f>Tableau!$G$36*SIN(J612*PI()/180)+Tableau!$H$35</f>
        <v>-19667.902132486008</v>
      </c>
      <c r="N612" s="92">
        <v>608</v>
      </c>
      <c r="O612" s="93">
        <v>304</v>
      </c>
      <c r="P612" s="96">
        <f>P611+R611*Tableau!$G$2+((1/2)*T611)*Tableau!$G$2^2</f>
        <v>81950.616139462698</v>
      </c>
      <c r="Q612" s="96">
        <f>Q611+S611*Tableau!$G$2+((1/2)*U611)*Tableau!$G$2^2</f>
        <v>50360.475746521253</v>
      </c>
      <c r="R612" s="96">
        <f>R611+T611*Tableau!$G$2</f>
        <v>-3171.3918629578825</v>
      </c>
      <c r="S612" s="96">
        <f>S611+U611*Tableau!$G$2</f>
        <v>-204.57121439357488</v>
      </c>
      <c r="T612" s="96">
        <f t="shared" si="18"/>
        <v>-122.6470819254825</v>
      </c>
      <c r="U612" s="96">
        <f t="shared" si="19"/>
        <v>-82.857992097455025</v>
      </c>
      <c r="V612" s="96">
        <f>((Tableau!$G$16-P612)/(AC612^2+Tableau!$G$21^2)^(3/2))*Tableau!$G$20</f>
        <v>-73.914158663409026</v>
      </c>
      <c r="W612" s="96">
        <f>((Tableau!$H$16-Q612)/(AC612^2+Tableau!$G$21^2)^(3/2))*Tableau!$G$20</f>
        <v>-51.137441435381383</v>
      </c>
      <c r="X612" s="96">
        <f>((Tableau!$G$25-P612)/(AD612^2+Tableau!$G$30^2)^(3/2))*Tableau!$G$29</f>
        <v>-13.804458070115338</v>
      </c>
      <c r="Y612" s="96">
        <f>((Tableau!$H$25-Q612)/(AD612^2+Tableau!$G$30^2)^(3/2))*Tableau!$G$29</f>
        <v>-5.4649448549737425</v>
      </c>
      <c r="Z612" s="96">
        <f>((Tableau!$G$35-P612)/(AE612^2+Tableau!$G$40^2)^(3/2))*Tableau!$G$39</f>
        <v>-34.928465191958132</v>
      </c>
      <c r="AA612" s="97">
        <f>((Tableau!$H$35-Q612)/(AE612^2+Tableau!$G$40^2)^(3/2))*Tableau!$G$39</f>
        <v>-26.255605807099904</v>
      </c>
      <c r="AC612" s="110">
        <f>SQRT((Tableau!$G$16-P612)^2+(Tableau!$H$16-Q612)^2)</f>
        <v>75331.926971750785</v>
      </c>
      <c r="AD612" s="111">
        <f>SQRT((Tableau!$G$25-P612)^2+(Tableau!$H$25-Q612)^2)</f>
        <v>109648.96777307848</v>
      </c>
      <c r="AE612" s="112">
        <f>SQRT((Tableau!$G$35-P612)^2+(Tableau!$H$35-Q612)^2)</f>
        <v>108776.84237393446</v>
      </c>
    </row>
    <row r="613" spans="2:31" x14ac:dyDescent="0.25">
      <c r="B613" s="18">
        <v>610</v>
      </c>
      <c r="C613" s="19">
        <f>Tableau!$G$17*COS(B613*PI()/180)+Tableau!$G$16</f>
        <v>18289.899283371655</v>
      </c>
      <c r="D613" s="19">
        <f>Tableau!$G$17*SIN(B613*PI()/180)+Tableau!$H$16</f>
        <v>2801.5368960704582</v>
      </c>
      <c r="F613" s="26">
        <v>610</v>
      </c>
      <c r="G613" s="27">
        <f>Tableau!$G$26*COS(F613*PI()/180)+Tableau!$G$25</f>
        <v>-21197.070501639842</v>
      </c>
      <c r="H613" s="27">
        <f>Tableau!$G$26*SIN(F613*PI()/180)+Tableau!$H$25</f>
        <v>6711.0758272493204</v>
      </c>
      <c r="J613" s="34">
        <v>610</v>
      </c>
      <c r="K613" s="35">
        <f>Tableau!$G$36*COS(J613*PI()/180)+Tableau!$G$35</f>
        <v>-6710.1007166283434</v>
      </c>
      <c r="L613" s="35">
        <f>Tableau!$G$36*SIN(J613*PI()/180)+Tableau!$H$35</f>
        <v>-19698.463103929542</v>
      </c>
      <c r="N613" s="98">
        <v>609</v>
      </c>
      <c r="O613" s="99">
        <v>304.5</v>
      </c>
      <c r="P613" s="101">
        <f>P612+R612*Tableau!$G$2+((1/2)*T612)*Tableau!$G$2^2</f>
        <v>80349.589322743064</v>
      </c>
      <c r="Q613" s="101">
        <f>Q612+S612*Tableau!$G$2+((1/2)*U612)*Tableau!$G$2^2</f>
        <v>50247.832890312282</v>
      </c>
      <c r="R613" s="101">
        <f>R612+T612*Tableau!$G$2</f>
        <v>-3232.7154039206239</v>
      </c>
      <c r="S613" s="101">
        <f>S612+U612*Tableau!$G$2</f>
        <v>-246.00021044230238</v>
      </c>
      <c r="T613" s="101">
        <f t="shared" si="18"/>
        <v>-125.77141571699514</v>
      </c>
      <c r="U613" s="101">
        <f t="shared" si="19"/>
        <v>-86.731987412718397</v>
      </c>
      <c r="V613" s="101">
        <f>((Tableau!$G$16-P613)/(AC613^2+Tableau!$G$21^2)^(3/2))*Tableau!$G$20</f>
        <v>-76.024655343269217</v>
      </c>
      <c r="W613" s="101">
        <f>((Tableau!$H$16-Q613)/(AC613^2+Tableau!$G$21^2)^(3/2))*Tableau!$G$20</f>
        <v>-53.851058451741956</v>
      </c>
      <c r="X613" s="101">
        <f>((Tableau!$G$25-P613)/(AD613^2+Tableau!$G$30^2)^(3/2))*Tableau!$G$29</f>
        <v>-14.169863814243158</v>
      </c>
      <c r="Y613" s="101">
        <f>((Tableau!$H$25-Q613)/(AD613^2+Tableau!$G$30^2)^(3/2))*Tableau!$G$29</f>
        <v>-5.6831952649046702</v>
      </c>
      <c r="Z613" s="101">
        <f>((Tableau!$G$35-P613)/(AE613^2+Tableau!$G$40^2)^(3/2))*Tableau!$G$39</f>
        <v>-35.576896559482762</v>
      </c>
      <c r="AA613" s="102">
        <f>((Tableau!$H$35-Q613)/(AE613^2+Tableau!$G$40^2)^(3/2))*Tableau!$G$39</f>
        <v>-27.197733696071776</v>
      </c>
      <c r="AC613" s="113">
        <f>SQRT((Tableau!$G$16-P613)^2+(Tableau!$H$16-Q613)^2)</f>
        <v>73955.731003363137</v>
      </c>
      <c r="AD613" s="114">
        <f>SQRT((Tableau!$G$25-P613)^2+(Tableau!$H$25-Q613)^2)</f>
        <v>108119.97100263064</v>
      </c>
      <c r="AE613" s="115">
        <f>SQRT((Tableau!$G$35-P613)^2+(Tableau!$H$35-Q613)^2)</f>
        <v>107432.91904459738</v>
      </c>
    </row>
    <row r="614" spans="2:31" x14ac:dyDescent="0.25">
      <c r="B614" s="20">
        <v>611</v>
      </c>
      <c r="C614" s="21">
        <f>Tableau!$G$17*COS(B614*PI()/180)+Tableau!$G$16</f>
        <v>18372.159227714212</v>
      </c>
      <c r="D614" s="21">
        <f>Tableau!$G$17*SIN(B614*PI()/180)+Tableau!$H$16</f>
        <v>2772.4071220034184</v>
      </c>
      <c r="F614" s="28">
        <v>611</v>
      </c>
      <c r="G614" s="29">
        <f>Tableau!$G$26*COS(F614*PI()/180)+Tableau!$G$25</f>
        <v>-21139.48854060005</v>
      </c>
      <c r="H614" s="29">
        <f>Tableau!$G$26*SIN(F614*PI()/180)+Tableau!$H$25</f>
        <v>6690.6849854023931</v>
      </c>
      <c r="J614" s="36">
        <v>611</v>
      </c>
      <c r="K614" s="37">
        <f>Tableau!$G$36*COS(J614*PI()/180)+Tableau!$G$35</f>
        <v>-6627.8407722857883</v>
      </c>
      <c r="L614" s="37">
        <f>Tableau!$G$36*SIN(J614*PI()/180)+Tableau!$H$35</f>
        <v>-19727.592877996583</v>
      </c>
      <c r="N614" s="92">
        <v>610</v>
      </c>
      <c r="O614" s="93">
        <v>305</v>
      </c>
      <c r="P614" s="96">
        <f>P613+R613*Tableau!$G$2+((1/2)*T613)*Tableau!$G$2^2</f>
        <v>78717.510193818132</v>
      </c>
      <c r="Q614" s="96">
        <f>Q613+S613*Tableau!$G$2+((1/2)*U613)*Tableau!$G$2^2</f>
        <v>50113.991286664539</v>
      </c>
      <c r="R614" s="96">
        <f>R613+T613*Tableau!$G$2</f>
        <v>-3295.6011117791213</v>
      </c>
      <c r="S614" s="96">
        <f>S613+U613*Tableau!$G$2</f>
        <v>-289.36620414866155</v>
      </c>
      <c r="T614" s="96">
        <f t="shared" si="18"/>
        <v>-129.08325581655902</v>
      </c>
      <c r="U614" s="96">
        <f t="shared" si="19"/>
        <v>-90.918220963235129</v>
      </c>
      <c r="V614" s="96">
        <f>((Tableau!$G$16-P614)/(AC614^2+Tableau!$G$21^2)^(3/2))*Tableau!$G$20</f>
        <v>-78.265388837008501</v>
      </c>
      <c r="W614" s="96">
        <f>((Tableau!$H$16-Q614)/(AC614^2+Tableau!$G$21^2)^(3/2))*Tableau!$G$20</f>
        <v>-56.800783734505615</v>
      </c>
      <c r="X614" s="96">
        <f>((Tableau!$G$25-P614)/(AD614^2+Tableau!$G$30^2)^(3/2))*Tableau!$G$29</f>
        <v>-14.559360638010196</v>
      </c>
      <c r="Y614" s="96">
        <f>((Tableau!$H$25-Q614)/(AD614^2+Tableau!$G$30^2)^(3/2))*Tableau!$G$29</f>
        <v>-5.9162155186640932</v>
      </c>
      <c r="Z614" s="96">
        <f>((Tableau!$G$35-P614)/(AE614^2+Tableau!$G$40^2)^(3/2))*Tableau!$G$39</f>
        <v>-36.258506341540318</v>
      </c>
      <c r="AA614" s="97">
        <f>((Tableau!$H$35-Q614)/(AE614^2+Tableau!$G$40^2)^(3/2))*Tableau!$G$39</f>
        <v>-28.201221710065422</v>
      </c>
      <c r="AC614" s="110">
        <f>SQRT((Tableau!$G$16-P614)^2+(Tableau!$H$16-Q614)^2)</f>
        <v>72551.349103521556</v>
      </c>
      <c r="AD614" s="111">
        <f>SQRT((Tableau!$G$25-P614)^2+(Tableau!$H$25-Q614)^2)</f>
        <v>106556.45975638072</v>
      </c>
      <c r="AE614" s="112">
        <f>SQRT((Tableau!$G$35-P614)^2+(Tableau!$H$35-Q614)^2)</f>
        <v>106058.72606406259</v>
      </c>
    </row>
    <row r="615" spans="2:31" x14ac:dyDescent="0.25">
      <c r="B615" s="18">
        <v>612</v>
      </c>
      <c r="C615" s="19">
        <f>Tableau!$G$17*COS(B615*PI()/180)+Tableau!$G$16</f>
        <v>18454.915028125262</v>
      </c>
      <c r="D615" s="19">
        <f>Tableau!$G$17*SIN(B615*PI()/180)+Tableau!$H$16</f>
        <v>2744.7174185242329</v>
      </c>
      <c r="F615" s="26">
        <v>612</v>
      </c>
      <c r="G615" s="27">
        <f>Tableau!$G$26*COS(F615*PI()/180)+Tableau!$G$25</f>
        <v>-21081.559480312317</v>
      </c>
      <c r="H615" s="27">
        <f>Tableau!$G$26*SIN(F615*PI()/180)+Tableau!$H$25</f>
        <v>6671.302192966963</v>
      </c>
      <c r="J615" s="34">
        <v>612</v>
      </c>
      <c r="K615" s="35">
        <f>Tableau!$G$36*COS(J615*PI()/180)+Tableau!$G$35</f>
        <v>-6545.0849718747395</v>
      </c>
      <c r="L615" s="35">
        <f>Tableau!$G$36*SIN(J615*PI()/180)+Tableau!$H$35</f>
        <v>-19755.282581475767</v>
      </c>
      <c r="N615" s="98">
        <v>611</v>
      </c>
      <c r="O615" s="99">
        <v>305.5</v>
      </c>
      <c r="P615" s="101">
        <f>P614+R614*Tableau!$G$2+((1/2)*T614)*Tableau!$G$2^2</f>
        <v>77053.57423095149</v>
      </c>
      <c r="Q615" s="101">
        <f>Q614+S614*Tableau!$G$2+((1/2)*U614)*Tableau!$G$2^2</f>
        <v>49957.943406969804</v>
      </c>
      <c r="R615" s="101">
        <f>R614+T614*Tableau!$G$2</f>
        <v>-3360.142739687401</v>
      </c>
      <c r="S615" s="101">
        <f>S614+U614*Tableau!$G$2</f>
        <v>-334.82531463027914</v>
      </c>
      <c r="T615" s="101">
        <f t="shared" si="18"/>
        <v>-132.59758276032895</v>
      </c>
      <c r="U615" s="101">
        <f t="shared" si="19"/>
        <v>-95.45271366750174</v>
      </c>
      <c r="V615" s="101">
        <f>((Tableau!$G$16-P615)/(AC615^2+Tableau!$G$21^2)^(3/2))*Tableau!$G$20</f>
        <v>-80.646651065901054</v>
      </c>
      <c r="W615" s="101">
        <f>((Tableau!$H$16-Q615)/(AC615^2+Tableau!$G$21^2)^(3/2))*Tableau!$G$20</f>
        <v>-60.015362631919089</v>
      </c>
      <c r="X615" s="101">
        <f>((Tableau!$G$25-P615)/(AD615^2+Tableau!$G$30^2)^(3/2))*Tableau!$G$29</f>
        <v>-14.975287743277709</v>
      </c>
      <c r="Y615" s="101">
        <f>((Tableau!$H$25-Q615)/(AD615^2+Tableau!$G$30^2)^(3/2))*Tableau!$G$29</f>
        <v>-6.165478241172786</v>
      </c>
      <c r="Z615" s="101">
        <f>((Tableau!$G$35-P615)/(AE615^2+Tableau!$G$40^2)^(3/2))*Tableau!$G$39</f>
        <v>-36.97564395115019</v>
      </c>
      <c r="AA615" s="102">
        <f>((Tableau!$H$35-Q615)/(AE615^2+Tableau!$G$40^2)^(3/2))*Tableau!$G$39</f>
        <v>-29.271872794409866</v>
      </c>
      <c r="AC615" s="113">
        <f>SQRT((Tableau!$G$16-P615)^2+(Tableau!$H$16-Q615)^2)</f>
        <v>71118.122098914726</v>
      </c>
      <c r="AD615" s="114">
        <f>SQRT((Tableau!$G$25-P615)^2+(Tableau!$H$25-Q615)^2)</f>
        <v>104957.29375473347</v>
      </c>
      <c r="AE615" s="115">
        <f>SQRT((Tableau!$G$35-P615)^2+(Tableau!$H$35-Q615)^2)</f>
        <v>104653.34899436978</v>
      </c>
    </row>
    <row r="616" spans="2:31" x14ac:dyDescent="0.25">
      <c r="B616" s="20">
        <v>613</v>
      </c>
      <c r="C616" s="21">
        <f>Tableau!$G$17*COS(B616*PI()/180)+Tableau!$G$16</f>
        <v>18538.14147638631</v>
      </c>
      <c r="D616" s="21">
        <f>Tableau!$G$17*SIN(B616*PI()/180)+Tableau!$H$16</f>
        <v>2718.4762201848253</v>
      </c>
      <c r="F616" s="28">
        <v>613</v>
      </c>
      <c r="G616" s="29">
        <f>Tableau!$G$26*COS(F616*PI()/180)+Tableau!$G$25</f>
        <v>-21023.300966529583</v>
      </c>
      <c r="H616" s="29">
        <f>Tableau!$G$26*SIN(F616*PI()/180)+Tableau!$H$25</f>
        <v>6652.9333541293781</v>
      </c>
      <c r="J616" s="36">
        <v>613</v>
      </c>
      <c r="K616" s="37">
        <f>Tableau!$G$36*COS(J616*PI()/180)+Tableau!$G$35</f>
        <v>-6461.8585236136905</v>
      </c>
      <c r="L616" s="37">
        <f>Tableau!$G$36*SIN(J616*PI()/180)+Tableau!$H$35</f>
        <v>-19781.523779815176</v>
      </c>
      <c r="N616" s="92">
        <v>612</v>
      </c>
      <c r="O616" s="93">
        <v>306</v>
      </c>
      <c r="P616" s="96">
        <f>P615+R615*Tableau!$G$2+((1/2)*T615)*Tableau!$G$2^2</f>
        <v>75356.928163262739</v>
      </c>
      <c r="Q616" s="96">
        <f>Q615+S615*Tableau!$G$2+((1/2)*U615)*Tableau!$G$2^2</f>
        <v>49778.599160446232</v>
      </c>
      <c r="R616" s="96">
        <f>R615+T615*Tableau!$G$2</f>
        <v>-3426.4415310675654</v>
      </c>
      <c r="S616" s="96">
        <f>S615+U615*Tableau!$G$2</f>
        <v>-382.55167146402999</v>
      </c>
      <c r="T616" s="96">
        <f t="shared" si="18"/>
        <v>-136.33078395342645</v>
      </c>
      <c r="U616" s="96">
        <f t="shared" si="19"/>
        <v>-100.37690748745396</v>
      </c>
      <c r="V616" s="96">
        <f>((Tableau!$G$16-P616)/(AC616^2+Tableau!$G$21^2)^(3/2))*Tableau!$G$20</f>
        <v>-83.179599696562008</v>
      </c>
      <c r="W616" s="96">
        <f>((Tableau!$H$16-Q616)/(AC616^2+Tableau!$G$21^2)^(3/2))*Tableau!$G$20</f>
        <v>-63.528036518311836</v>
      </c>
      <c r="X616" s="96">
        <f>((Tableau!$G$25-P616)/(AD616^2+Tableau!$G$30^2)^(3/2))*Tableau!$G$29</f>
        <v>-15.420296891384011</v>
      </c>
      <c r="Y616" s="96">
        <f>((Tableau!$H$25-Q616)/(AD616^2+Tableau!$G$30^2)^(3/2))*Tableau!$G$29</f>
        <v>-6.4326506819433975</v>
      </c>
      <c r="Z616" s="96">
        <f>((Tableau!$G$35-P616)/(AE616^2+Tableau!$G$40^2)^(3/2))*Tableau!$G$39</f>
        <v>-37.730887365480434</v>
      </c>
      <c r="AA616" s="97">
        <f>((Tableau!$H$35-Q616)/(AE616^2+Tableau!$G$40^2)^(3/2))*Tableau!$G$39</f>
        <v>-30.416220287198719</v>
      </c>
      <c r="AC616" s="110">
        <f>SQRT((Tableau!$G$16-P616)^2+(Tableau!$H$16-Q616)^2)</f>
        <v>69655.361908774226</v>
      </c>
      <c r="AD616" s="111">
        <f>SQRT((Tableau!$G$25-P616)^2+(Tableau!$H$25-Q616)^2)</f>
        <v>103321.24999196005</v>
      </c>
      <c r="AE616" s="112">
        <f>SQRT((Tableau!$G$35-P616)^2+(Tableau!$H$35-Q616)^2)</f>
        <v>103215.80699207624</v>
      </c>
    </row>
    <row r="617" spans="2:31" x14ac:dyDescent="0.25">
      <c r="B617" s="18">
        <v>614</v>
      </c>
      <c r="C617" s="19">
        <f>Tableau!$G$17*COS(B617*PI()/180)+Tableau!$G$16</f>
        <v>18621.813220914999</v>
      </c>
      <c r="D617" s="19">
        <f>Tableau!$G$17*SIN(B617*PI()/180)+Tableau!$H$16</f>
        <v>2693.6915203084063</v>
      </c>
      <c r="F617" s="26">
        <v>614</v>
      </c>
      <c r="G617" s="27">
        <f>Tableau!$G$26*COS(F617*PI()/180)+Tableau!$G$25</f>
        <v>-20964.730745359499</v>
      </c>
      <c r="H617" s="27">
        <f>Tableau!$G$26*SIN(F617*PI()/180)+Tableau!$H$25</f>
        <v>6635.5840642158846</v>
      </c>
      <c r="J617" s="34">
        <v>614</v>
      </c>
      <c r="K617" s="35">
        <f>Tableau!$G$36*COS(J617*PI()/180)+Tableau!$G$35</f>
        <v>-6378.1867790849992</v>
      </c>
      <c r="L617" s="35">
        <f>Tableau!$G$36*SIN(J617*PI()/180)+Tableau!$H$35</f>
        <v>-19806.308479691594</v>
      </c>
      <c r="N617" s="98">
        <v>613</v>
      </c>
      <c r="O617" s="99">
        <v>306.5</v>
      </c>
      <c r="P617" s="101">
        <f>P616+R616*Tableau!$G$2+((1/2)*T616)*Tableau!$G$2^2</f>
        <v>73626.666049734777</v>
      </c>
      <c r="Q617" s="101">
        <f>Q616+S616*Tableau!$G$2+((1/2)*U616)*Tableau!$G$2^2</f>
        <v>49574.776211278288</v>
      </c>
      <c r="R617" s="101">
        <f>R616+T616*Tableau!$G$2</f>
        <v>-3494.6069230442786</v>
      </c>
      <c r="S617" s="101">
        <f>S616+U616*Tableau!$G$2</f>
        <v>-432.74012520775699</v>
      </c>
      <c r="T617" s="101">
        <f t="shared" si="18"/>
        <v>-140.30076352522835</v>
      </c>
      <c r="U617" s="101">
        <f t="shared" si="19"/>
        <v>-105.73867515908621</v>
      </c>
      <c r="V617" s="101">
        <f>((Tableau!$G$16-P617)/(AC617^2+Tableau!$G$21^2)^(3/2))*Tableau!$G$20</f>
        <v>-85.876286347165831</v>
      </c>
      <c r="W617" s="101">
        <f>((Tableau!$H$16-Q617)/(AC617^2+Tableau!$G$21^2)^(3/2))*Tableau!$G$20</f>
        <v>-67.377403744652995</v>
      </c>
      <c r="X617" s="101">
        <f>((Tableau!$G$25-P617)/(AD617^2+Tableau!$G$30^2)^(3/2))*Tableau!$G$29</f>
        <v>-15.897406018242984</v>
      </c>
      <c r="Y617" s="101">
        <f>((Tableau!$H$25-Q617)/(AD617^2+Tableau!$G$30^2)^(3/2))*Tableau!$G$29</f>
        <v>-6.7196271324837689</v>
      </c>
      <c r="Z617" s="101">
        <f>((Tableau!$G$35-P617)/(AE617^2+Tableau!$G$40^2)^(3/2))*Tableau!$G$39</f>
        <v>-38.527071159819521</v>
      </c>
      <c r="AA617" s="102">
        <f>((Tableau!$H$35-Q617)/(AE617^2+Tableau!$G$40^2)^(3/2))*Tableau!$G$39</f>
        <v>-31.641644281949453</v>
      </c>
      <c r="AC617" s="113">
        <f>SQRT((Tableau!$G$16-P617)^2+(Tableau!$H$16-Q617)^2)</f>
        <v>68162.351080629</v>
      </c>
      <c r="AD617" s="114">
        <f>SQRT((Tableau!$G$25-P617)^2+(Tableau!$H$25-Q617)^2)</f>
        <v>101647.01425896048</v>
      </c>
      <c r="AE617" s="115">
        <f>SQRT((Tableau!$G$35-P617)^2+(Tableau!$H$35-Q617)^2)</f>
        <v>101745.04576063243</v>
      </c>
    </row>
    <row r="618" spans="2:31" x14ac:dyDescent="0.25">
      <c r="B618" s="20">
        <v>615</v>
      </c>
      <c r="C618" s="21">
        <f>Tableau!$G$17*COS(B618*PI()/180)+Tableau!$G$16</f>
        <v>18705.904774487397</v>
      </c>
      <c r="D618" s="21">
        <f>Tableau!$G$17*SIN(B618*PI()/180)+Tableau!$H$16</f>
        <v>2670.370868554659</v>
      </c>
      <c r="F618" s="28">
        <v>615</v>
      </c>
      <c r="G618" s="29">
        <f>Tableau!$G$26*COS(F618*PI()/180)+Tableau!$G$25</f>
        <v>-20905.866657858824</v>
      </c>
      <c r="H618" s="29">
        <f>Tableau!$G$26*SIN(F618*PI()/180)+Tableau!$H$25</f>
        <v>6619.2596079882615</v>
      </c>
      <c r="J618" s="36">
        <v>615</v>
      </c>
      <c r="K618" s="37">
        <f>Tableau!$G$36*COS(J618*PI()/180)+Tableau!$G$35</f>
        <v>-6294.0952255126049</v>
      </c>
      <c r="L618" s="37">
        <f>Tableau!$G$36*SIN(J618*PI()/180)+Tableau!$H$35</f>
        <v>-19829.629131445341</v>
      </c>
      <c r="N618" s="92">
        <v>614</v>
      </c>
      <c r="O618" s="93">
        <v>307</v>
      </c>
      <c r="P618" s="96">
        <f>P617+R617*Tableau!$G$2+((1/2)*T617)*Tableau!$G$2^2</f>
        <v>71861.824992771988</v>
      </c>
      <c r="Q618" s="96">
        <f>Q617+S617*Tableau!$G$2+((1/2)*U617)*Tableau!$G$2^2</f>
        <v>49345.188814279521</v>
      </c>
      <c r="R618" s="96">
        <f>R617+T617*Tableau!$G$2</f>
        <v>-3564.7573048068925</v>
      </c>
      <c r="S618" s="96">
        <f>S617+U617*Tableau!$G$2</f>
        <v>-485.60946278730012</v>
      </c>
      <c r="T618" s="96">
        <f t="shared" si="18"/>
        <v>-144.52704159941786</v>
      </c>
      <c r="U618" s="96">
        <f t="shared" si="19"/>
        <v>-111.59355408071293</v>
      </c>
      <c r="V618" s="96">
        <f>((Tableau!$G$16-P618)/(AC618^2+Tableau!$G$21^2)^(3/2))*Tableau!$G$20</f>
        <v>-88.749658665271468</v>
      </c>
      <c r="W618" s="96">
        <f>((Tableau!$H$16-Q618)/(AC618^2+Tableau!$G$21^2)^(3/2))*Tableau!$G$20</f>
        <v>-71.608475493655121</v>
      </c>
      <c r="X618" s="96">
        <f>((Tableau!$G$25-P618)/(AD618^2+Tableau!$G$30^2)^(3/2))*Tableau!$G$29</f>
        <v>-16.410064208892958</v>
      </c>
      <c r="Y618" s="96">
        <f>((Tableau!$H$25-Q618)/(AD618^2+Tableau!$G$30^2)^(3/2))*Tableau!$G$29</f>
        <v>-7.0285679040683808</v>
      </c>
      <c r="Z618" s="96">
        <f>((Tableau!$G$35-P618)/(AE618^2+Tableau!$G$40^2)^(3/2))*Tableau!$G$39</f>
        <v>-39.367318725253426</v>
      </c>
      <c r="AA618" s="97">
        <f>((Tableau!$H$35-Q618)/(AE618^2+Tableau!$G$40^2)^(3/2))*Tableau!$G$39</f>
        <v>-32.956510682989432</v>
      </c>
      <c r="AC618" s="110">
        <f>SQRT((Tableau!$G$16-P618)^2+(Tableau!$H$16-Q618)^2)</f>
        <v>66638.342705109448</v>
      </c>
      <c r="AD618" s="111">
        <f>SQRT((Tableau!$G$25-P618)^2+(Tableau!$H$25-Q618)^2)</f>
        <v>99933.171538953844</v>
      </c>
      <c r="AE618" s="112">
        <f>SQRT((Tableau!$G$35-P618)^2+(Tableau!$H$35-Q618)^2)</f>
        <v>100239.92949301585</v>
      </c>
    </row>
    <row r="619" spans="2:31" x14ac:dyDescent="0.25">
      <c r="B619" s="18">
        <v>616</v>
      </c>
      <c r="C619" s="19">
        <f>Tableau!$G$17*COS(B619*PI()/180)+Tableau!$G$16</f>
        <v>18790.390522001664</v>
      </c>
      <c r="D619" s="19">
        <f>Tableau!$G$17*SIN(B619*PI()/180)+Tableau!$H$16</f>
        <v>2648.5213686200168</v>
      </c>
      <c r="F619" s="26">
        <v>616</v>
      </c>
      <c r="G619" s="27">
        <f>Tableau!$G$26*COS(F619*PI()/180)+Tableau!$G$25</f>
        <v>-20846.726634598836</v>
      </c>
      <c r="H619" s="27">
        <f>Tableau!$G$26*SIN(F619*PI()/180)+Tableau!$H$25</f>
        <v>6603.9649580340119</v>
      </c>
      <c r="J619" s="34">
        <v>616</v>
      </c>
      <c r="K619" s="35">
        <f>Tableau!$G$36*COS(J619*PI()/180)+Tableau!$G$35</f>
        <v>-6209.6094779983359</v>
      </c>
      <c r="L619" s="35">
        <f>Tableau!$G$36*SIN(J619*PI()/180)+Tableau!$H$35</f>
        <v>-19851.478631379985</v>
      </c>
      <c r="N619" s="98">
        <v>615</v>
      </c>
      <c r="O619" s="99">
        <v>307.5</v>
      </c>
      <c r="P619" s="101">
        <f>P618+R618*Tableau!$G$2+((1/2)*T618)*Tableau!$G$2^2</f>
        <v>70061.380460168613</v>
      </c>
      <c r="Q619" s="101">
        <f>Q618+S618*Tableau!$G$2+((1/2)*U618)*Tableau!$G$2^2</f>
        <v>49088.434888625787</v>
      </c>
      <c r="R619" s="101">
        <f>R618+T618*Tableau!$G$2</f>
        <v>-3637.0208256066016</v>
      </c>
      <c r="S619" s="101">
        <f>S618+U618*Tableau!$G$2</f>
        <v>-541.40623982765658</v>
      </c>
      <c r="T619" s="101">
        <f t="shared" si="18"/>
        <v>-149.03083022892696</v>
      </c>
      <c r="U619" s="101">
        <f t="shared" si="19"/>
        <v>-118.0062619293813</v>
      </c>
      <c r="V619" s="101">
        <f>((Tableau!$G$16-P619)/(AC619^2+Tableau!$G$21^2)^(3/2))*Tableau!$G$20</f>
        <v>-91.813519899475565</v>
      </c>
      <c r="W619" s="101">
        <f>((Tableau!$H$16-Q619)/(AC619^2+Tableau!$G$21^2)^(3/2))*Tableau!$G$20</f>
        <v>-76.273977248249992</v>
      </c>
      <c r="X619" s="101">
        <f>((Tableau!$G$25-P619)/(AD619^2+Tableau!$G$30^2)^(3/2))*Tableau!$G$29</f>
        <v>-16.962230922914252</v>
      </c>
      <c r="Y619" s="101">
        <f>((Tableau!$H$25-Q619)/(AD619^2+Tableau!$G$30^2)^(3/2))*Tableau!$G$29</f>
        <v>-7.3619464370680516</v>
      </c>
      <c r="Z619" s="101">
        <f>((Tableau!$G$35-P619)/(AE619^2+Tableau!$G$40^2)^(3/2))*Tableau!$G$39</f>
        <v>-40.255079406537128</v>
      </c>
      <c r="AA619" s="102">
        <f>((Tableau!$H$35-Q619)/(AE619^2+Tableau!$G$40^2)^(3/2))*Tableau!$G$39</f>
        <v>-34.370338244063248</v>
      </c>
      <c r="AC619" s="113">
        <f>SQRT((Tableau!$G$16-P619)^2+(Tableau!$H$16-Q619)^2)</f>
        <v>65082.560875116294</v>
      </c>
      <c r="AD619" s="114">
        <f>SQRT((Tableau!$G$25-P619)^2+(Tableau!$H$25-Q619)^2)</f>
        <v>98178.19509663833</v>
      </c>
      <c r="AE619" s="115">
        <f>SQRT((Tableau!$G$35-P619)^2+(Tableau!$H$35-Q619)^2)</f>
        <v>98699.231623451909</v>
      </c>
    </row>
    <row r="620" spans="2:31" x14ac:dyDescent="0.25">
      <c r="B620" s="20">
        <v>617</v>
      </c>
      <c r="C620" s="21">
        <f>Tableau!$G$17*COS(B620*PI()/180)+Tableau!$G$16</f>
        <v>18875.244728280672</v>
      </c>
      <c r="D620" s="21">
        <f>Tableau!$G$17*SIN(B620*PI()/180)+Tableau!$H$16</f>
        <v>2628.1496760738246</v>
      </c>
      <c r="F620" s="28">
        <v>617</v>
      </c>
      <c r="G620" s="29">
        <f>Tableau!$G$26*COS(F620*PI()/180)+Tableau!$G$25</f>
        <v>-20787.328690203529</v>
      </c>
      <c r="H620" s="29">
        <f>Tableau!$G$26*SIN(F620*PI()/180)+Tableau!$H$25</f>
        <v>6589.7047732516767</v>
      </c>
      <c r="J620" s="36">
        <v>617</v>
      </c>
      <c r="K620" s="37">
        <f>Tableau!$G$36*COS(J620*PI()/180)+Tableau!$G$35</f>
        <v>-6124.7552717193275</v>
      </c>
      <c r="L620" s="37">
        <f>Tableau!$G$36*SIN(J620*PI()/180)+Tableau!$H$35</f>
        <v>-19871.850323926177</v>
      </c>
      <c r="N620" s="92">
        <v>616</v>
      </c>
      <c r="O620" s="93">
        <v>308</v>
      </c>
      <c r="P620" s="96">
        <f>P619+R619*Tableau!$G$2+((1/2)*T619)*Tableau!$G$2^2</f>
        <v>68224.241193586699</v>
      </c>
      <c r="Q620" s="96">
        <f>Q619+S619*Tableau!$G$2+((1/2)*U619)*Tableau!$G$2^2</f>
        <v>48802.980985970782</v>
      </c>
      <c r="R620" s="96">
        <f>R619+T619*Tableau!$G$2</f>
        <v>-3711.536240721065</v>
      </c>
      <c r="S620" s="96">
        <f>S619+U619*Tableau!$G$2</f>
        <v>-600.4093707923472</v>
      </c>
      <c r="T620" s="96">
        <f t="shared" si="18"/>
        <v>-153.83506603248534</v>
      </c>
      <c r="U620" s="96">
        <f t="shared" si="19"/>
        <v>-125.05256821723407</v>
      </c>
      <c r="V620" s="96">
        <f>((Tableau!$G$16-P620)/(AC620^2+Tableau!$G$21^2)^(3/2))*Tableau!$G$20</f>
        <v>-95.08242135794714</v>
      </c>
      <c r="W620" s="96">
        <f>((Tableau!$H$16-Q620)/(AC620^2+Tableau!$G$21^2)^(3/2))*Tableau!$G$20</f>
        <v>-81.435961339079114</v>
      </c>
      <c r="X620" s="96">
        <f>((Tableau!$G$25-P620)/(AD620^2+Tableau!$G$30^2)^(3/2))*Tableau!$G$29</f>
        <v>-17.558473228647649</v>
      </c>
      <c r="Y620" s="96">
        <f>((Tableau!$H$25-Q620)/(AD620^2+Tableau!$G$30^2)^(3/2))*Tableau!$G$29</f>
        <v>-7.7226065491331095</v>
      </c>
      <c r="Z620" s="96">
        <f>((Tableau!$G$35-P620)/(AE620^2+Tableau!$G$40^2)^(3/2))*Tableau!$G$39</f>
        <v>-41.194171445890554</v>
      </c>
      <c r="AA620" s="97">
        <f>((Tableau!$H$35-Q620)/(AE620^2+Tableau!$G$40^2)^(3/2))*Tableau!$G$39</f>
        <v>-35.894000329021843</v>
      </c>
      <c r="AC620" s="110">
        <f>SQRT((Tableau!$G$16-P620)^2+(Tableau!$H$16-Q620)^2)</f>
        <v>63494.201916589896</v>
      </c>
      <c r="AD620" s="111">
        <f>SQRT((Tableau!$G$25-P620)^2+(Tableau!$H$25-Q620)^2)</f>
        <v>96380.434049560965</v>
      </c>
      <c r="AE620" s="112">
        <f>SQRT((Tableau!$G$35-P620)^2+(Tableau!$H$35-Q620)^2)</f>
        <v>97121.624168218623</v>
      </c>
    </row>
    <row r="621" spans="2:31" x14ac:dyDescent="0.25">
      <c r="B621" s="18">
        <v>618</v>
      </c>
      <c r="C621" s="19">
        <f>Tableau!$G$17*COS(B621*PI()/180)+Tableau!$G$16</f>
        <v>18960.441545911206</v>
      </c>
      <c r="D621" s="19">
        <f>Tableau!$G$17*SIN(B621*PI()/180)+Tableau!$H$16</f>
        <v>2609.2619963309717</v>
      </c>
      <c r="F621" s="26">
        <v>618</v>
      </c>
      <c r="G621" s="27">
        <f>Tableau!$G$26*COS(F621*PI()/180)+Tableau!$G$25</f>
        <v>-20727.690917862157</v>
      </c>
      <c r="H621" s="27">
        <f>Tableau!$G$26*SIN(F621*PI()/180)+Tableau!$H$25</f>
        <v>6576.4833974316807</v>
      </c>
      <c r="J621" s="34">
        <v>618</v>
      </c>
      <c r="K621" s="35">
        <f>Tableau!$G$36*COS(J621*PI()/180)+Tableau!$G$35</f>
        <v>-6039.5584540887958</v>
      </c>
      <c r="L621" s="35">
        <f>Tableau!$G$36*SIN(J621*PI()/180)+Tableau!$H$35</f>
        <v>-19890.73800366903</v>
      </c>
      <c r="N621" s="98">
        <v>617</v>
      </c>
      <c r="O621" s="99">
        <v>308.5</v>
      </c>
      <c r="P621" s="101">
        <f>P620+R620*Tableau!$G$2+((1/2)*T620)*Tableau!$G$2^2</f>
        <v>66349.243689972107</v>
      </c>
      <c r="Q621" s="101">
        <f>Q620+S620*Tableau!$G$2+((1/2)*U620)*Tableau!$G$2^2</f>
        <v>48487.144729547457</v>
      </c>
      <c r="R621" s="101">
        <f>R620+T620*Tableau!$G$2</f>
        <v>-3788.4537737373075</v>
      </c>
      <c r="S621" s="101">
        <f>S620+U620*Tableau!$G$2</f>
        <v>-662.93565490096421</v>
      </c>
      <c r="T621" s="101">
        <f t="shared" si="18"/>
        <v>-158.96436856871523</v>
      </c>
      <c r="U621" s="101">
        <f t="shared" si="19"/>
        <v>-132.8216178886216</v>
      </c>
      <c r="V621" s="101">
        <f>((Tableau!$G$16-P621)/(AC621^2+Tableau!$G$21^2)^(3/2))*Tableau!$G$20</f>
        <v>-98.57145079526741</v>
      </c>
      <c r="W621" s="101">
        <f>((Tableau!$H$16-Q621)/(AC621^2+Tableau!$G$21^2)^(3/2))*Tableau!$G$20</f>
        <v>-87.167815444229163</v>
      </c>
      <c r="X621" s="101">
        <f>((Tableau!$G$25-P621)/(AD621^2+Tableau!$G$30^2)^(3/2))*Tableau!$G$29</f>
        <v>-18.204085971701208</v>
      </c>
      <c r="Y621" s="101">
        <f>((Tableau!$H$25-Q621)/(AD621^2+Tableau!$G$30^2)^(3/2))*Tableau!$G$29</f>
        <v>-8.1138324034140155</v>
      </c>
      <c r="Z621" s="101">
        <f>((Tableau!$G$35-P621)/(AE621^2+Tableau!$G$40^2)^(3/2))*Tableau!$G$39</f>
        <v>-42.188831801746623</v>
      </c>
      <c r="AA621" s="102">
        <f>((Tableau!$H$35-Q621)/(AE621^2+Tableau!$G$40^2)^(3/2))*Tableau!$G$39</f>
        <v>-37.539970040978432</v>
      </c>
      <c r="AC621" s="113">
        <f>SQRT((Tableau!$G$16-P621)^2+(Tableau!$H$16-Q621)^2)</f>
        <v>61872.436704184271</v>
      </c>
      <c r="AD621" s="114">
        <f>SQRT((Tableau!$G$25-P621)^2+(Tableau!$H$25-Q621)^2)</f>
        <v>94538.09917310228</v>
      </c>
      <c r="AE621" s="115">
        <f>SQRT((Tableau!$G$35-P621)^2+(Tableau!$H$35-Q621)^2)</f>
        <v>95505.665387146175</v>
      </c>
    </row>
    <row r="622" spans="2:31" x14ac:dyDescent="0.25">
      <c r="B622" s="20">
        <v>619</v>
      </c>
      <c r="C622" s="21">
        <f>Tableau!$G$17*COS(B622*PI()/180)+Tableau!$G$16</f>
        <v>19045.95502311728</v>
      </c>
      <c r="D622" s="21">
        <f>Tableau!$G$17*SIN(B622*PI()/180)+Tableau!$H$16</f>
        <v>2591.8640827616791</v>
      </c>
      <c r="F622" s="28">
        <v>619</v>
      </c>
      <c r="G622" s="29">
        <f>Tableau!$G$26*COS(F622*PI()/180)+Tableau!$G$25</f>
        <v>-20667.831483817903</v>
      </c>
      <c r="H622" s="29">
        <f>Tableau!$G$26*SIN(F622*PI()/180)+Tableau!$H$25</f>
        <v>6564.3048579331753</v>
      </c>
      <c r="J622" s="36">
        <v>619</v>
      </c>
      <c r="K622" s="37">
        <f>Tableau!$G$36*COS(J622*PI()/180)+Tableau!$G$35</f>
        <v>-5954.0449768827202</v>
      </c>
      <c r="L622" s="37">
        <f>Tableau!$G$36*SIN(J622*PI()/180)+Tableau!$H$35</f>
        <v>-19908.13591723832</v>
      </c>
      <c r="N622" s="92">
        <v>618</v>
      </c>
      <c r="O622" s="93">
        <v>309</v>
      </c>
      <c r="P622" s="96">
        <f>P621+R621*Tableau!$G$2+((1/2)*T621)*Tableau!$G$2^2</f>
        <v>64435.146257032364</v>
      </c>
      <c r="Q622" s="96">
        <f>Q621+S621*Tableau!$G$2+((1/2)*U621)*Tableau!$G$2^2</f>
        <v>48139.074199860894</v>
      </c>
      <c r="R622" s="96">
        <f>R621+T621*Tableau!$G$2</f>
        <v>-3867.9359580216651</v>
      </c>
      <c r="S622" s="96">
        <f>S621+U621*Tableau!$G$2</f>
        <v>-729.34646384527503</v>
      </c>
      <c r="T622" s="96">
        <f t="shared" si="18"/>
        <v>-164.44487665500435</v>
      </c>
      <c r="U622" s="96">
        <f t="shared" si="19"/>
        <v>-141.41883191755889</v>
      </c>
      <c r="V622" s="96">
        <f>((Tableau!$G$16-P622)/(AC622^2+Tableau!$G$21^2)^(3/2))*Tableau!$G$20</f>
        <v>-102.29586112613043</v>
      </c>
      <c r="W622" s="96">
        <f>((Tableau!$H$16-Q622)/(AC622^2+Tableau!$G$21^2)^(3/2))*Tableau!$G$20</f>
        <v>-93.556777479618503</v>
      </c>
      <c r="X622" s="96">
        <f>((Tableau!$G$25-P622)/(AD622^2+Tableau!$G$30^2)^(3/2))*Tableau!$G$29</f>
        <v>-18.905241391591591</v>
      </c>
      <c r="Y622" s="96">
        <f>((Tableau!$H$25-Q622)/(AD622^2+Tableau!$G$30^2)^(3/2))*Tableau!$G$29</f>
        <v>-8.5394345383767316</v>
      </c>
      <c r="Z622" s="96">
        <f>((Tableau!$G$35-P622)/(AE622^2+Tableau!$G$40^2)^(3/2))*Tableau!$G$39</f>
        <v>-43.243774137282323</v>
      </c>
      <c r="AA622" s="97">
        <f>((Tableau!$H$35-Q622)/(AE622^2+Tableau!$G$40^2)^(3/2))*Tableau!$G$39</f>
        <v>-39.322619899563655</v>
      </c>
      <c r="AC622" s="110">
        <f>SQRT((Tableau!$G$16-P622)^2+(Tableau!$H$16-Q622)^2)</f>
        <v>60216.414495597928</v>
      </c>
      <c r="AD622" s="111">
        <f>SQRT((Tableau!$G$25-P622)^2+(Tableau!$H$25-Q622)^2)</f>
        <v>92649.246647066379</v>
      </c>
      <c r="AE622" s="112">
        <f>SQRT((Tableau!$G$35-P622)^2+(Tableau!$H$35-Q622)^2)</f>
        <v>93849.785436893857</v>
      </c>
    </row>
    <row r="623" spans="2:31" x14ac:dyDescent="0.25">
      <c r="B623" s="18">
        <v>620</v>
      </c>
      <c r="C623" s="19">
        <f>Tableau!$G$17*COS(B623*PI()/180)+Tableau!$G$16</f>
        <v>19131.759111665346</v>
      </c>
      <c r="D623" s="19">
        <f>Tableau!$G$17*SIN(B623*PI()/180)+Tableau!$H$16</f>
        <v>2575.9612349389599</v>
      </c>
      <c r="F623" s="26">
        <v>620</v>
      </c>
      <c r="G623" s="27">
        <f>Tableau!$G$26*COS(F623*PI()/180)+Tableau!$G$25</f>
        <v>-20607.768621834257</v>
      </c>
      <c r="H623" s="27">
        <f>Tableau!$G$26*SIN(F623*PI()/180)+Tableau!$H$25</f>
        <v>6553.1728644572722</v>
      </c>
      <c r="J623" s="34">
        <v>620</v>
      </c>
      <c r="K623" s="35">
        <f>Tableau!$G$36*COS(J623*PI()/180)+Tableau!$G$35</f>
        <v>-5868.2408883346525</v>
      </c>
      <c r="L623" s="35">
        <f>Tableau!$G$36*SIN(J623*PI()/180)+Tableau!$H$35</f>
        <v>-19924.038765061039</v>
      </c>
      <c r="N623" s="98">
        <v>619</v>
      </c>
      <c r="O623" s="99">
        <v>309.5</v>
      </c>
      <c r="P623" s="101">
        <f>P622+R622*Tableau!$G$2+((1/2)*T622)*Tableau!$G$2^2</f>
        <v>62480.622668439653</v>
      </c>
      <c r="Q623" s="101">
        <f>Q622+S622*Tableau!$G$2+((1/2)*U622)*Tableau!$G$2^2</f>
        <v>47756.723613948561</v>
      </c>
      <c r="R623" s="101">
        <f>R622+T622*Tableau!$G$2</f>
        <v>-3950.1583963491671</v>
      </c>
      <c r="S623" s="101">
        <f>S622+U622*Tableau!$G$2</f>
        <v>-800.05587980405448</v>
      </c>
      <c r="T623" s="101">
        <f t="shared" si="18"/>
        <v>-170.30388898182912</v>
      </c>
      <c r="U623" s="101">
        <f t="shared" si="19"/>
        <v>-150.96954794647198</v>
      </c>
      <c r="V623" s="101">
        <f>((Tableau!$G$16-P623)/(AC623^2+Tableau!$G$21^2)^(3/2))*Tableau!$G$20</f>
        <v>-106.27045554599701</v>
      </c>
      <c r="W623" s="101">
        <f>((Tableau!$H$16-Q623)/(AC623^2+Tableau!$G$21^2)^(3/2))*Tableau!$G$20</f>
        <v>-100.70710099129408</v>
      </c>
      <c r="X623" s="101">
        <f>((Tableau!$G$25-P623)/(AD623^2+Tableau!$G$30^2)^(3/2))*Tableau!$G$29</f>
        <v>-19.669176883270044</v>
      </c>
      <c r="Y623" s="101">
        <f>((Tableau!$H$25-Q623)/(AD623^2+Tableau!$G$30^2)^(3/2))*Tableau!$G$29</f>
        <v>-9.0038563152076936</v>
      </c>
      <c r="Z623" s="101">
        <f>((Tableau!$G$35-P623)/(AE623^2+Tableau!$G$40^2)^(3/2))*Tableau!$G$39</f>
        <v>-44.364256552562075</v>
      </c>
      <c r="AA623" s="102">
        <f>((Tableau!$H$35-Q623)/(AE623^2+Tableau!$G$40^2)^(3/2))*Tableau!$G$39</f>
        <v>-41.258590639970194</v>
      </c>
      <c r="AC623" s="113">
        <f>SQRT((Tableau!$G$16-P623)^2+(Tableau!$H$16-Q623)^2)</f>
        <v>58525.268888132348</v>
      </c>
      <c r="AD623" s="114">
        <f>SQRT((Tableau!$G$25-P623)^2+(Tableau!$H$25-Q623)^2)</f>
        <v>90711.759402150405</v>
      </c>
      <c r="AE623" s="115">
        <f>SQRT((Tableau!$G$35-P623)^2+(Tableau!$H$35-Q623)^2)</f>
        <v>92152.269611105396</v>
      </c>
    </row>
    <row r="624" spans="2:31" x14ac:dyDescent="0.25">
      <c r="B624" s="20">
        <v>621</v>
      </c>
      <c r="C624" s="21">
        <f>Tableau!$G$17*COS(B624*PI()/180)+Tableau!$G$16</f>
        <v>19217.827674798849</v>
      </c>
      <c r="D624" s="21">
        <f>Tableau!$G$17*SIN(B624*PI()/180)+Tableau!$H$16</f>
        <v>2561.5582970243113</v>
      </c>
      <c r="F624" s="28">
        <v>621</v>
      </c>
      <c r="G624" s="29">
        <f>Tableau!$G$26*COS(F624*PI()/180)+Tableau!$G$25</f>
        <v>-20547.520627640806</v>
      </c>
      <c r="H624" s="29">
        <f>Tableau!$G$26*SIN(F624*PI()/180)+Tableau!$H$25</f>
        <v>6543.0908079170176</v>
      </c>
      <c r="J624" s="36">
        <v>621</v>
      </c>
      <c r="K624" s="37">
        <f>Tableau!$G$36*COS(J624*PI()/180)+Tableau!$G$35</f>
        <v>-5782.1723252011525</v>
      </c>
      <c r="L624" s="37">
        <f>Tableau!$G$36*SIN(J624*PI()/180)+Tableau!$H$35</f>
        <v>-19938.441702975688</v>
      </c>
      <c r="N624" s="92">
        <v>620</v>
      </c>
      <c r="O624" s="93">
        <v>310</v>
      </c>
      <c r="P624" s="96">
        <f>P623+R623*Tableau!$G$2+((1/2)*T623)*Tableau!$G$2^2</f>
        <v>60484.255484142341</v>
      </c>
      <c r="Q624" s="96">
        <f>Q623+S623*Tableau!$G$2+((1/2)*U623)*Tableau!$G$2^2</f>
        <v>47337.824480553223</v>
      </c>
      <c r="R624" s="96">
        <f>R623+T623*Tableau!$G$2</f>
        <v>-4035.3103408400816</v>
      </c>
      <c r="S624" s="96">
        <f>S623+U623*Tableau!$G$2</f>
        <v>-875.54065377729046</v>
      </c>
      <c r="T624" s="96">
        <f t="shared" si="18"/>
        <v>-176.56919542862173</v>
      </c>
      <c r="U624" s="96">
        <f t="shared" si="19"/>
        <v>-161.62361418942993</v>
      </c>
      <c r="V624" s="96">
        <f>((Tableau!$G$16-P624)/(AC624^2+Tableau!$G$21^2)^(3/2))*Tableau!$G$20</f>
        <v>-110.50860181592238</v>
      </c>
      <c r="W624" s="96">
        <f>((Tableau!$H$16-Q624)/(AC624^2+Tableau!$G$21^2)^(3/2))*Tableau!$G$20</f>
        <v>-108.74405939016185</v>
      </c>
      <c r="X624" s="96">
        <f>((Tableau!$G$25-P624)/(AD624^2+Tableau!$G$30^2)^(3/2))*Tableau!$G$29</f>
        <v>-20.504432632890708</v>
      </c>
      <c r="Y624" s="96">
        <f>((Tableau!$H$25-Q624)/(AD624^2+Tableau!$G$30^2)^(3/2))*Tableau!$G$29</f>
        <v>-9.512306501624332</v>
      </c>
      <c r="Z624" s="96">
        <f>((Tableau!$G$35-P624)/(AE624^2+Tableau!$G$40^2)^(3/2))*Tableau!$G$39</f>
        <v>-45.556160979808652</v>
      </c>
      <c r="AA624" s="97">
        <f>((Tableau!$H$35-Q624)/(AE624^2+Tableau!$G$40^2)^(3/2))*Tableau!$G$39</f>
        <v>-43.367248297643734</v>
      </c>
      <c r="AC624" s="110">
        <f>SQRT((Tableau!$G$16-P624)^2+(Tableau!$H$16-Q624)^2)</f>
        <v>56798.126742425891</v>
      </c>
      <c r="AD624" s="111">
        <f>SQRT((Tableau!$G$25-P624)^2+(Tableau!$H$25-Q624)^2)</f>
        <v>88723.325669055572</v>
      </c>
      <c r="AE624" s="112">
        <f>SQRT((Tableau!$G$35-P624)^2+(Tableau!$H$35-Q624)^2)</f>
        <v>90411.238666886362</v>
      </c>
    </row>
    <row r="625" spans="2:31" x14ac:dyDescent="0.25">
      <c r="B625" s="18">
        <v>622</v>
      </c>
      <c r="C625" s="19">
        <f>Tableau!$G$17*COS(B625*PI()/180)+Tableau!$G$16</f>
        <v>19304.134495199669</v>
      </c>
      <c r="D625" s="19">
        <f>Tableau!$G$17*SIN(B625*PI()/180)+Tableau!$H$16</f>
        <v>2548.6596562921486</v>
      </c>
      <c r="F625" s="26">
        <v>622</v>
      </c>
      <c r="G625" s="27">
        <f>Tableau!$G$26*COS(F625*PI()/180)+Tableau!$G$25</f>
        <v>-20487.10585336023</v>
      </c>
      <c r="H625" s="27">
        <f>Tableau!$G$26*SIN(F625*PI()/180)+Tableau!$H$25</f>
        <v>6534.0617594045043</v>
      </c>
      <c r="J625" s="34">
        <v>622</v>
      </c>
      <c r="K625" s="35">
        <f>Tableau!$G$36*COS(J625*PI()/180)+Tableau!$G$35</f>
        <v>-5695.8655048003302</v>
      </c>
      <c r="L625" s="35">
        <f>Tableau!$G$36*SIN(J625*PI()/180)+Tableau!$H$35</f>
        <v>-19951.340343707852</v>
      </c>
      <c r="N625" s="98">
        <v>621</v>
      </c>
      <c r="O625" s="99">
        <v>310.5</v>
      </c>
      <c r="P625" s="101">
        <f>P624+R624*Tableau!$G$2+((1/2)*T624)*Tableau!$G$2^2</f>
        <v>58444.529164293723</v>
      </c>
      <c r="Q625" s="101">
        <f>Q624+S624*Tableau!$G$2+((1/2)*U624)*Tableau!$G$2^2</f>
        <v>46879.851201890895</v>
      </c>
      <c r="R625" s="101">
        <f>R624+T624*Tableau!$G$2</f>
        <v>-4123.5949385543927</v>
      </c>
      <c r="S625" s="101">
        <f>S624+U624*Tableau!$G$2</f>
        <v>-956.35246087200539</v>
      </c>
      <c r="T625" s="101">
        <f t="shared" si="18"/>
        <v>-183.26792338661605</v>
      </c>
      <c r="U625" s="101">
        <f t="shared" si="19"/>
        <v>-173.56121562953089</v>
      </c>
      <c r="V625" s="101">
        <f>((Tableau!$G$16-P625)/(AC625^2+Tableau!$G$21^2)^(3/2))*Tableau!$G$20</f>
        <v>-115.02068167739945</v>
      </c>
      <c r="W625" s="101">
        <f>((Tableau!$H$16-Q625)/(AC625^2+Tableau!$G$21^2)^(3/2))*Tableau!$G$20</f>
        <v>-117.8190350631977</v>
      </c>
      <c r="X625" s="101">
        <f>((Tableau!$G$25-P625)/(AD625^2+Tableau!$G$30^2)^(3/2))*Tableau!$G$29</f>
        <v>-21.421155118787116</v>
      </c>
      <c r="Y625" s="101">
        <f>((Tableau!$H$25-Q625)/(AD625^2+Tableau!$G$30^2)^(3/2))*Tableau!$G$29</f>
        <v>-10.070925554271636</v>
      </c>
      <c r="Z625" s="101">
        <f>((Tableau!$G$35-P625)/(AE625^2+Tableau!$G$40^2)^(3/2))*Tableau!$G$39</f>
        <v>-46.826086590429476</v>
      </c>
      <c r="AA625" s="102">
        <f>((Tableau!$H$35-Q625)/(AE625^2+Tableau!$G$40^2)^(3/2))*Tableau!$G$39</f>
        <v>-45.671255012061543</v>
      </c>
      <c r="AC625" s="113">
        <f>SQRT((Tableau!$G$16-P625)^2+(Tableau!$H$16-Q625)^2)</f>
        <v>55034.121264423753</v>
      </c>
      <c r="AD625" s="114">
        <f>SQRT((Tableau!$G$25-P625)^2+(Tableau!$H$25-Q625)^2)</f>
        <v>86681.414273656963</v>
      </c>
      <c r="AE625" s="115">
        <f>SQRT((Tableau!$G$35-P625)^2+(Tableau!$H$35-Q625)^2)</f>
        <v>88624.625616400066</v>
      </c>
    </row>
    <row r="626" spans="2:31" x14ac:dyDescent="0.25">
      <c r="B626" s="20">
        <v>623</v>
      </c>
      <c r="C626" s="21">
        <f>Tableau!$G$17*COS(B626*PI()/180)+Tableau!$G$16</f>
        <v>19390.653282974265</v>
      </c>
      <c r="D626" s="21">
        <f>Tableau!$G$17*SIN(B626*PI()/180)+Tableau!$H$16</f>
        <v>2537.2692417933895</v>
      </c>
      <c r="F626" s="28">
        <v>623</v>
      </c>
      <c r="G626" s="29">
        <f>Tableau!$G$26*COS(F626*PI()/180)+Tableau!$G$25</f>
        <v>-20426.542701918017</v>
      </c>
      <c r="H626" s="29">
        <f>Tableau!$G$26*SIN(F626*PI()/180)+Tableau!$H$25</f>
        <v>6526.0884692553727</v>
      </c>
      <c r="J626" s="36">
        <v>623</v>
      </c>
      <c r="K626" s="37">
        <f>Tableau!$G$36*COS(J626*PI()/180)+Tableau!$G$35</f>
        <v>-5609.3467170257372</v>
      </c>
      <c r="L626" s="37">
        <f>Tableau!$G$36*SIN(J626*PI()/180)+Tableau!$H$35</f>
        <v>-19962.73075820661</v>
      </c>
      <c r="N626" s="92">
        <v>622</v>
      </c>
      <c r="O626" s="93">
        <v>311</v>
      </c>
      <c r="P626" s="96">
        <f>P625+R625*Tableau!$G$2+((1/2)*T625)*Tableau!$G$2^2</f>
        <v>56359.823204593202</v>
      </c>
      <c r="Q626" s="96">
        <f>Q625+S625*Tableau!$G$2+((1/2)*U625)*Tableau!$G$2^2</f>
        <v>46379.979819501204</v>
      </c>
      <c r="R626" s="96">
        <f>R625+T625*Tableau!$G$2</f>
        <v>-4215.2289002477009</v>
      </c>
      <c r="S626" s="96">
        <f>S625+U625*Tableau!$G$2</f>
        <v>-1043.1330686867709</v>
      </c>
      <c r="T626" s="96">
        <f t="shared" si="18"/>
        <v>-190.42462616909265</v>
      </c>
      <c r="U626" s="96">
        <f t="shared" si="19"/>
        <v>-187.00029693128002</v>
      </c>
      <c r="V626" s="96">
        <f>((Tableau!$G$16-P626)/(AC626^2+Tableau!$G$21^2)^(3/2))*Tableau!$G$20</f>
        <v>-119.81167754254631</v>
      </c>
      <c r="W626" s="96">
        <f>((Tableau!$H$16-Q626)/(AC626^2+Tableau!$G$21^2)^(3/2))*Tableau!$G$20</f>
        <v>-128.11601362259441</v>
      </c>
      <c r="X626" s="96">
        <f>((Tableau!$G$25-P626)/(AD626^2+Tableau!$G$30^2)^(3/2))*Tableau!$G$29</f>
        <v>-22.431488530759985</v>
      </c>
      <c r="Y626" s="96">
        <f>((Tableau!$H$25-Q626)/(AD626^2+Tableau!$G$30^2)^(3/2))*Tableau!$G$29</f>
        <v>-10.686995671584182</v>
      </c>
      <c r="Z626" s="96">
        <f>((Tableau!$G$35-P626)/(AE626^2+Tableau!$G$40^2)^(3/2))*Tableau!$G$39</f>
        <v>-48.181460095786349</v>
      </c>
      <c r="AA626" s="97">
        <f>((Tableau!$H$35-Q626)/(AE626^2+Tableau!$G$40^2)^(3/2))*Tableau!$G$39</f>
        <v>-48.197287637101425</v>
      </c>
      <c r="AC626" s="110">
        <f>SQRT((Tableau!$G$16-P626)^2+(Tableau!$H$16-Q626)^2)</f>
        <v>53232.410937643006</v>
      </c>
      <c r="AD626" s="111">
        <f>SQRT((Tableau!$G$25-P626)^2+(Tableau!$H$25-Q626)^2)</f>
        <v>84583.2461631974</v>
      </c>
      <c r="AE626" s="112">
        <f>SQRT((Tableau!$G$35-P626)^2+(Tableau!$H$35-Q626)^2)</f>
        <v>86790.148210158673</v>
      </c>
    </row>
    <row r="627" spans="2:31" x14ac:dyDescent="0.25">
      <c r="B627" s="18">
        <v>624</v>
      </c>
      <c r="C627" s="19">
        <f>Tableau!$G$17*COS(B627*PI()/180)+Tableau!$G$16</f>
        <v>19477.357683661729</v>
      </c>
      <c r="D627" s="19">
        <f>Tableau!$G$17*SIN(B627*PI()/180)+Tableau!$H$16</f>
        <v>2527.3905231586341</v>
      </c>
      <c r="F627" s="26">
        <v>624</v>
      </c>
      <c r="G627" s="27">
        <f>Tableau!$G$26*COS(F627*PI()/180)+Tableau!$G$25</f>
        <v>-20365.849621436791</v>
      </c>
      <c r="H627" s="27">
        <f>Tableau!$G$26*SIN(F627*PI()/180)+Tableau!$H$25</f>
        <v>6519.1733662110437</v>
      </c>
      <c r="J627" s="34">
        <v>624</v>
      </c>
      <c r="K627" s="35">
        <f>Tableau!$G$36*COS(J627*PI()/180)+Tableau!$G$35</f>
        <v>-5522.6423163382724</v>
      </c>
      <c r="L627" s="35">
        <f>Tableau!$G$36*SIN(J627*PI()/180)+Tableau!$H$35</f>
        <v>-19972.609476841368</v>
      </c>
      <c r="N627" s="98">
        <v>623</v>
      </c>
      <c r="O627" s="99">
        <v>311.5</v>
      </c>
      <c r="P627" s="101">
        <f>P626+R626*Tableau!$G$2+((1/2)*T626)*Tableau!$G$2^2</f>
        <v>54228.405676198214</v>
      </c>
      <c r="Q627" s="101">
        <f>Q626+S626*Tableau!$G$2+((1/2)*U626)*Tableau!$G$2^2</f>
        <v>45835.038248041405</v>
      </c>
      <c r="R627" s="101">
        <f>R626+T626*Tableau!$G$2</f>
        <v>-4310.4412133322476</v>
      </c>
      <c r="S627" s="101">
        <f>S626+U626*Tableau!$G$2</f>
        <v>-1136.6332171524109</v>
      </c>
      <c r="T627" s="101">
        <f t="shared" si="18"/>
        <v>-198.05818723395942</v>
      </c>
      <c r="U627" s="101">
        <f t="shared" si="19"/>
        <v>-202.20605508062948</v>
      </c>
      <c r="V627" s="101">
        <f>((Tableau!$G$16-P627)/(AC627^2+Tableau!$G$21^2)^(3/2))*Tableau!$G$20</f>
        <v>-124.87743585116218</v>
      </c>
      <c r="W627" s="101">
        <f>((Tableau!$H$16-Q627)/(AC627^2+Tableau!$G$21^2)^(3/2))*Tableau!$G$20</f>
        <v>-139.8598966296743</v>
      </c>
      <c r="X627" s="101">
        <f>((Tableau!$G$25-P627)/(AD627^2+Tableau!$G$30^2)^(3/2))*Tableau!$G$29</f>
        <v>-23.550084896539385</v>
      </c>
      <c r="Y627" s="101">
        <f>((Tableau!$H$25-Q627)/(AD627^2+Tableau!$G$30^2)^(3/2))*Tableau!$G$29</f>
        <v>-11.369208126245912</v>
      </c>
      <c r="Z627" s="101">
        <f>((Tableau!$G$35-P627)/(AE627^2+Tableau!$G$40^2)^(3/2))*Tableau!$G$39</f>
        <v>-49.630666486257866</v>
      </c>
      <c r="AA627" s="102">
        <f>((Tableau!$H$35-Q627)/(AE627^2+Tableau!$G$40^2)^(3/2))*Tableau!$G$39</f>
        <v>-50.976950324709257</v>
      </c>
      <c r="AC627" s="113">
        <f>SQRT((Tableau!$G$16-P627)^2+(Tableau!$H$16-Q627)^2)</f>
        <v>51392.206730332131</v>
      </c>
      <c r="AD627" s="114">
        <f>SQRT((Tableau!$G$25-P627)^2+(Tableau!$H$25-Q627)^2)</f>
        <v>82425.761600781378</v>
      </c>
      <c r="AE627" s="115">
        <f>SQRT((Tableau!$G$35-P627)^2+(Tableau!$H$35-Q627)^2)</f>
        <v>84905.276146921344</v>
      </c>
    </row>
    <row r="628" spans="2:31" x14ac:dyDescent="0.25">
      <c r="B628" s="20">
        <v>625</v>
      </c>
      <c r="C628" s="21">
        <f>Tableau!$G$17*COS(B628*PI()/180)+Tableau!$G$16</f>
        <v>19564.221286261709</v>
      </c>
      <c r="D628" s="21">
        <f>Tableau!$G$17*SIN(B628*PI()/180)+Tableau!$H$16</f>
        <v>2519.0265095412724</v>
      </c>
      <c r="F628" s="28">
        <v>625</v>
      </c>
      <c r="G628" s="29">
        <f>Tableau!$G$26*COS(F628*PI()/180)+Tableau!$G$25</f>
        <v>-20305.045099616804</v>
      </c>
      <c r="H628" s="29">
        <f>Tableau!$G$26*SIN(F628*PI()/180)+Tableau!$H$25</f>
        <v>6513.3185566788907</v>
      </c>
      <c r="J628" s="36">
        <v>625</v>
      </c>
      <c r="K628" s="37">
        <f>Tableau!$G$36*COS(J628*PI()/180)+Tableau!$G$35</f>
        <v>-5435.7787137382929</v>
      </c>
      <c r="L628" s="37">
        <f>Tableau!$G$36*SIN(J628*PI()/180)+Tableau!$H$35</f>
        <v>-19980.973490458728</v>
      </c>
      <c r="N628" s="92">
        <v>624</v>
      </c>
      <c r="O628" s="93">
        <v>312</v>
      </c>
      <c r="P628" s="96">
        <f>P627+R627*Tableau!$G$2+((1/2)*T627)*Tableau!$G$2^2</f>
        <v>52048.427796127842</v>
      </c>
      <c r="Q628" s="96">
        <f>Q627+S627*Tableau!$G$2+((1/2)*U627)*Tableau!$G$2^2</f>
        <v>45241.445882580119</v>
      </c>
      <c r="R628" s="96">
        <f>R627+T627*Tableau!$G$2</f>
        <v>-4409.4703069492271</v>
      </c>
      <c r="S628" s="96">
        <f>S627+U627*Tableau!$G$2</f>
        <v>-1237.7362446927257</v>
      </c>
      <c r="T628" s="96">
        <f t="shared" si="18"/>
        <v>-206.17687020654674</v>
      </c>
      <c r="U628" s="96">
        <f t="shared" si="19"/>
        <v>-219.50310771018115</v>
      </c>
      <c r="V628" s="96">
        <f>((Tableau!$G$16-P628)/(AC628^2+Tableau!$G$21^2)^(3/2))*Tableau!$G$20</f>
        <v>-130.19888916523644</v>
      </c>
      <c r="W628" s="96">
        <f>((Tableau!$H$16-Q628)/(AC628^2+Tableau!$G$21^2)^(3/2))*Tableau!$G$20</f>
        <v>-153.32715728400021</v>
      </c>
      <c r="X628" s="96">
        <f>((Tableau!$G$25-P628)/(AD628^2+Tableau!$G$30^2)^(3/2))*Tableau!$G$29</f>
        <v>-24.794776467294128</v>
      </c>
      <c r="Y628" s="96">
        <f>((Tableau!$H$25-Q628)/(AD628^2+Tableau!$G$30^2)^(3/2))*Tableau!$G$29</f>
        <v>-12.128006117154698</v>
      </c>
      <c r="Z628" s="96">
        <f>((Tableau!$G$35-P628)/(AE628^2+Tableau!$G$40^2)^(3/2))*Tableau!$G$39</f>
        <v>-51.183204574016173</v>
      </c>
      <c r="AA628" s="97">
        <f>((Tableau!$H$35-Q628)/(AE628^2+Tableau!$G$40^2)^(3/2))*Tableau!$G$39</f>
        <v>-54.047944309026249</v>
      </c>
      <c r="AC628" s="110">
        <f>SQRT((Tableau!$G$16-P628)^2+(Tableau!$H$16-Q628)^2)</f>
        <v>49512.811084721732</v>
      </c>
      <c r="AD628" s="111">
        <f>SQRT((Tableau!$G$25-P628)^2+(Tableau!$H$25-Q628)^2)</f>
        <v>80205.582447786452</v>
      </c>
      <c r="AE628" s="112">
        <f>SQRT((Tableau!$G$35-P628)^2+(Tableau!$H$35-Q628)^2)</f>
        <v>82967.191805157781</v>
      </c>
    </row>
    <row r="629" spans="2:31" x14ac:dyDescent="0.25">
      <c r="B629" s="18">
        <v>626</v>
      </c>
      <c r="C629" s="19">
        <f>Tableau!$G$17*COS(B629*PI()/180)+Tableau!$G$16</f>
        <v>19651.217631279367</v>
      </c>
      <c r="D629" s="19">
        <f>Tableau!$G$17*SIN(B629*PI()/180)+Tableau!$H$16</f>
        <v>2512.1797487008789</v>
      </c>
      <c r="F629" s="26">
        <v>626</v>
      </c>
      <c r="G629" s="27">
        <f>Tableau!$G$26*COS(F629*PI()/180)+Tableau!$G$25</f>
        <v>-20244.147658104444</v>
      </c>
      <c r="H629" s="27">
        <f>Tableau!$G$26*SIN(F629*PI()/180)+Tableau!$H$25</f>
        <v>6508.5258240906151</v>
      </c>
      <c r="J629" s="34">
        <v>626</v>
      </c>
      <c r="K629" s="35">
        <f>Tableau!$G$36*COS(J629*PI()/180)+Tableau!$G$35</f>
        <v>-5348.7823687206337</v>
      </c>
      <c r="L629" s="35">
        <f>Tableau!$G$36*SIN(J629*PI()/180)+Tableau!$H$35</f>
        <v>-19987.820251299119</v>
      </c>
      <c r="N629" s="98">
        <v>625</v>
      </c>
      <c r="O629" s="99">
        <v>312.5</v>
      </c>
      <c r="P629" s="101">
        <f>P628+R628*Tableau!$G$2+((1/2)*T628)*Tableau!$G$2^2</f>
        <v>49817.920533877412</v>
      </c>
      <c r="Q629" s="101">
        <f>Q628+S628*Tableau!$G$2+((1/2)*U628)*Tableau!$G$2^2</f>
        <v>44595.139871769985</v>
      </c>
      <c r="R629" s="101">
        <f>R628+T628*Tableau!$G$2</f>
        <v>-4512.5587420525007</v>
      </c>
      <c r="S629" s="101">
        <f>S628+U628*Tableau!$G$2</f>
        <v>-1347.4877985478163</v>
      </c>
      <c r="T629" s="101">
        <f t="shared" si="18"/>
        <v>-214.77045445742939</v>
      </c>
      <c r="U629" s="101">
        <f t="shared" si="19"/>
        <v>-239.29109392094264</v>
      </c>
      <c r="V629" s="101">
        <f>((Tableau!$G$16-P629)/(AC629^2+Tableau!$G$21^2)^(3/2))*Tableau!$G$20</f>
        <v>-135.73310890719105</v>
      </c>
      <c r="W629" s="101">
        <f>((Tableau!$H$16-Q629)/(AC629^2+Tableau!$G$21^2)^(3/2))*Tableau!$G$20</f>
        <v>-168.8594834915439</v>
      </c>
      <c r="X629" s="101">
        <f>((Tableau!$G$25-P629)/(AD629^2+Tableau!$G$30^2)^(3/2))*Tableau!$G$29</f>
        <v>-26.187472835339591</v>
      </c>
      <c r="Y629" s="101">
        <f>((Tableau!$H$25-Q629)/(AD629^2+Tableau!$G$30^2)^(3/2))*Tableau!$G$29</f>
        <v>-12.97602791230592</v>
      </c>
      <c r="Z629" s="101">
        <f>((Tableau!$G$35-P629)/(AE629^2+Tableau!$G$40^2)^(3/2))*Tableau!$G$39</f>
        <v>-52.849872714898744</v>
      </c>
      <c r="AA629" s="102">
        <f>((Tableau!$H$35-Q629)/(AE629^2+Tableau!$G$40^2)^(3/2))*Tableau!$G$39</f>
        <v>-57.455582517092829</v>
      </c>
      <c r="AC629" s="113">
        <f>SQRT((Tableau!$G$16-P629)^2+(Tableau!$H$16-Q629)^2)</f>
        <v>47593.673813552232</v>
      </c>
      <c r="AD629" s="114">
        <f>SQRT((Tableau!$G$25-P629)^2+(Tableau!$H$25-Q629)^2)</f>
        <v>77918.969002561571</v>
      </c>
      <c r="AE629" s="115">
        <f>SQRT((Tableau!$G$35-P629)^2+(Tableau!$H$35-Q629)^2)</f>
        <v>80972.742994135551</v>
      </c>
    </row>
    <row r="630" spans="2:31" x14ac:dyDescent="0.25">
      <c r="B630" s="20">
        <v>627</v>
      </c>
      <c r="C630" s="21">
        <f>Tableau!$G$17*COS(B630*PI()/180)+Tableau!$G$16</f>
        <v>19738.320218785277</v>
      </c>
      <c r="D630" s="21">
        <f>Tableau!$G$17*SIN(B630*PI()/180)+Tableau!$H$16</f>
        <v>2506.852326227131</v>
      </c>
      <c r="F630" s="28">
        <v>627</v>
      </c>
      <c r="G630" s="29">
        <f>Tableau!$G$26*COS(F630*PI()/180)+Tableau!$G$25</f>
        <v>-20183.175846850307</v>
      </c>
      <c r="H630" s="29">
        <f>Tableau!$G$26*SIN(F630*PI()/180)+Tableau!$H$25</f>
        <v>6504.7966283589922</v>
      </c>
      <c r="J630" s="36">
        <v>627</v>
      </c>
      <c r="K630" s="37">
        <f>Tableau!$G$36*COS(J630*PI()/180)+Tableau!$G$35</f>
        <v>-5261.6797812147224</v>
      </c>
      <c r="L630" s="37">
        <f>Tableau!$G$36*SIN(J630*PI()/180)+Tableau!$H$35</f>
        <v>-19993.14767377287</v>
      </c>
      <c r="N630" s="92">
        <v>626</v>
      </c>
      <c r="O630" s="93">
        <v>313</v>
      </c>
      <c r="P630" s="96">
        <f>P629+R629*Tableau!$G$2+((1/2)*T629)*Tableau!$G$2^2</f>
        <v>47534.794856043984</v>
      </c>
      <c r="Q630" s="96">
        <f>Q629+S629*Tableau!$G$2+((1/2)*U629)*Tableau!$G$2^2</f>
        <v>43891.484585755956</v>
      </c>
      <c r="R630" s="96">
        <f>R629+T629*Tableau!$G$2</f>
        <v>-4619.9439692812157</v>
      </c>
      <c r="S630" s="96">
        <f>S629+U629*Tableau!$G$2</f>
        <v>-1467.1333455082877</v>
      </c>
      <c r="T630" s="96">
        <f t="shared" si="18"/>
        <v>-223.79776719401943</v>
      </c>
      <c r="U630" s="96">
        <f t="shared" si="19"/>
        <v>-262.06460735698636</v>
      </c>
      <c r="V630" s="96">
        <f>((Tableau!$G$16-P630)/(AC630^2+Tableau!$G$21^2)^(3/2))*Tableau!$G$20</f>
        <v>-141.39940213782506</v>
      </c>
      <c r="W630" s="96">
        <f>((Tableau!$H$16-Q630)/(AC630^2+Tableau!$G$21^2)^(3/2))*Tableau!$G$20</f>
        <v>-186.88115129371528</v>
      </c>
      <c r="X630" s="96">
        <f>((Tableau!$G$25-P630)/(AD630^2+Tableau!$G$30^2)^(3/2))*Tableau!$G$29</f>
        <v>-27.755373746033083</v>
      </c>
      <c r="Y630" s="96">
        <f>((Tableau!$H$25-Q630)/(AD630^2+Tableau!$G$30^2)^(3/2))*Tableau!$G$29</f>
        <v>-13.928684073012935</v>
      </c>
      <c r="Z630" s="96">
        <f>((Tableau!$G$35-P630)/(AE630^2+Tableau!$G$40^2)^(3/2))*Tableau!$G$39</f>
        <v>-54.642991310161285</v>
      </c>
      <c r="AA630" s="97">
        <f>((Tableau!$H$35-Q630)/(AE630^2+Tableau!$G$40^2)^(3/2))*Tableau!$G$39</f>
        <v>-61.254771990258128</v>
      </c>
      <c r="AC630" s="110">
        <f>SQRT((Tableau!$G$16-P630)^2+(Tableau!$H$16-Q630)^2)</f>
        <v>45634.472475528186</v>
      </c>
      <c r="AD630" s="111">
        <f>SQRT((Tableau!$G$25-P630)^2+(Tableau!$H$25-Q630)^2)</f>
        <v>75561.771046439069</v>
      </c>
      <c r="AE630" s="112">
        <f>SQRT((Tableau!$G$35-P630)^2+(Tableau!$H$35-Q630)^2)</f>
        <v>78918.385863377596</v>
      </c>
    </row>
    <row r="631" spans="2:31" x14ac:dyDescent="0.25">
      <c r="B631" s="18">
        <v>628</v>
      </c>
      <c r="C631" s="19">
        <f>Tableau!$G$17*COS(B631*PI()/180)+Tableau!$G$16</f>
        <v>19825.502516487486</v>
      </c>
      <c r="D631" s="19">
        <f>Tableau!$G$17*SIN(B631*PI()/180)+Tableau!$H$16</f>
        <v>2503.0458649045213</v>
      </c>
      <c r="F631" s="26">
        <v>628</v>
      </c>
      <c r="G631" s="27">
        <f>Tableau!$G$26*COS(F631*PI()/180)+Tableau!$G$25</f>
        <v>-20122.148238458758</v>
      </c>
      <c r="H631" s="27">
        <f>Tableau!$G$26*SIN(F631*PI()/180)+Tableau!$H$25</f>
        <v>6502.1321054331656</v>
      </c>
      <c r="J631" s="34">
        <v>628</v>
      </c>
      <c r="K631" s="35">
        <f>Tableau!$G$36*COS(J631*PI()/180)+Tableau!$G$35</f>
        <v>-5174.497483512514</v>
      </c>
      <c r="L631" s="35">
        <f>Tableau!$G$36*SIN(J631*PI()/180)+Tableau!$H$35</f>
        <v>-19996.954135095479</v>
      </c>
      <c r="N631" s="98">
        <v>627</v>
      </c>
      <c r="O631" s="99">
        <v>313.5</v>
      </c>
      <c r="P631" s="101">
        <f>P630+R630*Tableau!$G$2+((1/2)*T630)*Tableau!$G$2^2</f>
        <v>45196.84815050412</v>
      </c>
      <c r="Q631" s="101">
        <f>Q630+S630*Tableau!$G$2+((1/2)*U630)*Tableau!$G$2^2</f>
        <v>43125.159837082188</v>
      </c>
      <c r="R631" s="101">
        <f>R630+T630*Tableau!$G$2</f>
        <v>-4731.8428528782251</v>
      </c>
      <c r="S631" s="101">
        <f>S630+U630*Tableau!$G$2</f>
        <v>-1598.1656491867809</v>
      </c>
      <c r="T631" s="101">
        <f t="shared" si="18"/>
        <v>-233.16690525536077</v>
      </c>
      <c r="U631" s="101">
        <f t="shared" si="19"/>
        <v>-288.43842486032349</v>
      </c>
      <c r="V631" s="101">
        <f>((Tableau!$G$16-P631)/(AC631^2+Tableau!$G$21^2)^(3/2))*Tableau!$G$20</f>
        <v>-147.05760295200963</v>
      </c>
      <c r="W631" s="101">
        <f>((Tableau!$H$16-Q631)/(AC631^2+Tableau!$G$21^2)^(3/2))*Tableau!$G$20</f>
        <v>-207.92087086172702</v>
      </c>
      <c r="X631" s="101">
        <f>((Tableau!$G$25-P631)/(AD631^2+Tableau!$G$30^2)^(3/2))*Tableau!$G$29</f>
        <v>-29.532632167897784</v>
      </c>
      <c r="Y631" s="101">
        <f>((Tableau!$H$25-Q631)/(AD631^2+Tableau!$G$30^2)^(3/2))*Tableau!$G$29</f>
        <v>-15.004914941793929</v>
      </c>
      <c r="Z631" s="101">
        <f>((Tableau!$G$35-P631)/(AE631^2+Tableau!$G$40^2)^(3/2))*Tableau!$G$39</f>
        <v>-56.576670135453348</v>
      </c>
      <c r="AA631" s="102">
        <f>((Tableau!$H$35-Q631)/(AE631^2+Tableau!$G$40^2)^(3/2))*Tableau!$G$39</f>
        <v>-65.512639056802499</v>
      </c>
      <c r="AC631" s="113">
        <f>SQRT((Tableau!$G$16-P631)^2+(Tableau!$H$16-Q631)^2)</f>
        <v>43635.228544574129</v>
      </c>
      <c r="AD631" s="114">
        <f>SQRT((Tableau!$G$25-P631)^2+(Tableau!$H$25-Q631)^2)</f>
        <v>73129.373188836616</v>
      </c>
      <c r="AE631" s="115">
        <f>SQRT((Tableau!$G$35-P631)^2+(Tableau!$H$35-Q631)^2)</f>
        <v>76800.115692172767</v>
      </c>
    </row>
    <row r="632" spans="2:31" x14ac:dyDescent="0.25">
      <c r="B632" s="20">
        <v>629</v>
      </c>
      <c r="C632" s="21">
        <f>Tableau!$G$17*COS(B632*PI()/180)+Tableau!$G$16</f>
        <v>19912.737967813577</v>
      </c>
      <c r="D632" s="21">
        <f>Tableau!$G$17*SIN(B632*PI()/180)+Tableau!$H$16</f>
        <v>2500.7615242180436</v>
      </c>
      <c r="F632" s="28">
        <v>629</v>
      </c>
      <c r="G632" s="29">
        <f>Tableau!$G$26*COS(F632*PI()/180)+Tableau!$G$25</f>
        <v>-20061.083422530497</v>
      </c>
      <c r="H632" s="29">
        <f>Tableau!$G$26*SIN(F632*PI()/180)+Tableau!$H$25</f>
        <v>6500.5330669526302</v>
      </c>
      <c r="J632" s="36">
        <v>629</v>
      </c>
      <c r="K632" s="37">
        <f>Tableau!$G$36*COS(J632*PI()/180)+Tableau!$G$35</f>
        <v>-5087.2620321864233</v>
      </c>
      <c r="L632" s="37">
        <f>Tableau!$G$36*SIN(J632*PI()/180)+Tableau!$H$35</f>
        <v>-19999.238475781956</v>
      </c>
      <c r="N632" s="92">
        <v>628</v>
      </c>
      <c r="O632" s="93">
        <v>314</v>
      </c>
      <c r="P632" s="96">
        <f>P631+R631*Tableau!$G$2+((1/2)*T631)*Tableau!$G$2^2</f>
        <v>42801.780860908089</v>
      </c>
      <c r="Q632" s="96">
        <f>Q631+S631*Tableau!$G$2+((1/2)*U631)*Tableau!$G$2^2</f>
        <v>42290.022209381263</v>
      </c>
      <c r="R632" s="96">
        <f>R631+T631*Tableau!$G$2</f>
        <v>-4848.4263055059055</v>
      </c>
      <c r="S632" s="96">
        <f>S631+U631*Tableau!$G$2</f>
        <v>-1742.3848616169425</v>
      </c>
      <c r="T632" s="96">
        <f t="shared" si="18"/>
        <v>-242.70379088626481</v>
      </c>
      <c r="U632" s="96">
        <f t="shared" si="19"/>
        <v>-319.17880348816709</v>
      </c>
      <c r="V632" s="96">
        <f>((Tableau!$G$16-P632)/(AC632^2+Tableau!$G$21^2)^(3/2))*Tableau!$G$20</f>
        <v>-152.47399065136455</v>
      </c>
      <c r="W632" s="96">
        <f>((Tableau!$H$16-Q632)/(AC632^2+Tableau!$G$21^2)^(3/2))*Tableau!$G$20</f>
        <v>-232.63856246457701</v>
      </c>
      <c r="X632" s="96">
        <f>((Tableau!$G$25-P632)/(AD632^2+Tableau!$G$30^2)^(3/2))*Tableau!$G$29</f>
        <v>-31.562670076067999</v>
      </c>
      <c r="Y632" s="96">
        <f>((Tableau!$H$25-Q632)/(AD632^2+Tableau!$G$30^2)^(3/2))*Tableau!$G$29</f>
        <v>-16.228191362929962</v>
      </c>
      <c r="Z632" s="96">
        <f>((Tableau!$G$35-P632)/(AE632^2+Tableau!$G$40^2)^(3/2))*Tableau!$G$39</f>
        <v>-58.667130158832272</v>
      </c>
      <c r="AA632" s="97">
        <f>((Tableau!$H$35-Q632)/(AE632^2+Tableau!$G$40^2)^(3/2))*Tableau!$G$39</f>
        <v>-70.312049660660122</v>
      </c>
      <c r="AC632" s="110">
        <f>SQRT((Tableau!$G$16-P632)^2+(Tableau!$H$16-Q632)^2)</f>
        <v>41596.476482487262</v>
      </c>
      <c r="AD632" s="111">
        <f>SQRT((Tableau!$G$25-P632)^2+(Tableau!$H$25-Q632)^2)</f>
        <v>70616.635530049549</v>
      </c>
      <c r="AE632" s="112">
        <f>SQRT((Tableau!$G$35-P632)^2+(Tableau!$H$35-Q632)^2)</f>
        <v>74613.382835960991</v>
      </c>
    </row>
    <row r="633" spans="2:31" x14ac:dyDescent="0.25">
      <c r="B633" s="18">
        <v>630</v>
      </c>
      <c r="C633" s="19">
        <f>Tableau!$G$17*COS(B633*PI()/180)+Tableau!$G$16</f>
        <v>19999.999999999996</v>
      </c>
      <c r="D633" s="19">
        <f>Tableau!$G$17*SIN(B633*PI()/180)+Tableau!$H$16</f>
        <v>2500</v>
      </c>
      <c r="F633" s="26">
        <v>630</v>
      </c>
      <c r="G633" s="27">
        <f>Tableau!$G$26*COS(F633*PI()/180)+Tableau!$G$25</f>
        <v>-20000</v>
      </c>
      <c r="H633" s="27">
        <f>Tableau!$G$26*SIN(F633*PI()/180)+Tableau!$H$25</f>
        <v>6500</v>
      </c>
      <c r="J633" s="34">
        <v>630</v>
      </c>
      <c r="K633" s="35">
        <f>Tableau!$G$36*COS(J633*PI()/180)+Tableau!$G$35</f>
        <v>-5000.0000000000018</v>
      </c>
      <c r="L633" s="35">
        <f>Tableau!$G$36*SIN(J633*PI()/180)+Tableau!$H$35</f>
        <v>-20000</v>
      </c>
      <c r="N633" s="98">
        <v>629</v>
      </c>
      <c r="O633" s="99">
        <v>314.5</v>
      </c>
      <c r="P633" s="101">
        <f>P632+R632*Tableau!$G$2+((1/2)*T632)*Tableau!$G$2^2</f>
        <v>40347.229734294357</v>
      </c>
      <c r="Q633" s="101">
        <f>Q632+S632*Tableau!$G$2+((1/2)*U632)*Tableau!$G$2^2</f>
        <v>41378.932428136774</v>
      </c>
      <c r="R633" s="101">
        <f>R632+T632*Tableau!$G$2</f>
        <v>-4969.7782009490375</v>
      </c>
      <c r="S633" s="101">
        <f>S632+U632*Tableau!$G$2</f>
        <v>-1901.974263361026</v>
      </c>
      <c r="T633" s="101">
        <f t="shared" si="18"/>
        <v>-252.10204898399627</v>
      </c>
      <c r="U633" s="101">
        <f t="shared" si="19"/>
        <v>-355.24077115902861</v>
      </c>
      <c r="V633" s="101">
        <f>((Tableau!$G$16-P633)/(AC633^2+Tableau!$G$21^2)^(3/2))*Tableau!$G$20</f>
        <v>-157.26750086518879</v>
      </c>
      <c r="W633" s="101">
        <f>((Tableau!$H$16-Q633)/(AC633^2+Tableau!$G$21^2)^(3/2))*Tableau!$G$20</f>
        <v>-261.85653302834987</v>
      </c>
      <c r="X633" s="101">
        <f>((Tableau!$G$25-P633)/(AD633^2+Tableau!$G$30^2)^(3/2))*Tableau!$G$29</f>
        <v>-33.901457028303454</v>
      </c>
      <c r="Y633" s="101">
        <f>((Tableau!$H$25-Q633)/(AD633^2+Tableau!$G$30^2)^(3/2))*Tableau!$G$29</f>
        <v>-17.627843630773675</v>
      </c>
      <c r="Z633" s="101">
        <f>((Tableau!$G$35-P633)/(AE633^2+Tableau!$G$40^2)^(3/2))*Tableau!$G$39</f>
        <v>-60.933091090504028</v>
      </c>
      <c r="AA633" s="102">
        <f>((Tableau!$H$35-Q633)/(AE633^2+Tableau!$G$40^2)^(3/2))*Tableau!$G$39</f>
        <v>-75.756394499905085</v>
      </c>
      <c r="AC633" s="113">
        <f>SQRT((Tableau!$G$16-P633)^2+(Tableau!$H$16-Q633)^2)</f>
        <v>39519.511893878574</v>
      </c>
      <c r="AD633" s="114">
        <f>SQRT((Tableau!$G$25-P633)^2+(Tableau!$H$25-Q633)^2)</f>
        <v>68017.832492172776</v>
      </c>
      <c r="AE633" s="115">
        <f>SQRT((Tableau!$G$35-P633)^2+(Tableau!$H$35-Q633)^2)</f>
        <v>72352.990721263777</v>
      </c>
    </row>
    <row r="634" spans="2:31" x14ac:dyDescent="0.25">
      <c r="B634" s="20">
        <v>631</v>
      </c>
      <c r="C634" s="21">
        <f>Tableau!$G$17*COS(B634*PI()/180)+Tableau!$G$16</f>
        <v>20087.26203218642</v>
      </c>
      <c r="D634" s="21">
        <f>Tableau!$G$17*SIN(B634*PI()/180)+Tableau!$H$16</f>
        <v>2500.7615242180436</v>
      </c>
      <c r="F634" s="28">
        <v>631</v>
      </c>
      <c r="G634" s="29">
        <f>Tableau!$G$26*COS(F634*PI()/180)+Tableau!$G$25</f>
        <v>-19938.916577469507</v>
      </c>
      <c r="H634" s="29">
        <f>Tableau!$G$26*SIN(F634*PI()/180)+Tableau!$H$25</f>
        <v>6500.5330669526302</v>
      </c>
      <c r="J634" s="36">
        <v>631</v>
      </c>
      <c r="K634" s="37">
        <f>Tableau!$G$36*COS(J634*PI()/180)+Tableau!$G$35</f>
        <v>-4912.7379678135812</v>
      </c>
      <c r="L634" s="37">
        <f>Tableau!$G$36*SIN(J634*PI()/180)+Tableau!$H$35</f>
        <v>-19999.238475781956</v>
      </c>
      <c r="N634" s="92">
        <v>630</v>
      </c>
      <c r="O634" s="93">
        <v>315</v>
      </c>
      <c r="P634" s="96">
        <f>P633+R633*Tableau!$G$2+((1/2)*T633)*Tableau!$G$2^2</f>
        <v>37830.827877696844</v>
      </c>
      <c r="Q634" s="96">
        <f>Q633+S633*Tableau!$G$2+((1/2)*U633)*Tableau!$G$2^2</f>
        <v>40383.540200061383</v>
      </c>
      <c r="R634" s="96">
        <f>R633+T633*Tableau!$G$2</f>
        <v>-5095.8292254410353</v>
      </c>
      <c r="S634" s="96">
        <f>S633+U633*Tableau!$G$2</f>
        <v>-2079.5946489405405</v>
      </c>
      <c r="T634" s="96">
        <f t="shared" si="18"/>
        <v>-260.84298662113019</v>
      </c>
      <c r="U634" s="96">
        <f t="shared" si="19"/>
        <v>-397.8089341870791</v>
      </c>
      <c r="V634" s="96">
        <f>((Tableau!$G$16-P634)/(AC634^2+Tableau!$G$21^2)^(3/2))*Tableau!$G$20</f>
        <v>-160.82451432614383</v>
      </c>
      <c r="W634" s="96">
        <f>((Tableau!$H$16-Q634)/(AC634^2+Tableau!$G$21^2)^(3/2))*Tableau!$G$20</f>
        <v>-296.59191475983204</v>
      </c>
      <c r="X634" s="96">
        <f>((Tableau!$G$25-P634)/(AD634^2+Tableau!$G$30^2)^(3/2))*Tableau!$G$29</f>
        <v>-36.622235400522996</v>
      </c>
      <c r="Y634" s="96">
        <f>((Tableau!$H$25-Q634)/(AD634^2+Tableau!$G$30^2)^(3/2))*Tableau!$G$29</f>
        <v>-19.240830580207426</v>
      </c>
      <c r="Z634" s="96">
        <f>((Tableau!$G$35-P634)/(AE634^2+Tableau!$G$40^2)^(3/2))*Tableau!$G$39</f>
        <v>-63.396236894463357</v>
      </c>
      <c r="AA634" s="97">
        <f>((Tableau!$H$35-Q634)/(AE634^2+Tableau!$G$40^2)^(3/2))*Tableau!$G$39</f>
        <v>-81.976188847039637</v>
      </c>
      <c r="AC634" s="110">
        <f>SQRT((Tableau!$G$16-P634)^2+(Tableau!$H$16-Q634)^2)</f>
        <v>37406.759267451969</v>
      </c>
      <c r="AD634" s="111">
        <f>SQRT((Tableau!$G$25-P634)^2+(Tableau!$H$25-Q634)^2)</f>
        <v>65326.596177273343</v>
      </c>
      <c r="AE634" s="112">
        <f>SQRT((Tableau!$G$35-P634)^2+(Tableau!$H$35-Q634)^2)</f>
        <v>70012.972667789989</v>
      </c>
    </row>
    <row r="635" spans="2:31" x14ac:dyDescent="0.25">
      <c r="B635" s="18">
        <v>632</v>
      </c>
      <c r="C635" s="19">
        <f>Tableau!$G$17*COS(B635*PI()/180)+Tableau!$G$16</f>
        <v>20174.497483512499</v>
      </c>
      <c r="D635" s="19">
        <f>Tableau!$G$17*SIN(B635*PI()/180)+Tableau!$H$16</f>
        <v>2503.0458649045213</v>
      </c>
      <c r="F635" s="26">
        <v>632</v>
      </c>
      <c r="G635" s="27">
        <f>Tableau!$G$26*COS(F635*PI()/180)+Tableau!$G$25</f>
        <v>-19877.851761541249</v>
      </c>
      <c r="H635" s="27">
        <f>Tableau!$G$26*SIN(F635*PI()/180)+Tableau!$H$25</f>
        <v>6502.1321054331647</v>
      </c>
      <c r="J635" s="34">
        <v>632</v>
      </c>
      <c r="K635" s="35">
        <f>Tableau!$G$36*COS(J635*PI()/180)+Tableau!$G$35</f>
        <v>-4825.5025164874996</v>
      </c>
      <c r="L635" s="35">
        <f>Tableau!$G$36*SIN(J635*PI()/180)+Tableau!$H$35</f>
        <v>-19996.954135095479</v>
      </c>
      <c r="N635" s="98">
        <v>631</v>
      </c>
      <c r="O635" s="99">
        <v>315.5</v>
      </c>
      <c r="P635" s="101">
        <f>P634+R634*Tableau!$G$2+((1/2)*T634)*Tableau!$G$2^2</f>
        <v>35250.307891648685</v>
      </c>
      <c r="Q635" s="101">
        <f>Q634+S634*Tableau!$G$2+((1/2)*U634)*Tableau!$G$2^2</f>
        <v>39294.016758817728</v>
      </c>
      <c r="R635" s="101">
        <f>R634+T634*Tableau!$G$2</f>
        <v>-5226.2507187516003</v>
      </c>
      <c r="S635" s="101">
        <f>S634+U634*Tableau!$G$2</f>
        <v>-2278.4991160340801</v>
      </c>
      <c r="T635" s="101">
        <f t="shared" si="18"/>
        <v>-268.06806343813309</v>
      </c>
      <c r="U635" s="101">
        <f t="shared" si="19"/>
        <v>-448.33342054031982</v>
      </c>
      <c r="V635" s="101">
        <f>((Tableau!$G$16-P635)/(AC635^2+Tableau!$G$21^2)^(3/2))*Tableau!$G$20</f>
        <v>-162.16383094608145</v>
      </c>
      <c r="W635" s="101">
        <f>((Tableau!$H$16-Q635)/(AC635^2+Tableau!$G$21^2)^(3/2))*Tableau!$G$20</f>
        <v>-338.08101419363601</v>
      </c>
      <c r="X635" s="101">
        <f>((Tableau!$G$25-P635)/(AD635^2+Tableau!$G$30^2)^(3/2))*Tableau!$G$29</f>
        <v>-39.822462023637648</v>
      </c>
      <c r="Y635" s="101">
        <f>((Tableau!$H$25-Q635)/(AD635^2+Tableau!$G$30^2)^(3/2))*Tableau!$G$29</f>
        <v>-21.114088127537009</v>
      </c>
      <c r="Z635" s="101">
        <f>((Tableau!$G$35-P635)/(AE635^2+Tableau!$G$40^2)^(3/2))*Tableau!$G$39</f>
        <v>-66.081770468414021</v>
      </c>
      <c r="AA635" s="102">
        <f>((Tableau!$H$35-Q635)/(AE635^2+Tableau!$G$40^2)^(3/2))*Tableau!$G$39</f>
        <v>-89.138318219146839</v>
      </c>
      <c r="AC635" s="113">
        <f>SQRT((Tableau!$G$16-P635)^2+(Tableau!$H$16-Q635)^2)</f>
        <v>35262.322561766472</v>
      </c>
      <c r="AD635" s="114">
        <f>SQRT((Tableau!$G$25-P635)^2+(Tableau!$H$25-Q635)^2)</f>
        <v>62535.877222502211</v>
      </c>
      <c r="AE635" s="115">
        <f>SQRT((Tableau!$G$35-P635)^2+(Tableau!$H$35-Q635)^2)</f>
        <v>67586.444951478959</v>
      </c>
    </row>
    <row r="636" spans="2:31" x14ac:dyDescent="0.25">
      <c r="B636" s="20">
        <v>633</v>
      </c>
      <c r="C636" s="21">
        <f>Tableau!$G$17*COS(B636*PI()/180)+Tableau!$G$16</f>
        <v>20261.67978121472</v>
      </c>
      <c r="D636" s="21">
        <f>Tableau!$G$17*SIN(B636*PI()/180)+Tableau!$H$16</f>
        <v>2506.852326227131</v>
      </c>
      <c r="F636" s="28">
        <v>633</v>
      </c>
      <c r="G636" s="29">
        <f>Tableau!$G$26*COS(F636*PI()/180)+Tableau!$G$25</f>
        <v>-19816.824153149697</v>
      </c>
      <c r="H636" s="29">
        <f>Tableau!$G$26*SIN(F636*PI()/180)+Tableau!$H$25</f>
        <v>6504.7966283589922</v>
      </c>
      <c r="J636" s="36">
        <v>633</v>
      </c>
      <c r="K636" s="37">
        <f>Tableau!$G$36*COS(J636*PI()/180)+Tableau!$G$35</f>
        <v>-4738.3202187852812</v>
      </c>
      <c r="L636" s="37">
        <f>Tableau!$G$36*SIN(J636*PI()/180)+Tableau!$H$35</f>
        <v>-19993.14767377287</v>
      </c>
      <c r="N636" s="92">
        <v>632</v>
      </c>
      <c r="O636" s="93">
        <v>316</v>
      </c>
      <c r="P636" s="96">
        <f>P635+R635*Tableau!$G$2+((1/2)*T635)*Tableau!$G$2^2</f>
        <v>32603.674024343116</v>
      </c>
      <c r="Q636" s="96">
        <f>Q635+S635*Tableau!$G$2+((1/2)*U635)*Tableau!$G$2^2</f>
        <v>38098.725523233144</v>
      </c>
      <c r="R636" s="96">
        <f>R635+T635*Tableau!$G$2</f>
        <v>-5360.2847504706669</v>
      </c>
      <c r="S636" s="96">
        <f>S635+U635*Tableau!$G$2</f>
        <v>-2502.66582630424</v>
      </c>
      <c r="T636" s="96">
        <f t="shared" si="18"/>
        <v>-272.37741506523798</v>
      </c>
      <c r="U636" s="96">
        <f t="shared" si="19"/>
        <v>-508.53906719805116</v>
      </c>
      <c r="V636" s="96">
        <f>((Tableau!$G$16-P636)/(AC636^2+Tableau!$G$21^2)^(3/2))*Tableau!$G$20</f>
        <v>-159.72413821644963</v>
      </c>
      <c r="W636" s="96">
        <f>((Tableau!$H$16-Q636)/(AC636^2+Tableau!$G$21^2)^(3/2))*Tableau!$G$20</f>
        <v>-387.77225238295682</v>
      </c>
      <c r="X636" s="96">
        <f>((Tableau!$G$25-P636)/(AD636^2+Tableau!$G$30^2)^(3/2))*Tableau!$G$29</f>
        <v>-43.634214682559538</v>
      </c>
      <c r="Y636" s="96">
        <f>((Tableau!$H$25-Q636)/(AD636^2+Tableau!$G$30^2)^(3/2))*Tableau!$G$29</f>
        <v>-23.307608157173405</v>
      </c>
      <c r="Z636" s="96">
        <f>((Tableau!$G$35-P636)/(AE636^2+Tableau!$G$40^2)^(3/2))*Tableau!$G$39</f>
        <v>-69.019062166228849</v>
      </c>
      <c r="AA636" s="97">
        <f>((Tableau!$H$35-Q636)/(AE636^2+Tableau!$G$40^2)^(3/2))*Tableau!$G$39</f>
        <v>-97.459206657920987</v>
      </c>
      <c r="AC636" s="110">
        <f>SQRT((Tableau!$G$16-P636)^2+(Tableau!$H$16-Q636)^2)</f>
        <v>33092.817990586125</v>
      </c>
      <c r="AD636" s="111">
        <f>SQRT((Tableau!$G$25-P636)^2+(Tableau!$H$25-Q636)^2)</f>
        <v>59637.94846311654</v>
      </c>
      <c r="AE636" s="112">
        <f>SQRT((Tableau!$G$35-P636)^2+(Tableau!$H$35-Q636)^2)</f>
        <v>65065.435926617043</v>
      </c>
    </row>
    <row r="637" spans="2:31" x14ac:dyDescent="0.25">
      <c r="B637" s="18">
        <v>634</v>
      </c>
      <c r="C637" s="19">
        <f>Tableau!$G$17*COS(B637*PI()/180)+Tableau!$G$16</f>
        <v>20348.782368720629</v>
      </c>
      <c r="D637" s="19">
        <f>Tableau!$G$17*SIN(B637*PI()/180)+Tableau!$H$16</f>
        <v>2512.1797487008789</v>
      </c>
      <c r="F637" s="26">
        <v>634</v>
      </c>
      <c r="G637" s="27">
        <f>Tableau!$G$26*COS(F637*PI()/180)+Tableau!$G$25</f>
        <v>-19755.852341895559</v>
      </c>
      <c r="H637" s="27">
        <f>Tableau!$G$26*SIN(F637*PI()/180)+Tableau!$H$25</f>
        <v>6508.5258240906151</v>
      </c>
      <c r="J637" s="34">
        <v>634</v>
      </c>
      <c r="K637" s="35">
        <f>Tableau!$G$36*COS(J637*PI()/180)+Tableau!$G$35</f>
        <v>-4651.2176312793708</v>
      </c>
      <c r="L637" s="35">
        <f>Tableau!$G$36*SIN(J637*PI()/180)+Tableau!$H$35</f>
        <v>-19987.820251299119</v>
      </c>
      <c r="N637" s="98">
        <v>633</v>
      </c>
      <c r="O637" s="99">
        <v>316.5</v>
      </c>
      <c r="P637" s="101">
        <f>P636+R636*Tableau!$G$2+((1/2)*T636)*Tableau!$G$2^2</f>
        <v>29889.484472224627</v>
      </c>
      <c r="Q637" s="101">
        <f>Q636+S636*Tableau!$G$2+((1/2)*U636)*Tableau!$G$2^2</f>
        <v>36783.825226681271</v>
      </c>
      <c r="R637" s="101">
        <f>R636+T636*Tableau!$G$2</f>
        <v>-5496.4734580032855</v>
      </c>
      <c r="S637" s="101">
        <f>S636+U636*Tableau!$G$2</f>
        <v>-2756.9353599032656</v>
      </c>
      <c r="T637" s="101">
        <f t="shared" si="18"/>
        <v>-271.51868762985151</v>
      </c>
      <c r="U637" s="101">
        <f t="shared" si="19"/>
        <v>-580.3566042658091</v>
      </c>
      <c r="V637" s="101">
        <f>((Tableau!$G$16-P637)/(AC637^2+Tableau!$G$21^2)^(3/2))*Tableau!$G$20</f>
        <v>-151.03618515398307</v>
      </c>
      <c r="W637" s="101">
        <f>((Tableau!$H$16-Q637)/(AC637^2+Tableau!$G$21^2)^(3/2))*Tableau!$G$20</f>
        <v>-447.2343590180069</v>
      </c>
      <c r="X637" s="101">
        <f>((Tableau!$G$25-P637)/(AD637^2+Tableau!$G$30^2)^(3/2))*Tableau!$G$29</f>
        <v>-48.240126323676172</v>
      </c>
      <c r="Y637" s="101">
        <f>((Tableau!$H$25-Q637)/(AD637^2+Tableau!$G$30^2)^(3/2))*Tableau!$G$29</f>
        <v>-25.898345634052511</v>
      </c>
      <c r="Z637" s="101">
        <f>((Tableau!$G$35-P637)/(AE637^2+Tableau!$G$40^2)^(3/2))*Tableau!$G$39</f>
        <v>-72.242376152192278</v>
      </c>
      <c r="AA637" s="102">
        <f>((Tableau!$H$35-Q637)/(AE637^2+Tableau!$G$40^2)^(3/2))*Tableau!$G$39</f>
        <v>-107.22389961374968</v>
      </c>
      <c r="AC637" s="113">
        <f>SQRT((Tableau!$G$16-P637)^2+(Tableau!$H$16-Q637)^2)</f>
        <v>30908.644794509939</v>
      </c>
      <c r="AD637" s="114">
        <f>SQRT((Tableau!$G$25-P637)^2+(Tableau!$H$25-Q637)^2)</f>
        <v>56624.499597592476</v>
      </c>
      <c r="AE637" s="115">
        <f>SQRT((Tableau!$G$35-P637)^2+(Tableau!$H$35-Q637)^2)</f>
        <v>62440.697320298037</v>
      </c>
    </row>
    <row r="638" spans="2:31" x14ac:dyDescent="0.25">
      <c r="B638" s="20">
        <v>635</v>
      </c>
      <c r="C638" s="21">
        <f>Tableau!$G$17*COS(B638*PI()/180)+Tableau!$G$16</f>
        <v>20435.778713738287</v>
      </c>
      <c r="D638" s="21">
        <f>Tableau!$G$17*SIN(B638*PI()/180)+Tableau!$H$16</f>
        <v>2519.0265095412724</v>
      </c>
      <c r="F638" s="28">
        <v>635</v>
      </c>
      <c r="G638" s="29">
        <f>Tableau!$G$26*COS(F638*PI()/180)+Tableau!$G$25</f>
        <v>-19694.9549003832</v>
      </c>
      <c r="H638" s="29">
        <f>Tableau!$G$26*SIN(F638*PI()/180)+Tableau!$H$25</f>
        <v>6513.3185566788907</v>
      </c>
      <c r="J638" s="36">
        <v>635</v>
      </c>
      <c r="K638" s="37">
        <f>Tableau!$G$36*COS(J638*PI()/180)+Tableau!$G$35</f>
        <v>-4564.2212862617116</v>
      </c>
      <c r="L638" s="37">
        <f>Tableau!$G$36*SIN(J638*PI()/180)+Tableau!$H$35</f>
        <v>-19980.973490458728</v>
      </c>
      <c r="N638" s="92">
        <v>634</v>
      </c>
      <c r="O638" s="93">
        <v>317</v>
      </c>
      <c r="P638" s="96">
        <f>P637+R637*Tableau!$G$2+((1/2)*T637)*Tableau!$G$2^2</f>
        <v>27107.307907269256</v>
      </c>
      <c r="Q638" s="96">
        <f>Q637+S637*Tableau!$G$2+((1/2)*U637)*Tableau!$G$2^2</f>
        <v>35332.812971196414</v>
      </c>
      <c r="R638" s="96">
        <f>R637+T637*Tableau!$G$2</f>
        <v>-5632.2328018182116</v>
      </c>
      <c r="S638" s="96">
        <f>S637+U637*Tableau!$G$2</f>
        <v>-3047.1136620361704</v>
      </c>
      <c r="T638" s="96">
        <f t="shared" si="18"/>
        <v>-261.93053661558099</v>
      </c>
      <c r="U638" s="96">
        <f t="shared" si="19"/>
        <v>-665.66436940682536</v>
      </c>
      <c r="V638" s="96">
        <f>((Tableau!$G$16-P638)/(AC638^2+Tableau!$G$21^2)^(3/2))*Tableau!$G$20</f>
        <v>-132.24062388798112</v>
      </c>
      <c r="W638" s="96">
        <f>((Tableau!$H$16-Q638)/(AC638^2+Tableau!$G$21^2)^(3/2))*Tableau!$G$20</f>
        <v>-517.86535772623699</v>
      </c>
      <c r="X638" s="96">
        <f>((Tableau!$G$25-P638)/(AD638^2+Tableau!$G$30^2)^(3/2))*Tableau!$G$29</f>
        <v>-53.898310734813812</v>
      </c>
      <c r="Y638" s="96">
        <f>((Tableau!$H$25-Q638)/(AD638^2+Tableau!$G$30^2)^(3/2))*Tableau!$G$29</f>
        <v>-28.984798451999175</v>
      </c>
      <c r="Z638" s="96">
        <f>((Tableau!$G$35-P638)/(AE638^2+Tableau!$G$40^2)^(3/2))*Tableau!$G$39</f>
        <v>-75.791601992786056</v>
      </c>
      <c r="AA638" s="97">
        <f>((Tableau!$H$35-Q638)/(AE638^2+Tableau!$G$40^2)^(3/2))*Tableau!$G$39</f>
        <v>-118.81421322858921</v>
      </c>
      <c r="AC638" s="110">
        <f>SQRT((Tableau!$G$16-P638)^2+(Tableau!$H$16-Q638)^2)</f>
        <v>28725.93433777797</v>
      </c>
      <c r="AD638" s="111">
        <f>SQRT((Tableau!$G$25-P638)^2+(Tableau!$H$25-Q638)^2)</f>
        <v>53486.913084453568</v>
      </c>
      <c r="AE638" s="112">
        <f>SQRT((Tableau!$G$35-P638)^2+(Tableau!$H$35-Q638)^2)</f>
        <v>59701.518260808356</v>
      </c>
    </row>
    <row r="639" spans="2:31" x14ac:dyDescent="0.25">
      <c r="B639" s="18">
        <v>636</v>
      </c>
      <c r="C639" s="19">
        <f>Tableau!$G$17*COS(B639*PI()/180)+Tableau!$G$16</f>
        <v>20522.642316338268</v>
      </c>
      <c r="D639" s="19">
        <f>Tableau!$G$17*SIN(B639*PI()/180)+Tableau!$H$16</f>
        <v>2527.3905231586332</v>
      </c>
      <c r="F639" s="26">
        <v>636</v>
      </c>
      <c r="G639" s="27">
        <f>Tableau!$G$26*COS(F639*PI()/180)+Tableau!$G$25</f>
        <v>-19634.150378563212</v>
      </c>
      <c r="H639" s="27">
        <f>Tableau!$G$26*SIN(F639*PI()/180)+Tableau!$H$25</f>
        <v>6519.1733662110437</v>
      </c>
      <c r="J639" s="34">
        <v>636</v>
      </c>
      <c r="K639" s="35">
        <f>Tableau!$G$36*COS(J639*PI()/180)+Tableau!$G$35</f>
        <v>-4477.3576836617322</v>
      </c>
      <c r="L639" s="35">
        <f>Tableau!$G$36*SIN(J639*PI()/180)+Tableau!$H$35</f>
        <v>-19972.609476841368</v>
      </c>
      <c r="N639" s="98">
        <v>635</v>
      </c>
      <c r="O639" s="99">
        <v>317.5</v>
      </c>
      <c r="P639" s="101">
        <f>P638+R638*Tableau!$G$2+((1/2)*T638)*Tableau!$G$2^2</f>
        <v>24258.450189283205</v>
      </c>
      <c r="Q639" s="101">
        <f>Q638+S638*Tableau!$G$2+((1/2)*U638)*Tableau!$G$2^2</f>
        <v>33726.048094002479</v>
      </c>
      <c r="R639" s="101">
        <f>R638+T638*Tableau!$G$2</f>
        <v>-5763.1980701260018</v>
      </c>
      <c r="S639" s="101">
        <f>S638+U638*Tableau!$G$2</f>
        <v>-3379.945846739583</v>
      </c>
      <c r="T639" s="101">
        <f t="shared" si="18"/>
        <v>-238.14813338242277</v>
      </c>
      <c r="U639" s="101">
        <f t="shared" si="19"/>
        <v>-765.61660029876464</v>
      </c>
      <c r="V639" s="101">
        <f>((Tableau!$G$16-P639)/(AC639^2+Tableau!$G$21^2)^(3/2))*Tableau!$G$20</f>
        <v>-97.453205822694187</v>
      </c>
      <c r="W639" s="101">
        <f>((Tableau!$H$16-Q639)/(AC639^2+Tableau!$G$21^2)^(3/2))*Tableau!$G$20</f>
        <v>-600.17432380743719</v>
      </c>
      <c r="X639" s="101">
        <f>((Tableau!$G$25-P639)/(AD639^2+Tableau!$G$30^2)^(3/2))*Tableau!$G$29</f>
        <v>-60.982157222537211</v>
      </c>
      <c r="Y639" s="101">
        <f>((Tableau!$H$25-Q639)/(AD639^2+Tableau!$G$30^2)^(3/2))*Tableau!$G$29</f>
        <v>-32.691284691398529</v>
      </c>
      <c r="Z639" s="101">
        <f>((Tableau!$G$35-P639)/(AE639^2+Tableau!$G$40^2)^(3/2))*Tableau!$G$39</f>
        <v>-79.712770337191401</v>
      </c>
      <c r="AA639" s="102">
        <f>((Tableau!$H$35-Q639)/(AE639^2+Tableau!$G$40^2)^(3/2))*Tableau!$G$39</f>
        <v>-132.7509917999289</v>
      </c>
      <c r="AC639" s="113">
        <f>SQRT((Tableau!$G$16-P639)^2+(Tableau!$H$16-Q639)^2)</f>
        <v>26569.531359125194</v>
      </c>
      <c r="AD639" s="114">
        <f>SQRT((Tableau!$G$25-P639)^2+(Tableau!$H$25-Q639)^2)</f>
        <v>50216.887312100313</v>
      </c>
      <c r="AE639" s="115">
        <f>SQRT((Tableau!$G$35-P639)^2+(Tableau!$H$35-Q639)^2)</f>
        <v>56835.593340245941</v>
      </c>
    </row>
    <row r="640" spans="2:31" x14ac:dyDescent="0.25">
      <c r="B640" s="20">
        <v>637</v>
      </c>
      <c r="C640" s="21">
        <f>Tableau!$G$17*COS(B640*PI()/180)+Tableau!$G$16</f>
        <v>20609.346717025732</v>
      </c>
      <c r="D640" s="21">
        <f>Tableau!$G$17*SIN(B640*PI()/180)+Tableau!$H$16</f>
        <v>2537.2692417933895</v>
      </c>
      <c r="F640" s="28">
        <v>637</v>
      </c>
      <c r="G640" s="29">
        <f>Tableau!$G$26*COS(F640*PI()/180)+Tableau!$G$25</f>
        <v>-19573.457298081987</v>
      </c>
      <c r="H640" s="29">
        <f>Tableau!$G$26*SIN(F640*PI()/180)+Tableau!$H$25</f>
        <v>6526.0884692553727</v>
      </c>
      <c r="J640" s="36">
        <v>637</v>
      </c>
      <c r="K640" s="37">
        <f>Tableau!$G$36*COS(J640*PI()/180)+Tableau!$G$35</f>
        <v>-4390.6532829742673</v>
      </c>
      <c r="L640" s="37">
        <f>Tableau!$G$36*SIN(J640*PI()/180)+Tableau!$H$35</f>
        <v>-19962.73075820661</v>
      </c>
      <c r="N640" s="92">
        <v>636</v>
      </c>
      <c r="O640" s="93">
        <v>318</v>
      </c>
      <c r="P640" s="96">
        <f>P639+R639*Tableau!$G$2+((1/2)*T639)*Tableau!$G$2^2</f>
        <v>21347.082637547399</v>
      </c>
      <c r="Q640" s="96">
        <f>Q639+S639*Tableau!$G$2+((1/2)*U639)*Tableau!$G$2^2</f>
        <v>31940.373095595343</v>
      </c>
      <c r="R640" s="96">
        <f>R639+T639*Tableau!$G$2</f>
        <v>-5882.2721368172133</v>
      </c>
      <c r="S640" s="96">
        <f>S639+U639*Tableau!$G$2</f>
        <v>-3762.7541468889654</v>
      </c>
      <c r="T640" s="96">
        <f t="shared" si="18"/>
        <v>-192.25674541329818</v>
      </c>
      <c r="U640" s="96">
        <f t="shared" si="19"/>
        <v>-879.16319893613536</v>
      </c>
      <c r="V640" s="96">
        <f>((Tableau!$G$16-P640)/(AC640^2+Tableau!$G$21^2)^(3/2))*Tableau!$G$20</f>
        <v>-38.154046816604222</v>
      </c>
      <c r="W640" s="96">
        <f>((Tableau!$H$16-Q640)/(AC640^2+Tableau!$G$21^2)^(3/2))*Tableau!$G$20</f>
        <v>-692.2360316382651</v>
      </c>
      <c r="X640" s="96">
        <f>((Tableau!$G$25-P640)/(AD640^2+Tableau!$G$30^2)^(3/2))*Tableau!$G$29</f>
        <v>-70.044955996313476</v>
      </c>
      <c r="Y640" s="96">
        <f>((Tableau!$H$25-Q640)/(AD640^2+Tableau!$G$30^2)^(3/2))*Tableau!$G$29</f>
        <v>-37.168582883961257</v>
      </c>
      <c r="Z640" s="96">
        <f>((Tableau!$G$35-P640)/(AE640^2+Tableau!$G$40^2)^(3/2))*Tableau!$G$39</f>
        <v>-84.057742600380465</v>
      </c>
      <c r="AA640" s="97">
        <f>((Tableau!$H$35-Q640)/(AE640^2+Tableau!$G$40^2)^(3/2))*Tableau!$G$39</f>
        <v>-149.75858441390898</v>
      </c>
      <c r="AC640" s="110">
        <f>SQRT((Tableau!$G$16-P640)^2+(Tableau!$H$16-Q640)^2)</f>
        <v>24477.468592243815</v>
      </c>
      <c r="AD640" s="111">
        <f>SQRT((Tableau!$G$25-P640)^2+(Tableau!$H$25-Q640)^2)</f>
        <v>46807.704645817626</v>
      </c>
      <c r="AE640" s="112">
        <f>SQRT((Tableau!$G$35-P640)^2+(Tableau!$H$35-Q640)^2)</f>
        <v>53829.057114753945</v>
      </c>
    </row>
    <row r="641" spans="2:31" x14ac:dyDescent="0.25">
      <c r="B641" s="18">
        <v>638</v>
      </c>
      <c r="C641" s="19">
        <f>Tableau!$G$17*COS(B641*PI()/180)+Tableau!$G$16</f>
        <v>20695.865504800327</v>
      </c>
      <c r="D641" s="19">
        <f>Tableau!$G$17*SIN(B641*PI()/180)+Tableau!$H$16</f>
        <v>2548.6596562921486</v>
      </c>
      <c r="F641" s="26">
        <v>638</v>
      </c>
      <c r="G641" s="27">
        <f>Tableau!$G$26*COS(F641*PI()/180)+Tableau!$G$25</f>
        <v>-19512.89414663977</v>
      </c>
      <c r="H641" s="27">
        <f>Tableau!$G$26*SIN(F641*PI()/180)+Tableau!$H$25</f>
        <v>6534.0617594045034</v>
      </c>
      <c r="J641" s="34">
        <v>638</v>
      </c>
      <c r="K641" s="35">
        <f>Tableau!$G$36*COS(J641*PI()/180)+Tableau!$G$35</f>
        <v>-4304.1344951996743</v>
      </c>
      <c r="L641" s="35">
        <f>Tableau!$G$36*SIN(J641*PI()/180)+Tableau!$H$35</f>
        <v>-19951.340343707852</v>
      </c>
      <c r="N641" s="98">
        <v>637</v>
      </c>
      <c r="O641" s="99">
        <v>318.5</v>
      </c>
      <c r="P641" s="101">
        <f>P640+R640*Tableau!$G$2+((1/2)*T640)*Tableau!$G$2^2</f>
        <v>18381.91447596213</v>
      </c>
      <c r="Q641" s="101">
        <f>Q640+S640*Tableau!$G$2+((1/2)*U640)*Tableau!$G$2^2</f>
        <v>29949.10062228384</v>
      </c>
      <c r="R641" s="101">
        <f>R640+T640*Tableau!$G$2</f>
        <v>-5978.4005095238626</v>
      </c>
      <c r="S641" s="101">
        <f>S640+U640*Tableau!$G$2</f>
        <v>-4202.3357463570328</v>
      </c>
      <c r="T641" s="101">
        <f t="shared" si="18"/>
        <v>-114.0961982735802</v>
      </c>
      <c r="U641" s="101">
        <f t="shared" si="19"/>
        <v>-1000.2470601738795</v>
      </c>
      <c r="V641" s="101">
        <f>((Tableau!$G$16-P641)/(AC641^2+Tableau!$G$21^2)^(3/2))*Tableau!$G$20</f>
        <v>56.711041288708387</v>
      </c>
      <c r="W641" s="101">
        <f>((Tableau!$H$16-Q641)/(AC641^2+Tableau!$G$21^2)^(3/2))*Tableau!$G$20</f>
        <v>-786.80134848973046</v>
      </c>
      <c r="X641" s="101">
        <f>((Tableau!$G$25-P641)/(AD641^2+Tableau!$G$30^2)^(3/2))*Tableau!$G$29</f>
        <v>-81.925805607246318</v>
      </c>
      <c r="Y641" s="101">
        <f>((Tableau!$H$25-Q641)/(AD641^2+Tableau!$G$30^2)^(3/2))*Tableau!$G$29</f>
        <v>-42.581152137269825</v>
      </c>
      <c r="Z641" s="101">
        <f>((Tableau!$G$35-P641)/(AE641^2+Tableau!$G$40^2)^(3/2))*Tableau!$G$39</f>
        <v>-88.881433955042269</v>
      </c>
      <c r="AA641" s="102">
        <f>((Tableau!$H$35-Q641)/(AE641^2+Tableau!$G$40^2)^(3/2))*Tableau!$G$39</f>
        <v>-170.86455954687929</v>
      </c>
      <c r="AC641" s="113">
        <f>SQRT((Tableau!$G$16-P641)^2+(Tableau!$H$16-Q641)^2)</f>
        <v>22507.339236625143</v>
      </c>
      <c r="AD641" s="114">
        <f>SQRT((Tableau!$G$25-P641)^2+(Tableau!$H$25-Q641)^2)</f>
        <v>43256.652372531978</v>
      </c>
      <c r="AE641" s="115">
        <f>SQRT((Tableau!$G$35-P641)^2+(Tableau!$H$35-Q641)^2)</f>
        <v>50666.908049666941</v>
      </c>
    </row>
    <row r="642" spans="2:31" x14ac:dyDescent="0.25">
      <c r="B642" s="20">
        <v>639</v>
      </c>
      <c r="C642" s="21">
        <f>Tableau!$G$17*COS(B642*PI()/180)+Tableau!$G$16</f>
        <v>20782.172325201147</v>
      </c>
      <c r="D642" s="21">
        <f>Tableau!$G$17*SIN(B642*PI()/180)+Tableau!$H$16</f>
        <v>2561.5582970243104</v>
      </c>
      <c r="F642" s="28">
        <v>639</v>
      </c>
      <c r="G642" s="29">
        <f>Tableau!$G$26*COS(F642*PI()/180)+Tableau!$G$25</f>
        <v>-19452.479372359197</v>
      </c>
      <c r="H642" s="29">
        <f>Tableau!$G$26*SIN(F642*PI()/180)+Tableau!$H$25</f>
        <v>6543.0908079170176</v>
      </c>
      <c r="J642" s="36">
        <v>639</v>
      </c>
      <c r="K642" s="37">
        <f>Tableau!$G$36*COS(J642*PI()/180)+Tableau!$G$35</f>
        <v>-4217.8276747988521</v>
      </c>
      <c r="L642" s="37">
        <f>Tableau!$G$36*SIN(J642*PI()/180)+Tableau!$H$35</f>
        <v>-19938.441702975688</v>
      </c>
      <c r="N642" s="92">
        <v>638</v>
      </c>
      <c r="O642" s="93">
        <v>319</v>
      </c>
      <c r="P642" s="96">
        <f>P641+R641*Tableau!$G$2+((1/2)*T641)*Tableau!$G$2^2</f>
        <v>15378.452196416003</v>
      </c>
      <c r="Q642" s="96">
        <f>Q641+S641*Tableau!$G$2+((1/2)*U641)*Tableau!$G$2^2</f>
        <v>27722.901866583587</v>
      </c>
      <c r="R642" s="96">
        <f>R641+T641*Tableau!$G$2</f>
        <v>-6035.448608660653</v>
      </c>
      <c r="S642" s="96">
        <f>S641+U641*Tableau!$G$2</f>
        <v>-4702.4592764439722</v>
      </c>
      <c r="T642" s="96">
        <f t="shared" si="18"/>
        <v>5.9867235152737095</v>
      </c>
      <c r="U642" s="96">
        <f t="shared" si="19"/>
        <v>-1113.6303724973245</v>
      </c>
      <c r="V642" s="96">
        <f>((Tableau!$G$16-P642)/(AC642^2+Tableau!$G$21^2)^(3/2))*Tableau!$G$20</f>
        <v>198.14064816545238</v>
      </c>
      <c r="W642" s="96">
        <f>((Tableau!$H$16-Q642)/(AC642^2+Tableau!$G$21^2)^(3/2))*Tableau!$G$20</f>
        <v>-867.02097520744201</v>
      </c>
      <c r="X642" s="96">
        <f>((Tableau!$G$25-P642)/(AD642^2+Tableau!$G$30^2)^(3/2))*Tableau!$G$29</f>
        <v>-97.921763601430001</v>
      </c>
      <c r="Y642" s="96">
        <f>((Tableau!$H$25-Q642)/(AD642^2+Tableau!$G$30^2)^(3/2))*Tableau!$G$29</f>
        <v>-49.05409081425983</v>
      </c>
      <c r="Z642" s="96">
        <f>((Tableau!$G$35-P642)/(AE642^2+Tableau!$G$40^2)^(3/2))*Tableau!$G$39</f>
        <v>-94.232161048748665</v>
      </c>
      <c r="AA642" s="97">
        <f>((Tableau!$H$35-Q642)/(AE642^2+Tableau!$G$40^2)^(3/2))*Tableau!$G$39</f>
        <v>-197.5553064756227</v>
      </c>
      <c r="AC642" s="110">
        <f>SQRT((Tableau!$G$16-P642)^2+(Tableau!$H$16-Q642)^2)</f>
        <v>20744.263399944623</v>
      </c>
      <c r="AD642" s="111">
        <f>SQRT((Tableau!$G$25-P642)^2+(Tableau!$H$25-Q642)^2)</f>
        <v>39569.383750402834</v>
      </c>
      <c r="AE642" s="112">
        <f>SQRT((Tableau!$G$35-P642)^2+(Tableau!$H$35-Q642)^2)</f>
        <v>47334.212339737351</v>
      </c>
    </row>
    <row r="643" spans="2:31" x14ac:dyDescent="0.25">
      <c r="B643" s="18">
        <v>640</v>
      </c>
      <c r="C643" s="19">
        <f>Tableau!$G$17*COS(B643*PI()/180)+Tableau!$G$16</f>
        <v>20868.240888334647</v>
      </c>
      <c r="D643" s="19">
        <f>Tableau!$G$17*SIN(B643*PI()/180)+Tableau!$H$16</f>
        <v>2575.961234938959</v>
      </c>
      <c r="F643" s="26">
        <v>640</v>
      </c>
      <c r="G643" s="27">
        <f>Tableau!$G$26*COS(F643*PI()/180)+Tableau!$G$25</f>
        <v>-19392.231378165747</v>
      </c>
      <c r="H643" s="27">
        <f>Tableau!$G$26*SIN(F643*PI()/180)+Tableau!$H$25</f>
        <v>6553.1728644572713</v>
      </c>
      <c r="J643" s="34">
        <v>640</v>
      </c>
      <c r="K643" s="35">
        <f>Tableau!$G$36*COS(J643*PI()/180)+Tableau!$G$35</f>
        <v>-4131.7591116653512</v>
      </c>
      <c r="L643" s="35">
        <f>Tableau!$G$36*SIN(J643*PI()/180)+Tableau!$H$35</f>
        <v>-19924.038765061043</v>
      </c>
      <c r="N643" s="98">
        <v>639</v>
      </c>
      <c r="O643" s="99">
        <v>319.5</v>
      </c>
      <c r="P643" s="101">
        <f>P642+R642*Tableau!$G$2+((1/2)*T642)*Tableau!$G$2^2</f>
        <v>12361.476232525087</v>
      </c>
      <c r="Q643" s="101">
        <f>Q642+S642*Tableau!$G$2+((1/2)*U642)*Tableau!$G$2^2</f>
        <v>25232.468431799436</v>
      </c>
      <c r="R643" s="101">
        <f>R642+T642*Tableau!$G$2</f>
        <v>-6032.4552469030159</v>
      </c>
      <c r="S643" s="101">
        <f>S642+U642*Tableau!$G$2</f>
        <v>-5259.2744626926342</v>
      </c>
      <c r="T643" s="101">
        <f t="shared" si="18"/>
        <v>168.87509855956665</v>
      </c>
      <c r="U643" s="101">
        <f t="shared" si="19"/>
        <v>-1191.6979756418714</v>
      </c>
      <c r="V643" s="101">
        <f>((Tableau!$G$16-P643)/(AC643^2+Tableau!$G$21^2)^(3/2))*Tableau!$G$20</f>
        <v>389.05329940498353</v>
      </c>
      <c r="W643" s="101">
        <f>((Tableau!$H$16-Q643)/(AC643^2+Tableau!$G$21^2)^(3/2))*Tableau!$G$20</f>
        <v>-903.16866975814412</v>
      </c>
      <c r="X643" s="101">
        <f>((Tableau!$G$25-P643)/(AD643^2+Tableau!$G$30^2)^(3/2))*Tableau!$G$29</f>
        <v>-120.05496460912806</v>
      </c>
      <c r="Y643" s="101">
        <f>((Tableau!$H$25-Q643)/(AD643^2+Tableau!$G$30^2)^(3/2))*Tableau!$G$29</f>
        <v>-56.509580877876111</v>
      </c>
      <c r="Z643" s="101">
        <f>((Tableau!$G$35-P643)/(AE643^2+Tableau!$G$40^2)^(3/2))*Tableau!$G$39</f>
        <v>-100.12323623628886</v>
      </c>
      <c r="AA643" s="102">
        <f>((Tableau!$H$35-Q643)/(AE643^2+Tableau!$G$40^2)^(3/2))*Tableau!$G$39</f>
        <v>-232.01972500585106</v>
      </c>
      <c r="AC643" s="113">
        <f>SQRT((Tableau!$G$16-P643)^2+(Tableau!$H$16-Q643)^2)</f>
        <v>19307.70525026324</v>
      </c>
      <c r="AD643" s="114">
        <f>SQRT((Tableau!$G$25-P643)^2+(Tableau!$H$25-Q643)^2)</f>
        <v>35767.208983565557</v>
      </c>
      <c r="AE643" s="115">
        <f>SQRT((Tableau!$G$35-P643)^2+(Tableau!$H$35-Q643)^2)</f>
        <v>43818.630433735285</v>
      </c>
    </row>
    <row r="644" spans="2:31" x14ac:dyDescent="0.25">
      <c r="B644" s="20">
        <v>641</v>
      </c>
      <c r="C644" s="21">
        <f>Tableau!$G$17*COS(B644*PI()/180)+Tableau!$G$16</f>
        <v>20954.044976882724</v>
      </c>
      <c r="D644" s="21">
        <f>Tableau!$G$17*SIN(B644*PI()/180)+Tableau!$H$16</f>
        <v>2591.86408276168</v>
      </c>
      <c r="F644" s="28">
        <v>641</v>
      </c>
      <c r="G644" s="29">
        <f>Tableau!$G$26*COS(F644*PI()/180)+Tableau!$G$25</f>
        <v>-19332.168516182093</v>
      </c>
      <c r="H644" s="29">
        <f>Tableau!$G$26*SIN(F644*PI()/180)+Tableau!$H$25</f>
        <v>6564.3048579331762</v>
      </c>
      <c r="J644" s="36">
        <v>641</v>
      </c>
      <c r="K644" s="37">
        <f>Tableau!$G$36*COS(J644*PI()/180)+Tableau!$G$35</f>
        <v>-4045.9550231172757</v>
      </c>
      <c r="L644" s="37">
        <f>Tableau!$G$36*SIN(J644*PI()/180)+Tableau!$H$35</f>
        <v>-19908.13591723832</v>
      </c>
      <c r="N644" s="92">
        <v>640</v>
      </c>
      <c r="O644" s="93">
        <v>320</v>
      </c>
      <c r="P644" s="96">
        <f>P643+R643*Tableau!$G$2+((1/2)*T643)*Tableau!$G$2^2</f>
        <v>9366.3579963935244</v>
      </c>
      <c r="Q644" s="96">
        <f>Q643+S643*Tableau!$G$2+((1/2)*U643)*Tableau!$G$2^2</f>
        <v>22453.868953497884</v>
      </c>
      <c r="R644" s="96">
        <f>R643+T643*Tableau!$G$2</f>
        <v>-5948.0176976232324</v>
      </c>
      <c r="S644" s="96">
        <f>S643+U643*Tableau!$G$2</f>
        <v>-5855.1234505135699</v>
      </c>
      <c r="T644" s="96">
        <f t="shared" ref="T644:T707" si="20">V644+X644+Z644</f>
        <v>352.23821964517253</v>
      </c>
      <c r="U644" s="96">
        <f t="shared" ref="U644:U707" si="21">W644+Y644+AA644</f>
        <v>-1199.7531909541372</v>
      </c>
      <c r="V644" s="96">
        <f>((Tableau!$G$16-P644)/(AC644^2+Tableau!$G$21^2)^(3/2))*Tableau!$G$20</f>
        <v>610.12244160196917</v>
      </c>
      <c r="W644" s="96">
        <f>((Tableau!$H$16-Q644)/(AC644^2+Tableau!$G$21^2)^(3/2))*Tableau!$G$20</f>
        <v>-858.00246370995455</v>
      </c>
      <c r="X644" s="96">
        <f>((Tableau!$G$25-P644)/(AD644^2+Tableau!$G$30^2)^(3/2))*Tableau!$G$29</f>
        <v>-151.43024948991652</v>
      </c>
      <c r="Y644" s="96">
        <f>((Tableau!$H$25-Q644)/(AD644^2+Tableau!$G$30^2)^(3/2))*Tableau!$G$29</f>
        <v>-64.219488265263138</v>
      </c>
      <c r="Z644" s="96">
        <f>((Tableau!$G$35-P644)/(AE644^2+Tableau!$G$40^2)^(3/2))*Tableau!$G$39</f>
        <v>-106.45397246688013</v>
      </c>
      <c r="AA644" s="97">
        <f>((Tableau!$H$35-Q644)/(AE644^2+Tableau!$G$40^2)^(3/2))*Tableau!$G$39</f>
        <v>-277.53123897891936</v>
      </c>
      <c r="AC644" s="110">
        <f>SQRT((Tableau!$G$16-P644)^2+(Tableau!$H$16-Q644)^2)</f>
        <v>18349.183604162117</v>
      </c>
      <c r="AD644" s="111">
        <f>SQRT((Tableau!$G$25-P644)^2+(Tableau!$H$25-Q644)^2)</f>
        <v>31897.99106343916</v>
      </c>
      <c r="AE644" s="112">
        <f>SQRT((Tableau!$G$35-P644)^2+(Tableau!$H$35-Q644)^2)</f>
        <v>40114.642484588258</v>
      </c>
    </row>
    <row r="645" spans="2:31" x14ac:dyDescent="0.25">
      <c r="B645" s="18">
        <v>642</v>
      </c>
      <c r="C645" s="19">
        <f>Tableau!$G$17*COS(B645*PI()/180)+Tableau!$G$16</f>
        <v>21039.55845408879</v>
      </c>
      <c r="D645" s="19">
        <f>Tableau!$G$17*SIN(B645*PI()/180)+Tableau!$H$16</f>
        <v>2609.2619963309708</v>
      </c>
      <c r="F645" s="26">
        <v>642</v>
      </c>
      <c r="G645" s="27">
        <f>Tableau!$G$26*COS(F645*PI()/180)+Tableau!$G$25</f>
        <v>-19272.309082137846</v>
      </c>
      <c r="H645" s="27">
        <f>Tableau!$G$26*SIN(F645*PI()/180)+Tableau!$H$25</f>
        <v>6576.4833974316798</v>
      </c>
      <c r="J645" s="34">
        <v>642</v>
      </c>
      <c r="K645" s="35">
        <f>Tableau!$G$36*COS(J645*PI()/180)+Tableau!$G$35</f>
        <v>-3960.4415459112083</v>
      </c>
      <c r="L645" s="35">
        <f>Tableau!$G$36*SIN(J645*PI()/180)+Tableau!$H$35</f>
        <v>-19890.73800366903</v>
      </c>
      <c r="N645" s="98">
        <v>641</v>
      </c>
      <c r="O645" s="99">
        <v>320.5</v>
      </c>
      <c r="P645" s="101">
        <f>P644+R644*Tableau!$G$2+((1/2)*T644)*Tableau!$G$2^2</f>
        <v>6436.3789250375548</v>
      </c>
      <c r="Q645" s="101">
        <f>Q644+S644*Tableau!$G$2+((1/2)*U644)*Tableau!$G$2^2</f>
        <v>19376.338079371832</v>
      </c>
      <c r="R645" s="101">
        <f>R644+T644*Tableau!$G$2</f>
        <v>-5771.8985878006461</v>
      </c>
      <c r="S645" s="101">
        <f>S644+U644*Tableau!$G$2</f>
        <v>-6455.0000459906387</v>
      </c>
      <c r="T645" s="101">
        <f t="shared" si="20"/>
        <v>501.22858492334865</v>
      </c>
      <c r="U645" s="101">
        <f t="shared" si="21"/>
        <v>-1118.4307759717674</v>
      </c>
      <c r="V645" s="101">
        <f>((Tableau!$G$16-P645)/(AC645^2+Tableau!$G$21^2)^(3/2))*Tableau!$G$20</f>
        <v>810.51566227522926</v>
      </c>
      <c r="W645" s="101">
        <f>((Tableau!$H$16-Q645)/(AC645^2+Tableau!$G$21^2)^(3/2))*Tableau!$G$20</f>
        <v>-709.68939419691333</v>
      </c>
      <c r="X645" s="101">
        <f>((Tableau!$G$25-P645)/(AD645^2+Tableau!$G$30^2)^(3/2))*Tableau!$G$29</f>
        <v>-196.4910796095412</v>
      </c>
      <c r="Y645" s="101">
        <f>((Tableau!$H$25-Q645)/(AD645^2+Tableau!$G$30^2)^(3/2))*Tableau!$G$29</f>
        <v>-69.690588004658281</v>
      </c>
      <c r="Z645" s="101">
        <f>((Tableau!$G$35-P645)/(AE645^2+Tableau!$G$40^2)^(3/2))*Tableau!$G$39</f>
        <v>-112.79599774233944</v>
      </c>
      <c r="AA645" s="102">
        <f>((Tableau!$H$35-Q645)/(AE645^2+Tableau!$G$40^2)^(3/2))*Tableau!$G$39</f>
        <v>-339.05079377019587</v>
      </c>
      <c r="AC645" s="113">
        <f>SQRT((Tableau!$G$16-P645)^2+(Tableau!$H$16-Q645)^2)</f>
        <v>18028.289515112152</v>
      </c>
      <c r="AD645" s="114">
        <f>SQRT((Tableau!$G$25-P645)^2+(Tableau!$H$25-Q645)^2)</f>
        <v>28049.917048840773</v>
      </c>
      <c r="AE645" s="115">
        <f>SQRT((Tableau!$G$35-P645)^2+(Tableau!$H$35-Q645)^2)</f>
        <v>36228.764575462868</v>
      </c>
    </row>
    <row r="646" spans="2:31" x14ac:dyDescent="0.25">
      <c r="B646" s="20">
        <v>643</v>
      </c>
      <c r="C646" s="21">
        <f>Tableau!$G$17*COS(B646*PI()/180)+Tableau!$G$16</f>
        <v>21124.755271719325</v>
      </c>
      <c r="D646" s="21">
        <f>Tableau!$G$17*SIN(B646*PI()/180)+Tableau!$H$16</f>
        <v>2628.1496760738228</v>
      </c>
      <c r="F646" s="28">
        <v>643</v>
      </c>
      <c r="G646" s="29">
        <f>Tableau!$G$26*COS(F646*PI()/180)+Tableau!$G$25</f>
        <v>-19212.671309796475</v>
      </c>
      <c r="H646" s="29">
        <f>Tableau!$G$26*SIN(F646*PI()/180)+Tableau!$H$25</f>
        <v>6589.7047732516767</v>
      </c>
      <c r="J646" s="36">
        <v>643</v>
      </c>
      <c r="K646" s="37">
        <f>Tableau!$G$36*COS(J646*PI()/180)+Tableau!$G$35</f>
        <v>-3875.2447282806766</v>
      </c>
      <c r="L646" s="37">
        <f>Tableau!$G$36*SIN(J646*PI()/180)+Tableau!$H$35</f>
        <v>-19871.850323926177</v>
      </c>
      <c r="N646" s="92">
        <v>642</v>
      </c>
      <c r="O646" s="93">
        <v>321</v>
      </c>
      <c r="P646" s="96">
        <f>P645+R645*Tableau!$G$2+((1/2)*T645)*Tableau!$G$2^2</f>
        <v>3613.0832042526504</v>
      </c>
      <c r="Q646" s="96">
        <f>Q645+S645*Tableau!$G$2+((1/2)*U645)*Tableau!$G$2^2</f>
        <v>16009.034209380043</v>
      </c>
      <c r="R646" s="96">
        <f>R645+T645*Tableau!$G$2</f>
        <v>-5521.2842953389718</v>
      </c>
      <c r="S646" s="96">
        <f>S645+U645*Tableau!$G$2</f>
        <v>-7014.215433976522</v>
      </c>
      <c r="T646" s="96">
        <f t="shared" si="20"/>
        <v>548.58167906184849</v>
      </c>
      <c r="U646" s="96">
        <f t="shared" si="21"/>
        <v>-971.6225500682815</v>
      </c>
      <c r="V646" s="96">
        <f>((Tableau!$G$16-P646)/(AC646^2+Tableau!$G$21^2)^(3/2))*Tableau!$G$20</f>
        <v>926.68993642462863</v>
      </c>
      <c r="W646" s="96">
        <f>((Tableau!$H$16-Q646)/(AC646^2+Tableau!$G$21^2)^(3/2))*Tableau!$G$20</f>
        <v>-481.19096891806504</v>
      </c>
      <c r="X646" s="96">
        <f>((Tableau!$G$25-P646)/(AD646^2+Tableau!$G$30^2)^(3/2))*Tableau!$G$29</f>
        <v>-260.2837093701196</v>
      </c>
      <c r="Y646" s="96">
        <f>((Tableau!$H$25-Q646)/(AD646^2+Tableau!$G$30^2)^(3/2))*Tableau!$G$29</f>
        <v>-66.236742581235632</v>
      </c>
      <c r="Z646" s="96">
        <f>((Tableau!$G$35-P646)/(AE646^2+Tableau!$G$40^2)^(3/2))*Tableau!$G$39</f>
        <v>-117.82454799266058</v>
      </c>
      <c r="AA646" s="97">
        <f>((Tableau!$H$35-Q646)/(AE646^2+Tableau!$G$40^2)^(3/2))*Tableau!$G$39</f>
        <v>-424.19483856898074</v>
      </c>
      <c r="AC646" s="110">
        <f>SQRT((Tableau!$G$16-P646)^2+(Tableau!$H$16-Q646)^2)</f>
        <v>18464.417273424755</v>
      </c>
      <c r="AD646" s="111">
        <f>SQRT((Tableau!$G$25-P646)^2+(Tableau!$H$25-Q646)^2)</f>
        <v>24365.676484359268</v>
      </c>
      <c r="AE646" s="112">
        <f>SQRT((Tableau!$G$35-P646)^2+(Tableau!$H$35-Q646)^2)</f>
        <v>32182.998693128036</v>
      </c>
    </row>
    <row r="647" spans="2:31" x14ac:dyDescent="0.25">
      <c r="B647" s="18">
        <v>644</v>
      </c>
      <c r="C647" s="19">
        <f>Tableau!$G$17*COS(B647*PI()/180)+Tableau!$G$16</f>
        <v>21209.609477998332</v>
      </c>
      <c r="D647" s="19">
        <f>Tableau!$G$17*SIN(B647*PI()/180)+Tableau!$H$16</f>
        <v>2648.5213686200159</v>
      </c>
      <c r="F647" s="26">
        <v>644</v>
      </c>
      <c r="G647" s="27">
        <f>Tableau!$G$26*COS(F647*PI()/180)+Tableau!$G$25</f>
        <v>-19153.273365401168</v>
      </c>
      <c r="H647" s="27">
        <f>Tableau!$G$26*SIN(F647*PI()/180)+Tableau!$H$25</f>
        <v>6603.964958034011</v>
      </c>
      <c r="J647" s="34">
        <v>644</v>
      </c>
      <c r="K647" s="35">
        <f>Tableau!$G$36*COS(J647*PI()/180)+Tableau!$G$35</f>
        <v>-3790.3905220016686</v>
      </c>
      <c r="L647" s="35">
        <f>Tableau!$G$36*SIN(J647*PI()/180)+Tableau!$H$35</f>
        <v>-19851.478631379985</v>
      </c>
      <c r="N647" s="98">
        <v>643</v>
      </c>
      <c r="O647" s="99">
        <v>321.5</v>
      </c>
      <c r="P647" s="101">
        <f>P646+R646*Tableau!$G$2+((1/2)*T646)*Tableau!$G$2^2</f>
        <v>921.01376646589551</v>
      </c>
      <c r="Q647" s="101">
        <f>Q646+S646*Tableau!$G$2+((1/2)*U646)*Tableau!$G$2^2</f>
        <v>12380.473673633247</v>
      </c>
      <c r="R647" s="101">
        <f>R646+T646*Tableau!$G$2</f>
        <v>-5246.9934558080477</v>
      </c>
      <c r="S647" s="101">
        <f>S646+U646*Tableau!$G$2</f>
        <v>-7500.0267090106627</v>
      </c>
      <c r="T647" s="101">
        <f t="shared" si="20"/>
        <v>465.4365795447145</v>
      </c>
      <c r="U647" s="101">
        <f t="shared" si="21"/>
        <v>-821.06943271960427</v>
      </c>
      <c r="V647" s="101">
        <f>((Tableau!$G$16-P647)/(AC647^2+Tableau!$G$21^2)^(3/2))*Tableau!$G$20</f>
        <v>927.16176783920605</v>
      </c>
      <c r="W647" s="101">
        <f>((Tableau!$H$16-Q647)/(AC647^2+Tableau!$G$21^2)^(3/2))*Tableau!$G$20</f>
        <v>-237.17133309657601</v>
      </c>
      <c r="X647" s="101">
        <f>((Tableau!$G$25-P647)/(AD647^2+Tableau!$G$30^2)^(3/2))*Tableau!$G$29</f>
        <v>-343.9199066290073</v>
      </c>
      <c r="Y647" s="101">
        <f>((Tableau!$H$25-Q647)/(AD647^2+Tableau!$G$30^2)^(3/2))*Tableau!$G$29</f>
        <v>-39.132534049618144</v>
      </c>
      <c r="Z647" s="101">
        <f>((Tableau!$G$35-P647)/(AE647^2+Tableau!$G$40^2)^(3/2))*Tableau!$G$39</f>
        <v>-117.80528166548427</v>
      </c>
      <c r="AA647" s="102">
        <f>((Tableau!$H$35-Q647)/(AE647^2+Tableau!$G$40^2)^(3/2))*Tableau!$G$39</f>
        <v>-544.76556557341019</v>
      </c>
      <c r="AC647" s="113">
        <f>SQRT((Tableau!$G$16-P647)^2+(Tableau!$H$16-Q647)^2)</f>
        <v>19693.317114656209</v>
      </c>
      <c r="AD647" s="114">
        <f>SQRT((Tableau!$G$25-P647)^2+(Tableau!$H$25-Q647)^2)</f>
        <v>21056.007977000681</v>
      </c>
      <c r="AE647" s="115">
        <f>SQRT((Tableau!$G$35-P647)^2+(Tableau!$H$35-Q647)^2)</f>
        <v>28013.367213086007</v>
      </c>
    </row>
    <row r="648" spans="2:31" x14ac:dyDescent="0.25">
      <c r="B648" s="20">
        <v>645</v>
      </c>
      <c r="C648" s="21">
        <f>Tableau!$G$17*COS(B648*PI()/180)+Tableau!$G$16</f>
        <v>21294.095225512599</v>
      </c>
      <c r="D648" s="21">
        <f>Tableau!$G$17*SIN(B648*PI()/180)+Tableau!$H$16</f>
        <v>2670.370868554658</v>
      </c>
      <c r="F648" s="28">
        <v>645</v>
      </c>
      <c r="G648" s="29">
        <f>Tableau!$G$26*COS(F648*PI()/180)+Tableau!$G$25</f>
        <v>-19094.13334214118</v>
      </c>
      <c r="H648" s="29">
        <f>Tableau!$G$26*SIN(F648*PI()/180)+Tableau!$H$25</f>
        <v>6619.2596079882605</v>
      </c>
      <c r="J648" s="36">
        <v>645</v>
      </c>
      <c r="K648" s="37">
        <f>Tableau!$G$36*COS(J648*PI()/180)+Tableau!$G$35</f>
        <v>-3705.9047744873997</v>
      </c>
      <c r="L648" s="37">
        <f>Tableau!$G$36*SIN(J648*PI()/180)+Tableau!$H$35</f>
        <v>-19829.629131445341</v>
      </c>
      <c r="N648" s="92">
        <v>644</v>
      </c>
      <c r="O648" s="93">
        <v>322</v>
      </c>
      <c r="P648" s="96">
        <f>P647+R647*Tableau!$G$2+((1/2)*T647)*Tableau!$G$2^2</f>
        <v>-1644.3033889950391</v>
      </c>
      <c r="Q648" s="96">
        <f>Q647+S647*Tableau!$G$2+((1/2)*U647)*Tableau!$G$2^2</f>
        <v>8527.8266400379653</v>
      </c>
      <c r="R648" s="96">
        <f>R647+T647*Tableau!$G$2</f>
        <v>-5014.2751660356907</v>
      </c>
      <c r="S648" s="96">
        <f>S647+U647*Tableau!$G$2</f>
        <v>-7910.5614253704643</v>
      </c>
      <c r="T648" s="96">
        <f t="shared" si="20"/>
        <v>300.13346096047235</v>
      </c>
      <c r="U648" s="96">
        <f t="shared" si="21"/>
        <v>-723.67650606998723</v>
      </c>
      <c r="V648" s="96">
        <f>((Tableau!$G$16-P648)/(AC648^2+Tableau!$G$21^2)^(3/2))*Tableau!$G$20</f>
        <v>833.80539299032841</v>
      </c>
      <c r="W648" s="96">
        <f>((Tableau!$H$16-Q648)/(AC648^2+Tableau!$G$21^2)^(3/2))*Tableau!$G$20</f>
        <v>-39.595055572845396</v>
      </c>
      <c r="X648" s="96">
        <f>((Tableau!$G$25-P648)/(AD648^2+Tableau!$G$30^2)^(3/2))*Tableau!$G$29</f>
        <v>-431.17146176379657</v>
      </c>
      <c r="Y648" s="96">
        <f>((Tableau!$H$25-Q648)/(AD648^2+Tableau!$G$30^2)^(3/2))*Tableau!$G$29</f>
        <v>34.581043315130159</v>
      </c>
      <c r="Z648" s="96">
        <f>((Tableau!$G$35-P648)/(AE648^2+Tableau!$G$40^2)^(3/2))*Tableau!$G$39</f>
        <v>-102.50047026605952</v>
      </c>
      <c r="AA648" s="97">
        <f>((Tableau!$H$35-Q648)/(AE648^2+Tableau!$G$40^2)^(3/2))*Tableau!$G$39</f>
        <v>-718.66249381227203</v>
      </c>
      <c r="AC648" s="110">
        <f>SQRT((Tableau!$G$16-P648)^2+(Tableau!$H$16-Q648)^2)</f>
        <v>21668.693933803068</v>
      </c>
      <c r="AD648" s="111">
        <f>SQRT((Tableau!$G$25-P648)^2+(Tableau!$H$25-Q648)^2)</f>
        <v>18414.637994732369</v>
      </c>
      <c r="AE648" s="112">
        <f>SQRT((Tableau!$G$35-P648)^2+(Tableau!$H$35-Q648)^2)</f>
        <v>23765.927841108798</v>
      </c>
    </row>
    <row r="649" spans="2:31" x14ac:dyDescent="0.25">
      <c r="B649" s="18">
        <v>646</v>
      </c>
      <c r="C649" s="19">
        <f>Tableau!$G$17*COS(B649*PI()/180)+Tableau!$G$16</f>
        <v>21378.186779084997</v>
      </c>
      <c r="D649" s="19">
        <f>Tableau!$G$17*SIN(B649*PI()/180)+Tableau!$H$16</f>
        <v>2693.6915203084054</v>
      </c>
      <c r="F649" s="26">
        <v>646</v>
      </c>
      <c r="G649" s="27">
        <f>Tableau!$G$26*COS(F649*PI()/180)+Tableau!$G$25</f>
        <v>-19035.269254640501</v>
      </c>
      <c r="H649" s="27">
        <f>Tableau!$G$26*SIN(F649*PI()/180)+Tableau!$H$25</f>
        <v>6635.5840642158837</v>
      </c>
      <c r="J649" s="34">
        <v>646</v>
      </c>
      <c r="K649" s="35">
        <f>Tableau!$G$36*COS(J649*PI()/180)+Tableau!$G$35</f>
        <v>-3621.8132209150044</v>
      </c>
      <c r="L649" s="35">
        <f>Tableau!$G$36*SIN(J649*PI()/180)+Tableau!$H$35</f>
        <v>-19806.308479691594</v>
      </c>
      <c r="N649" s="98">
        <v>645</v>
      </c>
      <c r="O649" s="99">
        <v>322.5</v>
      </c>
      <c r="P649" s="101">
        <f>P648+R648*Tableau!$G$2+((1/2)*T648)*Tableau!$G$2^2</f>
        <v>-4113.9242893928249</v>
      </c>
      <c r="Q649" s="101">
        <f>Q648+S648*Tableau!$G$2+((1/2)*U648)*Tableau!$G$2^2</f>
        <v>4482.0863640939842</v>
      </c>
      <c r="R649" s="101">
        <f>R648+T648*Tableau!$G$2</f>
        <v>-4864.2084355554543</v>
      </c>
      <c r="S649" s="101">
        <f>S648+U648*Tableau!$G$2</f>
        <v>-8272.399678405458</v>
      </c>
      <c r="T649" s="101">
        <f t="shared" si="20"/>
        <v>179.62721716990251</v>
      </c>
      <c r="U649" s="101">
        <f t="shared" si="21"/>
        <v>-717.95478911642522</v>
      </c>
      <c r="V649" s="101">
        <f>((Tableau!$G$16-P649)/(AC649^2+Tableau!$G$21^2)^(3/2))*Tableau!$G$20</f>
        <v>695.72385013594101</v>
      </c>
      <c r="W649" s="101">
        <f>((Tableau!$H$16-Q649)/(AC649^2+Tableau!$G$21^2)^(3/2))*Tableau!$G$20</f>
        <v>87.071455850670972</v>
      </c>
      <c r="X649" s="101">
        <f>((Tableau!$G$25-P649)/(AD649^2+Tableau!$G$30^2)^(3/2))*Tableau!$G$29</f>
        <v>-472.02586310363711</v>
      </c>
      <c r="Y649" s="101">
        <f>((Tableau!$H$25-Q649)/(AD649^2+Tableau!$G$30^2)^(3/2))*Tableau!$G$29</f>
        <v>163.95477359967308</v>
      </c>
      <c r="Z649" s="101">
        <f>((Tableau!$G$35-P649)/(AE649^2+Tableau!$G$40^2)^(3/2))*Tableau!$G$39</f>
        <v>-44.070769862401391</v>
      </c>
      <c r="AA649" s="102">
        <f>((Tableau!$H$35-Q649)/(AE649^2+Tableau!$G$40^2)^(3/2))*Tableau!$G$39</f>
        <v>-968.98101856676919</v>
      </c>
      <c r="AC649" s="113">
        <f>SQRT((Tableau!$G$16-P649)^2+(Tableau!$H$16-Q649)^2)</f>
        <v>24302.039983268001</v>
      </c>
      <c r="AD649" s="114">
        <f>SQRT((Tableau!$G$25-P649)^2+(Tableau!$H$25-Q649)^2)</f>
        <v>16817.097620471282</v>
      </c>
      <c r="AE649" s="115">
        <f>SQRT((Tableau!$G$35-P649)^2+(Tableau!$H$35-Q649)^2)</f>
        <v>19502.226007893172</v>
      </c>
    </row>
    <row r="650" spans="2:31" x14ac:dyDescent="0.25">
      <c r="B650" s="20">
        <v>647</v>
      </c>
      <c r="C650" s="21">
        <f>Tableau!$G$17*COS(B650*PI()/180)+Tableau!$G$16</f>
        <v>21461.858523613686</v>
      </c>
      <c r="D650" s="21">
        <f>Tableau!$G$17*SIN(B650*PI()/180)+Tableau!$H$16</f>
        <v>2718.4762201848234</v>
      </c>
      <c r="F650" s="28">
        <v>647</v>
      </c>
      <c r="G650" s="29">
        <f>Tableau!$G$26*COS(F650*PI()/180)+Tableau!$G$25</f>
        <v>-18976.699033470421</v>
      </c>
      <c r="H650" s="29">
        <f>Tableau!$G$26*SIN(F650*PI()/180)+Tableau!$H$25</f>
        <v>6652.9333541293763</v>
      </c>
      <c r="J650" s="36">
        <v>647</v>
      </c>
      <c r="K650" s="37">
        <f>Tableau!$G$36*COS(J650*PI()/180)+Tableau!$G$35</f>
        <v>-3538.1414763863131</v>
      </c>
      <c r="L650" s="37">
        <f>Tableau!$G$36*SIN(J650*PI()/180)+Tableau!$H$35</f>
        <v>-19781.523779815176</v>
      </c>
      <c r="N650" s="92">
        <v>646</v>
      </c>
      <c r="O650" s="93">
        <v>323</v>
      </c>
      <c r="P650" s="96">
        <f>P649+R649*Tableau!$G$2+((1/2)*T649)*Tableau!$G$2^2</f>
        <v>-6523.5751050243143</v>
      </c>
      <c r="Q650" s="96">
        <f>Q649+S649*Tableau!$G$2+((1/2)*U649)*Tableau!$G$2^2</f>
        <v>256.1421762517021</v>
      </c>
      <c r="R650" s="96">
        <f>R649+T649*Tableau!$G$2</f>
        <v>-4774.3948269705033</v>
      </c>
      <c r="S650" s="96">
        <f>S649+U649*Tableau!$G$2</f>
        <v>-8631.3770729636708</v>
      </c>
      <c r="T650" s="96">
        <f t="shared" si="20"/>
        <v>272.58475387933237</v>
      </c>
      <c r="U650" s="96">
        <f t="shared" si="21"/>
        <v>-853.01820002006048</v>
      </c>
      <c r="V650" s="96">
        <f>((Tableau!$G$16-P650)/(AC650^2+Tableau!$G$21^2)^(3/2))*Tableau!$G$20</f>
        <v>554.54934348318363</v>
      </c>
      <c r="W650" s="96">
        <f>((Tableau!$H$16-Q650)/(AC650^2+Tableau!$G$21^2)^(3/2))*Tableau!$G$20</f>
        <v>151.45305957205576</v>
      </c>
      <c r="X650" s="96">
        <f>((Tableau!$G$25-P650)/(AD650^2+Tableau!$G$30^2)^(3/2))*Tableau!$G$29</f>
        <v>-412.02853552387393</v>
      </c>
      <c r="Y650" s="96">
        <f>((Tableau!$H$25-Q650)/(AD650^2+Tableau!$G$30^2)^(3/2))*Tableau!$G$29</f>
        <v>297.90894104033777</v>
      </c>
      <c r="Z650" s="96">
        <f>((Tableau!$G$35-P650)/(AE650^2+Tableau!$G$40^2)^(3/2))*Tableau!$G$39</f>
        <v>130.06394592002266</v>
      </c>
      <c r="AA650" s="97">
        <f>((Tableau!$H$35-Q650)/(AE650^2+Tableau!$G$40^2)^(3/2))*Tableau!$G$39</f>
        <v>-1302.380200632454</v>
      </c>
      <c r="AC650" s="110">
        <f>SQRT((Tableau!$G$16-P650)^2+(Tableau!$H$16-Q650)^2)</f>
        <v>27494.972495395315</v>
      </c>
      <c r="AD650" s="111">
        <f>SQRT((Tableau!$G$25-P650)^2+(Tableau!$H$25-Q650)^2)</f>
        <v>16629.996790118192</v>
      </c>
      <c r="AE650" s="112">
        <f>SQRT((Tableau!$G$35-P650)^2+(Tableau!$H$35-Q650)^2)</f>
        <v>15332.030367914613</v>
      </c>
    </row>
    <row r="651" spans="2:31" x14ac:dyDescent="0.25">
      <c r="B651" s="18">
        <v>648</v>
      </c>
      <c r="C651" s="19">
        <f>Tableau!$G$17*COS(B651*PI()/180)+Tableau!$G$16</f>
        <v>21545.084971874734</v>
      </c>
      <c r="D651" s="19">
        <f>Tableau!$G$17*SIN(B651*PI()/180)+Tableau!$H$16</f>
        <v>2744.7174185242311</v>
      </c>
      <c r="F651" s="26">
        <v>648</v>
      </c>
      <c r="G651" s="27">
        <f>Tableau!$G$26*COS(F651*PI()/180)+Tableau!$G$25</f>
        <v>-18918.440519687687</v>
      </c>
      <c r="H651" s="27">
        <f>Tableau!$G$26*SIN(F651*PI()/180)+Tableau!$H$25</f>
        <v>6671.3021929669612</v>
      </c>
      <c r="J651" s="34">
        <v>648</v>
      </c>
      <c r="K651" s="35">
        <f>Tableau!$G$36*COS(J651*PI()/180)+Tableau!$G$35</f>
        <v>-3454.9150281252651</v>
      </c>
      <c r="L651" s="35">
        <f>Tableau!$G$36*SIN(J651*PI()/180)+Tableau!$H$35</f>
        <v>-19755.282581475767</v>
      </c>
      <c r="N651" s="98">
        <v>647</v>
      </c>
      <c r="O651" s="99">
        <v>323.5</v>
      </c>
      <c r="P651" s="101">
        <f>P650+R650*Tableau!$G$2+((1/2)*T650)*Tableau!$G$2^2</f>
        <v>-8876.6994242746496</v>
      </c>
      <c r="Q651" s="101">
        <f>Q650+S650*Tableau!$G$2+((1/2)*U650)*Tableau!$G$2^2</f>
        <v>-4166.1736352326407</v>
      </c>
      <c r="R651" s="101">
        <f>R650+T650*Tableau!$G$2</f>
        <v>-4638.1024500308367</v>
      </c>
      <c r="S651" s="101">
        <f>S650+U650*Tableau!$G$2</f>
        <v>-9057.8861729737018</v>
      </c>
      <c r="T651" s="101">
        <f t="shared" si="20"/>
        <v>728.08962686566974</v>
      </c>
      <c r="U651" s="101">
        <f t="shared" si="21"/>
        <v>-1074.0018803664602</v>
      </c>
      <c r="V651" s="101">
        <f>((Tableau!$G$16-P651)/(AC651^2+Tableau!$G$21^2)^(3/2))*Tableau!$G$20</f>
        <v>432.00901093261814</v>
      </c>
      <c r="W651" s="101">
        <f>((Tableau!$H$16-Q651)/(AC651^2+Tableau!$G$21^2)^(3/2))*Tableau!$G$20</f>
        <v>174.53144694536485</v>
      </c>
      <c r="X651" s="101">
        <f>((Tableau!$G$25-P651)/(AD651^2+Tableau!$G$30^2)^(3/2))*Tableau!$G$29</f>
        <v>-276.85379442123991</v>
      </c>
      <c r="Y651" s="101">
        <f>((Tableau!$H$25-Q651)/(AD651^2+Tableau!$G$30^2)^(3/2))*Tableau!$G$29</f>
        <v>352.58949415637233</v>
      </c>
      <c r="Z651" s="101">
        <f>((Tableau!$G$35-P651)/(AE651^2+Tableau!$G$40^2)^(3/2))*Tableau!$G$39</f>
        <v>572.93441035429146</v>
      </c>
      <c r="AA651" s="102">
        <f>((Tableau!$H$35-Q651)/(AE651^2+Tableau!$G$40^2)^(3/2))*Tableau!$G$39</f>
        <v>-1601.1228214681973</v>
      </c>
      <c r="AC651" s="113">
        <f>SQRT((Tableau!$G$16-P651)^2+(Tableau!$H$16-Q651)^2)</f>
        <v>31144.235051246662</v>
      </c>
      <c r="AD651" s="114">
        <f>SQRT((Tableau!$G$25-P651)^2+(Tableau!$H$25-Q651)^2)</f>
        <v>18011.337850406679</v>
      </c>
      <c r="AE651" s="115">
        <f>SQRT((Tableau!$G$35-P651)^2+(Tableau!$H$35-Q651)^2)</f>
        <v>11506.545620997631</v>
      </c>
    </row>
    <row r="652" spans="2:31" x14ac:dyDescent="0.25">
      <c r="B652" s="20">
        <v>649</v>
      </c>
      <c r="C652" s="21">
        <f>Tableau!$G$17*COS(B652*PI()/180)+Tableau!$G$16</f>
        <v>21627.840772285785</v>
      </c>
      <c r="D652" s="21">
        <f>Tableau!$G$17*SIN(B652*PI()/180)+Tableau!$H$16</f>
        <v>2772.4071220034166</v>
      </c>
      <c r="F652" s="28">
        <v>649</v>
      </c>
      <c r="G652" s="29">
        <f>Tableau!$G$26*COS(F652*PI()/180)+Tableau!$G$25</f>
        <v>-18860.51145939995</v>
      </c>
      <c r="H652" s="29">
        <f>Tableau!$G$26*SIN(F652*PI()/180)+Tableau!$H$25</f>
        <v>6690.6849854023912</v>
      </c>
      <c r="J652" s="36">
        <v>649</v>
      </c>
      <c r="K652" s="37">
        <f>Tableau!$G$36*COS(J652*PI()/180)+Tableau!$G$35</f>
        <v>-3372.1592277142154</v>
      </c>
      <c r="L652" s="37">
        <f>Tableau!$G$36*SIN(J652*PI()/180)+Tableau!$H$35</f>
        <v>-19727.592877996583</v>
      </c>
      <c r="N652" s="92">
        <v>648</v>
      </c>
      <c r="O652" s="93">
        <v>324</v>
      </c>
      <c r="P652" s="96">
        <f>P651+R651*Tableau!$G$2+((1/2)*T651)*Tableau!$G$2^2</f>
        <v>-11104.73944593186</v>
      </c>
      <c r="Q652" s="96">
        <f>Q651+S651*Tableau!$G$2+((1/2)*U651)*Tableau!$G$2^2</f>
        <v>-8829.3669567652996</v>
      </c>
      <c r="R652" s="96">
        <f>R651+T651*Tableau!$G$2</f>
        <v>-4274.0576365980014</v>
      </c>
      <c r="S652" s="96">
        <f>S651+U651*Tableau!$G$2</f>
        <v>-9594.8871131569322</v>
      </c>
      <c r="T652" s="96">
        <f t="shared" si="20"/>
        <v>1560.2178758859857</v>
      </c>
      <c r="U652" s="96">
        <f t="shared" si="21"/>
        <v>-897.17082998277192</v>
      </c>
      <c r="V652" s="96">
        <f>((Tableau!$G$16-P652)/(AC652^2+Tableau!$G$21^2)^(3/2))*Tableau!$G$20</f>
        <v>334.2079021185038</v>
      </c>
      <c r="W652" s="96">
        <f>((Tableau!$H$16-Q652)/(AC652^2+Tableau!$G$21^2)^(3/2))*Tableau!$G$20</f>
        <v>175.45247350585066</v>
      </c>
      <c r="X652" s="96">
        <f>((Tableau!$G$25-P652)/(AD652^2+Tableau!$G$30^2)^(3/2))*Tableau!$G$29</f>
        <v>-150.65202867283153</v>
      </c>
      <c r="Y652" s="96">
        <f>((Tableau!$H$25-Q652)/(AD652^2+Tableau!$G$30^2)^(3/2))*Tableau!$G$29</f>
        <v>318.89817205686575</v>
      </c>
      <c r="Z652" s="96">
        <f>((Tableau!$G$35-P652)/(AE652^2+Tableau!$G$40^2)^(3/2))*Tableau!$G$39</f>
        <v>1376.6620024403135</v>
      </c>
      <c r="AA652" s="97">
        <f>((Tableau!$H$35-Q652)/(AE652^2+Tableau!$G$40^2)^(3/2))*Tableau!$G$39</f>
        <v>-1391.5214755454883</v>
      </c>
      <c r="AC652" s="110">
        <f>SQRT((Tableau!$G$16-P652)^2+(Tableau!$H$16-Q652)^2)</f>
        <v>35130.514388605356</v>
      </c>
      <c r="AD652" s="111">
        <f>SQRT((Tableau!$G$25-P652)^2+(Tableau!$H$25-Q652)^2)</f>
        <v>20824.762191134032</v>
      </c>
      <c r="AE652" s="112">
        <f>SQRT((Tableau!$G$35-P652)^2+(Tableau!$H$35-Q652)^2)</f>
        <v>8680.1241844213473</v>
      </c>
    </row>
    <row r="653" spans="2:31" x14ac:dyDescent="0.25">
      <c r="B653" s="18">
        <v>650</v>
      </c>
      <c r="C653" s="19">
        <f>Tableau!$G$17*COS(B653*PI()/180)+Tableau!$G$16</f>
        <v>21710.100716628338</v>
      </c>
      <c r="D653" s="19">
        <f>Tableau!$G$17*SIN(B653*PI()/180)+Tableau!$H$16</f>
        <v>2801.5368960704564</v>
      </c>
      <c r="F653" s="26">
        <v>650</v>
      </c>
      <c r="G653" s="27">
        <f>Tableau!$G$26*COS(F653*PI()/180)+Tableau!$G$25</f>
        <v>-18802.929498360161</v>
      </c>
      <c r="H653" s="27">
        <f>Tableau!$G$26*SIN(F653*PI()/180)+Tableau!$H$25</f>
        <v>6711.0758272493204</v>
      </c>
      <c r="J653" s="34">
        <v>650</v>
      </c>
      <c r="K653" s="35">
        <f>Tableau!$G$36*COS(J653*PI()/180)+Tableau!$G$35</f>
        <v>-3289.8992833716602</v>
      </c>
      <c r="L653" s="35">
        <f>Tableau!$G$36*SIN(J653*PI()/180)+Tableau!$H$35</f>
        <v>-19698.463103929542</v>
      </c>
      <c r="N653" s="98">
        <v>649</v>
      </c>
      <c r="O653" s="99">
        <v>324.5</v>
      </c>
      <c r="P653" s="101">
        <f>P652+R652*Tableau!$G$2+((1/2)*T652)*Tableau!$G$2^2</f>
        <v>-13046.741029745113</v>
      </c>
      <c r="Q653" s="101">
        <f>Q652+S652*Tableau!$G$2+((1/2)*U652)*Tableau!$G$2^2</f>
        <v>-13738.956867091612</v>
      </c>
      <c r="R653" s="101">
        <f>R652+T652*Tableau!$G$2</f>
        <v>-3493.9486986550087</v>
      </c>
      <c r="S653" s="101">
        <f>S652+U652*Tableau!$G$2</f>
        <v>-10043.472528148319</v>
      </c>
      <c r="T653" s="101">
        <f t="shared" si="20"/>
        <v>2150.1898635708289</v>
      </c>
      <c r="U653" s="101">
        <f t="shared" si="21"/>
        <v>110.11933735532642</v>
      </c>
      <c r="V653" s="101">
        <f>((Tableau!$G$16-P653)/(AC653^2+Tableau!$G$21^2)^(3/2))*Tableau!$G$20</f>
        <v>259.77622280912095</v>
      </c>
      <c r="W653" s="101">
        <f>((Tableau!$H$16-Q653)/(AC653^2+Tableau!$G$21^2)^(3/2))*Tableau!$G$20</f>
        <v>166.95673520038642</v>
      </c>
      <c r="X653" s="101">
        <f>((Tableau!$G$25-P653)/(AD653^2+Tableau!$G$30^2)^(3/2))*Tableau!$G$29</f>
        <v>-73.500693021583601</v>
      </c>
      <c r="Y653" s="101">
        <f>((Tableau!$H$25-Q653)/(AD653^2+Tableau!$G$30^2)^(3/2))*Tableau!$G$29</f>
        <v>250.9369762876463</v>
      </c>
      <c r="Z653" s="101">
        <f>((Tableau!$G$35-P653)/(AE653^2+Tableau!$G$40^2)^(3/2))*Tableau!$G$39</f>
        <v>1963.9143337832918</v>
      </c>
      <c r="AA653" s="102">
        <f>((Tableau!$H$35-Q653)/(AE653^2+Tableau!$G$40^2)^(3/2))*Tableau!$G$39</f>
        <v>-307.77437413270633</v>
      </c>
      <c r="AC653" s="113">
        <f>SQRT((Tableau!$G$16-P653)^2+(Tableau!$H$16-Q653)^2)</f>
        <v>39283.334653377089</v>
      </c>
      <c r="AD653" s="114">
        <f>SQRT((Tableau!$G$25-P653)^2+(Tableau!$H$25-Q653)^2)</f>
        <v>24736.327202013359</v>
      </c>
      <c r="AE653" s="115">
        <f>SQRT((Tableau!$G$35-P653)^2+(Tableau!$H$35-Q653)^2)</f>
        <v>8144.9537127499289</v>
      </c>
    </row>
    <row r="654" spans="2:31" x14ac:dyDescent="0.25">
      <c r="B654" s="20">
        <v>651</v>
      </c>
      <c r="C654" s="21">
        <f>Tableau!$G$17*COS(B654*PI()/180)+Tableau!$G$16</f>
        <v>21791.839747726503</v>
      </c>
      <c r="D654" s="21">
        <f>Tableau!$G$17*SIN(B654*PI()/180)+Tableau!$H$16</f>
        <v>2832.0978675139904</v>
      </c>
      <c r="F654" s="28">
        <v>651</v>
      </c>
      <c r="G654" s="29">
        <f>Tableau!$G$26*COS(F654*PI()/180)+Tableau!$G$25</f>
        <v>-18745.712176591449</v>
      </c>
      <c r="H654" s="29">
        <f>Tableau!$G$26*SIN(F654*PI()/180)+Tableau!$H$25</f>
        <v>6732.4685072597931</v>
      </c>
      <c r="J654" s="36">
        <v>651</v>
      </c>
      <c r="K654" s="37">
        <f>Tableau!$G$36*COS(J654*PI()/180)+Tableau!$G$35</f>
        <v>-3208.1602522734993</v>
      </c>
      <c r="L654" s="37">
        <f>Tableau!$G$36*SIN(J654*PI()/180)+Tableau!$H$35</f>
        <v>-19667.902132486008</v>
      </c>
      <c r="N654" s="92">
        <v>650</v>
      </c>
      <c r="O654" s="93">
        <v>325</v>
      </c>
      <c r="P654" s="96">
        <f>P653+R653*Tableau!$G$2+((1/2)*T653)*Tableau!$G$2^2</f>
        <v>-14524.941646126263</v>
      </c>
      <c r="Q654" s="96">
        <f>Q653+S653*Tableau!$G$2+((1/2)*U653)*Tableau!$G$2^2</f>
        <v>-18746.928213996354</v>
      </c>
      <c r="R654" s="96">
        <f>R653+T653*Tableau!$G$2</f>
        <v>-2418.8537668695944</v>
      </c>
      <c r="S654" s="96">
        <f>S653+U653*Tableau!$G$2</f>
        <v>-9988.4128594706563</v>
      </c>
      <c r="T654" s="96">
        <f t="shared" si="20"/>
        <v>1871.0311685451866</v>
      </c>
      <c r="U654" s="96">
        <f t="shared" si="21"/>
        <v>1014.9651265386265</v>
      </c>
      <c r="V654" s="96">
        <f>((Tableau!$G$16-P654)/(AC654^2+Tableau!$G$21^2)^(3/2))*Tableau!$G$20</f>
        <v>205.0438183214564</v>
      </c>
      <c r="W654" s="96">
        <f>((Tableau!$H$16-Q654)/(AC654^2+Tableau!$G$21^2)^(3/2))*Tableau!$G$20</f>
        <v>155.8806510194585</v>
      </c>
      <c r="X654" s="96">
        <f>((Tableau!$G$25-P654)/(AD654^2+Tableau!$G$30^2)^(3/2))*Tableau!$G$29</f>
        <v>-36.095078978017455</v>
      </c>
      <c r="Y654" s="96">
        <f>((Tableau!$H$25-Q654)/(AD654^2+Tableau!$G$30^2)^(3/2))*Tableau!$G$29</f>
        <v>189.51809774327856</v>
      </c>
      <c r="Z654" s="96">
        <f>((Tableau!$G$35-P654)/(AE654^2+Tableau!$G$40^2)^(3/2))*Tableau!$G$39</f>
        <v>1702.0824292017476</v>
      </c>
      <c r="AA654" s="97">
        <f>((Tableau!$H$35-Q654)/(AE654^2+Tableau!$G$40^2)^(3/2))*Tableau!$G$39</f>
        <v>669.56637777588946</v>
      </c>
      <c r="AC654" s="110">
        <f>SQRT((Tableau!$G$16-P654)^2+(Tableau!$H$16-Q654)^2)</f>
        <v>43369.030843899447</v>
      </c>
      <c r="AD654" s="111">
        <f>SQRT((Tableau!$G$25-P654)^2+(Tableau!$H$25-Q654)^2)</f>
        <v>29263.665965134685</v>
      </c>
      <c r="AE654" s="112">
        <f>SQRT((Tableau!$G$35-P654)^2+(Tableau!$H$35-Q654)^2)</f>
        <v>10235.427905219811</v>
      </c>
    </row>
    <row r="655" spans="2:31" x14ac:dyDescent="0.25">
      <c r="B655" s="18">
        <v>652</v>
      </c>
      <c r="C655" s="19">
        <f>Tableau!$G$17*COS(B655*PI()/180)+Tableau!$G$16</f>
        <v>21873.032967079555</v>
      </c>
      <c r="D655" s="19">
        <f>Tableau!$G$17*SIN(B655*PI()/180)+Tableau!$H$16</f>
        <v>2864.0807271660606</v>
      </c>
      <c r="F655" s="26">
        <v>652</v>
      </c>
      <c r="G655" s="27">
        <f>Tableau!$G$26*COS(F655*PI()/180)+Tableau!$G$25</f>
        <v>-18688.87692304431</v>
      </c>
      <c r="H655" s="27">
        <f>Tableau!$G$26*SIN(F655*PI()/180)+Tableau!$H$25</f>
        <v>6754.8565090162429</v>
      </c>
      <c r="J655" s="34">
        <v>652</v>
      </c>
      <c r="K655" s="35">
        <f>Tableau!$G$36*COS(J655*PI()/180)+Tableau!$G$35</f>
        <v>-3126.9670329204455</v>
      </c>
      <c r="L655" s="35">
        <f>Tableau!$G$36*SIN(J655*PI()/180)+Tableau!$H$35</f>
        <v>-19635.91927283394</v>
      </c>
      <c r="N655" s="98">
        <v>651</v>
      </c>
      <c r="O655" s="99">
        <v>325.5</v>
      </c>
      <c r="P655" s="101">
        <f>P654+R654*Tableau!$G$2+((1/2)*T654)*Tableau!$G$2^2</f>
        <v>-15500.489633492911</v>
      </c>
      <c r="Q655" s="101">
        <f>Q654+S654*Tableau!$G$2+((1/2)*U654)*Tableau!$G$2^2</f>
        <v>-23614.264002914355</v>
      </c>
      <c r="R655" s="101">
        <f>R654+T654*Tableau!$G$2</f>
        <v>-1483.3381825970012</v>
      </c>
      <c r="S655" s="101">
        <f>S654+U654*Tableau!$G$2</f>
        <v>-9480.9302962013426</v>
      </c>
      <c r="T655" s="101">
        <f t="shared" si="20"/>
        <v>1291.9273470421408</v>
      </c>
      <c r="U655" s="101">
        <f t="shared" si="21"/>
        <v>1230.4755815359331</v>
      </c>
      <c r="V655" s="101">
        <f>((Tableau!$G$16-P655)/(AC655^2+Tableau!$G$21^2)^(3/2))*Tableau!$G$20</f>
        <v>165.44420611712422</v>
      </c>
      <c r="W655" s="101">
        <f>((Tableau!$H$16-Q655)/(AC655^2+Tableau!$G$21^2)^(3/2))*Tableau!$G$20</f>
        <v>145.00292136884252</v>
      </c>
      <c r="X655" s="101">
        <f>((Tableau!$G$25-P655)/(AD655^2+Tableau!$G$30^2)^(3/2))*Tableau!$G$29</f>
        <v>-19.459870341350737</v>
      </c>
      <c r="Y655" s="101">
        <f>((Tableau!$H$25-Q655)/(AD655^2+Tableau!$G$30^2)^(3/2))*Tableau!$G$29</f>
        <v>145.37786688653384</v>
      </c>
      <c r="Z655" s="101">
        <f>((Tableau!$G$35-P655)/(AE655^2+Tableau!$G$40^2)^(3/2))*Tableau!$G$39</f>
        <v>1145.9430112663674</v>
      </c>
      <c r="AA655" s="102">
        <f>((Tableau!$H$35-Q655)/(AE655^2+Tableau!$G$40^2)^(3/2))*Tableau!$G$39</f>
        <v>940.09479328055681</v>
      </c>
      <c r="AC655" s="113">
        <f>SQRT((Tableau!$G$16-P655)^2+(Tableau!$H$16-Q655)^2)</f>
        <v>47205.743174541691</v>
      </c>
      <c r="AD655" s="114">
        <f>SQRT((Tableau!$G$25-P655)^2+(Tableau!$H$25-Q655)^2)</f>
        <v>33914.072860627166</v>
      </c>
      <c r="AE655" s="115">
        <f>SQRT((Tableau!$G$35-P655)^2+(Tableau!$H$35-Q655)^2)</f>
        <v>13581.819718101036</v>
      </c>
    </row>
    <row r="656" spans="2:31" x14ac:dyDescent="0.25">
      <c r="B656" s="20">
        <v>653</v>
      </c>
      <c r="C656" s="21">
        <f>Tableau!$G$17*COS(B656*PI()/180)+Tableau!$G$16</f>
        <v>21953.655642446374</v>
      </c>
      <c r="D656" s="21">
        <f>Tableau!$G$17*SIN(B656*PI()/180)+Tableau!$H$16</f>
        <v>2897.4757327378011</v>
      </c>
      <c r="F656" s="28">
        <v>653</v>
      </c>
      <c r="G656" s="29">
        <f>Tableau!$G$26*COS(F656*PI()/180)+Tableau!$G$25</f>
        <v>-18632.44105028754</v>
      </c>
      <c r="H656" s="29">
        <f>Tableau!$G$26*SIN(F656*PI()/180)+Tableau!$H$25</f>
        <v>6778.2330129164602</v>
      </c>
      <c r="J656" s="36">
        <v>653</v>
      </c>
      <c r="K656" s="37">
        <f>Tableau!$G$36*COS(J656*PI()/180)+Tableau!$G$35</f>
        <v>-3046.3443575536257</v>
      </c>
      <c r="L656" s="37">
        <f>Tableau!$G$36*SIN(J656*PI()/180)+Tableau!$H$35</f>
        <v>-19602.524267262197</v>
      </c>
      <c r="N656" s="92">
        <v>652</v>
      </c>
      <c r="O656" s="93">
        <v>326</v>
      </c>
      <c r="P656" s="96">
        <f>P655+R655*Tableau!$G$2+((1/2)*T655)*Tableau!$G$2^2</f>
        <v>-16080.667806411144</v>
      </c>
      <c r="Q656" s="96">
        <f>Q655+S655*Tableau!$G$2+((1/2)*U655)*Tableau!$G$2^2</f>
        <v>-28200.919703323034</v>
      </c>
      <c r="R656" s="96">
        <f>R655+T655*Tableau!$G$2</f>
        <v>-837.37450907593075</v>
      </c>
      <c r="S656" s="96">
        <f>S655+U655*Tableau!$G$2</f>
        <v>-8865.6925054333769</v>
      </c>
      <c r="T656" s="96">
        <f t="shared" si="20"/>
        <v>857.94681176051915</v>
      </c>
      <c r="U656" s="96">
        <f t="shared" si="21"/>
        <v>1124.0208910376223</v>
      </c>
      <c r="V656" s="96">
        <f>((Tableau!$G$16-P656)/(AC656^2+Tableau!$G$21^2)^(3/2))*Tableau!$G$20</f>
        <v>136.44382861704563</v>
      </c>
      <c r="W656" s="96">
        <f>((Tableau!$H$16-Q656)/(AC656^2+Tableau!$G$21^2)^(3/2))*Tableau!$G$20</f>
        <v>135.00776082103334</v>
      </c>
      <c r="X656" s="96">
        <f>((Tableau!$G$25-P656)/(AD656^2+Tableau!$G$30^2)^(3/2))*Tableau!$G$29</f>
        <v>-11.834988229781839</v>
      </c>
      <c r="Y656" s="96">
        <f>((Tableau!$H$25-Q656)/(AD656^2+Tableau!$G$30^2)^(3/2))*Tableau!$G$29</f>
        <v>115.35318077789248</v>
      </c>
      <c r="Z656" s="96">
        <f>((Tableau!$G$35-P656)/(AE656^2+Tableau!$G$40^2)^(3/2))*Tableau!$G$39</f>
        <v>733.33797137325541</v>
      </c>
      <c r="AA656" s="97">
        <f>((Tableau!$H$35-Q656)/(AE656^2+Tableau!$G$40^2)^(3/2))*Tableau!$G$39</f>
        <v>873.65994943869634</v>
      </c>
      <c r="AC656" s="110">
        <f>SQRT((Tableau!$G$16-P656)^2+(Tableau!$H$16-Q656)^2)</f>
        <v>50757.957573366883</v>
      </c>
      <c r="AD656" s="111">
        <f>SQRT((Tableau!$G$25-P656)^2+(Tableau!$H$25-Q656)^2)</f>
        <v>38401.450897374125</v>
      </c>
      <c r="AE656" s="112">
        <f>SQRT((Tableau!$G$35-P656)^2+(Tableau!$H$35-Q656)^2)</f>
        <v>17235.007399175047</v>
      </c>
    </row>
    <row r="657" spans="2:31" x14ac:dyDescent="0.25">
      <c r="B657" s="18">
        <v>654</v>
      </c>
      <c r="C657" s="19">
        <f>Tableau!$G$17*COS(B657*PI()/180)+Tableau!$G$16</f>
        <v>22033.683215379002</v>
      </c>
      <c r="D657" s="19">
        <f>Tableau!$G$17*SIN(B657*PI()/180)+Tableau!$H$16</f>
        <v>2932.2727117869954</v>
      </c>
      <c r="F657" s="26">
        <v>654</v>
      </c>
      <c r="G657" s="27">
        <f>Tableau!$G$26*COS(F657*PI()/180)+Tableau!$G$25</f>
        <v>-18576.421749234698</v>
      </c>
      <c r="H657" s="27">
        <f>Tableau!$G$26*SIN(F657*PI()/180)+Tableau!$H$25</f>
        <v>6802.5908982508972</v>
      </c>
      <c r="J657" s="34">
        <v>654</v>
      </c>
      <c r="K657" s="35">
        <f>Tableau!$G$36*COS(J657*PI()/180)+Tableau!$G$35</f>
        <v>-2966.3167846209981</v>
      </c>
      <c r="L657" s="35">
        <f>Tableau!$G$36*SIN(J657*PI()/180)+Tableau!$H$35</f>
        <v>-19567.727288213006</v>
      </c>
      <c r="N657" s="98">
        <v>653</v>
      </c>
      <c r="O657" s="99">
        <v>326.5</v>
      </c>
      <c r="P657" s="101">
        <f>P656+R656*Tableau!$G$2+((1/2)*T656)*Tableau!$G$2^2</f>
        <v>-16392.111709479046</v>
      </c>
      <c r="Q657" s="101">
        <f>Q656+S656*Tableau!$G$2+((1/2)*U656)*Tableau!$G$2^2</f>
        <v>-32493.263344660019</v>
      </c>
      <c r="R657" s="101">
        <f>R656+T656*Tableau!$G$2</f>
        <v>-408.40110319567117</v>
      </c>
      <c r="S657" s="101">
        <f>S656+U656*Tableau!$G$2</f>
        <v>-8303.6820599145649</v>
      </c>
      <c r="T657" s="101">
        <f t="shared" si="20"/>
        <v>587.52369456175575</v>
      </c>
      <c r="U657" s="101">
        <f t="shared" si="21"/>
        <v>959.01994862118238</v>
      </c>
      <c r="V657" s="101">
        <f>((Tableau!$G$16-P657)/(AC657^2+Tableau!$G$21^2)^(3/2))*Tableau!$G$20</f>
        <v>114.59513474112136</v>
      </c>
      <c r="W657" s="101">
        <f>((Tableau!$H$16-Q657)/(AC657^2+Tableau!$G$21^2)^(3/2))*Tableau!$G$20</f>
        <v>125.93480252822819</v>
      </c>
      <c r="X657" s="101">
        <f>((Tableau!$G$25-P657)/(AD657^2+Tableau!$G$30^2)^(3/2))*Tableau!$G$29</f>
        <v>-8.0276261468497783</v>
      </c>
      <c r="Y657" s="101">
        <f>((Tableau!$H$25-Q657)/(AD657^2+Tableau!$G$30^2)^(3/2))*Tableau!$G$29</f>
        <v>94.548390754446189</v>
      </c>
      <c r="Z657" s="101">
        <f>((Tableau!$G$35-P657)/(AE657^2+Tableau!$G$40^2)^(3/2))*Tableau!$G$39</f>
        <v>480.95618596748415</v>
      </c>
      <c r="AA657" s="102">
        <f>((Tableau!$H$35-Q657)/(AE657^2+Tableau!$G$40^2)^(3/2))*Tableau!$G$39</f>
        <v>738.53675533850799</v>
      </c>
      <c r="AC657" s="113">
        <f>SQRT((Tableau!$G$16-P657)^2+(Tableau!$H$16-Q657)^2)</f>
        <v>54072.607738396793</v>
      </c>
      <c r="AD657" s="114">
        <f>SQRT((Tableau!$G$25-P657)^2+(Tableau!$H$25-Q657)^2)</f>
        <v>42646.152084279602</v>
      </c>
      <c r="AE657" s="115">
        <f>SQRT((Tableau!$G$35-P657)^2+(Tableau!$H$35-Q657)^2)</f>
        <v>20875.690926215484</v>
      </c>
    </row>
    <row r="658" spans="2:31" x14ac:dyDescent="0.25">
      <c r="B658" s="20">
        <v>655</v>
      </c>
      <c r="C658" s="21">
        <f>Tableau!$G$17*COS(B658*PI()/180)+Tableau!$G$16</f>
        <v>22113.091308703493</v>
      </c>
      <c r="D658" s="21">
        <f>Tableau!$G$17*SIN(B658*PI()/180)+Tableau!$H$16</f>
        <v>2968.4610648167481</v>
      </c>
      <c r="F658" s="28">
        <v>655</v>
      </c>
      <c r="G658" s="29">
        <f>Tableau!$G$26*COS(F658*PI()/180)+Tableau!$G$25</f>
        <v>-18520.836083907554</v>
      </c>
      <c r="H658" s="29">
        <f>Tableau!$G$26*SIN(F658*PI()/180)+Tableau!$H$25</f>
        <v>6827.9227453717231</v>
      </c>
      <c r="J658" s="36">
        <v>655</v>
      </c>
      <c r="K658" s="37">
        <f>Tableau!$G$36*COS(J658*PI()/180)+Tableau!$G$35</f>
        <v>-2886.9086912965067</v>
      </c>
      <c r="L658" s="37">
        <f>Tableau!$G$36*SIN(J658*PI()/180)+Tableau!$H$35</f>
        <v>-19531.538935183253</v>
      </c>
      <c r="N658" s="92">
        <v>654</v>
      </c>
      <c r="O658" s="93">
        <v>327</v>
      </c>
      <c r="P658" s="96">
        <f>P657+R657*Tableau!$G$2+((1/2)*T657)*Tableau!$G$2^2</f>
        <v>-16522.87179925666</v>
      </c>
      <c r="Q658" s="96">
        <f>Q657+S657*Tableau!$G$2+((1/2)*U657)*Tableau!$G$2^2</f>
        <v>-36525.226881039656</v>
      </c>
      <c r="R658" s="96">
        <f>R657+T657*Tableau!$G$2</f>
        <v>-114.6392559147933</v>
      </c>
      <c r="S658" s="96">
        <f>S657+U657*Tableau!$G$2</f>
        <v>-7824.1720856039738</v>
      </c>
      <c r="T658" s="96">
        <f t="shared" si="20"/>
        <v>420.21413021071311</v>
      </c>
      <c r="U658" s="96">
        <f t="shared" si="21"/>
        <v>810.95406970925706</v>
      </c>
      <c r="V658" s="96">
        <f>((Tableau!$G$16-P658)/(AC658^2+Tableau!$G$21^2)^(3/2))*Tableau!$G$20</f>
        <v>97.657364099697389</v>
      </c>
      <c r="W658" s="96">
        <f>((Tableau!$H$16-Q658)/(AC658^2+Tableau!$G$21^2)^(3/2))*Tableau!$G$20</f>
        <v>117.71767660343124</v>
      </c>
      <c r="X658" s="96">
        <f>((Tableau!$G$25-P658)/(AD658^2+Tableau!$G$30^2)^(3/2))*Tableau!$G$29</f>
        <v>-5.9472646668706286</v>
      </c>
      <c r="Y658" s="96">
        <f>((Tableau!$H$25-Q658)/(AD658^2+Tableau!$G$30^2)^(3/2))*Tableau!$G$29</f>
        <v>79.576541897015559</v>
      </c>
      <c r="Z658" s="96">
        <f>((Tableau!$G$35-P658)/(AE658^2+Tableau!$G$40^2)^(3/2))*Tableau!$G$39</f>
        <v>328.50403077788633</v>
      </c>
      <c r="AA658" s="97">
        <f>((Tableau!$H$35-Q658)/(AE658^2+Tableau!$G$40^2)^(3/2))*Tableau!$G$39</f>
        <v>613.65985120881021</v>
      </c>
      <c r="AC658" s="110">
        <f>SQRT((Tableau!$G$16-P658)^2+(Tableau!$H$16-Q658)^2)</f>
        <v>57202.629016435552</v>
      </c>
      <c r="AD658" s="111">
        <f>SQRT((Tableau!$G$25-P658)^2+(Tableau!$H$25-Q658)^2)</f>
        <v>46654.979979168565</v>
      </c>
      <c r="AE658" s="112">
        <f>SQRT((Tableau!$G$35-P658)^2+(Tableau!$H$35-Q658)^2)</f>
        <v>24415.404292829899</v>
      </c>
    </row>
    <row r="659" spans="2:31" x14ac:dyDescent="0.25">
      <c r="B659" s="18">
        <v>656</v>
      </c>
      <c r="C659" s="19">
        <f>Tableau!$G$17*COS(B659*PI()/180)+Tableau!$G$16</f>
        <v>22191.855733945376</v>
      </c>
      <c r="D659" s="19">
        <f>Tableau!$G$17*SIN(B659*PI()/180)+Tableau!$H$16</f>
        <v>3006.0297685041605</v>
      </c>
      <c r="F659" s="26">
        <v>656</v>
      </c>
      <c r="G659" s="27">
        <f>Tableau!$G$26*COS(F659*PI()/180)+Tableau!$G$25</f>
        <v>-18465.700986238237</v>
      </c>
      <c r="H659" s="27">
        <f>Tableau!$G$26*SIN(F659*PI()/180)+Tableau!$H$25</f>
        <v>6854.2208379529129</v>
      </c>
      <c r="J659" s="34">
        <v>656</v>
      </c>
      <c r="K659" s="35">
        <f>Tableau!$G$36*COS(J659*PI()/180)+Tableau!$G$35</f>
        <v>-2808.1442660546222</v>
      </c>
      <c r="L659" s="35">
        <f>Tableau!$G$36*SIN(J659*PI()/180)+Tableau!$H$35</f>
        <v>-19493.970231495841</v>
      </c>
      <c r="N659" s="98">
        <v>655</v>
      </c>
      <c r="O659" s="99">
        <v>327.5</v>
      </c>
      <c r="P659" s="101">
        <f>P658+R658*Tableau!$G$2+((1/2)*T658)*Tableau!$G$2^2</f>
        <v>-16527.664660937717</v>
      </c>
      <c r="Q659" s="101">
        <f>Q658+S658*Tableau!$G$2+((1/2)*U658)*Tableau!$G$2^2</f>
        <v>-40335.94366512799</v>
      </c>
      <c r="R659" s="101">
        <f>R658+T658*Tableau!$G$2</f>
        <v>95.467809190563258</v>
      </c>
      <c r="S659" s="101">
        <f>S658+U658*Tableau!$G$2</f>
        <v>-7418.6950507493457</v>
      </c>
      <c r="T659" s="101">
        <f t="shared" si="20"/>
        <v>312.77198562235719</v>
      </c>
      <c r="U659" s="101">
        <f t="shared" si="21"/>
        <v>691.38733561911715</v>
      </c>
      <c r="V659" s="101">
        <f>((Tableau!$G$16-P659)/(AC659^2+Tableau!$G$21^2)^(3/2))*Tableau!$G$20</f>
        <v>84.209309502297103</v>
      </c>
      <c r="W659" s="101">
        <f>((Tableau!$H$16-Q659)/(AC659^2+Tableau!$G$21^2)^(3/2))*Tableau!$G$20</f>
        <v>110.27893030727907</v>
      </c>
      <c r="X659" s="101">
        <f>((Tableau!$G$25-P659)/(AD659^2+Tableau!$G$30^2)^(3/2))*Tableau!$G$29</f>
        <v>-4.7181041354819042</v>
      </c>
      <c r="Y659" s="101">
        <f>((Tableau!$H$25-Q659)/(AD659^2+Tableau!$G$30^2)^(3/2))*Tableau!$G$29</f>
        <v>68.394956356363792</v>
      </c>
      <c r="Z659" s="101">
        <f>((Tableau!$G$35-P659)/(AE659^2+Tableau!$G$40^2)^(3/2))*Tableau!$G$39</f>
        <v>233.28078025554203</v>
      </c>
      <c r="AA659" s="102">
        <f>((Tableau!$H$35-Q659)/(AE659^2+Tableau!$G$40^2)^(3/2))*Tableau!$G$39</f>
        <v>512.71344895547429</v>
      </c>
      <c r="AC659" s="113">
        <f>SQRT((Tableau!$G$16-P659)^2+(Tableau!$H$16-Q659)^2)</f>
        <v>60187.604969089916</v>
      </c>
      <c r="AD659" s="114">
        <f>SQRT((Tableau!$G$25-P659)^2+(Tableau!$H$25-Q659)^2)</f>
        <v>50455.567952068872</v>
      </c>
      <c r="AE659" s="115">
        <f>SQRT((Tableau!$G$35-P659)^2+(Tableau!$H$35-Q659)^2)</f>
        <v>27835.177275123853</v>
      </c>
    </row>
    <row r="660" spans="2:31" x14ac:dyDescent="0.25">
      <c r="B660" s="20">
        <v>657</v>
      </c>
      <c r="C660" s="21">
        <f>Tableau!$G$17*COS(B660*PI()/180)+Tableau!$G$16</f>
        <v>22269.952498697734</v>
      </c>
      <c r="D660" s="21">
        <f>Tableau!$G$17*SIN(B660*PI()/180)+Tableau!$H$16</f>
        <v>3044.9673790581619</v>
      </c>
      <c r="F660" s="28">
        <v>657</v>
      </c>
      <c r="G660" s="29">
        <f>Tableau!$G$26*COS(F660*PI()/180)+Tableau!$G$25</f>
        <v>-18411.033250911583</v>
      </c>
      <c r="H660" s="29">
        <f>Tableau!$G$26*SIN(F660*PI()/180)+Tableau!$H$25</f>
        <v>6881.4771653407133</v>
      </c>
      <c r="J660" s="36">
        <v>657</v>
      </c>
      <c r="K660" s="37">
        <f>Tableau!$G$36*COS(J660*PI()/180)+Tableau!$G$35</f>
        <v>-2730.0475013022642</v>
      </c>
      <c r="L660" s="37">
        <f>Tableau!$G$36*SIN(J660*PI()/180)+Tableau!$H$35</f>
        <v>-19455.032620941838</v>
      </c>
      <c r="N660" s="92">
        <v>656</v>
      </c>
      <c r="O660" s="93">
        <v>328</v>
      </c>
      <c r="P660" s="96">
        <f>P659+R659*Tableau!$G$2+((1/2)*T659)*Tableau!$G$2^2</f>
        <v>-16440.834258139639</v>
      </c>
      <c r="Q660" s="96">
        <f>Q659+S659*Tableau!$G$2+((1/2)*U659)*Tableau!$G$2^2</f>
        <v>-43958.867773550272</v>
      </c>
      <c r="R660" s="96">
        <f>R659+T659*Tableau!$G$2</f>
        <v>251.85380200174185</v>
      </c>
      <c r="S660" s="96">
        <f>S659+U659*Tableau!$G$2</f>
        <v>-7073.0013829397867</v>
      </c>
      <c r="T660" s="96">
        <f t="shared" si="20"/>
        <v>240.65026790337799</v>
      </c>
      <c r="U660" s="96">
        <f t="shared" si="21"/>
        <v>596.83052669362507</v>
      </c>
      <c r="V660" s="96">
        <f>((Tableau!$G$16-P660)/(AC660^2+Tableau!$G$21^2)^(3/2))*Tableau!$G$20</f>
        <v>73.323594259724644</v>
      </c>
      <c r="W660" s="96">
        <f>((Tableau!$H$16-Q660)/(AC660^2+Tableau!$G$21^2)^(3/2))*Tableau!$G$20</f>
        <v>103.54178817544022</v>
      </c>
      <c r="X660" s="96">
        <f>((Tableau!$G$25-P660)/(AD660^2+Tableau!$G$30^2)^(3/2))*Tableau!$G$29</f>
        <v>-3.9427463383448873</v>
      </c>
      <c r="Y660" s="96">
        <f>((Tableau!$H$25-Q660)/(AD660^2+Tableau!$G$30^2)^(3/2))*Tableau!$G$29</f>
        <v>59.774156014493379</v>
      </c>
      <c r="Z660" s="96">
        <f>((Tableau!$G$35-P660)/(AE660^2+Tableau!$G$40^2)^(3/2))*Tableau!$G$39</f>
        <v>171.26941998199825</v>
      </c>
      <c r="AA660" s="97">
        <f>((Tableau!$H$35-Q660)/(AE660^2+Tableau!$G$40^2)^(3/2))*Tableau!$G$39</f>
        <v>433.51458250369149</v>
      </c>
      <c r="AC660" s="110">
        <f>SQRT((Tableau!$G$16-P660)^2+(Tableau!$H$16-Q660)^2)</f>
        <v>63055.130433335355</v>
      </c>
      <c r="AD660" s="111">
        <f>SQRT((Tableau!$G$25-P660)^2+(Tableau!$H$25-Q660)^2)</f>
        <v>54076.122939625711</v>
      </c>
      <c r="AE660" s="112">
        <f>SQRT((Tableau!$G$35-P660)^2+(Tableau!$H$35-Q660)^2)</f>
        <v>31136.934840285579</v>
      </c>
    </row>
    <row r="661" spans="2:31" x14ac:dyDescent="0.25">
      <c r="B661" s="18">
        <v>658</v>
      </c>
      <c r="C661" s="19">
        <f>Tableau!$G$17*COS(B661*PI()/180)+Tableau!$G$16</f>
        <v>22347.357813929451</v>
      </c>
      <c r="D661" s="19">
        <f>Tableau!$G$17*SIN(B661*PI()/180)+Tableau!$H$16</f>
        <v>3085.2620357053638</v>
      </c>
      <c r="F661" s="26">
        <v>658</v>
      </c>
      <c r="G661" s="27">
        <f>Tableau!$G$26*COS(F661*PI()/180)+Tableau!$G$25</f>
        <v>-18356.849530249383</v>
      </c>
      <c r="H661" s="27">
        <f>Tableau!$G$26*SIN(F661*PI()/180)+Tableau!$H$25</f>
        <v>6909.6834249937547</v>
      </c>
      <c r="J661" s="34">
        <v>658</v>
      </c>
      <c r="K661" s="35">
        <f>Tableau!$G$36*COS(J661*PI()/180)+Tableau!$G$35</f>
        <v>-2652.6421860705491</v>
      </c>
      <c r="L661" s="35">
        <f>Tableau!$G$36*SIN(J661*PI()/180)+Tableau!$H$35</f>
        <v>-19414.737964294636</v>
      </c>
      <c r="N661" s="98">
        <v>657</v>
      </c>
      <c r="O661" s="99">
        <v>328.5</v>
      </c>
      <c r="P661" s="101">
        <f>P660+R660*Tableau!$G$2+((1/2)*T660)*Tableau!$G$2^2</f>
        <v>-16284.826073650847</v>
      </c>
      <c r="Q661" s="101">
        <f>Q660+S660*Tableau!$G$2+((1/2)*U660)*Tableau!$G$2^2</f>
        <v>-47420.76464918346</v>
      </c>
      <c r="R661" s="101">
        <f>R660+T660*Tableau!$G$2</f>
        <v>372.17893595343082</v>
      </c>
      <c r="S661" s="101">
        <f>S660+U660*Tableau!$G$2</f>
        <v>-6774.5861195929738</v>
      </c>
      <c r="T661" s="101">
        <f t="shared" si="20"/>
        <v>190.20640192393483</v>
      </c>
      <c r="U661" s="101">
        <f t="shared" si="21"/>
        <v>521.74226148686444</v>
      </c>
      <c r="V661" s="101">
        <f>((Tableau!$G$16-P661)/(AC661^2+Tableau!$G$21^2)^(3/2))*Tableau!$G$20</f>
        <v>64.371681475114002</v>
      </c>
      <c r="W661" s="101">
        <f>((Tableau!$H$16-Q661)/(AC661^2+Tableau!$G$21^2)^(3/2))*Tableau!$G$20</f>
        <v>97.433069162048938</v>
      </c>
      <c r="X661" s="101">
        <f>((Tableau!$G$25-P661)/(AD661^2+Tableau!$G$30^2)^(3/2))*Tableau!$G$29</f>
        <v>-3.4258891336113382</v>
      </c>
      <c r="Y661" s="101">
        <f>((Tableau!$H$25-Q661)/(AD661^2+Tableau!$G$30^2)^(3/2))*Tableau!$G$29</f>
        <v>52.949653920671977</v>
      </c>
      <c r="Z661" s="101">
        <f>((Tableau!$G$35-P661)/(AE661^2+Tableau!$G$40^2)^(3/2))*Tableau!$G$39</f>
        <v>129.26060958243218</v>
      </c>
      <c r="AA661" s="102">
        <f>((Tableau!$H$35-Q661)/(AE661^2+Tableau!$G$40^2)^(3/2))*Tableau!$G$39</f>
        <v>371.35953840414345</v>
      </c>
      <c r="AC661" s="113">
        <f>SQRT((Tableau!$G$16-P661)^2+(Tableau!$H$16-Q661)^2)</f>
        <v>65824.607806245927</v>
      </c>
      <c r="AD661" s="114">
        <f>SQRT((Tableau!$G$25-P661)^2+(Tableau!$H$25-Q661)^2)</f>
        <v>57540.82663813531</v>
      </c>
      <c r="AE661" s="115">
        <f>SQRT((Tableau!$G$35-P661)^2+(Tableau!$H$35-Q661)^2)</f>
        <v>34328.607311545486</v>
      </c>
    </row>
    <row r="662" spans="2:31" x14ac:dyDescent="0.25">
      <c r="B662" s="20">
        <v>659</v>
      </c>
      <c r="C662" s="21">
        <f>Tableau!$G$17*COS(B662*PI()/180)+Tableau!$G$16</f>
        <v>22424.048101231678</v>
      </c>
      <c r="D662" s="21">
        <f>Tableau!$G$17*SIN(B662*PI()/180)+Tableau!$H$16</f>
        <v>3126.9014643030168</v>
      </c>
      <c r="F662" s="28">
        <v>659</v>
      </c>
      <c r="G662" s="29">
        <f>Tableau!$G$26*COS(F662*PI()/180)+Tableau!$G$25</f>
        <v>-18303.166329137825</v>
      </c>
      <c r="H662" s="29">
        <f>Tableau!$G$26*SIN(F662*PI()/180)+Tableau!$H$25</f>
        <v>6938.8310250121121</v>
      </c>
      <c r="J662" s="36">
        <v>659</v>
      </c>
      <c r="K662" s="37">
        <f>Tableau!$G$36*COS(J662*PI()/180)+Tableau!$G$35</f>
        <v>-2575.9518987683223</v>
      </c>
      <c r="L662" s="37">
        <f>Tableau!$G$36*SIN(J662*PI()/180)+Tableau!$H$35</f>
        <v>-19373.098535696983</v>
      </c>
      <c r="N662" s="92">
        <v>658</v>
      </c>
      <c r="O662" s="93">
        <v>329</v>
      </c>
      <c r="P662" s="96">
        <f>P661+R661*Tableau!$G$2+((1/2)*T661)*Tableau!$G$2^2</f>
        <v>-16074.96080543364</v>
      </c>
      <c r="Q662" s="96">
        <f>Q661+S661*Tableau!$G$2+((1/2)*U661)*Tableau!$G$2^2</f>
        <v>-50742.839926294087</v>
      </c>
      <c r="R662" s="96">
        <f>R661+T661*Tableau!$G$2</f>
        <v>467.28213691539827</v>
      </c>
      <c r="S662" s="96">
        <f>S661+U661*Tableau!$G$2</f>
        <v>-6513.7149888495414</v>
      </c>
      <c r="T662" s="96">
        <f t="shared" si="20"/>
        <v>153.64422668830912</v>
      </c>
      <c r="U662" s="96">
        <f t="shared" si="21"/>
        <v>461.39072695341775</v>
      </c>
      <c r="V662" s="96">
        <f>((Tableau!$G$16-P662)/(AC662^2+Tableau!$G$21^2)^(3/2))*Tableau!$G$20</f>
        <v>56.912486817038612</v>
      </c>
      <c r="W662" s="96">
        <f>((Tableau!$H$16-Q662)/(AC662^2+Tableau!$G$21^2)^(3/2))*Tableau!$G$20</f>
        <v>91.884919220558999</v>
      </c>
      <c r="X662" s="96">
        <f>((Tableau!$G$25-P662)/(AD662^2+Tableau!$G$30^2)^(3/2))*Tableau!$G$29</f>
        <v>-3.0646313432540917</v>
      </c>
      <c r="Y662" s="96">
        <f>((Tableau!$H$25-Q662)/(AD662^2+Tableau!$G$30^2)^(3/2))*Tableau!$G$29</f>
        <v>47.427401839474712</v>
      </c>
      <c r="Z662" s="96">
        <f>((Tableau!$G$35-P662)/(AE662^2+Tableau!$G$40^2)^(3/2))*Tableau!$G$39</f>
        <v>99.796371214524584</v>
      </c>
      <c r="AA662" s="97">
        <f>((Tableau!$H$35-Q662)/(AE662^2+Tableau!$G$40^2)^(3/2))*Tableau!$G$39</f>
        <v>322.07840589338406</v>
      </c>
      <c r="AC662" s="110">
        <f>SQRT((Tableau!$G$16-P662)^2+(Tableau!$H$16-Q662)^2)</f>
        <v>68510.081008516485</v>
      </c>
      <c r="AD662" s="111">
        <f>SQRT((Tableau!$G$25-P662)^2+(Tableau!$H$25-Q662)^2)</f>
        <v>60869.52057467078</v>
      </c>
      <c r="AE662" s="112">
        <f>SQRT((Tableau!$G$35-P662)^2+(Tableau!$H$35-Q662)^2)</f>
        <v>37419.318043472864</v>
      </c>
    </row>
    <row r="663" spans="2:31" x14ac:dyDescent="0.25">
      <c r="B663" s="18">
        <v>660</v>
      </c>
      <c r="C663" s="19">
        <f>Tableau!$G$17*COS(B663*PI()/180)+Tableau!$G$16</f>
        <v>22499.999999999996</v>
      </c>
      <c r="D663" s="19">
        <f>Tableau!$G$17*SIN(B663*PI()/180)+Tableau!$H$16</f>
        <v>3169.8729810778041</v>
      </c>
      <c r="F663" s="26">
        <v>660</v>
      </c>
      <c r="G663" s="27">
        <f>Tableau!$G$26*COS(F663*PI()/180)+Tableau!$G$25</f>
        <v>-18250.000000000004</v>
      </c>
      <c r="H663" s="27">
        <f>Tableau!$G$26*SIN(F663*PI()/180)+Tableau!$H$25</f>
        <v>6968.9110867544623</v>
      </c>
      <c r="J663" s="34">
        <v>660</v>
      </c>
      <c r="K663" s="35">
        <f>Tableau!$G$36*COS(J663*PI()/180)+Tableau!$G$35</f>
        <v>-2500.0000000000045</v>
      </c>
      <c r="L663" s="35">
        <f>Tableau!$G$36*SIN(J663*PI()/180)+Tableau!$H$35</f>
        <v>-19330.127018922198</v>
      </c>
      <c r="N663" s="98">
        <v>659</v>
      </c>
      <c r="O663" s="99">
        <v>329.5</v>
      </c>
      <c r="P663" s="101">
        <f>P662+R662*Tableau!$G$2+((1/2)*T662)*Tableau!$G$2^2</f>
        <v>-15822.114208639903</v>
      </c>
      <c r="Q663" s="101">
        <f>Q662+S662*Tableau!$G$2+((1/2)*U662)*Tableau!$G$2^2</f>
        <v>-53942.023579849687</v>
      </c>
      <c r="R663" s="101">
        <f>R662+T662*Tableau!$G$2</f>
        <v>544.10425025955283</v>
      </c>
      <c r="S663" s="101">
        <f>S662+U662*Tableau!$G$2</f>
        <v>-6283.0196253728327</v>
      </c>
      <c r="T663" s="101">
        <f t="shared" si="20"/>
        <v>126.32899661607863</v>
      </c>
      <c r="U663" s="101">
        <f t="shared" si="21"/>
        <v>412.19608272045014</v>
      </c>
      <c r="V663" s="101">
        <f>((Tableau!$G$16-P663)/(AC663^2+Tableau!$G$21^2)^(3/2))*Tableau!$G$20</f>
        <v>50.627224171648528</v>
      </c>
      <c r="W663" s="101">
        <f>((Tableau!$H$16-Q663)/(AC663^2+Tableau!$G$21^2)^(3/2))*Tableau!$G$20</f>
        <v>86.835720617140808</v>
      </c>
      <c r="X663" s="101">
        <f>((Tableau!$G$25-P663)/(AD663^2+Tableau!$G$30^2)^(3/2))*Tableau!$G$29</f>
        <v>-2.8014762548644416</v>
      </c>
      <c r="Y663" s="101">
        <f>((Tableau!$H$25-Q663)/(AD663^2+Tableau!$G$30^2)^(3/2))*Tableau!$G$29</f>
        <v>42.876246430043103</v>
      </c>
      <c r="Z663" s="101">
        <f>((Tableau!$G$35-P663)/(AE663^2+Tableau!$G$40^2)^(3/2))*Tableau!$G$39</f>
        <v>78.503248699294545</v>
      </c>
      <c r="AA663" s="102">
        <f>((Tableau!$H$35-Q663)/(AE663^2+Tableau!$G$40^2)^(3/2))*Tableau!$G$39</f>
        <v>282.48411567326622</v>
      </c>
      <c r="AC663" s="113">
        <f>SQRT((Tableau!$G$16-P663)^2+(Tableau!$H$16-Q663)^2)</f>
        <v>71122.050926303054</v>
      </c>
      <c r="AD663" s="114">
        <f>SQRT((Tableau!$G$25-P663)^2+(Tableau!$H$25-Q663)^2)</f>
        <v>64078.366935898906</v>
      </c>
      <c r="AE663" s="115">
        <f>SQRT((Tableau!$G$35-P663)^2+(Tableau!$H$35-Q663)^2)</f>
        <v>40417.809891660567</v>
      </c>
    </row>
    <row r="664" spans="2:31" x14ac:dyDescent="0.25">
      <c r="B664" s="20">
        <v>661</v>
      </c>
      <c r="C664" s="21">
        <f>Tableau!$G$17*COS(B664*PI()/180)+Tableau!$G$16</f>
        <v>22575.190374550271</v>
      </c>
      <c r="D664" s="21">
        <f>Tableau!$G$17*SIN(B664*PI()/180)+Tableau!$H$16</f>
        <v>3214.1634964894374</v>
      </c>
      <c r="F664" s="28">
        <v>661</v>
      </c>
      <c r="G664" s="29">
        <f>Tableau!$G$26*COS(F664*PI()/180)+Tableau!$G$25</f>
        <v>-18197.366737814809</v>
      </c>
      <c r="H664" s="29">
        <f>Tableau!$G$26*SIN(F664*PI()/180)+Tableau!$H$25</f>
        <v>6999.9144475426065</v>
      </c>
      <c r="J664" s="36">
        <v>661</v>
      </c>
      <c r="K664" s="37">
        <f>Tableau!$G$36*COS(J664*PI()/180)+Tableau!$G$35</f>
        <v>-2424.8096254497304</v>
      </c>
      <c r="L664" s="37">
        <f>Tableau!$G$36*SIN(J664*PI()/180)+Tableau!$H$35</f>
        <v>-19285.836503510563</v>
      </c>
      <c r="N664" s="92">
        <v>660</v>
      </c>
      <c r="O664" s="93">
        <v>330</v>
      </c>
      <c r="P664" s="96">
        <f>P663+R663*Tableau!$G$2+((1/2)*T663)*Tableau!$G$2^2</f>
        <v>-15534.270958933117</v>
      </c>
      <c r="Q664" s="96">
        <f>Q663+S663*Tableau!$G$2+((1/2)*U663)*Tableau!$G$2^2</f>
        <v>-57032.008882196045</v>
      </c>
      <c r="R664" s="96">
        <f>R663+T663*Tableau!$G$2</f>
        <v>607.26874856759218</v>
      </c>
      <c r="S664" s="96">
        <f>S663+U663*Tableau!$G$2</f>
        <v>-6076.921584012608</v>
      </c>
      <c r="T664" s="96">
        <f t="shared" si="20"/>
        <v>105.39268373373949</v>
      </c>
      <c r="U664" s="96">
        <f t="shared" si="21"/>
        <v>371.53397345986286</v>
      </c>
      <c r="V664" s="96">
        <f>((Tableau!$G$16-P664)/(AC664^2+Tableau!$G$21^2)^(3/2))*Tableau!$G$20</f>
        <v>45.27977113198699</v>
      </c>
      <c r="W664" s="96">
        <f>((Tableau!$H$16-Q664)/(AC664^2+Tableau!$G$21^2)^(3/2))*Tableau!$G$20</f>
        <v>82.230323403852339</v>
      </c>
      <c r="X664" s="96">
        <f>((Tableau!$G$25-P664)/(AD664^2+Tableau!$G$30^2)^(3/2))*Tableau!$G$29</f>
        <v>-2.6026689184443779</v>
      </c>
      <c r="Y664" s="96">
        <f>((Tableau!$H$25-Q664)/(AD664^2+Tableau!$G$30^2)^(3/2))*Tableau!$G$29</f>
        <v>39.066885709863691</v>
      </c>
      <c r="Z664" s="96">
        <f>((Tableau!$G$35-P664)/(AE664^2+Tableau!$G$40^2)^(3/2))*Tableau!$G$39</f>
        <v>62.715581520196871</v>
      </c>
      <c r="AA664" s="97">
        <f>((Tableau!$H$35-Q664)/(AE664^2+Tableau!$G$40^2)^(3/2))*Tableau!$G$39</f>
        <v>250.23676434614686</v>
      </c>
      <c r="AC664" s="110">
        <f>SQRT((Tableau!$G$16-P664)^2+(Tableau!$H$16-Q664)^2)</f>
        <v>73668.613282419727</v>
      </c>
      <c r="AD664" s="111">
        <f>SQRT((Tableau!$G$25-P664)^2+(Tableau!$H$25-Q664)^2)</f>
        <v>67180.59951095283</v>
      </c>
      <c r="AE664" s="112">
        <f>SQRT((Tableau!$G$35-P664)^2+(Tableau!$H$35-Q664)^2)</f>
        <v>43331.981668384717</v>
      </c>
    </row>
    <row r="665" spans="2:31" x14ac:dyDescent="0.25">
      <c r="B665" s="18">
        <v>662</v>
      </c>
      <c r="C665" s="19">
        <f>Tableau!$G$17*COS(B665*PI()/180)+Tableau!$G$16</f>
        <v>22649.596321166027</v>
      </c>
      <c r="D665" s="19">
        <f>Tableau!$G$17*SIN(B665*PI()/180)+Tableau!$H$16</f>
        <v>3259.7595192178705</v>
      </c>
      <c r="F665" s="26">
        <v>662</v>
      </c>
      <c r="G665" s="27">
        <f>Tableau!$G$26*COS(F665*PI()/180)+Tableau!$G$25</f>
        <v>-18145.282575183781</v>
      </c>
      <c r="H665" s="27">
        <f>Tableau!$G$26*SIN(F665*PI()/180)+Tableau!$H$25</f>
        <v>7031.831663452509</v>
      </c>
      <c r="J665" s="34">
        <v>662</v>
      </c>
      <c r="K665" s="35">
        <f>Tableau!$G$36*COS(J665*PI()/180)+Tableau!$G$35</f>
        <v>-2350.403678833974</v>
      </c>
      <c r="L665" s="35">
        <f>Tableau!$G$36*SIN(J665*PI()/180)+Tableau!$H$35</f>
        <v>-19240.240480782129</v>
      </c>
      <c r="N665" s="98">
        <v>661</v>
      </c>
      <c r="O665" s="99">
        <v>330.5</v>
      </c>
      <c r="P665" s="101">
        <f>P664+R664*Tableau!$G$2+((1/2)*T664)*Tableau!$G$2^2</f>
        <v>-15217.462499182604</v>
      </c>
      <c r="Q665" s="101">
        <f>Q664+S664*Tableau!$G$2+((1/2)*U664)*Tableau!$G$2^2</f>
        <v>-60024.02792751987</v>
      </c>
      <c r="R665" s="101">
        <f>R664+T664*Tableau!$G$2</f>
        <v>659.9650904344619</v>
      </c>
      <c r="S665" s="101">
        <f>S664+U664*Tableau!$G$2</f>
        <v>-5891.1545972826771</v>
      </c>
      <c r="T665" s="101">
        <f t="shared" si="20"/>
        <v>88.99322061590992</v>
      </c>
      <c r="U665" s="101">
        <f t="shared" si="21"/>
        <v>337.48588131497377</v>
      </c>
      <c r="V665" s="101">
        <f>((Tableau!$G$16-P665)/(AC665^2+Tableau!$G$21^2)^(3/2))*Tableau!$G$20</f>
        <v>40.691595855906037</v>
      </c>
      <c r="W665" s="101">
        <f>((Tableau!$H$16-Q665)/(AC665^2+Tableau!$G$21^2)^(3/2))*Tableau!$G$20</f>
        <v>78.019830504634569</v>
      </c>
      <c r="X665" s="101">
        <f>((Tableau!$G$25-P665)/(AD665^2+Tableau!$G$30^2)^(3/2))*Tableau!$G$29</f>
        <v>-2.4475436517077713</v>
      </c>
      <c r="Y665" s="101">
        <f>((Tableau!$H$25-Q665)/(AD665^2+Tableau!$G$30^2)^(3/2))*Tableau!$G$29</f>
        <v>35.835968874622893</v>
      </c>
      <c r="Z665" s="101">
        <f>((Tableau!$G$35-P665)/(AE665^2+Tableau!$G$40^2)^(3/2))*Tableau!$G$39</f>
        <v>50.749168411711651</v>
      </c>
      <c r="AA665" s="102">
        <f>((Tableau!$H$35-Q665)/(AE665^2+Tableau!$G$40^2)^(3/2))*Tableau!$G$39</f>
        <v>223.6300819357163</v>
      </c>
      <c r="AC665" s="113">
        <f>SQRT((Tableau!$G$16-P665)^2+(Tableau!$H$16-Q665)^2)</f>
        <v>76156.181708629651</v>
      </c>
      <c r="AD665" s="114">
        <f>SQRT((Tableau!$G$25-P665)^2+(Tableau!$H$25-Q665)^2)</f>
        <v>70187.158028665101</v>
      </c>
      <c r="AE665" s="115">
        <f>SQRT((Tableau!$G$35-P665)^2+(Tableau!$H$35-Q665)^2)</f>
        <v>46168.816648689317</v>
      </c>
    </row>
    <row r="666" spans="2:31" x14ac:dyDescent="0.25">
      <c r="B666" s="20">
        <v>663</v>
      </c>
      <c r="C666" s="21">
        <f>Tableau!$G$17*COS(B666*PI()/180)+Tableau!$G$16</f>
        <v>22723.195175075132</v>
      </c>
      <c r="D666" s="21">
        <f>Tableau!$G$17*SIN(B666*PI()/180)+Tableau!$H$16</f>
        <v>3306.647160272878</v>
      </c>
      <c r="F666" s="28">
        <v>663</v>
      </c>
      <c r="G666" s="29">
        <f>Tableau!$G$26*COS(F666*PI()/180)+Tableau!$G$25</f>
        <v>-18093.763377447409</v>
      </c>
      <c r="H666" s="29">
        <f>Tableau!$G$26*SIN(F666*PI()/180)+Tableau!$H$25</f>
        <v>7064.6530121910146</v>
      </c>
      <c r="J666" s="36">
        <v>663</v>
      </c>
      <c r="K666" s="37">
        <f>Tableau!$G$36*COS(J666*PI()/180)+Tableau!$G$35</f>
        <v>-2276.8048249248677</v>
      </c>
      <c r="L666" s="37">
        <f>Tableau!$G$36*SIN(J666*PI()/180)+Tableau!$H$35</f>
        <v>-19193.352839727122</v>
      </c>
      <c r="N666" s="92">
        <v>662</v>
      </c>
      <c r="O666" s="93">
        <v>331</v>
      </c>
      <c r="P666" s="96">
        <f>P665+R665*Tableau!$G$2+((1/2)*T665)*Tableau!$G$2^2</f>
        <v>-14876.355801388383</v>
      </c>
      <c r="Q666" s="96">
        <f>Q665+S665*Tableau!$G$2+((1/2)*U665)*Tableau!$G$2^2</f>
        <v>-62927.419490996836</v>
      </c>
      <c r="R666" s="96">
        <f>R665+T665*Tableau!$G$2</f>
        <v>704.46170074241684</v>
      </c>
      <c r="S666" s="96">
        <f>S665+U665*Tableau!$G$2</f>
        <v>-5722.4116566251905</v>
      </c>
      <c r="T666" s="96">
        <f t="shared" si="20"/>
        <v>75.907230247794644</v>
      </c>
      <c r="U666" s="96">
        <f t="shared" si="21"/>
        <v>308.63790332596744</v>
      </c>
      <c r="V666" s="96">
        <f>((Tableau!$G$16-P666)/(AC666^2+Tableau!$G$21^2)^(3/2))*Tableau!$G$20</f>
        <v>36.725330266347342</v>
      </c>
      <c r="W666" s="96">
        <f>((Tableau!$H$16-Q666)/(AC666^2+Tableau!$G$21^2)^(3/2))*Tableau!$G$20</f>
        <v>74.161138145932185</v>
      </c>
      <c r="X666" s="96">
        <f>((Tableau!$G$25-P666)/(AD666^2+Tableau!$G$30^2)^(3/2))*Tableau!$G$29</f>
        <v>-2.3229845790688808</v>
      </c>
      <c r="Y666" s="96">
        <f>((Tableau!$H$25-Q666)/(AD666^2+Tableau!$G$30^2)^(3/2))*Tableau!$G$29</f>
        <v>33.064214512549249</v>
      </c>
      <c r="Z666" s="96">
        <f>((Tableau!$G$35-P666)/(AE666^2+Tableau!$G$40^2)^(3/2))*Tableau!$G$39</f>
        <v>41.504884560516189</v>
      </c>
      <c r="AA666" s="97">
        <f>((Tableau!$H$35-Q666)/(AE666^2+Tableau!$G$40^2)^(3/2))*Tableau!$G$39</f>
        <v>201.41255066748602</v>
      </c>
      <c r="AC666" s="110">
        <f>SQRT((Tableau!$G$16-P666)^2+(Tableau!$H$16-Q666)^2)</f>
        <v>78589.958710676758</v>
      </c>
      <c r="AD666" s="111">
        <f>SQRT((Tableau!$G$25-P666)^2+(Tableau!$H$25-Q666)^2)</f>
        <v>73107.183255065916</v>
      </c>
      <c r="AE666" s="112">
        <f>SQRT((Tableau!$G$35-P666)^2+(Tableau!$H$35-Q666)^2)</f>
        <v>48934.445362971077</v>
      </c>
    </row>
    <row r="667" spans="2:31" x14ac:dyDescent="0.25">
      <c r="B667" s="18">
        <v>664</v>
      </c>
      <c r="C667" s="19">
        <f>Tableau!$G$17*COS(B667*PI()/180)+Tableau!$G$16</f>
        <v>22795.964517353736</v>
      </c>
      <c r="D667" s="19">
        <f>Tableau!$G$17*SIN(B667*PI()/180)+Tableau!$H$16</f>
        <v>3354.8121372247915</v>
      </c>
      <c r="F667" s="26">
        <v>664</v>
      </c>
      <c r="G667" s="27">
        <f>Tableau!$G$26*COS(F667*PI()/180)+Tableau!$G$25</f>
        <v>-18042.824837852386</v>
      </c>
      <c r="H667" s="27">
        <f>Tableau!$G$26*SIN(F667*PI()/180)+Tableau!$H$25</f>
        <v>7098.3684960573537</v>
      </c>
      <c r="J667" s="34">
        <v>664</v>
      </c>
      <c r="K667" s="35">
        <f>Tableau!$G$36*COS(J667*PI()/180)+Tableau!$G$35</f>
        <v>-2204.0354826462662</v>
      </c>
      <c r="L667" s="35">
        <f>Tableau!$G$36*SIN(J667*PI()/180)+Tableau!$H$35</f>
        <v>-19145.187862775208</v>
      </c>
      <c r="N667" s="98">
        <v>663</v>
      </c>
      <c r="O667" s="99">
        <v>331.5</v>
      </c>
      <c r="P667" s="101">
        <f>P666+R666*Tableau!$G$2+((1/2)*T666)*Tableau!$G$2^2</f>
        <v>-14514.636547236199</v>
      </c>
      <c r="Q667" s="101">
        <f>Q666+S666*Tableau!$G$2+((1/2)*U666)*Tableau!$G$2^2</f>
        <v>-65750.045581393686</v>
      </c>
      <c r="R667" s="101">
        <f>R666+T666*Tableau!$G$2</f>
        <v>742.41531586631413</v>
      </c>
      <c r="S667" s="101">
        <f>S666+U666*Tableau!$G$2</f>
        <v>-5568.0927049622069</v>
      </c>
      <c r="T667" s="101">
        <f t="shared" si="20"/>
        <v>65.297715267202577</v>
      </c>
      <c r="U667" s="101">
        <f t="shared" si="21"/>
        <v>283.93514978926009</v>
      </c>
      <c r="V667" s="101">
        <f>((Tableau!$G$16-P667)/(AC667^2+Tableau!$G$21^2)^(3/2))*Tableau!$G$20</f>
        <v>33.27367685940812</v>
      </c>
      <c r="W667" s="101">
        <f>((Tableau!$H$16-Q667)/(AC667^2+Tableau!$G$21^2)^(3/2))*Tableau!$G$20</f>
        <v>70.616370051486996</v>
      </c>
      <c r="X667" s="101">
        <f>((Tableau!$G$25-P667)/(AD667^2+Tableau!$G$30^2)^(3/2))*Tableau!$G$29</f>
        <v>-2.2204029314612188</v>
      </c>
      <c r="Y667" s="101">
        <f>((Tableau!$H$25-Q667)/(AD667^2+Tableau!$G$30^2)^(3/2))*Tableau!$G$29</f>
        <v>30.66262148636698</v>
      </c>
      <c r="Z667" s="101">
        <f>((Tableau!$G$35-P667)/(AE667^2+Tableau!$G$40^2)^(3/2))*Tableau!$G$39</f>
        <v>34.24444133925568</v>
      </c>
      <c r="AA667" s="102">
        <f>((Tableau!$H$35-Q667)/(AE667^2+Tableau!$G$40^2)^(3/2))*Tableau!$G$39</f>
        <v>182.65615825140614</v>
      </c>
      <c r="AC667" s="113">
        <f>SQRT((Tableau!$G$16-P667)^2+(Tableau!$H$16-Q667)^2)</f>
        <v>80974.250929934919</v>
      </c>
      <c r="AD667" s="114">
        <f>SQRT((Tableau!$G$25-P667)^2+(Tableau!$H$25-Q667)^2)</f>
        <v>75948.394438540563</v>
      </c>
      <c r="AE667" s="115">
        <f>SQRT((Tableau!$G$35-P667)^2+(Tableau!$H$35-Q667)^2)</f>
        <v>51634.246727724611</v>
      </c>
    </row>
    <row r="668" spans="2:31" x14ac:dyDescent="0.25">
      <c r="B668" s="20">
        <v>665</v>
      </c>
      <c r="C668" s="21">
        <f>Tableau!$G$17*COS(B668*PI()/180)+Tableau!$G$16</f>
        <v>22867.882181755234</v>
      </c>
      <c r="D668" s="21">
        <f>Tableau!$G$17*SIN(B668*PI()/180)+Tableau!$H$16</f>
        <v>3404.2397785550424</v>
      </c>
      <c r="F668" s="28">
        <v>665</v>
      </c>
      <c r="G668" s="29">
        <f>Tableau!$G$26*COS(F668*PI()/180)+Tableau!$G$25</f>
        <v>-17992.482472771339</v>
      </c>
      <c r="H668" s="29">
        <f>Tableau!$G$26*SIN(F668*PI()/180)+Tableau!$H$25</f>
        <v>7132.9678449885305</v>
      </c>
      <c r="J668" s="36">
        <v>665</v>
      </c>
      <c r="K668" s="37">
        <f>Tableau!$G$36*COS(J668*PI()/180)+Tableau!$G$35</f>
        <v>-2132.117818244767</v>
      </c>
      <c r="L668" s="37">
        <f>Tableau!$G$36*SIN(J668*PI()/180)+Tableau!$H$35</f>
        <v>-19095.760221444958</v>
      </c>
      <c r="N668" s="92">
        <v>664</v>
      </c>
      <c r="O668" s="93">
        <v>332</v>
      </c>
      <c r="P668" s="96">
        <f>P667+R667*Tableau!$G$2+((1/2)*T667)*Tableau!$G$2^2</f>
        <v>-14135.266674894643</v>
      </c>
      <c r="Q668" s="96">
        <f>Q667+S667*Tableau!$G$2+((1/2)*U667)*Tableau!$G$2^2</f>
        <v>-68498.600040151141</v>
      </c>
      <c r="R668" s="96">
        <f>R667+T667*Tableau!$G$2</f>
        <v>775.06417349991546</v>
      </c>
      <c r="S668" s="96">
        <f>S667+U667*Tableau!$G$2</f>
        <v>-5426.1251300675767</v>
      </c>
      <c r="T668" s="96">
        <f t="shared" si="20"/>
        <v>56.576761827016085</v>
      </c>
      <c r="U668" s="96">
        <f t="shared" si="21"/>
        <v>262.57977633661386</v>
      </c>
      <c r="V668" s="96">
        <f>((Tableau!$G$16-P668)/(AC668^2+Tableau!$G$21^2)^(3/2))*Tableau!$G$20</f>
        <v>30.251719800057767</v>
      </c>
      <c r="W668" s="96">
        <f>((Tableau!$H$16-Q668)/(AC668^2+Tableau!$G$21^2)^(3/2))*Tableau!$G$20</f>
        <v>67.352289217714386</v>
      </c>
      <c r="X668" s="96">
        <f>((Tableau!$G$25-P668)/(AD668^2+Tableau!$G$30^2)^(3/2))*Tableau!$G$29</f>
        <v>-2.1340175346251402</v>
      </c>
      <c r="Y668" s="96">
        <f>((Tableau!$H$25-Q668)/(AD668^2+Tableau!$G$30^2)^(3/2))*Tableau!$G$29</f>
        <v>28.563513401728105</v>
      </c>
      <c r="Z668" s="96">
        <f>((Tableau!$G$35-P668)/(AE668^2+Tableau!$G$40^2)^(3/2))*Tableau!$G$39</f>
        <v>28.459059561583455</v>
      </c>
      <c r="AA668" s="97">
        <f>((Tableau!$H$35-Q668)/(AE668^2+Tableau!$G$40^2)^(3/2))*Tableau!$G$39</f>
        <v>166.66397371717136</v>
      </c>
      <c r="AC668" s="110">
        <f>SQRT((Tableau!$G$16-P668)^2+(Tableau!$H$16-Q668)^2)</f>
        <v>83312.685942952492</v>
      </c>
      <c r="AD668" s="111">
        <f>SQRT((Tableau!$G$25-P668)^2+(Tableau!$H$25-Q668)^2)</f>
        <v>78717.376132834979</v>
      </c>
      <c r="AE668" s="112">
        <f>SQRT((Tableau!$G$35-P668)^2+(Tableau!$H$35-Q668)^2)</f>
        <v>54272.951858891007</v>
      </c>
    </row>
    <row r="669" spans="2:31" x14ac:dyDescent="0.25">
      <c r="B669" s="18">
        <v>666</v>
      </c>
      <c r="C669" s="19">
        <f>Tableau!$G$17*COS(B669*PI()/180)+Tableau!$G$16</f>
        <v>22938.926261462366</v>
      </c>
      <c r="D669" s="19">
        <f>Tableau!$G$17*SIN(B669*PI()/180)+Tableau!$H$16</f>
        <v>3454.9150281252614</v>
      </c>
      <c r="F669" s="26">
        <v>666</v>
      </c>
      <c r="G669" s="27">
        <f>Tableau!$G$26*COS(F669*PI()/180)+Tableau!$G$25</f>
        <v>-17942.751616976344</v>
      </c>
      <c r="H669" s="27">
        <f>Tableau!$G$26*SIN(F669*PI()/180)+Tableau!$H$25</f>
        <v>7168.4405196876833</v>
      </c>
      <c r="J669" s="34">
        <v>666</v>
      </c>
      <c r="K669" s="35">
        <f>Tableau!$G$36*COS(J669*PI()/180)+Tableau!$G$35</f>
        <v>-2061.073738537636</v>
      </c>
      <c r="L669" s="35">
        <f>Tableau!$G$36*SIN(J669*PI()/180)+Tableau!$H$35</f>
        <v>-19045.084971874738</v>
      </c>
      <c r="N669" s="98">
        <v>665</v>
      </c>
      <c r="O669" s="99">
        <v>332.5</v>
      </c>
      <c r="P669" s="101">
        <f>P668+R668*Tableau!$G$2+((1/2)*T668)*Tableau!$G$2^2</f>
        <v>-13740.662492916308</v>
      </c>
      <c r="Q669" s="101">
        <f>Q668+S668*Tableau!$G$2+((1/2)*U668)*Tableau!$G$2^2</f>
        <v>-71178.840133142847</v>
      </c>
      <c r="R669" s="101">
        <f>R668+T668*Tableau!$G$2</f>
        <v>803.35255441342349</v>
      </c>
      <c r="S669" s="101">
        <f>S668+U668*Tableau!$G$2</f>
        <v>-5294.8352418992699</v>
      </c>
      <c r="T669" s="101">
        <f t="shared" si="20"/>
        <v>49.321681681123295</v>
      </c>
      <c r="U669" s="101">
        <f t="shared" si="21"/>
        <v>243.96001437544879</v>
      </c>
      <c r="V669" s="101">
        <f>((Tableau!$G$16-P669)/(AC669^2+Tableau!$G$21^2)^(3/2))*Tableau!$G$20</f>
        <v>27.591474712779995</v>
      </c>
      <c r="W669" s="101">
        <f>((Tableau!$H$16-Q669)/(AC669^2+Tableau!$G$21^2)^(3/2))*Tableau!$G$20</f>
        <v>64.339733353493983</v>
      </c>
      <c r="X669" s="101">
        <f>((Tableau!$G$25-P669)/(AD669^2+Tableau!$G$30^2)^(3/2))*Tableau!$G$29</f>
        <v>-2.0598405348071713</v>
      </c>
      <c r="Y669" s="101">
        <f>((Tableau!$H$25-Q669)/(AD669^2+Tableau!$G$30^2)^(3/2))*Tableau!$G$29</f>
        <v>26.714562888746787</v>
      </c>
      <c r="Z669" s="101">
        <f>((Tableau!$G$35-P669)/(AE669^2+Tableau!$G$40^2)^(3/2))*Tableau!$G$39</f>
        <v>23.790047503150468</v>
      </c>
      <c r="AA669" s="102">
        <f>((Tableau!$H$35-Q669)/(AE669^2+Tableau!$G$40^2)^(3/2))*Tableau!$G$39</f>
        <v>152.90571813320801</v>
      </c>
      <c r="AC669" s="113">
        <f>SQRT((Tableau!$G$16-P669)^2+(Tableau!$H$16-Q669)^2)</f>
        <v>85608.365187974123</v>
      </c>
      <c r="AD669" s="114">
        <f>SQRT((Tableau!$G$25-P669)^2+(Tableau!$H$25-Q669)^2)</f>
        <v>81419.797293962532</v>
      </c>
      <c r="AE669" s="115">
        <f>SQRT((Tableau!$G$35-P669)^2+(Tableau!$H$35-Q669)^2)</f>
        <v>56854.738232800752</v>
      </c>
    </row>
    <row r="670" spans="2:31" x14ac:dyDescent="0.25">
      <c r="B670" s="20">
        <v>667</v>
      </c>
      <c r="C670" s="21">
        <f>Tableau!$G$17*COS(B670*PI()/180)+Tableau!$G$16</f>
        <v>23009.075115760235</v>
      </c>
      <c r="D670" s="21">
        <f>Tableau!$G$17*SIN(B670*PI()/180)+Tableau!$H$16</f>
        <v>3506.8224497635315</v>
      </c>
      <c r="F670" s="28">
        <v>667</v>
      </c>
      <c r="G670" s="29">
        <f>Tableau!$G$26*COS(F670*PI()/180)+Tableau!$G$25</f>
        <v>-17893.647418967834</v>
      </c>
      <c r="H670" s="29">
        <f>Tableau!$G$26*SIN(F670*PI()/180)+Tableau!$H$25</f>
        <v>7204.7757148344717</v>
      </c>
      <c r="J670" s="36">
        <v>667</v>
      </c>
      <c r="K670" s="37">
        <f>Tableau!$G$36*COS(J670*PI()/180)+Tableau!$G$35</f>
        <v>-1990.9248842397647</v>
      </c>
      <c r="L670" s="37">
        <f>Tableau!$G$36*SIN(J670*PI()/180)+Tableau!$H$35</f>
        <v>-18993.177550236469</v>
      </c>
      <c r="N670" s="92">
        <v>666</v>
      </c>
      <c r="O670" s="93">
        <v>333</v>
      </c>
      <c r="P670" s="96">
        <f>P669+R669*Tableau!$G$2+((1/2)*T669)*Tableau!$G$2^2</f>
        <v>-13332.821005499456</v>
      </c>
      <c r="Q670" s="96">
        <f>Q669+S669*Tableau!$G$2+((1/2)*U669)*Tableau!$G$2^2</f>
        <v>-73795.762752295559</v>
      </c>
      <c r="R670" s="96">
        <f>R669+T669*Tableau!$G$2</f>
        <v>828.0133952539851</v>
      </c>
      <c r="S670" s="96">
        <f>S669+U669*Tableau!$G$2</f>
        <v>-5172.8552347115456</v>
      </c>
      <c r="T670" s="96">
        <f t="shared" si="20"/>
        <v>43.222229533948422</v>
      </c>
      <c r="U670" s="96">
        <f t="shared" si="21"/>
        <v>227.6005336101374</v>
      </c>
      <c r="V670" s="96">
        <f>((Tableau!$G$16-P670)/(AC670^2+Tableau!$G$21^2)^(3/2))*Tableau!$G$20</f>
        <v>25.237949405404844</v>
      </c>
      <c r="W670" s="96">
        <f>((Tableau!$H$16-Q670)/(AC670^2+Tableau!$G$21^2)^(3/2))*Tableau!$G$20</f>
        <v>61.553096477424525</v>
      </c>
      <c r="X670" s="96">
        <f>((Tableau!$G$25-P670)/(AD670^2+Tableau!$G$30^2)^(3/2))*Tableau!$G$29</f>
        <v>-1.9950597946415942</v>
      </c>
      <c r="Y670" s="96">
        <f>((Tableau!$H$25-Q670)/(AD670^2+Tableau!$G$30^2)^(3/2))*Tableau!$G$29</f>
        <v>25.074706613745899</v>
      </c>
      <c r="Z670" s="96">
        <f>((Tableau!$G$35-P670)/(AE670^2+Tableau!$G$40^2)^(3/2))*Tableau!$G$39</f>
        <v>19.979339923185172</v>
      </c>
      <c r="AA670" s="97">
        <f>((Tableau!$H$35-Q670)/(AE670^2+Tableau!$G$40^2)^(3/2))*Tableau!$G$39</f>
        <v>140.97273051896698</v>
      </c>
      <c r="AC670" s="110">
        <f>SQRT((Tableau!$G$16-P670)^2+(Tableau!$H$16-Q670)^2)</f>
        <v>87863.97440169772</v>
      </c>
      <c r="AD670" s="111">
        <f>SQRT((Tableau!$G$25-P670)^2+(Tableau!$H$25-Q670)^2)</f>
        <v>84060.580125191336</v>
      </c>
      <c r="AE670" s="112">
        <f>SQRT((Tableau!$G$35-P670)^2+(Tableau!$H$35-Q670)^2)</f>
        <v>59383.310984938507</v>
      </c>
    </row>
    <row r="671" spans="2:31" x14ac:dyDescent="0.25">
      <c r="B671" s="18">
        <v>668</v>
      </c>
      <c r="C671" s="19">
        <f>Tableau!$G$17*COS(B671*PI()/180)+Tableau!$G$16</f>
        <v>23078.307376628294</v>
      </c>
      <c r="D671" s="19">
        <f>Tableau!$G$17*SIN(B671*PI()/180)+Tableau!$H$16</f>
        <v>3559.946231966393</v>
      </c>
      <c r="F671" s="26">
        <v>668</v>
      </c>
      <c r="G671" s="27">
        <f>Tableau!$G$26*COS(F671*PI()/180)+Tableau!$G$25</f>
        <v>-17845.184836360193</v>
      </c>
      <c r="H671" s="27">
        <f>Tableau!$G$26*SIN(F671*PI()/180)+Tableau!$H$25</f>
        <v>7241.9623623764746</v>
      </c>
      <c r="J671" s="34">
        <v>668</v>
      </c>
      <c r="K671" s="35">
        <f>Tableau!$G$36*COS(J671*PI()/180)+Tableau!$G$35</f>
        <v>-1921.6926233717054</v>
      </c>
      <c r="L671" s="35">
        <f>Tableau!$G$36*SIN(J671*PI()/180)+Tableau!$H$35</f>
        <v>-18940.053768033606</v>
      </c>
      <c r="N671" s="98">
        <v>667</v>
      </c>
      <c r="O671" s="99">
        <v>333.5</v>
      </c>
      <c r="P671" s="101">
        <f>P670+R670*Tableau!$G$2+((1/2)*T670)*Tableau!$G$2^2</f>
        <v>-12913.411529180721</v>
      </c>
      <c r="Q671" s="101">
        <f>Q670+S670*Tableau!$G$2+((1/2)*U670)*Tableau!$G$2^2</f>
        <v>-76353.740302950071</v>
      </c>
      <c r="R671" s="101">
        <f>R670+T670*Tableau!$G$2</f>
        <v>849.62451002095929</v>
      </c>
      <c r="S671" s="101">
        <f>S670+U670*Tableau!$G$2</f>
        <v>-5059.054967906477</v>
      </c>
      <c r="T671" s="101">
        <f t="shared" si="20"/>
        <v>38.046460670829134</v>
      </c>
      <c r="U671" s="101">
        <f t="shared" si="21"/>
        <v>213.12738182800584</v>
      </c>
      <c r="V671" s="101">
        <f>((Tableau!$G$16-P671)/(AC671^2+Tableau!$G$21^2)^(3/2))*Tableau!$G$20</f>
        <v>23.146247714078807</v>
      </c>
      <c r="W671" s="101">
        <f>((Tableau!$H$16-Q671)/(AC671^2+Tableau!$G$21^2)^(3/2))*Tableau!$G$20</f>
        <v>58.969865311085499</v>
      </c>
      <c r="X671" s="101">
        <f>((Tableau!$G$25-P671)/(AD671^2+Tableau!$G$30^2)^(3/2))*Tableau!$G$29</f>
        <v>-1.9376521130725071</v>
      </c>
      <c r="Y671" s="101">
        <f>((Tableau!$H$25-Q671)/(AD671^2+Tableau!$G$30^2)^(3/2))*Tableau!$G$29</f>
        <v>23.611291675637752</v>
      </c>
      <c r="Z671" s="101">
        <f>((Tableau!$G$35-P671)/(AE671^2+Tableau!$G$40^2)^(3/2))*Tableau!$G$39</f>
        <v>16.837865069822833</v>
      </c>
      <c r="AA671" s="102">
        <f>((Tableau!$H$35-Q671)/(AE671^2+Tableau!$G$40^2)^(3/2))*Tableau!$G$39</f>
        <v>130.54622484128259</v>
      </c>
      <c r="AC671" s="113">
        <f>SQRT((Tableau!$G$16-P671)^2+(Tableau!$H$16-Q671)^2)</f>
        <v>90081.865107710764</v>
      </c>
      <c r="AD671" s="114">
        <f>SQRT((Tableau!$G$25-P671)^2+(Tableau!$H$25-Q671)^2)</f>
        <v>86644.031533995993</v>
      </c>
      <c r="AE671" s="115">
        <f>SQRT((Tableau!$G$35-P671)^2+(Tableau!$H$35-Q671)^2)</f>
        <v>61861.971607701045</v>
      </c>
    </row>
    <row r="672" spans="2:31" x14ac:dyDescent="0.25">
      <c r="B672" s="20">
        <v>669</v>
      </c>
      <c r="C672" s="21">
        <f>Tableau!$G$17*COS(B672*PI()/180)+Tableau!$G$16</f>
        <v>23146.601955249185</v>
      </c>
      <c r="D672" s="21">
        <f>Tableau!$G$17*SIN(B672*PI()/180)+Tableau!$H$16</f>
        <v>3614.2701927151447</v>
      </c>
      <c r="F672" s="28">
        <v>669</v>
      </c>
      <c r="G672" s="29">
        <f>Tableau!$G$26*COS(F672*PI()/180)+Tableau!$G$25</f>
        <v>-17797.37863132557</v>
      </c>
      <c r="H672" s="29">
        <f>Tableau!$G$26*SIN(F672*PI()/180)+Tableau!$H$25</f>
        <v>7279.9891349006011</v>
      </c>
      <c r="J672" s="36">
        <v>669</v>
      </c>
      <c r="K672" s="37">
        <f>Tableau!$G$36*COS(J672*PI()/180)+Tableau!$G$35</f>
        <v>-1853.3980447508138</v>
      </c>
      <c r="L672" s="37">
        <f>Tableau!$G$36*SIN(J672*PI()/180)+Tableau!$H$35</f>
        <v>-18885.729807284857</v>
      </c>
      <c r="N672" s="92">
        <v>668</v>
      </c>
      <c r="O672" s="93">
        <v>334</v>
      </c>
      <c r="P672" s="96">
        <f>P671+R671*Tableau!$G$2+((1/2)*T671)*Tableau!$G$2^2</f>
        <v>-12483.843466586388</v>
      </c>
      <c r="Q672" s="96">
        <f>Q671+S671*Tableau!$G$2+((1/2)*U671)*Tableau!$G$2^2</f>
        <v>-78856.626864174803</v>
      </c>
      <c r="R672" s="96">
        <f>R671+T671*Tableau!$G$2</f>
        <v>868.6477403563739</v>
      </c>
      <c r="S672" s="96">
        <f>S671+U671*Tableau!$G$2</f>
        <v>-4952.491276992474</v>
      </c>
      <c r="T672" s="96">
        <f t="shared" si="20"/>
        <v>33.618093114462347</v>
      </c>
      <c r="U672" s="96">
        <f t="shared" si="21"/>
        <v>200.2429236545708</v>
      </c>
      <c r="V672" s="96">
        <f>((Tableau!$G$16-P672)/(AC672^2+Tableau!$G$21^2)^(3/2))*Tableau!$G$20</f>
        <v>21.279407951343916</v>
      </c>
      <c r="W672" s="96">
        <f>((Tableau!$H$16-Q672)/(AC672^2+Tableau!$G$21^2)^(3/2))*Tableau!$G$20</f>
        <v>56.570211410942669</v>
      </c>
      <c r="X672" s="96">
        <f>((Tableau!$G$25-P672)/(AD672^2+Tableau!$G$30^2)^(3/2))*Tableau!$G$29</f>
        <v>-1.8861348672702902</v>
      </c>
      <c r="Y672" s="96">
        <f>((Tableau!$H$25-Q672)/(AD672^2+Tableau!$G$30^2)^(3/2))*Tableau!$G$29</f>
        <v>22.298043071813087</v>
      </c>
      <c r="Z672" s="96">
        <f>((Tableau!$G$35-P672)/(AE672^2+Tableau!$G$40^2)^(3/2))*Tableau!$G$39</f>
        <v>14.224820030388722</v>
      </c>
      <c r="AA672" s="97">
        <f>((Tableau!$H$35-Q672)/(AE672^2+Tableau!$G$40^2)^(3/2))*Tableau!$G$39</f>
        <v>121.37466917181506</v>
      </c>
      <c r="AC672" s="110">
        <f>SQRT((Tableau!$G$16-P672)^2+(Tableau!$H$16-Q672)^2)</f>
        <v>92264.115937454277</v>
      </c>
      <c r="AD672" s="111">
        <f>SQRT((Tableau!$G$25-P672)^2+(Tableau!$H$25-Q672)^2)</f>
        <v>89173.946569129519</v>
      </c>
      <c r="AE672" s="112">
        <f>SQRT((Tableau!$G$35-P672)^2+(Tableau!$H$35-Q672)^2)</f>
        <v>64293.675486029097</v>
      </c>
    </row>
    <row r="673" spans="2:31" x14ac:dyDescent="0.25">
      <c r="B673" s="18">
        <v>670</v>
      </c>
      <c r="C673" s="19">
        <f>Tableau!$G$17*COS(B673*PI()/180)+Tableau!$G$16</f>
        <v>23213.93804843269</v>
      </c>
      <c r="D673" s="19">
        <f>Tableau!$G$17*SIN(B673*PI()/180)+Tableau!$H$16</f>
        <v>3669.7777844051061</v>
      </c>
      <c r="F673" s="26">
        <v>670</v>
      </c>
      <c r="G673" s="27">
        <f>Tableau!$G$26*COS(F673*PI()/180)+Tableau!$G$25</f>
        <v>-17750.243366097115</v>
      </c>
      <c r="H673" s="27">
        <f>Tableau!$G$26*SIN(F673*PI()/180)+Tableau!$H$25</f>
        <v>7318.8444490835736</v>
      </c>
      <c r="J673" s="34">
        <v>670</v>
      </c>
      <c r="K673" s="35">
        <f>Tableau!$G$36*COS(J673*PI()/180)+Tableau!$G$35</f>
        <v>-1786.0619515673084</v>
      </c>
      <c r="L673" s="35">
        <f>Tableau!$G$36*SIN(J673*PI()/180)+Tableau!$H$35</f>
        <v>-18830.222215594895</v>
      </c>
      <c r="N673" s="98">
        <v>669</v>
      </c>
      <c r="O673" s="99">
        <v>334.5</v>
      </c>
      <c r="P673" s="101">
        <f>P672+R672*Tableau!$G$2+((1/2)*T672)*Tableau!$G$2^2</f>
        <v>-12045.317334768893</v>
      </c>
      <c r="Q673" s="101">
        <f>Q672+S672*Tableau!$G$2+((1/2)*U672)*Tableau!$G$2^2</f>
        <v>-81307.842137214218</v>
      </c>
      <c r="R673" s="101">
        <f>R672+T672*Tableau!$G$2</f>
        <v>885.45678691360513</v>
      </c>
      <c r="S673" s="101">
        <f>S672+U672*Tableau!$G$2</f>
        <v>-4852.3698151651888</v>
      </c>
      <c r="T673" s="101">
        <f t="shared" si="20"/>
        <v>29.801157680792496</v>
      </c>
      <c r="U673" s="101">
        <f t="shared" si="21"/>
        <v>188.70769837725379</v>
      </c>
      <c r="V673" s="101">
        <f>((Tableau!$G$16-P673)/(AC673^2+Tableau!$G$21^2)^(3/2))*Tableau!$G$20</f>
        <v>19.60676784421937</v>
      </c>
      <c r="W673" s="101">
        <f>((Tableau!$H$16-Q673)/(AC673^2+Tableau!$G$21^2)^(3/2))*Tableau!$G$20</f>
        <v>54.336636000206404</v>
      </c>
      <c r="X673" s="101">
        <f>((Tableau!$G$25-P673)/(AD673^2+Tableau!$G$30^2)^(3/2))*Tableau!$G$29</f>
        <v>-1.839402921999242</v>
      </c>
      <c r="Y673" s="101">
        <f>((Tableau!$H$25-Q673)/(AD673^2+Tableau!$G$30^2)^(3/2))*Tableau!$G$29</f>
        <v>21.113590409172893</v>
      </c>
      <c r="Z673" s="101">
        <f>((Tableau!$G$35-P673)/(AE673^2+Tableau!$G$40^2)^(3/2))*Tableau!$G$39</f>
        <v>12.033792758572368</v>
      </c>
      <c r="AA673" s="102">
        <f>((Tableau!$H$35-Q673)/(AE673^2+Tableau!$G$40^2)^(3/2))*Tableau!$G$39</f>
        <v>113.25747196787449</v>
      </c>
      <c r="AC673" s="113">
        <f>SQRT((Tableau!$G$16-P673)^2+(Tableau!$H$16-Q673)^2)</f>
        <v>94412.579607562904</v>
      </c>
      <c r="AD673" s="114">
        <f>SQRT((Tableau!$G$25-P673)^2+(Tableau!$H$25-Q673)^2)</f>
        <v>91653.690662509383</v>
      </c>
      <c r="AE673" s="115">
        <f>SQRT((Tableau!$G$35-P673)^2+(Tableau!$H$35-Q673)^2)</f>
        <v>66681.079964569537</v>
      </c>
    </row>
    <row r="674" spans="2:31" x14ac:dyDescent="0.25">
      <c r="B674" s="20">
        <v>671</v>
      </c>
      <c r="C674" s="21">
        <f>Tableau!$G$17*COS(B674*PI()/180)+Tableau!$G$16</f>
        <v>23280.295144952528</v>
      </c>
      <c r="D674" s="21">
        <f>Tableau!$G$17*SIN(B674*PI()/180)+Tableau!$H$16</f>
        <v>3726.4520988861323</v>
      </c>
      <c r="F674" s="28">
        <v>671</v>
      </c>
      <c r="G674" s="29">
        <f>Tableau!$G$26*COS(F674*PI()/180)+Tableau!$G$25</f>
        <v>-17703.793398533231</v>
      </c>
      <c r="H674" s="29">
        <f>Tableau!$G$26*SIN(F674*PI()/180)+Tableau!$H$25</f>
        <v>7358.5164692202925</v>
      </c>
      <c r="J674" s="36">
        <v>671</v>
      </c>
      <c r="K674" s="37">
        <f>Tableau!$G$36*COS(J674*PI()/180)+Tableau!$G$35</f>
        <v>-1719.7048550474724</v>
      </c>
      <c r="L674" s="37">
        <f>Tableau!$G$36*SIN(J674*PI()/180)+Tableau!$H$35</f>
        <v>-18773.547901113867</v>
      </c>
      <c r="N674" s="92">
        <v>670</v>
      </c>
      <c r="O674" s="93">
        <v>335</v>
      </c>
      <c r="P674" s="96">
        <f>P673+R673*Tableau!$G$2+((1/2)*T673)*Tableau!$G$2^2</f>
        <v>-11598.863796601992</v>
      </c>
      <c r="Q674" s="96">
        <f>Q673+S673*Tableau!$G$2+((1/2)*U673)*Tableau!$G$2^2</f>
        <v>-83710.438582499657</v>
      </c>
      <c r="R674" s="96">
        <f>R673+T673*Tableau!$G$2</f>
        <v>900.35736575400142</v>
      </c>
      <c r="S674" s="96">
        <f>S673+U673*Tableau!$G$2</f>
        <v>-4758.0159659765623</v>
      </c>
      <c r="T674" s="96">
        <f t="shared" si="20"/>
        <v>26.489375934858032</v>
      </c>
      <c r="U674" s="96">
        <f t="shared" si="21"/>
        <v>178.32711896676699</v>
      </c>
      <c r="V674" s="96">
        <f>((Tableau!$G$16-P674)/(AC674^2+Tableau!$G$21^2)^(3/2))*Tableau!$G$20</f>
        <v>18.102712742346775</v>
      </c>
      <c r="W674" s="96">
        <f>((Tableau!$H$16-Q674)/(AC674^2+Tableau!$G$21^2)^(3/2))*Tableau!$G$20</f>
        <v>52.253662644035096</v>
      </c>
      <c r="X674" s="96">
        <f>((Tableau!$G$25-P674)/(AD674^2+Tableau!$G$30^2)^(3/2))*Tableau!$G$29</f>
        <v>-1.796619343011548</v>
      </c>
      <c r="Y674" s="96">
        <f>((Tableau!$H$25-Q674)/(AD674^2+Tableau!$G$30^2)^(3/2))*Tableau!$G$29</f>
        <v>20.040382934312767</v>
      </c>
      <c r="Z674" s="96">
        <f>((Tableau!$G$35-P674)/(AE674^2+Tableau!$G$40^2)^(3/2))*Tableau!$G$39</f>
        <v>10.183282535522807</v>
      </c>
      <c r="AA674" s="97">
        <f>((Tableau!$H$35-Q674)/(AE674^2+Tableau!$G$40^2)^(3/2))*Tableau!$G$39</f>
        <v>106.03307338841913</v>
      </c>
      <c r="AC674" s="110">
        <f>SQRT((Tableau!$G$16-P674)^2+(Tableau!$H$16-Q674)^2)</f>
        <v>96528.919499019292</v>
      </c>
      <c r="AD674" s="111">
        <f>SQRT((Tableau!$G$25-P674)^2+(Tableau!$H$25-Q674)^2)</f>
        <v>94086.265675881121</v>
      </c>
      <c r="AE674" s="112">
        <f>SQRT((Tableau!$G$35-P674)^2+(Tableau!$H$35-Q674)^2)</f>
        <v>69026.584542519282</v>
      </c>
    </row>
    <row r="675" spans="2:31" x14ac:dyDescent="0.25">
      <c r="B675" s="18">
        <v>672</v>
      </c>
      <c r="C675" s="19">
        <f>Tableau!$G$17*COS(B675*PI()/180)+Tableau!$G$16</f>
        <v>23345.653031794292</v>
      </c>
      <c r="D675" s="19">
        <f>Tableau!$G$17*SIN(B675*PI()/180)+Tableau!$H$16</f>
        <v>3784.2758726130292</v>
      </c>
      <c r="F675" s="26">
        <v>672</v>
      </c>
      <c r="G675" s="27">
        <f>Tableau!$G$26*COS(F675*PI()/180)+Tableau!$G$25</f>
        <v>-17658.042877743996</v>
      </c>
      <c r="H675" s="27">
        <f>Tableau!$G$26*SIN(F675*PI()/180)+Tableau!$H$25</f>
        <v>7398.9931108291203</v>
      </c>
      <c r="J675" s="34">
        <v>672</v>
      </c>
      <c r="K675" s="35">
        <f>Tableau!$G$36*COS(J675*PI()/180)+Tableau!$G$35</f>
        <v>-1654.3469682057084</v>
      </c>
      <c r="L675" s="35">
        <f>Tableau!$G$36*SIN(J675*PI()/180)+Tableau!$H$35</f>
        <v>-18715.724127386969</v>
      </c>
      <c r="N675" s="98">
        <v>671</v>
      </c>
      <c r="O675" s="99">
        <v>335.5</v>
      </c>
      <c r="P675" s="101">
        <f>P674+R674*Tableau!$G$2+((1/2)*T674)*Tableau!$G$2^2</f>
        <v>-11145.373941733134</v>
      </c>
      <c r="Q675" s="101">
        <f>Q674+S674*Tableau!$G$2+((1/2)*U674)*Tableau!$G$2^2</f>
        <v>-86067.15567561709</v>
      </c>
      <c r="R675" s="101">
        <f>R674+T674*Tableau!$G$2</f>
        <v>913.60205372143048</v>
      </c>
      <c r="S675" s="101">
        <f>S674+U674*Tableau!$G$2</f>
        <v>-4668.8524064931789</v>
      </c>
      <c r="T675" s="101">
        <f t="shared" si="20"/>
        <v>23.598672661855531</v>
      </c>
      <c r="U675" s="101">
        <f t="shared" si="21"/>
        <v>168.94159936671605</v>
      </c>
      <c r="V675" s="101">
        <f>((Tableau!$G$16-P675)/(AC675^2+Tableau!$G$21^2)^(3/2))*Tableau!$G$20</f>
        <v>16.745706764235809</v>
      </c>
      <c r="W675" s="101">
        <f>((Tableau!$H$16-Q675)/(AC675^2+Tableau!$G$21^2)^(3/2))*Tableau!$G$20</f>
        <v>50.307572310377473</v>
      </c>
      <c r="X675" s="101">
        <f>((Tableau!$G$25-P675)/(AD675^2+Tableau!$G$30^2)^(3/2))*Tableau!$G$29</f>
        <v>-1.7571408062570615</v>
      </c>
      <c r="Y675" s="101">
        <f>((Tableau!$H$25-Q675)/(AD675^2+Tableau!$G$30^2)^(3/2))*Tableau!$G$29</f>
        <v>19.06387895636518</v>
      </c>
      <c r="Z675" s="101">
        <f>((Tableau!$G$35-P675)/(AE675^2+Tableau!$G$40^2)^(3/2))*Tableau!$G$39</f>
        <v>8.6101067038767827</v>
      </c>
      <c r="AA675" s="102">
        <f>((Tableau!$H$35-Q675)/(AE675^2+Tableau!$G$40^2)^(3/2))*Tableau!$G$39</f>
        <v>99.570148099973409</v>
      </c>
      <c r="AC675" s="113">
        <f>SQRT((Tableau!$G$16-P675)^2+(Tableau!$H$16-Q675)^2)</f>
        <v>98614.63856444211</v>
      </c>
      <c r="AD675" s="114">
        <f>SQRT((Tableau!$G$25-P675)^2+(Tableau!$H$25-Q675)^2)</f>
        <v>96474.363445606563</v>
      </c>
      <c r="AE675" s="115">
        <f>SQRT((Tableau!$G$35-P675)^2+(Tableau!$H$35-Q675)^2)</f>
        <v>71332.364580925874</v>
      </c>
    </row>
    <row r="676" spans="2:31" x14ac:dyDescent="0.25">
      <c r="B676" s="20">
        <v>673</v>
      </c>
      <c r="C676" s="21">
        <f>Tableau!$G$17*COS(B676*PI()/180)+Tableau!$G$16</f>
        <v>23409.991800312488</v>
      </c>
      <c r="D676" s="21">
        <f>Tableau!$G$17*SIN(B676*PI()/180)+Tableau!$H$16</f>
        <v>3843.2314919041441</v>
      </c>
      <c r="F676" s="28">
        <v>673</v>
      </c>
      <c r="G676" s="29">
        <f>Tableau!$G$26*COS(F676*PI()/180)+Tableau!$G$25</f>
        <v>-17613.005739781256</v>
      </c>
      <c r="H676" s="29">
        <f>Tableau!$G$26*SIN(F676*PI()/180)+Tableau!$H$25</f>
        <v>7440.2620443329015</v>
      </c>
      <c r="J676" s="36">
        <v>673</v>
      </c>
      <c r="K676" s="37">
        <f>Tableau!$G$36*COS(J676*PI()/180)+Tableau!$G$35</f>
        <v>-1590.008199687511</v>
      </c>
      <c r="L676" s="37">
        <f>Tableau!$G$36*SIN(J676*PI()/180)+Tableau!$H$35</f>
        <v>-18656.768508095854</v>
      </c>
      <c r="N676" s="92">
        <v>672</v>
      </c>
      <c r="O676" s="93">
        <v>336</v>
      </c>
      <c r="P676" s="96">
        <f>P675+R675*Tableau!$G$2+((1/2)*T675)*Tableau!$G$2^2</f>
        <v>-10685.623080789686</v>
      </c>
      <c r="Q676" s="96">
        <f>Q675+S675*Tableau!$G$2+((1/2)*U675)*Tableau!$G$2^2</f>
        <v>-88380.464178942842</v>
      </c>
      <c r="R676" s="96">
        <f>R675+T675*Tableau!$G$2</f>
        <v>925.40139005235824</v>
      </c>
      <c r="S676" s="96">
        <f>S675+U675*Tableau!$G$2</f>
        <v>-4584.3816068098213</v>
      </c>
      <c r="T676" s="96">
        <f t="shared" si="20"/>
        <v>21.061808171058999</v>
      </c>
      <c r="U676" s="96">
        <f t="shared" si="21"/>
        <v>160.41913933566798</v>
      </c>
      <c r="V676" s="96">
        <f>((Tableau!$G$16-P676)/(AC676^2+Tableau!$G$21^2)^(3/2))*Tableau!$G$20</f>
        <v>15.517535464951143</v>
      </c>
      <c r="W676" s="96">
        <f>((Tableau!$H$16-Q676)/(AC676^2+Tableau!$G$21^2)^(3/2))*Tableau!$G$20</f>
        <v>48.486175411056188</v>
      </c>
      <c r="X676" s="96">
        <f>((Tableau!$G$25-P676)/(AD676^2+Tableau!$G$30^2)^(3/2))*Tableau!$G$29</f>
        <v>-1.7204658259789365</v>
      </c>
      <c r="Y676" s="96">
        <f>((Tableau!$H$25-Q676)/(AD676^2+Tableau!$G$30^2)^(3/2))*Tableau!$G$29</f>
        <v>18.171932275440511</v>
      </c>
      <c r="Z676" s="96">
        <f>((Tableau!$G$35-P676)/(AE676^2+Tableau!$G$40^2)^(3/2))*Tableau!$G$39</f>
        <v>7.2647385320867919</v>
      </c>
      <c r="AA676" s="97">
        <f>((Tableau!$H$35-Q676)/(AE676^2+Tableau!$G$40^2)^(3/2))*Tableau!$G$39</f>
        <v>93.761031649171301</v>
      </c>
      <c r="AC676" s="110">
        <f>SQRT((Tableau!$G$16-P676)^2+(Tableau!$H$16-Q676)^2)</f>
        <v>100671.10248241962</v>
      </c>
      <c r="AD676" s="111">
        <f>SQRT((Tableau!$G$25-P676)^2+(Tableau!$H$25-Q676)^2)</f>
        <v>98820.409579486033</v>
      </c>
      <c r="AE676" s="112">
        <f>SQRT((Tableau!$G$35-P676)^2+(Tableau!$H$35-Q676)^2)</f>
        <v>73600.39967917242</v>
      </c>
    </row>
    <row r="677" spans="2:31" x14ac:dyDescent="0.25">
      <c r="B677" s="18">
        <v>674</v>
      </c>
      <c r="C677" s="19">
        <f>Tableau!$G$17*COS(B677*PI()/180)+Tableau!$G$16</f>
        <v>23473.29185229498</v>
      </c>
      <c r="D677" s="19">
        <f>Tableau!$G$17*SIN(B677*PI()/180)+Tableau!$H$16</f>
        <v>3903.3009983067373</v>
      </c>
      <c r="F677" s="26">
        <v>674</v>
      </c>
      <c r="G677" s="27">
        <f>Tableau!$G$26*COS(F677*PI()/180)+Tableau!$G$25</f>
        <v>-17568.695703393514</v>
      </c>
      <c r="H677" s="27">
        <f>Tableau!$G$26*SIN(F677*PI()/180)+Tableau!$H$25</f>
        <v>7482.3106988147156</v>
      </c>
      <c r="J677" s="34">
        <v>674</v>
      </c>
      <c r="K677" s="35">
        <f>Tableau!$G$36*COS(J677*PI()/180)+Tableau!$G$35</f>
        <v>-1526.708147705021</v>
      </c>
      <c r="L677" s="35">
        <f>Tableau!$G$36*SIN(J677*PI()/180)+Tableau!$H$35</f>
        <v>-18596.699001693261</v>
      </c>
      <c r="N677" s="98">
        <v>673</v>
      </c>
      <c r="O677" s="99">
        <v>336.5</v>
      </c>
      <c r="P677" s="101">
        <f>P676+R676*Tableau!$G$2+((1/2)*T676)*Tableau!$G$2^2</f>
        <v>-10220.289659742126</v>
      </c>
      <c r="Q677" s="101">
        <f>Q676+S676*Tableau!$G$2+((1/2)*U676)*Tableau!$G$2^2</f>
        <v>-90652.602589930801</v>
      </c>
      <c r="R677" s="101">
        <f>R676+T676*Tableau!$G$2</f>
        <v>935.93229413788777</v>
      </c>
      <c r="S677" s="101">
        <f>S676+U676*Tableau!$G$2</f>
        <v>-4504.1720371419869</v>
      </c>
      <c r="T677" s="101">
        <f t="shared" si="20"/>
        <v>18.824470551071006</v>
      </c>
      <c r="U677" s="101">
        <f t="shared" si="21"/>
        <v>152.64969231139219</v>
      </c>
      <c r="V677" s="101">
        <f>((Tableau!$G$16-P677)/(AC677^2+Tableau!$G$21^2)^(3/2))*Tableau!$G$20</f>
        <v>14.40270845508287</v>
      </c>
      <c r="W677" s="101">
        <f>((Tableau!$H$16-Q677)/(AC677^2+Tableau!$G$21^2)^(3/2))*Tableau!$G$20</f>
        <v>46.778615795122334</v>
      </c>
      <c r="X677" s="101">
        <f>((Tableau!$G$25-P677)/(AD677^2+Tableau!$G$30^2)^(3/2))*Tableau!$G$29</f>
        <v>-1.686198262422544</v>
      </c>
      <c r="Y677" s="101">
        <f>((Tableau!$H$25-Q677)/(AD677^2+Tableau!$G$30^2)^(3/2))*Tableau!$G$29</f>
        <v>17.354322131280316</v>
      </c>
      <c r="Z677" s="101">
        <f>((Tableau!$G$35-P677)/(AE677^2+Tableau!$G$40^2)^(3/2))*Tableau!$G$39</f>
        <v>6.1079603584106783</v>
      </c>
      <c r="AA677" s="102">
        <f>((Tableau!$H$35-Q677)/(AE677^2+Tableau!$G$40^2)^(3/2))*Tableau!$G$39</f>
        <v>88.51675438498954</v>
      </c>
      <c r="AC677" s="113">
        <f>SQRT((Tableau!$G$16-P677)^2+(Tableau!$H$16-Q677)^2)</f>
        <v>102699.55843281708</v>
      </c>
      <c r="AD677" s="114">
        <f>SQRT((Tableau!$G$25-P677)^2+(Tableau!$H$25-Q677)^2)</f>
        <v>101126.5995792694</v>
      </c>
      <c r="AE677" s="115">
        <f>SQRT((Tableau!$G$35-P677)^2+(Tableau!$H$35-Q677)^2)</f>
        <v>75832.497669281714</v>
      </c>
    </row>
    <row r="678" spans="2:31" x14ac:dyDescent="0.25">
      <c r="B678" s="20">
        <v>675</v>
      </c>
      <c r="C678" s="21">
        <f>Tableau!$G$17*COS(B678*PI()/180)+Tableau!$G$16</f>
        <v>23535.533905932738</v>
      </c>
      <c r="D678" s="21">
        <f>Tableau!$G$17*SIN(B678*PI()/180)+Tableau!$H$16</f>
        <v>3964.4660940672638</v>
      </c>
      <c r="F678" s="28">
        <v>675</v>
      </c>
      <c r="G678" s="29">
        <f>Tableau!$G$26*COS(F678*PI()/180)+Tableau!$G$25</f>
        <v>-17525.126265847084</v>
      </c>
      <c r="H678" s="29">
        <f>Tableau!$G$26*SIN(F678*PI()/180)+Tableau!$H$25</f>
        <v>7525.1262658470841</v>
      </c>
      <c r="J678" s="36">
        <v>675</v>
      </c>
      <c r="K678" s="37">
        <f>Tableau!$G$36*COS(J678*PI()/180)+Tableau!$G$35</f>
        <v>-1464.4660940672611</v>
      </c>
      <c r="L678" s="37">
        <f>Tableau!$G$36*SIN(J678*PI()/180)+Tableau!$H$35</f>
        <v>-18535.533905932738</v>
      </c>
      <c r="N678" s="92">
        <v>674</v>
      </c>
      <c r="O678" s="93">
        <v>337</v>
      </c>
      <c r="P678" s="96">
        <f>P677+R677*Tableau!$G$2+((1/2)*T677)*Tableau!$G$2^2</f>
        <v>-9749.9704538542974</v>
      </c>
      <c r="Q678" s="96">
        <f>Q677+S677*Tableau!$G$2+((1/2)*U677)*Tableau!$G$2^2</f>
        <v>-92885.607396962863</v>
      </c>
      <c r="R678" s="96">
        <f>R677+T677*Tableau!$G$2</f>
        <v>945.34452941342329</v>
      </c>
      <c r="S678" s="96">
        <f>S677+U677*Tableau!$G$2</f>
        <v>-4427.847190986291</v>
      </c>
      <c r="T678" s="96">
        <f t="shared" si="20"/>
        <v>16.842390353510918</v>
      </c>
      <c r="U678" s="96">
        <f t="shared" si="21"/>
        <v>145.54084205438335</v>
      </c>
      <c r="V678" s="96">
        <f>((Tableau!$G$16-P678)/(AC678^2+Tableau!$G$21^2)^(3/2))*Tableau!$G$20</f>
        <v>13.387984244119632</v>
      </c>
      <c r="W678" s="96">
        <f>((Tableau!$H$16-Q678)/(AC678^2+Tableau!$G$21^2)^(3/2))*Tableau!$G$20</f>
        <v>45.175202182185672</v>
      </c>
      <c r="X678" s="96">
        <f>((Tableau!$G$25-P678)/(AD678^2+Tableau!$G$30^2)^(3/2))*Tableau!$G$29</f>
        <v>-1.6540212306042132</v>
      </c>
      <c r="Y678" s="96">
        <f>((Tableau!$H$25-Q678)/(AD678^2+Tableau!$G$30^2)^(3/2))*Tableau!$G$29</f>
        <v>16.602389114300358</v>
      </c>
      <c r="Z678" s="96">
        <f>((Tableau!$G$35-P678)/(AE678^2+Tableau!$G$40^2)^(3/2))*Tableau!$G$39</f>
        <v>5.1084273399954991</v>
      </c>
      <c r="AA678" s="97">
        <f>((Tableau!$H$35-Q678)/(AE678^2+Tableau!$G$40^2)^(3/2))*Tableau!$G$39</f>
        <v>83.76325075789731</v>
      </c>
      <c r="AC678" s="110">
        <f>SQRT((Tableau!$G$16-P678)^2+(Tableau!$H$16-Q678)^2)</f>
        <v>104701.1504925441</v>
      </c>
      <c r="AD678" s="111">
        <f>SQRT((Tableau!$G$25-P678)^2+(Tableau!$H$25-Q678)^2)</f>
        <v>103394.92886567909</v>
      </c>
      <c r="AE678" s="112">
        <f>SQRT((Tableau!$G$35-P678)^2+(Tableau!$H$35-Q678)^2)</f>
        <v>78030.314999404713</v>
      </c>
    </row>
    <row r="679" spans="2:31" x14ac:dyDescent="0.25">
      <c r="B679" s="18">
        <v>676</v>
      </c>
      <c r="C679" s="19">
        <f>Tableau!$G$17*COS(B679*PI()/180)+Tableau!$G$16</f>
        <v>23596.699001693254</v>
      </c>
      <c r="D679" s="19">
        <f>Tableau!$G$17*SIN(B679*PI()/180)+Tableau!$H$16</f>
        <v>4026.708147705011</v>
      </c>
      <c r="F679" s="26">
        <v>676</v>
      </c>
      <c r="G679" s="27">
        <f>Tableau!$G$26*COS(F679*PI()/180)+Tableau!$G$25</f>
        <v>-17482.310698814723</v>
      </c>
      <c r="H679" s="27">
        <f>Tableau!$G$26*SIN(F679*PI()/180)+Tableau!$H$25</f>
        <v>7568.6957033935078</v>
      </c>
      <c r="J679" s="34">
        <v>676</v>
      </c>
      <c r="K679" s="35">
        <f>Tableau!$G$36*COS(J679*PI()/180)+Tableau!$G$35</f>
        <v>-1403.3009983067468</v>
      </c>
      <c r="L679" s="35">
        <f>Tableau!$G$36*SIN(J679*PI()/180)+Tableau!$H$35</f>
        <v>-18473.291852294988</v>
      </c>
      <c r="N679" s="98">
        <v>675</v>
      </c>
      <c r="O679" s="99">
        <v>337.5</v>
      </c>
      <c r="P679" s="101">
        <f>P678+R678*Tableau!$G$2+((1/2)*T678)*Tableau!$G$2^2</f>
        <v>-9275.1928903533972</v>
      </c>
      <c r="Q679" s="101">
        <f>Q678+S678*Tableau!$G$2+((1/2)*U678)*Tableau!$G$2^2</f>
        <v>-95081.338387199212</v>
      </c>
      <c r="R679" s="101">
        <f>R678+T678*Tableau!$G$2</f>
        <v>953.76572459017871</v>
      </c>
      <c r="S679" s="101">
        <f>S678+U678*Tableau!$G$2</f>
        <v>-4355.0767699590997</v>
      </c>
      <c r="T679" s="101">
        <f t="shared" si="20"/>
        <v>15.079182395476479</v>
      </c>
      <c r="U679" s="101">
        <f t="shared" si="21"/>
        <v>139.01445073147605</v>
      </c>
      <c r="V679" s="101">
        <f>((Tableau!$G$16-P679)/(AC679^2+Tableau!$G$21^2)^(3/2))*Tableau!$G$20</f>
        <v>12.461989379263397</v>
      </c>
      <c r="W679" s="101">
        <f>((Tableau!$H$16-Q679)/(AC679^2+Tableau!$G$21^2)^(3/2))*Tableau!$G$20</f>
        <v>43.667263074230398</v>
      </c>
      <c r="X679" s="101">
        <f>((Tableau!$G$25-P679)/(AD679^2+Tableau!$G$30^2)^(3/2))*Tableau!$G$29</f>
        <v>-1.6236781973043439</v>
      </c>
      <c r="Y679" s="101">
        <f>((Tableau!$H$25-Q679)/(AD679^2+Tableau!$G$30^2)^(3/2))*Tableau!$G$29</f>
        <v>15.908750277605458</v>
      </c>
      <c r="Z679" s="101">
        <f>((Tableau!$G$35-P679)/(AE679^2+Tableau!$G$40^2)^(3/2))*Tableau!$G$39</f>
        <v>4.2408712135174271</v>
      </c>
      <c r="AA679" s="102">
        <f>((Tableau!$H$35-Q679)/(AE679^2+Tableau!$G$40^2)^(3/2))*Tableau!$G$39</f>
        <v>79.438437379640192</v>
      </c>
      <c r="AC679" s="113">
        <f>SQRT((Tableau!$G$16-P679)^2+(Tableau!$H$16-Q679)^2)</f>
        <v>106676.93238969927</v>
      </c>
      <c r="AD679" s="114">
        <f>SQRT((Tableau!$G$25-P679)^2+(Tableau!$H$25-Q679)^2)</f>
        <v>105627.21791652089</v>
      </c>
      <c r="AE679" s="115">
        <f>SQRT((Tableau!$G$35-P679)^2+(Tableau!$H$35-Q679)^2)</f>
        <v>80195.374131771678</v>
      </c>
    </row>
    <row r="680" spans="2:31" x14ac:dyDescent="0.25">
      <c r="B680" s="20">
        <v>677</v>
      </c>
      <c r="C680" s="21">
        <f>Tableau!$G$17*COS(B680*PI()/180)+Tableau!$G$16</f>
        <v>23656.768508095851</v>
      </c>
      <c r="D680" s="21">
        <f>Tableau!$G$17*SIN(B680*PI()/180)+Tableau!$H$16</f>
        <v>4090.0081996875078</v>
      </c>
      <c r="F680" s="28">
        <v>677</v>
      </c>
      <c r="G680" s="29">
        <f>Tableau!$G$26*COS(F680*PI()/180)+Tableau!$G$25</f>
        <v>-17440.262044332903</v>
      </c>
      <c r="H680" s="29">
        <f>Tableau!$G$26*SIN(F680*PI()/180)+Tableau!$H$25</f>
        <v>7613.0057397812552</v>
      </c>
      <c r="J680" s="36">
        <v>677</v>
      </c>
      <c r="K680" s="37">
        <f>Tableau!$G$36*COS(J680*PI()/180)+Tableau!$G$35</f>
        <v>-1343.2314919041478</v>
      </c>
      <c r="L680" s="37">
        <f>Tableau!$G$36*SIN(J680*PI()/180)+Tableau!$H$35</f>
        <v>-18409.991800312491</v>
      </c>
      <c r="N680" s="92">
        <v>676</v>
      </c>
      <c r="O680" s="93">
        <v>338</v>
      </c>
      <c r="P680" s="96">
        <f>P679+R679*Tableau!$G$2+((1/2)*T679)*Tableau!$G$2^2</f>
        <v>-8796.4251302588727</v>
      </c>
      <c r="Q680" s="96">
        <f>Q679+S679*Tableau!$G$2+((1/2)*U679)*Tableau!$G$2^2</f>
        <v>-97241.499965837327</v>
      </c>
      <c r="R680" s="96">
        <f>R679+T679*Tableau!$G$2</f>
        <v>961.30531578791692</v>
      </c>
      <c r="S680" s="96">
        <f>S679+U679*Tableau!$G$2</f>
        <v>-4285.5695445933616</v>
      </c>
      <c r="T680" s="96">
        <f t="shared" si="20"/>
        <v>13.504712050534142</v>
      </c>
      <c r="U680" s="96">
        <f t="shared" si="21"/>
        <v>133.00403573489749</v>
      </c>
      <c r="V680" s="96">
        <f>((Tableau!$G$16-P680)/(AC680^2+Tableau!$G$21^2)^(3/2))*Tableau!$G$20</f>
        <v>11.614910978232926</v>
      </c>
      <c r="W680" s="96">
        <f>((Tableau!$H$16-Q680)/(AC680^2+Tableau!$G$21^2)^(3/2))*Tableau!$G$20</f>
        <v>42.247021716297702</v>
      </c>
      <c r="X680" s="96">
        <f>((Tableau!$G$25-P680)/(AD680^2+Tableau!$G$30^2)^(3/2))*Tableau!$G$29</f>
        <v>-1.5949591159370073</v>
      </c>
      <c r="Y680" s="96">
        <f>((Tableau!$H$25-Q680)/(AD680^2+Tableau!$G$30^2)^(3/2))*Tableau!$G$29</f>
        <v>15.267074122852963</v>
      </c>
      <c r="Z680" s="96">
        <f>((Tableau!$G$35-P680)/(AE680^2+Tableau!$G$40^2)^(3/2))*Tableau!$G$39</f>
        <v>3.4847601882382229</v>
      </c>
      <c r="AA680" s="97">
        <f>((Tableau!$H$35-Q680)/(AE680^2+Tableau!$G$40^2)^(3/2))*Tableau!$G$39</f>
        <v>75.489939895746815</v>
      </c>
      <c r="AC680" s="110">
        <f>SQRT((Tableau!$G$16-P680)^2+(Tableau!$H$16-Q680)^2)</f>
        <v>108627.87816843383</v>
      </c>
      <c r="AD680" s="111">
        <f>SQRT((Tableau!$G$25-P680)^2+(Tableau!$H$25-Q680)^2)</f>
        <v>107825.13345590897</v>
      </c>
      <c r="AE680" s="112">
        <f>SQRT((Tableau!$G$35-P680)^2+(Tableau!$H$35-Q680)^2)</f>
        <v>82329.078461989862</v>
      </c>
    </row>
    <row r="681" spans="2:31" x14ac:dyDescent="0.25">
      <c r="B681" s="18">
        <v>678</v>
      </c>
      <c r="C681" s="19">
        <f>Tableau!$G$17*COS(B681*PI()/180)+Tableau!$G$16</f>
        <v>23715.724127386966</v>
      </c>
      <c r="D681" s="19">
        <f>Tableau!$G$17*SIN(B681*PI()/180)+Tableau!$H$16</f>
        <v>4154.3469682057048</v>
      </c>
      <c r="F681" s="26">
        <v>678</v>
      </c>
      <c r="G681" s="27">
        <f>Tableau!$G$26*COS(F681*PI()/180)+Tableau!$G$25</f>
        <v>-17398.993110829124</v>
      </c>
      <c r="H681" s="27">
        <f>Tableau!$G$26*SIN(F681*PI()/180)+Tableau!$H$25</f>
        <v>7658.0428777439938</v>
      </c>
      <c r="J681" s="34">
        <v>678</v>
      </c>
      <c r="K681" s="35">
        <f>Tableau!$G$36*COS(J681*PI()/180)+Tableau!$G$35</f>
        <v>-1284.2758726130323</v>
      </c>
      <c r="L681" s="35">
        <f>Tableau!$G$36*SIN(J681*PI()/180)+Tableau!$H$35</f>
        <v>-18345.653031794296</v>
      </c>
      <c r="N681" s="98">
        <v>677</v>
      </c>
      <c r="O681" s="99">
        <v>338.5</v>
      </c>
      <c r="P681" s="101">
        <f>P680+R680*Tableau!$G$2+((1/2)*T680)*Tableau!$G$2^2</f>
        <v>-8314.0843833585968</v>
      </c>
      <c r="Q681" s="101">
        <f>Q680+S680*Tableau!$G$2+((1/2)*U680)*Tableau!$G$2^2</f>
        <v>-99367.659233667146</v>
      </c>
      <c r="R681" s="101">
        <f>R680+T680*Tableau!$G$2</f>
        <v>968.05767181318402</v>
      </c>
      <c r="S681" s="101">
        <f>S680+U680*Tableau!$G$2</f>
        <v>-4219.067526725913</v>
      </c>
      <c r="T681" s="101">
        <f t="shared" si="20"/>
        <v>12.093844856916705</v>
      </c>
      <c r="U681" s="101">
        <f t="shared" si="21"/>
        <v>127.45269868980191</v>
      </c>
      <c r="V681" s="101">
        <f>((Tableau!$G$16-P681)/(AC681^2+Tableau!$G$21^2)^(3/2))*Tableau!$G$20</f>
        <v>10.838246856717769</v>
      </c>
      <c r="W681" s="101">
        <f>((Tableau!$H$16-Q681)/(AC681^2+Tableau!$G$21^2)^(3/2))*Tableau!$G$20</f>
        <v>40.907488163552848</v>
      </c>
      <c r="X681" s="101">
        <f>((Tableau!$G$25-P681)/(AD681^2+Tableau!$G$30^2)^(3/2))*Tableau!$G$29</f>
        <v>-1.5676901384214441</v>
      </c>
      <c r="Y681" s="101">
        <f>((Tableau!$H$25-Q681)/(AD681^2+Tableau!$G$30^2)^(3/2))*Tableau!$G$29</f>
        <v>14.671901326986816</v>
      </c>
      <c r="Z681" s="101">
        <f>((Tableau!$G$35-P681)/(AE681^2+Tableau!$G$40^2)^(3/2))*Tableau!$G$39</f>
        <v>2.8232881386203812</v>
      </c>
      <c r="AA681" s="102">
        <f>((Tableau!$H$35-Q681)/(AE681^2+Tableau!$G$40^2)^(3/2))*Tableau!$G$39</f>
        <v>71.873309199262238</v>
      </c>
      <c r="AC681" s="113">
        <f>SQRT((Tableau!$G$16-P681)^2+(Tableau!$H$16-Q681)^2)</f>
        <v>110554.89118329932</v>
      </c>
      <c r="AD681" s="114">
        <f>SQRT((Tableau!$G$25-P681)^2+(Tableau!$H$25-Q681)^2)</f>
        <v>109990.20642789431</v>
      </c>
      <c r="AE681" s="115">
        <f>SQRT((Tableau!$G$35-P681)^2+(Tableau!$H$35-Q681)^2)</f>
        <v>84432.725171394311</v>
      </c>
    </row>
    <row r="682" spans="2:31" x14ac:dyDescent="0.25">
      <c r="B682" s="20">
        <v>679</v>
      </c>
      <c r="C682" s="21">
        <f>Tableau!$G$17*COS(B682*PI()/180)+Tableau!$G$16</f>
        <v>23773.54790111386</v>
      </c>
      <c r="D682" s="21">
        <f>Tableau!$G$17*SIN(B682*PI()/180)+Tableau!$H$16</f>
        <v>4219.7048550474619</v>
      </c>
      <c r="F682" s="28">
        <v>679</v>
      </c>
      <c r="G682" s="29">
        <f>Tableau!$G$26*COS(F682*PI()/180)+Tableau!$G$25</f>
        <v>-17358.5164692203</v>
      </c>
      <c r="H682" s="29">
        <f>Tableau!$G$26*SIN(F682*PI()/180)+Tableau!$H$25</f>
        <v>7703.7933985332238</v>
      </c>
      <c r="J682" s="36">
        <v>679</v>
      </c>
      <c r="K682" s="37">
        <f>Tableau!$G$36*COS(J682*PI()/180)+Tableau!$G$35</f>
        <v>-1226.4520988861409</v>
      </c>
      <c r="L682" s="37">
        <f>Tableau!$G$36*SIN(J682*PI()/180)+Tableau!$H$35</f>
        <v>-18280.295144952539</v>
      </c>
      <c r="N682" s="92">
        <v>678</v>
      </c>
      <c r="O682" s="93">
        <v>339</v>
      </c>
      <c r="P682" s="96">
        <f>P681+R681*Tableau!$G$2+((1/2)*T681)*Tableau!$G$2^2</f>
        <v>-7828.5438168448909</v>
      </c>
      <c r="Q682" s="96">
        <f>Q681+S681*Tableau!$G$2+((1/2)*U681)*Tableau!$G$2^2</f>
        <v>-101461.26140969388</v>
      </c>
      <c r="R682" s="96">
        <f>R681+T681*Tableau!$G$2</f>
        <v>974.10459424164242</v>
      </c>
      <c r="S682" s="96">
        <f>S681+U681*Tableau!$G$2</f>
        <v>-4155.3411773810121</v>
      </c>
      <c r="T682" s="96">
        <f t="shared" si="20"/>
        <v>10.825479690777255</v>
      </c>
      <c r="U682" s="96">
        <f t="shared" si="21"/>
        <v>122.31147686895014</v>
      </c>
      <c r="V682" s="96">
        <f>((Tableau!$G$16-P682)/(AC682^2+Tableau!$G$21^2)^(3/2))*Tableau!$G$20</f>
        <v>10.124601197000919</v>
      </c>
      <c r="W682" s="96">
        <f>((Tableau!$H$16-Q682)/(AC682^2+Tableau!$G$21^2)^(3/2))*Tableau!$G$20</f>
        <v>39.642365944694006</v>
      </c>
      <c r="X682" s="96">
        <f>((Tableau!$G$25-P682)/(AD682^2+Tableau!$G$30^2)^(3/2))*Tableau!$G$29</f>
        <v>-1.5417258977583217</v>
      </c>
      <c r="Y682" s="96">
        <f>((Tableau!$H$25-Q682)/(AD682^2+Tableau!$G$30^2)^(3/2))*Tableau!$G$29</f>
        <v>14.118500755066584</v>
      </c>
      <c r="Z682" s="96">
        <f>((Tableau!$G$35-P682)/(AE682^2+Tableau!$G$40^2)^(3/2))*Tableau!$G$39</f>
        <v>2.242604391534659</v>
      </c>
      <c r="AA682" s="97">
        <f>((Tableau!$H$35-Q682)/(AE682^2+Tableau!$G$40^2)^(3/2))*Tableau!$G$39</f>
        <v>68.550610169189554</v>
      </c>
      <c r="AC682" s="110">
        <f>SQRT((Tableau!$G$16-P682)^2+(Tableau!$H$16-Q682)^2)</f>
        <v>112458.8117443791</v>
      </c>
      <c r="AD682" s="111">
        <f>SQRT((Tableau!$G$25-P682)^2+(Tableau!$H$25-Q682)^2)</f>
        <v>112123.84733257497</v>
      </c>
      <c r="AE682" s="112">
        <f>SQRT((Tableau!$G$35-P682)^2+(Tableau!$H$35-Q682)^2)</f>
        <v>86507.51634788292</v>
      </c>
    </row>
    <row r="683" spans="2:31" x14ac:dyDescent="0.25">
      <c r="B683" s="18">
        <v>680</v>
      </c>
      <c r="C683" s="19">
        <f>Tableau!$G$17*COS(B683*PI()/180)+Tableau!$G$16</f>
        <v>23830.222215594891</v>
      </c>
      <c r="D683" s="19">
        <f>Tableau!$G$17*SIN(B683*PI()/180)+Tableau!$H$16</f>
        <v>4286.0619515673043</v>
      </c>
      <c r="F683" s="26">
        <v>680</v>
      </c>
      <c r="G683" s="27">
        <f>Tableau!$G$26*COS(F683*PI()/180)+Tableau!$G$25</f>
        <v>-17318.844449083575</v>
      </c>
      <c r="H683" s="27">
        <f>Tableau!$G$26*SIN(F683*PI()/180)+Tableau!$H$25</f>
        <v>7750.2433660971128</v>
      </c>
      <c r="J683" s="34">
        <v>680</v>
      </c>
      <c r="K683" s="35">
        <f>Tableau!$G$36*COS(J683*PI()/180)+Tableau!$G$35</f>
        <v>-1169.7777844051088</v>
      </c>
      <c r="L683" s="35">
        <f>Tableau!$G$36*SIN(J683*PI()/180)+Tableau!$H$35</f>
        <v>-18213.938048432694</v>
      </c>
      <c r="N683" s="98">
        <v>679</v>
      </c>
      <c r="O683" s="99">
        <v>339.5</v>
      </c>
      <c r="P683" s="101">
        <f>P682+R682*Tableau!$G$2+((1/2)*T682)*Tableau!$G$2^2</f>
        <v>-7340.1383347627225</v>
      </c>
      <c r="Q683" s="101">
        <f>Q682+S682*Tableau!$G$2+((1/2)*U682)*Tableau!$G$2^2</f>
        <v>-103523.64306377577</v>
      </c>
      <c r="R683" s="101">
        <f>R682+T682*Tableau!$G$2</f>
        <v>979.51733408703103</v>
      </c>
      <c r="S683" s="101">
        <f>S682+U682*Tableau!$G$2</f>
        <v>-4094.185438946537</v>
      </c>
      <c r="T683" s="101">
        <f t="shared" si="20"/>
        <v>9.6817940884287985</v>
      </c>
      <c r="U683" s="101">
        <f t="shared" si="21"/>
        <v>117.53802064899344</v>
      </c>
      <c r="V683" s="101">
        <f>((Tableau!$G$16-P683)/(AC683^2+Tableau!$G$21^2)^(3/2))*Tableau!$G$20</f>
        <v>9.4675164828963467</v>
      </c>
      <c r="W683" s="101">
        <f>((Tableau!$H$16-Q683)/(AC683^2+Tableau!$G$21^2)^(3/2))*Tableau!$G$20</f>
        <v>38.44597118811982</v>
      </c>
      <c r="X683" s="101">
        <f>((Tableau!$G$25-P683)/(AD683^2+Tableau!$G$30^2)^(3/2))*Tableau!$G$29</f>
        <v>-1.5169436591667154</v>
      </c>
      <c r="Y683" s="101">
        <f>((Tableau!$H$25-Q683)/(AD683^2+Tableau!$G$30^2)^(3/2))*Tableau!$G$29</f>
        <v>13.602752941919492</v>
      </c>
      <c r="Z683" s="101">
        <f>((Tableau!$G$35-P683)/(AE683^2+Tableau!$G$40^2)^(3/2))*Tableau!$G$39</f>
        <v>1.7312212646991665</v>
      </c>
      <c r="AA683" s="102">
        <f>((Tableau!$H$35-Q683)/(AE683^2+Tableau!$G$40^2)^(3/2))*Tableau!$G$39</f>
        <v>65.489296518954134</v>
      </c>
      <c r="AC683" s="113">
        <f>SQRT((Tableau!$G$16-P683)^2+(Tableau!$H$16-Q683)^2)</f>
        <v>114340.42366248539</v>
      </c>
      <c r="AD683" s="114">
        <f>SQRT((Tableau!$G$25-P683)^2+(Tableau!$H$25-Q683)^2)</f>
        <v>114227.35938405698</v>
      </c>
      <c r="AE683" s="115">
        <f>SQRT((Tableau!$G$35-P683)^2+(Tableau!$H$35-Q683)^2)</f>
        <v>88554.568649554174</v>
      </c>
    </row>
    <row r="684" spans="2:31" x14ac:dyDescent="0.25">
      <c r="B684" s="20">
        <v>681</v>
      </c>
      <c r="C684" s="21">
        <f>Tableau!$G$17*COS(B684*PI()/180)+Tableau!$G$16</f>
        <v>23885.72980728485</v>
      </c>
      <c r="D684" s="21">
        <f>Tableau!$G$17*SIN(B684*PI()/180)+Tableau!$H$16</f>
        <v>4353.3980447508093</v>
      </c>
      <c r="F684" s="28">
        <v>681</v>
      </c>
      <c r="G684" s="29">
        <f>Tableau!$G$26*COS(F684*PI()/180)+Tableau!$G$25</f>
        <v>-17279.989134900603</v>
      </c>
      <c r="H684" s="29">
        <f>Tableau!$G$26*SIN(F684*PI()/180)+Tableau!$H$25</f>
        <v>7797.3786313255669</v>
      </c>
      <c r="J684" s="36">
        <v>681</v>
      </c>
      <c r="K684" s="37">
        <f>Tableau!$G$36*COS(J684*PI()/180)+Tableau!$G$35</f>
        <v>-1114.2701927151484</v>
      </c>
      <c r="L684" s="37">
        <f>Tableau!$G$36*SIN(J684*PI()/180)+Tableau!$H$35</f>
        <v>-18146.601955249189</v>
      </c>
      <c r="N684" s="92">
        <v>680</v>
      </c>
      <c r="O684" s="93">
        <v>340</v>
      </c>
      <c r="P684" s="96">
        <f>P683+R683*Tableau!$G$2+((1/2)*T683)*Tableau!$G$2^2</f>
        <v>-6849.1694434581532</v>
      </c>
      <c r="Q684" s="96">
        <f>Q683+S683*Tableau!$G$2+((1/2)*U683)*Tableau!$G$2^2</f>
        <v>-105556.04353066791</v>
      </c>
      <c r="R684" s="96">
        <f>R683+T683*Tableau!$G$2</f>
        <v>984.35823113124547</v>
      </c>
      <c r="S684" s="96">
        <f>S683+U683*Tableau!$G$2</f>
        <v>-4035.4164286220403</v>
      </c>
      <c r="T684" s="96">
        <f t="shared" si="20"/>
        <v>8.6476499600962917</v>
      </c>
      <c r="U684" s="96">
        <f t="shared" si="21"/>
        <v>113.09552476872263</v>
      </c>
      <c r="V684" s="96">
        <f>((Tableau!$G$16-P684)/(AC684^2+Tableau!$G$21^2)^(3/2))*Tableau!$G$20</f>
        <v>8.8613345070813949</v>
      </c>
      <c r="W684" s="96">
        <f>((Tableau!$H$16-Q684)/(AC684^2+Tableau!$G$21^2)^(3/2))*Tableau!$G$20</f>
        <v>37.313162400876465</v>
      </c>
      <c r="X684" s="96">
        <f>((Tableau!$G$25-P684)/(AD684^2+Tableau!$G$30^2)^(3/2))*Tableau!$G$29</f>
        <v>-1.4932388439436499</v>
      </c>
      <c r="Y684" s="96">
        <f>((Tableau!$H$25-Q684)/(AD684^2+Tableau!$G$30^2)^(3/2))*Tableau!$G$29</f>
        <v>13.121055138726632</v>
      </c>
      <c r="Z684" s="96">
        <f>((Tableau!$G$35-P684)/(AE684^2+Tableau!$G$40^2)^(3/2))*Tableau!$G$39</f>
        <v>1.2795542969585465</v>
      </c>
      <c r="AA684" s="97">
        <f>((Tableau!$H$35-Q684)/(AE684^2+Tableau!$G$40^2)^(3/2))*Tableau!$G$39</f>
        <v>62.661307229119529</v>
      </c>
      <c r="AC684" s="110">
        <f>SQRT((Tableau!$G$16-P684)^2+(Tableau!$H$16-Q684)^2)</f>
        <v>116200.45988984642</v>
      </c>
      <c r="AD684" s="111">
        <f>SQRT((Tableau!$G$25-P684)^2+(Tableau!$H$25-Q684)^2)</f>
        <v>116301.9498580677</v>
      </c>
      <c r="AE684" s="112">
        <f>SQRT((Tableau!$G$35-P684)^2+(Tableau!$H$35-Q684)^2)</f>
        <v>90574.921736421282</v>
      </c>
    </row>
    <row r="685" spans="2:31" x14ac:dyDescent="0.25">
      <c r="B685" s="18">
        <v>682</v>
      </c>
      <c r="C685" s="19">
        <f>Tableau!$G$17*COS(B685*PI()/180)+Tableau!$G$16</f>
        <v>23940.053768033606</v>
      </c>
      <c r="D685" s="19">
        <f>Tableau!$G$17*SIN(B685*PI()/180)+Tableau!$H$16</f>
        <v>4421.6926233717013</v>
      </c>
      <c r="F685" s="26">
        <v>682</v>
      </c>
      <c r="G685" s="27">
        <f>Tableau!$G$26*COS(F685*PI()/180)+Tableau!$G$25</f>
        <v>-17241.962362376478</v>
      </c>
      <c r="H685" s="27">
        <f>Tableau!$G$26*SIN(F685*PI()/180)+Tableau!$H$25</f>
        <v>7845.1848363601912</v>
      </c>
      <c r="J685" s="34">
        <v>682</v>
      </c>
      <c r="K685" s="35">
        <f>Tableau!$G$36*COS(J685*PI()/180)+Tableau!$G$35</f>
        <v>-1059.9462319663962</v>
      </c>
      <c r="L685" s="35">
        <f>Tableau!$G$36*SIN(J685*PI()/180)+Tableau!$H$35</f>
        <v>-18078.307376628298</v>
      </c>
      <c r="N685" s="98">
        <v>681</v>
      </c>
      <c r="O685" s="99">
        <v>340.5</v>
      </c>
      <c r="P685" s="101">
        <f>P684+R684*Tableau!$G$2+((1/2)*T684)*Tableau!$G$2^2</f>
        <v>-6355.9093716475181</v>
      </c>
      <c r="Q685" s="101">
        <f>Q684+S684*Tableau!$G$2+((1/2)*U684)*Tableau!$G$2^2</f>
        <v>-107559.61480438284</v>
      </c>
      <c r="R685" s="101">
        <f>R684+T684*Tableau!$G$2</f>
        <v>988.6820561112936</v>
      </c>
      <c r="S685" s="101">
        <f>S684+U684*Tableau!$G$2</f>
        <v>-3978.868666237679</v>
      </c>
      <c r="T685" s="101">
        <f t="shared" si="20"/>
        <v>7.7101217553132031</v>
      </c>
      <c r="U685" s="101">
        <f t="shared" si="21"/>
        <v>108.95185874260173</v>
      </c>
      <c r="V685" s="101">
        <f>((Tableau!$G$16-P685)/(AC685^2+Tableau!$G$21^2)^(3/2))*Tableau!$G$20</f>
        <v>8.3010808292307328</v>
      </c>
      <c r="W685" s="101">
        <f>((Tableau!$H$16-Q685)/(AC685^2+Tableau!$G$21^2)^(3/2))*Tableau!$G$20</f>
        <v>36.239279366274062</v>
      </c>
      <c r="X685" s="101">
        <f>((Tableau!$G$25-P685)/(AD685^2+Tableau!$G$30^2)^(3/2))*Tableau!$G$29</f>
        <v>-1.4705215719417488</v>
      </c>
      <c r="Y685" s="101">
        <f>((Tableau!$H$25-Q685)/(AD685^2+Tableau!$G$30^2)^(3/2))*Tableau!$G$29</f>
        <v>12.670243423902118</v>
      </c>
      <c r="Z685" s="101">
        <f>((Tableau!$G$35-P685)/(AE685^2+Tableau!$G$40^2)^(3/2))*Tableau!$G$39</f>
        <v>0.8795624980242196</v>
      </c>
      <c r="AA685" s="102">
        <f>((Tableau!$H$35-Q685)/(AE685^2+Tableau!$G$40^2)^(3/2))*Tableau!$G$39</f>
        <v>60.042335952425553</v>
      </c>
      <c r="AC685" s="113">
        <f>SQRT((Tableau!$G$16-P685)^2+(Tableau!$H$16-Q685)^2)</f>
        <v>118039.60741098494</v>
      </c>
      <c r="AD685" s="114">
        <f>SQRT((Tableau!$G$25-P685)^2+(Tableau!$H$25-Q685)^2)</f>
        <v>118348.73992582079</v>
      </c>
      <c r="AE685" s="115">
        <f>SQRT((Tableau!$G$35-P685)^2+(Tableau!$H$35-Q685)^2)</f>
        <v>92569.545656008529</v>
      </c>
    </row>
    <row r="686" spans="2:31" x14ac:dyDescent="0.25">
      <c r="B686" s="20">
        <v>683</v>
      </c>
      <c r="C686" s="21">
        <f>Tableau!$G$17*COS(B686*PI()/180)+Tableau!$G$16</f>
        <v>23993.177550236465</v>
      </c>
      <c r="D686" s="21">
        <f>Tableau!$G$17*SIN(B686*PI()/180)+Tableau!$H$16</f>
        <v>4490.924884239761</v>
      </c>
      <c r="F686" s="28">
        <v>683</v>
      </c>
      <c r="G686" s="29">
        <f>Tableau!$G$26*COS(F686*PI()/180)+Tableau!$G$25</f>
        <v>-17204.775714834475</v>
      </c>
      <c r="H686" s="29">
        <f>Tableau!$G$26*SIN(F686*PI()/180)+Tableau!$H$25</f>
        <v>7893.647418967832</v>
      </c>
      <c r="J686" s="36">
        <v>683</v>
      </c>
      <c r="K686" s="37">
        <f>Tableau!$G$36*COS(J686*PI()/180)+Tableau!$G$35</f>
        <v>-1006.8224497635338</v>
      </c>
      <c r="L686" s="37">
        <f>Tableau!$G$36*SIN(J686*PI()/180)+Tableau!$H$35</f>
        <v>-18009.075115760239</v>
      </c>
      <c r="N686" s="92">
        <v>682</v>
      </c>
      <c r="O686" s="93">
        <v>341</v>
      </c>
      <c r="P686" s="96">
        <f>P685+R685*Tableau!$G$2+((1/2)*T685)*Tableau!$G$2^2</f>
        <v>-5860.6045783724567</v>
      </c>
      <c r="Q686" s="96">
        <f>Q685+S685*Tableau!$G$2+((1/2)*U685)*Tableau!$G$2^2</f>
        <v>-109535.43015515886</v>
      </c>
      <c r="R686" s="96">
        <f>R685+T685*Tableau!$G$2</f>
        <v>992.53711698895017</v>
      </c>
      <c r="S686" s="96">
        <f>S685+U685*Tableau!$G$2</f>
        <v>-3924.3927368663781</v>
      </c>
      <c r="T686" s="96">
        <f t="shared" si="20"/>
        <v>6.8581189713763582</v>
      </c>
      <c r="U686" s="96">
        <f t="shared" si="21"/>
        <v>105.07885473445425</v>
      </c>
      <c r="V686" s="96">
        <f>((Tableau!$G$16-P686)/(AC686^2+Tableau!$G$21^2)^(3/2))*Tableau!$G$20</f>
        <v>7.7823682612696841</v>
      </c>
      <c r="W686" s="96">
        <f>((Tableau!$H$16-Q686)/(AC686^2+Tableau!$G$21^2)^(3/2))*Tableau!$G$20</f>
        <v>35.220089859974784</v>
      </c>
      <c r="X686" s="96">
        <f>((Tableau!$G$25-P686)/(AD686^2+Tableau!$G$30^2)^(3/2))*Tableau!$G$29</f>
        <v>-1.4487139670987466</v>
      </c>
      <c r="Y686" s="96">
        <f>((Tableau!$H$25-Q686)/(AD686^2+Tableau!$G$30^2)^(3/2))*Tableau!$G$29</f>
        <v>12.24752841723709</v>
      </c>
      <c r="Z686" s="96">
        <f>((Tableau!$G$35-P686)/(AE686^2+Tableau!$G$40^2)^(3/2))*Tableau!$G$39</f>
        <v>0.52446467720542067</v>
      </c>
      <c r="AA686" s="97">
        <f>((Tableau!$H$35-Q686)/(AE686^2+Tableau!$G$40^2)^(3/2))*Tableau!$G$39</f>
        <v>57.611236457242377</v>
      </c>
      <c r="AC686" s="110">
        <f>SQRT((Tableau!$G$16-P686)^2+(Tableau!$H$16-Q686)^2)</f>
        <v>119858.51150736857</v>
      </c>
      <c r="AD686" s="111">
        <f>SQRT((Tableau!$G$25-P686)^2+(Tableau!$H$25-Q686)^2)</f>
        <v>120368.77321493313</v>
      </c>
      <c r="AE686" s="112">
        <f>SQRT((Tableau!$G$35-P686)^2+(Tableau!$H$35-Q686)^2)</f>
        <v>94539.347336763618</v>
      </c>
    </row>
    <row r="687" spans="2:31" x14ac:dyDescent="0.25">
      <c r="B687" s="18">
        <v>684</v>
      </c>
      <c r="C687" s="19">
        <f>Tableau!$G$17*COS(B687*PI()/180)+Tableau!$G$16</f>
        <v>24045.084971874734</v>
      </c>
      <c r="D687" s="19">
        <f>Tableau!$G$17*SIN(B687*PI()/180)+Tableau!$H$16</f>
        <v>4561.0737385376324</v>
      </c>
      <c r="F687" s="26">
        <v>684</v>
      </c>
      <c r="G687" s="27">
        <f>Tableau!$G$26*COS(F687*PI()/180)+Tableau!$G$25</f>
        <v>-17168.440519687683</v>
      </c>
      <c r="H687" s="27">
        <f>Tableau!$G$26*SIN(F687*PI()/180)+Tableau!$H$25</f>
        <v>7942.751616976343</v>
      </c>
      <c r="J687" s="34">
        <v>684</v>
      </c>
      <c r="K687" s="35">
        <f>Tableau!$G$36*COS(J687*PI()/180)+Tableau!$G$35</f>
        <v>-954.9150281252646</v>
      </c>
      <c r="L687" s="35">
        <f>Tableau!$G$36*SIN(J687*PI()/180)+Tableau!$H$35</f>
        <v>-17938.926261462366</v>
      </c>
      <c r="N687" s="98">
        <v>683</v>
      </c>
      <c r="O687" s="99">
        <v>341.5</v>
      </c>
      <c r="P687" s="101">
        <f>P686+R686*Tableau!$G$2+((1/2)*T686)*Tableau!$G$2^2</f>
        <v>-5363.4787550065603</v>
      </c>
      <c r="Q687" s="101">
        <f>Q686+S686*Tableau!$G$2+((1/2)*U686)*Tableau!$G$2^2</f>
        <v>-111484.49166675024</v>
      </c>
      <c r="R687" s="101">
        <f>R686+T686*Tableau!$G$2</f>
        <v>995.96617647463836</v>
      </c>
      <c r="S687" s="101">
        <f>S686+U686*Tableau!$G$2</f>
        <v>-3871.8533094991508</v>
      </c>
      <c r="T687" s="101">
        <f t="shared" si="20"/>
        <v>6.0820819716076873</v>
      </c>
      <c r="U687" s="101">
        <f t="shared" si="21"/>
        <v>101.45172081781044</v>
      </c>
      <c r="V687" s="101">
        <f>((Tableau!$G$16-P687)/(AC687^2+Tableau!$G$21^2)^(3/2))*Tableau!$G$20</f>
        <v>7.3013158758202561</v>
      </c>
      <c r="W687" s="101">
        <f>((Tableau!$H$16-Q687)/(AC687^2+Tableau!$G$21^2)^(3/2))*Tableau!$G$20</f>
        <v>34.251743082023523</v>
      </c>
      <c r="X687" s="101">
        <f>((Tableau!$G$25-P687)/(AD687^2+Tableau!$G$30^2)^(3/2))*Tableau!$G$29</f>
        <v>-1.4277480397301323</v>
      </c>
      <c r="Y687" s="101">
        <f>((Tableau!$H$25-Q687)/(AD687^2+Tableau!$G$30^2)^(3/2))*Tableau!$G$29</f>
        <v>11.850441913862845</v>
      </c>
      <c r="Z687" s="101">
        <f>((Tableau!$G$35-P687)/(AE687^2+Tableau!$G$40^2)^(3/2))*Tableau!$G$39</f>
        <v>0.20851413551756337</v>
      </c>
      <c r="AA687" s="102">
        <f>((Tableau!$H$35-Q687)/(AE687^2+Tableau!$G$40^2)^(3/2))*Tableau!$G$39</f>
        <v>55.349535821924079</v>
      </c>
      <c r="AC687" s="113">
        <f>SQRT((Tableau!$G$16-P687)^2+(Tableau!$H$16-Q687)^2)</f>
        <v>121657.77949539696</v>
      </c>
      <c r="AD687" s="114">
        <f>SQRT((Tableau!$G$25-P687)^2+(Tableau!$H$25-Q687)^2)</f>
        <v>122363.02329414655</v>
      </c>
      <c r="AE687" s="115">
        <f>SQRT((Tableau!$G$35-P687)^2+(Tableau!$H$35-Q687)^2)</f>
        <v>96485.176317383273</v>
      </c>
    </row>
    <row r="688" spans="2:31" x14ac:dyDescent="0.25">
      <c r="B688" s="20">
        <v>685</v>
      </c>
      <c r="C688" s="21">
        <f>Tableau!$G$17*COS(B688*PI()/180)+Tableau!$G$16</f>
        <v>24095.760221444954</v>
      </c>
      <c r="D688" s="21">
        <f>Tableau!$G$17*SIN(B688*PI()/180)+Tableau!$H$16</f>
        <v>4632.1178182447629</v>
      </c>
      <c r="F688" s="28">
        <v>685</v>
      </c>
      <c r="G688" s="29">
        <f>Tableau!$G$26*COS(F688*PI()/180)+Tableau!$G$25</f>
        <v>-17132.967844988532</v>
      </c>
      <c r="H688" s="29">
        <f>Tableau!$G$26*SIN(F688*PI()/180)+Tableau!$H$25</f>
        <v>7992.482472771334</v>
      </c>
      <c r="J688" s="36">
        <v>685</v>
      </c>
      <c r="K688" s="37">
        <f>Tableau!$G$36*COS(J688*PI()/180)+Tableau!$G$35</f>
        <v>-904.23977855504563</v>
      </c>
      <c r="L688" s="37">
        <f>Tableau!$G$36*SIN(J688*PI()/180)+Tableau!$H$35</f>
        <v>-17867.882181755238</v>
      </c>
      <c r="N688" s="92">
        <v>684</v>
      </c>
      <c r="O688" s="93">
        <v>342</v>
      </c>
      <c r="P688" s="96">
        <f>P687+R687*Tableau!$G$2+((1/2)*T687)*Tableau!$G$2^2</f>
        <v>-4864.7354065227901</v>
      </c>
      <c r="Q688" s="96">
        <f>Q687+S687*Tableau!$G$2+((1/2)*U687)*Tableau!$G$2^2</f>
        <v>-113407.73685639759</v>
      </c>
      <c r="R688" s="96">
        <f>R687+T687*Tableau!$G$2</f>
        <v>999.00721746044223</v>
      </c>
      <c r="S688" s="96">
        <f>S687+U687*Tableau!$G$2</f>
        <v>-3821.1274490902456</v>
      </c>
      <c r="T688" s="96">
        <f t="shared" si="20"/>
        <v>5.3737352269387975</v>
      </c>
      <c r="U688" s="96">
        <f t="shared" si="21"/>
        <v>98.048554759220593</v>
      </c>
      <c r="V688" s="96">
        <f>((Tableau!$G$16-P688)/(AC688^2+Tableau!$G$21^2)^(3/2))*Tableau!$G$20</f>
        <v>6.8544807452560832</v>
      </c>
      <c r="W688" s="96">
        <f>((Tableau!$H$16-Q688)/(AC688^2+Tableau!$G$21^2)^(3/2))*Tableau!$G$20</f>
        <v>33.330728869017335</v>
      </c>
      <c r="X688" s="96">
        <f>((Tableau!$G$25-P688)/(AD688^2+Tableau!$G$30^2)^(3/2))*Tableau!$G$29</f>
        <v>-1.4075640085159324</v>
      </c>
      <c r="Y688" s="96">
        <f>((Tableau!$H$25-Q688)/(AD688^2+Tableau!$G$30^2)^(3/2))*Tableau!$G$29</f>
        <v>11.476792341399245</v>
      </c>
      <c r="Z688" s="96">
        <f>((Tableau!$G$35-P688)/(AE688^2+Tableau!$G$40^2)^(3/2))*Tableau!$G$39</f>
        <v>-7.318150980135342E-2</v>
      </c>
      <c r="AA688" s="97">
        <f>((Tableau!$H$35-Q688)/(AE688^2+Tableau!$G$40^2)^(3/2))*Tableau!$G$39</f>
        <v>53.241033548804005</v>
      </c>
      <c r="AC688" s="110">
        <f>SQRT((Tableau!$G$16-P688)^2+(Tableau!$H$16-Q688)^2)</f>
        <v>123437.98401858429</v>
      </c>
      <c r="AD688" s="111">
        <f>SQRT((Tableau!$G$25-P688)^2+(Tableau!$H$25-Q688)^2)</f>
        <v>124332.40024359072</v>
      </c>
      <c r="AE688" s="112">
        <f>SQRT((Tableau!$G$35-P688)^2+(Tableau!$H$35-Q688)^2)</f>
        <v>98407.829819116727</v>
      </c>
    </row>
    <row r="689" spans="2:31" x14ac:dyDescent="0.25">
      <c r="B689" s="18">
        <v>686</v>
      </c>
      <c r="C689" s="19">
        <f>Tableau!$G$17*COS(B689*PI()/180)+Tableau!$G$16</f>
        <v>24145.187862775212</v>
      </c>
      <c r="D689" s="19">
        <f>Tableau!$G$17*SIN(B689*PI()/180)+Tableau!$H$16</f>
        <v>4704.0354826462699</v>
      </c>
      <c r="F689" s="26">
        <v>686</v>
      </c>
      <c r="G689" s="27">
        <f>Tableau!$G$26*COS(F689*PI()/180)+Tableau!$G$25</f>
        <v>-17098.368496057352</v>
      </c>
      <c r="H689" s="27">
        <f>Tableau!$G$26*SIN(F689*PI()/180)+Tableau!$H$25</f>
        <v>8042.8248378523895</v>
      </c>
      <c r="J689" s="34">
        <v>686</v>
      </c>
      <c r="K689" s="35">
        <f>Tableau!$G$36*COS(J689*PI()/180)+Tableau!$G$35</f>
        <v>-854.81213722478878</v>
      </c>
      <c r="L689" s="35">
        <f>Tableau!$G$36*SIN(J689*PI()/180)+Tableau!$H$35</f>
        <v>-17795.964517353728</v>
      </c>
      <c r="N689" s="98">
        <v>685</v>
      </c>
      <c r="O689" s="99">
        <v>342.5</v>
      </c>
      <c r="P689" s="101">
        <f>P688+R688*Tableau!$G$2+((1/2)*T688)*Tableau!$G$2^2</f>
        <v>-4364.5600808892013</v>
      </c>
      <c r="Q689" s="101">
        <f>Q688+S688*Tableau!$G$2+((1/2)*U688)*Tableau!$G$2^2</f>
        <v>-115306.04451159781</v>
      </c>
      <c r="R689" s="101">
        <f>R688+T688*Tableau!$G$2</f>
        <v>1001.6940850739117</v>
      </c>
      <c r="S689" s="101">
        <f>S688+U688*Tableau!$G$2</f>
        <v>-3772.1031717106353</v>
      </c>
      <c r="T689" s="101">
        <f t="shared" si="20"/>
        <v>4.7258858760648854</v>
      </c>
      <c r="U689" s="101">
        <f t="shared" si="21"/>
        <v>94.849938908111156</v>
      </c>
      <c r="V689" s="101">
        <f>((Tableau!$G$16-P689)/(AC689^2+Tableau!$G$21^2)^(3/2))*Tableau!$G$20</f>
        <v>6.4388001727121233</v>
      </c>
      <c r="W689" s="101">
        <f>((Tableau!$H$16-Q689)/(AC689^2+Tableau!$G$21^2)^(3/2))*Tableau!$G$20</f>
        <v>32.453841891099337</v>
      </c>
      <c r="X689" s="101">
        <f>((Tableau!$G$25-P689)/(AD689^2+Tableau!$G$30^2)^(3/2))*Tableau!$G$29</f>
        <v>-1.3881089604287706</v>
      </c>
      <c r="Y689" s="101">
        <f>((Tableau!$H$25-Q689)/(AD689^2+Tableau!$G$30^2)^(3/2))*Tableau!$G$29</f>
        <v>11.124627390229987</v>
      </c>
      <c r="Z689" s="101">
        <f>((Tableau!$G$35-P689)/(AE689^2+Tableau!$G$40^2)^(3/2))*Tableau!$G$39</f>
        <v>-0.32480533621846674</v>
      </c>
      <c r="AA689" s="102">
        <f>((Tableau!$H$35-Q689)/(AE689^2+Tableau!$G$40^2)^(3/2))*Tableau!$G$39</f>
        <v>51.27146962678183</v>
      </c>
      <c r="AC689" s="113">
        <f>SQRT((Tableau!$G$16-P689)^2+(Tableau!$H$16-Q689)^2)</f>
        <v>125199.66596009671</v>
      </c>
      <c r="AD689" s="114">
        <f>SQRT((Tableau!$G$25-P689)^2+(Tableau!$H$25-Q689)^2)</f>
        <v>126277.75644430278</v>
      </c>
      <c r="AE689" s="115">
        <f>SQRT((Tableau!$G$35-P689)^2+(Tableau!$H$35-Q689)^2)</f>
        <v>100308.05725091799</v>
      </c>
    </row>
    <row r="690" spans="2:31" x14ac:dyDescent="0.25">
      <c r="B690" s="20">
        <v>687</v>
      </c>
      <c r="C690" s="21">
        <f>Tableau!$G$17*COS(B690*PI()/180)+Tableau!$G$16</f>
        <v>24193.352839727118</v>
      </c>
      <c r="D690" s="21">
        <f>Tableau!$G$17*SIN(B690*PI()/180)+Tableau!$H$16</f>
        <v>4776.8048249248641</v>
      </c>
      <c r="F690" s="28">
        <v>687</v>
      </c>
      <c r="G690" s="29">
        <f>Tableau!$G$26*COS(F690*PI()/180)+Tableau!$G$25</f>
        <v>-17064.653012191018</v>
      </c>
      <c r="H690" s="29">
        <f>Tableau!$G$26*SIN(F690*PI()/180)+Tableau!$H$25</f>
        <v>8093.7633774474052</v>
      </c>
      <c r="J690" s="36">
        <v>687</v>
      </c>
      <c r="K690" s="37">
        <f>Tableau!$G$36*COS(J690*PI()/180)+Tableau!$G$35</f>
        <v>-806.64716027288068</v>
      </c>
      <c r="L690" s="37">
        <f>Tableau!$G$36*SIN(J690*PI()/180)+Tableau!$H$35</f>
        <v>-17723.195175075136</v>
      </c>
      <c r="N690" s="92">
        <v>686</v>
      </c>
      <c r="O690" s="93">
        <v>343</v>
      </c>
      <c r="P690" s="96">
        <f>P689+R689*Tableau!$G$2+((1/2)*T689)*Tableau!$G$2^2</f>
        <v>-3863.1223026177372</v>
      </c>
      <c r="Q690" s="96">
        <f>Q689+S689*Tableau!$G$2+((1/2)*U689)*Tableau!$G$2^2</f>
        <v>-117180.2398550896</v>
      </c>
      <c r="R690" s="96">
        <f>R689+T689*Tableau!$G$2</f>
        <v>1004.0570280119441</v>
      </c>
      <c r="S690" s="96">
        <f>S689+U689*Tableau!$G$2</f>
        <v>-3724.6782022565799</v>
      </c>
      <c r="T690" s="96">
        <f t="shared" si="20"/>
        <v>4.1322583045614341</v>
      </c>
      <c r="U690" s="96">
        <f t="shared" si="21"/>
        <v>91.83860092464684</v>
      </c>
      <c r="V690" s="96">
        <f>((Tableau!$G$16-P690)/(AC690^2+Tableau!$G$21^2)^(3/2))*Tableau!$G$20</f>
        <v>6.0515426105363721</v>
      </c>
      <c r="W690" s="96">
        <f>((Tableau!$H$16-Q690)/(AC690^2+Tableau!$G$21^2)^(3/2))*Tableau!$G$20</f>
        <v>31.618150156830147</v>
      </c>
      <c r="X690" s="96">
        <f>((Tableau!$G$25-P690)/(AD690^2+Tableau!$G$30^2)^(3/2))*Tableau!$G$29</f>
        <v>-1.3693357724291986</v>
      </c>
      <c r="Y690" s="96">
        <f>((Tableau!$H$25-Q690)/(AD690^2+Tableau!$G$30^2)^(3/2))*Tableau!$G$29</f>
        <v>10.792202509408062</v>
      </c>
      <c r="Z690" s="96">
        <f>((Tableau!$G$35-P690)/(AE690^2+Tableau!$G$40^2)^(3/2))*Tableau!$G$39</f>
        <v>-0.54994853354573925</v>
      </c>
      <c r="AA690" s="97">
        <f>((Tableau!$H$35-Q690)/(AE690^2+Tableau!$G$40^2)^(3/2))*Tableau!$G$39</f>
        <v>49.428248258408622</v>
      </c>
      <c r="AC690" s="110">
        <f>SQRT((Tableau!$G$16-P690)^2+(Tableau!$H$16-Q690)^2)</f>
        <v>126943.33703015832</v>
      </c>
      <c r="AD690" s="111">
        <f>SQRT((Tableau!$G$25-P690)^2+(Tableau!$H$25-Q690)^2)</f>
        <v>128199.89169815392</v>
      </c>
      <c r="AE690" s="112">
        <f>SQRT((Tableau!$G$35-P690)^2+(Tableau!$H$35-Q690)^2)</f>
        <v>102186.56422320132</v>
      </c>
    </row>
    <row r="691" spans="2:31" x14ac:dyDescent="0.25">
      <c r="B691" s="18">
        <v>688</v>
      </c>
      <c r="C691" s="19">
        <f>Tableau!$G$17*COS(B691*PI()/180)+Tableau!$G$16</f>
        <v>24240.240480782126</v>
      </c>
      <c r="D691" s="19">
        <f>Tableau!$G$17*SIN(B691*PI()/180)+Tableau!$H$16</f>
        <v>4850.4036788339699</v>
      </c>
      <c r="F691" s="26">
        <v>688</v>
      </c>
      <c r="G691" s="27">
        <f>Tableau!$G$26*COS(F691*PI()/180)+Tableau!$G$25</f>
        <v>-17031.831663452511</v>
      </c>
      <c r="H691" s="27">
        <f>Tableau!$G$26*SIN(F691*PI()/180)+Tableau!$H$25</f>
        <v>8145.282575183779</v>
      </c>
      <c r="J691" s="34">
        <v>688</v>
      </c>
      <c r="K691" s="35">
        <f>Tableau!$G$36*COS(J691*PI()/180)+Tableau!$G$35</f>
        <v>-759.75951921787328</v>
      </c>
      <c r="L691" s="35">
        <f>Tableau!$G$36*SIN(J691*PI()/180)+Tableau!$H$35</f>
        <v>-17649.596321166031</v>
      </c>
      <c r="N691" s="98">
        <v>687</v>
      </c>
      <c r="O691" s="99">
        <v>343.5</v>
      </c>
      <c r="P691" s="101">
        <f>P690+R690*Tableau!$G$2+((1/2)*T690)*Tableau!$G$2^2</f>
        <v>-3360.5772563236951</v>
      </c>
      <c r="Q691" s="101">
        <f>Q690+S690*Tableau!$G$2+((1/2)*U690)*Tableau!$G$2^2</f>
        <v>-119031.09913110231</v>
      </c>
      <c r="R691" s="101">
        <f>R690+T690*Tableau!$G$2</f>
        <v>1006.1231571642248</v>
      </c>
      <c r="S691" s="101">
        <f>S690+U690*Tableau!$G$2</f>
        <v>-3678.7589017942564</v>
      </c>
      <c r="T691" s="101">
        <f t="shared" si="20"/>
        <v>3.5873575427461666</v>
      </c>
      <c r="U691" s="101">
        <f t="shared" si="21"/>
        <v>88.999128259229465</v>
      </c>
      <c r="V691" s="101">
        <f>((Tableau!$G$16-P691)/(AC691^2+Tableau!$G$21^2)^(3/2))*Tableau!$G$20</f>
        <v>5.6902658040097585</v>
      </c>
      <c r="W691" s="101">
        <f>((Tableau!$H$16-Q691)/(AC691^2+Tableau!$G$21^2)^(3/2))*Tableau!$G$20</f>
        <v>30.820967248768557</v>
      </c>
      <c r="X691" s="101">
        <f>((Tableau!$G$25-P691)/(AD691^2+Tableau!$G$30^2)^(3/2))*Tableau!$G$29</f>
        <v>-1.3512022374437673</v>
      </c>
      <c r="Y691" s="101">
        <f>((Tableau!$H$25-Q691)/(AD691^2+Tableau!$G$30^2)^(3/2))*Tableau!$G$29</f>
        <v>10.477954225427284</v>
      </c>
      <c r="Z691" s="101">
        <f>((Tableau!$G$35-P691)/(AE691^2+Tableau!$G$40^2)^(3/2))*Tableau!$G$39</f>
        <v>-0.75170602381982443</v>
      </c>
      <c r="AA691" s="102">
        <f>((Tableau!$H$35-Q691)/(AE691^2+Tableau!$G$40^2)^(3/2))*Tableau!$G$39</f>
        <v>47.700206785033622</v>
      </c>
      <c r="AC691" s="113">
        <f>SQRT((Tableau!$G$16-P691)^2+(Tableau!$H$16-Q691)^2)</f>
        <v>128669.48207354186</v>
      </c>
      <c r="AD691" s="114">
        <f>SQRT((Tableau!$G$25-P691)^2+(Tableau!$H$25-Q691)^2)</f>
        <v>130099.55777105133</v>
      </c>
      <c r="AE691" s="115">
        <f>SQRT((Tableau!$G$35-P691)^2+(Tableau!$H$35-Q691)^2)</f>
        <v>104044.01613431558</v>
      </c>
    </row>
    <row r="692" spans="2:31" x14ac:dyDescent="0.25">
      <c r="B692" s="20">
        <v>689</v>
      </c>
      <c r="C692" s="21">
        <f>Tableau!$G$17*COS(B692*PI()/180)+Tableau!$G$16</f>
        <v>24285.836503510556</v>
      </c>
      <c r="D692" s="21">
        <f>Tableau!$G$17*SIN(B692*PI()/180)+Tableau!$H$16</f>
        <v>4924.8096254497186</v>
      </c>
      <c r="F692" s="28">
        <v>689</v>
      </c>
      <c r="G692" s="29">
        <f>Tableau!$G$26*COS(F692*PI()/180)+Tableau!$G$25</f>
        <v>-16999.914447542611</v>
      </c>
      <c r="H692" s="29">
        <f>Tableau!$G$26*SIN(F692*PI()/180)+Tableau!$H$25</f>
        <v>8197.3667378148039</v>
      </c>
      <c r="J692" s="36">
        <v>689</v>
      </c>
      <c r="K692" s="37">
        <f>Tableau!$G$36*COS(J692*PI()/180)+Tableau!$G$35</f>
        <v>-714.1634964894447</v>
      </c>
      <c r="L692" s="37">
        <f>Tableau!$G$36*SIN(J692*PI()/180)+Tableau!$H$35</f>
        <v>-17575.190374550282</v>
      </c>
      <c r="N692" s="92">
        <v>688</v>
      </c>
      <c r="O692" s="93">
        <v>344</v>
      </c>
      <c r="P692" s="96">
        <f>P691+R691*Tableau!$G$2+((1/2)*T691)*Tableau!$G$2^2</f>
        <v>-2857.0672580487394</v>
      </c>
      <c r="Q692" s="96">
        <f>Q691+S691*Tableau!$G$2+((1/2)*U691)*Tableau!$G$2^2</f>
        <v>-120859.35369096704</v>
      </c>
      <c r="R692" s="96">
        <f>R691+T691*Tableau!$G$2</f>
        <v>1007.9168359355979</v>
      </c>
      <c r="S692" s="96">
        <f>S691+U691*Tableau!$G$2</f>
        <v>-3634.2593376646419</v>
      </c>
      <c r="T692" s="96">
        <f t="shared" si="20"/>
        <v>3.0863558665279633</v>
      </c>
      <c r="U692" s="96">
        <f t="shared" si="21"/>
        <v>86.317726755901205</v>
      </c>
      <c r="V692" s="96">
        <f>((Tableau!$G$16-P692)/(AC692^2+Tableau!$G$21^2)^(3/2))*Tableau!$G$20</f>
        <v>5.3527809696670356</v>
      </c>
      <c r="W692" s="96">
        <f>((Tableau!$H$16-Q692)/(AC692^2+Tableau!$G$21^2)^(3/2))*Tableau!$G$20</f>
        <v>30.059827796753968</v>
      </c>
      <c r="X692" s="96">
        <f>((Tableau!$G$25-P692)/(AD692^2+Tableau!$G$30^2)^(3/2))*Tableau!$G$29</f>
        <v>-1.3336703509136862</v>
      </c>
      <c r="Y692" s="96">
        <f>((Tableau!$H$25-Q692)/(AD692^2+Tableau!$G$30^2)^(3/2))*Tableau!$G$29</f>
        <v>10.180477447145687</v>
      </c>
      <c r="Z692" s="96">
        <f>((Tableau!$G$35-P692)/(AE692^2+Tableau!$G$40^2)^(3/2))*Tableau!$G$39</f>
        <v>-0.93275475222538629</v>
      </c>
      <c r="AA692" s="97">
        <f>((Tableau!$H$35-Q692)/(AE692^2+Tableau!$G$40^2)^(3/2))*Tableau!$G$39</f>
        <v>46.07742151200155</v>
      </c>
      <c r="AC692" s="110">
        <f>SQRT((Tableau!$G$16-P692)^2+(Tableau!$H$16-Q692)^2)</f>
        <v>130378.56113488036</v>
      </c>
      <c r="AD692" s="111">
        <f>SQRT((Tableau!$G$25-P692)^2+(Tableau!$H$25-Q692)^2)</f>
        <v>131977.46243738994</v>
      </c>
      <c r="AE692" s="112">
        <f>SQRT((Tableau!$G$35-P692)^2+(Tableau!$H$35-Q692)^2)</f>
        <v>105881.0413842147</v>
      </c>
    </row>
    <row r="693" spans="2:31" x14ac:dyDescent="0.25">
      <c r="B693" s="18">
        <v>690</v>
      </c>
      <c r="C693" s="19">
        <f>Tableau!$G$17*COS(B693*PI()/180)+Tableau!$G$16</f>
        <v>24330.127018922194</v>
      </c>
      <c r="D693" s="19">
        <f>Tableau!$G$17*SIN(B693*PI()/180)+Tableau!$H$16</f>
        <v>5000</v>
      </c>
      <c r="F693" s="26">
        <v>690</v>
      </c>
      <c r="G693" s="27">
        <f>Tableau!$G$26*COS(F693*PI()/180)+Tableau!$G$25</f>
        <v>-16968.911086754466</v>
      </c>
      <c r="H693" s="27">
        <f>Tableau!$G$26*SIN(F693*PI()/180)+Tableau!$H$25</f>
        <v>8250</v>
      </c>
      <c r="J693" s="34">
        <v>690</v>
      </c>
      <c r="K693" s="35">
        <f>Tableau!$G$36*COS(J693*PI()/180)+Tableau!$G$35</f>
        <v>-669.8729810778068</v>
      </c>
      <c r="L693" s="35">
        <f>Tableau!$G$36*SIN(J693*PI()/180)+Tableau!$H$35</f>
        <v>-17500</v>
      </c>
      <c r="N693" s="98">
        <v>689</v>
      </c>
      <c r="O693" s="99">
        <v>344.5</v>
      </c>
      <c r="P693" s="101">
        <f>P692+R692*Tableau!$G$2+((1/2)*T692)*Tableau!$G$2^2</f>
        <v>-2352.7230455976242</v>
      </c>
      <c r="Q693" s="101">
        <f>Q692+S692*Tableau!$G$2+((1/2)*U692)*Tableau!$G$2^2</f>
        <v>-122665.69364395487</v>
      </c>
      <c r="R693" s="101">
        <f>R692+T692*Tableau!$G$2</f>
        <v>1009.4600138688619</v>
      </c>
      <c r="S693" s="101">
        <f>S692+U692*Tableau!$G$2</f>
        <v>-3591.1004742866912</v>
      </c>
      <c r="T693" s="101">
        <f t="shared" si="20"/>
        <v>2.6249981908611764</v>
      </c>
      <c r="U693" s="101">
        <f t="shared" si="21"/>
        <v>83.782015664441531</v>
      </c>
      <c r="V693" s="101">
        <f>((Tableau!$G$16-P693)/(AC693^2+Tableau!$G$21^2)^(3/2))*Tableau!$G$20</f>
        <v>5.0371220340688421</v>
      </c>
      <c r="W693" s="101">
        <f>((Tableau!$H$16-Q693)/(AC693^2+Tableau!$G$21^2)^(3/2))*Tableau!$G$20</f>
        <v>29.332465766981901</v>
      </c>
      <c r="X693" s="101">
        <f>((Tableau!$G$25-P693)/(AD693^2+Tableau!$G$30^2)^(3/2))*Tableau!$G$29</f>
        <v>-1.3167057244300449</v>
      </c>
      <c r="Y693" s="101">
        <f>((Tableau!$H$25-Q693)/(AD693^2+Tableau!$G$30^2)^(3/2))*Tableau!$G$29</f>
        <v>9.8985060815799724</v>
      </c>
      <c r="Z693" s="101">
        <f>((Tableau!$G$35-P693)/(AE693^2+Tableau!$G$40^2)^(3/2))*Tableau!$G$39</f>
        <v>-1.0954181187776211</v>
      </c>
      <c r="AA693" s="102">
        <f>((Tableau!$H$35-Q693)/(AE693^2+Tableau!$G$40^2)^(3/2))*Tableau!$G$39</f>
        <v>44.551043815879659</v>
      </c>
      <c r="AC693" s="113">
        <f>SQRT((Tableau!$G$16-P693)^2+(Tableau!$H$16-Q693)^2)</f>
        <v>132071.01131347902</v>
      </c>
      <c r="AD693" s="114">
        <f>SQRT((Tableau!$G$25-P693)^2+(Tableau!$H$25-Q693)^2)</f>
        <v>133834.27309152565</v>
      </c>
      <c r="AE693" s="115">
        <f>SQRT((Tableau!$G$35-P693)^2+(Tableau!$H$35-Q693)^2)</f>
        <v>107698.23426178933</v>
      </c>
    </row>
    <row r="694" spans="2:31" x14ac:dyDescent="0.25">
      <c r="B694" s="20">
        <v>691</v>
      </c>
      <c r="C694" s="21">
        <f>Tableau!$G$17*COS(B694*PI()/180)+Tableau!$G$16</f>
        <v>24373.098535696976</v>
      </c>
      <c r="D694" s="21">
        <f>Tableau!$G$17*SIN(B694*PI()/180)+Tableau!$H$16</f>
        <v>5075.9518987683105</v>
      </c>
      <c r="F694" s="28">
        <v>691</v>
      </c>
      <c r="G694" s="29">
        <f>Tableau!$G$26*COS(F694*PI()/180)+Tableau!$G$25</f>
        <v>-16938.831025012118</v>
      </c>
      <c r="H694" s="29">
        <f>Tableau!$G$26*SIN(F694*PI()/180)+Tableau!$H$25</f>
        <v>8303.1663291378172</v>
      </c>
      <c r="J694" s="36">
        <v>691</v>
      </c>
      <c r="K694" s="37">
        <f>Tableau!$G$36*COS(J694*PI()/180)+Tableau!$G$35</f>
        <v>-626.9014643030232</v>
      </c>
      <c r="L694" s="37">
        <f>Tableau!$G$36*SIN(J694*PI()/180)+Tableau!$H$35</f>
        <v>-17424.048101231689</v>
      </c>
      <c r="N694" s="92">
        <v>690</v>
      </c>
      <c r="O694" s="93">
        <v>345</v>
      </c>
      <c r="P694" s="96">
        <f>P693+R693*Tableau!$G$2+((1/2)*T693)*Tableau!$G$2^2</f>
        <v>-1847.6649138893356</v>
      </c>
      <c r="Q694" s="96">
        <f>Q693+S693*Tableau!$G$2+((1/2)*U693)*Tableau!$G$2^2</f>
        <v>-124450.77112914016</v>
      </c>
      <c r="R694" s="96">
        <f>R693+T693*Tableau!$G$2</f>
        <v>1010.7725129642924</v>
      </c>
      <c r="S694" s="96">
        <f>S693+U693*Tableau!$G$2</f>
        <v>-3549.2094664544707</v>
      </c>
      <c r="T694" s="96">
        <f t="shared" si="20"/>
        <v>2.1995227693241226</v>
      </c>
      <c r="U694" s="96">
        <f t="shared" si="21"/>
        <v>81.380852843314614</v>
      </c>
      <c r="V694" s="96">
        <f>((Tableau!$G$16-P694)/(AC694^2+Tableau!$G$21^2)^(3/2))*Tableau!$G$20</f>
        <v>4.7415191324349175</v>
      </c>
      <c r="W694" s="96">
        <f>((Tableau!$H$16-Q694)/(AC694^2+Tableau!$G$21^2)^(3/2))*Tableau!$G$20</f>
        <v>28.636795205084496</v>
      </c>
      <c r="X694" s="96">
        <f>((Tableau!$G$25-P694)/(AD694^2+Tableau!$G$30^2)^(3/2))*Tableau!$G$29</f>
        <v>-1.3002771006271316</v>
      </c>
      <c r="Y694" s="96">
        <f>((Tableau!$H$25-Q694)/(AD694^2+Tableau!$G$30^2)^(3/2))*Tableau!$G$29</f>
        <v>9.6308964125859049</v>
      </c>
      <c r="Z694" s="96">
        <f>((Tableau!$G$35-P694)/(AE694^2+Tableau!$G$40^2)^(3/2))*Tableau!$G$39</f>
        <v>-1.2417192624836633</v>
      </c>
      <c r="AA694" s="97">
        <f>((Tableau!$H$35-Q694)/(AE694^2+Tableau!$G$40^2)^(3/2))*Tableau!$G$39</f>
        <v>43.11316122564422</v>
      </c>
      <c r="AC694" s="110">
        <f>SQRT((Tableau!$G$16-P694)^2+(Tableau!$H$16-Q694)^2)</f>
        <v>133747.24843436712</v>
      </c>
      <c r="AD694" s="111">
        <f>SQRT((Tableau!$G$25-P694)^2+(Tableau!$H$25-Q694)^2)</f>
        <v>135670.61998199491</v>
      </c>
      <c r="AE694" s="112">
        <f>SQRT((Tableau!$G$35-P694)^2+(Tableau!$H$35-Q694)^2)</f>
        <v>109496.15754563511</v>
      </c>
    </row>
    <row r="695" spans="2:31" x14ac:dyDescent="0.25">
      <c r="B695" s="18">
        <v>692</v>
      </c>
      <c r="C695" s="19">
        <f>Tableau!$G$17*COS(B695*PI()/180)+Tableau!$G$16</f>
        <v>24414.737964294633</v>
      </c>
      <c r="D695" s="19">
        <f>Tableau!$G$17*SIN(B695*PI()/180)+Tableau!$H$16</f>
        <v>5152.642186070545</v>
      </c>
      <c r="F695" s="26">
        <v>692</v>
      </c>
      <c r="G695" s="27">
        <f>Tableau!$G$26*COS(F695*PI()/180)+Tableau!$G$25</f>
        <v>-16909.683424993756</v>
      </c>
      <c r="H695" s="27">
        <f>Tableau!$G$26*SIN(F695*PI()/180)+Tableau!$H$25</f>
        <v>8356.8495302493811</v>
      </c>
      <c r="J695" s="34">
        <v>692</v>
      </c>
      <c r="K695" s="35">
        <f>Tableau!$G$36*COS(J695*PI()/180)+Tableau!$G$35</f>
        <v>-585.26203570536654</v>
      </c>
      <c r="L695" s="35">
        <f>Tableau!$G$36*SIN(J695*PI()/180)+Tableau!$H$35</f>
        <v>-17347.357813929455</v>
      </c>
      <c r="N695" s="98">
        <v>691</v>
      </c>
      <c r="O695" s="99">
        <v>345.5</v>
      </c>
      <c r="P695" s="101">
        <f>P694+R694*Tableau!$G$2+((1/2)*T694)*Tableau!$G$2^2</f>
        <v>-1342.0037170610237</v>
      </c>
      <c r="Q695" s="101">
        <f>Q694+S694*Tableau!$G$2+((1/2)*U694)*Tableau!$G$2^2</f>
        <v>-126215.20325576198</v>
      </c>
      <c r="R695" s="101">
        <f>R694+T694*Tableau!$G$2</f>
        <v>1011.8722743489545</v>
      </c>
      <c r="S695" s="101">
        <f>S694+U694*Tableau!$G$2</f>
        <v>-3508.5190400328133</v>
      </c>
      <c r="T695" s="101">
        <f t="shared" si="20"/>
        <v>1.806594426558606</v>
      </c>
      <c r="U695" s="101">
        <f t="shared" si="21"/>
        <v>79.104185115091994</v>
      </c>
      <c r="V695" s="101">
        <f>((Tableau!$G$16-P695)/(AC695^2+Tableau!$G$21^2)^(3/2))*Tableau!$G$20</f>
        <v>4.4643757063664786</v>
      </c>
      <c r="W695" s="101">
        <f>((Tableau!$H$16-Q695)/(AC695^2+Tableau!$G$21^2)^(3/2))*Tableau!$G$20</f>
        <v>27.970893122357936</v>
      </c>
      <c r="X695" s="101">
        <f>((Tableau!$G$25-P695)/(AD695^2+Tableau!$G$30^2)^(3/2))*Tableau!$G$29</f>
        <v>-1.2843559492764649</v>
      </c>
      <c r="Y695" s="101">
        <f>((Tableau!$H$25-Q695)/(AD695^2+Tableau!$G$30^2)^(3/2))*Tableau!$G$29</f>
        <v>9.376612795416591</v>
      </c>
      <c r="Z695" s="101">
        <f>((Tableau!$G$35-P695)/(AE695^2+Tableau!$G$40^2)^(3/2))*Tableau!$G$39</f>
        <v>-1.3734253305314075</v>
      </c>
      <c r="AA695" s="102">
        <f>((Tableau!$H$35-Q695)/(AE695^2+Tableau!$G$40^2)^(3/2))*Tableau!$G$39</f>
        <v>41.756679197317467</v>
      </c>
      <c r="AC695" s="113">
        <f>SQRT((Tableau!$G$16-P695)^2+(Tableau!$H$16-Q695)^2)</f>
        <v>135407.6685582792</v>
      </c>
      <c r="AD695" s="114">
        <f>SQRT((Tableau!$G$25-P695)^2+(Tableau!$H$25-Q695)^2)</f>
        <v>137487.09911589057</v>
      </c>
      <c r="AE695" s="115">
        <f>SQRT((Tableau!$G$35-P695)^2+(Tableau!$H$35-Q695)^2)</f>
        <v>111275.34485242653</v>
      </c>
    </row>
    <row r="696" spans="2:31" x14ac:dyDescent="0.25">
      <c r="B696" s="20">
        <v>693</v>
      </c>
      <c r="C696" s="21">
        <f>Tableau!$G$17*COS(B696*PI()/180)+Tableau!$G$16</f>
        <v>24455.032620941834</v>
      </c>
      <c r="D696" s="21">
        <f>Tableau!$G$17*SIN(B696*PI()/180)+Tableau!$H$16</f>
        <v>5230.0475013022597</v>
      </c>
      <c r="F696" s="28">
        <v>693</v>
      </c>
      <c r="G696" s="29">
        <f>Tableau!$G$26*COS(F696*PI()/180)+Tableau!$G$25</f>
        <v>-16881.477165340715</v>
      </c>
      <c r="H696" s="29">
        <f>Tableau!$G$26*SIN(F696*PI()/180)+Tableau!$H$25</f>
        <v>8411.0332509115815</v>
      </c>
      <c r="J696" s="36">
        <v>693</v>
      </c>
      <c r="K696" s="37">
        <f>Tableau!$G$36*COS(J696*PI()/180)+Tableau!$G$35</f>
        <v>-544.96737905816371</v>
      </c>
      <c r="L696" s="37">
        <f>Tableau!$G$36*SIN(J696*PI()/180)+Tableau!$H$35</f>
        <v>-17269.952498697741</v>
      </c>
      <c r="N696" s="92">
        <v>692</v>
      </c>
      <c r="O696" s="93">
        <v>346</v>
      </c>
      <c r="P696" s="96">
        <f>P695+R695*Tableau!$G$2+((1/2)*T695)*Tableau!$G$2^2</f>
        <v>-835.84175558322659</v>
      </c>
      <c r="Q696" s="96">
        <f>Q695+S695*Tableau!$G$2+((1/2)*U695)*Tableau!$G$2^2</f>
        <v>-127959.574752639</v>
      </c>
      <c r="R696" s="96">
        <f>R695+T695*Tableau!$G$2</f>
        <v>1012.7755715622338</v>
      </c>
      <c r="S696" s="96">
        <f>S695+U695*Tableau!$G$2</f>
        <v>-3468.9669474752673</v>
      </c>
      <c r="T696" s="96">
        <f t="shared" si="20"/>
        <v>1.4432481046154066</v>
      </c>
      <c r="U696" s="96">
        <f t="shared" si="21"/>
        <v>76.942919670639199</v>
      </c>
      <c r="V696" s="96">
        <f>((Tableau!$G$16-P696)/(AC696^2+Tableau!$G$21^2)^(3/2))*Tableau!$G$20</f>
        <v>4.2042486530551066</v>
      </c>
      <c r="W696" s="96">
        <f>((Tableau!$H$16-Q696)/(AC696^2+Tableau!$G$21^2)^(3/2))*Tableau!$G$20</f>
        <v>27.332984257503963</v>
      </c>
      <c r="X696" s="96">
        <f>((Tableau!$G$25-P696)/(AD696^2+Tableau!$G$30^2)^(3/2))*Tableau!$G$29</f>
        <v>-1.2689161289042541</v>
      </c>
      <c r="Y696" s="96">
        <f>((Tableau!$H$25-Q696)/(AD696^2+Tableau!$G$30^2)^(3/2))*Tableau!$G$29</f>
        <v>9.1347153007044763</v>
      </c>
      <c r="Z696" s="96">
        <f>((Tableau!$G$35-P696)/(AE696^2+Tableau!$G$40^2)^(3/2))*Tableau!$G$39</f>
        <v>-1.4920844195354457</v>
      </c>
      <c r="AA696" s="97">
        <f>((Tableau!$H$35-Q696)/(AE696^2+Tableau!$G$40^2)^(3/2))*Tableau!$G$39</f>
        <v>40.475220112430762</v>
      </c>
      <c r="AC696" s="110">
        <f>SQRT((Tableau!$G$16-P696)^2+(Tableau!$H$16-Q696)^2)</f>
        <v>137052.64934991038</v>
      </c>
      <c r="AD696" s="111">
        <f>SQRT((Tableau!$G$25-P696)^2+(Tableau!$H$25-Q696)^2)</f>
        <v>139284.27487389249</v>
      </c>
      <c r="AE696" s="112">
        <f>SQRT((Tableau!$G$35-P696)^2+(Tableau!$H$35-Q696)^2)</f>
        <v>113036.30276234969</v>
      </c>
    </row>
    <row r="697" spans="2:31" x14ac:dyDescent="0.25">
      <c r="B697" s="18">
        <v>694</v>
      </c>
      <c r="C697" s="19">
        <f>Tableau!$G$17*COS(B697*PI()/180)+Tableau!$G$16</f>
        <v>24493.970231495834</v>
      </c>
      <c r="D697" s="19">
        <f>Tableau!$G$17*SIN(B697*PI()/180)+Tableau!$H$16</f>
        <v>5308.1442660546099</v>
      </c>
      <c r="F697" s="26">
        <v>694</v>
      </c>
      <c r="G697" s="27">
        <f>Tableau!$G$26*COS(F697*PI()/180)+Tableau!$G$25</f>
        <v>-16854.220837952918</v>
      </c>
      <c r="H697" s="27">
        <f>Tableau!$G$26*SIN(F697*PI()/180)+Tableau!$H$25</f>
        <v>8465.7009862382274</v>
      </c>
      <c r="J697" s="34">
        <v>694</v>
      </c>
      <c r="K697" s="35">
        <f>Tableau!$G$36*COS(J697*PI()/180)+Tableau!$G$35</f>
        <v>-506.0297685041669</v>
      </c>
      <c r="L697" s="35">
        <f>Tableau!$G$36*SIN(J697*PI()/180)+Tableau!$H$35</f>
        <v>-17191.855733945391</v>
      </c>
      <c r="N697" s="98">
        <v>693</v>
      </c>
      <c r="O697" s="99">
        <v>346.5</v>
      </c>
      <c r="P697" s="101">
        <f>P696+R696*Tableau!$G$2+((1/2)*T696)*Tableau!$G$2^2</f>
        <v>-329.27356378903272</v>
      </c>
      <c r="Q697" s="101">
        <f>Q696+S696*Tableau!$G$2+((1/2)*U696)*Tableau!$G$2^2</f>
        <v>-129684.44036141782</v>
      </c>
      <c r="R697" s="101">
        <f>R696+T696*Tableau!$G$2</f>
        <v>1013.4971956145415</v>
      </c>
      <c r="S697" s="101">
        <f>S696+U696*Tableau!$G$2</f>
        <v>-3430.4954876399474</v>
      </c>
      <c r="T697" s="101">
        <f t="shared" si="20"/>
        <v>1.1068409378238431</v>
      </c>
      <c r="U697" s="101">
        <f t="shared" si="21"/>
        <v>74.888813163043295</v>
      </c>
      <c r="V697" s="101">
        <f>((Tableau!$G$16-P697)/(AC697^2+Tableau!$G$21^2)^(3/2))*Tableau!$G$20</f>
        <v>3.9598310703854556</v>
      </c>
      <c r="W697" s="101">
        <f>((Tableau!$H$16-Q697)/(AC697^2+Tableau!$G$21^2)^(3/2))*Tableau!$G$20</f>
        <v>26.721427482986488</v>
      </c>
      <c r="X697" s="101">
        <f>((Tableau!$G$25-P697)/(AD697^2+Tableau!$G$30^2)^(3/2))*Tableau!$G$29</f>
        <v>-1.253933601602897</v>
      </c>
      <c r="Y697" s="101">
        <f>((Tableau!$H$25-Q697)/(AD697^2+Tableau!$G$30^2)^(3/2))*Tableau!$G$29</f>
        <v>8.9043490060358241</v>
      </c>
      <c r="Z697" s="101">
        <f>((Tableau!$G$35-P697)/(AE697^2+Tableau!$G$40^2)^(3/2))*Tableau!$G$39</f>
        <v>-1.5990565309587157</v>
      </c>
      <c r="AA697" s="102">
        <f>((Tableau!$H$35-Q697)/(AE697^2+Tableau!$G$40^2)^(3/2))*Tableau!$G$39</f>
        <v>39.263036674020974</v>
      </c>
      <c r="AC697" s="113">
        <f>SQRT((Tableau!$G$16-P697)^2+(Tableau!$H$16-Q697)^2)</f>
        <v>138682.55132101793</v>
      </c>
      <c r="AD697" s="114">
        <f>SQRT((Tableau!$G$25-P697)^2+(Tableau!$H$25-Q697)^2)</f>
        <v>141062.68237067782</v>
      </c>
      <c r="AE697" s="115">
        <f>SQRT((Tableau!$G$35-P697)^2+(Tableau!$H$35-Q697)^2)</f>
        <v>114779.51274706441</v>
      </c>
    </row>
    <row r="698" spans="2:31" x14ac:dyDescent="0.25">
      <c r="B698" s="20">
        <v>695</v>
      </c>
      <c r="C698" s="21">
        <f>Tableau!$G$17*COS(B698*PI()/180)+Tableau!$G$16</f>
        <v>24531.538935183249</v>
      </c>
      <c r="D698" s="21">
        <f>Tableau!$G$17*SIN(B698*PI()/180)+Tableau!$H$16</f>
        <v>5386.9086912965031</v>
      </c>
      <c r="F698" s="28">
        <v>695</v>
      </c>
      <c r="G698" s="29">
        <f>Tableau!$G$26*COS(F698*PI()/180)+Tableau!$G$25</f>
        <v>-16827.922745371725</v>
      </c>
      <c r="H698" s="29">
        <f>Tableau!$G$26*SIN(F698*PI()/180)+Tableau!$H$25</f>
        <v>8520.8360839075522</v>
      </c>
      <c r="J698" s="36">
        <v>695</v>
      </c>
      <c r="K698" s="37">
        <f>Tableau!$G$36*COS(J698*PI()/180)+Tableau!$G$35</f>
        <v>-468.46106481674997</v>
      </c>
      <c r="L698" s="37">
        <f>Tableau!$G$36*SIN(J698*PI()/180)+Tableau!$H$35</f>
        <v>-17113.091308703497</v>
      </c>
      <c r="N698" s="92">
        <v>694</v>
      </c>
      <c r="O698" s="93">
        <v>347</v>
      </c>
      <c r="P698" s="96">
        <f>P697+R697*Tableau!$G$2+((1/2)*T697)*Tableau!$G$2^2</f>
        <v>177.61338913546601</v>
      </c>
      <c r="Q698" s="96">
        <f>Q697+S697*Tableau!$G$2+((1/2)*U697)*Tableau!$G$2^2</f>
        <v>-131390.32700359239</v>
      </c>
      <c r="R698" s="96">
        <f>R697+T697*Tableau!$G$2</f>
        <v>1014.0506160834534</v>
      </c>
      <c r="S698" s="96">
        <f>S697+U697*Tableau!$G$2</f>
        <v>-3393.051081058426</v>
      </c>
      <c r="T698" s="96">
        <f t="shared" si="20"/>
        <v>0.79501141201524983</v>
      </c>
      <c r="U698" s="96">
        <f t="shared" si="21"/>
        <v>72.934375728886266</v>
      </c>
      <c r="V698" s="96">
        <f>((Tableau!$G$16-P698)/(AC698^2+Tableau!$G$21^2)^(3/2))*Tableau!$G$20</f>
        <v>3.7299372174722909</v>
      </c>
      <c r="W698" s="96">
        <f>((Tableau!$H$16-Q698)/(AC698^2+Tableau!$G$21^2)^(3/2))*Tableau!$G$20</f>
        <v>26.13470365640304</v>
      </c>
      <c r="X698" s="96">
        <f>((Tableau!$G$25-P698)/(AD698^2+Tableau!$G$30^2)^(3/2))*Tableau!$G$29</f>
        <v>-1.2393861912810726</v>
      </c>
      <c r="Y698" s="96">
        <f>((Tableau!$H$25-Q698)/(AD698^2+Tableau!$G$30^2)^(3/2))*Tableau!$G$29</f>
        <v>8.6847346853876868</v>
      </c>
      <c r="Z698" s="96">
        <f>((Tableau!$G$35-P698)/(AE698^2+Tableau!$G$40^2)^(3/2))*Tableau!$G$39</f>
        <v>-1.6955396141759682</v>
      </c>
      <c r="AA698" s="97">
        <f>((Tableau!$H$35-Q698)/(AE698^2+Tableau!$G$40^2)^(3/2))*Tableau!$G$39</f>
        <v>38.114937387095537</v>
      </c>
      <c r="AC698" s="110">
        <f>SQRT((Tableau!$G$16-P698)^2+(Tableau!$H$16-Q698)^2)</f>
        <v>140297.71896262394</v>
      </c>
      <c r="AD698" s="111">
        <f>SQRT((Tableau!$G$25-P698)^2+(Tableau!$H$25-Q698)^2)</f>
        <v>142822.82959059524</v>
      </c>
      <c r="AE698" s="112">
        <f>SQRT((Tableau!$G$35-P698)^2+(Tableau!$H$35-Q698)^2)</f>
        <v>116505.43292229132</v>
      </c>
    </row>
    <row r="699" spans="2:31" x14ac:dyDescent="0.25">
      <c r="B699" s="18">
        <v>696</v>
      </c>
      <c r="C699" s="19">
        <f>Tableau!$G$17*COS(B699*PI()/180)+Tableau!$G$16</f>
        <v>24567.727288213002</v>
      </c>
      <c r="D699" s="19">
        <f>Tableau!$G$17*SIN(B699*PI()/180)+Tableau!$H$16</f>
        <v>5466.3167846209944</v>
      </c>
      <c r="F699" s="26">
        <v>696</v>
      </c>
      <c r="G699" s="27">
        <f>Tableau!$G$26*COS(F699*PI()/180)+Tableau!$G$25</f>
        <v>-16802.590898250899</v>
      </c>
      <c r="H699" s="27">
        <f>Tableau!$G$26*SIN(F699*PI()/180)+Tableau!$H$25</f>
        <v>8576.4217492346961</v>
      </c>
      <c r="J699" s="34">
        <v>696</v>
      </c>
      <c r="K699" s="35">
        <f>Tableau!$G$36*COS(J699*PI()/180)+Tableau!$G$35</f>
        <v>-432.27271178699812</v>
      </c>
      <c r="L699" s="35">
        <f>Tableau!$G$36*SIN(J699*PI()/180)+Tableau!$H$35</f>
        <v>-17033.683215379006</v>
      </c>
      <c r="N699" s="98">
        <v>695</v>
      </c>
      <c r="O699" s="99">
        <v>347.5</v>
      </c>
      <c r="P699" s="101">
        <f>P698+R698*Tableau!$G$2+((1/2)*T698)*Tableau!$G$2^2</f>
        <v>684.7380736036946</v>
      </c>
      <c r="Q699" s="101">
        <f>Q698+S698*Tableau!$G$2+((1/2)*U698)*Tableau!$G$2^2</f>
        <v>-133077.7357471555</v>
      </c>
      <c r="R699" s="101">
        <f>R698+T698*Tableau!$G$2</f>
        <v>1014.4481217894611</v>
      </c>
      <c r="S699" s="101">
        <f>S698+U698*Tableau!$G$2</f>
        <v>-3356.5838931939829</v>
      </c>
      <c r="T699" s="101">
        <f t="shared" si="20"/>
        <v>0.50564443401341697</v>
      </c>
      <c r="U699" s="101">
        <f t="shared" si="21"/>
        <v>71.0727876548479</v>
      </c>
      <c r="V699" s="101">
        <f>((Tableau!$G$16-P699)/(AC699^2+Tableau!$G$21^2)^(3/2))*Tableau!$G$20</f>
        <v>3.5134893717728168</v>
      </c>
      <c r="W699" s="101">
        <f>((Tableau!$H$16-Q699)/(AC699^2+Tableau!$G$21^2)^(3/2))*Tableau!$G$20</f>
        <v>25.571404743961963</v>
      </c>
      <c r="X699" s="101">
        <f>((Tableau!$G$25-P699)/(AD699^2+Tableau!$G$30^2)^(3/2))*Tableau!$G$29</f>
        <v>-1.2252533775887777</v>
      </c>
      <c r="Y699" s="101">
        <f>((Tableau!$H$25-Q699)/(AD699^2+Tableau!$G$30^2)^(3/2))*Tableau!$G$29</f>
        <v>8.4751606889172955</v>
      </c>
      <c r="Z699" s="101">
        <f>((Tableau!$G$35-P699)/(AE699^2+Tableau!$G$40^2)^(3/2))*Tableau!$G$39</f>
        <v>-1.7825915601706224</v>
      </c>
      <c r="AA699" s="102">
        <f>((Tableau!$H$35-Q699)/(AE699^2+Tableau!$G$40^2)^(3/2))*Tableau!$G$39</f>
        <v>37.026222221968645</v>
      </c>
      <c r="AC699" s="113">
        <f>SQRT((Tableau!$G$16-P699)^2+(Tableau!$H$16-Q699)^2)</f>
        <v>141898.48177863771</v>
      </c>
      <c r="AD699" s="114">
        <f>SQRT((Tableau!$G$25-P699)^2+(Tableau!$H$25-Q699)^2)</f>
        <v>144565.19932441021</v>
      </c>
      <c r="AE699" s="115">
        <f>SQRT((Tableau!$G$35-P699)^2+(Tableau!$H$35-Q699)^2)</f>
        <v>118214.49964425075</v>
      </c>
    </row>
    <row r="700" spans="2:31" x14ac:dyDescent="0.25">
      <c r="B700" s="20">
        <v>697</v>
      </c>
      <c r="C700" s="21">
        <f>Tableau!$G$17*COS(B700*PI()/180)+Tableau!$G$16</f>
        <v>24602.524267262204</v>
      </c>
      <c r="D700" s="21">
        <f>Tableau!$G$17*SIN(B700*PI()/180)+Tableau!$H$16</f>
        <v>5546.3443575536376</v>
      </c>
      <c r="F700" s="28">
        <v>697</v>
      </c>
      <c r="G700" s="29">
        <f>Tableau!$G$26*COS(F700*PI()/180)+Tableau!$G$25</f>
        <v>-16778.233012916455</v>
      </c>
      <c r="H700" s="29">
        <f>Tableau!$G$26*SIN(F700*PI()/180)+Tableau!$H$25</f>
        <v>8632.4410502875471</v>
      </c>
      <c r="J700" s="36">
        <v>697</v>
      </c>
      <c r="K700" s="37">
        <f>Tableau!$G$36*COS(J700*PI()/180)+Tableau!$G$35</f>
        <v>-397.47573273779562</v>
      </c>
      <c r="L700" s="37">
        <f>Tableau!$G$36*SIN(J700*PI()/180)+Tableau!$H$35</f>
        <v>-16953.655642446363</v>
      </c>
      <c r="N700" s="92">
        <v>696</v>
      </c>
      <c r="O700" s="93">
        <v>348</v>
      </c>
      <c r="P700" s="96">
        <f>P699+R699*Tableau!$G$2+((1/2)*T699)*Tableau!$G$2^2</f>
        <v>1192.0253400526769</v>
      </c>
      <c r="Q700" s="96">
        <f>Q699+S699*Tableau!$G$2+((1/2)*U699)*Tableau!$G$2^2</f>
        <v>-134747.14359529564</v>
      </c>
      <c r="R700" s="96">
        <f>R699+T699*Tableau!$G$2</f>
        <v>1014.7009440064678</v>
      </c>
      <c r="S700" s="96">
        <f>S699+U699*Tableau!$G$2</f>
        <v>-3321.0474993665589</v>
      </c>
      <c r="T700" s="96">
        <f t="shared" si="20"/>
        <v>0.23684135227591496</v>
      </c>
      <c r="U700" s="96">
        <f t="shared" si="21"/>
        <v>69.297826796354997</v>
      </c>
      <c r="V700" s="96">
        <f>((Tableau!$G$16-P700)/(AC700^2+Tableau!$G$21^2)^(3/2))*Tableau!$G$20</f>
        <v>3.3095063146253594</v>
      </c>
      <c r="W700" s="96">
        <f>((Tableau!$H$16-Q700)/(AC700^2+Tableau!$G$21^2)^(3/2))*Tableau!$G$20</f>
        <v>25.030224065995721</v>
      </c>
      <c r="X700" s="96">
        <f>((Tableau!$G$25-P700)/(AD700^2+Tableau!$G$30^2)^(3/2))*Tableau!$G$29</f>
        <v>-1.2115161193041664</v>
      </c>
      <c r="Y700" s="96">
        <f>((Tableau!$H$25-Q700)/(AD700^2+Tableau!$G$30^2)^(3/2))*Tableau!$G$29</f>
        <v>8.2749758399684694</v>
      </c>
      <c r="Z700" s="96">
        <f>((Tableau!$G$35-P700)/(AE700^2+Tableau!$G$40^2)^(3/2))*Tableau!$G$39</f>
        <v>-1.8611488430452783</v>
      </c>
      <c r="AA700" s="97">
        <f>((Tableau!$H$35-Q700)/(AE700^2+Tableau!$G$40^2)^(3/2))*Tableau!$G$39</f>
        <v>35.99262689039081</v>
      </c>
      <c r="AC700" s="110">
        <f>SQRT((Tableau!$G$16-P700)^2+(Tableau!$H$16-Q700)^2)</f>
        <v>143485.15523157743</v>
      </c>
      <c r="AD700" s="111">
        <f>SQRT((Tableau!$G$25-P700)^2+(Tableau!$H$25-Q700)^2)</f>
        <v>146290.25092948118</v>
      </c>
      <c r="AE700" s="112">
        <f>SQRT((Tableau!$G$35-P700)^2+(Tableau!$H$35-Q700)^2)</f>
        <v>119907.12896673079</v>
      </c>
    </row>
    <row r="701" spans="2:31" x14ac:dyDescent="0.25">
      <c r="B701" s="18">
        <v>698</v>
      </c>
      <c r="C701" s="19">
        <f>Tableau!$G$17*COS(B701*PI()/180)+Tableau!$G$16</f>
        <v>24635.919272833937</v>
      </c>
      <c r="D701" s="19">
        <f>Tableau!$G$17*SIN(B701*PI()/180)+Tableau!$H$16</f>
        <v>5626.9670329204419</v>
      </c>
      <c r="F701" s="26">
        <v>698</v>
      </c>
      <c r="G701" s="27">
        <f>Tableau!$G$26*COS(F701*PI()/180)+Tableau!$G$25</f>
        <v>-16754.856509016245</v>
      </c>
      <c r="H701" s="27">
        <f>Tableau!$G$26*SIN(F701*PI()/180)+Tableau!$H$25</f>
        <v>8688.8769230443086</v>
      </c>
      <c r="J701" s="34">
        <v>698</v>
      </c>
      <c r="K701" s="35">
        <f>Tableau!$G$36*COS(J701*PI()/180)+Tableau!$G$35</f>
        <v>-364.08072716606239</v>
      </c>
      <c r="L701" s="35">
        <f>Tableau!$G$36*SIN(J701*PI()/180)+Tableau!$H$35</f>
        <v>-16873.032967079558</v>
      </c>
      <c r="N701" s="98">
        <v>697</v>
      </c>
      <c r="O701" s="99">
        <v>348.5</v>
      </c>
      <c r="P701" s="101">
        <f>P700+R700*Tableau!$G$2+((1/2)*T700)*Tableau!$G$2^2</f>
        <v>1699.4054172249455</v>
      </c>
      <c r="Q701" s="101">
        <f>Q700+S700*Tableau!$G$2+((1/2)*U700)*Tableau!$G$2^2</f>
        <v>-136399.00511662939</v>
      </c>
      <c r="R701" s="101">
        <f>R700+T700*Tableau!$G$2</f>
        <v>1014.8193646826057</v>
      </c>
      <c r="S701" s="101">
        <f>S700+U700*Tableau!$G$2</f>
        <v>-3286.3985859683812</v>
      </c>
      <c r="T701" s="101">
        <f t="shared" si="20"/>
        <v>-1.3105858425606742E-2</v>
      </c>
      <c r="U701" s="101">
        <f t="shared" si="21"/>
        <v>67.603805171009412</v>
      </c>
      <c r="V701" s="101">
        <f>((Tableau!$G$16-P701)/(AC701^2+Tableau!$G$21^2)^(3/2))*Tableau!$G$20</f>
        <v>3.1170932189636358</v>
      </c>
      <c r="W701" s="101">
        <f>((Tableau!$H$16-Q701)/(AC701^2+Tableau!$G$21^2)^(3/2))*Tableau!$G$20</f>
        <v>24.509947533991131</v>
      </c>
      <c r="X701" s="101">
        <f>((Tableau!$G$25-P701)/(AD701^2+Tableau!$G$30^2)^(3/2))*Tableau!$G$29</f>
        <v>-1.1981567021823265</v>
      </c>
      <c r="Y701" s="101">
        <f>((Tableau!$H$25-Q701)/(AD701^2+Tableau!$G$30^2)^(3/2))*Tableau!$G$29</f>
        <v>8.0835832042695017</v>
      </c>
      <c r="Z701" s="101">
        <f>((Tableau!$G$35-P701)/(AE701^2+Tableau!$G$40^2)^(3/2))*Tableau!$G$39</f>
        <v>-1.932042375206916</v>
      </c>
      <c r="AA701" s="102">
        <f>((Tableau!$H$35-Q701)/(AE701^2+Tableau!$G$40^2)^(3/2))*Tableau!$G$39</f>
        <v>35.01027443274878</v>
      </c>
      <c r="AC701" s="113">
        <f>SQRT((Tableau!$G$16-P701)^2+(Tableau!$H$16-Q701)^2)</f>
        <v>145058.04160969093</v>
      </c>
      <c r="AD701" s="114">
        <f>SQRT((Tableau!$G$25-P701)^2+(Tableau!$H$25-Q701)^2)</f>
        <v>147998.42193280294</v>
      </c>
      <c r="AE701" s="115">
        <f>SQRT((Tableau!$G$35-P701)^2+(Tableau!$H$35-Q701)^2)</f>
        <v>121583.71797346778</v>
      </c>
    </row>
    <row r="702" spans="2:31" x14ac:dyDescent="0.25">
      <c r="B702" s="20">
        <v>699</v>
      </c>
      <c r="C702" s="21">
        <f>Tableau!$G$17*COS(B702*PI()/180)+Tableau!$G$16</f>
        <v>24667.902132486008</v>
      </c>
      <c r="D702" s="21">
        <f>Tableau!$G$17*SIN(B702*PI()/180)+Tableau!$H$16</f>
        <v>5708.1602522734947</v>
      </c>
      <c r="F702" s="28">
        <v>699</v>
      </c>
      <c r="G702" s="29">
        <f>Tableau!$G$26*COS(F702*PI()/180)+Tableau!$G$25</f>
        <v>-16732.468507259793</v>
      </c>
      <c r="H702" s="29">
        <f>Tableau!$G$26*SIN(F702*PI()/180)+Tableau!$H$25</f>
        <v>8745.7121765914471</v>
      </c>
      <c r="J702" s="36">
        <v>699</v>
      </c>
      <c r="K702" s="37">
        <f>Tableau!$G$36*COS(J702*PI()/180)+Tableau!$G$35</f>
        <v>-332.09786751399224</v>
      </c>
      <c r="L702" s="37">
        <f>Tableau!$G$36*SIN(J702*PI()/180)+Tableau!$H$35</f>
        <v>-16791.839747726506</v>
      </c>
      <c r="N702" s="92">
        <v>698</v>
      </c>
      <c r="O702" s="93">
        <v>349</v>
      </c>
      <c r="P702" s="96">
        <f>P701+R701*Tableau!$G$2+((1/2)*T701)*Tableau!$G$2^2</f>
        <v>2206.8134613339448</v>
      </c>
      <c r="Q702" s="96">
        <f>Q701+S701*Tableau!$G$2+((1/2)*U701)*Tableau!$G$2^2</f>
        <v>-138033.75393396718</v>
      </c>
      <c r="R702" s="96">
        <f>R701+T701*Tableau!$G$2</f>
        <v>1014.8128117533929</v>
      </c>
      <c r="S702" s="96">
        <f>S701+U701*Tableau!$G$2</f>
        <v>-3252.5966833828766</v>
      </c>
      <c r="T702" s="96">
        <f t="shared" si="20"/>
        <v>-0.24573689707679325</v>
      </c>
      <c r="U702" s="96">
        <f t="shared" si="21"/>
        <v>65.985513407603619</v>
      </c>
      <c r="V702" s="96">
        <f>((Tableau!$G$16-P702)/(AC702^2+Tableau!$G$21^2)^(3/2))*Tableau!$G$20</f>
        <v>2.9354327477022255</v>
      </c>
      <c r="W702" s="96">
        <f>((Tableau!$H$16-Q702)/(AC702^2+Tableau!$G$21^2)^(3/2))*Tableau!$G$20</f>
        <v>24.009445765403193</v>
      </c>
      <c r="X702" s="96">
        <f>((Tableau!$G$25-P702)/(AD702^2+Tableau!$G$30^2)^(3/2))*Tableau!$G$29</f>
        <v>-1.1851586072213354</v>
      </c>
      <c r="Y702" s="96">
        <f>((Tableau!$H$25-Q702)/(AD702^2+Tableau!$G$30^2)^(3/2))*Tableau!$G$29</f>
        <v>7.9004346093871156</v>
      </c>
      <c r="Z702" s="96">
        <f>((Tableau!$G$35-P702)/(AE702^2+Tableau!$G$40^2)^(3/2))*Tableau!$G$39</f>
        <v>-1.9960110375576834</v>
      </c>
      <c r="AA702" s="97">
        <f>((Tableau!$H$35-Q702)/(AE702^2+Tableau!$G$40^2)^(3/2))*Tableau!$G$39</f>
        <v>34.075633032813307</v>
      </c>
      <c r="AC702" s="110">
        <f>SQRT((Tableau!$G$16-P702)^2+(Tableau!$H$16-Q702)^2)</f>
        <v>146617.43082359707</v>
      </c>
      <c r="AD702" s="111">
        <f>SQRT((Tableau!$G$25-P702)^2+(Tableau!$H$25-Q702)^2)</f>
        <v>149690.12949386085</v>
      </c>
      <c r="AE702" s="112">
        <f>SQRT((Tableau!$G$35-P702)^2+(Tableau!$H$35-Q702)^2)</f>
        <v>123244.6459987226</v>
      </c>
    </row>
    <row r="703" spans="2:31" x14ac:dyDescent="0.25">
      <c r="B703" s="18">
        <v>700</v>
      </c>
      <c r="C703" s="19">
        <f>Tableau!$G$17*COS(B703*PI()/180)+Tableau!$G$16</f>
        <v>24698.463103929538</v>
      </c>
      <c r="D703" s="19">
        <f>Tableau!$G$17*SIN(B703*PI()/180)+Tableau!$H$16</f>
        <v>5789.8992833716475</v>
      </c>
      <c r="F703" s="26">
        <v>700</v>
      </c>
      <c r="G703" s="27">
        <f>Tableau!$G$26*COS(F703*PI()/180)+Tableau!$G$25</f>
        <v>-16711.075827249322</v>
      </c>
      <c r="H703" s="27">
        <f>Tableau!$G$26*SIN(F703*PI()/180)+Tableau!$H$25</f>
        <v>8802.929498360154</v>
      </c>
      <c r="J703" s="34">
        <v>700</v>
      </c>
      <c r="K703" s="35">
        <f>Tableau!$G$36*COS(J703*PI()/180)+Tableau!$G$35</f>
        <v>-301.5368960704609</v>
      </c>
      <c r="L703" s="35">
        <f>Tableau!$G$36*SIN(J703*PI()/180)+Tableau!$H$35</f>
        <v>-16710.100716628353</v>
      </c>
      <c r="N703" s="98">
        <v>699</v>
      </c>
      <c r="O703" s="99">
        <v>349.5</v>
      </c>
      <c r="P703" s="101">
        <f>P702+R702*Tableau!$G$2+((1/2)*T702)*Tableau!$G$2^2</f>
        <v>2714.1891500985071</v>
      </c>
      <c r="Q703" s="101">
        <f>Q702+S702*Tableau!$G$2+((1/2)*U702)*Tableau!$G$2^2</f>
        <v>-139651.80408648268</v>
      </c>
      <c r="R703" s="101">
        <f>R702+T702*Tableau!$G$2</f>
        <v>1014.6899433048545</v>
      </c>
      <c r="S703" s="101">
        <f>S702+U702*Tableau!$G$2</f>
        <v>-3219.6039266790749</v>
      </c>
      <c r="T703" s="101">
        <f t="shared" si="20"/>
        <v>-0.46244245826362018</v>
      </c>
      <c r="U703" s="101">
        <f t="shared" si="21"/>
        <v>64.438171943201823</v>
      </c>
      <c r="V703" s="101">
        <f>((Tableau!$G$16-P703)/(AC703^2+Tableau!$G$21^2)^(3/2))*Tableau!$G$20</f>
        <v>2.7637772002049203</v>
      </c>
      <c r="W703" s="101">
        <f>((Tableau!$H$16-Q703)/(AC703^2+Tableau!$G$21^2)^(3/2))*Tableau!$G$20</f>
        <v>23.527666976962188</v>
      </c>
      <c r="X703" s="101">
        <f>((Tableau!$G$25-P703)/(AD703^2+Tableau!$G$30^2)^(3/2))*Tableau!$G$29</f>
        <v>-1.1725063960567814</v>
      </c>
      <c r="Y703" s="101">
        <f>((Tableau!$H$25-Q703)/(AD703^2+Tableau!$G$30^2)^(3/2))*Tableau!$G$29</f>
        <v>7.725025811545482</v>
      </c>
      <c r="Z703" s="101">
        <f>((Tableau!$G$35-P703)/(AE703^2+Tableau!$G$40^2)^(3/2))*Tableau!$G$39</f>
        <v>-2.0537132624117591</v>
      </c>
      <c r="AA703" s="102">
        <f>((Tableau!$H$35-Q703)/(AE703^2+Tableau!$G$40^2)^(3/2))*Tableau!$G$39</f>
        <v>33.18547915469415</v>
      </c>
      <c r="AC703" s="113">
        <f>SQRT((Tableau!$G$16-P703)^2+(Tableau!$H$16-Q703)^2)</f>
        <v>148163.60113956852</v>
      </c>
      <c r="AD703" s="114">
        <f>SQRT((Tableau!$G$25-P703)^2+(Tableau!$H$25-Q703)^2)</f>
        <v>151365.77174211296</v>
      </c>
      <c r="AE703" s="115">
        <f>SQRT((Tableau!$G$35-P703)^2+(Tableau!$H$35-Q703)^2)</f>
        <v>124890.27574738699</v>
      </c>
    </row>
    <row r="704" spans="2:31" x14ac:dyDescent="0.25">
      <c r="B704" s="20">
        <v>701</v>
      </c>
      <c r="C704" s="21">
        <f>Tableau!$G$17*COS(B704*PI()/180)+Tableau!$G$16</f>
        <v>24727.592877996583</v>
      </c>
      <c r="D704" s="21">
        <f>Tableau!$G$17*SIN(B704*PI()/180)+Tableau!$H$16</f>
        <v>5872.159227714219</v>
      </c>
      <c r="F704" s="28">
        <v>701</v>
      </c>
      <c r="G704" s="29">
        <f>Tableau!$G$26*COS(F704*PI()/180)+Tableau!$G$25</f>
        <v>-16690.684985402389</v>
      </c>
      <c r="H704" s="29">
        <f>Tableau!$G$26*SIN(F704*PI()/180)+Tableau!$H$25</f>
        <v>8860.5114593999533</v>
      </c>
      <c r="J704" s="36">
        <v>701</v>
      </c>
      <c r="K704" s="37">
        <f>Tableau!$G$36*COS(J704*PI()/180)+Tableau!$G$35</f>
        <v>-272.40712200341477</v>
      </c>
      <c r="L704" s="37">
        <f>Tableau!$G$36*SIN(J704*PI()/180)+Tableau!$H$35</f>
        <v>-16627.840772285781</v>
      </c>
      <c r="N704" s="92">
        <v>700</v>
      </c>
      <c r="O704" s="93">
        <v>350</v>
      </c>
      <c r="P704" s="96">
        <f>P703+R703*Tableau!$G$2+((1/2)*T703)*Tableau!$G$2^2</f>
        <v>3221.4763164436513</v>
      </c>
      <c r="Q704" s="96">
        <f>Q703+S703*Tableau!$G$2+((1/2)*U703)*Tableau!$G$2^2</f>
        <v>-141253.55127832931</v>
      </c>
      <c r="R704" s="96">
        <f>R703+T703*Tableau!$G$2</f>
        <v>1014.4587220757227</v>
      </c>
      <c r="S704" s="96">
        <f>S703+U703*Tableau!$G$2</f>
        <v>-3187.3848407074738</v>
      </c>
      <c r="T704" s="96">
        <f t="shared" si="20"/>
        <v>-0.66448102207757209</v>
      </c>
      <c r="U704" s="96">
        <f t="shared" si="21"/>
        <v>62.957388035086282</v>
      </c>
      <c r="V704" s="96">
        <f>((Tableau!$G$16-P704)/(AC704^2+Tableau!$G$21^2)^(3/2))*Tableau!$G$20</f>
        <v>2.6014415683902681</v>
      </c>
      <c r="W704" s="96">
        <f>((Tableau!$H$16-Q704)/(AC704^2+Tableau!$G$21^2)^(3/2))*Tableau!$G$20</f>
        <v>23.063630569617366</v>
      </c>
      <c r="X704" s="96">
        <f>((Tableau!$G$25-P704)/(AD704^2+Tableau!$G$30^2)^(3/2))*Tableau!$G$29</f>
        <v>-1.1601856107968969</v>
      </c>
      <c r="Y704" s="96">
        <f>((Tableau!$H$25-Q704)/(AD704^2+Tableau!$G$30^2)^(3/2))*Tableau!$G$29</f>
        <v>7.5568922226872086</v>
      </c>
      <c r="Z704" s="96">
        <f>((Tableau!$G$35-P704)/(AE704^2+Tableau!$G$40^2)^(3/2))*Tableau!$G$39</f>
        <v>-2.1057369796709433</v>
      </c>
      <c r="AA704" s="97">
        <f>((Tableau!$H$35-Q704)/(AE704^2+Tableau!$G$40^2)^(3/2))*Tableau!$G$39</f>
        <v>32.336865242781705</v>
      </c>
      <c r="AC704" s="110">
        <f>SQRT((Tableau!$G$16-P704)^2+(Tableau!$H$16-Q704)^2)</f>
        <v>149696.81985571439</v>
      </c>
      <c r="AD704" s="111">
        <f>SQRT((Tableau!$G$25-P704)^2+(Tableau!$H$25-Q704)^2)</f>
        <v>153025.72900209084</v>
      </c>
      <c r="AE704" s="112">
        <f>SQRT((Tableau!$G$35-P704)^2+(Tableau!$H$35-Q704)^2)</f>
        <v>126520.95432461602</v>
      </c>
    </row>
    <row r="705" spans="2:31" x14ac:dyDescent="0.25">
      <c r="B705" s="18">
        <v>702</v>
      </c>
      <c r="C705" s="19">
        <f>Tableau!$G$17*COS(B705*PI()/180)+Tableau!$G$16</f>
        <v>24755.282581475767</v>
      </c>
      <c r="D705" s="19">
        <f>Tableau!$G$17*SIN(B705*PI()/180)+Tableau!$H$16</f>
        <v>5954.9150281252605</v>
      </c>
      <c r="F705" s="26">
        <v>702</v>
      </c>
      <c r="G705" s="27">
        <f>Tableau!$G$26*COS(F705*PI()/180)+Tableau!$G$25</f>
        <v>-16671.302192966963</v>
      </c>
      <c r="H705" s="27">
        <f>Tableau!$G$26*SIN(F705*PI()/180)+Tableau!$H$25</f>
        <v>8918.4405196876833</v>
      </c>
      <c r="J705" s="34">
        <v>702</v>
      </c>
      <c r="K705" s="35">
        <f>Tableau!$G$36*COS(J705*PI()/180)+Tableau!$G$35</f>
        <v>-244.71741852423293</v>
      </c>
      <c r="L705" s="35">
        <f>Tableau!$G$36*SIN(J705*PI()/180)+Tableau!$H$35</f>
        <v>-16545.084971874741</v>
      </c>
      <c r="N705" s="98">
        <v>701</v>
      </c>
      <c r="O705" s="99">
        <v>350.5</v>
      </c>
      <c r="P705" s="101">
        <f>P704+R704*Tableau!$G$2+((1/2)*T704)*Tableau!$G$2^2</f>
        <v>3728.622617353753</v>
      </c>
      <c r="Q705" s="101">
        <f>Q704+S704*Tableau!$G$2+((1/2)*U704)*Tableau!$G$2^2</f>
        <v>-142839.37402517867</v>
      </c>
      <c r="R705" s="101">
        <f>R704+T704*Tableau!$G$2</f>
        <v>1014.1264815646839</v>
      </c>
      <c r="S705" s="101">
        <f>S704+U704*Tableau!$G$2</f>
        <v>-3155.9061466899307</v>
      </c>
      <c r="T705" s="101">
        <f t="shared" si="20"/>
        <v>-0.85299348439644374</v>
      </c>
      <c r="U705" s="101">
        <f t="shared" si="21"/>
        <v>61.539117798504627</v>
      </c>
      <c r="V705" s="101">
        <f>((Tableau!$G$16-P705)/(AC705^2+Tableau!$G$21^2)^(3/2))*Tableau!$G$20</f>
        <v>2.4477973842534988</v>
      </c>
      <c r="W705" s="101">
        <f>((Tableau!$H$16-Q705)/(AC705^2+Tableau!$G$21^2)^(3/2))*Tableau!$G$20</f>
        <v>22.616421329003199</v>
      </c>
      <c r="X705" s="101">
        <f>((Tableau!$G$25-P705)/(AD705^2+Tableau!$G$30^2)^(3/2))*Tableau!$G$29</f>
        <v>-1.1481826860910924</v>
      </c>
      <c r="Y705" s="101">
        <f>((Tableau!$H$25-Q705)/(AD705^2+Tableau!$G$30^2)^(3/2))*Tableau!$G$29</f>
        <v>7.3956051237617677</v>
      </c>
      <c r="Z705" s="101">
        <f>((Tableau!$G$35-P705)/(AE705^2+Tableau!$G$40^2)^(3/2))*Tableau!$G$39</f>
        <v>-2.1526081825588501</v>
      </c>
      <c r="AA705" s="102">
        <f>((Tableau!$H$35-Q705)/(AE705^2+Tableau!$G$40^2)^(3/2))*Tableau!$G$39</f>
        <v>31.52709134573966</v>
      </c>
      <c r="AC705" s="113">
        <f>SQRT((Tableau!$G$16-P705)^2+(Tableau!$H$16-Q705)^2)</f>
        <v>151217.3439265849</v>
      </c>
      <c r="AD705" s="114">
        <f>SQRT((Tableau!$G$25-P705)^2+(Tableau!$H$25-Q705)^2)</f>
        <v>154670.36491754084</v>
      </c>
      <c r="AE705" s="115">
        <f>SQRT((Tableau!$G$35-P705)^2+(Tableau!$H$35-Q705)^2)</f>
        <v>128137.01418382475</v>
      </c>
    </row>
    <row r="706" spans="2:31" x14ac:dyDescent="0.25">
      <c r="B706" s="20">
        <v>703</v>
      </c>
      <c r="C706" s="21">
        <f>Tableau!$G$17*COS(B706*PI()/180)+Tableau!$G$16</f>
        <v>24781.523779815176</v>
      </c>
      <c r="D706" s="21">
        <f>Tableau!$G$17*SIN(B706*PI()/180)+Tableau!$H$16</f>
        <v>6038.1414763863086</v>
      </c>
      <c r="F706" s="28">
        <v>703</v>
      </c>
      <c r="G706" s="29">
        <f>Tableau!$G$26*COS(F706*PI()/180)+Tableau!$G$25</f>
        <v>-16652.933354129378</v>
      </c>
      <c r="H706" s="29">
        <f>Tableau!$G$26*SIN(F706*PI()/180)+Tableau!$H$25</f>
        <v>8976.6990334704169</v>
      </c>
      <c r="J706" s="36">
        <v>703</v>
      </c>
      <c r="K706" s="37">
        <f>Tableau!$G$36*COS(J706*PI()/180)+Tableau!$G$35</f>
        <v>-218.47622018482525</v>
      </c>
      <c r="L706" s="37">
        <f>Tableau!$G$36*SIN(J706*PI()/180)+Tableau!$H$35</f>
        <v>-16461.85852361369</v>
      </c>
      <c r="N706" s="92">
        <v>702</v>
      </c>
      <c r="O706" s="93">
        <v>351</v>
      </c>
      <c r="P706" s="96">
        <f>P705+R705*Tableau!$G$2+((1/2)*T705)*Tableau!$G$2^2</f>
        <v>4235.5792339505451</v>
      </c>
      <c r="Q706" s="96">
        <f>Q705+S705*Tableau!$G$2+((1/2)*U705)*Tableau!$G$2^2</f>
        <v>-144409.63470879884</v>
      </c>
      <c r="R706" s="96">
        <f>R705+T705*Tableau!$G$2</f>
        <v>1013.6999848224857</v>
      </c>
      <c r="S706" s="96">
        <f>S705+U705*Tableau!$G$2</f>
        <v>-3125.1365877906783</v>
      </c>
      <c r="T706" s="96">
        <f t="shared" si="20"/>
        <v>-1.029015939283024</v>
      </c>
      <c r="U706" s="96">
        <f t="shared" si="21"/>
        <v>60.179632600797675</v>
      </c>
      <c r="V706" s="96">
        <f>((Tableau!$G$16-P706)/(AC706^2+Tableau!$G$21^2)^(3/2))*Tableau!$G$20</f>
        <v>2.3022672575789231</v>
      </c>
      <c r="W706" s="96">
        <f>((Tableau!$H$16-Q706)/(AC706^2+Tableau!$G$21^2)^(3/2))*Tableau!$G$20</f>
        <v>22.185184174609283</v>
      </c>
      <c r="X706" s="96">
        <f>((Tableau!$G$25-P706)/(AD706^2+Tableau!$G$30^2)^(3/2))*Tableau!$G$29</f>
        <v>-1.1364848716106173</v>
      </c>
      <c r="Y706" s="96">
        <f>((Tableau!$H$25-Q706)/(AD706^2+Tableau!$G$30^2)^(3/2))*Tableau!$G$29</f>
        <v>7.2407683011612738</v>
      </c>
      <c r="Z706" s="96">
        <f>((Tableau!$G$35-P706)/(AE706^2+Tableau!$G$40^2)^(3/2))*Tableau!$G$39</f>
        <v>-2.1947983252513299</v>
      </c>
      <c r="AA706" s="97">
        <f>((Tableau!$H$35-Q706)/(AE706^2+Tableau!$G$40^2)^(3/2))*Tableau!$G$39</f>
        <v>30.75368012502712</v>
      </c>
      <c r="AC706" s="110">
        <f>SQRT((Tableau!$G$16-P706)^2+(Tableau!$H$16-Q706)^2)</f>
        <v>152725.42054108004</v>
      </c>
      <c r="AD706" s="111">
        <f>SQRT((Tableau!$G$25-P706)^2+(Tableau!$H$25-Q706)^2)</f>
        <v>156300.0274846738</v>
      </c>
      <c r="AE706" s="112">
        <f>SQRT((Tableau!$G$35-P706)^2+(Tableau!$H$35-Q706)^2)</f>
        <v>129738.77400087968</v>
      </c>
    </row>
    <row r="707" spans="2:31" x14ac:dyDescent="0.25">
      <c r="B707" s="18">
        <v>704</v>
      </c>
      <c r="C707" s="19">
        <f>Tableau!$G$17*COS(B707*PI()/180)+Tableau!$G$16</f>
        <v>24806.308479691594</v>
      </c>
      <c r="D707" s="19">
        <f>Tableau!$G$17*SIN(B707*PI()/180)+Tableau!$H$16</f>
        <v>6121.8132209149999</v>
      </c>
      <c r="F707" s="26">
        <v>704</v>
      </c>
      <c r="G707" s="27">
        <f>Tableau!$G$26*COS(F707*PI()/180)+Tableau!$G$25</f>
        <v>-16635.584064215884</v>
      </c>
      <c r="H707" s="27">
        <f>Tableau!$G$26*SIN(F707*PI()/180)+Tableau!$H$25</f>
        <v>9035.2692546404996</v>
      </c>
      <c r="J707" s="34">
        <v>704</v>
      </c>
      <c r="K707" s="35">
        <f>Tableau!$G$36*COS(J707*PI()/180)+Tableau!$G$35</f>
        <v>-193.69152030840633</v>
      </c>
      <c r="L707" s="35">
        <f>Tableau!$G$36*SIN(J707*PI()/180)+Tableau!$H$35</f>
        <v>-16378.186779085001</v>
      </c>
      <c r="N707" s="98">
        <v>703</v>
      </c>
      <c r="O707" s="99">
        <v>351.5</v>
      </c>
      <c r="P707" s="101">
        <f>P706+R706*Tableau!$G$2+((1/2)*T706)*Tableau!$G$2^2</f>
        <v>4742.3005993693778</v>
      </c>
      <c r="Q707" s="101">
        <f>Q706+S706*Tableau!$G$2+((1/2)*U706)*Tableau!$G$2^2</f>
        <v>-145964.68054861907</v>
      </c>
      <c r="R707" s="101">
        <f>R706+T706*Tableau!$G$2</f>
        <v>1013.1854768528442</v>
      </c>
      <c r="S707" s="101">
        <f>S706+U706*Tableau!$G$2</f>
        <v>-3095.0467714902793</v>
      </c>
      <c r="T707" s="101">
        <f t="shared" si="20"/>
        <v>-1.1934908754493547</v>
      </c>
      <c r="U707" s="101">
        <f t="shared" si="21"/>
        <v>58.875489242141782</v>
      </c>
      <c r="V707" s="101">
        <f>((Tableau!$G$16-P707)/(AC707^2+Tableau!$G$21^2)^(3/2))*Tableau!$G$20</f>
        <v>2.164320016939016</v>
      </c>
      <c r="W707" s="101">
        <f>((Tableau!$H$16-Q707)/(AC707^2+Tableau!$G$21^2)^(3/2))*Tableau!$G$20</f>
        <v>21.769119398878697</v>
      </c>
      <c r="X707" s="101">
        <f>((Tableau!$G$25-P707)/(AD707^2+Tableau!$G$30^2)^(3/2))*Tableau!$G$29</f>
        <v>-1.1250801634314203</v>
      </c>
      <c r="Y707" s="101">
        <f>((Tableau!$H$25-Q707)/(AD707^2+Tableau!$G$30^2)^(3/2))*Tableau!$G$29</f>
        <v>7.0920150523772225</v>
      </c>
      <c r="Z707" s="101">
        <f>((Tableau!$G$35-P707)/(AE707^2+Tableau!$G$40^2)^(3/2))*Tableau!$G$39</f>
        <v>-2.2327307289569505</v>
      </c>
      <c r="AA707" s="102">
        <f>((Tableau!$H$35-Q707)/(AE707^2+Tableau!$G$40^2)^(3/2))*Tableau!$G$39</f>
        <v>30.014354790885861</v>
      </c>
      <c r="AC707" s="113">
        <f>SQRT((Tableau!$G$16-P707)^2+(Tableau!$H$16-Q707)^2)</f>
        <v>154221.2876579939</v>
      </c>
      <c r="AD707" s="114">
        <f>SQRT((Tableau!$G$25-P707)^2+(Tableau!$H$25-Q707)^2)</f>
        <v>157915.05000341908</v>
      </c>
      <c r="AE707" s="115">
        <f>SQRT((Tableau!$G$35-P707)^2+(Tableau!$H$35-Q707)^2)</f>
        <v>131326.53948144036</v>
      </c>
    </row>
    <row r="708" spans="2:31" x14ac:dyDescent="0.25">
      <c r="B708" s="20">
        <v>705</v>
      </c>
      <c r="C708" s="21">
        <f>Tableau!$G$17*COS(B708*PI()/180)+Tableau!$G$16</f>
        <v>24829.629131445341</v>
      </c>
      <c r="D708" s="21">
        <f>Tableau!$G$17*SIN(B708*PI()/180)+Tableau!$H$16</f>
        <v>6205.9047744873951</v>
      </c>
      <c r="F708" s="28">
        <v>705</v>
      </c>
      <c r="G708" s="29">
        <f>Tableau!$G$26*COS(F708*PI()/180)+Tableau!$G$25</f>
        <v>-16619.259607988261</v>
      </c>
      <c r="H708" s="29">
        <f>Tableau!$G$26*SIN(F708*PI()/180)+Tableau!$H$25</f>
        <v>9094.1333421411764</v>
      </c>
      <c r="J708" s="36">
        <v>705</v>
      </c>
      <c r="K708" s="37">
        <f>Tableau!$G$36*COS(J708*PI()/180)+Tableau!$G$35</f>
        <v>-170.37086855465895</v>
      </c>
      <c r="L708" s="37">
        <f>Tableau!$G$36*SIN(J708*PI()/180)+Tableau!$H$35</f>
        <v>-16294.095225512605</v>
      </c>
      <c r="N708" s="92">
        <v>704</v>
      </c>
      <c r="O708" s="93">
        <v>352</v>
      </c>
      <c r="P708" s="96">
        <f>P707+R707*Tableau!$G$2+((1/2)*T707)*Tableau!$G$2^2</f>
        <v>5248.7441514363691</v>
      </c>
      <c r="Q708" s="96">
        <f>Q707+S707*Tableau!$G$2+((1/2)*U707)*Tableau!$G$2^2</f>
        <v>-147504.84449820896</v>
      </c>
      <c r="R708" s="96">
        <f>R707+T707*Tableau!$G$2</f>
        <v>1012.5887314151196</v>
      </c>
      <c r="S708" s="96">
        <f>S707+U707*Tableau!$G$2</f>
        <v>-3065.6090268692083</v>
      </c>
      <c r="T708" s="96">
        <f t="shared" ref="T708:T771" si="22">V708+X708+Z708</f>
        <v>-1.3472770076385698</v>
      </c>
      <c r="U708" s="96">
        <f t="shared" ref="U708:U771" si="23">W708+Y708+AA708</f>
        <v>57.623503436480057</v>
      </c>
      <c r="V708" s="96">
        <f>((Tableau!$G$16-P708)/(AC708^2+Tableau!$G$21^2)^(3/2))*Tableau!$G$20</f>
        <v>2.0334663791840066</v>
      </c>
      <c r="W708" s="96">
        <f>((Tableau!$H$16-Q708)/(AC708^2+Tableau!$G$21^2)^(3/2))*Tableau!$G$20</f>
        <v>21.367478344458689</v>
      </c>
      <c r="X708" s="96">
        <f>((Tableau!$G$25-P708)/(AD708^2+Tableau!$G$30^2)^(3/2))*Tableau!$G$29</f>
        <v>-1.1139572430619871</v>
      </c>
      <c r="Y708" s="96">
        <f>((Tableau!$H$25-Q708)/(AD708^2+Tableau!$G$30^2)^(3/2))*Tableau!$G$29</f>
        <v>6.9490055146426162</v>
      </c>
      <c r="Z708" s="96">
        <f>((Tableau!$G$35-P708)/(AE708^2+Tableau!$G$40^2)^(3/2))*Tableau!$G$39</f>
        <v>-2.2667861437605894</v>
      </c>
      <c r="AA708" s="97">
        <f>((Tableau!$H$35-Q708)/(AE708^2+Tableau!$G$40^2)^(3/2))*Tableau!$G$39</f>
        <v>29.307019577378753</v>
      </c>
      <c r="AC708" s="110">
        <f>SQRT((Tableau!$G$16-P708)^2+(Tableau!$H$16-Q708)^2)</f>
        <v>155705.1745030451</v>
      </c>
      <c r="AD708" s="111">
        <f>SQRT((Tableau!$G$25-P708)^2+(Tableau!$H$25-Q708)^2)</f>
        <v>159515.75195456302</v>
      </c>
      <c r="AE708" s="112">
        <f>SQRT((Tableau!$G$35-P708)^2+(Tableau!$H$35-Q708)^2)</f>
        <v>132900.60410764182</v>
      </c>
    </row>
    <row r="709" spans="2:31" x14ac:dyDescent="0.25">
      <c r="B709" s="18">
        <v>706</v>
      </c>
      <c r="C709" s="19">
        <f>Tableau!$G$17*COS(B709*PI()/180)+Tableau!$G$16</f>
        <v>24851.478631379981</v>
      </c>
      <c r="D709" s="19">
        <f>Tableau!$G$17*SIN(B709*PI()/180)+Tableau!$H$16</f>
        <v>6290.390522001655</v>
      </c>
      <c r="F709" s="26">
        <v>706</v>
      </c>
      <c r="G709" s="27">
        <f>Tableau!$G$26*COS(F709*PI()/180)+Tableau!$G$25</f>
        <v>-16603.964958034012</v>
      </c>
      <c r="H709" s="27">
        <f>Tableau!$G$26*SIN(F709*PI()/180)+Tableau!$H$25</f>
        <v>9153.273365401159</v>
      </c>
      <c r="J709" s="34">
        <v>706</v>
      </c>
      <c r="K709" s="35">
        <f>Tableau!$G$36*COS(J709*PI()/180)+Tableau!$G$35</f>
        <v>-148.52136862001953</v>
      </c>
      <c r="L709" s="35">
        <f>Tableau!$G$36*SIN(J709*PI()/180)+Tableau!$H$35</f>
        <v>-16209.609477998345</v>
      </c>
      <c r="N709" s="98">
        <v>705</v>
      </c>
      <c r="O709" s="99">
        <v>352.5</v>
      </c>
      <c r="P709" s="101">
        <f>P708+R708*Tableau!$G$2+((1/2)*T708)*Tableau!$G$2^2</f>
        <v>5754.8701075179733</v>
      </c>
      <c r="Q709" s="101">
        <f>Q708+S708*Tableau!$G$2+((1/2)*U708)*Tableau!$G$2^2</f>
        <v>-149030.446073714</v>
      </c>
      <c r="R709" s="101">
        <f>R708+T708*Tableau!$G$2</f>
        <v>1011.9150929113003</v>
      </c>
      <c r="S709" s="101">
        <f>S708+U708*Tableau!$G$2</f>
        <v>-3036.7972751509683</v>
      </c>
      <c r="T709" s="101">
        <f t="shared" si="22"/>
        <v>-1.4911579297332174</v>
      </c>
      <c r="U709" s="101">
        <f t="shared" si="23"/>
        <v>56.420726176094547</v>
      </c>
      <c r="V709" s="101">
        <f>((Tableau!$G$16-P709)/(AC709^2+Tableau!$G$21^2)^(3/2))*Tableau!$G$20</f>
        <v>1.9092550828872206</v>
      </c>
      <c r="W709" s="101">
        <f>((Tableau!$H$16-Q709)/(AC709^2+Tableau!$G$21^2)^(3/2))*Tableau!$G$20</f>
        <v>20.979559473905976</v>
      </c>
      <c r="X709" s="101">
        <f>((Tableau!$G$25-P709)/(AD709^2+Tableau!$G$30^2)^(3/2))*Tableau!$G$29</f>
        <v>-1.1031054230645418</v>
      </c>
      <c r="Y709" s="101">
        <f>((Tableau!$H$25-Q709)/(AD709^2+Tableau!$G$30^2)^(3/2))*Tableau!$G$29</f>
        <v>6.8114242768042157</v>
      </c>
      <c r="Z709" s="101">
        <f>((Tableau!$G$35-P709)/(AE709^2+Tableau!$G$40^2)^(3/2))*Tableau!$G$39</f>
        <v>-2.2973075895558961</v>
      </c>
      <c r="AA709" s="102">
        <f>((Tableau!$H$35-Q709)/(AE709^2+Tableau!$G$40^2)^(3/2))*Tableau!$G$39</f>
        <v>28.629742425384361</v>
      </c>
      <c r="AC709" s="113">
        <f>SQRT((Tableau!$G$16-P709)^2+(Tableau!$H$16-Q709)^2)</f>
        <v>157177.30203082625</v>
      </c>
      <c r="AD709" s="114">
        <f>SQRT((Tableau!$G$25-P709)^2+(Tableau!$H$25-Q709)^2)</f>
        <v>161102.43980976695</v>
      </c>
      <c r="AE709" s="115">
        <f>SQRT((Tableau!$G$35-P709)^2+(Tableau!$H$35-Q709)^2)</f>
        <v>134461.24982963805</v>
      </c>
    </row>
    <row r="710" spans="2:31" x14ac:dyDescent="0.25">
      <c r="B710" s="20">
        <v>707</v>
      </c>
      <c r="C710" s="21">
        <f>Tableau!$G$17*COS(B710*PI()/180)+Tableau!$G$16</f>
        <v>24871.850323926177</v>
      </c>
      <c r="D710" s="21">
        <f>Tableau!$G$17*SIN(B710*PI()/180)+Tableau!$H$16</f>
        <v>6375.2447282806725</v>
      </c>
      <c r="F710" s="28">
        <v>707</v>
      </c>
      <c r="G710" s="29">
        <f>Tableau!$G$26*COS(F710*PI()/180)+Tableau!$G$25</f>
        <v>-16589.704773251677</v>
      </c>
      <c r="H710" s="29">
        <f>Tableau!$G$26*SIN(F710*PI()/180)+Tableau!$H$25</f>
        <v>9212.6713097964712</v>
      </c>
      <c r="J710" s="36">
        <v>707</v>
      </c>
      <c r="K710" s="37">
        <f>Tableau!$G$36*COS(J710*PI()/180)+Tableau!$G$35</f>
        <v>-128.14967607382459</v>
      </c>
      <c r="L710" s="37">
        <f>Tableau!$G$36*SIN(J710*PI()/180)+Tableau!$H$35</f>
        <v>-16124.755271719328</v>
      </c>
      <c r="N710" s="92">
        <v>706</v>
      </c>
      <c r="O710" s="93">
        <v>353</v>
      </c>
      <c r="P710" s="96">
        <f>P709+R709*Tableau!$G$2+((1/2)*T709)*Tableau!$G$2^2</f>
        <v>6260.6412592324068</v>
      </c>
      <c r="Q710" s="96">
        <f>Q709+S709*Tableau!$G$2+((1/2)*U709)*Tableau!$G$2^2</f>
        <v>-150541.79212051746</v>
      </c>
      <c r="R710" s="96">
        <f>R709+T709*Tableau!$G$2</f>
        <v>1011.1695139464338</v>
      </c>
      <c r="S710" s="96">
        <f>S709+U709*Tableau!$G$2</f>
        <v>-3008.5869120629209</v>
      </c>
      <c r="T710" s="96">
        <f t="shared" si="22"/>
        <v>-1.6258497480998246</v>
      </c>
      <c r="U710" s="96">
        <f t="shared" si="23"/>
        <v>55.264422622113521</v>
      </c>
      <c r="V710" s="96">
        <f>((Tableau!$G$16-P710)/(AC710^2+Tableau!$G$21^2)^(3/2))*Tableau!$G$20</f>
        <v>1.7912694299328338</v>
      </c>
      <c r="W710" s="96">
        <f>((Tableau!$H$16-Q710)/(AC710^2+Tableau!$G$21^2)^(3/2))*Tableau!$G$20</f>
        <v>20.60470479144551</v>
      </c>
      <c r="X710" s="96">
        <f>((Tableau!$G$25-P710)/(AD710^2+Tableau!$G$30^2)^(3/2))*Tableau!$G$29</f>
        <v>-1.0925145983861499</v>
      </c>
      <c r="Y710" s="96">
        <f>((Tableau!$H$25-Q710)/(AD710^2+Tableau!$G$30^2)^(3/2))*Tableau!$G$29</f>
        <v>6.6789782401477682</v>
      </c>
      <c r="Z710" s="96">
        <f>((Tableau!$G$35-P710)/(AE710^2+Tableau!$G$40^2)^(3/2))*Tableau!$G$39</f>
        <v>-2.3246045796465085</v>
      </c>
      <c r="AA710" s="97">
        <f>((Tableau!$H$35-Q710)/(AE710^2+Tableau!$G$40^2)^(3/2))*Tableau!$G$39</f>
        <v>27.980739590520244</v>
      </c>
      <c r="AC710" s="110">
        <f>SQRT((Tableau!$G$16-P710)^2+(Tableau!$H$16-Q710)^2)</f>
        <v>158637.88335474083</v>
      </c>
      <c r="AD710" s="111">
        <f>SQRT((Tableau!$G$25-P710)^2+(Tableau!$H$25-Q710)^2)</f>
        <v>162675.40778068927</v>
      </c>
      <c r="AE710" s="112">
        <f>SQRT((Tableau!$G$35-P710)^2+(Tableau!$H$35-Q710)^2)</f>
        <v>136008.74770694235</v>
      </c>
    </row>
    <row r="711" spans="2:31" x14ac:dyDescent="0.25">
      <c r="B711" s="18">
        <v>708</v>
      </c>
      <c r="C711" s="19">
        <f>Tableau!$G$17*COS(B711*PI()/180)+Tableau!$G$16</f>
        <v>24890.73800366903</v>
      </c>
      <c r="D711" s="19">
        <f>Tableau!$G$17*SIN(B711*PI()/180)+Tableau!$H$16</f>
        <v>6460.4415459112042</v>
      </c>
      <c r="F711" s="26">
        <v>708</v>
      </c>
      <c r="G711" s="27">
        <f>Tableau!$G$26*COS(F711*PI()/180)+Tableau!$G$25</f>
        <v>-16576.483397431679</v>
      </c>
      <c r="H711" s="27">
        <f>Tableau!$G$26*SIN(F711*PI()/180)+Tableau!$H$25</f>
        <v>9272.3090821378428</v>
      </c>
      <c r="J711" s="34">
        <v>708</v>
      </c>
      <c r="K711" s="35">
        <f>Tableau!$G$36*COS(J711*PI()/180)+Tableau!$G$35</f>
        <v>-109.26199633097167</v>
      </c>
      <c r="L711" s="35">
        <f>Tableau!$G$36*SIN(J711*PI()/180)+Tableau!$H$35</f>
        <v>-16039.558454088796</v>
      </c>
      <c r="N711" s="98">
        <v>707</v>
      </c>
      <c r="O711" s="99">
        <v>353.5</v>
      </c>
      <c r="P711" s="101">
        <f>P710+R710*Tableau!$G$2+((1/2)*T710)*Tableau!$G$2^2</f>
        <v>6766.0227849871108</v>
      </c>
      <c r="Q711" s="101">
        <f>Q710+S710*Tableau!$G$2+((1/2)*U710)*Tableau!$G$2^2</f>
        <v>-152039.17752372116</v>
      </c>
      <c r="R711" s="101">
        <f>R710+T710*Tableau!$G$2</f>
        <v>1010.3565890723838</v>
      </c>
      <c r="S711" s="101">
        <f>S710+U710*Tableau!$G$2</f>
        <v>-2980.954700751864</v>
      </c>
      <c r="T711" s="101">
        <f t="shared" si="22"/>
        <v>-1.7520078300691313</v>
      </c>
      <c r="U711" s="101">
        <f t="shared" si="23"/>
        <v>54.152053212903141</v>
      </c>
      <c r="V711" s="101">
        <f>((Tableau!$G$16-P711)/(AC711^2+Tableau!$G$21^2)^(3/2))*Tableau!$G$20</f>
        <v>1.6791241868652571</v>
      </c>
      <c r="W711" s="101">
        <f>((Tableau!$H$16-Q711)/(AC711^2+Tableau!$G$21^2)^(3/2))*Tableau!$G$20</f>
        <v>20.242296581013818</v>
      </c>
      <c r="X711" s="101">
        <f>((Tableau!$G$25-P711)/(AD711^2+Tableau!$G$30^2)^(3/2))*Tableau!$G$29</f>
        <v>-1.0821752026545584</v>
      </c>
      <c r="Y711" s="101">
        <f>((Tableau!$H$25-Q711)/(AD711^2+Tableau!$G$30^2)^(3/2))*Tableau!$G$29</f>
        <v>6.551394698545435</v>
      </c>
      <c r="Z711" s="101">
        <f>((Tableau!$G$35-P711)/(AE711^2+Tableau!$G$40^2)^(3/2))*Tableau!$G$39</f>
        <v>-2.3489568142798301</v>
      </c>
      <c r="AA711" s="102">
        <f>((Tableau!$H$35-Q711)/(AE711^2+Tableau!$G$40^2)^(3/2))*Tableau!$G$39</f>
        <v>27.358361933343883</v>
      </c>
      <c r="AC711" s="113">
        <f>SQRT((Tableau!$G$16-P711)^2+(Tableau!$H$16-Q711)^2)</f>
        <v>160087.12414767433</v>
      </c>
      <c r="AD711" s="114">
        <f>SQRT((Tableau!$G$25-P711)^2+(Tableau!$H$25-Q711)^2)</f>
        <v>164234.93851276123</v>
      </c>
      <c r="AE711" s="115">
        <f>SQRT((Tableau!$G$35-P711)^2+(Tableau!$H$35-Q711)^2)</f>
        <v>137543.35850398155</v>
      </c>
    </row>
    <row r="712" spans="2:31" x14ac:dyDescent="0.25">
      <c r="B712" s="20">
        <v>709</v>
      </c>
      <c r="C712" s="21">
        <f>Tableau!$G$17*COS(B712*PI()/180)+Tableau!$G$16</f>
        <v>24908.13591723832</v>
      </c>
      <c r="D712" s="21">
        <f>Tableau!$G$17*SIN(B712*PI()/180)+Tableau!$H$16</f>
        <v>6545.9550231172707</v>
      </c>
      <c r="F712" s="28">
        <v>709</v>
      </c>
      <c r="G712" s="29">
        <f>Tableau!$G$26*COS(F712*PI()/180)+Tableau!$G$25</f>
        <v>-16564.304857933177</v>
      </c>
      <c r="H712" s="29">
        <f>Tableau!$G$26*SIN(F712*PI()/180)+Tableau!$H$25</f>
        <v>9332.1685161820897</v>
      </c>
      <c r="J712" s="36">
        <v>709</v>
      </c>
      <c r="K712" s="37">
        <f>Tableau!$G$36*COS(J712*PI()/180)+Tableau!$G$35</f>
        <v>-91.864082761680947</v>
      </c>
      <c r="L712" s="37">
        <f>Tableau!$G$36*SIN(J712*PI()/180)+Tableau!$H$35</f>
        <v>-15954.044976882729</v>
      </c>
      <c r="N712" s="92">
        <v>708</v>
      </c>
      <c r="O712" s="93">
        <v>354</v>
      </c>
      <c r="P712" s="96">
        <f>P711+R711*Tableau!$G$2+((1/2)*T711)*Tableau!$G$2^2</f>
        <v>7270.9820785445445</v>
      </c>
      <c r="Q712" s="96">
        <f>Q711+S711*Tableau!$G$2+((1/2)*U711)*Tableau!$G$2^2</f>
        <v>-153522.88586744547</v>
      </c>
      <c r="R712" s="96">
        <f>R711+T711*Tableau!$G$2</f>
        <v>1009.4805851573493</v>
      </c>
      <c r="S712" s="96">
        <f>S711+U711*Tableau!$G$2</f>
        <v>-2953.8786741454123</v>
      </c>
      <c r="T712" s="96">
        <f t="shared" si="22"/>
        <v>-1.8702327826931053</v>
      </c>
      <c r="U712" s="96">
        <f t="shared" si="23"/>
        <v>53.081256724362895</v>
      </c>
      <c r="V712" s="96">
        <f>((Tableau!$G$16-P712)/(AC712^2+Tableau!$G$21^2)^(3/2))*Tableau!$G$20</f>
        <v>1.5724628039680113</v>
      </c>
      <c r="W712" s="96">
        <f>((Tableau!$H$16-Q712)/(AC712^2+Tableau!$G$21^2)^(3/2))*Tableau!$G$20</f>
        <v>19.891754428859564</v>
      </c>
      <c r="X712" s="96">
        <f>((Tableau!$G$25-P712)/(AD712^2+Tableau!$G$30^2)^(3/2))*Tableau!$G$29</f>
        <v>-1.0720781688074856</v>
      </c>
      <c r="Y712" s="96">
        <f>((Tableau!$H$25-Q712)/(AD712^2+Tableau!$G$30^2)^(3/2))*Tableau!$G$29</f>
        <v>6.4284196122445874</v>
      </c>
      <c r="Z712" s="96">
        <f>((Tableau!$G$35-P712)/(AE712^2+Tableau!$G$40^2)^(3/2))*Tableau!$G$39</f>
        <v>-2.370617417853631</v>
      </c>
      <c r="AA712" s="97">
        <f>((Tableau!$H$35-Q712)/(AE712^2+Tableau!$G$40^2)^(3/2))*Tableau!$G$39</f>
        <v>26.761082683258742</v>
      </c>
      <c r="AC712" s="110">
        <f>SQRT((Tableau!$G$16-P712)^2+(Tableau!$H$16-Q712)^2)</f>
        <v>161525.22301586554</v>
      </c>
      <c r="AD712" s="111">
        <f>SQRT((Tableau!$G$25-P712)^2+(Tableau!$H$25-Q712)^2)</f>
        <v>165781.30372857457</v>
      </c>
      <c r="AE712" s="112">
        <f>SQRT((Tableau!$G$35-P712)^2+(Tableau!$H$35-Q712)^2)</f>
        <v>139065.33324382926</v>
      </c>
    </row>
    <row r="713" spans="2:31" x14ac:dyDescent="0.25">
      <c r="B713" s="18">
        <v>710</v>
      </c>
      <c r="C713" s="19">
        <f>Tableau!$G$17*COS(B713*PI()/180)+Tableau!$G$16</f>
        <v>24924.038765061039</v>
      </c>
      <c r="D713" s="19">
        <f>Tableau!$G$17*SIN(B713*PI()/180)+Tableau!$H$16</f>
        <v>6631.7591116653466</v>
      </c>
      <c r="F713" s="26">
        <v>710</v>
      </c>
      <c r="G713" s="27">
        <f>Tableau!$G$26*COS(F713*PI()/180)+Tableau!$G$25</f>
        <v>-16553.172864457272</v>
      </c>
      <c r="H713" s="27">
        <f>Tableau!$G$26*SIN(F713*PI()/180)+Tableau!$H$25</f>
        <v>9392.2313781657431</v>
      </c>
      <c r="J713" s="34">
        <v>710</v>
      </c>
      <c r="K713" s="35">
        <f>Tableau!$G$36*COS(J713*PI()/180)+Tableau!$G$35</f>
        <v>-75.961234938959933</v>
      </c>
      <c r="L713" s="35">
        <f>Tableau!$G$36*SIN(J713*PI()/180)+Tableau!$H$35</f>
        <v>-15868.240888334652</v>
      </c>
      <c r="N713" s="98">
        <v>709</v>
      </c>
      <c r="O713" s="99">
        <v>354.5</v>
      </c>
      <c r="P713" s="101">
        <f>P712+R712*Tableau!$G$2+((1/2)*T712)*Tableau!$G$2^2</f>
        <v>7775.4885920253828</v>
      </c>
      <c r="Q713" s="101">
        <f>Q712+S712*Tableau!$G$2+((1/2)*U712)*Tableau!$G$2^2</f>
        <v>-154993.19004742763</v>
      </c>
      <c r="R713" s="101">
        <f>R712+T712*Tableau!$G$2</f>
        <v>1008.5454687660027</v>
      </c>
      <c r="S713" s="101">
        <f>S712+U712*Tableau!$G$2</f>
        <v>-2927.3380457832309</v>
      </c>
      <c r="T713" s="101">
        <f t="shared" si="22"/>
        <v>-1.9810757603285734</v>
      </c>
      <c r="U713" s="101">
        <f t="shared" si="23"/>
        <v>52.049835051862971</v>
      </c>
      <c r="V713" s="101">
        <f>((Tableau!$G$16-P713)/(AC713^2+Tableau!$G$21^2)^(3/2))*Tableau!$G$20</f>
        <v>1.4709549154770809</v>
      </c>
      <c r="W713" s="101">
        <f>((Tableau!$H$16-Q713)/(AC713^2+Tableau!$G$21^2)^(3/2))*Tableau!$G$20</f>
        <v>19.552532502517131</v>
      </c>
      <c r="X713" s="101">
        <f>((Tableau!$G$25-P713)/(AD713^2+Tableau!$G$30^2)^(3/2))*Tableau!$G$29</f>
        <v>-1.0622148935186622</v>
      </c>
      <c r="Y713" s="101">
        <f>((Tableau!$H$25-Q713)/(AD713^2+Tableau!$G$30^2)^(3/2))*Tableau!$G$29</f>
        <v>6.3098160529874923</v>
      </c>
      <c r="Z713" s="101">
        <f>((Tableau!$G$35-P713)/(AE713^2+Tableau!$G$40^2)^(3/2))*Tableau!$G$39</f>
        <v>-2.3898157822869921</v>
      </c>
      <c r="AA713" s="102">
        <f>((Tableau!$H$35-Q713)/(AE713^2+Tableau!$G$40^2)^(3/2))*Tableau!$G$39</f>
        <v>26.187486496358346</v>
      </c>
      <c r="AC713" s="113">
        <f>SQRT((Tableau!$G$16-P713)^2+(Tableau!$H$16-Q713)^2)</f>
        <v>162952.37184819722</v>
      </c>
      <c r="AD713" s="114">
        <f>SQRT((Tableau!$G$25-P713)^2+(Tableau!$H$25-Q713)^2)</f>
        <v>167314.76482532051</v>
      </c>
      <c r="AE713" s="115">
        <f>SQRT((Tableau!$G$35-P713)^2+(Tableau!$H$35-Q713)^2)</f>
        <v>140574.91372368031</v>
      </c>
    </row>
    <row r="714" spans="2:31" x14ac:dyDescent="0.25">
      <c r="B714" s="20">
        <v>711</v>
      </c>
      <c r="C714" s="21">
        <f>Tableau!$G$17*COS(B714*PI()/180)+Tableau!$G$16</f>
        <v>24938.441702975688</v>
      </c>
      <c r="D714" s="21">
        <f>Tableau!$G$17*SIN(B714*PI()/180)+Tableau!$H$16</f>
        <v>6717.8276747988384</v>
      </c>
      <c r="F714" s="28">
        <v>711</v>
      </c>
      <c r="G714" s="29">
        <f>Tableau!$G$26*COS(F714*PI()/180)+Tableau!$G$25</f>
        <v>-16543.090807917019</v>
      </c>
      <c r="H714" s="29">
        <f>Tableau!$G$26*SIN(F714*PI()/180)+Tableau!$H$25</f>
        <v>9452.4793723591865</v>
      </c>
      <c r="J714" s="36">
        <v>711</v>
      </c>
      <c r="K714" s="37">
        <f>Tableau!$G$36*COS(J714*PI()/180)+Tableau!$G$35</f>
        <v>-61.558297024312196</v>
      </c>
      <c r="L714" s="37">
        <f>Tableau!$G$36*SIN(J714*PI()/180)+Tableau!$H$35</f>
        <v>-15782.172325201162</v>
      </c>
      <c r="N714" s="92">
        <v>710</v>
      </c>
      <c r="O714" s="93">
        <v>355</v>
      </c>
      <c r="P714" s="96">
        <f>P713+R713*Tableau!$G$2+((1/2)*T713)*Tableau!$G$2^2</f>
        <v>8279.513691938344</v>
      </c>
      <c r="Q714" s="96">
        <f>Q713+S713*Tableau!$G$2+((1/2)*U713)*Tableau!$G$2^2</f>
        <v>-156450.35284093776</v>
      </c>
      <c r="R714" s="96">
        <f>R713+T713*Tableau!$G$2</f>
        <v>1007.5549308858384</v>
      </c>
      <c r="S714" s="96">
        <f>S713+U713*Tableau!$G$2</f>
        <v>-2901.3131282572995</v>
      </c>
      <c r="T714" s="96">
        <f t="shared" si="22"/>
        <v>-2.0850431856230367</v>
      </c>
      <c r="U714" s="96">
        <f t="shared" si="23"/>
        <v>51.055739513993728</v>
      </c>
      <c r="V714" s="96">
        <f>((Tableau!$G$16-P714)/(AC714^2+Tableau!$G$21^2)^(3/2))*Tableau!$G$20</f>
        <v>1.3742940890014559</v>
      </c>
      <c r="W714" s="96">
        <f>((Tableau!$H$16-Q714)/(AC714^2+Tableau!$G$21^2)^(3/2))*Tableau!$G$20</f>
        <v>19.224117061083515</v>
      </c>
      <c r="X714" s="96">
        <f>((Tableau!$G$25-P714)/(AD714^2+Tableau!$G$30^2)^(3/2))*Tableau!$G$29</f>
        <v>-1.05257720496215</v>
      </c>
      <c r="Y714" s="96">
        <f>((Tableau!$H$25-Q714)/(AD714^2+Tableau!$G$30^2)^(3/2))*Tableau!$G$29</f>
        <v>6.1953628010308686</v>
      </c>
      <c r="Z714" s="96">
        <f>((Tableau!$G$35-P714)/(AE714^2+Tableau!$G$40^2)^(3/2))*Tableau!$G$39</f>
        <v>-2.4067600696623423</v>
      </c>
      <c r="AA714" s="97">
        <f>((Tableau!$H$35-Q714)/(AE714^2+Tableau!$G$40^2)^(3/2))*Tableau!$G$39</f>
        <v>25.636259651879346</v>
      </c>
      <c r="AC714" s="110">
        <f>SQRT((Tableau!$G$16-P714)^2+(Tableau!$H$16-Q714)^2)</f>
        <v>164368.75614290402</v>
      </c>
      <c r="AD714" s="111">
        <f>SQRT((Tableau!$G$25-P714)^2+(Tableau!$H$25-Q714)^2)</f>
        <v>168835.57343026143</v>
      </c>
      <c r="AE714" s="112">
        <f>SQRT((Tableau!$G$35-P714)^2+(Tableau!$H$35-Q714)^2)</f>
        <v>142072.33299527451</v>
      </c>
    </row>
    <row r="715" spans="2:31" x14ac:dyDescent="0.25">
      <c r="B715" s="18">
        <v>712</v>
      </c>
      <c r="C715" s="19">
        <f>Tableau!$G$17*COS(B715*PI()/180)+Tableau!$G$16</f>
        <v>24951.340343707852</v>
      </c>
      <c r="D715" s="19">
        <f>Tableau!$G$17*SIN(B715*PI()/180)+Tableau!$H$16</f>
        <v>6804.134495199678</v>
      </c>
      <c r="F715" s="26">
        <v>712</v>
      </c>
      <c r="G715" s="27">
        <f>Tableau!$G$26*COS(F715*PI()/180)+Tableau!$G$25</f>
        <v>-16534.061759404503</v>
      </c>
      <c r="H715" s="27">
        <f>Tableau!$G$26*SIN(F715*PI()/180)+Tableau!$H$25</f>
        <v>9512.8941466397755</v>
      </c>
      <c r="J715" s="34">
        <v>712</v>
      </c>
      <c r="K715" s="35">
        <f>Tableau!$G$36*COS(J715*PI()/180)+Tableau!$G$35</f>
        <v>-48.659656292147702</v>
      </c>
      <c r="L715" s="35">
        <f>Tableau!$G$36*SIN(J715*PI()/180)+Tableau!$H$35</f>
        <v>-15695.865504800322</v>
      </c>
      <c r="N715" s="98">
        <v>711</v>
      </c>
      <c r="O715" s="99">
        <v>355.5</v>
      </c>
      <c r="P715" s="101">
        <f>P714+R714*Tableau!$G$2+((1/2)*T714)*Tableau!$G$2^2</f>
        <v>8783.0305269830606</v>
      </c>
      <c r="Q715" s="101">
        <f>Q714+S714*Tableau!$G$2+((1/2)*U714)*Tableau!$G$2^2</f>
        <v>-157894.62743762715</v>
      </c>
      <c r="R715" s="101">
        <f>R714+T714*Tableau!$G$2</f>
        <v>1006.5124092930268</v>
      </c>
      <c r="S715" s="101">
        <f>S714+U714*Tableau!$G$2</f>
        <v>-2875.7852585003025</v>
      </c>
      <c r="T715" s="101">
        <f t="shared" si="22"/>
        <v>-2.1826009566751567</v>
      </c>
      <c r="U715" s="101">
        <f t="shared" si="23"/>
        <v>50.097058504281691</v>
      </c>
      <c r="V715" s="101">
        <f>((Tableau!$G$16-P715)/(AC715^2+Tableau!$G$21^2)^(3/2))*Tableau!$G$20</f>
        <v>1.2821957962386283</v>
      </c>
      <c r="W715" s="101">
        <f>((Tableau!$H$16-Q715)/(AC715^2+Tableau!$G$21^2)^(3/2))*Tableau!$G$20</f>
        <v>18.906024174454789</v>
      </c>
      <c r="X715" s="101">
        <f>((Tableau!$G$25-P715)/(AD715^2+Tableau!$G$30^2)^(3/2))*Tableau!$G$29</f>
        <v>-1.043157333522285</v>
      </c>
      <c r="Y715" s="101">
        <f>((Tableau!$H$25-Q715)/(AD715^2+Tableau!$G$30^2)^(3/2))*Tableau!$G$29</f>
        <v>6.0848530771061311</v>
      </c>
      <c r="Z715" s="101">
        <f>((Tableau!$G$35-P715)/(AE715^2+Tableau!$G$40^2)^(3/2))*Tableau!$G$39</f>
        <v>-2.4216394193915001</v>
      </c>
      <c r="AA715" s="102">
        <f>((Tableau!$H$35-Q715)/(AE715^2+Tableau!$G$40^2)^(3/2))*Tableau!$G$39</f>
        <v>25.106181252720766</v>
      </c>
      <c r="AC715" s="113">
        <f>SQRT((Tableau!$G$16-P715)^2+(Tableau!$H$16-Q715)^2)</f>
        <v>165774.55531350424</v>
      </c>
      <c r="AD715" s="114">
        <f>SQRT((Tableau!$G$25-P715)^2+(Tableau!$H$25-Q715)^2)</f>
        <v>170343.97191781356</v>
      </c>
      <c r="AE715" s="115">
        <f>SQRT((Tableau!$G$35-P715)^2+(Tableau!$H$35-Q715)^2)</f>
        <v>143557.81581316292</v>
      </c>
    </row>
    <row r="716" spans="2:31" x14ac:dyDescent="0.25">
      <c r="B716" s="20">
        <v>713</v>
      </c>
      <c r="C716" s="21">
        <f>Tableau!$G$17*COS(B716*PI()/180)+Tableau!$G$16</f>
        <v>24962.73075820661</v>
      </c>
      <c r="D716" s="21">
        <f>Tableau!$G$17*SIN(B716*PI()/180)+Tableau!$H$16</f>
        <v>6890.6532829742628</v>
      </c>
      <c r="F716" s="28">
        <v>713</v>
      </c>
      <c r="G716" s="29">
        <f>Tableau!$G$26*COS(F716*PI()/180)+Tableau!$G$25</f>
        <v>-16526.088469255374</v>
      </c>
      <c r="H716" s="29">
        <f>Tableau!$G$26*SIN(F716*PI()/180)+Tableau!$H$25</f>
        <v>9573.457298081983</v>
      </c>
      <c r="J716" s="36">
        <v>713</v>
      </c>
      <c r="K716" s="37">
        <f>Tableau!$G$36*COS(J716*PI()/180)+Tableau!$G$35</f>
        <v>-37.269241793390393</v>
      </c>
      <c r="L716" s="37">
        <f>Tableau!$G$36*SIN(J716*PI()/180)+Tableau!$H$35</f>
        <v>-15609.346717025737</v>
      </c>
      <c r="N716" s="92">
        <v>712</v>
      </c>
      <c r="O716" s="93">
        <v>356</v>
      </c>
      <c r="P716" s="96">
        <f>P715+R715*Tableau!$G$2+((1/2)*T715)*Tableau!$G$2^2</f>
        <v>9286.0139065099902</v>
      </c>
      <c r="Q716" s="96">
        <f>Q715+S715*Tableau!$G$2+((1/2)*U715)*Tableau!$G$2^2</f>
        <v>-159326.25793456426</v>
      </c>
      <c r="R716" s="96">
        <f>R715+T715*Tableau!$G$2</f>
        <v>1005.4211088146893</v>
      </c>
      <c r="S716" s="96">
        <f>S715+U715*Tableau!$G$2</f>
        <v>-2850.7367292481617</v>
      </c>
      <c r="T716" s="96">
        <f t="shared" si="22"/>
        <v>-2.2741782031429465</v>
      </c>
      <c r="U716" s="96">
        <f t="shared" si="23"/>
        <v>49.1720063392995</v>
      </c>
      <c r="V716" s="96">
        <f>((Tableau!$G$16-P716)/(AC716^2+Tableau!$G$21^2)^(3/2))*Tableau!$G$20</f>
        <v>1.1943955805360598</v>
      </c>
      <c r="W716" s="96">
        <f>((Tableau!$H$16-Q716)/(AC716^2+Tableau!$G$21^2)^(3/2))*Tableau!$G$20</f>
        <v>18.597797631591458</v>
      </c>
      <c r="X716" s="96">
        <f>((Tableau!$G$25-P716)/(AD716^2+Tableau!$G$30^2)^(3/2))*Tableau!$G$29</f>
        <v>-1.0339478851113166</v>
      </c>
      <c r="Y716" s="96">
        <f>((Tableau!$H$25-Q716)/(AD716^2+Tableau!$G$30^2)^(3/2))*Tableau!$G$29</f>
        <v>5.9780933944833885</v>
      </c>
      <c r="Z716" s="96">
        <f>((Tableau!$G$35-P716)/(AE716^2+Tableau!$G$40^2)^(3/2))*Tableau!$G$39</f>
        <v>-2.4346258985676896</v>
      </c>
      <c r="AA716" s="97">
        <f>((Tableau!$H$35-Q716)/(AE716^2+Tableau!$G$40^2)^(3/2))*Tableau!$G$39</f>
        <v>24.596115313224651</v>
      </c>
      <c r="AC716" s="110">
        <f>SQRT((Tableau!$G$16-P716)^2+(Tableau!$H$16-Q716)^2)</f>
        <v>167169.94297558776</v>
      </c>
      <c r="AD716" s="111">
        <f>SQRT((Tableau!$G$25-P716)^2+(Tableau!$H$25-Q716)^2)</f>
        <v>171840.19389146092</v>
      </c>
      <c r="AE716" s="112">
        <f>SQRT((Tableau!$G$35-P716)^2+(Tableau!$H$35-Q716)^2)</f>
        <v>145031.57905343018</v>
      </c>
    </row>
    <row r="717" spans="2:31" x14ac:dyDescent="0.25">
      <c r="B717" s="18">
        <v>714</v>
      </c>
      <c r="C717" s="19">
        <f>Tableau!$G$17*COS(B717*PI()/180)+Tableau!$G$16</f>
        <v>24972.609476841368</v>
      </c>
      <c r="D717" s="19">
        <f>Tableau!$G$17*SIN(B717*PI()/180)+Tableau!$H$16</f>
        <v>6977.3576836617276</v>
      </c>
      <c r="F717" s="26">
        <v>714</v>
      </c>
      <c r="G717" s="27">
        <f>Tableau!$G$26*COS(F717*PI()/180)+Tableau!$G$25</f>
        <v>-16519.173366211042</v>
      </c>
      <c r="H717" s="27">
        <f>Tableau!$G$26*SIN(F717*PI()/180)+Tableau!$H$25</f>
        <v>9634.1503785632085</v>
      </c>
      <c r="J717" s="34">
        <v>714</v>
      </c>
      <c r="K717" s="35">
        <f>Tableau!$G$36*COS(J717*PI()/180)+Tableau!$G$35</f>
        <v>-27.390523158634096</v>
      </c>
      <c r="L717" s="35">
        <f>Tableau!$G$36*SIN(J717*PI()/180)+Tableau!$H$35</f>
        <v>-15522.642316338273</v>
      </c>
      <c r="N717" s="98">
        <v>713</v>
      </c>
      <c r="O717" s="99">
        <v>356.5</v>
      </c>
      <c r="P717" s="101">
        <f>P716+R716*Tableau!$G$2+((1/2)*T716)*Tableau!$G$2^2</f>
        <v>9788.4401886419419</v>
      </c>
      <c r="Q717" s="101">
        <f>Q716+S716*Tableau!$G$2+((1/2)*U716)*Tableau!$G$2^2</f>
        <v>-160745.47979839591</v>
      </c>
      <c r="R717" s="101">
        <f>R716+T716*Tableau!$G$2</f>
        <v>1004.2840197131178</v>
      </c>
      <c r="S717" s="101">
        <f>S716+U716*Tableau!$G$2</f>
        <v>-2826.150726078512</v>
      </c>
      <c r="T717" s="101">
        <f t="shared" si="22"/>
        <v>-2.3601706455773654</v>
      </c>
      <c r="U717" s="101">
        <f t="shared" si="23"/>
        <v>48.278913170687076</v>
      </c>
      <c r="V717" s="101">
        <f>((Tableau!$G$16-P717)/(AC717^2+Tableau!$G$21^2)^(3/2))*Tableau!$G$20</f>
        <v>1.1106473998414048</v>
      </c>
      <c r="W717" s="101">
        <f>((Tableau!$H$16-Q717)/(AC717^2+Tableau!$G$21^2)^(3/2))*Tableau!$G$20</f>
        <v>18.299007019996775</v>
      </c>
      <c r="X717" s="101">
        <f>((Tableau!$G$25-P717)/(AD717^2+Tableau!$G$30^2)^(3/2))*Tableau!$G$29</f>
        <v>-1.0249418168031104</v>
      </c>
      <c r="Y717" s="101">
        <f>((Tableau!$H$25-Q717)/(AD717^2+Tableau!$G$30^2)^(3/2))*Tableau!$G$29</f>
        <v>5.8749025181323233</v>
      </c>
      <c r="Z717" s="101">
        <f>((Tableau!$G$35-P717)/(AE717^2+Tableau!$G$40^2)^(3/2))*Tableau!$G$39</f>
        <v>-2.4458762286156599</v>
      </c>
      <c r="AA717" s="102">
        <f>((Tableau!$H$35-Q717)/(AE717^2+Tableau!$G$40^2)^(3/2))*Tableau!$G$39</f>
        <v>24.105003632557981</v>
      </c>
      <c r="AC717" s="113">
        <f>SQRT((Tableau!$G$16-P717)^2+(Tableau!$H$16-Q717)^2)</f>
        <v>168555.08721594076</v>
      </c>
      <c r="AD717" s="114">
        <f>SQRT((Tableau!$G$25-P717)^2+(Tableau!$H$25-Q717)^2)</f>
        <v>173324.46463340576</v>
      </c>
      <c r="AE717" s="115">
        <f>SQRT((Tableau!$G$35-P717)^2+(Tableau!$H$35-Q717)^2)</f>
        <v>146493.83210523805</v>
      </c>
    </row>
    <row r="718" spans="2:31" x14ac:dyDescent="0.25">
      <c r="B718" s="20">
        <v>715</v>
      </c>
      <c r="C718" s="21">
        <f>Tableau!$G$17*COS(B718*PI()/180)+Tableau!$G$16</f>
        <v>24980.973490458728</v>
      </c>
      <c r="D718" s="21">
        <f>Tableau!$G$17*SIN(B718*PI()/180)+Tableau!$H$16</f>
        <v>7064.2212862617162</v>
      </c>
      <c r="F718" s="28">
        <v>715</v>
      </c>
      <c r="G718" s="29">
        <f>Tableau!$G$26*COS(F718*PI()/180)+Tableau!$G$25</f>
        <v>-16513.318556678889</v>
      </c>
      <c r="H718" s="29">
        <f>Tableau!$G$26*SIN(F718*PI()/180)+Tableau!$H$25</f>
        <v>9694.9549003832017</v>
      </c>
      <c r="J718" s="36">
        <v>715</v>
      </c>
      <c r="K718" s="37">
        <f>Tableau!$G$36*COS(J718*PI()/180)+Tableau!$G$35</f>
        <v>-19.02650954127148</v>
      </c>
      <c r="L718" s="37">
        <f>Tableau!$G$36*SIN(J718*PI()/180)+Tableau!$H$35</f>
        <v>-15435.778713738284</v>
      </c>
      <c r="N718" s="92">
        <v>714</v>
      </c>
      <c r="O718" s="93">
        <v>357</v>
      </c>
      <c r="P718" s="96">
        <f>P717+R717*Tableau!$G$2+((1/2)*T717)*Tableau!$G$2^2</f>
        <v>10290.287177167804</v>
      </c>
      <c r="Q718" s="96">
        <f>Q717+S717*Tableau!$G$2+((1/2)*U717)*Tableau!$G$2^2</f>
        <v>-162152.52029728881</v>
      </c>
      <c r="R718" s="96">
        <f>R717+T717*Tableau!$G$2</f>
        <v>1003.1039343903291</v>
      </c>
      <c r="S718" s="96">
        <f>S717+U717*Tableau!$G$2</f>
        <v>-2802.0112694931686</v>
      </c>
      <c r="T718" s="96">
        <f t="shared" si="22"/>
        <v>-2.4409436050243309</v>
      </c>
      <c r="U718" s="96">
        <f t="shared" si="23"/>
        <v>47.416215845065338</v>
      </c>
      <c r="V718" s="96">
        <f>((Tableau!$G$16-P718)/(AC718^2+Tableau!$G$21^2)^(3/2))*Tableau!$G$20</f>
        <v>1.030722126175825</v>
      </c>
      <c r="W718" s="96">
        <f>((Tableau!$H$16-Q718)/(AC718^2+Tableau!$G$21^2)^(3/2))*Tableau!$G$20</f>
        <v>18.009245960469418</v>
      </c>
      <c r="X718" s="96">
        <f>((Tableau!$G$25-P718)/(AD718^2+Tableau!$G$30^2)^(3/2))*Tableau!$G$29</f>
        <v>-1.0161324145301327</v>
      </c>
      <c r="Y718" s="96">
        <f>((Tableau!$H$25-Q718)/(AD718^2+Tableau!$G$30^2)^(3/2))*Tableau!$G$29</f>
        <v>5.7751105195526229</v>
      </c>
      <c r="Z718" s="96">
        <f>((Tableau!$G$35-P718)/(AE718^2+Tableau!$G$40^2)^(3/2))*Tableau!$G$39</f>
        <v>-2.4555333166700231</v>
      </c>
      <c r="AA718" s="97">
        <f>((Tableau!$H$35-Q718)/(AE718^2+Tableau!$G$40^2)^(3/2))*Tableau!$G$39</f>
        <v>23.631859365043301</v>
      </c>
      <c r="AC718" s="110">
        <f>SQRT((Tableau!$G$16-P718)^2+(Tableau!$H$16-Q718)^2)</f>
        <v>169930.15084535134</v>
      </c>
      <c r="AD718" s="111">
        <f>SQRT((Tableau!$G$25-P718)^2+(Tableau!$H$25-Q718)^2)</f>
        <v>174797.00152457916</v>
      </c>
      <c r="AE718" s="112">
        <f>SQRT((Tableau!$G$35-P718)^2+(Tableau!$H$35-Q718)^2)</f>
        <v>147944.77723733359</v>
      </c>
    </row>
    <row r="719" spans="2:31" x14ac:dyDescent="0.25">
      <c r="B719" s="18">
        <v>716</v>
      </c>
      <c r="C719" s="19">
        <f>Tableau!$G$17*COS(B719*PI()/180)+Tableau!$G$16</f>
        <v>24987.820251299123</v>
      </c>
      <c r="D719" s="19">
        <f>Tableau!$G$17*SIN(B719*PI()/180)+Tableau!$H$16</f>
        <v>7151.2176312793754</v>
      </c>
      <c r="F719" s="26">
        <v>716</v>
      </c>
      <c r="G719" s="27">
        <f>Tableau!$G$26*COS(F719*PI()/180)+Tableau!$G$25</f>
        <v>-16508.525824090615</v>
      </c>
      <c r="H719" s="27">
        <f>Tableau!$G$26*SIN(F719*PI()/180)+Tableau!$H$25</f>
        <v>9755.8523418955629</v>
      </c>
      <c r="J719" s="34">
        <v>716</v>
      </c>
      <c r="K719" s="35">
        <f>Tableau!$G$36*COS(J719*PI()/180)+Tableau!$G$35</f>
        <v>-12.179748700878008</v>
      </c>
      <c r="L719" s="35">
        <f>Tableau!$G$36*SIN(J719*PI()/180)+Tableau!$H$35</f>
        <v>-15348.782368720626</v>
      </c>
      <c r="N719" s="98">
        <v>715</v>
      </c>
      <c r="O719" s="99">
        <v>357.5</v>
      </c>
      <c r="P719" s="101">
        <f>P718+R718*Tableau!$G$2+((1/2)*T718)*Tableau!$G$2^2</f>
        <v>10791.534026412341</v>
      </c>
      <c r="Q719" s="101">
        <f>Q718+S718*Tableau!$G$2+((1/2)*U718)*Tableau!$G$2^2</f>
        <v>-163547.59890505474</v>
      </c>
      <c r="R719" s="101">
        <f>R718+T718*Tableau!$G$2</f>
        <v>1001.8834625878169</v>
      </c>
      <c r="S719" s="101">
        <f>S718+U718*Tableau!$G$2</f>
        <v>-2778.3031615706359</v>
      </c>
      <c r="T719" s="101">
        <f t="shared" si="22"/>
        <v>-2.5168347037592453</v>
      </c>
      <c r="U719" s="101">
        <f t="shared" si="23"/>
        <v>46.58244961000841</v>
      </c>
      <c r="V719" s="101">
        <f>((Tableau!$G$16-P719)/(AC719^2+Tableau!$G$21^2)^(3/2))*Tableau!$G$20</f>
        <v>0.95440618501303809</v>
      </c>
      <c r="W719" s="101">
        <f>((Tableau!$H$16-Q719)/(AC719^2+Tableau!$G$21^2)^(3/2))*Tableau!$G$20</f>
        <v>17.728130482846439</v>
      </c>
      <c r="X719" s="101">
        <f>((Tableau!$G$25-P719)/(AD719^2+Tableau!$G$30^2)^(3/2))*Tableau!$G$29</f>
        <v>-1.0075132726242015</v>
      </c>
      <c r="Y719" s="101">
        <f>((Tableau!$H$25-Q719)/(AD719^2+Tableau!$G$30^2)^(3/2))*Tableau!$G$29</f>
        <v>5.6785579172158158</v>
      </c>
      <c r="Z719" s="101">
        <f>((Tableau!$G$35-P719)/(AE719^2+Tableau!$G$40^2)^(3/2))*Tableau!$G$39</f>
        <v>-2.4637276161480819</v>
      </c>
      <c r="AA719" s="102">
        <f>((Tableau!$H$35-Q719)/(AE719^2+Tableau!$G$40^2)^(3/2))*Tableau!$G$39</f>
        <v>23.175761209946153</v>
      </c>
      <c r="AC719" s="113">
        <f>SQRT((Tableau!$G$16-P719)^2+(Tableau!$H$16-Q719)^2)</f>
        <v>171295.29163631791</v>
      </c>
      <c r="AD719" s="114">
        <f>SQRT((Tableau!$G$25-P719)^2+(Tableau!$H$25-Q719)^2)</f>
        <v>176258.01443738511</v>
      </c>
      <c r="AE719" s="115">
        <f>SQRT((Tableau!$G$35-P719)^2+(Tableau!$H$35-Q719)^2)</f>
        <v>149384.60994146738</v>
      </c>
    </row>
    <row r="720" spans="2:31" x14ac:dyDescent="0.25">
      <c r="B720" s="20">
        <v>717</v>
      </c>
      <c r="C720" s="21">
        <f>Tableau!$G$17*COS(B720*PI()/180)+Tableau!$G$16</f>
        <v>24993.14767377287</v>
      </c>
      <c r="D720" s="21">
        <f>Tableau!$G$17*SIN(B720*PI()/180)+Tableau!$H$16</f>
        <v>7238.3202187852767</v>
      </c>
      <c r="F720" s="28">
        <v>717</v>
      </c>
      <c r="G720" s="29">
        <f>Tableau!$G$26*COS(F720*PI()/180)+Tableau!$G$25</f>
        <v>-16504.796628358992</v>
      </c>
      <c r="H720" s="29">
        <f>Tableau!$G$26*SIN(F720*PI()/180)+Tableau!$H$25</f>
        <v>9816.8241531496933</v>
      </c>
      <c r="J720" s="36">
        <v>717</v>
      </c>
      <c r="K720" s="37">
        <f>Tableau!$G$36*COS(J720*PI()/180)+Tableau!$G$35</f>
        <v>-6.8523262271310159</v>
      </c>
      <c r="L720" s="37">
        <f>Tableau!$G$36*SIN(J720*PI()/180)+Tableau!$H$35</f>
        <v>-15261.679781214723</v>
      </c>
      <c r="N720" s="92">
        <v>716</v>
      </c>
      <c r="O720" s="93">
        <v>358</v>
      </c>
      <c r="P720" s="96">
        <f>P719+R719*Tableau!$G$2+((1/2)*T719)*Tableau!$G$2^2</f>
        <v>11292.161153368279</v>
      </c>
      <c r="Q720" s="96">
        <f>Q719+S719*Tableau!$G$2+((1/2)*U719)*Tableau!$G$2^2</f>
        <v>-164930.92767963879</v>
      </c>
      <c r="R720" s="96">
        <f>R719+T719*Tableau!$G$2</f>
        <v>1000.6250452359373</v>
      </c>
      <c r="S720" s="96">
        <f>S719+U719*Tableau!$G$2</f>
        <v>-2755.0119367656316</v>
      </c>
      <c r="T720" s="96">
        <f t="shared" si="22"/>
        <v>-2.5881562927285167</v>
      </c>
      <c r="U720" s="96">
        <f t="shared" si="23"/>
        <v>45.776240576514681</v>
      </c>
      <c r="V720" s="96">
        <f>((Tableau!$G$16-P720)/(AC720^2+Tableau!$G$21^2)^(3/2))*Tableau!$G$20</f>
        <v>0.88150031990171351</v>
      </c>
      <c r="W720" s="96">
        <f>((Tableau!$H$16-Q720)/(AC720^2+Tableau!$G$21^2)^(3/2))*Tableau!$G$20</f>
        <v>17.455297529919854</v>
      </c>
      <c r="X720" s="96">
        <f>((Tableau!$G$25-P720)/(AD720^2+Tableau!$G$30^2)^(3/2))*Tableau!$G$29</f>
        <v>-0.99907827500930213</v>
      </c>
      <c r="Y720" s="96">
        <f>((Tableau!$H$25-Q720)/(AD720^2+Tableau!$G$30^2)^(3/2))*Tableau!$G$29</f>
        <v>5.5850948937458842</v>
      </c>
      <c r="Z720" s="96">
        <f>((Tableau!$G$35-P720)/(AE720^2+Tableau!$G$40^2)^(3/2))*Tableau!$G$39</f>
        <v>-2.4705783376209278</v>
      </c>
      <c r="AA720" s="97">
        <f>((Tableau!$H$35-Q720)/(AE720^2+Tableau!$G$40^2)^(3/2))*Tableau!$G$39</f>
        <v>22.735848152848945</v>
      </c>
      <c r="AC720" s="110">
        <f>SQRT((Tableau!$G$16-P720)^2+(Tableau!$H$16-Q720)^2)</f>
        <v>172650.66254677315</v>
      </c>
      <c r="AD720" s="111">
        <f>SQRT((Tableau!$G$25-P720)^2+(Tableau!$H$25-Q720)^2)</f>
        <v>177707.70610332966</v>
      </c>
      <c r="AE720" s="112">
        <f>SQRT((Tableau!$G$35-P720)^2+(Tableau!$H$35-Q720)^2)</f>
        <v>150813.51925448989</v>
      </c>
    </row>
    <row r="721" spans="2:31" x14ac:dyDescent="0.25">
      <c r="B721" s="18">
        <v>718</v>
      </c>
      <c r="C721" s="19">
        <f>Tableau!$G$17*COS(B721*PI()/180)+Tableau!$G$16</f>
        <v>24996.954135095479</v>
      </c>
      <c r="D721" s="19">
        <f>Tableau!$G$17*SIN(B721*PI()/180)+Tableau!$H$16</f>
        <v>7325.502516487486</v>
      </c>
      <c r="F721" s="26">
        <v>718</v>
      </c>
      <c r="G721" s="27">
        <f>Tableau!$G$26*COS(F721*PI()/180)+Tableau!$G$25</f>
        <v>-16502.132105433164</v>
      </c>
      <c r="H721" s="27">
        <f>Tableau!$G$26*SIN(F721*PI()/180)+Tableau!$H$25</f>
        <v>9877.8517615412402</v>
      </c>
      <c r="J721" s="34">
        <v>718</v>
      </c>
      <c r="K721" s="35">
        <f>Tableau!$G$36*COS(J721*PI()/180)+Tableau!$G$35</f>
        <v>-3.0458649045212951</v>
      </c>
      <c r="L721" s="35">
        <f>Tableau!$G$36*SIN(J721*PI()/180)+Tableau!$H$35</f>
        <v>-15174.497483512514</v>
      </c>
      <c r="N721" s="98">
        <v>717</v>
      </c>
      <c r="O721" s="99">
        <v>358.5</v>
      </c>
      <c r="P721" s="101">
        <f>P720+R720*Tableau!$G$2+((1/2)*T720)*Tableau!$G$2^2</f>
        <v>11792.150156449658</v>
      </c>
      <c r="Q721" s="101">
        <f>Q720+S720*Tableau!$G$2+((1/2)*U720)*Tableau!$G$2^2</f>
        <v>-166302.71161794954</v>
      </c>
      <c r="R721" s="101">
        <f>R720+T720*Tableau!$G$2</f>
        <v>999.33096708957294</v>
      </c>
      <c r="S721" s="101">
        <f>S720+U720*Tableau!$G$2</f>
        <v>-2732.1238164773745</v>
      </c>
      <c r="T721" s="101">
        <f t="shared" si="22"/>
        <v>-2.6551976367333232</v>
      </c>
      <c r="U721" s="101">
        <f t="shared" si="23"/>
        <v>44.996298859056665</v>
      </c>
      <c r="V721" s="101">
        <f>((Tableau!$G$16-P721)/(AC721^2+Tableau!$G$21^2)^(3/2))*Tableau!$G$20</f>
        <v>0.81181846937183999</v>
      </c>
      <c r="W721" s="101">
        <f>((Tableau!$H$16-Q721)/(AC721^2+Tableau!$G$21^2)^(3/2))*Tableau!$G$20</f>
        <v>17.190403578012738</v>
      </c>
      <c r="X721" s="101">
        <f>((Tableau!$G$25-P721)/(AD721^2+Tableau!$G$30^2)^(3/2))*Tableau!$G$29</f>
        <v>-0.9908215778788747</v>
      </c>
      <c r="Y721" s="101">
        <f>((Tableau!$H$25-Q721)/(AD721^2+Tableau!$G$30^2)^(3/2))*Tableau!$G$29</f>
        <v>5.494580581998882</v>
      </c>
      <c r="Z721" s="101">
        <f>((Tableau!$G$35-P721)/(AE721^2+Tableau!$G$40^2)^(3/2))*Tableau!$G$39</f>
        <v>-2.4761945282262885</v>
      </c>
      <c r="AA721" s="102">
        <f>((Tableau!$H$35-Q721)/(AE721^2+Tableau!$G$40^2)^(3/2))*Tableau!$G$39</f>
        <v>22.311314699045042</v>
      </c>
      <c r="AC721" s="113">
        <f>SQRT((Tableau!$G$16-P721)^2+(Tableau!$H$16-Q721)^2)</f>
        <v>173996.41193083953</v>
      </c>
      <c r="AD721" s="114">
        <f>SQRT((Tableau!$G$25-P721)^2+(Tableau!$H$25-Q721)^2)</f>
        <v>179146.27245748686</v>
      </c>
      <c r="AE721" s="115">
        <f>SQRT((Tableau!$G$35-P721)^2+(Tableau!$H$35-Q721)^2)</f>
        <v>152231.68806073573</v>
      </c>
    </row>
    <row r="722" spans="2:31" x14ac:dyDescent="0.25">
      <c r="B722" s="20">
        <v>719</v>
      </c>
      <c r="C722" s="21">
        <f>Tableau!$G$17*COS(B722*PI()/180)+Tableau!$G$16</f>
        <v>24999.238475781956</v>
      </c>
      <c r="D722" s="21">
        <f>Tableau!$G$17*SIN(B722*PI()/180)+Tableau!$H$16</f>
        <v>7412.7379678135858</v>
      </c>
      <c r="F722" s="28">
        <v>719</v>
      </c>
      <c r="G722" s="29">
        <f>Tableau!$G$26*COS(F722*PI()/180)+Tableau!$G$25</f>
        <v>-16500.53306695263</v>
      </c>
      <c r="H722" s="29">
        <f>Tableau!$G$26*SIN(F722*PI()/180)+Tableau!$H$25</f>
        <v>9938.9165774695102</v>
      </c>
      <c r="J722" s="36">
        <v>719</v>
      </c>
      <c r="K722" s="37">
        <f>Tableau!$G$36*COS(J722*PI()/180)+Tableau!$G$35</f>
        <v>-0.76152421804363257</v>
      </c>
      <c r="L722" s="37">
        <f>Tableau!$G$36*SIN(J722*PI()/180)+Tableau!$H$35</f>
        <v>-15087.262032186414</v>
      </c>
      <c r="N722" s="92">
        <v>718</v>
      </c>
      <c r="O722" s="93">
        <v>359</v>
      </c>
      <c r="P722" s="96">
        <f>P721+R721*Tableau!$G$2+((1/2)*T721)*Tableau!$G$2^2</f>
        <v>12291.483740289852</v>
      </c>
      <c r="Q722" s="96">
        <f>Q721+S721*Tableau!$G$2+((1/2)*U721)*Tableau!$G$2^2</f>
        <v>-167663.14898883083</v>
      </c>
      <c r="R722" s="96">
        <f>R721+T721*Tableau!$G$2</f>
        <v>998.00336827120623</v>
      </c>
      <c r="S722" s="96">
        <f>S721+U721*Tableau!$G$2</f>
        <v>-2709.625667047846</v>
      </c>
      <c r="T722" s="96">
        <f t="shared" si="22"/>
        <v>-2.7182268844862674</v>
      </c>
      <c r="U722" s="96">
        <f t="shared" si="23"/>
        <v>44.241412323524969</v>
      </c>
      <c r="V722" s="96">
        <f>((Tableau!$G$16-P722)/(AC722^2+Tableau!$G$21^2)^(3/2))*Tableau!$G$20</f>
        <v>0.74518674465178047</v>
      </c>
      <c r="W722" s="96">
        <f>((Tableau!$H$16-Q722)/(AC722^2+Tableau!$G$21^2)^(3/2))*Tableau!$G$20</f>
        <v>16.93312336385339</v>
      </c>
      <c r="X722" s="96">
        <f>((Tableau!$G$25-P722)/(AD722^2+Tableau!$G$30^2)^(3/2))*Tableau!$G$29</f>
        <v>-0.98273759371044755</v>
      </c>
      <c r="Y722" s="96">
        <f>((Tableau!$H$25-Q722)/(AD722^2+Tableau!$G$30^2)^(3/2))*Tableau!$G$29</f>
        <v>5.4068824131008224</v>
      </c>
      <c r="Z722" s="96">
        <f>((Tableau!$G$35-P722)/(AE722^2+Tableau!$G$40^2)^(3/2))*Tableau!$G$39</f>
        <v>-2.4806760354276003</v>
      </c>
      <c r="AA722" s="97">
        <f>((Tableau!$H$35-Q722)/(AE722^2+Tableau!$G$40^2)^(3/2))*Tableau!$G$39</f>
        <v>21.901406546570755</v>
      </c>
      <c r="AC722" s="110">
        <f>SQRT((Tableau!$G$16-P722)^2+(Tableau!$H$16-Q722)^2)</f>
        <v>175332.68373754382</v>
      </c>
      <c r="AD722" s="111">
        <f>SQRT((Tableau!$G$25-P722)^2+(Tableau!$H$25-Q722)^2)</f>
        <v>180573.90296157665</v>
      </c>
      <c r="AE722" s="112">
        <f>SQRT((Tableau!$G$35-P722)^2+(Tableau!$H$35-Q722)^2)</f>
        <v>153639.29337616294</v>
      </c>
    </row>
    <row r="723" spans="2:31" x14ac:dyDescent="0.25">
      <c r="B723" s="18">
        <v>720</v>
      </c>
      <c r="C723" s="19">
        <f>Tableau!$G$17*COS(B723*PI()/180)+Tableau!$G$16</f>
        <v>25000</v>
      </c>
      <c r="D723" s="19">
        <f>Tableau!$G$17*SIN(B723*PI()/180)+Tableau!$H$16</f>
        <v>7499.9999999999973</v>
      </c>
      <c r="F723" s="26">
        <v>720</v>
      </c>
      <c r="G723" s="27">
        <f>Tableau!$G$26*COS(F723*PI()/180)+Tableau!$G$25</f>
        <v>-16500</v>
      </c>
      <c r="H723" s="27">
        <f>Tableau!$G$26*SIN(F723*PI()/180)+Tableau!$H$25</f>
        <v>9999.9999999999982</v>
      </c>
      <c r="J723" s="34">
        <v>720</v>
      </c>
      <c r="K723" s="35">
        <f>Tableau!$G$36*COS(J723*PI()/180)+Tableau!$G$35</f>
        <v>0</v>
      </c>
      <c r="L723" s="35">
        <f>Tableau!$G$36*SIN(J723*PI()/180)+Tableau!$H$35</f>
        <v>-15000.000000000002</v>
      </c>
      <c r="N723" s="98">
        <v>719</v>
      </c>
      <c r="O723" s="99">
        <v>359.5</v>
      </c>
      <c r="P723" s="101">
        <f>P722+R722*Tableau!$G$2+((1/2)*T722)*Tableau!$G$2^2</f>
        <v>12790.145646064893</v>
      </c>
      <c r="Q723" s="101">
        <f>Q722+S722*Tableau!$G$2+((1/2)*U722)*Tableau!$G$2^2</f>
        <v>-169012.43164581433</v>
      </c>
      <c r="R723" s="101">
        <f>R722+T722*Tableau!$G$2</f>
        <v>996.64425482896308</v>
      </c>
      <c r="S723" s="101">
        <f>S722+U722*Tableau!$G$2</f>
        <v>-2687.5049608860836</v>
      </c>
      <c r="T723" s="101">
        <f t="shared" si="22"/>
        <v>-2.7774928473052771</v>
      </c>
      <c r="U723" s="101">
        <f t="shared" si="23"/>
        <v>43.510440881432984</v>
      </c>
      <c r="V723" s="101">
        <f>((Tableau!$G$16-P723)/(AC723^2+Tableau!$G$21^2)^(3/2))*Tableau!$G$20</f>
        <v>0.68144249802245538</v>
      </c>
      <c r="W723" s="101">
        <f>((Tableau!$H$16-Q723)/(AC723^2+Tableau!$G$21^2)^(3/2))*Tableau!$G$20</f>
        <v>16.683148708419004</v>
      </c>
      <c r="X723" s="101">
        <f>((Tableau!$G$25-P723)/(AD723^2+Tableau!$G$30^2)^(3/2))*Tableau!$G$29</f>
        <v>-0.97482097648811039</v>
      </c>
      <c r="Y723" s="101">
        <f>((Tableau!$H$25-Q723)/(AD723^2+Tableau!$G$30^2)^(3/2))*Tableau!$G$29</f>
        <v>5.3218755202883941</v>
      </c>
      <c r="Z723" s="101">
        <f>((Tableau!$G$35-P723)/(AE723^2+Tableau!$G$40^2)^(3/2))*Tableau!$G$39</f>
        <v>-2.4841143688396219</v>
      </c>
      <c r="AA723" s="102">
        <f>((Tableau!$H$35-Q723)/(AE723^2+Tableau!$G$40^2)^(3/2))*Tableau!$G$39</f>
        <v>21.505416652725586</v>
      </c>
      <c r="AC723" s="113">
        <f>SQRT((Tableau!$G$16-P723)^2+(Tableau!$H$16-Q723)^2)</f>
        <v>176659.61769833884</v>
      </c>
      <c r="AD723" s="114">
        <f>SQRT((Tableau!$G$25-P723)^2+(Tableau!$H$25-Q723)^2)</f>
        <v>181990.78090726875</v>
      </c>
      <c r="AE723" s="115">
        <f>SQRT((Tableau!$G$35-P723)^2+(Tableau!$H$35-Q723)^2)</f>
        <v>155036.50661558661</v>
      </c>
    </row>
    <row r="724" spans="2:31" x14ac:dyDescent="0.25">
      <c r="B724" s="20">
        <v>721</v>
      </c>
      <c r="C724" s="21">
        <f>Tableau!$G$17*COS(B724*PI()/180)+Tableau!$G$16</f>
        <v>24999.238475781956</v>
      </c>
      <c r="D724" s="21">
        <f>Tableau!$G$17*SIN(B724*PI()/180)+Tableau!$H$16</f>
        <v>7587.2620321864097</v>
      </c>
      <c r="F724" s="28">
        <v>721</v>
      </c>
      <c r="G724" s="29">
        <f>Tableau!$G$26*COS(F724*PI()/180)+Tableau!$G$25</f>
        <v>-16500.53306695263</v>
      </c>
      <c r="H724" s="29">
        <f>Tableau!$G$26*SIN(F724*PI()/180)+Tableau!$H$25</f>
        <v>10061.083422530486</v>
      </c>
      <c r="J724" s="36">
        <v>721</v>
      </c>
      <c r="K724" s="37">
        <f>Tableau!$G$36*COS(J724*PI()/180)+Tableau!$G$35</f>
        <v>-0.76152421804363257</v>
      </c>
      <c r="L724" s="37">
        <f>Tableau!$G$36*SIN(J724*PI()/180)+Tableau!$H$35</f>
        <v>-14912.737967813589</v>
      </c>
      <c r="N724" s="92">
        <v>720</v>
      </c>
      <c r="O724" s="93">
        <v>360</v>
      </c>
      <c r="P724" s="96">
        <f>P723+R723*Tableau!$G$2+((1/2)*T723)*Tableau!$G$2^2</f>
        <v>13288.120586873461</v>
      </c>
      <c r="Q724" s="96">
        <f>Q723+S723*Tableau!$G$2+((1/2)*U723)*Tableau!$G$2^2</f>
        <v>-170350.7453211472</v>
      </c>
      <c r="R724" s="96">
        <f>R723+T723*Tableau!$G$2</f>
        <v>995.25550840531048</v>
      </c>
      <c r="S724" s="96">
        <f>S723+U723*Tableau!$G$2</f>
        <v>-2665.749740445367</v>
      </c>
      <c r="T724" s="96">
        <f t="shared" si="22"/>
        <v>-2.8332266073008863</v>
      </c>
      <c r="U724" s="96">
        <f t="shared" si="23"/>
        <v>42.802311275760104</v>
      </c>
      <c r="V724" s="96">
        <f>((Tableau!$G$16-P724)/(AC724^2+Tableau!$G$21^2)^(3/2))*Tableau!$G$20</f>
        <v>0.62043347277302352</v>
      </c>
      <c r="W724" s="96">
        <f>((Tableau!$H$16-Q724)/(AC724^2+Tableau!$G$21^2)^(3/2))*Tableau!$G$20</f>
        <v>16.440187429331221</v>
      </c>
      <c r="X724" s="96">
        <f>((Tableau!$G$25-P724)/(AD724^2+Tableau!$G$30^2)^(3/2))*Tableau!$G$29</f>
        <v>-0.96706660801840627</v>
      </c>
      <c r="Y724" s="96">
        <f>((Tableau!$H$25-Q724)/(AD724^2+Tableau!$G$30^2)^(3/2))*Tableau!$G$29</f>
        <v>5.2394421930834092</v>
      </c>
      <c r="Z724" s="96">
        <f>((Tableau!$G$35-P724)/(AE724^2+Tableau!$G$40^2)^(3/2))*Tableau!$G$39</f>
        <v>-2.4865934720555036</v>
      </c>
      <c r="AA724" s="97">
        <f>((Tableau!$H$35-Q724)/(AE724^2+Tableau!$G$40^2)^(3/2))*Tableau!$G$39</f>
        <v>21.12268165334547</v>
      </c>
      <c r="AC724" s="110">
        <f>SQRT((Tableau!$G$16-P724)^2+(Tableau!$H$16-Q724)^2)</f>
        <v>177977.34950421055</v>
      </c>
      <c r="AD724" s="111">
        <f>SQRT((Tableau!$G$25-P724)^2+(Tableau!$H$25-Q724)^2)</f>
        <v>183397.08370118518</v>
      </c>
      <c r="AE724" s="112">
        <f>SQRT((Tableau!$G$35-P724)^2+(Tableau!$H$35-Q724)^2)</f>
        <v>156423.49384423034</v>
      </c>
    </row>
    <row r="725" spans="2:31" x14ac:dyDescent="0.25">
      <c r="B725" s="18">
        <v>722</v>
      </c>
      <c r="C725" s="19">
        <f>Tableau!$G$17*COS(B725*PI()/180)+Tableau!$G$16</f>
        <v>24996.954135095479</v>
      </c>
      <c r="D725" s="19">
        <f>Tableau!$G$17*SIN(B725*PI()/180)+Tableau!$H$16</f>
        <v>7674.4974835125004</v>
      </c>
      <c r="F725" s="26">
        <v>722</v>
      </c>
      <c r="G725" s="27">
        <f>Tableau!$G$26*COS(F725*PI()/180)+Tableau!$G$25</f>
        <v>-16502.132105433164</v>
      </c>
      <c r="H725" s="27">
        <f>Tableau!$G$26*SIN(F725*PI()/180)+Tableau!$H$25</f>
        <v>10122.148238458751</v>
      </c>
      <c r="J725" s="34">
        <v>722</v>
      </c>
      <c r="K725" s="35">
        <f>Tableau!$G$36*COS(J725*PI()/180)+Tableau!$G$35</f>
        <v>-3.0458649045212951</v>
      </c>
      <c r="L725" s="35">
        <f>Tableau!$G$36*SIN(J725*PI()/180)+Tableau!$H$35</f>
        <v>-14825.502516487499</v>
      </c>
      <c r="N725" s="98">
        <v>721</v>
      </c>
      <c r="O725" s="99">
        <v>360.5</v>
      </c>
      <c r="P725" s="101">
        <f>P724+R724*Tableau!$G$2+((1/2)*T724)*Tableau!$G$2^2</f>
        <v>13785.394187750204</v>
      </c>
      <c r="Q725" s="101">
        <f>Q724+S724*Tableau!$G$2+((1/2)*U724)*Tableau!$G$2^2</f>
        <v>-171678.26990246039</v>
      </c>
      <c r="R725" s="101">
        <f>R724+T724*Tableau!$G$2</f>
        <v>993.83889510166</v>
      </c>
      <c r="S725" s="101">
        <f>S724+U724*Tableau!$G$2</f>
        <v>-2644.348584807487</v>
      </c>
      <c r="T725" s="101">
        <f t="shared" si="22"/>
        <v>-2.8856429733942832</v>
      </c>
      <c r="U725" s="101">
        <f t="shared" si="23"/>
        <v>42.116012309945162</v>
      </c>
      <c r="V725" s="101">
        <f>((Tableau!$G$16-P725)/(AC725^2+Tableau!$G$21^2)^(3/2))*Tableau!$G$20</f>
        <v>0.56201702672120479</v>
      </c>
      <c r="W725" s="101">
        <f>((Tableau!$H$16-Q725)/(AC725^2+Tableau!$G$21^2)^(3/2))*Tableau!$G$20</f>
        <v>16.203962334205507</v>
      </c>
      <c r="X725" s="101">
        <f>((Tableau!$G$25-P725)/(AD725^2+Tableau!$G$30^2)^(3/2))*Tableau!$G$29</f>
        <v>-0.95946958523843873</v>
      </c>
      <c r="Y725" s="101">
        <f>((Tableau!$H$25-Q725)/(AD725^2+Tableau!$G$30^2)^(3/2))*Tableau!$G$29</f>
        <v>5.1594713769346292</v>
      </c>
      <c r="Z725" s="101">
        <f>((Tableau!$G$35-P725)/(AE725^2+Tableau!$G$40^2)^(3/2))*Tableau!$G$39</f>
        <v>-2.4881904148770491</v>
      </c>
      <c r="AA725" s="102">
        <f>((Tableau!$H$35-Q725)/(AE725^2+Tableau!$G$40^2)^(3/2))*Tableau!$G$39</f>
        <v>20.752578598805027</v>
      </c>
      <c r="AC725" s="113">
        <f>SQRT((Tableau!$G$16-P725)^2+(Tableau!$H$16-Q725)^2)</f>
        <v>179286.01097308344</v>
      </c>
      <c r="AD725" s="114">
        <f>SQRT((Tableau!$G$25-P725)^2+(Tableau!$H$25-Q725)^2)</f>
        <v>184792.98313294505</v>
      </c>
      <c r="AE725" s="115">
        <f>SQRT((Tableau!$G$35-P725)^2+(Tableau!$H$35-Q725)^2)</f>
        <v>157800.41601471583</v>
      </c>
    </row>
    <row r="726" spans="2:31" x14ac:dyDescent="0.25">
      <c r="B726" s="20">
        <v>723</v>
      </c>
      <c r="C726" s="21">
        <f>Tableau!$G$17*COS(B726*PI()/180)+Tableau!$G$16</f>
        <v>24993.14767377287</v>
      </c>
      <c r="D726" s="21">
        <f>Tableau!$G$17*SIN(B726*PI()/180)+Tableau!$H$16</f>
        <v>7761.6797812147179</v>
      </c>
      <c r="F726" s="28">
        <v>723</v>
      </c>
      <c r="G726" s="29">
        <f>Tableau!$G$26*COS(F726*PI()/180)+Tableau!$G$25</f>
        <v>-16504.796628358992</v>
      </c>
      <c r="H726" s="29">
        <f>Tableau!$G$26*SIN(F726*PI()/180)+Tableau!$H$25</f>
        <v>10183.175846850303</v>
      </c>
      <c r="J726" s="36">
        <v>723</v>
      </c>
      <c r="K726" s="37">
        <f>Tableau!$G$36*COS(J726*PI()/180)+Tableau!$G$35</f>
        <v>-6.8523262271310159</v>
      </c>
      <c r="L726" s="37">
        <f>Tableau!$G$36*SIN(J726*PI()/180)+Tableau!$H$35</f>
        <v>-14738.320218785282</v>
      </c>
      <c r="N726" s="92">
        <v>722</v>
      </c>
      <c r="O726" s="93">
        <v>361</v>
      </c>
      <c r="P726" s="96">
        <f>P725+R725*Tableau!$G$2+((1/2)*T725)*Tableau!$G$2^2</f>
        <v>14281.952929929359</v>
      </c>
      <c r="Q726" s="96">
        <f>Q725+S725*Tableau!$G$2+((1/2)*U725)*Tableau!$G$2^2</f>
        <v>-172995.17969332539</v>
      </c>
      <c r="R726" s="96">
        <f>R725+T725*Tableau!$G$2</f>
        <v>992.39607361496292</v>
      </c>
      <c r="S726" s="96">
        <f>S725+U725*Tableau!$G$2</f>
        <v>-2623.2905786525143</v>
      </c>
      <c r="T726" s="96">
        <f t="shared" si="22"/>
        <v>-2.9349418013188622</v>
      </c>
      <c r="U726" s="96">
        <f t="shared" si="23"/>
        <v>41.450590476915878</v>
      </c>
      <c r="V726" s="96">
        <f>((Tableau!$G$16-P726)/(AC726^2+Tableau!$G$21^2)^(3/2))*Tableau!$G$20</f>
        <v>0.50605942213901223</v>
      </c>
      <c r="W726" s="96">
        <f>((Tableau!$H$16-Q726)/(AC726^2+Tableau!$G$21^2)^(3/2))*Tableau!$G$20</f>
        <v>15.974210288085819</v>
      </c>
      <c r="X726" s="96">
        <f>((Tableau!$G$25-P726)/(AD726^2+Tableau!$G$30^2)^(3/2))*Tableau!$G$29</f>
        <v>-0.95202520842622129</v>
      </c>
      <c r="Y726" s="96">
        <f>((Tableau!$H$25-Q726)/(AD726^2+Tableau!$G$30^2)^(3/2))*Tableau!$G$29</f>
        <v>5.0818582139885962</v>
      </c>
      <c r="Z726" s="96">
        <f>((Tableau!$G$35-P726)/(AE726^2+Tableau!$G$40^2)^(3/2))*Tableau!$G$39</f>
        <v>-2.4889760150316529</v>
      </c>
      <c r="AA726" s="97">
        <f>((Tableau!$H$35-Q726)/(AE726^2+Tableau!$G$40^2)^(3/2))*Tableau!$G$39</f>
        <v>20.394521974841457</v>
      </c>
      <c r="AC726" s="110">
        <f>SQRT((Tableau!$G$16-P726)^2+(Tableau!$H$16-Q726)^2)</f>
        <v>180585.73020817942</v>
      </c>
      <c r="AD726" s="111">
        <f>SQRT((Tableau!$G$25-P726)^2+(Tableau!$H$25-Q726)^2)</f>
        <v>186178.64562747884</v>
      </c>
      <c r="AE726" s="112">
        <f>SQRT((Tableau!$G$35-P726)^2+(Tableau!$H$35-Q726)^2)</f>
        <v>159167.42919051682</v>
      </c>
    </row>
    <row r="727" spans="2:31" x14ac:dyDescent="0.25">
      <c r="B727" s="18">
        <v>724</v>
      </c>
      <c r="C727" s="19">
        <f>Tableau!$G$17*COS(B727*PI()/180)+Tableau!$G$16</f>
        <v>24987.820251299123</v>
      </c>
      <c r="D727" s="19">
        <f>Tableau!$G$17*SIN(B727*PI()/180)+Tableau!$H$16</f>
        <v>7848.7823687206201</v>
      </c>
      <c r="F727" s="26">
        <v>724</v>
      </c>
      <c r="G727" s="27">
        <f>Tableau!$G$26*COS(F727*PI()/180)+Tableau!$G$25</f>
        <v>-16508.525824090615</v>
      </c>
      <c r="H727" s="27">
        <f>Tableau!$G$26*SIN(F727*PI()/180)+Tableau!$H$25</f>
        <v>10244.147658104434</v>
      </c>
      <c r="J727" s="34">
        <v>724</v>
      </c>
      <c r="K727" s="35">
        <f>Tableau!$G$36*COS(J727*PI()/180)+Tableau!$G$35</f>
        <v>-12.179748700878008</v>
      </c>
      <c r="L727" s="35">
        <f>Tableau!$G$36*SIN(J727*PI()/180)+Tableau!$H$35</f>
        <v>-14651.21763127938</v>
      </c>
      <c r="N727" s="98">
        <v>723</v>
      </c>
      <c r="O727" s="99">
        <v>361.5</v>
      </c>
      <c r="P727" s="101">
        <f>P726+R726*Tableau!$G$2+((1/2)*T726)*Tableau!$G$2^2</f>
        <v>14777.784099011677</v>
      </c>
      <c r="Q727" s="101">
        <f>Q726+S726*Tableau!$G$2+((1/2)*U726)*Tableau!$G$2^2</f>
        <v>-174301.64365884205</v>
      </c>
      <c r="R727" s="101">
        <f>R726+T726*Tableau!$G$2</f>
        <v>990.92860271430345</v>
      </c>
      <c r="S727" s="101">
        <f>S726+U726*Tableau!$G$2</f>
        <v>-2602.5652834140565</v>
      </c>
      <c r="T727" s="101">
        <f t="shared" si="22"/>
        <v>-2.9813091918581267</v>
      </c>
      <c r="U727" s="101">
        <f t="shared" si="23"/>
        <v>40.805145949747185</v>
      </c>
      <c r="V727" s="101">
        <f>((Tableau!$G$16-P727)/(AC727^2+Tableau!$G$21^2)^(3/2))*Tableau!$G$20</f>
        <v>0.45243517569716479</v>
      </c>
      <c r="W727" s="101">
        <f>((Tableau!$H$16-Q727)/(AC727^2+Tableau!$G$21^2)^(3/2))*Tableau!$G$20</f>
        <v>15.750681348745996</v>
      </c>
      <c r="X727" s="101">
        <f>((Tableau!$G$25-P727)/(AD727^2+Tableau!$G$30^2)^(3/2))*Tableau!$G$29</f>
        <v>-0.94472897023323488</v>
      </c>
      <c r="Y727" s="101">
        <f>((Tableau!$H$25-Q727)/(AD727^2+Tableau!$G$30^2)^(3/2))*Tableau!$G$29</f>
        <v>5.0065036211165195</v>
      </c>
      <c r="Z727" s="101">
        <f>((Tableau!$G$35-P727)/(AE727^2+Tableau!$G$40^2)^(3/2))*Tableau!$G$39</f>
        <v>-2.4890153973220568</v>
      </c>
      <c r="AA727" s="102">
        <f>((Tableau!$H$35-Q727)/(AE727^2+Tableau!$G$40^2)^(3/2))*Tableau!$G$39</f>
        <v>20.047960979884667</v>
      </c>
      <c r="AC727" s="113">
        <f>SQRT((Tableau!$G$16-P727)^2+(Tableau!$H$16-Q727)^2)</f>
        <v>181876.6317479327</v>
      </c>
      <c r="AD727" s="114">
        <f>SQRT((Tableau!$G$25-P727)^2+(Tableau!$H$25-Q727)^2)</f>
        <v>187554.2324827362</v>
      </c>
      <c r="AE727" s="115">
        <f>SQRT((Tableau!$G$35-P727)^2+(Tableau!$H$35-Q727)^2)</f>
        <v>160524.68475681805</v>
      </c>
    </row>
    <row r="728" spans="2:31" x14ac:dyDescent="0.25">
      <c r="B728" s="20">
        <v>725</v>
      </c>
      <c r="C728" s="21">
        <f>Tableau!$G$17*COS(B728*PI()/180)+Tableau!$G$16</f>
        <v>24980.973490458728</v>
      </c>
      <c r="D728" s="21">
        <f>Tableau!$G$17*SIN(B728*PI()/180)+Tableau!$H$16</f>
        <v>7935.7787137382875</v>
      </c>
      <c r="F728" s="28">
        <v>725</v>
      </c>
      <c r="G728" s="29">
        <f>Tableau!$G$26*COS(F728*PI()/180)+Tableau!$G$25</f>
        <v>-16513.318556678889</v>
      </c>
      <c r="H728" s="29">
        <f>Tableau!$G$26*SIN(F728*PI()/180)+Tableau!$H$25</f>
        <v>10305.045099616802</v>
      </c>
      <c r="J728" s="36">
        <v>725</v>
      </c>
      <c r="K728" s="37">
        <f>Tableau!$G$36*COS(J728*PI()/180)+Tableau!$G$35</f>
        <v>-19.026509541272389</v>
      </c>
      <c r="L728" s="37">
        <f>Tableau!$G$36*SIN(J728*PI()/180)+Tableau!$H$35</f>
        <v>-14564.221286261713</v>
      </c>
      <c r="N728" s="92">
        <v>724</v>
      </c>
      <c r="O728" s="93">
        <v>362</v>
      </c>
      <c r="P728" s="96">
        <f>P727+R727*Tableau!$G$2+((1/2)*T727)*Tableau!$G$2^2</f>
        <v>15272.875736719845</v>
      </c>
      <c r="Q728" s="96">
        <f>Q727+S727*Tableau!$G$2+((1/2)*U727)*Tableau!$G$2^2</f>
        <v>-175597.82565730534</v>
      </c>
      <c r="R728" s="96">
        <f>R727+T727*Tableau!$G$2</f>
        <v>989.43794811837438</v>
      </c>
      <c r="S728" s="96">
        <f>S727+U727*Tableau!$G$2</f>
        <v>-2582.1627104391828</v>
      </c>
      <c r="T728" s="96">
        <f t="shared" si="22"/>
        <v>-3.0249185799184524</v>
      </c>
      <c r="U728" s="96">
        <f t="shared" si="23"/>
        <v>40.178828899689201</v>
      </c>
      <c r="V728" s="96">
        <f>((Tableau!$G$16-P728)/(AC728^2+Tableau!$G$21^2)^(3/2))*Tableau!$G$20</f>
        <v>0.40102646272269526</v>
      </c>
      <c r="W728" s="96">
        <f>((Tableau!$H$16-Q728)/(AC728^2+Tableau!$G$21^2)^(3/2))*Tableau!$G$20</f>
        <v>15.533137964224959</v>
      </c>
      <c r="X728" s="96">
        <f>((Tableau!$G$25-P728)/(AD728^2+Tableau!$G$30^2)^(3/2))*Tableau!$G$29</f>
        <v>-0.93757654546783031</v>
      </c>
      <c r="Y728" s="96">
        <f>((Tableau!$H$25-Q728)/(AD728^2+Tableau!$G$30^2)^(3/2))*Tableau!$G$29</f>
        <v>4.9333139017345982</v>
      </c>
      <c r="Z728" s="96">
        <f>((Tableau!$G$35-P728)/(AE728^2+Tableau!$G$40^2)^(3/2))*Tableau!$G$39</f>
        <v>-2.4883684971733171</v>
      </c>
      <c r="AA728" s="97">
        <f>((Tableau!$H$35-Q728)/(AE728^2+Tableau!$G$40^2)^(3/2))*Tableau!$G$39</f>
        <v>19.712377033729645</v>
      </c>
      <c r="AC728" s="110">
        <f>SQRT((Tableau!$G$16-P728)^2+(Tableau!$H$16-Q728)^2)</f>
        <v>183158.83670801547</v>
      </c>
      <c r="AD728" s="111">
        <f>SQRT((Tableau!$G$25-P728)^2+(Tableau!$H$25-Q728)^2)</f>
        <v>188919.90009381645</v>
      </c>
      <c r="AE728" s="112">
        <f>SQRT((Tableau!$G$35-P728)^2+(Tableau!$H$35-Q728)^2)</f>
        <v>161872.32961964415</v>
      </c>
    </row>
    <row r="729" spans="2:31" x14ac:dyDescent="0.25">
      <c r="B729" s="18">
        <v>726</v>
      </c>
      <c r="C729" s="19">
        <f>Tableau!$G$17*COS(B729*PI()/180)+Tableau!$G$16</f>
        <v>24972.609476841368</v>
      </c>
      <c r="D729" s="19">
        <f>Tableau!$G$17*SIN(B729*PI()/180)+Tableau!$H$16</f>
        <v>8022.6423163382678</v>
      </c>
      <c r="F729" s="26">
        <v>726</v>
      </c>
      <c r="G729" s="27">
        <f>Tableau!$G$26*COS(F729*PI()/180)+Tableau!$G$25</f>
        <v>-16519.173366211042</v>
      </c>
      <c r="H729" s="27">
        <f>Tableau!$G$26*SIN(F729*PI()/180)+Tableau!$H$25</f>
        <v>10365.849621436788</v>
      </c>
      <c r="J729" s="34">
        <v>726</v>
      </c>
      <c r="K729" s="35">
        <f>Tableau!$G$36*COS(J729*PI()/180)+Tableau!$G$35</f>
        <v>-27.390523158633187</v>
      </c>
      <c r="L729" s="35">
        <f>Tableau!$G$36*SIN(J729*PI()/180)+Tableau!$H$35</f>
        <v>-14477.357683661732</v>
      </c>
      <c r="N729" s="98">
        <v>725</v>
      </c>
      <c r="O729" s="99">
        <v>362.5</v>
      </c>
      <c r="P729" s="101">
        <f>P728+R728*Tableau!$G$2+((1/2)*T728)*Tableau!$G$2^2</f>
        <v>15767.216595956543</v>
      </c>
      <c r="Q729" s="101">
        <f>Q728+S728*Tableau!$G$2+((1/2)*U728)*Tableau!$G$2^2</f>
        <v>-176883.88465891246</v>
      </c>
      <c r="R729" s="101">
        <f>R728+T728*Tableau!$G$2</f>
        <v>987.92548882841515</v>
      </c>
      <c r="S729" s="101">
        <f>S728+U728*Tableau!$G$2</f>
        <v>-2562.073295989338</v>
      </c>
      <c r="T729" s="101">
        <f t="shared" si="22"/>
        <v>-3.0659317255904859</v>
      </c>
      <c r="U729" s="101">
        <f t="shared" si="23"/>
        <v>39.570836110948598</v>
      </c>
      <c r="V729" s="101">
        <f>((Tableau!$G$16-P729)/(AC729^2+Tableau!$G$21^2)^(3/2))*Tableau!$G$20</f>
        <v>0.35172257066578161</v>
      </c>
      <c r="W729" s="101">
        <f>((Tableau!$H$16-Q729)/(AC729^2+Tableau!$G$21^2)^(3/2))*Tableau!$G$20</f>
        <v>15.321354227486436</v>
      </c>
      <c r="X729" s="101">
        <f>((Tableau!$G$25-P729)/(AD729^2+Tableau!$G$30^2)^(3/2))*Tableau!$G$29</f>
        <v>-0.93056378156546649</v>
      </c>
      <c r="Y729" s="101">
        <f>((Tableau!$H$25-Q729)/(AD729^2+Tableau!$G$30^2)^(3/2))*Tableau!$G$29</f>
        <v>4.8622003883159897</v>
      </c>
      <c r="Z729" s="101">
        <f>((Tableau!$G$35-P729)/(AE729^2+Tableau!$G$40^2)^(3/2))*Tableau!$G$39</f>
        <v>-2.4870905146908009</v>
      </c>
      <c r="AA729" s="102">
        <f>((Tableau!$H$35-Q729)/(AE729^2+Tableau!$G$40^2)^(3/2))*Tableau!$G$39</f>
        <v>19.387281495146173</v>
      </c>
      <c r="AC729" s="113">
        <f>SQRT((Tableau!$G$16-P729)^2+(Tableau!$H$16-Q729)^2)</f>
        <v>184432.46291598634</v>
      </c>
      <c r="AD729" s="114">
        <f>SQRT((Tableau!$G$25-P729)^2+(Tableau!$H$25-Q729)^2)</f>
        <v>190275.80016446591</v>
      </c>
      <c r="AE729" s="115">
        <f>SQRT((Tableau!$G$35-P729)^2+(Tableau!$H$35-Q729)^2)</f>
        <v>163210.50639405369</v>
      </c>
    </row>
    <row r="730" spans="2:31" x14ac:dyDescent="0.25">
      <c r="B730" s="20">
        <v>727</v>
      </c>
      <c r="C730" s="21">
        <f>Tableau!$G$17*COS(B730*PI()/180)+Tableau!$G$16</f>
        <v>24962.73075820661</v>
      </c>
      <c r="D730" s="21">
        <f>Tableau!$G$17*SIN(B730*PI()/180)+Tableau!$H$16</f>
        <v>8109.3467170257409</v>
      </c>
      <c r="F730" s="28">
        <v>727</v>
      </c>
      <c r="G730" s="29">
        <f>Tableau!$G$26*COS(F730*PI()/180)+Tableau!$G$25</f>
        <v>-16526.088469255374</v>
      </c>
      <c r="H730" s="29">
        <f>Tableau!$G$26*SIN(F730*PI()/180)+Tableau!$H$25</f>
        <v>10426.542701918019</v>
      </c>
      <c r="J730" s="36">
        <v>727</v>
      </c>
      <c r="K730" s="37">
        <f>Tableau!$G$36*COS(J730*PI()/180)+Tableau!$G$35</f>
        <v>-37.269241793390393</v>
      </c>
      <c r="L730" s="37">
        <f>Tableau!$G$36*SIN(J730*PI()/180)+Tableau!$H$35</f>
        <v>-14390.653282974259</v>
      </c>
      <c r="N730" s="92">
        <v>726</v>
      </c>
      <c r="O730" s="93">
        <v>363</v>
      </c>
      <c r="P730" s="96">
        <f>P729+R729*Tableau!$G$2+((1/2)*T729)*Tableau!$G$2^2</f>
        <v>16260.796098905052</v>
      </c>
      <c r="Q730" s="96">
        <f>Q729+S729*Tableau!$G$2+((1/2)*U729)*Tableau!$G$2^2</f>
        <v>-178159.97495239327</v>
      </c>
      <c r="R730" s="96">
        <f>R729+T729*Tableau!$G$2</f>
        <v>986.39252296561995</v>
      </c>
      <c r="S730" s="96">
        <f>S729+U729*Tableau!$G$2</f>
        <v>-2542.2878779338639</v>
      </c>
      <c r="T730" s="96">
        <f t="shared" si="22"/>
        <v>-3.104499617090847</v>
      </c>
      <c r="U730" s="96">
        <f t="shared" si="23"/>
        <v>38.980407864827008</v>
      </c>
      <c r="V730" s="96">
        <f>((Tableau!$G$16-P730)/(AC730^2+Tableau!$G$21^2)^(3/2))*Tableau!$G$20</f>
        <v>0.30441939720377381</v>
      </c>
      <c r="W730" s="96">
        <f>((Tableau!$H$16-Q730)/(AC730^2+Tableau!$G$21^2)^(3/2))*Tableau!$G$20</f>
        <v>15.11511518356221</v>
      </c>
      <c r="X730" s="96">
        <f>((Tableau!$G$25-P730)/(AD730^2+Tableau!$G$30^2)^(3/2))*Tableau!$G$29</f>
        <v>-0.92368668968844558</v>
      </c>
      <c r="Y730" s="96">
        <f>((Tableau!$H$25-Q730)/(AD730^2+Tableau!$G$30^2)^(3/2))*Tableau!$G$29</f>
        <v>4.7930791128131123</v>
      </c>
      <c r="Z730" s="96">
        <f>((Tableau!$G$35-P730)/(AE730^2+Tableau!$G$40^2)^(3/2))*Tableau!$G$39</f>
        <v>-2.4852323246061752</v>
      </c>
      <c r="AA730" s="97">
        <f>((Tableau!$H$35-Q730)/(AE730^2+Tableau!$G$40^2)^(3/2))*Tableau!$G$39</f>
        <v>19.072213568451687</v>
      </c>
      <c r="AC730" s="110">
        <f>SQRT((Tableau!$G$16-P730)^2+(Tableau!$H$16-Q730)^2)</f>
        <v>185697.62503903289</v>
      </c>
      <c r="AD730" s="111">
        <f>SQRT((Tableau!$G$25-P730)^2+(Tableau!$H$25-Q730)^2)</f>
        <v>191622.07990680935</v>
      </c>
      <c r="AE730" s="112">
        <f>SQRT((Tableau!$G$35-P730)^2+(Tableau!$H$35-Q730)^2)</f>
        <v>164539.35358212885</v>
      </c>
    </row>
    <row r="731" spans="2:31" x14ac:dyDescent="0.25">
      <c r="B731" s="18">
        <v>728</v>
      </c>
      <c r="C731" s="19">
        <f>Tableau!$G$17*COS(B731*PI()/180)+Tableau!$G$16</f>
        <v>24951.340343707852</v>
      </c>
      <c r="D731" s="19">
        <f>Tableau!$G$17*SIN(B731*PI()/180)+Tableau!$H$16</f>
        <v>8195.8655048003257</v>
      </c>
      <c r="F731" s="26">
        <v>728</v>
      </c>
      <c r="G731" s="27">
        <f>Tableau!$G$26*COS(F731*PI()/180)+Tableau!$G$25</f>
        <v>-16534.061759404503</v>
      </c>
      <c r="H731" s="27">
        <f>Tableau!$G$26*SIN(F731*PI()/180)+Tableau!$H$25</f>
        <v>10487.105853360228</v>
      </c>
      <c r="J731" s="34">
        <v>728</v>
      </c>
      <c r="K731" s="35">
        <f>Tableau!$G$36*COS(J731*PI()/180)+Tableau!$G$35</f>
        <v>-48.659656292148611</v>
      </c>
      <c r="L731" s="35">
        <f>Tableau!$G$36*SIN(J731*PI()/180)+Tableau!$H$35</f>
        <v>-14304.134495199674</v>
      </c>
      <c r="N731" s="98">
        <v>727</v>
      </c>
      <c r="O731" s="99">
        <v>363.5</v>
      </c>
      <c r="P731" s="101">
        <f>P730+R730*Tableau!$G$2+((1/2)*T730)*Tableau!$G$2^2</f>
        <v>16753.604297935726</v>
      </c>
      <c r="Q731" s="101">
        <f>Q730+S730*Tableau!$G$2+((1/2)*U730)*Tableau!$G$2^2</f>
        <v>-179426.24634037711</v>
      </c>
      <c r="R731" s="101">
        <f>R730+T730*Tableau!$G$2</f>
        <v>984.84027315707453</v>
      </c>
      <c r="S731" s="101">
        <f>S730+U730*Tableau!$G$2</f>
        <v>-2522.7976740014506</v>
      </c>
      <c r="T731" s="101">
        <f t="shared" si="22"/>
        <v>-3.1407632943697315</v>
      </c>
      <c r="U731" s="101">
        <f t="shared" si="23"/>
        <v>38.406825068663288</v>
      </c>
      <c r="V731" s="101">
        <f>((Tableau!$G$16-P731)/(AC731^2+Tableau!$G$21^2)^(3/2))*Tableau!$G$20</f>
        <v>0.25901898888158659</v>
      </c>
      <c r="W731" s="101">
        <f>((Tableau!$H$16-Q731)/(AC731^2+Tableau!$G$21^2)^(3/2))*Tableau!$G$20</f>
        <v>14.914216184961013</v>
      </c>
      <c r="X731" s="101">
        <f>((Tableau!$G$25-P731)/(AD731^2+Tableau!$G$30^2)^(3/2))*Tableau!$G$29</f>
        <v>-0.91694143640375536</v>
      </c>
      <c r="Y731" s="101">
        <f>((Tableau!$H$25-Q731)/(AD731^2+Tableau!$G$30^2)^(3/2))*Tableau!$G$29</f>
        <v>4.7258705024930698</v>
      </c>
      <c r="Z731" s="101">
        <f>((Tableau!$G$35-P731)/(AE731^2+Tableau!$G$40^2)^(3/2))*Tableau!$G$39</f>
        <v>-2.4828408468475627</v>
      </c>
      <c r="AA731" s="102">
        <f>((Tableau!$H$35-Q731)/(AE731^2+Tableau!$G$40^2)^(3/2))*Tableau!$G$39</f>
        <v>18.766738381209205</v>
      </c>
      <c r="AC731" s="113">
        <f>SQRT((Tableau!$G$16-P731)^2+(Tableau!$H$16-Q731)^2)</f>
        <v>186954.43470524505</v>
      </c>
      <c r="AD731" s="114">
        <f>SQRT((Tableau!$G$25-P731)^2+(Tableau!$H$25-Q731)^2)</f>
        <v>192958.88223011262</v>
      </c>
      <c r="AE731" s="115">
        <f>SQRT((Tableau!$G$35-P731)^2+(Tableau!$H$35-Q731)^2)</f>
        <v>165859.00574143554</v>
      </c>
    </row>
    <row r="732" spans="2:31" x14ac:dyDescent="0.25">
      <c r="B732" s="20">
        <v>729</v>
      </c>
      <c r="C732" s="21">
        <f>Tableau!$G$17*COS(B732*PI()/180)+Tableau!$G$16</f>
        <v>24938.441702975688</v>
      </c>
      <c r="D732" s="21">
        <f>Tableau!$G$17*SIN(B732*PI()/180)+Tableau!$H$16</f>
        <v>8282.172325201147</v>
      </c>
      <c r="F732" s="28">
        <v>729</v>
      </c>
      <c r="G732" s="29">
        <f>Tableau!$G$26*COS(F732*PI()/180)+Tableau!$G$25</f>
        <v>-16543.090807917019</v>
      </c>
      <c r="H732" s="29">
        <f>Tableau!$G$26*SIN(F732*PI()/180)+Tableau!$H$25</f>
        <v>10547.520627640803</v>
      </c>
      <c r="J732" s="36">
        <v>729</v>
      </c>
      <c r="K732" s="37">
        <f>Tableau!$G$36*COS(J732*PI()/180)+Tableau!$G$35</f>
        <v>-61.558297024310377</v>
      </c>
      <c r="L732" s="37">
        <f>Tableau!$G$36*SIN(J732*PI()/180)+Tableau!$H$35</f>
        <v>-14217.827674798853</v>
      </c>
      <c r="N732" s="92">
        <v>728</v>
      </c>
      <c r="O732" s="93">
        <v>364</v>
      </c>
      <c r="P732" s="96">
        <f>P731+R731*Tableau!$G$2+((1/2)*T731)*Tableau!$G$2^2</f>
        <v>17245.631839102469</v>
      </c>
      <c r="Q732" s="96">
        <f>Q731+S731*Tableau!$G$2+((1/2)*U731)*Tableau!$G$2^2</f>
        <v>-180682.84432424424</v>
      </c>
      <c r="R732" s="96">
        <f>R731+T731*Tableau!$G$2</f>
        <v>983.2698915098897</v>
      </c>
      <c r="S732" s="96">
        <f>S731+U731*Tableau!$G$2</f>
        <v>-2503.5942614671189</v>
      </c>
      <c r="T732" s="96">
        <f t="shared" si="22"/>
        <v>-3.1748546011993177</v>
      </c>
      <c r="U732" s="96">
        <f t="shared" si="23"/>
        <v>37.849406607541908</v>
      </c>
      <c r="V732" s="96">
        <f>((Tableau!$G$16-P732)/(AC732^2+Tableau!$G$21^2)^(3/2))*Tableau!$G$20</f>
        <v>0.21542911660556802</v>
      </c>
      <c r="W732" s="96">
        <f>((Tableau!$H$16-Q732)/(AC732^2+Tableau!$G$21^2)^(3/2))*Tableau!$G$20</f>
        <v>14.718462291506009</v>
      </c>
      <c r="X732" s="96">
        <f>((Tableau!$G$25-P732)/(AD732^2+Tableau!$G$30^2)^(3/2))*Tableau!$G$29</f>
        <v>-0.91032433589242401</v>
      </c>
      <c r="Y732" s="96">
        <f>((Tableau!$H$25-Q732)/(AD732^2+Tableau!$G$30^2)^(3/2))*Tableau!$G$29</f>
        <v>4.6604990989388746</v>
      </c>
      <c r="Z732" s="96">
        <f>((Tableau!$G$35-P732)/(AE732^2+Tableau!$G$40^2)^(3/2))*Tableau!$G$39</f>
        <v>-2.4799593819124617</v>
      </c>
      <c r="AA732" s="97">
        <f>((Tableau!$H$35-Q732)/(AE732^2+Tableau!$G$40^2)^(3/2))*Tableau!$G$39</f>
        <v>18.470445217097019</v>
      </c>
      <c r="AC732" s="110">
        <f>SQRT((Tableau!$G$16-P732)^2+(Tableau!$H$16-Q732)^2)</f>
        <v>188203.00061882252</v>
      </c>
      <c r="AD732" s="111">
        <f>SQRT((Tableau!$G$25-P732)^2+(Tableau!$H$25-Q732)^2)</f>
        <v>194286.34591931038</v>
      </c>
      <c r="AE732" s="112">
        <f>SQRT((Tableau!$G$35-P732)^2+(Tableau!$H$35-Q732)^2)</f>
        <v>167169.59364457594</v>
      </c>
    </row>
    <row r="733" spans="2:31" x14ac:dyDescent="0.25">
      <c r="B733" s="18">
        <v>730</v>
      </c>
      <c r="C733" s="19">
        <f>Tableau!$G$17*COS(B733*PI()/180)+Tableau!$G$16</f>
        <v>24924.038765061039</v>
      </c>
      <c r="D733" s="19">
        <f>Tableau!$G$17*SIN(B733*PI()/180)+Tableau!$H$16</f>
        <v>8368.2408883346579</v>
      </c>
      <c r="F733" s="26">
        <v>730</v>
      </c>
      <c r="G733" s="27">
        <f>Tableau!$G$26*COS(F733*PI()/180)+Tableau!$G$25</f>
        <v>-16553.172864457272</v>
      </c>
      <c r="H733" s="27">
        <f>Tableau!$G$26*SIN(F733*PI()/180)+Tableau!$H$25</f>
        <v>10607.768621834261</v>
      </c>
      <c r="J733" s="34">
        <v>730</v>
      </c>
      <c r="K733" s="35">
        <f>Tableau!$G$36*COS(J733*PI()/180)+Tableau!$G$35</f>
        <v>-75.961234938960843</v>
      </c>
      <c r="L733" s="35">
        <f>Tableau!$G$36*SIN(J733*PI()/180)+Tableau!$H$35</f>
        <v>-14131.759111665342</v>
      </c>
      <c r="N733" s="98">
        <v>729</v>
      </c>
      <c r="O733" s="99">
        <v>364.5</v>
      </c>
      <c r="P733" s="101">
        <f>P732+R732*Tableau!$G$2+((1/2)*T732)*Tableau!$G$2^2</f>
        <v>17736.869928032262</v>
      </c>
      <c r="Q733" s="101">
        <f>Q732+S732*Tableau!$G$2+((1/2)*U732)*Tableau!$G$2^2</f>
        <v>-181929.91027915187</v>
      </c>
      <c r="R733" s="101">
        <f>R732+T732*Tableau!$G$2</f>
        <v>981.68246420929006</v>
      </c>
      <c r="S733" s="101">
        <f>S732+U732*Tableau!$G$2</f>
        <v>-2484.669558163348</v>
      </c>
      <c r="T733" s="101">
        <f t="shared" si="22"/>
        <v>-3.2068968727055607</v>
      </c>
      <c r="U733" s="101">
        <f t="shared" si="23"/>
        <v>37.307506898959289</v>
      </c>
      <c r="V733" s="101">
        <f>((Tableau!$G$16-P733)/(AC733^2+Tableau!$G$21^2)^(3/2))*Tableau!$G$20</f>
        <v>0.17356288467908135</v>
      </c>
      <c r="W733" s="101">
        <f>((Tableau!$H$16-Q733)/(AC733^2+Tableau!$G$21^2)^(3/2))*Tableau!$G$20</f>
        <v>14.527667711101781</v>
      </c>
      <c r="X733" s="101">
        <f>((Tableau!$G$25-P733)/(AD733^2+Tableau!$G$30^2)^(3/2))*Tableau!$G$29</f>
        <v>-0.90383184264860028</v>
      </c>
      <c r="Y733" s="101">
        <f>((Tableau!$H$25-Q733)/(AD733^2+Tableau!$G$30^2)^(3/2))*Tableau!$G$29</f>
        <v>4.5968932981938986</v>
      </c>
      <c r="Z733" s="101">
        <f>((Tableau!$G$35-P733)/(AE733^2+Tableau!$G$40^2)^(3/2))*Tableau!$G$39</f>
        <v>-2.4766279147360417</v>
      </c>
      <c r="AA733" s="102">
        <f>((Tableau!$H$35-Q733)/(AE733^2+Tableau!$G$40^2)^(3/2))*Tableau!$G$39</f>
        <v>18.182945889663614</v>
      </c>
      <c r="AC733" s="113">
        <f>SQRT((Tableau!$G$16-P733)^2+(Tableau!$H$16-Q733)^2)</f>
        <v>189443.42866959033</v>
      </c>
      <c r="AD733" s="114">
        <f>SQRT((Tableau!$G$25-P733)^2+(Tableau!$H$25-Q733)^2)</f>
        <v>195604.60580397514</v>
      </c>
      <c r="AE733" s="115">
        <f>SQRT((Tableau!$G$35-P733)^2+(Tableau!$H$35-Q733)^2)</f>
        <v>168471.24443040701</v>
      </c>
    </row>
    <row r="734" spans="2:31" x14ac:dyDescent="0.25">
      <c r="B734" s="20">
        <v>731</v>
      </c>
      <c r="C734" s="21">
        <f>Tableau!$G$17*COS(B734*PI()/180)+Tableau!$G$16</f>
        <v>24908.13591723832</v>
      </c>
      <c r="D734" s="21">
        <f>Tableau!$G$17*SIN(B734*PI()/180)+Tableau!$H$16</f>
        <v>8454.0449768827239</v>
      </c>
      <c r="F734" s="28">
        <v>731</v>
      </c>
      <c r="G734" s="29">
        <f>Tableau!$G$26*COS(F734*PI()/180)+Tableau!$G$25</f>
        <v>-16564.304857933177</v>
      </c>
      <c r="H734" s="29">
        <f>Tableau!$G$26*SIN(F734*PI()/180)+Tableau!$H$25</f>
        <v>10667.831483817907</v>
      </c>
      <c r="J734" s="36">
        <v>731</v>
      </c>
      <c r="K734" s="37">
        <f>Tableau!$G$36*COS(J734*PI()/180)+Tableau!$G$35</f>
        <v>-91.864082761680038</v>
      </c>
      <c r="L734" s="37">
        <f>Tableau!$G$36*SIN(J734*PI()/180)+Tableau!$H$35</f>
        <v>-14045.955023117276</v>
      </c>
      <c r="N734" s="92">
        <v>730</v>
      </c>
      <c r="O734" s="93">
        <v>365</v>
      </c>
      <c r="P734" s="96">
        <f>P733+R733*Tableau!$G$2+((1/2)*T733)*Tableau!$G$2^2</f>
        <v>18227.31029802782</v>
      </c>
      <c r="Q734" s="96">
        <f>Q733+S733*Tableau!$G$2+((1/2)*U733)*Tableau!$G$2^2</f>
        <v>-183167.58161987117</v>
      </c>
      <c r="R734" s="96">
        <f>R733+T733*Tableau!$G$2</f>
        <v>980.07901577293728</v>
      </c>
      <c r="S734" s="96">
        <f>S733+U733*Tableau!$G$2</f>
        <v>-2466.0158047138684</v>
      </c>
      <c r="T734" s="96">
        <f t="shared" si="22"/>
        <v>-3.2370055645544866</v>
      </c>
      <c r="U734" s="96">
        <f t="shared" si="23"/>
        <v>36.780513632622473</v>
      </c>
      <c r="V734" s="96">
        <f>((Tableau!$G$16-P734)/(AC734^2+Tableau!$G$21^2)^(3/2))*Tableau!$G$20</f>
        <v>0.13333837039831503</v>
      </c>
      <c r="W734" s="96">
        <f>((Tableau!$H$16-Q734)/(AC734^2+Tableau!$G$21^2)^(3/2))*Tableau!$G$20</f>
        <v>14.341655278245829</v>
      </c>
      <c r="X734" s="96">
        <f>((Tableau!$G$25-P734)/(AD734^2+Tableau!$G$30^2)^(3/2))*Tableau!$G$29</f>
        <v>-0.89746054463035918</v>
      </c>
      <c r="Y734" s="96">
        <f>((Tableau!$H$25-Q734)/(AD734^2+Tableau!$G$30^2)^(3/2))*Tableau!$G$29</f>
        <v>4.53498511022479</v>
      </c>
      <c r="Z734" s="96">
        <f>((Tableau!$G$35-P734)/(AE734^2+Tableau!$G$40^2)^(3/2))*Tableau!$G$39</f>
        <v>-2.4728833903224428</v>
      </c>
      <c r="AA734" s="97">
        <f>((Tableau!$H$35-Q734)/(AE734^2+Tableau!$G$40^2)^(3/2))*Tableau!$G$39</f>
        <v>17.903873244151857</v>
      </c>
      <c r="AC734" s="110">
        <f>SQRT((Tableau!$G$16-P734)^2+(Tableau!$H$16-Q734)^2)</f>
        <v>190675.82203716788</v>
      </c>
      <c r="AD734" s="111">
        <f>SQRT((Tableau!$G$25-P734)^2+(Tableau!$H$25-Q734)^2)</f>
        <v>196913.79291835119</v>
      </c>
      <c r="AE734" s="112">
        <f>SQRT((Tableau!$G$35-P734)^2+(Tableau!$H$35-Q734)^2)</f>
        <v>169764.08174745593</v>
      </c>
    </row>
    <row r="735" spans="2:31" x14ac:dyDescent="0.25">
      <c r="B735" s="18">
        <v>732</v>
      </c>
      <c r="C735" s="19">
        <f>Tableau!$G$17*COS(B735*PI()/180)+Tableau!$G$16</f>
        <v>24890.73800366903</v>
      </c>
      <c r="D735" s="19">
        <f>Tableau!$G$17*SIN(B735*PI()/180)+Tableau!$H$16</f>
        <v>8539.5584540887903</v>
      </c>
      <c r="F735" s="26">
        <v>732</v>
      </c>
      <c r="G735" s="27">
        <f>Tableau!$G$26*COS(F735*PI()/180)+Tableau!$G$25</f>
        <v>-16576.483397431679</v>
      </c>
      <c r="H735" s="27">
        <f>Tableau!$G$26*SIN(F735*PI()/180)+Tableau!$H$25</f>
        <v>10727.690917862154</v>
      </c>
      <c r="J735" s="34">
        <v>732</v>
      </c>
      <c r="K735" s="35">
        <f>Tableau!$G$36*COS(J735*PI()/180)+Tableau!$G$35</f>
        <v>-109.26199633097076</v>
      </c>
      <c r="L735" s="35">
        <f>Tableau!$G$36*SIN(J735*PI()/180)+Tableau!$H$35</f>
        <v>-13960.44154591121</v>
      </c>
      <c r="N735" s="98">
        <v>731</v>
      </c>
      <c r="O735" s="99">
        <v>365.5</v>
      </c>
      <c r="P735" s="101">
        <f>P734+R734*Tableau!$G$2+((1/2)*T734)*Tableau!$G$2^2</f>
        <v>18716.945180218718</v>
      </c>
      <c r="Q735" s="101">
        <f>Q734+S734*Tableau!$G$2+((1/2)*U734)*Tableau!$G$2^2</f>
        <v>-184395.99195802404</v>
      </c>
      <c r="R735" s="101">
        <f>R734+T734*Tableau!$G$2</f>
        <v>978.46051299066005</v>
      </c>
      <c r="S735" s="101">
        <f>S734+U734*Tableau!$G$2</f>
        <v>-2447.6255478975572</v>
      </c>
      <c r="T735" s="101">
        <f t="shared" si="22"/>
        <v>-3.2652888293428024</v>
      </c>
      <c r="U735" s="101">
        <f t="shared" si="23"/>
        <v>36.267845679314874</v>
      </c>
      <c r="V735" s="101">
        <f>((Tableau!$G$16-P735)/(AC735^2+Tableau!$G$21^2)^(3/2))*Tableau!$G$20</f>
        <v>9.4678291520798222E-2</v>
      </c>
      <c r="W735" s="101">
        <f>((Tableau!$H$16-Q735)/(AC735^2+Tableau!$G$21^2)^(3/2))*Tableau!$G$20</f>
        <v>14.16025596737297</v>
      </c>
      <c r="X735" s="101">
        <f>((Tableau!$G$25-P735)/(AD735^2+Tableau!$G$30^2)^(3/2))*Tableau!$G$29</f>
        <v>-0.89120715682797469</v>
      </c>
      <c r="Y735" s="101">
        <f>((Tableau!$H$25-Q735)/(AD735^2+Tableau!$G$30^2)^(3/2))*Tableau!$G$29</f>
        <v>4.4747099360561107</v>
      </c>
      <c r="Z735" s="101">
        <f>((Tableau!$G$35-P735)/(AE735^2+Tableau!$G$40^2)^(3/2))*Tableau!$G$39</f>
        <v>-2.4687599640356259</v>
      </c>
      <c r="AA735" s="102">
        <f>((Tableau!$H$35-Q735)/(AE735^2+Tableau!$G$40^2)^(3/2))*Tableau!$G$39</f>
        <v>17.63287977588579</v>
      </c>
      <c r="AC735" s="113">
        <f>SQRT((Tableau!$G$16-P735)^2+(Tableau!$H$16-Q735)^2)</f>
        <v>191900.28129011326</v>
      </c>
      <c r="AD735" s="114">
        <f>SQRT((Tableau!$G$25-P735)^2+(Tableau!$H$25-Q735)^2)</f>
        <v>198214.03465302906</v>
      </c>
      <c r="AE735" s="115">
        <f>SQRT((Tableau!$G$35-P735)^2+(Tableau!$H$35-Q735)^2)</f>
        <v>171048.22589002331</v>
      </c>
    </row>
    <row r="736" spans="2:31" x14ac:dyDescent="0.25">
      <c r="B736" s="20">
        <v>733</v>
      </c>
      <c r="C736" s="21">
        <f>Tableau!$G$17*COS(B736*PI()/180)+Tableau!$G$16</f>
        <v>24871.850323926177</v>
      </c>
      <c r="D736" s="21">
        <f>Tableau!$G$17*SIN(B736*PI()/180)+Tableau!$H$16</f>
        <v>8624.7552717193139</v>
      </c>
      <c r="F736" s="28">
        <v>733</v>
      </c>
      <c r="G736" s="29">
        <f>Tableau!$G$26*COS(F736*PI()/180)+Tableau!$G$25</f>
        <v>-16589.704773251677</v>
      </c>
      <c r="H736" s="29">
        <f>Tableau!$G$26*SIN(F736*PI()/180)+Tableau!$H$25</f>
        <v>10787.32869020352</v>
      </c>
      <c r="J736" s="36">
        <v>733</v>
      </c>
      <c r="K736" s="37">
        <f>Tableau!$G$36*COS(J736*PI()/180)+Tableau!$G$35</f>
        <v>-128.14967607382187</v>
      </c>
      <c r="L736" s="37">
        <f>Tableau!$G$36*SIN(J736*PI()/180)+Tableau!$H$35</f>
        <v>-13875.244728280686</v>
      </c>
      <c r="N736" s="92">
        <v>732</v>
      </c>
      <c r="O736" s="93">
        <v>366</v>
      </c>
      <c r="P736" s="96">
        <f>P735+R735*Tableau!$G$2+((1/2)*T735)*Tableau!$G$2^2</f>
        <v>19205.767275610382</v>
      </c>
      <c r="Q736" s="96">
        <f>Q735+S735*Tableau!$G$2+((1/2)*U735)*Tableau!$G$2^2</f>
        <v>-185615.27125126289</v>
      </c>
      <c r="R736" s="96">
        <f>R735+T735*Tableau!$G$2</f>
        <v>976.82786857598865</v>
      </c>
      <c r="S736" s="96">
        <f>S735+U735*Tableau!$G$2</f>
        <v>-2429.4916250578999</v>
      </c>
      <c r="T736" s="96">
        <f t="shared" si="22"/>
        <v>-3.2918480451571153</v>
      </c>
      <c r="U736" s="96">
        <f t="shared" si="23"/>
        <v>35.768951154329699</v>
      </c>
      <c r="V736" s="96">
        <f>((Tableau!$G$16-P736)/(AC736^2+Tableau!$G$21^2)^(3/2))*Tableau!$G$20</f>
        <v>5.7509699181382344E-2</v>
      </c>
      <c r="W736" s="96">
        <f>((Tableau!$H$16-Q736)/(AC736^2+Tableau!$G$21^2)^(3/2))*Tableau!$G$20</f>
        <v>13.983308438375342</v>
      </c>
      <c r="X736" s="96">
        <f>((Tableau!$G$25-P736)/(AD736^2+Tableau!$G$30^2)^(3/2))*Tableau!$G$29</f>
        <v>-0.88506851521830432</v>
      </c>
      <c r="Y736" s="96">
        <f>((Tableau!$H$25-Q736)/(AD736^2+Tableau!$G$30^2)^(3/2))*Tableau!$G$29</f>
        <v>4.4160063610867217</v>
      </c>
      <c r="Z736" s="96">
        <f>((Tableau!$G$35-P736)/(AE736^2+Tableau!$G$40^2)^(3/2))*Tableau!$G$39</f>
        <v>-2.4642892291201934</v>
      </c>
      <c r="AA736" s="97">
        <f>((Tableau!$H$35-Q736)/(AE736^2+Tableau!$G$40^2)^(3/2))*Tableau!$G$39</f>
        <v>17.36963635486763</v>
      </c>
      <c r="AC736" s="110">
        <f>SQRT((Tableau!$G$16-P736)^2+(Tableau!$H$16-Q736)^2)</f>
        <v>193116.90448034147</v>
      </c>
      <c r="AD736" s="111">
        <f>SQRT((Tableau!$G$25-P736)^2+(Tableau!$H$25-Q736)^2)</f>
        <v>199505.4548987934</v>
      </c>
      <c r="AE736" s="112">
        <f>SQRT((Tableau!$G$35-P736)^2+(Tableau!$H$35-Q736)^2)</f>
        <v>172323.79392742901</v>
      </c>
    </row>
    <row r="737" spans="2:31" x14ac:dyDescent="0.25">
      <c r="B737" s="18">
        <v>734</v>
      </c>
      <c r="C737" s="19">
        <f>Tableau!$G$17*COS(B737*PI()/180)+Tableau!$G$16</f>
        <v>24851.478631379981</v>
      </c>
      <c r="D737" s="19">
        <f>Tableau!$G$17*SIN(B737*PI()/180)+Tableau!$H$16</f>
        <v>8709.6094779983396</v>
      </c>
      <c r="F737" s="26">
        <v>734</v>
      </c>
      <c r="G737" s="27">
        <f>Tableau!$G$26*COS(F737*PI()/180)+Tableau!$G$25</f>
        <v>-16603.964958034012</v>
      </c>
      <c r="H737" s="27">
        <f>Tableau!$G$26*SIN(F737*PI()/180)+Tableau!$H$25</f>
        <v>10846.726634598837</v>
      </c>
      <c r="J737" s="34">
        <v>734</v>
      </c>
      <c r="K737" s="35">
        <f>Tableau!$G$36*COS(J737*PI()/180)+Tableau!$G$35</f>
        <v>-148.52136862001862</v>
      </c>
      <c r="L737" s="35">
        <f>Tableau!$G$36*SIN(J737*PI()/180)+Tableau!$H$35</f>
        <v>-13790.39052200166</v>
      </c>
      <c r="N737" s="98">
        <v>733</v>
      </c>
      <c r="O737" s="99">
        <v>366.5</v>
      </c>
      <c r="P737" s="101">
        <f>P736+R736*Tableau!$G$2+((1/2)*T736)*Tableau!$G$2^2</f>
        <v>19693.76972889273</v>
      </c>
      <c r="Q737" s="101">
        <f>Q736+S736*Tableau!$G$2+((1/2)*U736)*Tableau!$G$2^2</f>
        <v>-186825.54594489755</v>
      </c>
      <c r="R737" s="101">
        <f>R736+T736*Tableau!$G$2</f>
        <v>975.18194455341006</v>
      </c>
      <c r="S737" s="101">
        <f>S736+U736*Tableau!$G$2</f>
        <v>-2411.6071494807352</v>
      </c>
      <c r="T737" s="101">
        <f t="shared" si="22"/>
        <v>-3.3167783007497835</v>
      </c>
      <c r="U737" s="101">
        <f t="shared" si="23"/>
        <v>35.283305622373632</v>
      </c>
      <c r="V737" s="101">
        <f>((Tableau!$G$16-P737)/(AC737^2+Tableau!$G$21^2)^(3/2))*Tableau!$G$20</f>
        <v>2.1763694064603181E-2</v>
      </c>
      <c r="W737" s="101">
        <f>((Tableau!$H$16-Q737)/(AC737^2+Tableau!$G$21^2)^(3/2))*Tableau!$G$20</f>
        <v>13.810658611866208</v>
      </c>
      <c r="X737" s="101">
        <f>((Tableau!$G$25-P737)/(AD737^2+Tableau!$G$30^2)^(3/2))*Tableau!$G$29</f>
        <v>-0.87904157107698766</v>
      </c>
      <c r="Y737" s="101">
        <f>((Tableau!$H$25-Q737)/(AD737^2+Tableau!$G$30^2)^(3/2))*Tableau!$G$29</f>
        <v>4.3588159632404597</v>
      </c>
      <c r="Z737" s="101">
        <f>((Tableau!$G$35-P737)/(AE737^2+Tableau!$G$40^2)^(3/2))*Tableau!$G$39</f>
        <v>-2.4595004237373992</v>
      </c>
      <c r="AA737" s="102">
        <f>((Tableau!$H$35-Q737)/(AE737^2+Tableau!$G$40^2)^(3/2))*Tableau!$G$39</f>
        <v>17.113831047266959</v>
      </c>
      <c r="AC737" s="113">
        <f>SQRT((Tableau!$G$16-P737)^2+(Tableau!$H$16-Q737)^2)</f>
        <v>194325.78723309326</v>
      </c>
      <c r="AD737" s="114">
        <f>SQRT((Tableau!$G$25-P737)^2+(Tableau!$H$25-Q737)^2)</f>
        <v>200788.17418313594</v>
      </c>
      <c r="AE737" s="115">
        <f>SQRT((Tableau!$G$35-P737)^2+(Tableau!$H$35-Q737)^2)</f>
        <v>173590.89982682178</v>
      </c>
    </row>
    <row r="738" spans="2:31" x14ac:dyDescent="0.25">
      <c r="B738" s="20">
        <v>735</v>
      </c>
      <c r="C738" s="21">
        <f>Tableau!$G$17*COS(B738*PI()/180)+Tableau!$G$16</f>
        <v>24829.629131445341</v>
      </c>
      <c r="D738" s="21">
        <f>Tableau!$G$17*SIN(B738*PI()/180)+Tableau!$H$16</f>
        <v>8794.0952255125994</v>
      </c>
      <c r="F738" s="28">
        <v>735</v>
      </c>
      <c r="G738" s="29">
        <f>Tableau!$G$26*COS(F738*PI()/180)+Tableau!$G$25</f>
        <v>-16619.259607988261</v>
      </c>
      <c r="H738" s="29">
        <f>Tableau!$G$26*SIN(F738*PI()/180)+Tableau!$H$25</f>
        <v>10905.86665785882</v>
      </c>
      <c r="J738" s="36">
        <v>735</v>
      </c>
      <c r="K738" s="37">
        <f>Tableau!$G$36*COS(J738*PI()/180)+Tableau!$G$35</f>
        <v>-170.37086855465714</v>
      </c>
      <c r="L738" s="37">
        <f>Tableau!$G$36*SIN(J738*PI()/180)+Tableau!$H$35</f>
        <v>-13705.904774487401</v>
      </c>
      <c r="N738" s="92">
        <v>734</v>
      </c>
      <c r="O738" s="93">
        <v>367</v>
      </c>
      <c r="P738" s="96">
        <f>P737+R737*Tableau!$G$2+((1/2)*T737)*Tableau!$G$2^2</f>
        <v>20180.946103881844</v>
      </c>
      <c r="Q738" s="96">
        <f>Q737+S737*Tableau!$G$2+((1/2)*U737)*Tableau!$G$2^2</f>
        <v>-188026.93910643511</v>
      </c>
      <c r="R738" s="96">
        <f>R737+T737*Tableau!$G$2</f>
        <v>973.52355540303518</v>
      </c>
      <c r="S738" s="96">
        <f>S737+U737*Tableau!$G$2</f>
        <v>-2393.9654966695484</v>
      </c>
      <c r="T738" s="96">
        <f t="shared" si="22"/>
        <v>-3.3401688413206907</v>
      </c>
      <c r="U738" s="96">
        <f t="shared" si="23"/>
        <v>34.810410432090045</v>
      </c>
      <c r="V738" s="96">
        <f>((Tableau!$G$16-P738)/(AC738^2+Tableau!$G$21^2)^(3/2))*Tableau!$G$20</f>
        <v>-1.2624836148300447E-2</v>
      </c>
      <c r="W738" s="96">
        <f>((Tableau!$H$16-Q738)/(AC738^2+Tableau!$G$21^2)^(3/2))*Tableau!$G$20</f>
        <v>13.64215927196398</v>
      </c>
      <c r="X738" s="96">
        <f>((Tableau!$G$25-P738)/(AD738^2+Tableau!$G$30^2)^(3/2))*Tableau!$G$29</f>
        <v>-0.87312338562258762</v>
      </c>
      <c r="Y738" s="96">
        <f>((Tableau!$H$25-Q738)/(AD738^2+Tableau!$G$30^2)^(3/2))*Tableau!$G$29</f>
        <v>4.3030831347294916</v>
      </c>
      <c r="Z738" s="96">
        <f>((Tableau!$G$35-P738)/(AE738^2+Tableau!$G$40^2)^(3/2))*Tableau!$G$39</f>
        <v>-2.4544206195498028</v>
      </c>
      <c r="AA738" s="97">
        <f>((Tableau!$H$35-Q738)/(AE738^2+Tableau!$G$40^2)^(3/2))*Tableau!$G$39</f>
        <v>16.865168025396574</v>
      </c>
      <c r="AC738" s="110">
        <f>SQRT((Tableau!$G$16-P738)^2+(Tableau!$H$16-Q738)^2)</f>
        <v>195527.02283271254</v>
      </c>
      <c r="AD738" s="111">
        <f>SQRT((Tableau!$G$25-P738)^2+(Tableau!$H$25-Q738)^2)</f>
        <v>202062.30979989024</v>
      </c>
      <c r="AE738" s="112">
        <f>SQRT((Tableau!$G$35-P738)^2+(Tableau!$H$35-Q738)^2)</f>
        <v>174849.65456994361</v>
      </c>
    </row>
    <row r="739" spans="2:31" x14ac:dyDescent="0.25">
      <c r="B739" s="18">
        <v>736</v>
      </c>
      <c r="C739" s="19">
        <f>Tableau!$G$17*COS(B739*PI()/180)+Tableau!$G$16</f>
        <v>24806.308479691597</v>
      </c>
      <c r="D739" s="19">
        <f>Tableau!$G$17*SIN(B739*PI()/180)+Tableau!$H$16</f>
        <v>8878.1867790849865</v>
      </c>
      <c r="F739" s="26">
        <v>736</v>
      </c>
      <c r="G739" s="27">
        <f>Tableau!$G$26*COS(F739*PI()/180)+Tableau!$G$25</f>
        <v>-16635.584064215884</v>
      </c>
      <c r="H739" s="27">
        <f>Tableau!$G$26*SIN(F739*PI()/180)+Tableau!$H$25</f>
        <v>10964.730745359491</v>
      </c>
      <c r="J739" s="34">
        <v>736</v>
      </c>
      <c r="K739" s="35">
        <f>Tableau!$G$36*COS(J739*PI()/180)+Tableau!$G$35</f>
        <v>-193.6915203084036</v>
      </c>
      <c r="L739" s="35">
        <f>Tableau!$G$36*SIN(J739*PI()/180)+Tableau!$H$35</f>
        <v>-13621.813220915014</v>
      </c>
      <c r="N739" s="98">
        <v>735</v>
      </c>
      <c r="O739" s="99">
        <v>367.5</v>
      </c>
      <c r="P739" s="101">
        <f>P738+R738*Tableau!$G$2+((1/2)*T738)*Tableau!$G$2^2</f>
        <v>20667.290360478197</v>
      </c>
      <c r="Q739" s="101">
        <f>Q738+S738*Tableau!$G$2+((1/2)*U738)*Tableau!$G$2^2</f>
        <v>-189219.57055346586</v>
      </c>
      <c r="R739" s="101">
        <f>R738+T738*Tableau!$G$2</f>
        <v>971.8534709823748</v>
      </c>
      <c r="S739" s="101">
        <f>S738+U738*Tableau!$G$2</f>
        <v>-2376.5602914535034</v>
      </c>
      <c r="T739" s="101">
        <f t="shared" si="22"/>
        <v>-3.3621034784882031</v>
      </c>
      <c r="U739" s="101">
        <f t="shared" si="23"/>
        <v>34.349791169468844</v>
      </c>
      <c r="V739" s="101">
        <f>((Tableau!$G$16-P739)/(AC739^2+Tableau!$G$21^2)^(3/2))*Tableau!$G$20</f>
        <v>-4.5717459852034695E-2</v>
      </c>
      <c r="W739" s="101">
        <f>((Tableau!$H$16-Q739)/(AC739^2+Tableau!$G$21^2)^(3/2))*Tableau!$G$20</f>
        <v>13.477669694557857</v>
      </c>
      <c r="X739" s="101">
        <f>((Tableau!$G$25-P739)/(AD739^2+Tableau!$G$30^2)^(3/2))*Tableau!$G$29</f>
        <v>-0.86731112496894291</v>
      </c>
      <c r="Y739" s="101">
        <f>((Tableau!$H$25-Q739)/(AD739^2+Tableau!$G$30^2)^(3/2))*Tableau!$G$29</f>
        <v>4.248754916321511</v>
      </c>
      <c r="Z739" s="101">
        <f>((Tableau!$G$35-P739)/(AE739^2+Tableau!$G$40^2)^(3/2))*Tableau!$G$39</f>
        <v>-2.4490748936672255</v>
      </c>
      <c r="AA739" s="102">
        <f>((Tableau!$H$35-Q739)/(AE739^2+Tableau!$G$40^2)^(3/2))*Tableau!$G$39</f>
        <v>16.623366558589471</v>
      </c>
      <c r="AC739" s="113">
        <f>SQRT((Tableau!$G$16-P739)^2+(Tableau!$H$16-Q739)^2)</f>
        <v>196720.70230447335</v>
      </c>
      <c r="AD739" s="114">
        <f>SQRT((Tableau!$G$25-P739)^2+(Tableau!$H$25-Q739)^2)</f>
        <v>203327.97593241025</v>
      </c>
      <c r="AE739" s="115">
        <f>SQRT((Tableau!$G$35-P739)^2+(Tableau!$H$35-Q739)^2)</f>
        <v>176100.16626421217</v>
      </c>
    </row>
    <row r="740" spans="2:31" x14ac:dyDescent="0.25">
      <c r="B740" s="20">
        <v>737</v>
      </c>
      <c r="C740" s="21">
        <f>Tableau!$G$17*COS(B740*PI()/180)+Tableau!$G$16</f>
        <v>24781.523779815176</v>
      </c>
      <c r="D740" s="21">
        <f>Tableau!$G$17*SIN(B740*PI()/180)+Tableau!$H$16</f>
        <v>8961.858523613686</v>
      </c>
      <c r="F740" s="28">
        <v>737</v>
      </c>
      <c r="G740" s="29">
        <f>Tableau!$G$26*COS(F740*PI()/180)+Tableau!$G$25</f>
        <v>-16652.933354129374</v>
      </c>
      <c r="H740" s="29">
        <f>Tableau!$G$26*SIN(F740*PI()/180)+Tableau!$H$25</f>
        <v>11023.300966529581</v>
      </c>
      <c r="J740" s="36">
        <v>737</v>
      </c>
      <c r="K740" s="37">
        <f>Tableau!$G$36*COS(J740*PI()/180)+Tableau!$G$35</f>
        <v>-218.47622018482343</v>
      </c>
      <c r="L740" s="37">
        <f>Tableau!$G$36*SIN(J740*PI()/180)+Tableau!$H$35</f>
        <v>-13538.141476386314</v>
      </c>
      <c r="N740" s="92">
        <v>736</v>
      </c>
      <c r="O740" s="93">
        <v>368</v>
      </c>
      <c r="P740" s="96">
        <f>P739+R739*Tableau!$G$2+((1/2)*T739)*Tableau!$G$2^2</f>
        <v>21152.796833034572</v>
      </c>
      <c r="Q740" s="96">
        <f>Q739+S739*Tableau!$G$2+((1/2)*U739)*Tableau!$G$2^2</f>
        <v>-190403.55697529644</v>
      </c>
      <c r="R740" s="96">
        <f>R739+T739*Tableau!$G$2</f>
        <v>970.17241924313066</v>
      </c>
      <c r="S740" s="96">
        <f>S739+U739*Tableau!$G$2</f>
        <v>-2359.3853958687691</v>
      </c>
      <c r="T740" s="96">
        <f t="shared" si="22"/>
        <v>-3.3826609676714723</v>
      </c>
      <c r="U740" s="96">
        <f t="shared" si="23"/>
        <v>33.900996220407734</v>
      </c>
      <c r="V740" s="96">
        <f>((Tableau!$G$16-P740)/(AC740^2+Tableau!$G$21^2)^(3/2))*Tableau!$G$20</f>
        <v>-7.7572426735933189E-2</v>
      </c>
      <c r="W740" s="96">
        <f>((Tableau!$H$16-Q740)/(AC740^2+Tableau!$G$21^2)^(3/2))*Tableau!$G$20</f>
        <v>13.317055299185025</v>
      </c>
      <c r="X740" s="96">
        <f>((Tableau!$G$25-P740)/(AD740^2+Tableau!$G$30^2)^(3/2))*Tableau!$G$29</f>
        <v>-0.86160205536423562</v>
      </c>
      <c r="Y740" s="96">
        <f>((Tableau!$H$25-Q740)/(AD740^2+Tableau!$G$30^2)^(3/2))*Tableau!$G$29</f>
        <v>4.1957808431045267</v>
      </c>
      <c r="Z740" s="96">
        <f>((Tableau!$G$35-P740)/(AE740^2+Tableau!$G$40^2)^(3/2))*Tableau!$G$39</f>
        <v>-2.4434864855713032</v>
      </c>
      <c r="AA740" s="97">
        <f>((Tableau!$H$35-Q740)/(AE740^2+Tableau!$G$40^2)^(3/2))*Tableau!$G$39</f>
        <v>16.388160078118187</v>
      </c>
      <c r="AC740" s="110">
        <f>SQRT((Tableau!$G$16-P740)^2+(Tableau!$H$16-Q740)^2)</f>
        <v>197906.91449267927</v>
      </c>
      <c r="AD740" s="111">
        <f>SQRT((Tableau!$G$25-P740)^2+(Tableau!$H$25-Q740)^2)</f>
        <v>204585.28377068549</v>
      </c>
      <c r="AE740" s="112">
        <f>SQRT((Tableau!$G$35-P740)^2+(Tableau!$H$35-Q740)^2)</f>
        <v>177342.54024845827</v>
      </c>
    </row>
    <row r="741" spans="2:31" x14ac:dyDescent="0.25">
      <c r="B741" s="18">
        <v>738</v>
      </c>
      <c r="C741" s="19">
        <f>Tableau!$G$17*COS(B741*PI()/180)+Tableau!$G$16</f>
        <v>24755.282581475767</v>
      </c>
      <c r="D741" s="19">
        <f>Tableau!$G$17*SIN(B741*PI()/180)+Tableau!$H$16</f>
        <v>9045.084971874734</v>
      </c>
      <c r="F741" s="26">
        <v>738</v>
      </c>
      <c r="G741" s="27">
        <f>Tableau!$G$26*COS(F741*PI()/180)+Tableau!$G$25</f>
        <v>-16671.302192966963</v>
      </c>
      <c r="H741" s="27">
        <f>Tableau!$G$26*SIN(F741*PI()/180)+Tableau!$H$25</f>
        <v>11081.559480312315</v>
      </c>
      <c r="J741" s="34">
        <v>738</v>
      </c>
      <c r="K741" s="35">
        <f>Tableau!$G$36*COS(J741*PI()/180)+Tableau!$G$35</f>
        <v>-244.71741852423111</v>
      </c>
      <c r="L741" s="35">
        <f>Tableau!$G$36*SIN(J741*PI()/180)+Tableau!$H$35</f>
        <v>-13454.915028125266</v>
      </c>
      <c r="N741" s="98">
        <v>737</v>
      </c>
      <c r="O741" s="99">
        <v>368.5</v>
      </c>
      <c r="P741" s="101">
        <f>P740+R740*Tableau!$G$2+((1/2)*T740)*Tableau!$G$2^2</f>
        <v>21637.460210035177</v>
      </c>
      <c r="Q741" s="101">
        <f>Q740+S740*Tableau!$G$2+((1/2)*U740)*Tableau!$G$2^2</f>
        <v>-191579.0120487033</v>
      </c>
      <c r="R741" s="101">
        <f>R740+T740*Tableau!$G$2</f>
        <v>968.48108875929495</v>
      </c>
      <c r="S741" s="101">
        <f>S740+U740*Tableau!$G$2</f>
        <v>-2342.4348977585651</v>
      </c>
      <c r="T741" s="101">
        <f t="shared" si="22"/>
        <v>-3.4019153557854587</v>
      </c>
      <c r="U741" s="101">
        <f t="shared" si="23"/>
        <v>33.463595433592715</v>
      </c>
      <c r="V741" s="101">
        <f>((Tableau!$G$16-P741)/(AC741^2+Tableau!$G$21^2)^(3/2))*Tableau!$G$20</f>
        <v>-0.10824487662432822</v>
      </c>
      <c r="W741" s="101">
        <f>((Tableau!$H$16-Q741)/(AC741^2+Tableau!$G$21^2)^(3/2))*Tableau!$G$20</f>
        <v>13.160187322806523</v>
      </c>
      <c r="X741" s="101">
        <f>((Tableau!$G$25-P741)/(AD741^2+Tableau!$G$30^2)^(3/2))*Tableau!$G$29</f>
        <v>-0.85599353869693462</v>
      </c>
      <c r="Y741" s="101">
        <f>((Tableau!$H$25-Q741)/(AD741^2+Tableau!$G$30^2)^(3/2))*Tableau!$G$29</f>
        <v>4.144112800833482</v>
      </c>
      <c r="Z741" s="101">
        <f>((Tableau!$G$35-P741)/(AE741^2+Tableau!$G$40^2)^(3/2))*Tableau!$G$39</f>
        <v>-2.4376769404641956</v>
      </c>
      <c r="AA741" s="102">
        <f>((Tableau!$H$35-Q741)/(AE741^2+Tableau!$G$40^2)^(3/2))*Tableau!$G$39</f>
        <v>16.159295309952711</v>
      </c>
      <c r="AC741" s="113">
        <f>SQRT((Tableau!$G$16-P741)^2+(Tableau!$H$16-Q741)^2)</f>
        <v>199085.74613524493</v>
      </c>
      <c r="AD741" s="114">
        <f>SQRT((Tableau!$G$25-P741)^2+(Tableau!$H$25-Q741)^2)</f>
        <v>205834.34162275627</v>
      </c>
      <c r="AE741" s="115">
        <f>SQRT((Tableau!$G$35-P741)^2+(Tableau!$H$35-Q741)^2)</f>
        <v>178576.87919363278</v>
      </c>
    </row>
    <row r="742" spans="2:31" x14ac:dyDescent="0.25">
      <c r="B742" s="20">
        <v>739</v>
      </c>
      <c r="C742" s="21">
        <f>Tableau!$G$17*COS(B742*PI()/180)+Tableau!$G$16</f>
        <v>24727.592877996583</v>
      </c>
      <c r="D742" s="21">
        <f>Tableau!$G$17*SIN(B742*PI()/180)+Tableau!$H$16</f>
        <v>9127.8407722857846</v>
      </c>
      <c r="F742" s="28">
        <v>739</v>
      </c>
      <c r="G742" s="29">
        <f>Tableau!$G$26*COS(F742*PI()/180)+Tableau!$G$25</f>
        <v>-16690.684985402389</v>
      </c>
      <c r="H742" s="29">
        <f>Tableau!$G$26*SIN(F742*PI()/180)+Tableau!$H$25</f>
        <v>11139.488540600049</v>
      </c>
      <c r="J742" s="36">
        <v>739</v>
      </c>
      <c r="K742" s="37">
        <f>Tableau!$G$36*COS(J742*PI()/180)+Tableau!$G$35</f>
        <v>-272.40712200341659</v>
      </c>
      <c r="L742" s="37">
        <f>Tableau!$G$36*SIN(J742*PI()/180)+Tableau!$H$35</f>
        <v>-13372.159227714215</v>
      </c>
      <c r="N742" s="92">
        <v>738</v>
      </c>
      <c r="O742" s="93">
        <v>369</v>
      </c>
      <c r="P742" s="96">
        <f>P741+R741*Tableau!$G$2+((1/2)*T741)*Tableau!$G$2^2</f>
        <v>22121.275514995352</v>
      </c>
      <c r="Q742" s="96">
        <f>Q741+S741*Tableau!$G$2+((1/2)*U741)*Tableau!$G$2^2</f>
        <v>-192746.04654815339</v>
      </c>
      <c r="R742" s="96">
        <f>R741+T741*Tableau!$G$2</f>
        <v>966.78013108140226</v>
      </c>
      <c r="S742" s="96">
        <f>S741+U741*Tableau!$G$2</f>
        <v>-2325.7031000417687</v>
      </c>
      <c r="T742" s="96">
        <f t="shared" si="22"/>
        <v>-3.419936301863479</v>
      </c>
      <c r="U742" s="96">
        <f t="shared" si="23"/>
        <v>33.037178875662896</v>
      </c>
      <c r="V742" s="96">
        <f>((Tableau!$G$16-P742)/(AC742^2+Tableau!$G$21^2)^(3/2))*Tableau!$G$20</f>
        <v>-0.13778703327890462</v>
      </c>
      <c r="W742" s="96">
        <f>((Tableau!$H$16-Q742)/(AC742^2+Tableau!$G$21^2)^(3/2))*Tableau!$G$20</f>
        <v>13.006942513905345</v>
      </c>
      <c r="X742" s="96">
        <f>((Tableau!$G$25-P742)/(AD742^2+Tableau!$G$30^2)^(3/2))*Tableau!$G$29</f>
        <v>-0.8504830282504301</v>
      </c>
      <c r="Y742" s="96">
        <f>((Tableau!$H$25-Q742)/(AD742^2+Tableau!$G$30^2)^(3/2))*Tableau!$G$29</f>
        <v>4.093704892025162</v>
      </c>
      <c r="Z742" s="96">
        <f>((Tableau!$G$35-P742)/(AE742^2+Tableau!$G$40^2)^(3/2))*Tableau!$G$39</f>
        <v>-2.431666240334144</v>
      </c>
      <c r="AA742" s="97">
        <f>((Tableau!$H$35-Q742)/(AE742^2+Tableau!$G$40^2)^(3/2))*Tableau!$G$39</f>
        <v>15.936531469732389</v>
      </c>
      <c r="AC742" s="110">
        <f>SQRT((Tableau!$G$16-P742)^2+(Tableau!$H$16-Q742)^2)</f>
        <v>200257.2819349542</v>
      </c>
      <c r="AD742" s="111">
        <f>SQRT((Tableau!$G$25-P742)^2+(Tableau!$H$25-Q742)^2)</f>
        <v>207075.25502076806</v>
      </c>
      <c r="AE742" s="112">
        <f>SQRT((Tableau!$G$35-P742)^2+(Tableau!$H$35-Q742)^2)</f>
        <v>179803.28319877421</v>
      </c>
    </row>
    <row r="743" spans="2:31" x14ac:dyDescent="0.25">
      <c r="B743" s="18">
        <v>740</v>
      </c>
      <c r="C743" s="19">
        <f>Tableau!$G$17*COS(B743*PI()/180)+Tableau!$G$16</f>
        <v>24698.463103929542</v>
      </c>
      <c r="D743" s="19">
        <f>Tableau!$G$17*SIN(B743*PI()/180)+Tableau!$H$16</f>
        <v>9210.1007166283398</v>
      </c>
      <c r="F743" s="26">
        <v>740</v>
      </c>
      <c r="G743" s="27">
        <f>Tableau!$G$26*COS(F743*PI()/180)+Tableau!$G$25</f>
        <v>-16711.075827249319</v>
      </c>
      <c r="H743" s="27">
        <f>Tableau!$G$26*SIN(F743*PI()/180)+Tableau!$H$25</f>
        <v>11197.070501639837</v>
      </c>
      <c r="J743" s="34">
        <v>740</v>
      </c>
      <c r="K743" s="35">
        <f>Tableau!$G$36*COS(J743*PI()/180)+Tableau!$G$35</f>
        <v>-301.53689607045635</v>
      </c>
      <c r="L743" s="35">
        <f>Tableau!$G$36*SIN(J743*PI()/180)+Tableau!$H$35</f>
        <v>-13289.89928337166</v>
      </c>
      <c r="N743" s="98">
        <v>739</v>
      </c>
      <c r="O743" s="99">
        <v>369.5</v>
      </c>
      <c r="P743" s="101">
        <f>P742+R742*Tableau!$G$2+((1/2)*T742)*Tableau!$G$2^2</f>
        <v>22604.238088498321</v>
      </c>
      <c r="Q743" s="101">
        <f>Q742+S742*Tableau!$G$2+((1/2)*U742)*Tableau!$G$2^2</f>
        <v>-193904.76845081482</v>
      </c>
      <c r="R743" s="101">
        <f>R742+T742*Tableau!$G$2</f>
        <v>965.07016293047047</v>
      </c>
      <c r="S743" s="101">
        <f>S742+U742*Tableau!$G$2</f>
        <v>-2309.1845106039373</v>
      </c>
      <c r="T743" s="101">
        <f t="shared" si="22"/>
        <v>-3.4367893729675352</v>
      </c>
      <c r="U743" s="101">
        <f t="shared" si="23"/>
        <v>32.621355671352944</v>
      </c>
      <c r="V743" s="101">
        <f>((Tableau!$G$16-P743)/(AC743^2+Tableau!$G$21^2)^(3/2))*Tableau!$G$20</f>
        <v>-0.1662483843815564</v>
      </c>
      <c r="W743" s="101">
        <f>((Tableau!$H$16-Q743)/(AC743^2+Tableau!$G$21^2)^(3/2))*Tableau!$G$20</f>
        <v>12.857202845457502</v>
      </c>
      <c r="X743" s="101">
        <f>((Tableau!$G$25-P743)/(AD743^2+Tableau!$G$30^2)^(3/2))*Tableau!$G$29</f>
        <v>-0.84506806468974793</v>
      </c>
      <c r="Y743" s="101">
        <f>((Tableau!$H$25-Q743)/(AD743^2+Tableau!$G$30^2)^(3/2))*Tableau!$G$29</f>
        <v>4.0445133110421692</v>
      </c>
      <c r="Z743" s="101">
        <f>((Tableau!$G$35-P743)/(AE743^2+Tableau!$G$40^2)^(3/2))*Tableau!$G$39</f>
        <v>-2.4254729238962311</v>
      </c>
      <c r="AA743" s="102">
        <f>((Tableau!$H$35-Q743)/(AE743^2+Tableau!$G$40^2)^(3/2))*Tableau!$G$39</f>
        <v>15.719639514853274</v>
      </c>
      <c r="AC743" s="113">
        <f>SQRT((Tableau!$G$16-P743)^2+(Tableau!$H$16-Q743)^2)</f>
        <v>201421.60462757692</v>
      </c>
      <c r="AD743" s="114">
        <f>SQRT((Tableau!$G$25-P743)^2+(Tableau!$H$25-Q743)^2)</f>
        <v>208308.12682197941</v>
      </c>
      <c r="AE743" s="115">
        <f>SQRT((Tableau!$G$35-P743)^2+(Tableau!$H$35-Q743)^2)</f>
        <v>181021.84988251052</v>
      </c>
    </row>
    <row r="744" spans="2:31" x14ac:dyDescent="0.25">
      <c r="B744" s="20">
        <v>741</v>
      </c>
      <c r="C744" s="21">
        <f>Tableau!$G$17*COS(B744*PI()/180)+Tableau!$G$16</f>
        <v>24667.902132486008</v>
      </c>
      <c r="D744" s="21">
        <f>Tableau!$G$17*SIN(B744*PI()/180)+Tableau!$H$16</f>
        <v>9291.8397477265007</v>
      </c>
      <c r="F744" s="28">
        <v>741</v>
      </c>
      <c r="G744" s="29">
        <f>Tableau!$G$26*COS(F744*PI()/180)+Tableau!$G$25</f>
        <v>-16732.468507259793</v>
      </c>
      <c r="H744" s="29">
        <f>Tableau!$G$26*SIN(F744*PI()/180)+Tableau!$H$25</f>
        <v>11254.287823408551</v>
      </c>
      <c r="J744" s="36">
        <v>741</v>
      </c>
      <c r="K744" s="37">
        <f>Tableau!$G$36*COS(J744*PI()/180)+Tableau!$G$35</f>
        <v>-332.09786751399042</v>
      </c>
      <c r="L744" s="37">
        <f>Tableau!$G$36*SIN(J744*PI()/180)+Tableau!$H$35</f>
        <v>-13208.160252273499</v>
      </c>
      <c r="N744" s="92">
        <v>740</v>
      </c>
      <c r="O744" s="93">
        <v>370</v>
      </c>
      <c r="P744" s="96">
        <f>P743+R743*Tableau!$G$2+((1/2)*T743)*Tableau!$G$2^2</f>
        <v>23086.343571291934</v>
      </c>
      <c r="Q744" s="96">
        <f>Q743+S743*Tableau!$G$2+((1/2)*U743)*Tableau!$G$2^2</f>
        <v>-195055.28303665787</v>
      </c>
      <c r="R744" s="96">
        <f>R743+T743*Tableau!$G$2</f>
        <v>963.35176824398673</v>
      </c>
      <c r="S744" s="96">
        <f>S743+U743*Tableau!$G$2</f>
        <v>-2292.8738327682609</v>
      </c>
      <c r="T744" s="96">
        <f t="shared" si="22"/>
        <v>-3.4525363175185291</v>
      </c>
      <c r="U744" s="96">
        <f t="shared" si="23"/>
        <v>32.215752921959194</v>
      </c>
      <c r="V744" s="96">
        <f>((Tableau!$G$16-P744)/(AC744^2+Tableau!$G$21^2)^(3/2))*Tableau!$G$20</f>
        <v>-0.19367584880670943</v>
      </c>
      <c r="W744" s="96">
        <f>((Tableau!$H$16-Q744)/(AC744^2+Tableau!$G$21^2)^(3/2))*Tableau!$G$20</f>
        <v>12.710855245447089</v>
      </c>
      <c r="X744" s="96">
        <f>((Tableau!$G$25-P744)/(AD744^2+Tableau!$G$30^2)^(3/2))*Tableau!$G$29</f>
        <v>-0.83974627226496124</v>
      </c>
      <c r="Y744" s="96">
        <f>((Tableau!$H$25-Q744)/(AD744^2+Tableau!$G$30^2)^(3/2))*Tableau!$G$29</f>
        <v>3.9964962274729126</v>
      </c>
      <c r="Z744" s="96">
        <f>((Tableau!$G$35-P744)/(AE744^2+Tableau!$G$40^2)^(3/2))*Tableau!$G$39</f>
        <v>-2.4191141964468583</v>
      </c>
      <c r="AA744" s="97">
        <f>((Tableau!$H$35-Q744)/(AE744^2+Tableau!$G$40^2)^(3/2))*Tableau!$G$39</f>
        <v>15.508401449039187</v>
      </c>
      <c r="AC744" s="110">
        <f>SQRT((Tableau!$G$16-P744)^2+(Tableau!$H$16-Q744)^2)</f>
        <v>202578.7950470153</v>
      </c>
      <c r="AD744" s="111">
        <f>SQRT((Tableau!$G$25-P744)^2+(Tableau!$H$25-Q744)^2)</f>
        <v>209533.05730501638</v>
      </c>
      <c r="AE744" s="112">
        <f>SQRT((Tableau!$G$35-P744)^2+(Tableau!$H$35-Q744)^2)</f>
        <v>182232.67447034747</v>
      </c>
    </row>
    <row r="745" spans="2:31" x14ac:dyDescent="0.25">
      <c r="B745" s="18">
        <v>742</v>
      </c>
      <c r="C745" s="19">
        <f>Tableau!$G$17*COS(B745*PI()/180)+Tableau!$G$16</f>
        <v>24635.919272833937</v>
      </c>
      <c r="D745" s="19">
        <f>Tableau!$G$17*SIN(B745*PI()/180)+Tableau!$H$16</f>
        <v>9373.0329670795618</v>
      </c>
      <c r="F745" s="26">
        <v>742</v>
      </c>
      <c r="G745" s="27">
        <f>Tableau!$G$26*COS(F745*PI()/180)+Tableau!$G$25</f>
        <v>-16754.856509016245</v>
      </c>
      <c r="H745" s="27">
        <f>Tableau!$G$26*SIN(F745*PI()/180)+Tableau!$H$25</f>
        <v>11311.123076955693</v>
      </c>
      <c r="J745" s="34">
        <v>742</v>
      </c>
      <c r="K745" s="35">
        <f>Tableau!$G$36*COS(J745*PI()/180)+Tableau!$G$35</f>
        <v>-364.08072716606421</v>
      </c>
      <c r="L745" s="35">
        <f>Tableau!$G$36*SIN(J745*PI()/180)+Tableau!$H$35</f>
        <v>-13126.967032920438</v>
      </c>
      <c r="N745" s="98">
        <v>741</v>
      </c>
      <c r="O745" s="99">
        <v>370.5</v>
      </c>
      <c r="P745" s="101">
        <f>P744+R744*Tableau!$G$2+((1/2)*T744)*Tableau!$G$2^2</f>
        <v>23567.587888374237</v>
      </c>
      <c r="Q745" s="101">
        <f>Q744+S744*Tableau!$G$2+((1/2)*U744)*Tableau!$G$2^2</f>
        <v>-196197.69298392674</v>
      </c>
      <c r="R745" s="101">
        <f>R744+T744*Tableau!$G$2</f>
        <v>961.62550008522749</v>
      </c>
      <c r="S745" s="101">
        <f>S744+U744*Tableau!$G$2</f>
        <v>-2276.7659563072812</v>
      </c>
      <c r="T745" s="101">
        <f t="shared" si="22"/>
        <v>-3.4672353179751951</v>
      </c>
      <c r="U745" s="101">
        <f t="shared" si="23"/>
        <v>31.820014696058912</v>
      </c>
      <c r="V745" s="101">
        <f>((Tableau!$G$16-P745)/(AC745^2+Tableau!$G$21^2)^(3/2))*Tableau!$G$20</f>
        <v>-0.22011393219322511</v>
      </c>
      <c r="W745" s="101">
        <f>((Tableau!$H$16-Q745)/(AC745^2+Tableau!$G$21^2)^(3/2))*Tableau!$G$20</f>
        <v>12.567791343694882</v>
      </c>
      <c r="X745" s="101">
        <f>((Tableau!$G$25-P745)/(AD745^2+Tableau!$G$30^2)^(3/2))*Tableau!$G$29</f>
        <v>-0.83451535521715647</v>
      </c>
      <c r="Y745" s="101">
        <f>((Tableau!$H$25-Q745)/(AD745^2+Tableau!$G$30^2)^(3/2))*Tableau!$G$29</f>
        <v>3.9496136771748396</v>
      </c>
      <c r="Z745" s="101">
        <f>((Tableau!$G$35-P745)/(AE745^2+Tableau!$G$40^2)^(3/2))*Tableau!$G$39</f>
        <v>-2.4126060305648136</v>
      </c>
      <c r="AA745" s="102">
        <f>((Tableau!$H$35-Q745)/(AE745^2+Tableau!$G$40^2)^(3/2))*Tableau!$G$39</f>
        <v>15.302609675189192</v>
      </c>
      <c r="AC745" s="113">
        <f>SQRT((Tableau!$G$16-P745)^2+(Tableau!$H$16-Q745)^2)</f>
        <v>203728.93218763836</v>
      </c>
      <c r="AD745" s="114">
        <f>SQRT((Tableau!$G$25-P745)^2+(Tableau!$H$25-Q745)^2)</f>
        <v>210750.14426164675</v>
      </c>
      <c r="AE745" s="115">
        <f>SQRT((Tableau!$G$35-P745)^2+(Tableau!$H$35-Q745)^2)</f>
        <v>183435.84987798147</v>
      </c>
    </row>
    <row r="746" spans="2:31" x14ac:dyDescent="0.25">
      <c r="B746" s="20">
        <v>743</v>
      </c>
      <c r="C746" s="21">
        <f>Tableau!$G$17*COS(B746*PI()/180)+Tableau!$G$16</f>
        <v>24602.524267262204</v>
      </c>
      <c r="D746" s="21">
        <f>Tableau!$G$17*SIN(B746*PI()/180)+Tableau!$H$16</f>
        <v>9453.655642446367</v>
      </c>
      <c r="F746" s="28">
        <v>743</v>
      </c>
      <c r="G746" s="29">
        <f>Tableau!$G$26*COS(F746*PI()/180)+Tableau!$G$25</f>
        <v>-16778.233012916458</v>
      </c>
      <c r="H746" s="29">
        <f>Tableau!$G$26*SIN(F746*PI()/180)+Tableau!$H$25</f>
        <v>11367.558949712457</v>
      </c>
      <c r="J746" s="36">
        <v>743</v>
      </c>
      <c r="K746" s="37">
        <f>Tableau!$G$36*COS(J746*PI()/180)+Tableau!$G$35</f>
        <v>-397.47573273779744</v>
      </c>
      <c r="L746" s="37">
        <f>Tableau!$G$36*SIN(J746*PI()/180)+Tableau!$H$35</f>
        <v>-13046.344357553633</v>
      </c>
      <c r="N746" s="92">
        <v>742</v>
      </c>
      <c r="O746" s="93">
        <v>371</v>
      </c>
      <c r="P746" s="96">
        <f>P745+R745*Tableau!$G$2+((1/2)*T745)*Tableau!$G$2^2</f>
        <v>24047.967234002102</v>
      </c>
      <c r="Q746" s="96">
        <f>Q745+S745*Tableau!$G$2+((1/2)*U745)*Tableau!$G$2^2</f>
        <v>-197332.09846024337</v>
      </c>
      <c r="R746" s="96">
        <f>R745+T745*Tableau!$G$2</f>
        <v>959.89188242623993</v>
      </c>
      <c r="S746" s="96">
        <f>S745+U745*Tableau!$G$2</f>
        <v>-2260.8559489592517</v>
      </c>
      <c r="T746" s="96">
        <f t="shared" si="22"/>
        <v>-3.4809412246073137</v>
      </c>
      <c r="U746" s="96">
        <f t="shared" si="23"/>
        <v>31.433801086942111</v>
      </c>
      <c r="V746" s="96">
        <f>((Tableau!$G$16-P746)/(AC746^2+Tableau!$G$21^2)^(3/2))*Tableau!$G$20</f>
        <v>-0.24560487173693785</v>
      </c>
      <c r="W746" s="96">
        <f>((Tableau!$H$16-Q746)/(AC746^2+Tableau!$G$21^2)^(3/2))*Tableau!$G$20</f>
        <v>12.427907233873071</v>
      </c>
      <c r="X746" s="96">
        <f>((Tableau!$G$25-P746)/(AD746^2+Tableau!$G$30^2)^(3/2))*Tableau!$G$29</f>
        <v>-0.82937309437400852</v>
      </c>
      <c r="Y746" s="96">
        <f>((Tableau!$H$25-Q746)/(AD746^2+Tableau!$G$30^2)^(3/2))*Tableau!$G$29</f>
        <v>3.9038274604029923</v>
      </c>
      <c r="Z746" s="96">
        <f>((Tableau!$G$35-P746)/(AE746^2+Tableau!$G$40^2)^(3/2))*Tableau!$G$39</f>
        <v>-2.4059632584963673</v>
      </c>
      <c r="AA746" s="97">
        <f>((Tableau!$H$35-Q746)/(AE746^2+Tableau!$G$40^2)^(3/2))*Tableau!$G$39</f>
        <v>15.102066392666046</v>
      </c>
      <c r="AC746" s="110">
        <f>SQRT((Tableau!$G$16-P746)^2+(Tableau!$H$16-Q746)^2)</f>
        <v>204872.0932639543</v>
      </c>
      <c r="AD746" s="111">
        <f>SQRT((Tableau!$G$25-P746)^2+(Tableau!$H$25-Q746)^2)</f>
        <v>211959.48308432859</v>
      </c>
      <c r="AE746" s="112">
        <f>SQRT((Tableau!$G$35-P746)^2+(Tableau!$H$35-Q746)^2)</f>
        <v>184631.46679085758</v>
      </c>
    </row>
    <row r="747" spans="2:31" x14ac:dyDescent="0.25">
      <c r="B747" s="18">
        <v>744</v>
      </c>
      <c r="C747" s="19">
        <f>Tableau!$G$17*COS(B747*PI()/180)+Tableau!$G$16</f>
        <v>24567.727288213006</v>
      </c>
      <c r="D747" s="19">
        <f>Tableau!$G$17*SIN(B747*PI()/180)+Tableau!$H$16</f>
        <v>9533.6832153789928</v>
      </c>
      <c r="F747" s="26">
        <v>744</v>
      </c>
      <c r="G747" s="27">
        <f>Tableau!$G$26*COS(F747*PI()/180)+Tableau!$G$25</f>
        <v>-16802.590898250895</v>
      </c>
      <c r="H747" s="27">
        <f>Tableau!$G$26*SIN(F747*PI()/180)+Tableau!$H$25</f>
        <v>11423.578250765295</v>
      </c>
      <c r="J747" s="34">
        <v>744</v>
      </c>
      <c r="K747" s="35">
        <f>Tableau!$G$36*COS(J747*PI()/180)+Tableau!$G$35</f>
        <v>-432.27271178699266</v>
      </c>
      <c r="L747" s="35">
        <f>Tableau!$G$36*SIN(J747*PI()/180)+Tableau!$H$35</f>
        <v>-12966.316784621007</v>
      </c>
      <c r="N747" s="98">
        <v>743</v>
      </c>
      <c r="O747" s="99">
        <v>371.5</v>
      </c>
      <c r="P747" s="101">
        <f>P746+R746*Tableau!$G$2+((1/2)*T746)*Tableau!$G$2^2</f>
        <v>24527.478057562144</v>
      </c>
      <c r="Q747" s="101">
        <f>Q746+S746*Tableau!$G$2+((1/2)*U746)*Tableau!$G$2^2</f>
        <v>-198458.59720958714</v>
      </c>
      <c r="R747" s="101">
        <f>R746+T746*Tableau!$G$2</f>
        <v>958.15141181393631</v>
      </c>
      <c r="S747" s="101">
        <f>S746+U746*Tableau!$G$2</f>
        <v>-2245.1390484157805</v>
      </c>
      <c r="T747" s="101">
        <f t="shared" si="22"/>
        <v>-3.4937057719465869</v>
      </c>
      <c r="U747" s="101">
        <f t="shared" si="23"/>
        <v>31.056787331697418</v>
      </c>
      <c r="V747" s="101">
        <f>((Tableau!$G$16-P747)/(AC747^2+Tableau!$G$21^2)^(3/2))*Tableau!$G$20</f>
        <v>-0.27018877104434774</v>
      </c>
      <c r="W747" s="101">
        <f>((Tableau!$H$16-Q747)/(AC747^2+Tableau!$G$21^2)^(3/2))*Tableau!$G$20</f>
        <v>12.291103249662156</v>
      </c>
      <c r="X747" s="101">
        <f>((Tableau!$G$25-P747)/(AD747^2+Tableau!$G$30^2)^(3/2))*Tableau!$G$29</f>
        <v>-0.82431734392279465</v>
      </c>
      <c r="Y747" s="101">
        <f>((Tableau!$H$25-Q747)/(AD747^2+Tableau!$G$30^2)^(3/2))*Tableau!$G$29</f>
        <v>3.8591010464940423</v>
      </c>
      <c r="Z747" s="101">
        <f>((Tableau!$G$35-P747)/(AE747^2+Tableau!$G$40^2)^(3/2))*Tableau!$G$39</f>
        <v>-2.3991996569794445</v>
      </c>
      <c r="AA747" s="102">
        <f>((Tableau!$H$35-Q747)/(AE747^2+Tableau!$G$40^2)^(3/2))*Tableau!$G$39</f>
        <v>14.906583035541221</v>
      </c>
      <c r="AC747" s="113">
        <f>SQRT((Tableau!$G$16-P747)^2+(Tableau!$H$16-Q747)^2)</f>
        <v>206008.35376776024</v>
      </c>
      <c r="AD747" s="114">
        <f>SQRT((Tableau!$G$25-P747)^2+(Tableau!$H$25-Q747)^2)</f>
        <v>213161.1668497702</v>
      </c>
      <c r="AE747" s="115">
        <f>SQRT((Tableau!$G$35-P747)^2+(Tableau!$H$35-Q747)^2)</f>
        <v>185819.61374017908</v>
      </c>
    </row>
    <row r="748" spans="2:31" x14ac:dyDescent="0.25">
      <c r="B748" s="20">
        <v>745</v>
      </c>
      <c r="C748" s="21">
        <f>Tableau!$G$17*COS(B748*PI()/180)+Tableau!$G$16</f>
        <v>24531.538935183249</v>
      </c>
      <c r="D748" s="21">
        <f>Tableau!$G$17*SIN(B748*PI()/180)+Tableau!$H$16</f>
        <v>9613.0913087035005</v>
      </c>
      <c r="F748" s="28">
        <v>745</v>
      </c>
      <c r="G748" s="29">
        <f>Tableau!$G$26*COS(F748*PI()/180)+Tableau!$G$25</f>
        <v>-16827.922745371725</v>
      </c>
      <c r="H748" s="29">
        <f>Tableau!$G$26*SIN(F748*PI()/180)+Tableau!$H$25</f>
        <v>11479.16391609245</v>
      </c>
      <c r="J748" s="36">
        <v>745</v>
      </c>
      <c r="K748" s="37">
        <f>Tableau!$G$36*COS(J748*PI()/180)+Tableau!$G$35</f>
        <v>-468.46106481675179</v>
      </c>
      <c r="L748" s="37">
        <f>Tableau!$G$36*SIN(J748*PI()/180)+Tableau!$H$35</f>
        <v>-12886.908691296499</v>
      </c>
      <c r="N748" s="92">
        <v>744</v>
      </c>
      <c r="O748" s="93">
        <v>372</v>
      </c>
      <c r="P748" s="96">
        <f>P747+R747*Tableau!$G$2+((1/2)*T747)*Tableau!$G$2^2</f>
        <v>25006.11705024762</v>
      </c>
      <c r="Q748" s="96">
        <f>Q747+S747*Tableau!$G$2+((1/2)*U747)*Tableau!$G$2^2</f>
        <v>-199577.28463537857</v>
      </c>
      <c r="R748" s="96">
        <f>R747+T747*Tableau!$G$2</f>
        <v>956.40455892796297</v>
      </c>
      <c r="S748" s="96">
        <f>S747+U747*Tableau!$G$2</f>
        <v>-2229.6106547499317</v>
      </c>
      <c r="T748" s="96">
        <f t="shared" si="22"/>
        <v>-3.5055777793508112</v>
      </c>
      <c r="U748" s="96">
        <f t="shared" si="23"/>
        <v>30.688662987321585</v>
      </c>
      <c r="V748" s="96">
        <f>((Tableau!$G$16-P748)/(AC748^2+Tableau!$G$21^2)^(3/2))*Tableau!$G$20</f>
        <v>-0.2939037258152461</v>
      </c>
      <c r="W748" s="96">
        <f>((Tableau!$H$16-Q748)/(AC748^2+Tableau!$G$21^2)^(3/2))*Tableau!$G$20</f>
        <v>12.157283754088729</v>
      </c>
      <c r="X748" s="96">
        <f>((Tableau!$G$25-P748)/(AD748^2+Tableau!$G$30^2)^(3/2))*Tableau!$G$29</f>
        <v>-0.8193460283498547</v>
      </c>
      <c r="Y748" s="96">
        <f>((Tableau!$H$25-Q748)/(AD748^2+Tableau!$G$30^2)^(3/2))*Tableau!$G$29</f>
        <v>3.8153994846218295</v>
      </c>
      <c r="Z748" s="96">
        <f>((Tableau!$G$35-P748)/(AE748^2+Tableau!$G$40^2)^(3/2))*Tableau!$G$39</f>
        <v>-2.3923280251857104</v>
      </c>
      <c r="AA748" s="97">
        <f>((Tableau!$H$35-Q748)/(AE748^2+Tableau!$G$40^2)^(3/2))*Tableau!$G$39</f>
        <v>14.715979748611028</v>
      </c>
      <c r="AC748" s="110">
        <f>SQRT((Tableau!$G$16-P748)^2+(Tableau!$H$16-Q748)^2)</f>
        <v>207137.78752290073</v>
      </c>
      <c r="AD748" s="111">
        <f>SQRT((Tableau!$G$25-P748)^2+(Tableau!$H$25-Q748)^2)</f>
        <v>214355.28639872422</v>
      </c>
      <c r="AE748" s="112">
        <f>SQRT((Tableau!$G$35-P748)^2+(Tableau!$H$35-Q748)^2)</f>
        <v>187000.37717556272</v>
      </c>
    </row>
    <row r="749" spans="2:31" x14ac:dyDescent="0.25">
      <c r="B749" s="18">
        <v>746</v>
      </c>
      <c r="C749" s="19">
        <f>Tableau!$G$17*COS(B749*PI()/180)+Tableau!$G$16</f>
        <v>24493.970231495834</v>
      </c>
      <c r="D749" s="19">
        <f>Tableau!$G$17*SIN(B749*PI()/180)+Tableau!$H$16</f>
        <v>9691.8557339453855</v>
      </c>
      <c r="F749" s="26">
        <v>746</v>
      </c>
      <c r="G749" s="27">
        <f>Tableau!$G$26*COS(F749*PI()/180)+Tableau!$G$25</f>
        <v>-16854.220837952915</v>
      </c>
      <c r="H749" s="27">
        <f>Tableau!$G$26*SIN(F749*PI()/180)+Tableau!$H$25</f>
        <v>11534.299013761771</v>
      </c>
      <c r="J749" s="34">
        <v>746</v>
      </c>
      <c r="K749" s="35">
        <f>Tableau!$G$36*COS(J749*PI()/180)+Tableau!$G$35</f>
        <v>-506.02976850416417</v>
      </c>
      <c r="L749" s="35">
        <f>Tableau!$G$36*SIN(J749*PI()/180)+Tableau!$H$35</f>
        <v>-12808.144266054614</v>
      </c>
      <c r="N749" s="98">
        <v>745</v>
      </c>
      <c r="O749" s="99">
        <v>372.5</v>
      </c>
      <c r="P749" s="101">
        <f>P748+R748*Tableau!$G$2+((1/2)*T748)*Tableau!$G$2^2</f>
        <v>25483.881132489183</v>
      </c>
      <c r="Q749" s="101">
        <f>Q748+S748*Tableau!$G$2+((1/2)*U748)*Tableau!$G$2^2</f>
        <v>-200688.2538798801</v>
      </c>
      <c r="R749" s="101">
        <f>R748+T748*Tableau!$G$2</f>
        <v>954.65177003828751</v>
      </c>
      <c r="S749" s="101">
        <f>S748+U748*Tableau!$G$2</f>
        <v>-2214.2663232562709</v>
      </c>
      <c r="T749" s="101">
        <f t="shared" si="22"/>
        <v>-3.5166033369856713</v>
      </c>
      <c r="U749" s="101">
        <f t="shared" si="23"/>
        <v>30.329131159614654</v>
      </c>
      <c r="V749" s="101">
        <f>((Tableau!$G$16-P749)/(AC749^2+Tableau!$G$21^2)^(3/2))*Tableau!$G$20</f>
        <v>-0.31678594105616875</v>
      </c>
      <c r="W749" s="101">
        <f>((Tableau!$H$16-Q749)/(AC749^2+Tableau!$G$21^2)^(3/2))*Tableau!$G$20</f>
        <v>12.026356941154665</v>
      </c>
      <c r="X749" s="101">
        <f>((Tableau!$G$25-P749)/(AD749^2+Tableau!$G$30^2)^(3/2))*Tableau!$G$29</f>
        <v>-0.81445713953610244</v>
      </c>
      <c r="Y749" s="101">
        <f>((Tableau!$H$25-Q749)/(AD749^2+Tableau!$G$30^2)^(3/2))*Tableau!$G$29</f>
        <v>3.7726893201796643</v>
      </c>
      <c r="Z749" s="101">
        <f>((Tableau!$G$35-P749)/(AE749^2+Tableau!$G$40^2)^(3/2))*Tableau!$G$39</f>
        <v>-2.3853602563934002</v>
      </c>
      <c r="AA749" s="102">
        <f>((Tableau!$H$35-Q749)/(AE749^2+Tableau!$G$40^2)^(3/2))*Tableau!$G$39</f>
        <v>14.530084898280323</v>
      </c>
      <c r="AC749" s="113">
        <f>SQRT((Tableau!$G$16-P749)^2+(Tableau!$H$16-Q749)^2)</f>
        <v>208260.4667377577</v>
      </c>
      <c r="AD749" s="114">
        <f>SQRT((Tableau!$G$25-P749)^2+(Tableau!$H$25-Q749)^2)</f>
        <v>215541.93041222217</v>
      </c>
      <c r="AE749" s="115">
        <f>SQRT((Tableau!$G$35-P749)^2+(Tableau!$H$35-Q749)^2)</f>
        <v>188173.84153451971</v>
      </c>
    </row>
    <row r="750" spans="2:31" x14ac:dyDescent="0.25">
      <c r="B750" s="20">
        <v>747</v>
      </c>
      <c r="C750" s="21">
        <f>Tableau!$G$17*COS(B750*PI()/180)+Tableau!$G$16</f>
        <v>24455.032620941842</v>
      </c>
      <c r="D750" s="21">
        <f>Tableau!$G$17*SIN(B750*PI()/180)+Tableau!$H$16</f>
        <v>9769.9524986977267</v>
      </c>
      <c r="F750" s="28">
        <v>747</v>
      </c>
      <c r="G750" s="29">
        <f>Tableau!$G$26*COS(F750*PI()/180)+Tableau!$G$25</f>
        <v>-16881.477165340712</v>
      </c>
      <c r="H750" s="29">
        <f>Tableau!$G$26*SIN(F750*PI()/180)+Tableau!$H$25</f>
        <v>11588.966749088409</v>
      </c>
      <c r="J750" s="36">
        <v>747</v>
      </c>
      <c r="K750" s="37">
        <f>Tableau!$G$36*COS(J750*PI()/180)+Tableau!$G$35</f>
        <v>-544.96737905815735</v>
      </c>
      <c r="L750" s="37">
        <f>Tableau!$G$36*SIN(J750*PI()/180)+Tableau!$H$35</f>
        <v>-12730.047501302273</v>
      </c>
      <c r="N750" s="92">
        <v>746</v>
      </c>
      <c r="O750" s="93">
        <v>373</v>
      </c>
      <c r="P750" s="96">
        <f>P749+R749*Tableau!$G$2+((1/2)*T749)*Tableau!$G$2^2</f>
        <v>25960.767442091204</v>
      </c>
      <c r="Q750" s="96">
        <f>Q749+S749*Tableau!$G$2+((1/2)*U749)*Tableau!$G$2^2</f>
        <v>-201791.59590011326</v>
      </c>
      <c r="R750" s="96">
        <f>R749+T749*Tableau!$G$2</f>
        <v>952.89346836979462</v>
      </c>
      <c r="S750" s="96">
        <f>S749+U749*Tableau!$G$2</f>
        <v>-2199.1017576764634</v>
      </c>
      <c r="T750" s="96">
        <f t="shared" si="22"/>
        <v>-3.526825978409962</v>
      </c>
      <c r="U750" s="96">
        <f t="shared" si="23"/>
        <v>29.977907780980345</v>
      </c>
      <c r="V750" s="96">
        <f>((Tableau!$G$16-P750)/(AC750^2+Tableau!$G$21^2)^(3/2))*Tableau!$G$20</f>
        <v>-0.33886984046699187</v>
      </c>
      <c r="W750" s="96">
        <f>((Tableau!$H$16-Q750)/(AC750^2+Tableau!$G$21^2)^(3/2))*Tableau!$G$20</f>
        <v>11.898234648938406</v>
      </c>
      <c r="X750" s="96">
        <f>((Tableau!$G$25-P750)/(AD750^2+Tableau!$G$30^2)^(3/2))*Tableau!$G$29</f>
        <v>-0.80964873399911486</v>
      </c>
      <c r="Y750" s="96">
        <f>((Tableau!$H$25-Q750)/(AD750^2+Tableau!$G$30^2)^(3/2))*Tableau!$G$29</f>
        <v>3.7309385163821069</v>
      </c>
      <c r="Z750" s="96">
        <f>((Tableau!$G$35-P750)/(AE750^2+Tableau!$G$40^2)^(3/2))*Tableau!$G$39</f>
        <v>-2.3783074039438552</v>
      </c>
      <c r="AA750" s="97">
        <f>((Tableau!$H$35-Q750)/(AE750^2+Tableau!$G$40^2)^(3/2))*Tableau!$G$39</f>
        <v>14.348734615659833</v>
      </c>
      <c r="AC750" s="110">
        <f>SQRT((Tableau!$G$16-P750)^2+(Tableau!$H$16-Q750)^2)</f>
        <v>209376.46205558782</v>
      </c>
      <c r="AD750" s="111">
        <f>SQRT((Tableau!$G$25-P750)^2+(Tableau!$H$25-Q750)^2)</f>
        <v>216721.18548444417</v>
      </c>
      <c r="AE750" s="112">
        <f>SQRT((Tableau!$G$35-P750)^2+(Tableau!$H$35-Q750)^2)</f>
        <v>189340.08930893231</v>
      </c>
    </row>
    <row r="751" spans="2:31" x14ac:dyDescent="0.25">
      <c r="B751" s="18">
        <v>748</v>
      </c>
      <c r="C751" s="19">
        <f>Tableau!$G$17*COS(B751*PI()/180)+Tableau!$G$16</f>
        <v>24414.737964294633</v>
      </c>
      <c r="D751" s="19">
        <f>Tableau!$G$17*SIN(B751*PI()/180)+Tableau!$H$16</f>
        <v>9847.3578139294586</v>
      </c>
      <c r="F751" s="26">
        <v>748</v>
      </c>
      <c r="G751" s="27">
        <f>Tableau!$G$26*COS(F751*PI()/180)+Tableau!$G$25</f>
        <v>-16909.683424993756</v>
      </c>
      <c r="H751" s="27">
        <f>Tableau!$G$26*SIN(F751*PI()/180)+Tableau!$H$25</f>
        <v>11643.150469750621</v>
      </c>
      <c r="J751" s="34">
        <v>748</v>
      </c>
      <c r="K751" s="35">
        <f>Tableau!$G$36*COS(J751*PI()/180)+Tableau!$G$35</f>
        <v>-585.26203570536745</v>
      </c>
      <c r="L751" s="35">
        <f>Tableau!$G$36*SIN(J751*PI()/180)+Tableau!$H$35</f>
        <v>-12652.642186070541</v>
      </c>
      <c r="N751" s="98">
        <v>747</v>
      </c>
      <c r="O751" s="99">
        <v>373.5</v>
      </c>
      <c r="P751" s="101">
        <f>P750+R750*Tableau!$G$2+((1/2)*T750)*Tableau!$G$2^2</f>
        <v>26436.773323028799</v>
      </c>
      <c r="Q751" s="101">
        <f>Q750+S750*Tableau!$G$2+((1/2)*U750)*Tableau!$G$2^2</f>
        <v>-202887.39954047886</v>
      </c>
      <c r="R751" s="101">
        <f>R750+T750*Tableau!$G$2</f>
        <v>951.13005538058962</v>
      </c>
      <c r="S751" s="101">
        <f>S750+U750*Tableau!$G$2</f>
        <v>-2184.112803785973</v>
      </c>
      <c r="T751" s="101">
        <f t="shared" si="22"/>
        <v>-3.5362868408433394</v>
      </c>
      <c r="U751" s="101">
        <f t="shared" si="23"/>
        <v>29.634720933568527</v>
      </c>
      <c r="V751" s="101">
        <f>((Tableau!$G$16-P751)/(AC751^2+Tableau!$G$21^2)^(3/2))*Tableau!$G$20</f>
        <v>-0.36018816858878011</v>
      </c>
      <c r="W751" s="101">
        <f>((Tableau!$H$16-Q751)/(AC751^2+Tableau!$G$21^2)^(3/2))*Tableau!$G$20</f>
        <v>11.77283218340575</v>
      </c>
      <c r="X751" s="101">
        <f>((Tableau!$G$25-P751)/(AD751^2+Tableau!$G$30^2)^(3/2))*Tableau!$G$29</f>
        <v>-0.80491893027288619</v>
      </c>
      <c r="Y751" s="101">
        <f>((Tableau!$H$25-Q751)/(AD751^2+Tableau!$G$30^2)^(3/2))*Tableau!$G$29</f>
        <v>3.6901163807115736</v>
      </c>
      <c r="Z751" s="101">
        <f>((Tableau!$G$35-P751)/(AE751^2+Tableau!$G$40^2)^(3/2))*Tableau!$G$39</f>
        <v>-2.3711797419816731</v>
      </c>
      <c r="AA751" s="102">
        <f>((Tableau!$H$35-Q751)/(AE751^2+Tableau!$G$40^2)^(3/2))*Tableau!$G$39</f>
        <v>14.171772369451203</v>
      </c>
      <c r="AC751" s="113">
        <f>SQRT((Tableau!$G$16-P751)^2+(Tableau!$H$16-Q751)^2)</f>
        <v>210485.8426028153</v>
      </c>
      <c r="AD751" s="114">
        <f>SQRT((Tableau!$G$25-P751)^2+(Tableau!$H$25-Q751)^2)</f>
        <v>217893.13619240472</v>
      </c>
      <c r="AE751" s="115">
        <f>SQRT((Tableau!$G$35-P751)^2+(Tableau!$H$35-Q751)^2)</f>
        <v>190499.2011086845</v>
      </c>
    </row>
    <row r="752" spans="2:31" x14ac:dyDescent="0.25">
      <c r="B752" s="20">
        <v>749</v>
      </c>
      <c r="C752" s="21">
        <f>Tableau!$G$17*COS(B752*PI()/180)+Tableau!$G$16</f>
        <v>24373.09853569698</v>
      </c>
      <c r="D752" s="21">
        <f>Tableau!$G$17*SIN(B752*PI()/180)+Tableau!$H$16</f>
        <v>9924.048101231685</v>
      </c>
      <c r="F752" s="28">
        <v>749</v>
      </c>
      <c r="G752" s="29">
        <f>Tableau!$G$26*COS(F752*PI()/180)+Tableau!$G$25</f>
        <v>-16938.831025012114</v>
      </c>
      <c r="H752" s="29">
        <f>Tableau!$G$26*SIN(F752*PI()/180)+Tableau!$H$25</f>
        <v>11696.833670862179</v>
      </c>
      <c r="J752" s="36">
        <v>749</v>
      </c>
      <c r="K752" s="37">
        <f>Tableau!$G$36*COS(J752*PI()/180)+Tableau!$G$35</f>
        <v>-626.90146430302048</v>
      </c>
      <c r="L752" s="37">
        <f>Tableau!$G$36*SIN(J752*PI()/180)+Tableau!$H$35</f>
        <v>-12575.951898768315</v>
      </c>
      <c r="N752" s="92">
        <v>748</v>
      </c>
      <c r="O752" s="93">
        <v>374</v>
      </c>
      <c r="P752" s="96">
        <f>P751+R751*Tableau!$G$2+((1/2)*T751)*Tableau!$G$2^2</f>
        <v>26911.896314863989</v>
      </c>
      <c r="Q752" s="96">
        <f>Q751+S751*Tableau!$G$2+((1/2)*U751)*Tableau!$G$2^2</f>
        <v>-203975.75160225513</v>
      </c>
      <c r="R752" s="96">
        <f>R751+T751*Tableau!$G$2</f>
        <v>949.36191196016796</v>
      </c>
      <c r="S752" s="96">
        <f>S751+U751*Tableau!$G$2</f>
        <v>-2169.295443319189</v>
      </c>
      <c r="T752" s="96">
        <f t="shared" si="22"/>
        <v>-3.5450248140990874</v>
      </c>
      <c r="U752" s="96">
        <f t="shared" si="23"/>
        <v>29.299310214492102</v>
      </c>
      <c r="V752" s="96">
        <f>((Tableau!$G$16-P752)/(AC752^2+Tableau!$G$21^2)^(3/2))*Tableau!$G$20</f>
        <v>-0.38077208625209585</v>
      </c>
      <c r="W752" s="96">
        <f>((Tableau!$H$16-Q752)/(AC752^2+Tableau!$G$21^2)^(3/2))*Tableau!$G$20</f>
        <v>11.650068152231134</v>
      </c>
      <c r="X752" s="96">
        <f>((Tableau!$G$25-P752)/(AD752^2+Tableau!$G$30^2)^(3/2))*Tableau!$G$29</f>
        <v>-0.80026590641709405</v>
      </c>
      <c r="Y752" s="96">
        <f>((Tableau!$H$25-Q752)/(AD752^2+Tableau!$G$30^2)^(3/2))*Tableau!$G$29</f>
        <v>3.65019349586602</v>
      </c>
      <c r="Z752" s="96">
        <f>((Tableau!$G$35-P752)/(AE752^2+Tableau!$G$40^2)^(3/2))*Tableau!$G$39</f>
        <v>-2.3639868214298976</v>
      </c>
      <c r="AA752" s="97">
        <f>((Tableau!$H$35-Q752)/(AE752^2+Tableau!$G$40^2)^(3/2))*Tableau!$G$39</f>
        <v>13.999048566394949</v>
      </c>
      <c r="AC752" s="110">
        <f>SQRT((Tableau!$G$16-P752)^2+(Tableau!$H$16-Q752)^2)</f>
        <v>211588.67603538273</v>
      </c>
      <c r="AD752" s="111">
        <f>SQRT((Tableau!$G$25-P752)^2+(Tableau!$H$25-Q752)^2)</f>
        <v>219057.8651626244</v>
      </c>
      <c r="AE752" s="112">
        <f>SQRT((Tableau!$G$35-P752)^2+(Tableau!$H$35-Q752)^2)</f>
        <v>191651.25572259593</v>
      </c>
    </row>
    <row r="753" spans="2:31" x14ac:dyDescent="0.25">
      <c r="B753" s="18">
        <v>750</v>
      </c>
      <c r="C753" s="19">
        <f>Tableau!$G$17*COS(B753*PI()/180)+Tableau!$G$16</f>
        <v>24330.127018922198</v>
      </c>
      <c r="D753" s="19">
        <f>Tableau!$G$17*SIN(B753*PI()/180)+Tableau!$H$16</f>
        <v>9999.9999999999964</v>
      </c>
      <c r="F753" s="26">
        <v>750</v>
      </c>
      <c r="G753" s="27">
        <f>Tableau!$G$26*COS(F753*PI()/180)+Tableau!$G$25</f>
        <v>-16968.911086754462</v>
      </c>
      <c r="H753" s="27">
        <f>Tableau!$G$26*SIN(F753*PI()/180)+Tableau!$H$25</f>
        <v>11749.999999999996</v>
      </c>
      <c r="J753" s="34">
        <v>750</v>
      </c>
      <c r="K753" s="35">
        <f>Tableau!$G$36*COS(J753*PI()/180)+Tableau!$G$35</f>
        <v>-669.87298107780407</v>
      </c>
      <c r="L753" s="35">
        <f>Tableau!$G$36*SIN(J753*PI()/180)+Tableau!$H$35</f>
        <v>-12500.000000000004</v>
      </c>
      <c r="N753" s="98">
        <v>749</v>
      </c>
      <c r="O753" s="99">
        <v>374.5</v>
      </c>
      <c r="P753" s="101">
        <f>P752+R752*Tableau!$G$2+((1/2)*T752)*Tableau!$G$2^2</f>
        <v>27386.134142742307</v>
      </c>
      <c r="Q753" s="101">
        <f>Q752+S752*Tableau!$G$2+((1/2)*U752)*Tableau!$G$2^2</f>
        <v>-205056.7369101379</v>
      </c>
      <c r="R753" s="101">
        <f>R752+T752*Tableau!$G$2</f>
        <v>947.58939955311837</v>
      </c>
      <c r="S753" s="101">
        <f>S752+U752*Tableau!$G$2</f>
        <v>-2154.645788211943</v>
      </c>
      <c r="T753" s="101">
        <f t="shared" si="22"/>
        <v>-3.5530766790785315</v>
      </c>
      <c r="U753" s="101">
        <f t="shared" si="23"/>
        <v>28.971426140115078</v>
      </c>
      <c r="V753" s="101">
        <f>((Tableau!$G$16-P753)/(AC753^2+Tableau!$G$21^2)^(3/2))*Tableau!$G$20</f>
        <v>-0.4006512598201723</v>
      </c>
      <c r="W753" s="101">
        <f>((Tableau!$H$16-Q753)/(AC753^2+Tableau!$G$21^2)^(3/2))*Tableau!$G$20</f>
        <v>11.529864307973867</v>
      </c>
      <c r="X753" s="101">
        <f>((Tableau!$G$25-P753)/(AD753^2+Tableau!$G$30^2)^(3/2))*Tableau!$G$29</f>
        <v>-0.79568789764814429</v>
      </c>
      <c r="Y753" s="101">
        <f>((Tableau!$H$25-Q753)/(AD753^2+Tableau!$G$30^2)^(3/2))*Tableau!$G$29</f>
        <v>3.611141654890754</v>
      </c>
      <c r="Z753" s="101">
        <f>((Tableau!$G$35-P753)/(AE753^2+Tableau!$G$40^2)^(3/2))*Tableau!$G$39</f>
        <v>-2.3567375216102149</v>
      </c>
      <c r="AA753" s="102">
        <f>((Tableau!$H$35-Q753)/(AE753^2+Tableau!$G$40^2)^(3/2))*Tableau!$G$39</f>
        <v>13.830420177250454</v>
      </c>
      <c r="AC753" s="113">
        <f>SQRT((Tableau!$G$16-P753)^2+(Tableau!$H$16-Q753)^2)</f>
        <v>212685.02858325539</v>
      </c>
      <c r="AD753" s="114">
        <f>SQRT((Tableau!$G$25-P753)^2+(Tableau!$H$25-Q753)^2)</f>
        <v>220215.45313494746</v>
      </c>
      <c r="AE753" s="115">
        <f>SQRT((Tableau!$G$35-P753)^2+(Tableau!$H$35-Q753)^2)</f>
        <v>192796.33017679842</v>
      </c>
    </row>
    <row r="754" spans="2:31" x14ac:dyDescent="0.25">
      <c r="B754" s="20">
        <v>751</v>
      </c>
      <c r="C754" s="21">
        <f>Tableau!$G$17*COS(B754*PI()/180)+Tableau!$G$16</f>
        <v>24285.836503510567</v>
      </c>
      <c r="D754" s="21">
        <f>Tableau!$G$17*SIN(B754*PI()/180)+Tableau!$H$16</f>
        <v>10075.190374550262</v>
      </c>
      <c r="F754" s="28">
        <v>751</v>
      </c>
      <c r="G754" s="29">
        <f>Tableau!$G$26*COS(F754*PI()/180)+Tableau!$G$25</f>
        <v>-16999.914447542604</v>
      </c>
      <c r="H754" s="29">
        <f>Tableau!$G$26*SIN(F754*PI()/180)+Tableau!$H$25</f>
        <v>11802.633262185183</v>
      </c>
      <c r="J754" s="36">
        <v>751</v>
      </c>
      <c r="K754" s="37">
        <f>Tableau!$G$36*COS(J754*PI()/180)+Tableau!$G$35</f>
        <v>-714.16349648943287</v>
      </c>
      <c r="L754" s="37">
        <f>Tableau!$G$36*SIN(J754*PI()/180)+Tableau!$H$35</f>
        <v>-12424.809625449738</v>
      </c>
      <c r="N754" s="92">
        <v>750</v>
      </c>
      <c r="O754" s="93">
        <v>375</v>
      </c>
      <c r="P754" s="96">
        <f>P753+R753*Tableau!$G$2+((1/2)*T753)*Tableau!$G$2^2</f>
        <v>27859.484707933978</v>
      </c>
      <c r="Q754" s="96">
        <f>Q753+S753*Tableau!$G$2+((1/2)*U753)*Tableau!$G$2^2</f>
        <v>-206130.43837597637</v>
      </c>
      <c r="R754" s="96">
        <f>R753+T753*Tableau!$G$2</f>
        <v>945.81286121357914</v>
      </c>
      <c r="S754" s="96">
        <f>S753+U753*Tableau!$G$2</f>
        <v>-2140.1600751418855</v>
      </c>
      <c r="T754" s="96">
        <f t="shared" si="22"/>
        <v>-3.5604772366443189</v>
      </c>
      <c r="U754" s="96">
        <f t="shared" si="23"/>
        <v>28.650829586650101</v>
      </c>
      <c r="V754" s="96">
        <f>((Tableau!$G$16-P754)/(AC754^2+Tableau!$G$21^2)^(3/2))*Tableau!$G$20</f>
        <v>-0.41985394468104559</v>
      </c>
      <c r="W754" s="96">
        <f>((Tableau!$H$16-Q754)/(AC754^2+Tableau!$G$21^2)^(3/2))*Tableau!$G$20</f>
        <v>11.412145400009619</v>
      </c>
      <c r="X754" s="96">
        <f>((Tableau!$G$25-P754)/(AD754^2+Tableau!$G$30^2)^(3/2))*Tableau!$G$29</f>
        <v>-0.79118319408499782</v>
      </c>
      <c r="Y754" s="96">
        <f>((Tableau!$H$25-Q754)/(AD754^2+Tableau!$G$30^2)^(3/2))*Tableau!$G$29</f>
        <v>3.5729338002034146</v>
      </c>
      <c r="Z754" s="96">
        <f>((Tableau!$G$35-P754)/(AE754^2+Tableau!$G$40^2)^(3/2))*Tableau!$G$39</f>
        <v>-2.3494400978782757</v>
      </c>
      <c r="AA754" s="97">
        <f>((Tableau!$H$35-Q754)/(AE754^2+Tableau!$G$40^2)^(3/2))*Tableau!$G$39</f>
        <v>13.665750386437068</v>
      </c>
      <c r="AC754" s="110">
        <f>SQRT((Tableau!$G$16-P754)^2+(Tableau!$H$16-Q754)^2)</f>
        <v>213774.96509317006</v>
      </c>
      <c r="AD754" s="111">
        <f>SQRT((Tableau!$G$25-P754)^2+(Tableau!$H$25-Q754)^2)</f>
        <v>221365.97902365369</v>
      </c>
      <c r="AE754" s="112">
        <f>SQRT((Tableau!$G$35-P754)^2+(Tableau!$H$35-Q754)^2)</f>
        <v>193934.49979068668</v>
      </c>
    </row>
    <row r="755" spans="2:31" x14ac:dyDescent="0.25">
      <c r="B755" s="18">
        <v>752</v>
      </c>
      <c r="C755" s="19">
        <f>Tableau!$G$17*COS(B755*PI()/180)+Tableau!$G$16</f>
        <v>24240.240480782129</v>
      </c>
      <c r="D755" s="19">
        <f>Tableau!$G$17*SIN(B755*PI()/180)+Tableau!$H$16</f>
        <v>10149.596321166026</v>
      </c>
      <c r="F755" s="26">
        <v>752</v>
      </c>
      <c r="G755" s="27">
        <f>Tableau!$G$26*COS(F755*PI()/180)+Tableau!$G$25</f>
        <v>-17031.831663452511</v>
      </c>
      <c r="H755" s="27">
        <f>Tableau!$G$26*SIN(F755*PI()/180)+Tableau!$H$25</f>
        <v>11854.717424816219</v>
      </c>
      <c r="J755" s="34">
        <v>752</v>
      </c>
      <c r="K755" s="35">
        <f>Tableau!$G$36*COS(J755*PI()/180)+Tableau!$G$35</f>
        <v>-759.75951921787055</v>
      </c>
      <c r="L755" s="35">
        <f>Tableau!$G$36*SIN(J755*PI()/180)+Tableau!$H$35</f>
        <v>-12350.403678833974</v>
      </c>
      <c r="N755" s="98">
        <v>751</v>
      </c>
      <c r="O755" s="99">
        <v>375.5</v>
      </c>
      <c r="P755" s="101">
        <f>P754+R754*Tableau!$G$2+((1/2)*T754)*Tableau!$G$2^2</f>
        <v>28331.946078886187</v>
      </c>
      <c r="Q755" s="101">
        <f>Q754+S754*Tableau!$G$2+((1/2)*U754)*Tableau!$G$2^2</f>
        <v>-207196.93705984898</v>
      </c>
      <c r="R755" s="101">
        <f>R754+T754*Tableau!$G$2</f>
        <v>944.03262259525695</v>
      </c>
      <c r="S755" s="101">
        <f>S754+U754*Tableau!$G$2</f>
        <v>-2125.8346603485606</v>
      </c>
      <c r="T755" s="101">
        <f t="shared" si="22"/>
        <v>-3.5672594276195291</v>
      </c>
      <c r="U755" s="101">
        <f t="shared" si="23"/>
        <v>28.337291264522328</v>
      </c>
      <c r="V755" s="101">
        <f>((Tableau!$G$16-P755)/(AC755^2+Tableau!$G$21^2)^(3/2))*Tableau!$G$20</f>
        <v>-0.43840706340564328</v>
      </c>
      <c r="W755" s="101">
        <f>((Tableau!$H$16-Q755)/(AC755^2+Tableau!$G$21^2)^(3/2))*Tableau!$G$20</f>
        <v>11.296839034654097</v>
      </c>
      <c r="X755" s="101">
        <f>((Tableau!$G$25-P755)/(AD755^2+Tableau!$G$30^2)^(3/2))*Tableau!$G$29</f>
        <v>-0.78675013860308163</v>
      </c>
      <c r="Y755" s="101">
        <f>((Tableau!$H$25-Q755)/(AD755^2+Tableau!$G$30^2)^(3/2))*Tableau!$G$29</f>
        <v>3.5355439662432659</v>
      </c>
      <c r="Z755" s="101">
        <f>((Tableau!$G$35-P755)/(AE755^2+Tableau!$G$40^2)^(3/2))*Tableau!$G$39</f>
        <v>-2.3421022256108039</v>
      </c>
      <c r="AA755" s="102">
        <f>((Tableau!$H$35-Q755)/(AE755^2+Tableau!$G$40^2)^(3/2))*Tableau!$G$39</f>
        <v>13.504908263624966</v>
      </c>
      <c r="AC755" s="113">
        <f>SQRT((Tableau!$G$16-P755)^2+(Tableau!$H$16-Q755)^2)</f>
        <v>214858.54906971287</v>
      </c>
      <c r="AD755" s="114">
        <f>SQRT((Tableau!$G$25-P755)^2+(Tableau!$H$25-Q755)^2)</f>
        <v>222509.51997600542</v>
      </c>
      <c r="AE755" s="115">
        <f>SQRT((Tableau!$G$35-P755)^2+(Tableau!$H$35-Q755)^2)</f>
        <v>195065.83823056595</v>
      </c>
    </row>
    <row r="756" spans="2:31" x14ac:dyDescent="0.25">
      <c r="B756" s="20">
        <v>753</v>
      </c>
      <c r="C756" s="21">
        <f>Tableau!$G$17*COS(B756*PI()/180)+Tableau!$G$16</f>
        <v>24193.352839727122</v>
      </c>
      <c r="D756" s="21">
        <f>Tableau!$G$17*SIN(B756*PI()/180)+Tableau!$H$16</f>
        <v>10223.195175075132</v>
      </c>
      <c r="F756" s="28">
        <v>753</v>
      </c>
      <c r="G756" s="29">
        <f>Tableau!$G$26*COS(F756*PI()/180)+Tableau!$G$25</f>
        <v>-17064.653012191015</v>
      </c>
      <c r="H756" s="29">
        <f>Tableau!$G$26*SIN(F756*PI()/180)+Tableau!$H$25</f>
        <v>11906.236622552593</v>
      </c>
      <c r="J756" s="36">
        <v>753</v>
      </c>
      <c r="K756" s="37">
        <f>Tableau!$G$36*COS(J756*PI()/180)+Tableau!$G$35</f>
        <v>-806.64716027287795</v>
      </c>
      <c r="L756" s="37">
        <f>Tableau!$G$36*SIN(J756*PI()/180)+Tableau!$H$35</f>
        <v>-12276.804824924868</v>
      </c>
      <c r="N756" s="92">
        <v>752</v>
      </c>
      <c r="O756" s="93">
        <v>376</v>
      </c>
      <c r="P756" s="96">
        <f>P755+R755*Tableau!$G$2+((1/2)*T755)*Tableau!$G$2^2</f>
        <v>28803.516482755364</v>
      </c>
      <c r="Q756" s="96">
        <f>Q755+S755*Tableau!$G$2+((1/2)*U755)*Tableau!$G$2^2</f>
        <v>-208256.31222861519</v>
      </c>
      <c r="R756" s="96">
        <f>R755+T755*Tableau!$G$2</f>
        <v>942.24899288144718</v>
      </c>
      <c r="S756" s="96">
        <f>S755+U755*Tableau!$G$2</f>
        <v>-2111.6660147162993</v>
      </c>
      <c r="T756" s="96">
        <f t="shared" si="22"/>
        <v>-3.5734544445952849</v>
      </c>
      <c r="U756" s="96">
        <f t="shared" si="23"/>
        <v>28.030591224160752</v>
      </c>
      <c r="V756" s="96">
        <f>((Tableau!$G$16-P756)/(AC756^2+Tableau!$G$21^2)^(3/2))*Tableau!$G$20</f>
        <v>-0.45633627895544321</v>
      </c>
      <c r="W756" s="96">
        <f>((Tableau!$H$16-Q756)/(AC756^2+Tableau!$G$21^2)^(3/2))*Tableau!$G$20</f>
        <v>11.183875542962511</v>
      </c>
      <c r="X756" s="96">
        <f>((Tableau!$G$25-P756)/(AD756^2+Tableau!$G$30^2)^(3/2))*Tableau!$G$29</f>
        <v>-0.78238712479010386</v>
      </c>
      <c r="Y756" s="96">
        <f>((Tableau!$H$25-Q756)/(AD756^2+Tableau!$G$30^2)^(3/2))*Tableau!$G$29</f>
        <v>3.4989472254970702</v>
      </c>
      <c r="Z756" s="96">
        <f>((Tableau!$G$35-P756)/(AE756^2+Tableau!$G$40^2)^(3/2))*Tableau!$G$39</f>
        <v>-2.3347310408497379</v>
      </c>
      <c r="AA756" s="97">
        <f>((Tableau!$H$35-Q756)/(AE756^2+Tableau!$G$40^2)^(3/2))*Tableau!$G$39</f>
        <v>13.347768455701171</v>
      </c>
      <c r="AC756" s="110">
        <f>SQRT((Tableau!$G$16-P756)^2+(Tableau!$H$16-Q756)^2)</f>
        <v>215935.8427148069</v>
      </c>
      <c r="AD756" s="111">
        <f>SQRT((Tableau!$G$25-P756)^2+(Tableau!$H$25-Q756)^2)</f>
        <v>223646.1514283609</v>
      </c>
      <c r="AE756" s="112">
        <f>SQRT((Tableau!$G$35-P756)^2+(Tableau!$H$35-Q756)^2)</f>
        <v>196190.41756111311</v>
      </c>
    </row>
    <row r="757" spans="2:31" x14ac:dyDescent="0.25">
      <c r="B757" s="18">
        <v>754</v>
      </c>
      <c r="C757" s="19">
        <f>Tableau!$G$17*COS(B757*PI()/180)+Tableau!$G$16</f>
        <v>24145.187862775208</v>
      </c>
      <c r="D757" s="19">
        <f>Tableau!$G$17*SIN(B757*PI()/180)+Tableau!$H$16</f>
        <v>10295.964517353734</v>
      </c>
      <c r="F757" s="26">
        <v>754</v>
      </c>
      <c r="G757" s="27">
        <f>Tableau!$G$26*COS(F757*PI()/180)+Tableau!$G$25</f>
        <v>-17098.368496057356</v>
      </c>
      <c r="H757" s="27">
        <f>Tableau!$G$26*SIN(F757*PI()/180)+Tableau!$H$25</f>
        <v>11957.175162147614</v>
      </c>
      <c r="J757" s="34">
        <v>754</v>
      </c>
      <c r="K757" s="35">
        <f>Tableau!$G$36*COS(J757*PI()/180)+Tableau!$G$35</f>
        <v>-854.81213722479151</v>
      </c>
      <c r="L757" s="35">
        <f>Tableau!$G$36*SIN(J757*PI()/180)+Tableau!$H$35</f>
        <v>-12204.035482646266</v>
      </c>
      <c r="N757" s="98">
        <v>753</v>
      </c>
      <c r="O757" s="99">
        <v>376.5</v>
      </c>
      <c r="P757" s="101">
        <f>P756+R756*Tableau!$G$2+((1/2)*T756)*Tableau!$G$2^2</f>
        <v>29274.194297390513</v>
      </c>
      <c r="Q757" s="101">
        <f>Q756+S756*Tableau!$G$2+((1/2)*U756)*Tableau!$G$2^2</f>
        <v>-209308.64141207034</v>
      </c>
      <c r="R757" s="101">
        <f>R756+T756*Tableau!$G$2</f>
        <v>940.46226565914958</v>
      </c>
      <c r="S757" s="101">
        <f>S756+U756*Tableau!$G$2</f>
        <v>-2097.6507191042188</v>
      </c>
      <c r="T757" s="101">
        <f t="shared" si="22"/>
        <v>-3.579091836171616</v>
      </c>
      <c r="U757" s="101">
        <f t="shared" si="23"/>
        <v>27.730518391057331</v>
      </c>
      <c r="V757" s="101">
        <f>((Tableau!$G$16-P757)/(AC757^2+Tableau!$G$21^2)^(3/2))*Tableau!$G$20</f>
        <v>-0.47366606329248617</v>
      </c>
      <c r="W757" s="101">
        <f>((Tableau!$H$16-Q757)/(AC757^2+Tableau!$G$21^2)^(3/2))*Tableau!$G$20</f>
        <v>11.073187855719496</v>
      </c>
      <c r="X757" s="101">
        <f>((Tableau!$G$25-P757)/(AD757^2+Tableau!$G$30^2)^(3/2))*Tableau!$G$29</f>
        <v>-0.77809259499809125</v>
      </c>
      <c r="Y757" s="101">
        <f>((Tableau!$H$25-Q757)/(AD757^2+Tableau!$G$30^2)^(3/2))*Tableau!$G$29</f>
        <v>3.4631196376733171</v>
      </c>
      <c r="Z757" s="101">
        <f>((Tableau!$G$35-P757)/(AE757^2+Tableau!$G$40^2)^(3/2))*Tableau!$G$39</f>
        <v>-2.3273331778810387</v>
      </c>
      <c r="AA757" s="102">
        <f>((Tableau!$H$35-Q757)/(AE757^2+Tableau!$G$40^2)^(3/2))*Tableau!$G$39</f>
        <v>13.194210897664515</v>
      </c>
      <c r="AC757" s="113">
        <f>SQRT((Tableau!$G$16-P757)^2+(Tableau!$H$16-Q757)^2)</f>
        <v>217006.90696568496</v>
      </c>
      <c r="AD757" s="114">
        <f>SQRT((Tableau!$G$25-P757)^2+(Tableau!$H$25-Q757)^2)</f>
        <v>224775.9471599776</v>
      </c>
      <c r="AE757" s="115">
        <f>SQRT((Tableau!$G$35-P757)^2+(Tableau!$H$35-Q757)^2)</f>
        <v>197308.30829475936</v>
      </c>
    </row>
    <row r="758" spans="2:31" x14ac:dyDescent="0.25">
      <c r="B758" s="20">
        <v>755</v>
      </c>
      <c r="C758" s="21">
        <f>Tableau!$G$17*COS(B758*PI()/180)+Tableau!$G$16</f>
        <v>24095.760221444962</v>
      </c>
      <c r="D758" s="21">
        <f>Tableau!$G$17*SIN(B758*PI()/180)+Tableau!$H$16</f>
        <v>10367.882181755225</v>
      </c>
      <c r="F758" s="28">
        <v>755</v>
      </c>
      <c r="G758" s="29">
        <f>Tableau!$G$26*COS(F758*PI()/180)+Tableau!$G$25</f>
        <v>-17132.967844988525</v>
      </c>
      <c r="H758" s="29">
        <f>Tableau!$G$26*SIN(F758*PI()/180)+Tableau!$H$25</f>
        <v>12007.517527228658</v>
      </c>
      <c r="J758" s="36">
        <v>755</v>
      </c>
      <c r="K758" s="37">
        <f>Tableau!$G$36*COS(J758*PI()/180)+Tableau!$G$35</f>
        <v>-904.2397785550379</v>
      </c>
      <c r="L758" s="37">
        <f>Tableau!$G$36*SIN(J758*PI()/180)+Tableau!$H$35</f>
        <v>-12132.117818244775</v>
      </c>
      <c r="N758" s="92">
        <v>754</v>
      </c>
      <c r="O758" s="93">
        <v>377</v>
      </c>
      <c r="P758" s="96">
        <f>P757+R757*Tableau!$G$2+((1/2)*T757)*Tableau!$G$2^2</f>
        <v>29743.978043740568</v>
      </c>
      <c r="Q758" s="96">
        <f>Q757+S757*Tableau!$G$2+((1/2)*U757)*Tableau!$G$2^2</f>
        <v>-210354.00045682356</v>
      </c>
      <c r="R758" s="96">
        <f>R757+T757*Tableau!$G$2</f>
        <v>938.67271974106382</v>
      </c>
      <c r="S758" s="96">
        <f>S757+U757*Tableau!$G$2</f>
        <v>-2083.78545990869</v>
      </c>
      <c r="T758" s="96">
        <f t="shared" si="22"/>
        <v>-3.5841996042031683</v>
      </c>
      <c r="U758" s="96">
        <f t="shared" si="23"/>
        <v>27.436870128102605</v>
      </c>
      <c r="V758" s="96">
        <f>((Tableau!$G$16-P758)/(AC758^2+Tableau!$G$21^2)^(3/2))*Tableau!$G$20</f>
        <v>-0.49041976171675578</v>
      </c>
      <c r="W758" s="96">
        <f>((Tableau!$H$16-Q758)/(AC758^2+Tableau!$G$21^2)^(3/2))*Tableau!$G$20</f>
        <v>10.964711385172947</v>
      </c>
      <c r="X758" s="96">
        <f>((Tableau!$G$25-P758)/(AD758^2+Tableau!$G$30^2)^(3/2))*Tableau!$G$29</f>
        <v>-0.77386503848618338</v>
      </c>
      <c r="Y758" s="96">
        <f>((Tableau!$H$25-Q758)/(AD758^2+Tableau!$G$30^2)^(3/2))*Tableau!$G$29</f>
        <v>3.4280382018132904</v>
      </c>
      <c r="Z758" s="96">
        <f>((Tableau!$G$35-P758)/(AE758^2+Tableau!$G$40^2)^(3/2))*Tableau!$G$39</f>
        <v>-2.3199148040002293</v>
      </c>
      <c r="AA758" s="97">
        <f>((Tableau!$H$35-Q758)/(AE758^2+Tableau!$G$40^2)^(3/2))*Tableau!$G$39</f>
        <v>13.044120541116369</v>
      </c>
      <c r="AC758" s="110">
        <f>SQRT((Tableau!$G$16-P758)^2+(Tableau!$H$16-Q758)^2)</f>
        <v>218071.80153141895</v>
      </c>
      <c r="AD758" s="111">
        <f>SQRT((Tableau!$G$25-P758)^2+(Tableau!$H$25-Q758)^2)</f>
        <v>225898.97934462197</v>
      </c>
      <c r="AE758" s="112">
        <f>SQRT((Tableau!$G$35-P758)^2+(Tableau!$H$35-Q758)^2)</f>
        <v>198419.57943909804</v>
      </c>
    </row>
    <row r="759" spans="2:31" x14ac:dyDescent="0.25">
      <c r="B759" s="18">
        <v>756</v>
      </c>
      <c r="C759" s="19">
        <f>Tableau!$G$17*COS(B759*PI()/180)+Tableau!$G$16</f>
        <v>24045.084971874738</v>
      </c>
      <c r="D759" s="19">
        <f>Tableau!$G$17*SIN(B759*PI()/180)+Tableau!$H$16</f>
        <v>10438.926261462364</v>
      </c>
      <c r="F759" s="26">
        <v>756</v>
      </c>
      <c r="G759" s="27">
        <f>Tableau!$G$26*COS(F759*PI()/180)+Tableau!$G$25</f>
        <v>-17168.440519687683</v>
      </c>
      <c r="H759" s="27">
        <f>Tableau!$G$26*SIN(F759*PI()/180)+Tableau!$H$25</f>
        <v>12057.248383023654</v>
      </c>
      <c r="J759" s="34">
        <v>756</v>
      </c>
      <c r="K759" s="35">
        <f>Tableau!$G$36*COS(J759*PI()/180)+Tableau!$G$35</f>
        <v>-954.91502812526141</v>
      </c>
      <c r="L759" s="35">
        <f>Tableau!$G$36*SIN(J759*PI()/180)+Tableau!$H$35</f>
        <v>-12061.073738537636</v>
      </c>
      <c r="N759" s="98">
        <v>755</v>
      </c>
      <c r="O759" s="99">
        <v>377.5</v>
      </c>
      <c r="P759" s="101">
        <f>P758+R758*Tableau!$G$2+((1/2)*T758)*Tableau!$G$2^2</f>
        <v>30212.866378660576</v>
      </c>
      <c r="Q759" s="101">
        <f>Q758+S758*Tableau!$G$2+((1/2)*U758)*Tableau!$G$2^2</f>
        <v>-211392.4635780119</v>
      </c>
      <c r="R759" s="101">
        <f>R758+T758*Tableau!$G$2</f>
        <v>936.88061993896224</v>
      </c>
      <c r="S759" s="101">
        <f>S758+U758*Tableau!$G$2</f>
        <v>-2070.0670248446386</v>
      </c>
      <c r="T759" s="101">
        <f t="shared" si="22"/>
        <v>-3.5888042945740448</v>
      </c>
      <c r="U759" s="101">
        <f t="shared" si="23"/>
        <v>27.14945182335984</v>
      </c>
      <c r="V759" s="101">
        <f>((Tableau!$G$16-P759)/(AC759^2+Tableau!$G$21^2)^(3/2))*Tableau!$G$20</f>
        <v>-0.50661965323034874</v>
      </c>
      <c r="W759" s="101">
        <f>((Tableau!$H$16-Q759)/(AC759^2+Tableau!$G$21^2)^(3/2))*Tableau!$G$20</f>
        <v>10.858383913094251</v>
      </c>
      <c r="X759" s="101">
        <f>((Tableau!$G$25-P759)/(AD759^2+Tableau!$G$30^2)^(3/2))*Tableau!$G$29</f>
        <v>-0.76970298964925687</v>
      </c>
      <c r="Y759" s="101">
        <f>((Tableau!$H$25-Q759)/(AD759^2+Tableau!$G$30^2)^(3/2))*Tableau!$G$29</f>
        <v>3.3936808111442369</v>
      </c>
      <c r="Z759" s="101">
        <f>((Tableau!$G$35-P759)/(AE759^2+Tableau!$G$40^2)^(3/2))*Tableau!$G$39</f>
        <v>-2.3124816516944393</v>
      </c>
      <c r="AA759" s="102">
        <f>((Tableau!$H$35-Q759)/(AE759^2+Tableau!$G$40^2)^(3/2))*Tableau!$G$39</f>
        <v>12.897387099121351</v>
      </c>
      <c r="AC759" s="113">
        <f>SQRT((Tableau!$G$16-P759)^2+(Tableau!$H$16-Q759)^2)</f>
        <v>219130.58492807351</v>
      </c>
      <c r="AD759" s="114">
        <f>SQRT((Tableau!$G$25-P759)^2+(Tableau!$H$25-Q759)^2)</f>
        <v>227015.31860009479</v>
      </c>
      <c r="AE759" s="115">
        <f>SQRT((Tableau!$G$35-P759)^2+(Tableau!$H$35-Q759)^2)</f>
        <v>199524.29854241345</v>
      </c>
    </row>
    <row r="760" spans="2:31" x14ac:dyDescent="0.25">
      <c r="B760" s="20">
        <v>757</v>
      </c>
      <c r="C760" s="21">
        <f>Tableau!$G$17*COS(B760*PI()/180)+Tableau!$G$16</f>
        <v>23993.177550236462</v>
      </c>
      <c r="D760" s="21">
        <f>Tableau!$G$17*SIN(B760*PI()/180)+Tableau!$H$16</f>
        <v>10509.075115760243</v>
      </c>
      <c r="F760" s="28">
        <v>757</v>
      </c>
      <c r="G760" s="29">
        <f>Tableau!$G$26*COS(F760*PI()/180)+Tableau!$G$25</f>
        <v>-17204.775714834475</v>
      </c>
      <c r="H760" s="29">
        <f>Tableau!$G$26*SIN(F760*PI()/180)+Tableau!$H$25</f>
        <v>12106.35258103217</v>
      </c>
      <c r="J760" s="36">
        <v>757</v>
      </c>
      <c r="K760" s="37">
        <f>Tableau!$G$36*COS(J760*PI()/180)+Tableau!$G$35</f>
        <v>-1006.8224497635365</v>
      </c>
      <c r="L760" s="37">
        <f>Tableau!$G$36*SIN(J760*PI()/180)+Tableau!$H$35</f>
        <v>-11990.924884239757</v>
      </c>
      <c r="N760" s="92">
        <v>756</v>
      </c>
      <c r="O760" s="93">
        <v>378</v>
      </c>
      <c r="P760" s="96">
        <f>P759+R759*Tableau!$G$2+((1/2)*T759)*Tableau!$G$2^2</f>
        <v>30680.858088093235</v>
      </c>
      <c r="Q760" s="96">
        <f>Q759+S759*Tableau!$G$2+((1/2)*U759)*Tableau!$G$2^2</f>
        <v>-212424.10340895629</v>
      </c>
      <c r="R760" s="96">
        <f>R759+T759*Tableau!$G$2</f>
        <v>935.08621779167527</v>
      </c>
      <c r="S760" s="96">
        <f>S759+U759*Tableau!$G$2</f>
        <v>-2056.4922989329589</v>
      </c>
      <c r="T760" s="96">
        <f t="shared" si="22"/>
        <v>-3.5929310819825604</v>
      </c>
      <c r="U760" s="96">
        <f t="shared" si="23"/>
        <v>26.868076501579502</v>
      </c>
      <c r="V760" s="96">
        <f>((Tableau!$G$16-P760)/(AC760^2+Tableau!$G$21^2)^(3/2))*Tableau!$G$20</f>
        <v>-0.52228700720456722</v>
      </c>
      <c r="W760" s="96">
        <f>((Tableau!$H$16-Q760)/(AC760^2+Tableau!$G$21^2)^(3/2))*Tableau!$G$20</f>
        <v>10.754145484776979</v>
      </c>
      <c r="X760" s="96">
        <f>((Tableau!$G$25-P760)/(AD760^2+Tableau!$G$30^2)^(3/2))*Tableau!$G$29</f>
        <v>-0.76560502632756766</v>
      </c>
      <c r="Y760" s="96">
        <f>((Tableau!$H$25-Q760)/(AD760^2+Tableau!$G$30^2)^(3/2))*Tableau!$G$29</f>
        <v>3.3600262104935954</v>
      </c>
      <c r="Z760" s="96">
        <f>((Tableau!$G$35-P760)/(AE760^2+Tableau!$G$40^2)^(3/2))*Tableau!$G$39</f>
        <v>-2.3050390484504257</v>
      </c>
      <c r="AA760" s="97">
        <f>((Tableau!$H$35-Q760)/(AE760^2+Tableau!$G$40^2)^(3/2))*Tableau!$G$39</f>
        <v>12.753904806308928</v>
      </c>
      <c r="AC760" s="110">
        <f>SQRT((Tableau!$G$16-P760)^2+(Tableau!$H$16-Q760)^2)</f>
        <v>220183.31451254722</v>
      </c>
      <c r="AD760" s="111">
        <f>SQRT((Tableau!$G$25-P760)^2+(Tableau!$H$25-Q760)^2)</f>
        <v>228125.03403577505</v>
      </c>
      <c r="AE760" s="112">
        <f>SQRT((Tableau!$G$35-P760)^2+(Tableau!$H$35-Q760)^2)</f>
        <v>200622.53173742205</v>
      </c>
    </row>
    <row r="761" spans="2:31" x14ac:dyDescent="0.25">
      <c r="B761" s="18">
        <v>758</v>
      </c>
      <c r="C761" s="19">
        <f>Tableau!$G$17*COS(B761*PI()/180)+Tableau!$G$16</f>
        <v>23940.053768033613</v>
      </c>
      <c r="D761" s="19">
        <f>Tableau!$G$17*SIN(B761*PI()/180)+Tableau!$H$16</f>
        <v>10578.307376628287</v>
      </c>
      <c r="F761" s="26">
        <v>758</v>
      </c>
      <c r="G761" s="27">
        <f>Tableau!$G$26*COS(F761*PI()/180)+Tableau!$G$25</f>
        <v>-17241.962362376471</v>
      </c>
      <c r="H761" s="27">
        <f>Tableau!$G$26*SIN(F761*PI()/180)+Tableau!$H$25</f>
        <v>12154.815163639802</v>
      </c>
      <c r="J761" s="34">
        <v>758</v>
      </c>
      <c r="K761" s="35">
        <f>Tableau!$G$36*COS(J761*PI()/180)+Tableau!$G$35</f>
        <v>-1059.9462319663871</v>
      </c>
      <c r="L761" s="35">
        <f>Tableau!$G$36*SIN(J761*PI()/180)+Tableau!$H$35</f>
        <v>-11921.692623371713</v>
      </c>
      <c r="N761" s="98">
        <v>757</v>
      </c>
      <c r="O761" s="99">
        <v>378.5</v>
      </c>
      <c r="P761" s="101">
        <f>P760+R760*Tableau!$G$2+((1/2)*T760)*Tableau!$G$2^2</f>
        <v>31147.952080603827</v>
      </c>
      <c r="Q761" s="101">
        <f>Q760+S760*Tableau!$G$2+((1/2)*U760)*Tableau!$G$2^2</f>
        <v>-213448.99104886007</v>
      </c>
      <c r="R761" s="101">
        <f>R760+T760*Tableau!$G$2</f>
        <v>933.28975225068393</v>
      </c>
      <c r="S761" s="101">
        <f>S760+U760*Tableau!$G$2</f>
        <v>-2043.058260682169</v>
      </c>
      <c r="T761" s="101">
        <f t="shared" si="22"/>
        <v>-3.5966038491767689</v>
      </c>
      <c r="U761" s="101">
        <f t="shared" si="23"/>
        <v>26.592564457881238</v>
      </c>
      <c r="V761" s="101">
        <f>((Tableau!$G$16-P761)/(AC761^2+Tableau!$G$21^2)^(3/2))*Tableau!$G$20</f>
        <v>-0.53744213660473772</v>
      </c>
      <c r="W761" s="101">
        <f>((Tableau!$H$16-Q761)/(AC761^2+Tableau!$G$21^2)^(3/2))*Tableau!$G$20</f>
        <v>10.651938308612509</v>
      </c>
      <c r="X761" s="101">
        <f>((Tableau!$G$25-P761)/(AD761^2+Tableau!$G$30^2)^(3/2))*Tableau!$G$29</f>
        <v>-0.76156976819309774</v>
      </c>
      <c r="Y761" s="101">
        <f>((Tableau!$H$25-Q761)/(AD761^2+Tableau!$G$30^2)^(3/2))*Tableau!$G$29</f>
        <v>3.3270539560975707</v>
      </c>
      <c r="Z761" s="101">
        <f>((Tableau!$G$35-P761)/(AE761^2+Tableau!$G$40^2)^(3/2))*Tableau!$G$39</f>
        <v>-2.2975919443789334</v>
      </c>
      <c r="AA761" s="102">
        <f>((Tableau!$H$35-Q761)/(AE761^2+Tableau!$G$40^2)^(3/2))*Tableau!$G$39</f>
        <v>12.613572193171159</v>
      </c>
      <c r="AC761" s="113">
        <f>SQRT((Tableau!$G$16-P761)^2+(Tableau!$H$16-Q761)^2)</f>
        <v>221230.04651516187</v>
      </c>
      <c r="AD761" s="114">
        <f>SQRT((Tableau!$G$25-P761)^2+(Tableau!$H$25-Q761)^2)</f>
        <v>229228.19329827928</v>
      </c>
      <c r="AE761" s="115">
        <f>SQRT((Tableau!$G$35-P761)^2+(Tableau!$H$35-Q761)^2)</f>
        <v>201714.34378331198</v>
      </c>
    </row>
    <row r="762" spans="2:31" x14ac:dyDescent="0.25">
      <c r="B762" s="20">
        <v>759</v>
      </c>
      <c r="C762" s="21">
        <f>Tableau!$G$17*COS(B762*PI()/180)+Tableau!$G$16</f>
        <v>23885.729807284857</v>
      </c>
      <c r="D762" s="21">
        <f>Tableau!$G$17*SIN(B762*PI()/180)+Tableau!$H$16</f>
        <v>10646.601955249185</v>
      </c>
      <c r="F762" s="28">
        <v>759</v>
      </c>
      <c r="G762" s="29">
        <f>Tableau!$G$26*COS(F762*PI()/180)+Tableau!$G$25</f>
        <v>-17279.989134900603</v>
      </c>
      <c r="H762" s="29">
        <f>Tableau!$G$26*SIN(F762*PI()/180)+Tableau!$H$25</f>
        <v>12202.62136867443</v>
      </c>
      <c r="J762" s="36">
        <v>759</v>
      </c>
      <c r="K762" s="37">
        <f>Tableau!$G$36*COS(J762*PI()/180)+Tableau!$G$35</f>
        <v>-1114.2701927151447</v>
      </c>
      <c r="L762" s="37">
        <f>Tableau!$G$36*SIN(J762*PI()/180)+Tableau!$H$35</f>
        <v>-11853.398044750815</v>
      </c>
      <c r="N762" s="92">
        <v>758</v>
      </c>
      <c r="O762" s="93">
        <v>379</v>
      </c>
      <c r="P762" s="96">
        <f>P761+R761*Tableau!$G$2+((1/2)*T761)*Tableau!$G$2^2</f>
        <v>31614.147381248022</v>
      </c>
      <c r="Q762" s="96">
        <f>Q761+S761*Tableau!$G$2+((1/2)*U761)*Tableau!$G$2^2</f>
        <v>-214467.19610864393</v>
      </c>
      <c r="R762" s="96">
        <f>R761+T761*Tableau!$G$2</f>
        <v>931.49145032609556</v>
      </c>
      <c r="S762" s="96">
        <f>S761+U761*Tableau!$G$2</f>
        <v>-2029.7619784532285</v>
      </c>
      <c r="T762" s="96">
        <f t="shared" si="22"/>
        <v>-3.5998452610463829</v>
      </c>
      <c r="U762" s="96">
        <f t="shared" si="23"/>
        <v>26.322742912152272</v>
      </c>
      <c r="V762" s="96">
        <f>((Tableau!$G$16-P762)/(AC762^2+Tableau!$G$21^2)^(3/2))*Tableau!$G$20</f>
        <v>-0.55210444800811287</v>
      </c>
      <c r="W762" s="96">
        <f>((Tableau!$H$16-Q762)/(AC762^2+Tableau!$G$21^2)^(3/2))*Tableau!$G$20</f>
        <v>10.55170666090709</v>
      </c>
      <c r="X762" s="96">
        <f>((Tableau!$G$25-P762)/(AD762^2+Tableau!$G$30^2)^(3/2))*Tableau!$G$29</f>
        <v>-0.75759587520849692</v>
      </c>
      <c r="Y762" s="96">
        <f>((Tableau!$H$25-Q762)/(AD762^2+Tableau!$G$30^2)^(3/2))*Tableau!$G$29</f>
        <v>3.2947443776492245</v>
      </c>
      <c r="Z762" s="96">
        <f>((Tableau!$G$35-P762)/(AE762^2+Tableau!$G$40^2)^(3/2))*Tableau!$G$39</f>
        <v>-2.2901449378297731</v>
      </c>
      <c r="AA762" s="97">
        <f>((Tableau!$H$35-Q762)/(AE762^2+Tableau!$G$40^2)^(3/2))*Tableau!$G$39</f>
        <v>12.47629187359596</v>
      </c>
      <c r="AC762" s="110">
        <f>SQRT((Tableau!$G$16-P762)^2+(Tableau!$H$16-Q762)^2)</f>
        <v>222270.83607105666</v>
      </c>
      <c r="AD762" s="111">
        <f>SQRT((Tableau!$G$25-P762)^2+(Tableau!$H$25-Q762)^2)</f>
        <v>230324.86261532776</v>
      </c>
      <c r="AE762" s="112">
        <f>SQRT((Tableau!$G$35-P762)^2+(Tableau!$H$35-Q762)^2)</f>
        <v>202799.79810616173</v>
      </c>
    </row>
    <row r="763" spans="2:31" x14ac:dyDescent="0.25">
      <c r="B763" s="18">
        <v>760</v>
      </c>
      <c r="C763" s="19">
        <f>Tableau!$G$17*COS(B763*PI()/180)+Tableau!$G$16</f>
        <v>23830.222215594888</v>
      </c>
      <c r="D763" s="19">
        <f>Tableau!$G$17*SIN(B763*PI()/180)+Tableau!$H$16</f>
        <v>10713.938048432698</v>
      </c>
      <c r="F763" s="26">
        <v>760</v>
      </c>
      <c r="G763" s="27">
        <f>Tableau!$G$26*COS(F763*PI()/180)+Tableau!$G$25</f>
        <v>-17318.844449083579</v>
      </c>
      <c r="H763" s="27">
        <f>Tableau!$G$26*SIN(F763*PI()/180)+Tableau!$H$25</f>
        <v>12249.756633902889</v>
      </c>
      <c r="J763" s="34">
        <v>760</v>
      </c>
      <c r="K763" s="35">
        <f>Tableau!$G$36*COS(J763*PI()/180)+Tableau!$G$35</f>
        <v>-1169.7777844051116</v>
      </c>
      <c r="L763" s="35">
        <f>Tableau!$G$36*SIN(J763*PI()/180)+Tableau!$H$35</f>
        <v>-11786.061951567302</v>
      </c>
      <c r="N763" s="98">
        <v>759</v>
      </c>
      <c r="O763" s="99">
        <v>379.5</v>
      </c>
      <c r="P763" s="101">
        <f>P762+R762*Tableau!$G$2+((1/2)*T762)*Tableau!$G$2^2</f>
        <v>32079.443125753438</v>
      </c>
      <c r="Q763" s="101">
        <f>Q762+S762*Tableau!$G$2+((1/2)*U762)*Tableau!$G$2^2</f>
        <v>-215478.7867550065</v>
      </c>
      <c r="R763" s="101">
        <f>R762+T762*Tableau!$G$2</f>
        <v>929.6915276955724</v>
      </c>
      <c r="S763" s="101">
        <f>S762+U762*Tableau!$G$2</f>
        <v>-2016.6006069971525</v>
      </c>
      <c r="T763" s="101">
        <f t="shared" si="22"/>
        <v>-3.6026768339433657</v>
      </c>
      <c r="U763" s="101">
        <f t="shared" si="23"/>
        <v>26.058445682813762</v>
      </c>
      <c r="V763" s="101">
        <f>((Tableau!$G$16-P763)/(AC763^2+Tableau!$G$21^2)^(3/2))*Tableau!$G$20</f>
        <v>-0.56629248863224191</v>
      </c>
      <c r="W763" s="101">
        <f>((Tableau!$H$16-Q763)/(AC763^2+Tableau!$G$21^2)^(3/2))*Tableau!$G$20</f>
        <v>10.453396795625428</v>
      </c>
      <c r="X763" s="101">
        <f>((Tableau!$G$25-P763)/(AD763^2+Tableau!$G$30^2)^(3/2))*Tableau!$G$29</f>
        <v>-0.75368204615468193</v>
      </c>
      <c r="Y763" s="101">
        <f>((Tableau!$H$25-Q763)/(AD763^2+Tableau!$G$30^2)^(3/2))*Tableau!$G$29</f>
        <v>3.2630785424422672</v>
      </c>
      <c r="Z763" s="101">
        <f>((Tableau!$G$35-P763)/(AE763^2+Tableau!$G$40^2)^(3/2))*Tableau!$G$39</f>
        <v>-2.2827022991564418</v>
      </c>
      <c r="AA763" s="102">
        <f>((Tableau!$H$35-Q763)/(AE763^2+Tableau!$G$40^2)^(3/2))*Tableau!$G$39</f>
        <v>12.341970344746068</v>
      </c>
      <c r="AC763" s="113">
        <f>SQRT((Tableau!$G$16-P763)^2+(Tableau!$H$16-Q763)^2)</f>
        <v>223305.73725044096</v>
      </c>
      <c r="AD763" s="114">
        <f>SQRT((Tableau!$G$25-P763)^2+(Tableau!$H$25-Q763)^2)</f>
        <v>231415.1068379035</v>
      </c>
      <c r="AE763" s="115">
        <f>SQRT((Tableau!$G$35-P763)^2+(Tableau!$H$35-Q763)^2)</f>
        <v>203878.9568378143</v>
      </c>
    </row>
    <row r="764" spans="2:31" x14ac:dyDescent="0.25">
      <c r="B764" s="20">
        <v>761</v>
      </c>
      <c r="C764" s="21">
        <f>Tableau!$G$17*COS(B764*PI()/180)+Tableau!$G$16</f>
        <v>23773.547901113863</v>
      </c>
      <c r="D764" s="21">
        <f>Tableau!$G$17*SIN(B764*PI()/180)+Tableau!$H$16</f>
        <v>10780.295144952534</v>
      </c>
      <c r="F764" s="28">
        <v>761</v>
      </c>
      <c r="G764" s="29">
        <f>Tableau!$G$26*COS(F764*PI()/180)+Tableau!$G$25</f>
        <v>-17358.516469220296</v>
      </c>
      <c r="H764" s="29">
        <f>Tableau!$G$26*SIN(F764*PI()/180)+Tableau!$H$25</f>
        <v>12296.206601466774</v>
      </c>
      <c r="J764" s="36">
        <v>761</v>
      </c>
      <c r="K764" s="37">
        <f>Tableau!$G$36*COS(J764*PI()/180)+Tableau!$G$35</f>
        <v>-1226.4520988861382</v>
      </c>
      <c r="L764" s="37">
        <f>Tableau!$G$36*SIN(J764*PI()/180)+Tableau!$H$35</f>
        <v>-11719.704855047466</v>
      </c>
      <c r="N764" s="92">
        <v>760</v>
      </c>
      <c r="O764" s="93">
        <v>380</v>
      </c>
      <c r="P764" s="96">
        <f>P763+R763*Tableau!$G$2+((1/2)*T763)*Tableau!$G$2^2</f>
        <v>32543.838554996979</v>
      </c>
      <c r="Q764" s="96">
        <f>Q763+S763*Tableau!$G$2+((1/2)*U763)*Tableau!$G$2^2</f>
        <v>-216483.82975279473</v>
      </c>
      <c r="R764" s="96">
        <f>R763+T763*Tableau!$G$2</f>
        <v>927.8901892786007</v>
      </c>
      <c r="S764" s="96">
        <f>S763+U763*Tableau!$G$2</f>
        <v>-2003.5713841557456</v>
      </c>
      <c r="T764" s="96">
        <f t="shared" si="22"/>
        <v>-3.6051190005739322</v>
      </c>
      <c r="U764" s="96">
        <f t="shared" si="23"/>
        <v>25.799512878708853</v>
      </c>
      <c r="V764" s="96">
        <f>((Tableau!$G$16-P764)/(AC764^2+Tableau!$G$21^2)^(3/2))*Tableau!$G$20</f>
        <v>-0.58002399057495713</v>
      </c>
      <c r="W764" s="96">
        <f>((Tableau!$H$16-Q764)/(AC764^2+Tableau!$G$21^2)^(3/2))*Tableau!$G$20</f>
        <v>10.356956858769863</v>
      </c>
      <c r="X764" s="96">
        <f>((Tableau!$G$25-P764)/(AD764^2+Tableau!$G$30^2)^(3/2))*Tableau!$G$29</f>
        <v>-0.74982701722353073</v>
      </c>
      <c r="Y764" s="96">
        <f>((Tableau!$H$25-Q764)/(AD764^2+Tableau!$G$30^2)^(3/2))*Tableau!$G$29</f>
        <v>3.2320382214776271</v>
      </c>
      <c r="Z764" s="96">
        <f>((Tableau!$G$35-P764)/(AE764^2+Tableau!$G$40^2)^(3/2))*Tableau!$G$39</f>
        <v>-2.2752679927754444</v>
      </c>
      <c r="AA764" s="97">
        <f>((Tableau!$H$35-Q764)/(AE764^2+Tableau!$G$40^2)^(3/2))*Tableau!$G$39</f>
        <v>12.210517798461364</v>
      </c>
      <c r="AC764" s="110">
        <f>SQRT((Tableau!$G$16-P764)^2+(Tableau!$H$16-Q764)^2)</f>
        <v>224334.80308775714</v>
      </c>
      <c r="AD764" s="111">
        <f>SQRT((Tableau!$G$25-P764)^2+(Tableau!$H$25-Q764)^2)</f>
        <v>232498.98948078568</v>
      </c>
      <c r="AE764" s="112">
        <f>SQRT((Tableau!$G$35-P764)^2+(Tableau!$H$35-Q764)^2)</f>
        <v>204951.88085327944</v>
      </c>
    </row>
    <row r="765" spans="2:31" x14ac:dyDescent="0.25">
      <c r="B765" s="18">
        <v>762</v>
      </c>
      <c r="C765" s="19">
        <f>Tableau!$G$17*COS(B765*PI()/180)+Tableau!$G$16</f>
        <v>23715.724127386977</v>
      </c>
      <c r="D765" s="19">
        <f>Tableau!$G$17*SIN(B765*PI()/180)+Tableau!$H$16</f>
        <v>10845.653031794285</v>
      </c>
      <c r="F765" s="26">
        <v>762</v>
      </c>
      <c r="G765" s="27">
        <f>Tableau!$G$26*COS(F765*PI()/180)+Tableau!$G$25</f>
        <v>-17398.993110829117</v>
      </c>
      <c r="H765" s="27">
        <f>Tableau!$G$26*SIN(F765*PI()/180)+Tableau!$H$25</f>
        <v>12341.957122255999</v>
      </c>
      <c r="J765" s="34">
        <v>762</v>
      </c>
      <c r="K765" s="35">
        <f>Tableau!$G$36*COS(J765*PI()/180)+Tableau!$G$35</f>
        <v>-1284.2758726130232</v>
      </c>
      <c r="L765" s="35">
        <f>Tableau!$G$36*SIN(J765*PI()/180)+Tableau!$H$35</f>
        <v>-11654.346968205715</v>
      </c>
      <c r="N765" s="98">
        <v>761</v>
      </c>
      <c r="O765" s="99">
        <v>380.5</v>
      </c>
      <c r="P765" s="101">
        <f>P764+R764*Tableau!$G$2+((1/2)*T764)*Tableau!$G$2^2</f>
        <v>33007.333009761205</v>
      </c>
      <c r="Q765" s="101">
        <f>Q764+S764*Tableau!$G$2+((1/2)*U764)*Tableau!$G$2^2</f>
        <v>-217482.39050576277</v>
      </c>
      <c r="R765" s="101">
        <f>R764+T764*Tableau!$G$2</f>
        <v>926.08762977831373</v>
      </c>
      <c r="S765" s="101">
        <f>S764+U764*Tableau!$G$2</f>
        <v>-1990.6716277163912</v>
      </c>
      <c r="T765" s="101">
        <f t="shared" si="22"/>
        <v>-3.6071911707777726</v>
      </c>
      <c r="U765" s="101">
        <f t="shared" si="23"/>
        <v>25.545790607955794</v>
      </c>
      <c r="V765" s="101">
        <f>((Tableau!$G$16-P765)/(AC765^2+Tableau!$G$21^2)^(3/2))*Tableau!$G$20</f>
        <v>-0.59331591245192516</v>
      </c>
      <c r="W765" s="101">
        <f>((Tableau!$H$16-Q765)/(AC765^2+Tableau!$G$21^2)^(3/2))*Tableau!$G$20</f>
        <v>10.262336807120199</v>
      </c>
      <c r="X765" s="101">
        <f>((Tableau!$G$25-P765)/(AD765^2+Tableau!$G$30^2)^(3/2))*Tableau!$G$29</f>
        <v>-0.74602956067228021</v>
      </c>
      <c r="Y765" s="101">
        <f>((Tableau!$H$25-Q765)/(AD765^2+Tableau!$G$30^2)^(3/2))*Tableau!$G$29</f>
        <v>3.2016058574092523</v>
      </c>
      <c r="Z765" s="101">
        <f>((Tableau!$G$35-P765)/(AE765^2+Tableau!$G$40^2)^(3/2))*Tableau!$G$39</f>
        <v>-2.2678456976535672</v>
      </c>
      <c r="AA765" s="102">
        <f>((Tableau!$H$35-Q765)/(AE765^2+Tableau!$G$40^2)^(3/2))*Tableau!$G$39</f>
        <v>12.081847943426345</v>
      </c>
      <c r="AC765" s="113">
        <f>SQRT((Tableau!$G$16-P765)^2+(Tableau!$H$16-Q765)^2)</f>
        <v>225358.08560980091</v>
      </c>
      <c r="AD765" s="114">
        <f>SQRT((Tableau!$G$25-P765)^2+(Tableau!$H$25-Q765)^2)</f>
        <v>233576.57276153372</v>
      </c>
      <c r="AE765" s="115">
        <f>SQRT((Tableau!$G$35-P765)^2+(Tableau!$H$35-Q765)^2)</f>
        <v>206018.62980673154</v>
      </c>
    </row>
    <row r="766" spans="2:31" x14ac:dyDescent="0.25">
      <c r="B766" s="20">
        <v>763</v>
      </c>
      <c r="C766" s="21">
        <f>Tableau!$G$17*COS(B766*PI()/180)+Tableau!$G$16</f>
        <v>23656.768508095851</v>
      </c>
      <c r="D766" s="21">
        <f>Tableau!$G$17*SIN(B766*PI()/180)+Tableau!$H$16</f>
        <v>10909.991800312495</v>
      </c>
      <c r="F766" s="28">
        <v>763</v>
      </c>
      <c r="G766" s="29">
        <f>Tableau!$G$26*COS(F766*PI()/180)+Tableau!$G$25</f>
        <v>-17440.262044332907</v>
      </c>
      <c r="H766" s="29">
        <f>Tableau!$G$26*SIN(F766*PI()/180)+Tableau!$H$25</f>
        <v>12386.994260218748</v>
      </c>
      <c r="J766" s="36">
        <v>763</v>
      </c>
      <c r="K766" s="37">
        <f>Tableau!$G$36*COS(J766*PI()/180)+Tableau!$G$35</f>
        <v>-1343.2314919041501</v>
      </c>
      <c r="L766" s="37">
        <f>Tableau!$G$36*SIN(J766*PI()/180)+Tableau!$H$35</f>
        <v>-11590.008199687505</v>
      </c>
      <c r="N766" s="92">
        <v>762</v>
      </c>
      <c r="O766" s="93">
        <v>381</v>
      </c>
      <c r="P766" s="96">
        <f>P765+R765*Tableau!$G$2+((1/2)*T765)*Tableau!$G$2^2</f>
        <v>33469.925925754011</v>
      </c>
      <c r="Q766" s="96">
        <f>Q765+S765*Tableau!$G$2+((1/2)*U765)*Tableau!$G$2^2</f>
        <v>-218474.53309579496</v>
      </c>
      <c r="R766" s="96">
        <f>R765+T765*Tableau!$G$2</f>
        <v>924.28403419292488</v>
      </c>
      <c r="S766" s="96">
        <f>S765+U765*Tableau!$G$2</f>
        <v>-1977.8987324124132</v>
      </c>
      <c r="T766" s="96">
        <f t="shared" si="22"/>
        <v>-3.6089117884845177</v>
      </c>
      <c r="U766" s="96">
        <f t="shared" si="23"/>
        <v>25.297130702690517</v>
      </c>
      <c r="V766" s="96">
        <f>((Tableau!$G$16-P766)/(AC766^2+Tableau!$G$21^2)^(3/2))*Tableau!$G$20</f>
        <v>-0.60618447860412472</v>
      </c>
      <c r="W766" s="96">
        <f>((Tableau!$H$16-Q766)/(AC766^2+Tableau!$G$21^2)^(3/2))*Tableau!$G$20</f>
        <v>10.169488331081308</v>
      </c>
      <c r="X766" s="96">
        <f>((Tableau!$G$25-P766)/(AD766^2+Tableau!$G$30^2)^(3/2))*Tableau!$G$29</f>
        <v>-0.74228848353637711</v>
      </c>
      <c r="Y766" s="96">
        <f>((Tableau!$H$25-Q766)/(AD766^2+Tableau!$G$30^2)^(3/2))*Tableau!$G$29</f>
        <v>3.1717645342140592</v>
      </c>
      <c r="Z766" s="96">
        <f>((Tableau!$G$35-P766)/(AE766^2+Tableau!$G$40^2)^(3/2))*Tableau!$G$39</f>
        <v>-2.2604388263440156</v>
      </c>
      <c r="AA766" s="97">
        <f>((Tableau!$H$35-Q766)/(AE766^2+Tableau!$G$40^2)^(3/2))*Tableau!$G$39</f>
        <v>11.955877837395148</v>
      </c>
      <c r="AC766" s="110">
        <f>SQRT((Tableau!$G$16-P766)^2+(Tableau!$H$16-Q766)^2)</f>
        <v>226375.63586284596</v>
      </c>
      <c r="AD766" s="111">
        <f>SQRT((Tableau!$G$25-P766)^2+(Tableau!$H$25-Q766)^2)</f>
        <v>234647.91763799466</v>
      </c>
      <c r="AE766" s="112">
        <f>SQRT((Tableau!$G$35-P766)^2+(Tableau!$H$35-Q766)^2)</f>
        <v>207079.26216616854</v>
      </c>
    </row>
    <row r="767" spans="2:31" x14ac:dyDescent="0.25">
      <c r="B767" s="18">
        <v>764</v>
      </c>
      <c r="C767" s="19">
        <f>Tableau!$G$17*COS(B767*PI()/180)+Tableau!$G$16</f>
        <v>23596.699001693258</v>
      </c>
      <c r="D767" s="19">
        <f>Tableau!$G$17*SIN(B767*PI()/180)+Tableau!$H$16</f>
        <v>10973.291852294986</v>
      </c>
      <c r="F767" s="26">
        <v>764</v>
      </c>
      <c r="G767" s="27">
        <f>Tableau!$G$26*COS(F767*PI()/180)+Tableau!$G$25</f>
        <v>-17482.310698814719</v>
      </c>
      <c r="H767" s="27">
        <f>Tableau!$G$26*SIN(F767*PI()/180)+Tableau!$H$25</f>
        <v>12431.30429660649</v>
      </c>
      <c r="J767" s="34">
        <v>764</v>
      </c>
      <c r="K767" s="35">
        <f>Tableau!$G$36*COS(J767*PI()/180)+Tableau!$G$35</f>
        <v>-1403.3009983067427</v>
      </c>
      <c r="L767" s="35">
        <f>Tableau!$G$36*SIN(J767*PI()/180)+Tableau!$H$35</f>
        <v>-11526.708147705014</v>
      </c>
      <c r="N767" s="98">
        <v>763</v>
      </c>
      <c r="O767" s="99">
        <v>381.5</v>
      </c>
      <c r="P767" s="101">
        <f>P766+R766*Tableau!$G$2+((1/2)*T766)*Tableau!$G$2^2</f>
        <v>33931.616828876911</v>
      </c>
      <c r="Q767" s="101">
        <f>Q766+S766*Tableau!$G$2+((1/2)*U766)*Tableau!$G$2^2</f>
        <v>-219460.32032066333</v>
      </c>
      <c r="R767" s="101">
        <f>R766+T766*Tableau!$G$2</f>
        <v>922.47957829868267</v>
      </c>
      <c r="S767" s="101">
        <f>S766+U766*Tableau!$G$2</f>
        <v>-1965.2501670610679</v>
      </c>
      <c r="T767" s="101">
        <f t="shared" si="22"/>
        <v>-3.6102983851161543</v>
      </c>
      <c r="U767" s="101">
        <f t="shared" si="23"/>
        <v>25.053390458704691</v>
      </c>
      <c r="V767" s="101">
        <f>((Tableau!$G$16-P767)/(AC767^2+Tableau!$G$21^2)^(3/2))*Tableau!$G$20</f>
        <v>-0.61864521603477673</v>
      </c>
      <c r="W767" s="101">
        <f>((Tableau!$H$16-Q767)/(AC767^2+Tableau!$G$21^2)^(3/2))*Tableau!$G$20</f>
        <v>10.078364781399015</v>
      </c>
      <c r="X767" s="101">
        <f>((Tableau!$G$25-P767)/(AD767^2+Tableau!$G$30^2)^(3/2))*Tableau!$G$29</f>
        <v>-0.73860262639786778</v>
      </c>
      <c r="Y767" s="101">
        <f>((Tableau!$H$25-Q767)/(AD767^2+Tableau!$G$30^2)^(3/2))*Tableau!$G$29</f>
        <v>3.1424979484796811</v>
      </c>
      <c r="Z767" s="101">
        <f>((Tableau!$G$35-P767)/(AE767^2+Tableau!$G$40^2)^(3/2))*Tableau!$G$39</f>
        <v>-2.2530505426835097</v>
      </c>
      <c r="AA767" s="102">
        <f>((Tableau!$H$35-Q767)/(AE767^2+Tableau!$G$40^2)^(3/2))*Tableau!$G$39</f>
        <v>11.832527728825992</v>
      </c>
      <c r="AC767" s="113">
        <f>SQRT((Tableau!$G$16-P767)^2+(Tableau!$H$16-Q767)^2)</f>
        <v>227387.50393881532</v>
      </c>
      <c r="AD767" s="114">
        <f>SQRT((Tableau!$G$25-P767)^2+(Tableau!$H$25-Q767)^2)</f>
        <v>235713.08384440228</v>
      </c>
      <c r="AE767" s="115">
        <f>SQRT((Tableau!$G$35-P767)^2+(Tableau!$H$35-Q767)^2)</f>
        <v>208133.83524679198</v>
      </c>
    </row>
    <row r="768" spans="2:31" x14ac:dyDescent="0.25">
      <c r="B768" s="20">
        <v>765</v>
      </c>
      <c r="C768" s="21">
        <f>Tableau!$G$17*COS(B768*PI()/180)+Tableau!$G$16</f>
        <v>23535.533905932742</v>
      </c>
      <c r="D768" s="21">
        <f>Tableau!$G$17*SIN(B768*PI()/180)+Tableau!$H$16</f>
        <v>11035.533905932733</v>
      </c>
      <c r="F768" s="28">
        <v>765</v>
      </c>
      <c r="G768" s="29">
        <f>Tableau!$G$26*COS(F768*PI()/180)+Tableau!$G$25</f>
        <v>-17525.126265847081</v>
      </c>
      <c r="H768" s="29">
        <f>Tableau!$G$26*SIN(F768*PI()/180)+Tableau!$H$25</f>
        <v>12474.873734152912</v>
      </c>
      <c r="J768" s="36">
        <v>765</v>
      </c>
      <c r="K768" s="37">
        <f>Tableau!$G$36*COS(J768*PI()/180)+Tableau!$G$35</f>
        <v>-1464.466094067257</v>
      </c>
      <c r="L768" s="37">
        <f>Tableau!$G$36*SIN(J768*PI()/180)+Tableau!$H$35</f>
        <v>-11464.466094067267</v>
      </c>
      <c r="N768" s="92">
        <v>764</v>
      </c>
      <c r="O768" s="93">
        <v>382</v>
      </c>
      <c r="P768" s="96">
        <f>P767+R767*Tableau!$G$2+((1/2)*T767)*Tableau!$G$2^2</f>
        <v>34392.405330728106</v>
      </c>
      <c r="Q768" s="96">
        <f>Q767+S767*Tableau!$G$2+((1/2)*U767)*Tableau!$G$2^2</f>
        <v>-220439.81373038652</v>
      </c>
      <c r="R768" s="96">
        <f>R767+T767*Tableau!$G$2</f>
        <v>920.67442910612453</v>
      </c>
      <c r="S768" s="96">
        <f>S767+U767*Tableau!$G$2</f>
        <v>-1952.7234718317156</v>
      </c>
      <c r="T768" s="96">
        <f t="shared" si="22"/>
        <v>-3.6113676296819284</v>
      </c>
      <c r="U768" s="96">
        <f t="shared" si="23"/>
        <v>24.814432389049919</v>
      </c>
      <c r="V768" s="96">
        <f>((Tableau!$G$16-P768)/(AC768^2+Tableau!$G$21^2)^(3/2))*Tableau!$G$20</f>
        <v>-0.63071298922371688</v>
      </c>
      <c r="W768" s="96">
        <f>((Tableau!$H$16-Q768)/(AC768^2+Tableau!$G$21^2)^(3/2))*Tableau!$G$20</f>
        <v>9.9889210995224449</v>
      </c>
      <c r="X768" s="96">
        <f>((Tableau!$G$25-P768)/(AD768^2+Tableau!$G$30^2)^(3/2))*Tableau!$G$29</f>
        <v>-0.73497086220642815</v>
      </c>
      <c r="Y768" s="96">
        <f>((Tableau!$H$25-Q768)/(AD768^2+Tableau!$G$30^2)^(3/2))*Tableau!$G$29</f>
        <v>3.1137903822104001</v>
      </c>
      <c r="Z768" s="96">
        <f>((Tableau!$G$35-P768)/(AE768^2+Tableau!$G$40^2)^(3/2))*Tableau!$G$39</f>
        <v>-2.2456837782517831</v>
      </c>
      <c r="AA768" s="97">
        <f>((Tableau!$H$35-Q768)/(AE768^2+Tableau!$G$40^2)^(3/2))*Tableau!$G$39</f>
        <v>11.711720907317073</v>
      </c>
      <c r="AC768" s="110">
        <f>SQRT((Tableau!$G$16-P768)^2+(Tableau!$H$16-Q768)^2)</f>
        <v>228393.73900054107</v>
      </c>
      <c r="AD768" s="111">
        <f>SQRT((Tableau!$G$25-P768)^2+(Tableau!$H$25-Q768)^2)</f>
        <v>236772.12992613268</v>
      </c>
      <c r="AE768" s="112">
        <f>SQRT((Tableau!$G$35-P768)^2+(Tableau!$H$35-Q768)^2)</f>
        <v>209182.4052431664</v>
      </c>
    </row>
    <row r="769" spans="2:31" x14ac:dyDescent="0.25">
      <c r="B769" s="18">
        <v>766</v>
      </c>
      <c r="C769" s="19">
        <f>Tableau!$G$17*COS(B769*PI()/180)+Tableau!$G$16</f>
        <v>23473.291852294995</v>
      </c>
      <c r="D769" s="19">
        <f>Tableau!$G$17*SIN(B769*PI()/180)+Tableau!$H$16</f>
        <v>11096.699001693247</v>
      </c>
      <c r="F769" s="26">
        <v>766</v>
      </c>
      <c r="G769" s="27">
        <f>Tableau!$G$26*COS(F769*PI()/180)+Tableau!$G$25</f>
        <v>-17568.695703393503</v>
      </c>
      <c r="H769" s="27">
        <f>Tableau!$G$26*SIN(F769*PI()/180)+Tableau!$H$25</f>
        <v>12517.689301185274</v>
      </c>
      <c r="J769" s="34">
        <v>766</v>
      </c>
      <c r="K769" s="35">
        <f>Tableau!$G$36*COS(J769*PI()/180)+Tableau!$G$35</f>
        <v>-1526.7081477050046</v>
      </c>
      <c r="L769" s="35">
        <f>Tableau!$G$36*SIN(J769*PI()/180)+Tableau!$H$35</f>
        <v>-11403.300998306753</v>
      </c>
      <c r="N769" s="98">
        <v>765</v>
      </c>
      <c r="O769" s="99">
        <v>382.5</v>
      </c>
      <c r="P769" s="101">
        <f>P768+R768*Tableau!$G$2+((1/2)*T768)*Tableau!$G$2^2</f>
        <v>34852.291124327458</v>
      </c>
      <c r="Q769" s="101">
        <f>Q768+S768*Tableau!$G$2+((1/2)*U768)*Tableau!$G$2^2</f>
        <v>-221413.07366225374</v>
      </c>
      <c r="R769" s="101">
        <f>R768+T768*Tableau!$G$2</f>
        <v>918.86874529128352</v>
      </c>
      <c r="S769" s="101">
        <f>S768+U768*Tableau!$G$2</f>
        <v>-1940.3162556371906</v>
      </c>
      <c r="T769" s="101">
        <f t="shared" si="22"/>
        <v>-3.6121353757944865</v>
      </c>
      <c r="U769" s="101">
        <f t="shared" si="23"/>
        <v>24.580123990749218</v>
      </c>
      <c r="V769" s="101">
        <f>((Tableau!$G$16-P769)/(AC769^2+Tableau!$G$21^2)^(3/2))*Tableau!$G$20</f>
        <v>-0.64240203295644094</v>
      </c>
      <c r="W769" s="101">
        <f>((Tableau!$H$16-Q769)/(AC769^2+Tableau!$G$21^2)^(3/2))*Tableau!$G$20</f>
        <v>9.9011137514043472</v>
      </c>
      <c r="X769" s="101">
        <f>((Tableau!$G$25-P769)/(AD769^2+Tableau!$G$30^2)^(3/2))*Tableau!$G$29</f>
        <v>-0.73139209515041792</v>
      </c>
      <c r="Y769" s="101">
        <f>((Tableau!$H$25-Q769)/(AD769^2+Tableau!$G$30^2)^(3/2))*Tableau!$G$29</f>
        <v>3.085626677059043</v>
      </c>
      <c r="Z769" s="101">
        <f>((Tableau!$G$35-P769)/(AE769^2+Tableau!$G$40^2)^(3/2))*Tableau!$G$39</f>
        <v>-2.2383412476876279</v>
      </c>
      <c r="AA769" s="102">
        <f>((Tableau!$H$35-Q769)/(AE769^2+Tableau!$G$40^2)^(3/2))*Tableau!$G$39</f>
        <v>11.593383562285828</v>
      </c>
      <c r="AC769" s="113">
        <f>SQRT((Tableau!$G$16-P769)^2+(Tableau!$H$16-Q769)^2)</f>
        <v>229394.38930615148</v>
      </c>
      <c r="AD769" s="114">
        <f>SQRT((Tableau!$G$25-P769)^2+(Tableau!$H$25-Q769)^2)</f>
        <v>237825.11327317738</v>
      </c>
      <c r="AE769" s="115">
        <f>SQRT((Tableau!$G$35-P769)^2+(Tableau!$H$35-Q769)^2)</f>
        <v>210225.02726021261</v>
      </c>
    </row>
    <row r="770" spans="2:31" x14ac:dyDescent="0.25">
      <c r="B770" s="20">
        <v>767</v>
      </c>
      <c r="C770" s="21">
        <f>Tableau!$G$17*COS(B770*PI()/180)+Tableau!$G$16</f>
        <v>23409.991800312491</v>
      </c>
      <c r="D770" s="21">
        <f>Tableau!$G$17*SIN(B770*PI()/180)+Tableau!$H$16</f>
        <v>11156.768508095853</v>
      </c>
      <c r="F770" s="28">
        <v>767</v>
      </c>
      <c r="G770" s="29">
        <f>Tableau!$G$26*COS(F770*PI()/180)+Tableau!$G$25</f>
        <v>-17613.005739781256</v>
      </c>
      <c r="H770" s="29">
        <f>Tableau!$G$26*SIN(F770*PI()/180)+Tableau!$H$25</f>
        <v>12559.737955667097</v>
      </c>
      <c r="J770" s="36">
        <v>767</v>
      </c>
      <c r="K770" s="37">
        <f>Tableau!$G$36*COS(J770*PI()/180)+Tableau!$G$35</f>
        <v>-1590.0081996875078</v>
      </c>
      <c r="L770" s="37">
        <f>Tableau!$G$36*SIN(J770*PI()/180)+Tableau!$H$35</f>
        <v>-11343.231491904147</v>
      </c>
      <c r="N770" s="92">
        <v>766</v>
      </c>
      <c r="O770" s="93">
        <v>383</v>
      </c>
      <c r="P770" s="96">
        <f>P769+R769*Tableau!$G$2+((1/2)*T769)*Tableau!$G$2^2</f>
        <v>35311.273980051126</v>
      </c>
      <c r="Q770" s="96">
        <f>Q769+S769*Tableau!$G$2+((1/2)*U769)*Tableau!$G$2^2</f>
        <v>-222380.1592745735</v>
      </c>
      <c r="R770" s="96">
        <f>R769+T769*Tableau!$G$2</f>
        <v>917.06267760338631</v>
      </c>
      <c r="S770" s="96">
        <f>S769+U769*Tableau!$G$2</f>
        <v>-1928.026193641816</v>
      </c>
      <c r="T770" s="96">
        <f t="shared" si="22"/>
        <v>-3.6126167058175622</v>
      </c>
      <c r="U770" s="96">
        <f t="shared" si="23"/>
        <v>24.350337523811689</v>
      </c>
      <c r="V770" s="96">
        <f>((Tableau!$G$16-P770)/(AC770^2+Tableau!$G$21^2)^(3/2))*Tableau!$G$20</f>
        <v>-0.65372598329519971</v>
      </c>
      <c r="W770" s="96">
        <f>((Tableau!$H$16-Q770)/(AC770^2+Tableau!$G$21^2)^(3/2))*Tableau!$G$20</f>
        <v>9.8149006645445631</v>
      </c>
      <c r="X770" s="96">
        <f>((Tableau!$G$25-P770)/(AD770^2+Tableau!$G$30^2)^(3/2))*Tableau!$G$29</f>
        <v>-0.72786525957543702</v>
      </c>
      <c r="Y770" s="96">
        <f>((Tableau!$H$25-Q770)/(AD770^2+Tableau!$G$30^2)^(3/2))*Tableau!$G$29</f>
        <v>3.0579922098986967</v>
      </c>
      <c r="Z770" s="96">
        <f>((Tableau!$G$35-P770)/(AE770^2+Tableau!$G$40^2)^(3/2))*Tableau!$G$39</f>
        <v>-2.2310254629469255</v>
      </c>
      <c r="AA770" s="97">
        <f>((Tableau!$H$35-Q770)/(AE770^2+Tableau!$G$40^2)^(3/2))*Tableau!$G$39</f>
        <v>11.477444649368429</v>
      </c>
      <c r="AC770" s="110">
        <f>SQRT((Tableau!$G$16-P770)^2+(Tableau!$H$16-Q770)^2)</f>
        <v>230389.5022326223</v>
      </c>
      <c r="AD770" s="111">
        <f>SQRT((Tableau!$G$25-P770)^2+(Tableau!$H$25-Q770)^2)</f>
        <v>238872.09015239184</v>
      </c>
      <c r="AE770" s="112">
        <f>SQRT((Tableau!$G$35-P770)^2+(Tableau!$H$35-Q770)^2)</f>
        <v>211261.7553430867</v>
      </c>
    </row>
    <row r="771" spans="2:31" x14ac:dyDescent="0.25">
      <c r="B771" s="18">
        <v>768</v>
      </c>
      <c r="C771" s="19">
        <f>Tableau!$G$17*COS(B771*PI()/180)+Tableau!$G$16</f>
        <v>23345.653031794296</v>
      </c>
      <c r="D771" s="19">
        <f>Tableau!$G$17*SIN(B771*PI()/180)+Tableau!$H$16</f>
        <v>11215.724127386968</v>
      </c>
      <c r="F771" s="26">
        <v>768</v>
      </c>
      <c r="G771" s="27">
        <f>Tableau!$G$26*COS(F771*PI()/180)+Tableau!$G$25</f>
        <v>-17658.042877743992</v>
      </c>
      <c r="H771" s="27">
        <f>Tableau!$G$26*SIN(F771*PI()/180)+Tableau!$H$25</f>
        <v>12601.006889170876</v>
      </c>
      <c r="J771" s="34">
        <v>768</v>
      </c>
      <c r="K771" s="35">
        <f>Tableau!$G$36*COS(J771*PI()/180)+Tableau!$G$35</f>
        <v>-1654.3469682057048</v>
      </c>
      <c r="L771" s="35">
        <f>Tableau!$G$36*SIN(J771*PI()/180)+Tableau!$H$35</f>
        <v>-11284.275872613032</v>
      </c>
      <c r="N771" s="98">
        <v>767</v>
      </c>
      <c r="O771" s="99">
        <v>383.5</v>
      </c>
      <c r="P771" s="101">
        <f>P770+R770*Tableau!$G$2+((1/2)*T770)*Tableau!$G$2^2</f>
        <v>35769.353741764593</v>
      </c>
      <c r="Q771" s="101">
        <f>Q770+S770*Tableau!$G$2+((1/2)*U770)*Tableau!$G$2^2</f>
        <v>-223341.12857920394</v>
      </c>
      <c r="R771" s="101">
        <f>R770+T770*Tableau!$G$2</f>
        <v>915.25636925047752</v>
      </c>
      <c r="S771" s="101">
        <f>S770+U770*Tableau!$G$2</f>
        <v>-1915.8510248799103</v>
      </c>
      <c r="T771" s="101">
        <f t="shared" si="22"/>
        <v>-3.6128259723404965</v>
      </c>
      <c r="U771" s="101">
        <f t="shared" si="23"/>
        <v>24.1249498018067</v>
      </c>
      <c r="V771" s="101">
        <f>((Tableau!$G$16-P771)/(AC771^2+Tableau!$G$21^2)^(3/2))*Tableau!$G$20</f>
        <v>-0.66469790681048413</v>
      </c>
      <c r="W771" s="101">
        <f>((Tableau!$H$16-Q771)/(AC771^2+Tableau!$G$21^2)^(3/2))*Tableau!$G$20</f>
        <v>9.7302411680947412</v>
      </c>
      <c r="X771" s="101">
        <f>((Tableau!$G$25-P771)/(AD771^2+Tableau!$G$30^2)^(3/2))*Tableau!$G$29</f>
        <v>-0.72438931894808756</v>
      </c>
      <c r="Y771" s="101">
        <f>((Tableau!$H$25-Q771)/(AD771^2+Tableau!$G$30^2)^(3/2))*Tableau!$G$29</f>
        <v>3.030872869654297</v>
      </c>
      <c r="Z771" s="101">
        <f>((Tableau!$G$35-P771)/(AE771^2+Tableau!$G$40^2)^(3/2))*Tableau!$G$39</f>
        <v>-2.2237387465819247</v>
      </c>
      <c r="AA771" s="102">
        <f>((Tableau!$H$35-Q771)/(AE771^2+Tableau!$G$40^2)^(3/2))*Tableau!$G$39</f>
        <v>11.363835764057661</v>
      </c>
      <c r="AC771" s="113">
        <f>SQRT((Tableau!$G$16-P771)^2+(Tableau!$H$16-Q771)^2)</f>
        <v>231379.12429852757</v>
      </c>
      <c r="AD771" s="114">
        <f>SQRT((Tableau!$G$25-P771)^2+(Tableau!$H$25-Q771)^2)</f>
        <v>239913.11573857453</v>
      </c>
      <c r="AE771" s="115">
        <f>SQRT((Tableau!$G$35-P771)^2+(Tableau!$H$35-Q771)^2)</f>
        <v>212292.64250599343</v>
      </c>
    </row>
    <row r="772" spans="2:31" x14ac:dyDescent="0.25">
      <c r="B772" s="20">
        <v>769</v>
      </c>
      <c r="C772" s="21">
        <f>Tableau!$G$17*COS(B772*PI()/180)+Tableau!$G$16</f>
        <v>23280.295144952539</v>
      </c>
      <c r="D772" s="21">
        <f>Tableau!$G$17*SIN(B772*PI()/180)+Tableau!$H$16</f>
        <v>11273.547901113858</v>
      </c>
      <c r="F772" s="28">
        <v>769</v>
      </c>
      <c r="G772" s="29">
        <f>Tableau!$G$26*COS(F772*PI()/180)+Tableau!$G$25</f>
        <v>-17703.793398533224</v>
      </c>
      <c r="H772" s="29">
        <f>Tableau!$G$26*SIN(F772*PI()/180)+Tableau!$H$25</f>
        <v>12641.4835307797</v>
      </c>
      <c r="J772" s="36">
        <v>769</v>
      </c>
      <c r="K772" s="37">
        <f>Tableau!$G$36*COS(J772*PI()/180)+Tableau!$G$35</f>
        <v>-1719.7048550474619</v>
      </c>
      <c r="L772" s="37">
        <f>Tableau!$G$36*SIN(J772*PI()/180)+Tableau!$H$35</f>
        <v>-11226.452098886142</v>
      </c>
      <c r="N772" s="92">
        <v>768</v>
      </c>
      <c r="O772" s="93">
        <v>384</v>
      </c>
      <c r="P772" s="96">
        <f>P771+R771*Tableau!$G$2+((1/2)*T771)*Tableau!$G$2^2</f>
        <v>36226.530323143292</v>
      </c>
      <c r="Q772" s="96">
        <f>Q771+S771*Tableau!$G$2+((1/2)*U771)*Tableau!$G$2^2</f>
        <v>-224296.03847291868</v>
      </c>
      <c r="R772" s="96">
        <f>R771+T771*Tableau!$G$2</f>
        <v>913.44995626430727</v>
      </c>
      <c r="S772" s="96">
        <f>S771+U771*Tableau!$G$2</f>
        <v>-1903.7885499790068</v>
      </c>
      <c r="T772" s="96">
        <f t="shared" ref="T772:T835" si="24">V772+X772+Z772</f>
        <v>-3.612776837159537</v>
      </c>
      <c r="U772" s="96">
        <f t="shared" ref="U772:U835" si="25">W772+Y772+AA772</f>
        <v>23.903841993300553</v>
      </c>
      <c r="V772" s="96">
        <f>((Tableau!$G$16-P772)/(AC772^2+Tableau!$G$21^2)^(3/2))*Tableau!$G$20</f>
        <v>-0.67533032818280947</v>
      </c>
      <c r="W772" s="96">
        <f>((Tableau!$H$16-Q772)/(AC772^2+Tableau!$G$21^2)^(3/2))*Tableau!$G$20</f>
        <v>9.6470959358530113</v>
      </c>
      <c r="X772" s="96">
        <f>((Tableau!$G$25-P772)/(AD772^2+Tableau!$G$30^2)^(3/2))*Tableau!$G$29</f>
        <v>-0.72096326486265028</v>
      </c>
      <c r="Y772" s="96">
        <f>((Tableau!$H$25-Q772)/(AD772^2+Tableau!$G$30^2)^(3/2))*Tableau!$G$29</f>
        <v>3.0042550353190154</v>
      </c>
      <c r="Z772" s="96">
        <f>((Tableau!$G$35-P772)/(AE772^2+Tableau!$G$40^2)^(3/2))*Tableau!$G$39</f>
        <v>-2.2164832441140772</v>
      </c>
      <c r="AA772" s="97">
        <f>((Tableau!$H$35-Q772)/(AE772^2+Tableau!$G$40^2)^(3/2))*Tableau!$G$39</f>
        <v>11.252491022128527</v>
      </c>
      <c r="AC772" s="110">
        <f>SQRT((Tableau!$G$16-P772)^2+(Tableau!$H$16-Q772)^2)</f>
        <v>232363.30118602351</v>
      </c>
      <c r="AD772" s="111">
        <f>SQRT((Tableau!$G$25-P772)^2+(Tableau!$H$25-Q772)^2)</f>
        <v>240948.24414442771</v>
      </c>
      <c r="AE772" s="112">
        <f>SQRT((Tableau!$G$35-P772)^2+(Tableau!$H$35-Q772)^2)</f>
        <v>213317.74075998113</v>
      </c>
    </row>
    <row r="773" spans="2:31" x14ac:dyDescent="0.25">
      <c r="B773" s="18">
        <v>770</v>
      </c>
      <c r="C773" s="19">
        <f>Tableau!$G$17*COS(B773*PI()/180)+Tableau!$G$16</f>
        <v>23213.938048432698</v>
      </c>
      <c r="D773" s="19">
        <f>Tableau!$G$17*SIN(B773*PI()/180)+Tableau!$H$16</f>
        <v>11330.222215594891</v>
      </c>
      <c r="F773" s="26">
        <v>770</v>
      </c>
      <c r="G773" s="27">
        <f>Tableau!$G$26*COS(F773*PI()/180)+Tableau!$G$25</f>
        <v>-17750.243366097115</v>
      </c>
      <c r="H773" s="27">
        <f>Tableau!$G$26*SIN(F773*PI()/180)+Tableau!$H$25</f>
        <v>12681.155550916425</v>
      </c>
      <c r="J773" s="34">
        <v>770</v>
      </c>
      <c r="K773" s="35">
        <f>Tableau!$G$36*COS(J773*PI()/180)+Tableau!$G$35</f>
        <v>-1786.0619515673043</v>
      </c>
      <c r="L773" s="35">
        <f>Tableau!$G$36*SIN(J773*PI()/180)+Tableau!$H$35</f>
        <v>-11169.777784405109</v>
      </c>
      <c r="N773" s="98">
        <v>769</v>
      </c>
      <c r="O773" s="99">
        <v>384.5</v>
      </c>
      <c r="P773" s="101">
        <f>P772+R772*Tableau!$G$2+((1/2)*T772)*Tableau!$G$2^2</f>
        <v>36682.803704170801</v>
      </c>
      <c r="Q773" s="101">
        <f>Q772+S772*Tableau!$G$2+((1/2)*U772)*Tableau!$G$2^2</f>
        <v>-225244.94476765901</v>
      </c>
      <c r="R773" s="101">
        <f>R772+T772*Tableau!$G$2</f>
        <v>911.64356784572749</v>
      </c>
      <c r="S773" s="101">
        <f>S772+U772*Tableau!$G$2</f>
        <v>-1891.8366289823566</v>
      </c>
      <c r="T773" s="101">
        <f t="shared" si="24"/>
        <v>-3.6124823079329391</v>
      </c>
      <c r="U773" s="101">
        <f t="shared" si="25"/>
        <v>23.68689943350892</v>
      </c>
      <c r="V773" s="101">
        <f>((Tableau!$G$16-P773)/(AC773^2+Tableau!$G$21^2)^(3/2))*Tableau!$G$20</f>
        <v>-0.68563525627703037</v>
      </c>
      <c r="W773" s="101">
        <f>((Tableau!$H$16-Q773)/(AC773^2+Tableau!$G$21^2)^(3/2))*Tableau!$G$20</f>
        <v>9.565426931988755</v>
      </c>
      <c r="X773" s="101">
        <f>((Tableau!$G$25-P773)/(AD773^2+Tableau!$G$30^2)^(3/2))*Tableau!$G$29</f>
        <v>-0.71758611608859457</v>
      </c>
      <c r="Y773" s="101">
        <f>((Tableau!$H$25-Q773)/(AD773^2+Tableau!$G$30^2)^(3/2))*Tableau!$G$29</f>
        <v>2.9781255550857515</v>
      </c>
      <c r="Z773" s="101">
        <f>((Tableau!$G$35-P773)/(AE773^2+Tableau!$G$40^2)^(3/2))*Tableau!$G$39</f>
        <v>-2.2092609355673143</v>
      </c>
      <c r="AA773" s="102">
        <f>((Tableau!$H$35-Q773)/(AE773^2+Tableau!$G$40^2)^(3/2))*Tableau!$G$39</f>
        <v>11.143346946434411</v>
      </c>
      <c r="AC773" s="113">
        <f>SQRT((Tableau!$G$16-P773)^2+(Tableau!$H$16-Q773)^2)</f>
        <v>233342.07776209703</v>
      </c>
      <c r="AD773" s="114">
        <f>SQRT((Tableau!$G$25-P773)^2+(Tableau!$H$25-Q773)^2)</f>
        <v>241977.52844945021</v>
      </c>
      <c r="AE773" s="115">
        <f>SQRT((Tableau!$G$35-P773)^2+(Tableau!$H$35-Q773)^2)</f>
        <v>214337.10113976165</v>
      </c>
    </row>
    <row r="774" spans="2:31" x14ac:dyDescent="0.25">
      <c r="B774" s="20">
        <v>771</v>
      </c>
      <c r="C774" s="21">
        <f>Tableau!$G$17*COS(B774*PI()/180)+Tableau!$G$16</f>
        <v>23146.601955249189</v>
      </c>
      <c r="D774" s="21">
        <f>Tableau!$G$17*SIN(B774*PI()/180)+Tableau!$H$16</f>
        <v>11385.729807284852</v>
      </c>
      <c r="F774" s="28">
        <v>771</v>
      </c>
      <c r="G774" s="29">
        <f>Tableau!$G$26*COS(F774*PI()/180)+Tableau!$G$25</f>
        <v>-17797.378631325566</v>
      </c>
      <c r="H774" s="29">
        <f>Tableau!$G$26*SIN(F774*PI()/180)+Tableau!$H$25</f>
        <v>12720.010865099397</v>
      </c>
      <c r="J774" s="36">
        <v>771</v>
      </c>
      <c r="K774" s="37">
        <f>Tableau!$G$36*COS(J774*PI()/180)+Tableau!$G$35</f>
        <v>-1853.3980447508097</v>
      </c>
      <c r="L774" s="37">
        <f>Tableau!$G$36*SIN(J774*PI()/180)+Tableau!$H$35</f>
        <v>-11114.270192715148</v>
      </c>
      <c r="N774" s="92">
        <v>770</v>
      </c>
      <c r="O774" s="93">
        <v>385</v>
      </c>
      <c r="P774" s="96">
        <f>P773+R773*Tableau!$G$2+((1/2)*T773)*Tableau!$G$2^2</f>
        <v>37138.173927805175</v>
      </c>
      <c r="Q774" s="96">
        <f>Q773+S773*Tableau!$G$2+((1/2)*U773)*Tableau!$G$2^2</f>
        <v>-226187.90221972097</v>
      </c>
      <c r="R774" s="96">
        <f>R773+T773*Tableau!$G$2</f>
        <v>909.83732669176106</v>
      </c>
      <c r="S774" s="96">
        <f>S773+U773*Tableau!$G$2</f>
        <v>-1879.9931792656021</v>
      </c>
      <c r="T774" s="96">
        <f t="shared" si="24"/>
        <v>-3.6119547726642081</v>
      </c>
      <c r="U774" s="96">
        <f t="shared" si="25"/>
        <v>23.474011445559771</v>
      </c>
      <c r="V774" s="96">
        <f>((Tableau!$G$16-P774)/(AC774^2+Tableau!$G$21^2)^(3/2))*Tableau!$G$20</f>
        <v>-0.69562420878429143</v>
      </c>
      <c r="W774" s="96">
        <f>((Tableau!$H$16-Q774)/(AC774^2+Tableau!$G$21^2)^(3/2))*Tableau!$G$20</f>
        <v>9.4851973593474082</v>
      </c>
      <c r="X774" s="96">
        <f>((Tableau!$G$25-P774)/(AD774^2+Tableau!$G$30^2)^(3/2))*Tableau!$G$29</f>
        <v>-0.71425691765701749</v>
      </c>
      <c r="Y774" s="96">
        <f>((Tableau!$H$25-Q774)/(AD774^2+Tableau!$G$30^2)^(3/2))*Tableau!$G$29</f>
        <v>2.9524717265288896</v>
      </c>
      <c r="Z774" s="96">
        <f>((Tableau!$G$35-P774)/(AE774^2+Tableau!$G$40^2)^(3/2))*Tableau!$G$39</f>
        <v>-2.2020736462228991</v>
      </c>
      <c r="AA774" s="97">
        <f>((Tableau!$H$35-Q774)/(AE774^2+Tableau!$G$40^2)^(3/2))*Tableau!$G$39</f>
        <v>11.036342359683474</v>
      </c>
      <c r="AC774" s="110">
        <f>SQRT((Tableau!$G$16-P774)^2+(Tableau!$H$16-Q774)^2)</f>
        <v>234315.49809910904</v>
      </c>
      <c r="AD774" s="111">
        <f>SQRT((Tableau!$G$25-P774)^2+(Tableau!$H$25-Q774)^2)</f>
        <v>243001.02072780803</v>
      </c>
      <c r="AE774" s="112">
        <f>SQRT((Tableau!$G$35-P774)^2+(Tableau!$H$35-Q774)^2)</f>
        <v>215350.77372959768</v>
      </c>
    </row>
    <row r="775" spans="2:31" x14ac:dyDescent="0.25">
      <c r="B775" s="18">
        <v>772</v>
      </c>
      <c r="C775" s="19">
        <f>Tableau!$G$17*COS(B775*PI()/180)+Tableau!$G$16</f>
        <v>23078.307376628291</v>
      </c>
      <c r="D775" s="19">
        <f>Tableau!$G$17*SIN(B775*PI()/180)+Tableau!$H$16</f>
        <v>11440.053768033609</v>
      </c>
      <c r="F775" s="26">
        <v>772</v>
      </c>
      <c r="G775" s="27">
        <f>Tableau!$G$26*COS(F775*PI()/180)+Tableau!$G$25</f>
        <v>-17845.184836360197</v>
      </c>
      <c r="H775" s="27">
        <f>Tableau!$G$26*SIN(F775*PI()/180)+Tableau!$H$25</f>
        <v>12758.037637623527</v>
      </c>
      <c r="J775" s="34">
        <v>772</v>
      </c>
      <c r="K775" s="35">
        <f>Tableau!$G$36*COS(J775*PI()/180)+Tableau!$G$35</f>
        <v>-1921.6926233717081</v>
      </c>
      <c r="L775" s="35">
        <f>Tableau!$G$36*SIN(J775*PI()/180)+Tableau!$H$35</f>
        <v>-11059.946231966391</v>
      </c>
      <c r="N775" s="98">
        <v>771</v>
      </c>
      <c r="O775" s="99">
        <v>385.5</v>
      </c>
      <c r="P775" s="101">
        <f>P774+R774*Tableau!$G$2+((1/2)*T774)*Tableau!$G$2^2</f>
        <v>37592.641096804473</v>
      </c>
      <c r="Q775" s="101">
        <f>Q774+S774*Tableau!$G$2+((1/2)*U774)*Tableau!$G$2^2</f>
        <v>-227124.96455792306</v>
      </c>
      <c r="R775" s="101">
        <f>R774+T774*Tableau!$G$2</f>
        <v>908.03134930542899</v>
      </c>
      <c r="S775" s="101">
        <f>S774+U774*Tableau!$G$2</f>
        <v>-1868.2561735428221</v>
      </c>
      <c r="T775" s="101">
        <f t="shared" si="24"/>
        <v>-3.6112060321567636</v>
      </c>
      <c r="U775" s="101">
        <f t="shared" si="25"/>
        <v>23.265071170803687</v>
      </c>
      <c r="V775" s="101">
        <f>((Tableau!$G$16-P775)/(AC775^2+Tableau!$G$21^2)^(3/2))*Tableau!$G$20</f>
        <v>-0.70530823552014055</v>
      </c>
      <c r="W775" s="101">
        <f>((Tableau!$H$16-Q775)/(AC775^2+Tableau!$G$21^2)^(3/2))*Tableau!$G$20</f>
        <v>9.40637161019459</v>
      </c>
      <c r="X775" s="101">
        <f>((Tableau!$G$25-P775)/(AD775^2+Tableau!$G$30^2)^(3/2))*Tableau!$G$29</f>
        <v>-0.71097473998405558</v>
      </c>
      <c r="Y775" s="101">
        <f>((Tableau!$H$25-Q775)/(AD775^2+Tableau!$G$30^2)^(3/2))*Tableau!$G$29</f>
        <v>2.9272812777751209</v>
      </c>
      <c r="Z775" s="101">
        <f>((Tableau!$G$35-P775)/(AE775^2+Tableau!$G$40^2)^(3/2))*Tableau!$G$39</f>
        <v>-2.1949230566525677</v>
      </c>
      <c r="AA775" s="102">
        <f>((Tableau!$H$35-Q775)/(AE775^2+Tableau!$G$40^2)^(3/2))*Tableau!$G$39</f>
        <v>10.931418282833974</v>
      </c>
      <c r="AC775" s="113">
        <f>SQRT((Tableau!$G$16-P775)^2+(Tableau!$H$16-Q775)^2)</f>
        <v>235283.60549466175</v>
      </c>
      <c r="AD775" s="114">
        <f>SQRT((Tableau!$G$25-P775)^2+(Tableau!$H$25-Q775)^2)</f>
        <v>244018.77207522703</v>
      </c>
      <c r="AE775" s="115">
        <f>SQRT((Tableau!$G$35-P775)^2+(Tableau!$H$35-Q775)^2)</f>
        <v>216358.8076882966</v>
      </c>
    </row>
    <row r="776" spans="2:31" x14ac:dyDescent="0.25">
      <c r="B776" s="20">
        <v>773</v>
      </c>
      <c r="C776" s="21">
        <f>Tableau!$G$17*COS(B776*PI()/180)+Tableau!$G$16</f>
        <v>23009.075115760246</v>
      </c>
      <c r="D776" s="21">
        <f>Tableau!$G$17*SIN(B776*PI()/180)+Tableau!$H$16</f>
        <v>11493.177550236462</v>
      </c>
      <c r="F776" s="28">
        <v>773</v>
      </c>
      <c r="G776" s="29">
        <f>Tableau!$G$26*COS(F776*PI()/180)+Tableau!$G$25</f>
        <v>-17893.647418967827</v>
      </c>
      <c r="H776" s="29">
        <f>Tableau!$G$26*SIN(F776*PI()/180)+Tableau!$H$25</f>
        <v>12795.224285165523</v>
      </c>
      <c r="J776" s="36">
        <v>773</v>
      </c>
      <c r="K776" s="37">
        <f>Tableau!$G$36*COS(J776*PI()/180)+Tableau!$G$35</f>
        <v>-1990.9248842397537</v>
      </c>
      <c r="L776" s="37">
        <f>Tableau!$G$36*SIN(J776*PI()/180)+Tableau!$H$35</f>
        <v>-11006.822449763538</v>
      </c>
      <c r="N776" s="92">
        <v>772</v>
      </c>
      <c r="O776" s="93">
        <v>386</v>
      </c>
      <c r="P776" s="96">
        <f>P775+R775*Tableau!$G$2+((1/2)*T775)*Tableau!$G$2^2</f>
        <v>38046.205370703166</v>
      </c>
      <c r="Q776" s="96">
        <f>Q775+S775*Tableau!$G$2+((1/2)*U775)*Tableau!$G$2^2</f>
        <v>-228056.18451079811</v>
      </c>
      <c r="R776" s="96">
        <f>R775+T775*Tableau!$G$2</f>
        <v>906.22574628935058</v>
      </c>
      <c r="S776" s="96">
        <f>S775+U775*Tableau!$G$2</f>
        <v>-1856.6236379574202</v>
      </c>
      <c r="T776" s="96">
        <f t="shared" si="24"/>
        <v>-3.6102473305726566</v>
      </c>
      <c r="U776" s="96">
        <f t="shared" si="25"/>
        <v>23.059975407643684</v>
      </c>
      <c r="V776" s="96">
        <f>((Tableau!$G$16-P776)/(AC776^2+Tableau!$G$21^2)^(3/2))*Tableau!$G$20</f>
        <v>-0.71469794046121826</v>
      </c>
      <c r="W776" s="96">
        <f>((Tableau!$H$16-Q776)/(AC776^2+Tableau!$G$21^2)^(3/2))*Tableau!$G$20</f>
        <v>9.3289152192669711</v>
      </c>
      <c r="X776" s="96">
        <f>((Tableau!$G$25-P776)/(AD776^2+Tableau!$G$30^2)^(3/2))*Tableau!$G$29</f>
        <v>-0.7077386780295678</v>
      </c>
      <c r="Y776" s="96">
        <f>((Tableau!$H$25-Q776)/(AD776^2+Tableau!$G$30^2)^(3/2))*Tableau!$G$29</f>
        <v>2.9025423496067222</v>
      </c>
      <c r="Z776" s="96">
        <f>((Tableau!$G$35-P776)/(AE776^2+Tableau!$G$40^2)^(3/2))*Tableau!$G$39</f>
        <v>-2.1878107120818706</v>
      </c>
      <c r="AA776" s="97">
        <f>((Tableau!$H$35-Q776)/(AE776^2+Tableau!$G$40^2)^(3/2))*Tableau!$G$39</f>
        <v>10.828517838769988</v>
      </c>
      <c r="AC776" s="110">
        <f>SQRT((Tableau!$G$16-P776)^2+(Tableau!$H$16-Q776)^2)</f>
        <v>236246.4424908167</v>
      </c>
      <c r="AD776" s="111">
        <f>SQRT((Tableau!$G$25-P776)^2+(Tableau!$H$25-Q776)^2)</f>
        <v>245030.83263495026</v>
      </c>
      <c r="AE776" s="112">
        <f>SQRT((Tableau!$G$35-P776)^2+(Tableau!$H$35-Q776)^2)</f>
        <v>217361.2512733491</v>
      </c>
    </row>
    <row r="777" spans="2:31" x14ac:dyDescent="0.25">
      <c r="B777" s="18">
        <v>774</v>
      </c>
      <c r="C777" s="19">
        <f>Tableau!$G$17*COS(B777*PI()/180)+Tableau!$G$16</f>
        <v>22938.926261462362</v>
      </c>
      <c r="D777" s="19">
        <f>Tableau!$G$17*SIN(B777*PI()/180)+Tableau!$H$16</f>
        <v>11545.084971874741</v>
      </c>
      <c r="F777" s="26">
        <v>774</v>
      </c>
      <c r="G777" s="27">
        <f>Tableau!$G$26*COS(F777*PI()/180)+Tableau!$G$25</f>
        <v>-17942.751616976348</v>
      </c>
      <c r="H777" s="27">
        <f>Tableau!$G$26*SIN(F777*PI()/180)+Tableau!$H$25</f>
        <v>12831.559480312319</v>
      </c>
      <c r="J777" s="34">
        <v>774</v>
      </c>
      <c r="K777" s="35">
        <f>Tableau!$G$36*COS(J777*PI()/180)+Tableau!$G$35</f>
        <v>-2061.0737385376392</v>
      </c>
      <c r="L777" s="35">
        <f>Tableau!$G$36*SIN(J777*PI()/180)+Tableau!$H$35</f>
        <v>-10954.915028125259</v>
      </c>
      <c r="N777" s="98">
        <v>773</v>
      </c>
      <c r="O777" s="99">
        <v>386.5</v>
      </c>
      <c r="P777" s="101">
        <f>P776+R776*Tableau!$G$2+((1/2)*T776)*Tableau!$G$2^2</f>
        <v>38498.866962931519</v>
      </c>
      <c r="Q777" s="101">
        <f>Q776+S776*Tableau!$G$2+((1/2)*U776)*Tableau!$G$2^2</f>
        <v>-228981.61383285088</v>
      </c>
      <c r="R777" s="101">
        <f>R776+T776*Tableau!$G$2</f>
        <v>904.42062262406421</v>
      </c>
      <c r="S777" s="101">
        <f>S776+U776*Tableau!$G$2</f>
        <v>-1845.0936502535983</v>
      </c>
      <c r="T777" s="101">
        <f t="shared" si="24"/>
        <v>-3.6090893842186182</v>
      </c>
      <c r="U777" s="101">
        <f t="shared" si="25"/>
        <v>22.858624458394097</v>
      </c>
      <c r="V777" s="101">
        <f>((Tableau!$G$16-P777)/(AC777^2+Tableau!$G$21^2)^(3/2))*Tableau!$G$20</f>
        <v>-0.72380350259742221</v>
      </c>
      <c r="W777" s="101">
        <f>((Tableau!$H$16-Q777)/(AC777^2+Tableau!$G$21^2)^(3/2))*Tableau!$G$20</f>
        <v>9.2527948190067821</v>
      </c>
      <c r="X777" s="101">
        <f>((Tableau!$G$25-P777)/(AD777^2+Tableau!$G$30^2)^(3/2))*Tableau!$G$29</f>
        <v>-0.70454785048936353</v>
      </c>
      <c r="Y777" s="101">
        <f>((Tableau!$H$25-Q777)/(AD777^2+Tableau!$G$30^2)^(3/2))*Tableau!$G$29</f>
        <v>2.8782434784438879</v>
      </c>
      <c r="Z777" s="101">
        <f>((Tableau!$G$35-P777)/(AE777^2+Tableau!$G$40^2)^(3/2))*Tableau!$G$39</f>
        <v>-2.1807380311318325</v>
      </c>
      <c r="AA777" s="102">
        <f>((Tableau!$H$35-Q777)/(AE777^2+Tableau!$G$40^2)^(3/2))*Tableau!$G$39</f>
        <v>10.727586160943426</v>
      </c>
      <c r="AC777" s="113">
        <f>SQRT((Tableau!$G$16-P777)^2+(Tableau!$H$16-Q777)^2)</f>
        <v>237204.05089268996</v>
      </c>
      <c r="AD777" s="114">
        <f>SQRT((Tableau!$G$25-P777)^2+(Tableau!$H$25-Q777)^2)</f>
        <v>246037.25162279923</v>
      </c>
      <c r="AE777" s="115">
        <f>SQRT((Tableau!$G$35-P777)^2+(Tableau!$H$35-Q777)^2)</f>
        <v>218358.15186424833</v>
      </c>
    </row>
    <row r="778" spans="2:31" x14ac:dyDescent="0.25">
      <c r="B778" s="20">
        <v>775</v>
      </c>
      <c r="C778" s="21">
        <f>Tableau!$G$17*COS(B778*PI()/180)+Tableau!$G$16</f>
        <v>22867.882181755231</v>
      </c>
      <c r="D778" s="21">
        <f>Tableau!$G$17*SIN(B778*PI()/180)+Tableau!$H$16</f>
        <v>11595.76022144496</v>
      </c>
      <c r="F778" s="28">
        <v>775</v>
      </c>
      <c r="G778" s="29">
        <f>Tableau!$G$26*COS(F778*PI()/180)+Tableau!$G$25</f>
        <v>-17992.482472771339</v>
      </c>
      <c r="H778" s="29">
        <f>Tableau!$G$26*SIN(F778*PI()/180)+Tableau!$H$25</f>
        <v>12867.032155011471</v>
      </c>
      <c r="J778" s="36">
        <v>775</v>
      </c>
      <c r="K778" s="37">
        <f>Tableau!$G$36*COS(J778*PI()/180)+Tableau!$G$35</f>
        <v>-2132.1178182447702</v>
      </c>
      <c r="L778" s="37">
        <f>Tableau!$G$36*SIN(J778*PI()/180)+Tableau!$H$35</f>
        <v>-10904.23977855504</v>
      </c>
      <c r="N778" s="92">
        <v>774</v>
      </c>
      <c r="O778" s="93">
        <v>387</v>
      </c>
      <c r="P778" s="96">
        <f>P777+R777*Tableau!$G$2+((1/2)*T777)*Tableau!$G$2^2</f>
        <v>38950.626138070525</v>
      </c>
      <c r="Q778" s="96">
        <f>Q777+S777*Tableau!$G$2+((1/2)*U777)*Tableau!$G$2^2</f>
        <v>-229901.3033299204</v>
      </c>
      <c r="R778" s="96">
        <f>R777+T777*Tableau!$G$2</f>
        <v>902.61607793195492</v>
      </c>
      <c r="S778" s="96">
        <f>S777+U777*Tableau!$G$2</f>
        <v>-1833.6643380244013</v>
      </c>
      <c r="T778" s="96">
        <f t="shared" si="24"/>
        <v>-3.607742408673746</v>
      </c>
      <c r="U778" s="96">
        <f t="shared" si="25"/>
        <v>22.660921983707212</v>
      </c>
      <c r="V778" s="96">
        <f>((Tableau!$G$16-P778)/(AC778^2+Tableau!$G$21^2)^(3/2))*Tableau!$G$20</f>
        <v>-0.73263469567107498</v>
      </c>
      <c r="W778" s="96">
        <f>((Tableau!$H$16-Q778)/(AC778^2+Tableau!$G$21^2)^(3/2))*Tableau!$G$20</f>
        <v>9.1779780968620521</v>
      </c>
      <c r="X778" s="96">
        <f>((Tableau!$G$25-P778)/(AD778^2+Tableau!$G$30^2)^(3/2))*Tableau!$G$29</f>
        <v>-0.70140139901954413</v>
      </c>
      <c r="Y778" s="96">
        <f>((Tableau!$H$25-Q778)/(AD778^2+Tableau!$G$30^2)^(3/2))*Tableau!$G$29</f>
        <v>2.854373580156949</v>
      </c>
      <c r="Z778" s="96">
        <f>((Tableau!$G$35-P778)/(AE778^2+Tableau!$G$40^2)^(3/2))*Tableau!$G$39</f>
        <v>-2.1737063139831267</v>
      </c>
      <c r="AA778" s="97">
        <f>((Tableau!$H$35-Q778)/(AE778^2+Tableau!$G$40^2)^(3/2))*Tableau!$G$39</f>
        <v>10.628570306688211</v>
      </c>
      <c r="AC778" s="110">
        <f>SQRT((Tableau!$G$16-P778)^2+(Tableau!$H$16-Q778)^2)</f>
        <v>238156.47178644926</v>
      </c>
      <c r="AD778" s="111">
        <f>SQRT((Tableau!$G$25-P778)^2+(Tableau!$H$25-Q778)^2)</f>
        <v>247038.07735137723</v>
      </c>
      <c r="AE778" s="112">
        <f>SQRT((Tableau!$G$35-P778)^2+(Tableau!$H$35-Q778)^2)</f>
        <v>219349.55598502338</v>
      </c>
    </row>
    <row r="779" spans="2:31" x14ac:dyDescent="0.25">
      <c r="B779" s="18">
        <v>776</v>
      </c>
      <c r="C779" s="19">
        <f>Tableau!$G$17*COS(B779*PI()/180)+Tableau!$G$16</f>
        <v>22795.964517353739</v>
      </c>
      <c r="D779" s="19">
        <f>Tableau!$G$17*SIN(B779*PI()/180)+Tableau!$H$16</f>
        <v>11645.187862775205</v>
      </c>
      <c r="F779" s="26">
        <v>776</v>
      </c>
      <c r="G779" s="27">
        <f>Tableau!$G$26*COS(F779*PI()/180)+Tableau!$G$25</f>
        <v>-18042.824837852382</v>
      </c>
      <c r="H779" s="27">
        <f>Tableau!$G$26*SIN(F779*PI()/180)+Tableau!$H$25</f>
        <v>12901.631503942644</v>
      </c>
      <c r="J779" s="34">
        <v>776</v>
      </c>
      <c r="K779" s="35">
        <f>Tableau!$G$36*COS(J779*PI()/180)+Tableau!$G$35</f>
        <v>-2204.0354826462622</v>
      </c>
      <c r="L779" s="35">
        <f>Tableau!$G$36*SIN(J779*PI()/180)+Tableau!$H$35</f>
        <v>-10854.812137224795</v>
      </c>
      <c r="N779" s="98">
        <v>775</v>
      </c>
      <c r="O779" s="99">
        <v>387.5</v>
      </c>
      <c r="P779" s="101">
        <f>P778+R778*Tableau!$G$2+((1/2)*T778)*Tableau!$G$2^2</f>
        <v>39401.483209235419</v>
      </c>
      <c r="Q779" s="101">
        <f>Q778+S778*Tableau!$G$2+((1/2)*U778)*Tableau!$G$2^2</f>
        <v>-230815.30288368464</v>
      </c>
      <c r="R779" s="101">
        <f>R778+T778*Tableau!$G$2</f>
        <v>900.81220672761799</v>
      </c>
      <c r="S779" s="101">
        <f>S778+U778*Tableau!$G$2</f>
        <v>-1822.3338770325477</v>
      </c>
      <c r="T779" s="101">
        <f t="shared" si="24"/>
        <v>-3.6062161443648102</v>
      </c>
      <c r="U779" s="101">
        <f t="shared" si="25"/>
        <v>22.466774864137612</v>
      </c>
      <c r="V779" s="101">
        <f>((Tableau!$G$16-P779)/(AC779^2+Tableau!$G$21^2)^(3/2))*Tableau!$G$20</f>
        <v>-0.74120090687002238</v>
      </c>
      <c r="W779" s="101">
        <f>((Tableau!$H$16-Q779)/(AC779^2+Tableau!$G$21^2)^(3/2))*Tableau!$G$20</f>
        <v>9.1044337545444893</v>
      </c>
      <c r="X779" s="101">
        <f>((Tableau!$G$25-P779)/(AD779^2+Tableau!$G$30^2)^(3/2))*Tableau!$G$29</f>
        <v>-0.69829848749124357</v>
      </c>
      <c r="Y779" s="101">
        <f>((Tableau!$H$25-Q779)/(AD779^2+Tableau!$G$30^2)^(3/2))*Tableau!$G$29</f>
        <v>2.8309219346610175</v>
      </c>
      <c r="Z779" s="101">
        <f>((Tableau!$G$35-P779)/(AE779^2+Tableau!$G$40^2)^(3/2))*Tableau!$G$39</f>
        <v>-2.1667167500035442</v>
      </c>
      <c r="AA779" s="102">
        <f>((Tableau!$H$35-Q779)/(AE779^2+Tableau!$G$40^2)^(3/2))*Tableau!$G$39</f>
        <v>10.531419174932104</v>
      </c>
      <c r="AC779" s="113">
        <f>SQRT((Tableau!$G$16-P779)^2+(Tableau!$H$16-Q779)^2)</f>
        <v>239103.74555673651</v>
      </c>
      <c r="AD779" s="114">
        <f>SQRT((Tableau!$G$25-P779)^2+(Tableau!$H$25-Q779)^2)</f>
        <v>248033.35725345058</v>
      </c>
      <c r="AE779" s="115">
        <f>SQRT((Tableau!$G$35-P779)^2+(Tableau!$H$35-Q779)^2)</f>
        <v>220335.50932601979</v>
      </c>
    </row>
    <row r="780" spans="2:31" x14ac:dyDescent="0.25">
      <c r="B780" s="20">
        <v>777</v>
      </c>
      <c r="C780" s="21">
        <f>Tableau!$G$17*COS(B780*PI()/180)+Tableau!$G$16</f>
        <v>22723.195175075143</v>
      </c>
      <c r="D780" s="21">
        <f>Tableau!$G$17*SIN(B780*PI()/180)+Tableau!$H$16</f>
        <v>11693.352839727115</v>
      </c>
      <c r="F780" s="28">
        <v>777</v>
      </c>
      <c r="G780" s="29">
        <f>Tableau!$G$26*COS(F780*PI()/180)+Tableau!$G$25</f>
        <v>-18093.763377447398</v>
      </c>
      <c r="H780" s="29">
        <f>Tableau!$G$26*SIN(F780*PI()/180)+Tableau!$H$25</f>
        <v>12935.34698780898</v>
      </c>
      <c r="J780" s="36">
        <v>777</v>
      </c>
      <c r="K780" s="37">
        <f>Tableau!$G$36*COS(J780*PI()/180)+Tableau!$G$35</f>
        <v>-2276.8048249248563</v>
      </c>
      <c r="L780" s="37">
        <f>Tableau!$G$36*SIN(J780*PI()/180)+Tableau!$H$35</f>
        <v>-10806.647160272885</v>
      </c>
      <c r="N780" s="92">
        <v>776</v>
      </c>
      <c r="O780" s="93">
        <v>388</v>
      </c>
      <c r="P780" s="96">
        <f>P779+R779*Tableau!$G$2+((1/2)*T779)*Tableau!$G$2^2</f>
        <v>39851.438535581183</v>
      </c>
      <c r="Q780" s="96">
        <f>Q779+S779*Tableau!$G$2+((1/2)*U779)*Tableau!$G$2^2</f>
        <v>-231723.6614753429</v>
      </c>
      <c r="R780" s="96">
        <f>R779+T779*Tableau!$G$2</f>
        <v>899.00909865543554</v>
      </c>
      <c r="S780" s="96">
        <f>S779+U779*Tableau!$G$2</f>
        <v>-1811.1004896004788</v>
      </c>
      <c r="T780" s="96">
        <f t="shared" si="24"/>
        <v>-3.6045198806883132</v>
      </c>
      <c r="U780" s="96">
        <f t="shared" si="25"/>
        <v>22.27609306844257</v>
      </c>
      <c r="V780" s="96">
        <f>((Tableau!$G$16-P780)/(AC780^2+Tableau!$G$21^2)^(3/2))*Tableau!$G$20</f>
        <v>-0.74951115453690609</v>
      </c>
      <c r="W780" s="96">
        <f>((Tableau!$H$16-Q780)/(AC780^2+Tableau!$G$21^2)^(3/2))*Tableau!$G$20</f>
        <v>9.0321314691404506</v>
      </c>
      <c r="X780" s="96">
        <f>((Tableau!$G$25-P780)/(AD780^2+Tableau!$G$30^2)^(3/2))*Tableau!$G$29</f>
        <v>-0.69523830127459474</v>
      </c>
      <c r="Y780" s="96">
        <f>((Tableau!$H$25-Q780)/(AD780^2+Tableau!$G$30^2)^(3/2))*Tableau!$G$29</f>
        <v>2.8078781712503864</v>
      </c>
      <c r="Z780" s="96">
        <f>((Tableau!$G$35-P780)/(AE780^2+Tableau!$G$40^2)^(3/2))*Tableau!$G$39</f>
        <v>-2.1597704248768124</v>
      </c>
      <c r="AA780" s="97">
        <f>((Tableau!$H$35-Q780)/(AE780^2+Tableau!$G$40^2)^(3/2))*Tableau!$G$39</f>
        <v>10.436083428051735</v>
      </c>
      <c r="AC780" s="110">
        <f>SQRT((Tableau!$G$16-P780)^2+(Tableau!$H$16-Q780)^2)</f>
        <v>240045.9119035386</v>
      </c>
      <c r="AD780" s="111">
        <f>SQRT((Tableau!$G$25-P780)^2+(Tableau!$H$25-Q780)^2)</f>
        <v>249023.13790454215</v>
      </c>
      <c r="AE780" s="112">
        <f>SQRT((Tableau!$G$35-P780)^2+(Tableau!$H$35-Q780)^2)</f>
        <v>221316.05676495784</v>
      </c>
    </row>
    <row r="781" spans="2:31" x14ac:dyDescent="0.25">
      <c r="B781" s="18">
        <v>778</v>
      </c>
      <c r="C781" s="19">
        <f>Tableau!$G$17*COS(B781*PI()/180)+Tableau!$G$16</f>
        <v>22649.596321166024</v>
      </c>
      <c r="D781" s="19">
        <f>Tableau!$G$17*SIN(B781*PI()/180)+Tableau!$H$16</f>
        <v>11740.240480782131</v>
      </c>
      <c r="F781" s="26">
        <v>778</v>
      </c>
      <c r="G781" s="27">
        <f>Tableau!$G$26*COS(F781*PI()/180)+Tableau!$G$25</f>
        <v>-18145.282575183785</v>
      </c>
      <c r="H781" s="27">
        <f>Tableau!$G$26*SIN(F781*PI()/180)+Tableau!$H$25</f>
        <v>12968.168336547491</v>
      </c>
      <c r="J781" s="34">
        <v>778</v>
      </c>
      <c r="K781" s="35">
        <f>Tableau!$G$36*COS(J781*PI()/180)+Tableau!$G$35</f>
        <v>-2350.4036788339772</v>
      </c>
      <c r="L781" s="35">
        <f>Tableau!$G$36*SIN(J781*PI()/180)+Tableau!$H$35</f>
        <v>-10759.759519217869</v>
      </c>
      <c r="N781" s="98">
        <v>777</v>
      </c>
      <c r="O781" s="99">
        <v>388.5</v>
      </c>
      <c r="P781" s="101">
        <f>P780+R780*Tableau!$G$2+((1/2)*T780)*Tableau!$G$2^2</f>
        <v>40300.492519923821</v>
      </c>
      <c r="Q781" s="101">
        <f>Q780+S780*Tableau!$G$2+((1/2)*U780)*Tableau!$G$2^2</f>
        <v>-232626.42720850959</v>
      </c>
      <c r="R781" s="101">
        <f>R780+T780*Tableau!$G$2</f>
        <v>897.20683871509141</v>
      </c>
      <c r="S781" s="101">
        <f>S780+U780*Tableau!$G$2</f>
        <v>-1799.9624430662575</v>
      </c>
      <c r="T781" s="101">
        <f t="shared" si="24"/>
        <v>-3.6026624787705614</v>
      </c>
      <c r="U781" s="101">
        <f t="shared" si="25"/>
        <v>22.088789528240447</v>
      </c>
      <c r="V781" s="101">
        <f>((Tableau!$G$16-P781)/(AC781^2+Tableau!$G$21^2)^(3/2))*Tableau!$G$20</f>
        <v>-0.75757410495299504</v>
      </c>
      <c r="W781" s="101">
        <f>((Tableau!$H$16-Q781)/(AC781^2+Tableau!$G$21^2)^(3/2))*Tableau!$G$20</f>
        <v>8.9610418559800458</v>
      </c>
      <c r="X781" s="101">
        <f>((Tableau!$G$25-P781)/(AD781^2+Tableau!$G$30^2)^(3/2))*Tableau!$G$29</f>
        <v>-0.69222004655039793</v>
      </c>
      <c r="Y781" s="101">
        <f>((Tableau!$H$25-Q781)/(AD781^2+Tableau!$G$30^2)^(3/2))*Tableau!$G$29</f>
        <v>2.7852322546310675</v>
      </c>
      <c r="Z781" s="101">
        <f>((Tableau!$G$35-P781)/(AE781^2+Tableau!$G$40^2)^(3/2))*Tableau!$G$39</f>
        <v>-2.1528683272671687</v>
      </c>
      <c r="AA781" s="102">
        <f>((Tableau!$H$35-Q781)/(AE781^2+Tableau!$G$40^2)^(3/2))*Tableau!$G$39</f>
        <v>10.342515417629333</v>
      </c>
      <c r="AC781" s="113">
        <f>SQRT((Tableau!$G$16-P781)^2+(Tableau!$H$16-Q781)^2)</f>
        <v>240983.00985852745</v>
      </c>
      <c r="AD781" s="114">
        <f>SQRT((Tableau!$G$25-P781)^2+(Tableau!$H$25-Q781)^2)</f>
        <v>250007.4650447694</v>
      </c>
      <c r="AE781" s="115">
        <f>SQRT((Tableau!$G$35-P781)^2+(Tableau!$H$35-Q781)^2)</f>
        <v>222291.24238729785</v>
      </c>
    </row>
    <row r="782" spans="2:31" x14ac:dyDescent="0.25">
      <c r="B782" s="20">
        <v>779</v>
      </c>
      <c r="C782" s="21">
        <f>Tableau!$G$17*COS(B782*PI()/180)+Tableau!$G$16</f>
        <v>22575.190374550275</v>
      </c>
      <c r="D782" s="21">
        <f>Tableau!$G$17*SIN(B782*PI()/180)+Tableau!$H$16</f>
        <v>11785.83650351056</v>
      </c>
      <c r="F782" s="28">
        <v>779</v>
      </c>
      <c r="G782" s="29">
        <f>Tableau!$G$26*COS(F782*PI()/180)+Tableau!$G$25</f>
        <v>-18197.366737814809</v>
      </c>
      <c r="H782" s="29">
        <f>Tableau!$G$26*SIN(F782*PI()/180)+Tableau!$H$25</f>
        <v>13000.085552457393</v>
      </c>
      <c r="J782" s="36">
        <v>779</v>
      </c>
      <c r="K782" s="37">
        <f>Tableau!$G$36*COS(J782*PI()/180)+Tableau!$G$35</f>
        <v>-2424.8096254497264</v>
      </c>
      <c r="L782" s="37">
        <f>Tableau!$G$36*SIN(J782*PI()/180)+Tableau!$H$35</f>
        <v>-10714.16349648944</v>
      </c>
      <c r="N782" s="92">
        <v>778</v>
      </c>
      <c r="O782" s="93">
        <v>389</v>
      </c>
      <c r="P782" s="96">
        <f>P781+R781*Tableau!$G$2+((1/2)*T781)*Tableau!$G$2^2</f>
        <v>40748.645606471524</v>
      </c>
      <c r="Q782" s="96">
        <f>Q781+S781*Tableau!$G$2+((1/2)*U781)*Tableau!$G$2^2</f>
        <v>-233523.64733135168</v>
      </c>
      <c r="R782" s="96">
        <f>R781+T781*Tableau!$G$2</f>
        <v>895.40550747570614</v>
      </c>
      <c r="S782" s="96">
        <f>S781+U781*Tableau!$G$2</f>
        <v>-1788.9180483021373</v>
      </c>
      <c r="T782" s="96">
        <f t="shared" si="24"/>
        <v>-3.600652392951436</v>
      </c>
      <c r="U782" s="96">
        <f t="shared" si="25"/>
        <v>21.904780018673819</v>
      </c>
      <c r="V782" s="96">
        <f>((Tableau!$G$16-P782)/(AC782^2+Tableau!$G$21^2)^(3/2))*Tableau!$G$20</f>
        <v>-0.76539808825080013</v>
      </c>
      <c r="W782" s="96">
        <f>((Tableau!$H$16-Q782)/(AC782^2+Tableau!$G$21^2)^(3/2))*Tableau!$G$20</f>
        <v>8.8911364331709635</v>
      </c>
      <c r="X782" s="96">
        <f>((Tableau!$G$25-P782)/(AD782^2+Tableau!$G$30^2)^(3/2))*Tableau!$G$29</f>
        <v>-0.68924294964837873</v>
      </c>
      <c r="Y782" s="96">
        <f>((Tableau!$H$25-Q782)/(AD782^2+Tableau!$G$30^2)^(3/2))*Tableau!$G$29</f>
        <v>2.7629744716137625</v>
      </c>
      <c r="Z782" s="96">
        <f>((Tableau!$G$35-P782)/(AE782^2+Tableau!$G$40^2)^(3/2))*Tableau!$G$39</f>
        <v>-2.146011355052257</v>
      </c>
      <c r="AA782" s="97">
        <f>((Tableau!$H$35-Q782)/(AE782^2+Tableau!$G$40^2)^(3/2))*Tableau!$G$39</f>
        <v>10.250669113889092</v>
      </c>
      <c r="AC782" s="110">
        <f>SQRT((Tableau!$G$16-P782)^2+(Tableau!$H$16-Q782)^2)</f>
        <v>241915.07780089017</v>
      </c>
      <c r="AD782" s="111">
        <f>SQRT((Tableau!$G$25-P782)^2+(Tableau!$H$25-Q782)^2)</f>
        <v>250986.38359995792</v>
      </c>
      <c r="AE782" s="112">
        <f>SQRT((Tableau!$G$35-P782)^2+(Tableau!$H$35-Q782)^2)</f>
        <v>223261.10950594035</v>
      </c>
    </row>
    <row r="783" spans="2:31" x14ac:dyDescent="0.25">
      <c r="B783" s="18">
        <v>780</v>
      </c>
      <c r="C783" s="19">
        <f>Tableau!$G$17*COS(B783*PI()/180)+Tableau!$G$16</f>
        <v>22500.000000000007</v>
      </c>
      <c r="D783" s="19">
        <f>Tableau!$G$17*SIN(B783*PI()/180)+Tableau!$H$16</f>
        <v>11830.127018922189</v>
      </c>
      <c r="F783" s="26">
        <v>780</v>
      </c>
      <c r="G783" s="27">
        <f>Tableau!$G$26*COS(F783*PI()/180)+Tableau!$G$25</f>
        <v>-18249.999999999996</v>
      </c>
      <c r="H783" s="27">
        <f>Tableau!$G$26*SIN(F783*PI()/180)+Tableau!$H$25</f>
        <v>13031.088913245532</v>
      </c>
      <c r="J783" s="34">
        <v>780</v>
      </c>
      <c r="K783" s="35">
        <f>Tableau!$G$36*COS(J783*PI()/180)+Tableau!$G$35</f>
        <v>-2499.9999999999927</v>
      </c>
      <c r="L783" s="35">
        <f>Tableau!$G$36*SIN(J783*PI()/180)+Tableau!$H$35</f>
        <v>-10669.872981077811</v>
      </c>
      <c r="N783" s="98">
        <v>779</v>
      </c>
      <c r="O783" s="99">
        <v>389.5</v>
      </c>
      <c r="P783" s="101">
        <f>P782+R782*Tableau!$G$2+((1/2)*T782)*Tableau!$G$2^2</f>
        <v>41195.898278660257</v>
      </c>
      <c r="Q783" s="101">
        <f>Q782+S782*Tableau!$G$2+((1/2)*U782)*Tableau!$G$2^2</f>
        <v>-234415.36825800041</v>
      </c>
      <c r="R783" s="101">
        <f>R782+T782*Tableau!$G$2</f>
        <v>893.60518127923046</v>
      </c>
      <c r="S783" s="101">
        <f>S782+U782*Tableau!$G$2</f>
        <v>-1777.9656582928005</v>
      </c>
      <c r="T783" s="101">
        <f t="shared" si="24"/>
        <v>-3.5984976910713415</v>
      </c>
      <c r="U783" s="101">
        <f t="shared" si="25"/>
        <v>21.723983044748017</v>
      </c>
      <c r="V783" s="101">
        <f>((Tableau!$G$16-P783)/(AC783^2+Tableau!$G$21^2)^(3/2))*Tableau!$G$20</f>
        <v>-0.7729911135065054</v>
      </c>
      <c r="W783" s="101">
        <f>((Tableau!$H$16-Q783)/(AC783^2+Tableau!$G$21^2)^(3/2))*Tableau!$G$20</f>
        <v>8.8223875877133988</v>
      </c>
      <c r="X783" s="101">
        <f>((Tableau!$G$25-P783)/(AD783^2+Tableau!$G$30^2)^(3/2))*Tableau!$G$29</f>
        <v>-0.6863062564107093</v>
      </c>
      <c r="Y783" s="101">
        <f>((Tableau!$H$25-Q783)/(AD783^2+Tableau!$G$30^2)^(3/2))*Tableau!$G$29</f>
        <v>2.7410954184308043</v>
      </c>
      <c r="Z783" s="101">
        <f>((Tableau!$G$35-P783)/(AE783^2+Tableau!$G$40^2)^(3/2))*Tableau!$G$39</f>
        <v>-2.1392003211541266</v>
      </c>
      <c r="AA783" s="102">
        <f>((Tableau!$H$35-Q783)/(AE783^2+Tableau!$G$40^2)^(3/2))*Tableau!$G$39</f>
        <v>10.160500038603814</v>
      </c>
      <c r="AC783" s="113">
        <f>SQRT((Tableau!$G$16-P783)^2+(Tableau!$H$16-Q783)^2)</f>
        <v>242842.15347266887</v>
      </c>
      <c r="AD783" s="114">
        <f>SQRT((Tableau!$G$25-P783)^2+(Tableau!$H$25-Q783)^2)</f>
        <v>251959.93770206027</v>
      </c>
      <c r="AE783" s="115">
        <f>SQRT((Tableau!$G$35-P783)^2+(Tableau!$H$35-Q783)^2)</f>
        <v>224225.70068028834</v>
      </c>
    </row>
    <row r="784" spans="2:31" x14ac:dyDescent="0.25">
      <c r="B784" s="20">
        <v>781</v>
      </c>
      <c r="C784" s="21">
        <f>Tableau!$G$17*COS(B784*PI()/180)+Tableau!$G$16</f>
        <v>22424.048101231681</v>
      </c>
      <c r="D784" s="21">
        <f>Tableau!$G$17*SIN(B784*PI()/180)+Tableau!$H$16</f>
        <v>11873.098535696981</v>
      </c>
      <c r="F784" s="28">
        <v>781</v>
      </c>
      <c r="G784" s="29">
        <f>Tableau!$G$26*COS(F784*PI()/180)+Tableau!$G$25</f>
        <v>-18303.166329137821</v>
      </c>
      <c r="H784" s="29">
        <f>Tableau!$G$26*SIN(F784*PI()/180)+Tableau!$H$25</f>
        <v>13061.168974987886</v>
      </c>
      <c r="J784" s="36">
        <v>781</v>
      </c>
      <c r="K784" s="37">
        <f>Tableau!$G$36*COS(J784*PI()/180)+Tableau!$G$35</f>
        <v>-2575.9518987683182</v>
      </c>
      <c r="L784" s="37">
        <f>Tableau!$G$36*SIN(J784*PI()/180)+Tableau!$H$35</f>
        <v>-10626.901464303019</v>
      </c>
      <c r="N784" s="92">
        <v>780</v>
      </c>
      <c r="O784" s="93">
        <v>390</v>
      </c>
      <c r="P784" s="96">
        <f>P783+R783*Tableau!$G$2+((1/2)*T783)*Tableau!$G$2^2</f>
        <v>41642.251057088484</v>
      </c>
      <c r="Q784" s="96">
        <f>Q783+S783*Tableau!$G$2+((1/2)*U783)*Tableau!$G$2^2</f>
        <v>-235301.63558926622</v>
      </c>
      <c r="R784" s="96">
        <f>R783+T783*Tableau!$G$2</f>
        <v>891.80593243369481</v>
      </c>
      <c r="S784" s="96">
        <f>S783+U783*Tableau!$G$2</f>
        <v>-1767.1036667704266</v>
      </c>
      <c r="T784" s="96">
        <f t="shared" si="24"/>
        <v>-3.5962060736350572</v>
      </c>
      <c r="U784" s="96">
        <f t="shared" si="25"/>
        <v>21.546319733031595</v>
      </c>
      <c r="V784" s="96">
        <f>((Tableau!$G$16-P784)/(AC784^2+Tableau!$G$21^2)^(3/2))*Tableau!$G$20</f>
        <v>-0.78036088305959028</v>
      </c>
      <c r="W784" s="96">
        <f>((Tableau!$H$16-Q784)/(AC784^2+Tableau!$G$21^2)^(3/2))*Tableau!$G$20</f>
        <v>8.7547685431130144</v>
      </c>
      <c r="X784" s="96">
        <f>((Tableau!$G$25-P784)/(AD784^2+Tableau!$G$30^2)^(3/2))*Tableau!$G$29</f>
        <v>-0.68340923157977762</v>
      </c>
      <c r="Y784" s="96">
        <f>((Tableau!$H$25-Q784)/(AD784^2+Tableau!$G$30^2)^(3/2))*Tableau!$G$29</f>
        <v>2.7195859886438285</v>
      </c>
      <c r="Z784" s="96">
        <f>((Tableau!$G$35-P784)/(AE784^2+Tableau!$G$40^2)^(3/2))*Tableau!$G$39</f>
        <v>-2.1324359589956892</v>
      </c>
      <c r="AA784" s="97">
        <f>((Tableau!$H$35-Q784)/(AE784^2+Tableau!$G$40^2)^(3/2))*Tableau!$G$39</f>
        <v>10.071965201274752</v>
      </c>
      <c r="AC784" s="110">
        <f>SQRT((Tableau!$G$16-P784)^2+(Tableau!$H$16-Q784)^2)</f>
        <v>243764.27399362868</v>
      </c>
      <c r="AD784" s="111">
        <f>SQRT((Tableau!$G$25-P784)^2+(Tableau!$H$25-Q784)^2)</f>
        <v>252928.17070890756</v>
      </c>
      <c r="AE784" s="112">
        <f>SQRT((Tableau!$G$35-P784)^2+(Tableau!$H$35-Q784)^2)</f>
        <v>225185.05773469587</v>
      </c>
    </row>
    <row r="785" spans="2:31" x14ac:dyDescent="0.25">
      <c r="B785" s="18">
        <v>782</v>
      </c>
      <c r="C785" s="19">
        <f>Tableau!$G$17*COS(B785*PI()/180)+Tableau!$G$16</f>
        <v>22347.357813929455</v>
      </c>
      <c r="D785" s="19">
        <f>Tableau!$G$17*SIN(B785*PI()/180)+Tableau!$H$16</f>
        <v>11914.737964294633</v>
      </c>
      <c r="F785" s="26">
        <v>782</v>
      </c>
      <c r="G785" s="27">
        <f>Tableau!$G$26*COS(F785*PI()/180)+Tableau!$G$25</f>
        <v>-18356.849530249383</v>
      </c>
      <c r="H785" s="27">
        <f>Tableau!$G$26*SIN(F785*PI()/180)+Tableau!$H$25</f>
        <v>13090.316575006244</v>
      </c>
      <c r="J785" s="34">
        <v>782</v>
      </c>
      <c r="K785" s="35">
        <f>Tableau!$G$36*COS(J785*PI()/180)+Tableau!$G$35</f>
        <v>-2652.6421860705445</v>
      </c>
      <c r="L785" s="35">
        <f>Tableau!$G$36*SIN(J785*PI()/180)+Tableau!$H$35</f>
        <v>-10585.262035705367</v>
      </c>
      <c r="N785" s="98">
        <v>781</v>
      </c>
      <c r="O785" s="99">
        <v>390.5</v>
      </c>
      <c r="P785" s="101">
        <f>P784+R784*Tableau!$G$2+((1/2)*T784)*Tableau!$G$2^2</f>
        <v>42087.704497546125</v>
      </c>
      <c r="Q785" s="101">
        <f>Q784+S784*Tableau!$G$2+((1/2)*U784)*Tableau!$G$2^2</f>
        <v>-236182.49413268481</v>
      </c>
      <c r="R785" s="101">
        <f>R784+T784*Tableau!$G$2</f>
        <v>890.00782939687724</v>
      </c>
      <c r="S785" s="101">
        <f>S784+U784*Tableau!$G$2</f>
        <v>-1756.3305069039109</v>
      </c>
      <c r="T785" s="101">
        <f t="shared" si="24"/>
        <v>-3.5937848919219366</v>
      </c>
      <c r="U785" s="101">
        <f t="shared" si="25"/>
        <v>21.371713728431338</v>
      </c>
      <c r="V785" s="101">
        <f>((Tableau!$G$16-P785)/(AC785^2+Tableau!$G$21^2)^(3/2))*Tableau!$G$20</f>
        <v>-0.78751480610430968</v>
      </c>
      <c r="W785" s="101">
        <f>((Tableau!$H$16-Q785)/(AC785^2+Tableau!$G$21^2)^(3/2))*Tableau!$G$20</f>
        <v>8.6882533284178862</v>
      </c>
      <c r="X785" s="101">
        <f>((Tableau!$G$25-P785)/(AD785^2+Tableau!$G$30^2)^(3/2))*Tableau!$G$29</f>
        <v>-0.68055115820899104</v>
      </c>
      <c r="Y785" s="101">
        <f>((Tableau!$H$25-Q785)/(AD785^2+Tableau!$G$30^2)^(3/2))*Tableau!$G$29</f>
        <v>2.6984373616099528</v>
      </c>
      <c r="Z785" s="101">
        <f>((Tableau!$G$35-P785)/(AE785^2+Tableau!$G$40^2)^(3/2))*Tableau!$G$39</f>
        <v>-2.1257189276086357</v>
      </c>
      <c r="AA785" s="102">
        <f>((Tableau!$H$35-Q785)/(AE785^2+Tableau!$G$40^2)^(3/2))*Tableau!$G$39</f>
        <v>9.985023038403499</v>
      </c>
      <c r="AC785" s="113">
        <f>SQRT((Tableau!$G$16-P785)^2+(Tableau!$H$16-Q785)^2)</f>
        <v>244681.47587567163</v>
      </c>
      <c r="AD785" s="114">
        <f>SQRT((Tableau!$G$25-P785)^2+(Tableau!$H$25-Q785)^2)</f>
        <v>253891.12522332088</v>
      </c>
      <c r="AE785" s="115">
        <f>SQRT((Tableau!$G$35-P785)^2+(Tableau!$H$35-Q785)^2)</f>
        <v>226139.22177632825</v>
      </c>
    </row>
    <row r="786" spans="2:31" x14ac:dyDescent="0.25">
      <c r="B786" s="20">
        <v>783</v>
      </c>
      <c r="C786" s="21">
        <f>Tableau!$G$17*COS(B786*PI()/180)+Tableau!$G$16</f>
        <v>22269.952498697741</v>
      </c>
      <c r="D786" s="21">
        <f>Tableau!$G$17*SIN(B786*PI()/180)+Tableau!$H$16</f>
        <v>11955.032620941836</v>
      </c>
      <c r="F786" s="28">
        <v>783</v>
      </c>
      <c r="G786" s="29">
        <f>Tableau!$G$26*COS(F786*PI()/180)+Tableau!$G$25</f>
        <v>-18411.033250911583</v>
      </c>
      <c r="H786" s="29">
        <f>Tableau!$G$26*SIN(F786*PI()/180)+Tableau!$H$25</f>
        <v>13118.522834659285</v>
      </c>
      <c r="J786" s="36">
        <v>783</v>
      </c>
      <c r="K786" s="37">
        <f>Tableau!$G$36*COS(J786*PI()/180)+Tableau!$G$35</f>
        <v>-2730.0475013022597</v>
      </c>
      <c r="L786" s="37">
        <f>Tableau!$G$36*SIN(J786*PI()/180)+Tableau!$H$35</f>
        <v>-10544.967379058164</v>
      </c>
      <c r="N786" s="92">
        <v>782</v>
      </c>
      <c r="O786" s="93">
        <v>391</v>
      </c>
      <c r="P786" s="96">
        <f>P785+R785*Tableau!$G$2+((1/2)*T785)*Tableau!$G$2^2</f>
        <v>42532.259189133074</v>
      </c>
      <c r="Q786" s="96">
        <f>Q785+S785*Tableau!$G$2+((1/2)*U785)*Tableau!$G$2^2</f>
        <v>-237057.98792192072</v>
      </c>
      <c r="R786" s="96">
        <f>R785+T785*Tableau!$G$2</f>
        <v>888.21093695091622</v>
      </c>
      <c r="S786" s="96">
        <f>S785+U785*Tableau!$G$2</f>
        <v>-1745.6446500396953</v>
      </c>
      <c r="T786" s="96">
        <f t="shared" si="24"/>
        <v>-3.5912411651062093</v>
      </c>
      <c r="U786" s="96">
        <f t="shared" si="25"/>
        <v>21.200091095764648</v>
      </c>
      <c r="V786" s="96">
        <f>((Tableau!$G$16-P786)/(AC786^2+Tableau!$G$21^2)^(3/2))*Tableau!$G$20</f>
        <v>-0.79446001159454072</v>
      </c>
      <c r="W786" s="96">
        <f>((Tableau!$H$16-Q786)/(AC786^2+Tableau!$G$21^2)^(3/2))*Tableau!$G$20</f>
        <v>8.6228167486059366</v>
      </c>
      <c r="X786" s="96">
        <f>((Tableau!$G$25-P786)/(AD786^2+Tableau!$G$30^2)^(3/2))*Tableau!$G$29</f>
        <v>-0.67773133709577027</v>
      </c>
      <c r="Y786" s="96">
        <f>((Tableau!$H$25-Q786)/(AD786^2+Tableau!$G$30^2)^(3/2))*Tableau!$G$29</f>
        <v>2.6776409914774311</v>
      </c>
      <c r="Z786" s="96">
        <f>((Tableau!$G$35-P786)/(AE786^2+Tableau!$G$40^2)^(3/2))*Tableau!$G$39</f>
        <v>-2.1190498164158984</v>
      </c>
      <c r="AA786" s="97">
        <f>((Tableau!$H$35-Q786)/(AE786^2+Tableau!$G$40^2)^(3/2))*Tableau!$G$39</f>
        <v>9.8996333556812814</v>
      </c>
      <c r="AC786" s="110">
        <f>SQRT((Tableau!$G$16-P786)^2+(Tableau!$H$16-Q786)^2)</f>
        <v>245593.79503681397</v>
      </c>
      <c r="AD786" s="111">
        <f>SQRT((Tableau!$G$25-P786)^2+(Tableau!$H$25-Q786)^2)</f>
        <v>254848.84311160771</v>
      </c>
      <c r="AE786" s="112">
        <f>SQRT((Tableau!$G$35-P786)^2+(Tableau!$H$35-Q786)^2)</f>
        <v>227088.23321245602</v>
      </c>
    </row>
    <row r="787" spans="2:31" x14ac:dyDescent="0.25">
      <c r="B787" s="18">
        <v>784</v>
      </c>
      <c r="C787" s="19">
        <f>Tableau!$G$17*COS(B787*PI()/180)+Tableau!$G$16</f>
        <v>22191.855733945391</v>
      </c>
      <c r="D787" s="19">
        <f>Tableau!$G$17*SIN(B787*PI()/180)+Tableau!$H$16</f>
        <v>11993.970231495834</v>
      </c>
      <c r="F787" s="26">
        <v>784</v>
      </c>
      <c r="G787" s="27">
        <f>Tableau!$G$26*COS(F787*PI()/180)+Tableau!$G$25</f>
        <v>-18465.700986238226</v>
      </c>
      <c r="H787" s="27">
        <f>Tableau!$G$26*SIN(F787*PI()/180)+Tableau!$H$25</f>
        <v>13145.779162047083</v>
      </c>
      <c r="J787" s="34">
        <v>784</v>
      </c>
      <c r="K787" s="35">
        <f>Tableau!$G$36*COS(J787*PI()/180)+Tableau!$G$35</f>
        <v>-2808.1442660546095</v>
      </c>
      <c r="L787" s="35">
        <f>Tableau!$G$36*SIN(J787*PI()/180)+Tableau!$H$35</f>
        <v>-10506.029768504166</v>
      </c>
      <c r="N787" s="98">
        <v>783</v>
      </c>
      <c r="O787" s="99">
        <v>391.5</v>
      </c>
      <c r="P787" s="101">
        <f>P786+R786*Tableau!$G$2+((1/2)*T786)*Tableau!$G$2^2</f>
        <v>42975.91575246289</v>
      </c>
      <c r="Q787" s="101">
        <f>Q786+S786*Tableau!$G$2+((1/2)*U786)*Tableau!$G$2^2</f>
        <v>-237928.16023555357</v>
      </c>
      <c r="R787" s="101">
        <f>R786+T786*Tableau!$G$2</f>
        <v>886.41531636836316</v>
      </c>
      <c r="S787" s="101">
        <f>S786+U786*Tableau!$G$2</f>
        <v>-1735.0446044918131</v>
      </c>
      <c r="T787" s="101">
        <f t="shared" si="24"/>
        <v>-3.5885815964477943</v>
      </c>
      <c r="U787" s="101">
        <f t="shared" si="25"/>
        <v>21.031380225875274</v>
      </c>
      <c r="V787" s="101">
        <f>((Tableau!$G$16-P787)/(AC787^2+Tableau!$G$21^2)^(3/2))*Tableau!$G$20</f>
        <v>-0.80120336050107721</v>
      </c>
      <c r="W787" s="101">
        <f>((Tableau!$H$16-Q787)/(AC787^2+Tableau!$G$21^2)^(3/2))*Tableau!$G$20</f>
        <v>8.5584343562560239</v>
      </c>
      <c r="X787" s="101">
        <f>((Tableau!$G$25-P787)/(AD787^2+Tableau!$G$30^2)^(3/2))*Tableau!$G$29</f>
        <v>-0.6749490862355727</v>
      </c>
      <c r="Y787" s="101">
        <f>((Tableau!$H$25-Q787)/(AD787^2+Tableau!$G$30^2)^(3/2))*Tableau!$G$29</f>
        <v>2.6571885966820448</v>
      </c>
      <c r="Z787" s="101">
        <f>((Tableau!$G$35-P787)/(AE787^2+Tableau!$G$40^2)^(3/2))*Tableau!$G$39</f>
        <v>-2.1124291497111445</v>
      </c>
      <c r="AA787" s="102">
        <f>((Tableau!$H$35-Q787)/(AE787^2+Tableau!$G$40^2)^(3/2))*Tableau!$G$39</f>
        <v>9.8157572729372049</v>
      </c>
      <c r="AC787" s="113">
        <f>SQRT((Tableau!$G$16-P787)^2+(Tableau!$H$16-Q787)^2)</f>
        <v>246501.26681474241</v>
      </c>
      <c r="AD787" s="114">
        <f>SQRT((Tableau!$G$25-P787)^2+(Tableau!$H$25-Q787)^2)</f>
        <v>255801.36552146793</v>
      </c>
      <c r="AE787" s="115">
        <f>SQRT((Tableau!$G$35-P787)^2+(Tableau!$H$35-Q787)^2)</f>
        <v>228032.13176720528</v>
      </c>
    </row>
    <row r="788" spans="2:31" x14ac:dyDescent="0.25">
      <c r="B788" s="20">
        <v>785</v>
      </c>
      <c r="C788" s="21">
        <f>Tableau!$G$17*COS(B788*PI()/180)+Tableau!$G$16</f>
        <v>22113.091308703497</v>
      </c>
      <c r="D788" s="21">
        <f>Tableau!$G$17*SIN(B788*PI()/180)+Tableau!$H$16</f>
        <v>12031.538935183249</v>
      </c>
      <c r="F788" s="28">
        <v>785</v>
      </c>
      <c r="G788" s="29">
        <f>Tableau!$G$26*COS(F788*PI()/180)+Tableau!$G$25</f>
        <v>-18520.83608390755</v>
      </c>
      <c r="H788" s="29">
        <f>Tableau!$G$26*SIN(F788*PI()/180)+Tableau!$H$25</f>
        <v>13172.077254628275</v>
      </c>
      <c r="J788" s="36">
        <v>785</v>
      </c>
      <c r="K788" s="37">
        <f>Tableau!$G$36*COS(J788*PI()/180)+Tableau!$G$35</f>
        <v>-2886.9086912965026</v>
      </c>
      <c r="L788" s="37">
        <f>Tableau!$G$36*SIN(J788*PI()/180)+Tableau!$H$35</f>
        <v>-10468.461064816751</v>
      </c>
      <c r="N788" s="92">
        <v>784</v>
      </c>
      <c r="O788" s="93">
        <v>392</v>
      </c>
      <c r="P788" s="96">
        <f>P787+R787*Tableau!$G$2+((1/2)*T787)*Tableau!$G$2^2</f>
        <v>43418.674837947518</v>
      </c>
      <c r="Q788" s="96">
        <f>Q787+S787*Tableau!$G$2+((1/2)*U787)*Tableau!$G$2^2</f>
        <v>-238793.05361527123</v>
      </c>
      <c r="R788" s="96">
        <f>R787+T787*Tableau!$G$2</f>
        <v>884.6210255701393</v>
      </c>
      <c r="S788" s="96">
        <f>S787+U787*Tableau!$G$2</f>
        <v>-1724.5289143788755</v>
      </c>
      <c r="T788" s="96">
        <f t="shared" si="24"/>
        <v>-3.5858125886093655</v>
      </c>
      <c r="U788" s="96">
        <f t="shared" si="25"/>
        <v>20.865511746049826</v>
      </c>
      <c r="V788" s="96">
        <f>((Tableau!$G$16-P788)/(AC788^2+Tableau!$G$21^2)^(3/2))*Tableau!$G$20</f>
        <v>-0.80775145745788368</v>
      </c>
      <c r="W788" s="96">
        <f>((Tableau!$H$16-Q788)/(AC788^2+Tableau!$G$21^2)^(3/2))*Tableau!$G$20</f>
        <v>8.4950824244384968</v>
      </c>
      <c r="X788" s="96">
        <f>((Tableau!$G$25-P788)/(AD788^2+Tableau!$G$30^2)^(3/2))*Tableau!$G$29</f>
        <v>-0.67220374029617602</v>
      </c>
      <c r="Y788" s="96">
        <f>((Tableau!$H$25-Q788)/(AD788^2+Tableau!$G$30^2)^(3/2))*Tableau!$G$29</f>
        <v>2.6370721499185605</v>
      </c>
      <c r="Z788" s="96">
        <f>((Tableau!$G$35-P788)/(AE788^2+Tableau!$G$40^2)^(3/2))*Tableau!$G$39</f>
        <v>-2.1058573908553058</v>
      </c>
      <c r="AA788" s="97">
        <f>((Tableau!$H$35-Q788)/(AE788^2+Tableau!$G$40^2)^(3/2))*Tableau!$G$39</f>
        <v>9.7333571716927683</v>
      </c>
      <c r="AC788" s="110">
        <f>SQRT((Tableau!$G$16-P788)^2+(Tableau!$H$16-Q788)^2)</f>
        <v>247403.9259799658</v>
      </c>
      <c r="AD788" s="111">
        <f>SQRT((Tableau!$G$25-P788)^2+(Tableau!$H$25-Q788)^2)</f>
        <v>256748.73289933204</v>
      </c>
      <c r="AE788" s="112">
        <f>SQRT((Tableau!$G$35-P788)^2+(Tableau!$H$35-Q788)^2)</f>
        <v>228970.956497785</v>
      </c>
    </row>
    <row r="789" spans="2:31" x14ac:dyDescent="0.25">
      <c r="B789" s="18">
        <v>786</v>
      </c>
      <c r="C789" s="19">
        <f>Tableau!$G$17*COS(B789*PI()/180)+Tableau!$G$16</f>
        <v>22033.683215379006</v>
      </c>
      <c r="D789" s="19">
        <f>Tableau!$G$17*SIN(B789*PI()/180)+Tableau!$H$16</f>
        <v>12067.727288213002</v>
      </c>
      <c r="F789" s="26">
        <v>786</v>
      </c>
      <c r="G789" s="27">
        <f>Tableau!$G$26*COS(F789*PI()/180)+Tableau!$G$25</f>
        <v>-18576.421749234694</v>
      </c>
      <c r="H789" s="27">
        <f>Tableau!$G$26*SIN(F789*PI()/180)+Tableau!$H$25</f>
        <v>13197.409101749101</v>
      </c>
      <c r="J789" s="34">
        <v>786</v>
      </c>
      <c r="K789" s="35">
        <f>Tableau!$G$36*COS(J789*PI()/180)+Tableau!$G$35</f>
        <v>-2966.3167846209935</v>
      </c>
      <c r="L789" s="35">
        <f>Tableau!$G$36*SIN(J789*PI()/180)+Tableau!$H$35</f>
        <v>-10432.272711786998</v>
      </c>
      <c r="N789" s="98">
        <v>785</v>
      </c>
      <c r="O789" s="99">
        <v>392.5</v>
      </c>
      <c r="P789" s="101">
        <f>P788+R788*Tableau!$G$2+((1/2)*T788)*Tableau!$G$2^2</f>
        <v>43860.537124159011</v>
      </c>
      <c r="Q789" s="101">
        <f>Q788+S788*Tableau!$G$2+((1/2)*U788)*Tableau!$G$2^2</f>
        <v>-239652.70988349241</v>
      </c>
      <c r="R789" s="101">
        <f>R788+T788*Tableau!$G$2</f>
        <v>882.82811927583464</v>
      </c>
      <c r="S789" s="101">
        <f>S788+U788*Tableau!$G$2</f>
        <v>-1714.0961585058506</v>
      </c>
      <c r="T789" s="101">
        <f t="shared" si="24"/>
        <v>-3.5829402581519512</v>
      </c>
      <c r="U789" s="101">
        <f t="shared" si="25"/>
        <v>20.702418434508346</v>
      </c>
      <c r="V789" s="101">
        <f>((Tableau!$G$16-P789)/(AC789^2+Tableau!$G$21^2)^(3/2))*Tableau!$G$20</f>
        <v>-0.81411066183153469</v>
      </c>
      <c r="W789" s="101">
        <f>((Tableau!$H$16-Q789)/(AC789^2+Tableau!$G$21^2)^(3/2))*Tableau!$G$20</f>
        <v>8.4327379207646036</v>
      </c>
      <c r="X789" s="101">
        <f>((Tableau!$G$25-P789)/(AD789^2+Tableau!$G$30^2)^(3/2))*Tableau!$G$29</f>
        <v>-0.66949465011126874</v>
      </c>
      <c r="Y789" s="101">
        <f>((Tableau!$H$25-Q789)/(AD789^2+Tableau!$G$30^2)^(3/2))*Tableau!$G$29</f>
        <v>2.6172838685621991</v>
      </c>
      <c r="Z789" s="101">
        <f>((Tableau!$G$35-P789)/(AE789^2+Tableau!$G$40^2)^(3/2))*Tableau!$G$39</f>
        <v>-2.0993349462091477</v>
      </c>
      <c r="AA789" s="102">
        <f>((Tableau!$H$35-Q789)/(AE789^2+Tableau!$G$40^2)^(3/2))*Tableau!$G$39</f>
        <v>9.6523966451815451</v>
      </c>
      <c r="AC789" s="113">
        <f>SQRT((Tableau!$G$16-P789)^2+(Tableau!$H$16-Q789)^2)</f>
        <v>248301.80674857591</v>
      </c>
      <c r="AD789" s="114">
        <f>SQRT((Tableau!$G$25-P789)^2+(Tableau!$H$25-Q789)^2)</f>
        <v>257690.98500715412</v>
      </c>
      <c r="AE789" s="115">
        <f>SQRT((Tableau!$G$35-P789)^2+(Tableau!$H$35-Q789)^2)</f>
        <v>229904.74581021143</v>
      </c>
    </row>
    <row r="790" spans="2:31" x14ac:dyDescent="0.25">
      <c r="B790" s="20">
        <v>787</v>
      </c>
      <c r="C790" s="21">
        <f>Tableau!$G$17*COS(B790*PI()/180)+Tableau!$G$16</f>
        <v>21953.655642446371</v>
      </c>
      <c r="D790" s="21">
        <f>Tableau!$G$17*SIN(B790*PI()/180)+Tableau!$H$16</f>
        <v>12102.524267262201</v>
      </c>
      <c r="F790" s="28">
        <v>787</v>
      </c>
      <c r="G790" s="29">
        <f>Tableau!$G$26*COS(F790*PI()/180)+Tableau!$G$25</f>
        <v>-18632.44105028754</v>
      </c>
      <c r="H790" s="29">
        <f>Tableau!$G$26*SIN(F790*PI()/180)+Tableau!$H$25</f>
        <v>13221.766987083542</v>
      </c>
      <c r="J790" s="36">
        <v>787</v>
      </c>
      <c r="K790" s="37">
        <f>Tableau!$G$36*COS(J790*PI()/180)+Tableau!$G$35</f>
        <v>-3046.3443575536294</v>
      </c>
      <c r="L790" s="37">
        <f>Tableau!$G$36*SIN(J790*PI()/180)+Tableau!$H$35</f>
        <v>-10397.475732737799</v>
      </c>
      <c r="N790" s="92">
        <v>786</v>
      </c>
      <c r="O790" s="93">
        <v>393</v>
      </c>
      <c r="P790" s="96">
        <f>P789+R789*Tableau!$G$2+((1/2)*T789)*Tableau!$G$2^2</f>
        <v>44301.503316264658</v>
      </c>
      <c r="Q790" s="96">
        <f>Q789+S789*Tableau!$G$2+((1/2)*U789)*Tableau!$G$2^2</f>
        <v>-240507.17016044102</v>
      </c>
      <c r="R790" s="96">
        <f>R789+T789*Tableau!$G$2</f>
        <v>881.03664914675869</v>
      </c>
      <c r="S790" s="96">
        <f>S789+U789*Tableau!$G$2</f>
        <v>-1703.7449492885964</v>
      </c>
      <c r="T790" s="96">
        <f t="shared" si="24"/>
        <v>-3.5799704492580053</v>
      </c>
      <c r="U790" s="96">
        <f t="shared" si="25"/>
        <v>20.542035138756635</v>
      </c>
      <c r="V790" s="96">
        <f>((Tableau!$G$16-P790)/(AC790^2+Tableau!$G$21^2)^(3/2))*Tableau!$G$20</f>
        <v>-0.82028709824603019</v>
      </c>
      <c r="W790" s="96">
        <f>((Tableau!$H$16-Q790)/(AC790^2+Tableau!$G$21^2)^(3/2))*Tableau!$G$20</f>
        <v>8.3713784825385691</v>
      </c>
      <c r="X790" s="96">
        <f>((Tableau!$G$25-P790)/(AD790^2+Tableau!$G$30^2)^(3/2))*Tableau!$G$29</f>
        <v>-0.6668211821925305</v>
      </c>
      <c r="Y790" s="96">
        <f>((Tableau!$H$25-Q790)/(AD790^2+Tableau!$G$30^2)^(3/2))*Tableau!$G$29</f>
        <v>2.5978162055168954</v>
      </c>
      <c r="Z790" s="96">
        <f>((Tableau!$G$35-P790)/(AE790^2+Tableau!$G$40^2)^(3/2))*Tableau!$G$39</f>
        <v>-2.0928621688194449</v>
      </c>
      <c r="AA790" s="97">
        <f>((Tableau!$H$35-Q790)/(AE790^2+Tableau!$G$40^2)^(3/2))*Tableau!$G$39</f>
        <v>9.57284045070117</v>
      </c>
      <c r="AC790" s="110">
        <f>SQRT((Tableau!$G$16-P790)^2+(Tableau!$H$16-Q790)^2)</f>
        <v>249194.94279463289</v>
      </c>
      <c r="AD790" s="111">
        <f>SQRT((Tableau!$G$25-P790)^2+(Tableau!$H$25-Q790)^2)</f>
        <v>258628.16093867997</v>
      </c>
      <c r="AE790" s="112">
        <f>SQRT((Tableau!$G$35-P790)^2+(Tableau!$H$35-Q790)^2)</f>
        <v>230833.53747454844</v>
      </c>
    </row>
    <row r="791" spans="2:31" x14ac:dyDescent="0.25">
      <c r="B791" s="18">
        <v>788</v>
      </c>
      <c r="C791" s="19">
        <f>Tableau!$G$17*COS(B791*PI()/180)+Tableau!$G$16</f>
        <v>21873.032967079569</v>
      </c>
      <c r="D791" s="19">
        <f>Tableau!$G$17*SIN(B791*PI()/180)+Tableau!$H$16</f>
        <v>12135.919272833933</v>
      </c>
      <c r="F791" s="26">
        <v>788</v>
      </c>
      <c r="G791" s="27">
        <f>Tableau!$G$26*COS(F791*PI()/180)+Tableau!$G$25</f>
        <v>-18688.876923044303</v>
      </c>
      <c r="H791" s="27">
        <f>Tableau!$G$26*SIN(F791*PI()/180)+Tableau!$H$25</f>
        <v>13245.143490983754</v>
      </c>
      <c r="J791" s="34">
        <v>788</v>
      </c>
      <c r="K791" s="35">
        <f>Tableau!$G$36*COS(J791*PI()/180)+Tableau!$G$35</f>
        <v>-3126.9670329204328</v>
      </c>
      <c r="L791" s="35">
        <f>Tableau!$G$36*SIN(J791*PI()/180)+Tableau!$H$35</f>
        <v>-10364.080727166067</v>
      </c>
      <c r="N791" s="98">
        <v>787</v>
      </c>
      <c r="O791" s="99">
        <v>393.5</v>
      </c>
      <c r="P791" s="101">
        <f>P790+R790*Tableau!$G$2+((1/2)*T790)*Tableau!$G$2^2</f>
        <v>44741.574144531878</v>
      </c>
      <c r="Q791" s="101">
        <f>Q790+S790*Tableau!$G$2+((1/2)*U790)*Tableau!$G$2^2</f>
        <v>-241356.47488069299</v>
      </c>
      <c r="R791" s="101">
        <f>R790+T790*Tableau!$G$2</f>
        <v>879.24666392212964</v>
      </c>
      <c r="S791" s="101">
        <f>S790+U790*Tableau!$G$2</f>
        <v>-1693.4739317192182</v>
      </c>
      <c r="T791" s="101">
        <f t="shared" si="24"/>
        <v>-3.5769087467273852</v>
      </c>
      <c r="U791" s="101">
        <f t="shared" si="25"/>
        <v>20.384298697598414</v>
      </c>
      <c r="V791" s="101">
        <f>((Tableau!$G$16-P791)/(AC791^2+Tableau!$G$21^2)^(3/2))*Tableau!$G$20</f>
        <v>-0.82628666659305272</v>
      </c>
      <c r="W791" s="101">
        <f>((Tableau!$H$16-Q791)/(AC791^2+Tableau!$G$21^2)^(3/2))*Tableau!$G$20</f>
        <v>8.3109823929578468</v>
      </c>
      <c r="X791" s="101">
        <f>((Tableau!$G$25-P791)/(AD791^2+Tableau!$G$30^2)^(3/2))*Tableau!$G$29</f>
        <v>-0.66418271825943898</v>
      </c>
      <c r="Y791" s="101">
        <f>((Tableau!$H$25-Q791)/(AD791^2+Tableau!$G$30^2)^(3/2))*Tableau!$G$29</f>
        <v>2.5786618404685409</v>
      </c>
      <c r="Z791" s="101">
        <f>((Tableau!$G$35-P791)/(AE791^2+Tableau!$G$40^2)^(3/2))*Tableau!$G$39</f>
        <v>-2.0864393618748935</v>
      </c>
      <c r="AA791" s="102">
        <f>((Tableau!$H$35-Q791)/(AE791^2+Tableau!$G$40^2)^(3/2))*Tableau!$G$39</f>
        <v>9.4946544641720259</v>
      </c>
      <c r="AC791" s="113">
        <f>SQRT((Tableau!$G$16-P791)^2+(Tableau!$H$16-Q791)^2)</f>
        <v>250083.36726218788</v>
      </c>
      <c r="AD791" s="114">
        <f>SQRT((Tableau!$G$25-P791)^2+(Tableau!$H$25-Q791)^2)</f>
        <v>259560.29913521127</v>
      </c>
      <c r="AE791" s="115">
        <f>SQRT((Tableau!$G$35-P791)^2+(Tableau!$H$35-Q791)^2)</f>
        <v>231757.36863968265</v>
      </c>
    </row>
    <row r="792" spans="2:31" x14ac:dyDescent="0.25">
      <c r="B792" s="20">
        <v>789</v>
      </c>
      <c r="C792" s="21">
        <f>Tableau!$G$17*COS(B792*PI()/180)+Tableau!$G$16</f>
        <v>21791.839747726495</v>
      </c>
      <c r="D792" s="21">
        <f>Tableau!$G$17*SIN(B792*PI()/180)+Tableau!$H$16</f>
        <v>12167.902132486011</v>
      </c>
      <c r="F792" s="28">
        <v>789</v>
      </c>
      <c r="G792" s="29">
        <f>Tableau!$G$26*COS(F792*PI()/180)+Tableau!$G$25</f>
        <v>-18745.712176591453</v>
      </c>
      <c r="H792" s="29">
        <f>Tableau!$G$26*SIN(F792*PI()/180)+Tableau!$H$25</f>
        <v>13267.531492740207</v>
      </c>
      <c r="J792" s="36">
        <v>789</v>
      </c>
      <c r="K792" s="37">
        <f>Tableau!$G$36*COS(J792*PI()/180)+Tableau!$G$35</f>
        <v>-3208.1602522735029</v>
      </c>
      <c r="L792" s="37">
        <f>Tableau!$G$36*SIN(J792*PI()/180)+Tableau!$H$35</f>
        <v>-10332.097867513989</v>
      </c>
      <c r="N792" s="92">
        <v>788</v>
      </c>
      <c r="O792" s="93">
        <v>394</v>
      </c>
      <c r="P792" s="96">
        <f>P791+R791*Tableau!$G$2+((1/2)*T791)*Tableau!$G$2^2</f>
        <v>45180.750362899598</v>
      </c>
      <c r="Q792" s="96">
        <f>Q791+S791*Tableau!$G$2+((1/2)*U791)*Tableau!$G$2^2</f>
        <v>-242200.66380921539</v>
      </c>
      <c r="R792" s="96">
        <f>R791+T791*Tableau!$G$2</f>
        <v>877.45820954876592</v>
      </c>
      <c r="S792" s="96">
        <f>S791+U791*Tableau!$G$2</f>
        <v>-1683.281782370419</v>
      </c>
      <c r="T792" s="96">
        <f t="shared" si="24"/>
        <v>-3.57376048828894</v>
      </c>
      <c r="U792" s="96">
        <f t="shared" si="25"/>
        <v>20.229147866618874</v>
      </c>
      <c r="V792" s="96">
        <f>((Tableau!$G$16-P792)/(AC792^2+Tableau!$G$21^2)^(3/2))*Tableau!$G$20</f>
        <v>-0.83211505155594845</v>
      </c>
      <c r="W792" s="96">
        <f>((Tableau!$H$16-Q792)/(AC792^2+Tableau!$G$21^2)^(3/2))*Tableau!$G$20</f>
        <v>8.2515285583107492</v>
      </c>
      <c r="X792" s="96">
        <f>((Tableau!$G$25-P792)/(AD792^2+Tableau!$G$30^2)^(3/2))*Tableau!$G$29</f>
        <v>-0.66157865478600963</v>
      </c>
      <c r="Y792" s="96">
        <f>((Tableau!$H$25-Q792)/(AD792^2+Tableau!$G$30^2)^(3/2))*Tableau!$G$29</f>
        <v>2.5598136715224058</v>
      </c>
      <c r="Z792" s="96">
        <f>((Tableau!$G$35-P792)/(AE792^2+Tableau!$G$40^2)^(3/2))*Tableau!$G$39</f>
        <v>-2.0800667819469818</v>
      </c>
      <c r="AA792" s="97">
        <f>((Tableau!$H$35-Q792)/(AE792^2+Tableau!$G$40^2)^(3/2))*Tableau!$G$39</f>
        <v>9.417805636785717</v>
      </c>
      <c r="AC792" s="110">
        <f>SQRT((Tableau!$G$16-P792)^2+(Tableau!$H$16-Q792)^2)</f>
        <v>250967.11277695626</v>
      </c>
      <c r="AD792" s="111">
        <f>SQRT((Tableau!$G$25-P792)^2+(Tableau!$H$25-Q792)^2)</f>
        <v>260487.43740088411</v>
      </c>
      <c r="AE792" s="112">
        <f>SQRT((Tableau!$G$35-P792)^2+(Tableau!$H$35-Q792)^2)</f>
        <v>232676.2758476501</v>
      </c>
    </row>
    <row r="793" spans="2:31" x14ac:dyDescent="0.25">
      <c r="B793" s="18">
        <v>790</v>
      </c>
      <c r="C793" s="19">
        <f>Tableau!$G$17*COS(B793*PI()/180)+Tableau!$G$16</f>
        <v>21710.100716628345</v>
      </c>
      <c r="D793" s="19">
        <f>Tableau!$G$17*SIN(B793*PI()/180)+Tableau!$H$16</f>
        <v>12198.463103929542</v>
      </c>
      <c r="F793" s="26">
        <v>790</v>
      </c>
      <c r="G793" s="27">
        <f>Tableau!$G$26*COS(F793*PI()/180)+Tableau!$G$25</f>
        <v>-18802.929498360158</v>
      </c>
      <c r="H793" s="27">
        <f>Tableau!$G$26*SIN(F793*PI()/180)+Tableau!$H$25</f>
        <v>13288.92417275068</v>
      </c>
      <c r="J793" s="34">
        <v>790</v>
      </c>
      <c r="K793" s="35">
        <f>Tableau!$G$36*COS(J793*PI()/180)+Tableau!$G$35</f>
        <v>-3289.8992833716557</v>
      </c>
      <c r="L793" s="35">
        <f>Tableau!$G$36*SIN(J793*PI()/180)+Tableau!$H$35</f>
        <v>-10301.536896070458</v>
      </c>
      <c r="N793" s="98">
        <v>789</v>
      </c>
      <c r="O793" s="99">
        <v>394.5</v>
      </c>
      <c r="P793" s="101">
        <f>P792+R792*Tableau!$G$2+((1/2)*T792)*Tableau!$G$2^2</f>
        <v>45619.032747612946</v>
      </c>
      <c r="Q793" s="101">
        <f>Q792+S792*Tableau!$G$2+((1/2)*U792)*Tableau!$G$2^2</f>
        <v>-243039.77605691727</v>
      </c>
      <c r="R793" s="101">
        <f>R792+T792*Tableau!$G$2</f>
        <v>875.67132930462139</v>
      </c>
      <c r="S793" s="101">
        <f>S792+U792*Tableau!$G$2</f>
        <v>-1673.1672084371096</v>
      </c>
      <c r="T793" s="101">
        <f t="shared" si="24"/>
        <v>-3.5705307762677343</v>
      </c>
      <c r="U793" s="101">
        <f t="shared" si="25"/>
        <v>20.07652324696231</v>
      </c>
      <c r="V793" s="101">
        <f>((Tableau!$G$16-P793)/(AC793^2+Tableau!$G$21^2)^(3/2))*Tableau!$G$20</f>
        <v>-0.83777773167402436</v>
      </c>
      <c r="W793" s="101">
        <f>((Tableau!$H$16-Q793)/(AC793^2+Tableau!$G$21^2)^(3/2))*Tableau!$G$20</f>
        <v>8.1929964861237519</v>
      </c>
      <c r="X793" s="101">
        <f>((Tableau!$G$25-P793)/(AD793^2+Tableau!$G$30^2)^(3/2))*Tableau!$G$29</f>
        <v>-0.65900840256380178</v>
      </c>
      <c r="Y793" s="101">
        <f>((Tableau!$H$25-Q793)/(AD793^2+Tableau!$G$30^2)^(3/2))*Tableau!$G$29</f>
        <v>2.5412648072054571</v>
      </c>
      <c r="Z793" s="101">
        <f>((Tableau!$G$35-P793)/(AE793^2+Tableau!$G$40^2)^(3/2))*Tableau!$G$39</f>
        <v>-2.0737446420299084</v>
      </c>
      <c r="AA793" s="102">
        <f>((Tableau!$H$35-Q793)/(AE793^2+Tableau!$G$40^2)^(3/2))*Tableau!$G$39</f>
        <v>9.3422619536331002</v>
      </c>
      <c r="AC793" s="113">
        <f>SQRT((Tableau!$G$16-P793)^2+(Tableau!$H$16-Q793)^2)</f>
        <v>251846.21145765428</v>
      </c>
      <c r="AD793" s="114">
        <f>SQRT((Tableau!$G$25-P793)^2+(Tableau!$H$25-Q793)^2)</f>
        <v>261409.61291748079</v>
      </c>
      <c r="AE793" s="115">
        <f>SQRT((Tableau!$G$35-P793)^2+(Tableau!$H$35-Q793)^2)</f>
        <v>233590.29504753166</v>
      </c>
    </row>
    <row r="794" spans="2:31" x14ac:dyDescent="0.25">
      <c r="B794" s="20">
        <v>791</v>
      </c>
      <c r="C794" s="21">
        <f>Tableau!$G$17*COS(B794*PI()/180)+Tableau!$G$16</f>
        <v>21627.840772285788</v>
      </c>
      <c r="D794" s="21">
        <f>Tableau!$G$17*SIN(B794*PI()/180)+Tableau!$H$16</f>
        <v>12227.592877996582</v>
      </c>
      <c r="F794" s="28">
        <v>791</v>
      </c>
      <c r="G794" s="29">
        <f>Tableau!$G$26*COS(F794*PI()/180)+Tableau!$G$25</f>
        <v>-18860.511459399946</v>
      </c>
      <c r="H794" s="29">
        <f>Tableau!$G$26*SIN(F794*PI()/180)+Tableau!$H$25</f>
        <v>13309.315014597607</v>
      </c>
      <c r="J794" s="36">
        <v>791</v>
      </c>
      <c r="K794" s="37">
        <f>Tableau!$G$36*COS(J794*PI()/180)+Tableau!$G$35</f>
        <v>-3372.1592277142108</v>
      </c>
      <c r="L794" s="37">
        <f>Tableau!$G$36*SIN(J794*PI()/180)+Tableau!$H$35</f>
        <v>-10272.407122003418</v>
      </c>
      <c r="N794" s="92">
        <v>790</v>
      </c>
      <c r="O794" s="93">
        <v>395</v>
      </c>
      <c r="P794" s="96">
        <f>P793+R793*Tableau!$G$2+((1/2)*T793)*Tableau!$G$2^2</f>
        <v>46056.42209591822</v>
      </c>
      <c r="Q794" s="96">
        <f>Q793+S793*Tableau!$G$2+((1/2)*U793)*Tableau!$G$2^2</f>
        <v>-243873.85009572995</v>
      </c>
      <c r="R794" s="96">
        <f>R793+T793*Tableau!$G$2</f>
        <v>873.8860639164875</v>
      </c>
      <c r="S794" s="96">
        <f>S793+U793*Tableau!$G$2</f>
        <v>-1663.1289468136285</v>
      </c>
      <c r="T794" s="96">
        <f t="shared" si="24"/>
        <v>-3.5672244886450821</v>
      </c>
      <c r="U794" s="96">
        <f t="shared" si="25"/>
        <v>19.926367217235729</v>
      </c>
      <c r="V794" s="96">
        <f>((Tableau!$G$16-P794)/(AC794^2+Tableau!$G$21^2)^(3/2))*Tableau!$G$20</f>
        <v>-0.84327998797209924</v>
      </c>
      <c r="W794" s="96">
        <f>((Tableau!$H$16-Q794)/(AC794^2+Tableau!$G$21^2)^(3/2))*Tableau!$G$20</f>
        <v>8.1353662642130065</v>
      </c>
      <c r="X794" s="96">
        <f>((Tableau!$G$25-P794)/(AD794^2+Tableau!$G$30^2)^(3/2))*Tableau!$G$29</f>
        <v>-0.65647138628045187</v>
      </c>
      <c r="Y794" s="96">
        <f>((Tableau!$H$25-Q794)/(AD794^2+Tableau!$G$30^2)^(3/2))*Tableau!$G$29</f>
        <v>2.5230085588150235</v>
      </c>
      <c r="Z794" s="96">
        <f>((Tableau!$G$35-P794)/(AE794^2+Tableau!$G$40^2)^(3/2))*Tableau!$G$39</f>
        <v>-2.0674731143925311</v>
      </c>
      <c r="AA794" s="97">
        <f>((Tableau!$H$35-Q794)/(AE794^2+Tableau!$G$40^2)^(3/2))*Tableau!$G$39</f>
        <v>9.2679923942077007</v>
      </c>
      <c r="AC794" s="110">
        <f>SQRT((Tableau!$G$16-P794)^2+(Tableau!$H$16-Q794)^2)</f>
        <v>252720.69492701063</v>
      </c>
      <c r="AD794" s="111">
        <f>SQRT((Tableau!$G$25-P794)^2+(Tableau!$H$25-Q794)^2)</f>
        <v>262326.8622587921</v>
      </c>
      <c r="AE794" s="112">
        <f>SQRT((Tableau!$G$35-P794)^2+(Tableau!$H$35-Q794)^2)</f>
        <v>234499.46160893256</v>
      </c>
    </row>
    <row r="795" spans="2:31" x14ac:dyDescent="0.25">
      <c r="B795" s="18">
        <v>792</v>
      </c>
      <c r="C795" s="19">
        <f>Tableau!$G$17*COS(B795*PI()/180)+Tableau!$G$16</f>
        <v>21545.08497187473</v>
      </c>
      <c r="D795" s="19">
        <f>Tableau!$G$17*SIN(B795*PI()/180)+Tableau!$H$16</f>
        <v>12255.282581475771</v>
      </c>
      <c r="F795" s="26">
        <v>792</v>
      </c>
      <c r="G795" s="27">
        <f>Tableau!$G$26*COS(F795*PI()/180)+Tableau!$G$25</f>
        <v>-18918.440519687687</v>
      </c>
      <c r="H795" s="27">
        <f>Tableau!$G$26*SIN(F795*PI()/180)+Tableau!$H$25</f>
        <v>13328.697807033039</v>
      </c>
      <c r="J795" s="34">
        <v>792</v>
      </c>
      <c r="K795" s="35">
        <f>Tableau!$G$36*COS(J795*PI()/180)+Tableau!$G$35</f>
        <v>-3454.9150281252687</v>
      </c>
      <c r="L795" s="35">
        <f>Tableau!$G$36*SIN(J795*PI()/180)+Tableau!$H$35</f>
        <v>-10244.717418524229</v>
      </c>
      <c r="N795" s="98">
        <v>791</v>
      </c>
      <c r="O795" s="99">
        <v>395.5</v>
      </c>
      <c r="P795" s="101">
        <f>P794+R794*Tableau!$G$2+((1/2)*T794)*Tableau!$G$2^2</f>
        <v>46492.919224815385</v>
      </c>
      <c r="Q795" s="101">
        <f>Q794+S794*Tableau!$G$2+((1/2)*U794)*Tableau!$G$2^2</f>
        <v>-244702.92377323462</v>
      </c>
      <c r="R795" s="101">
        <f>R794+T794*Tableau!$G$2</f>
        <v>872.10245167216499</v>
      </c>
      <c r="S795" s="101">
        <f>S794+U794*Tableau!$G$2</f>
        <v>-1653.1657632050108</v>
      </c>
      <c r="T795" s="101">
        <f t="shared" si="24"/>
        <v>-3.5638462895463814</v>
      </c>
      <c r="U795" s="101">
        <f t="shared" si="25"/>
        <v>19.778623868380194</v>
      </c>
      <c r="V795" s="101">
        <f>((Tableau!$G$16-P795)/(AC795^2+Tableau!$G$21^2)^(3/2))*Tableau!$G$20</f>
        <v>-0.84862691217869124</v>
      </c>
      <c r="W795" s="101">
        <f>((Tableau!$H$16-Q795)/(AC795^2+Tableau!$G$21^2)^(3/2))*Tableau!$G$20</f>
        <v>8.0786185405964588</v>
      </c>
      <c r="X795" s="101">
        <f>((Tableau!$G$25-P795)/(AD795^2+Tableau!$G$30^2)^(3/2))*Tableau!$G$29</f>
        <v>-0.65396704411316142</v>
      </c>
      <c r="Y795" s="101">
        <f>((Tableau!$H$25-Q795)/(AD795^2+Tableau!$G$30^2)^(3/2))*Tableau!$G$29</f>
        <v>2.505038433096777</v>
      </c>
      <c r="Z795" s="101">
        <f>((Tableau!$G$35-P795)/(AE795^2+Tableau!$G$40^2)^(3/2))*Tableau!$G$39</f>
        <v>-2.0612523332545289</v>
      </c>
      <c r="AA795" s="102">
        <f>((Tableau!$H$35-Q795)/(AE795^2+Tableau!$G$40^2)^(3/2))*Tableau!$G$39</f>
        <v>9.1949668946869583</v>
      </c>
      <c r="AC795" s="113">
        <f>SQRT((Tableau!$G$16-P795)^2+(Tableau!$H$16-Q795)^2)</f>
        <v>253590.59432246414</v>
      </c>
      <c r="AD795" s="114">
        <f>SQRT((Tableau!$G$25-P795)^2+(Tableau!$H$25-Q795)^2)</f>
        <v>263239.22140454676</v>
      </c>
      <c r="AE795" s="115">
        <f>SQRT((Tableau!$G$35-P795)^2+(Tableau!$H$35-Q795)^2)</f>
        <v>235403.81033506189</v>
      </c>
    </row>
    <row r="796" spans="2:31" x14ac:dyDescent="0.25">
      <c r="B796" s="20">
        <v>793</v>
      </c>
      <c r="C796" s="21">
        <f>Tableau!$G$17*COS(B796*PI()/180)+Tableau!$G$16</f>
        <v>21461.858523613682</v>
      </c>
      <c r="D796" s="21">
        <f>Tableau!$G$17*SIN(B796*PI()/180)+Tableau!$H$16</f>
        <v>12281.523779815177</v>
      </c>
      <c r="F796" s="28">
        <v>793</v>
      </c>
      <c r="G796" s="29">
        <f>Tableau!$G$26*COS(F796*PI()/180)+Tableau!$G$25</f>
        <v>-18976.699033470421</v>
      </c>
      <c r="H796" s="29">
        <f>Tableau!$G$26*SIN(F796*PI()/180)+Tableau!$H$25</f>
        <v>13347.066645870626</v>
      </c>
      <c r="J796" s="36">
        <v>793</v>
      </c>
      <c r="K796" s="37">
        <f>Tableau!$G$36*COS(J796*PI()/180)+Tableau!$G$35</f>
        <v>-3538.1414763863168</v>
      </c>
      <c r="L796" s="37">
        <f>Tableau!$G$36*SIN(J796*PI()/180)+Tableau!$H$35</f>
        <v>-10218.476220184823</v>
      </c>
      <c r="N796" s="92">
        <v>792</v>
      </c>
      <c r="O796" s="93">
        <v>396</v>
      </c>
      <c r="P796" s="96">
        <f>P795+R795*Tableau!$G$2+((1/2)*T795)*Tableau!$G$2^2</f>
        <v>46928.524969865277</v>
      </c>
      <c r="Q796" s="96">
        <f>Q795+S795*Tableau!$G$2+((1/2)*U795)*Tableau!$G$2^2</f>
        <v>-245527.03432685358</v>
      </c>
      <c r="R796" s="96">
        <f>R795+T795*Tableau!$G$2</f>
        <v>870.32052852739184</v>
      </c>
      <c r="S796" s="96">
        <f>S795+U795*Tableau!$G$2</f>
        <v>-1643.2764512708206</v>
      </c>
      <c r="T796" s="96">
        <f t="shared" si="24"/>
        <v>-3.5604006391894947</v>
      </c>
      <c r="U796" s="96">
        <f t="shared" si="25"/>
        <v>19.633238941361547</v>
      </c>
      <c r="V796" s="96">
        <f>((Tableau!$G$16-P796)/(AC796^2+Tableau!$G$21^2)^(3/2))*Tableau!$G$20</f>
        <v>-0.85382341455496757</v>
      </c>
      <c r="W796" s="96">
        <f>((Tableau!$H$16-Q796)/(AC796^2+Tableau!$G$21^2)^(3/2))*Tableau!$G$20</f>
        <v>8.0227345042268006</v>
      </c>
      <c r="X796" s="96">
        <f>((Tableau!$G$25-P796)/(AD796^2+Tableau!$G$30^2)^(3/2))*Tableau!$G$29</f>
        <v>-0.65149482733644692</v>
      </c>
      <c r="Y796" s="96">
        <f>((Tableau!$H$25-Q796)/(AD796^2+Tableau!$G$30^2)^(3/2))*Tableau!$G$29</f>
        <v>2.4873481252354415</v>
      </c>
      <c r="Z796" s="96">
        <f>((Tableau!$G$35-P796)/(AE796^2+Tableau!$G$40^2)^(3/2))*Tableau!$G$39</f>
        <v>-2.0550823972980803</v>
      </c>
      <c r="AA796" s="97">
        <f>((Tableau!$H$35-Q796)/(AE796^2+Tableau!$G$40^2)^(3/2))*Tableau!$G$39</f>
        <v>9.1231563118993062</v>
      </c>
      <c r="AC796" s="110">
        <f>SQRT((Tableau!$G$16-P796)^2+(Tableau!$H$16-Q796)^2)</f>
        <v>254455.94030655955</v>
      </c>
      <c r="AD796" s="111">
        <f>SQRT((Tableau!$G$25-P796)^2+(Tableau!$H$25-Q796)^2)</f>
        <v>264146.72575392429</v>
      </c>
      <c r="AE796" s="112">
        <f>SQRT((Tableau!$G$35-P796)^2+(Tableau!$H$35-Q796)^2)</f>
        <v>236303.3754754262</v>
      </c>
    </row>
    <row r="797" spans="2:31" x14ac:dyDescent="0.25">
      <c r="B797" s="18">
        <v>794</v>
      </c>
      <c r="C797" s="19">
        <f>Tableau!$G$17*COS(B797*PI()/180)+Tableau!$G$16</f>
        <v>21378.186779085001</v>
      </c>
      <c r="D797" s="19">
        <f>Tableau!$G$17*SIN(B797*PI()/180)+Tableau!$H$16</f>
        <v>12306.308479691594</v>
      </c>
      <c r="F797" s="26">
        <v>794</v>
      </c>
      <c r="G797" s="27">
        <f>Tableau!$G$26*COS(F797*PI()/180)+Tableau!$G$25</f>
        <v>-19035.269254640501</v>
      </c>
      <c r="H797" s="27">
        <f>Tableau!$G$26*SIN(F797*PI()/180)+Tableau!$H$25</f>
        <v>13364.415935784114</v>
      </c>
      <c r="J797" s="34">
        <v>794</v>
      </c>
      <c r="K797" s="35">
        <f>Tableau!$G$36*COS(J797*PI()/180)+Tableau!$G$35</f>
        <v>-3621.8132209149994</v>
      </c>
      <c r="L797" s="35">
        <f>Tableau!$G$36*SIN(J797*PI()/180)+Tableau!$H$35</f>
        <v>-10193.691520308406</v>
      </c>
      <c r="N797" s="98">
        <v>793</v>
      </c>
      <c r="O797" s="99">
        <v>396.5</v>
      </c>
      <c r="P797" s="101">
        <f>P796+R796*Tableau!$G$2+((1/2)*T796)*Tableau!$G$2^2</f>
        <v>47363.240184049071</v>
      </c>
      <c r="Q797" s="101">
        <f>Q796+S796*Tableau!$G$2+((1/2)*U796)*Tableau!$G$2^2</f>
        <v>-246346.2183976213</v>
      </c>
      <c r="R797" s="101">
        <f>R796+T796*Tableau!$G$2</f>
        <v>868.54032820779707</v>
      </c>
      <c r="S797" s="101">
        <f>S796+U796*Tableau!$G$2</f>
        <v>-1633.4598318001399</v>
      </c>
      <c r="T797" s="101">
        <f t="shared" si="24"/>
        <v>-3.5568918033244206</v>
      </c>
      <c r="U797" s="101">
        <f t="shared" si="25"/>
        <v>19.490159767539929</v>
      </c>
      <c r="V797" s="101">
        <f>((Tableau!$G$16-P797)/(AC797^2+Tableau!$G$21^2)^(3/2))*Tableau!$G$20</f>
        <v>-0.8588742313551011</v>
      </c>
      <c r="W797" s="101">
        <f>((Tableau!$H$16-Q797)/(AC797^2+Tableau!$G$21^2)^(3/2))*Tableau!$G$20</f>
        <v>7.967695866505907</v>
      </c>
      <c r="X797" s="101">
        <f>((Tableau!$G$25-P797)/(AD797^2+Tableau!$G$30^2)^(3/2))*Tableau!$G$29</f>
        <v>-0.64905419994362357</v>
      </c>
      <c r="Y797" s="101">
        <f>((Tableau!$H$25-Q797)/(AD797^2+Tableau!$G$30^2)^(3/2))*Tableau!$G$29</f>
        <v>2.4699315121430163</v>
      </c>
      <c r="Z797" s="101">
        <f>((Tableau!$G$35-P797)/(AE797^2+Tableau!$G$40^2)^(3/2))*Tableau!$G$39</f>
        <v>-2.0489633720256957</v>
      </c>
      <c r="AA797" s="102">
        <f>((Tableau!$H$35-Q797)/(AE797^2+Tableau!$G$40^2)^(3/2))*Tableau!$G$39</f>
        <v>9.0525323888910041</v>
      </c>
      <c r="AC797" s="113">
        <f>SQRT((Tableau!$G$16-P797)^2+(Tableau!$H$16-Q797)^2)</f>
        <v>255316.76307705062</v>
      </c>
      <c r="AD797" s="114">
        <f>SQRT((Tableau!$G$25-P797)^2+(Tableau!$H$25-Q797)^2)</f>
        <v>265049.41013866611</v>
      </c>
      <c r="AE797" s="115">
        <f>SQRT((Tableau!$G$35-P797)^2+(Tableau!$H$35-Q797)^2)</f>
        <v>237198.19073815108</v>
      </c>
    </row>
    <row r="798" spans="2:31" x14ac:dyDescent="0.25">
      <c r="B798" s="20">
        <v>795</v>
      </c>
      <c r="C798" s="21">
        <f>Tableau!$G$17*COS(B798*PI()/180)+Tableau!$G$16</f>
        <v>21294.095225512614</v>
      </c>
      <c r="D798" s="21">
        <f>Tableau!$G$17*SIN(B798*PI()/180)+Tableau!$H$16</f>
        <v>12329.629131445339</v>
      </c>
      <c r="F798" s="28">
        <v>795</v>
      </c>
      <c r="G798" s="29">
        <f>Tableau!$G$26*COS(F798*PI()/180)+Tableau!$G$25</f>
        <v>-19094.133342141169</v>
      </c>
      <c r="H798" s="29">
        <f>Tableau!$G$26*SIN(F798*PI()/180)+Tableau!$H$25</f>
        <v>13380.740392011738</v>
      </c>
      <c r="J798" s="36">
        <v>795</v>
      </c>
      <c r="K798" s="37">
        <f>Tableau!$G$36*COS(J798*PI()/180)+Tableau!$G$35</f>
        <v>-3705.904774487386</v>
      </c>
      <c r="L798" s="37">
        <f>Tableau!$G$36*SIN(J798*PI()/180)+Tableau!$H$35</f>
        <v>-10170.370868554661</v>
      </c>
      <c r="N798" s="92">
        <v>794</v>
      </c>
      <c r="O798" s="93">
        <v>397</v>
      </c>
      <c r="P798" s="96">
        <f>P797+R797*Tableau!$G$2+((1/2)*T797)*Tableau!$G$2^2</f>
        <v>47797.065736677556</v>
      </c>
      <c r="Q798" s="96">
        <f>Q797+S797*Tableau!$G$2+((1/2)*U797)*Tableau!$G$2^2</f>
        <v>-247160.51204355044</v>
      </c>
      <c r="R798" s="96">
        <f>R797+T797*Tableau!$G$2</f>
        <v>866.76188230613491</v>
      </c>
      <c r="S798" s="96">
        <f>S797+U797*Tableau!$G$2</f>
        <v>-1623.71475191637</v>
      </c>
      <c r="T798" s="96">
        <f t="shared" si="24"/>
        <v>-3.5533238621928893</v>
      </c>
      <c r="U798" s="96">
        <f t="shared" si="25"/>
        <v>19.349335211585149</v>
      </c>
      <c r="V798" s="96">
        <f>((Tableau!$G$16-P798)/(AC798^2+Tableau!$G$21^2)^(3/2))*Tableau!$G$20</f>
        <v>-0.86378393193758352</v>
      </c>
      <c r="W798" s="96">
        <f>((Tableau!$H$16-Q798)/(AC798^2+Tableau!$G$21^2)^(3/2))*Tableau!$G$20</f>
        <v>7.9134848435448006</v>
      </c>
      <c r="X798" s="96">
        <f>((Tableau!$G$25-P798)/(AD798^2+Tableau!$G$30^2)^(3/2))*Tableau!$G$29</f>
        <v>-0.64664463828142771</v>
      </c>
      <c r="Y798" s="96">
        <f>((Tableau!$H$25-Q798)/(AD798^2+Tableau!$G$30^2)^(3/2))*Tableau!$G$29</f>
        <v>2.4527826460298607</v>
      </c>
      <c r="Z798" s="96">
        <f>((Tableau!$G$35-P798)/(AE798^2+Tableau!$G$40^2)^(3/2))*Tableau!$G$39</f>
        <v>-2.0428952919738781</v>
      </c>
      <c r="AA798" s="97">
        <f>((Tableau!$H$35-Q798)/(AE798^2+Tableau!$G$40^2)^(3/2))*Tableau!$G$39</f>
        <v>8.9830677220104871</v>
      </c>
      <c r="AC798" s="110">
        <f>SQRT((Tableau!$G$16-P798)^2+(Tableau!$H$16-Q798)^2)</f>
        <v>256173.09237672185</v>
      </c>
      <c r="AD798" s="111">
        <f>SQRT((Tableau!$G$25-P798)^2+(Tableau!$H$25-Q798)^2)</f>
        <v>265947.3088358001</v>
      </c>
      <c r="AE798" s="112">
        <f>SQRT((Tableau!$G$35-P798)^2+(Tableau!$H$35-Q798)^2)</f>
        <v>238088.28930194484</v>
      </c>
    </row>
    <row r="799" spans="2:31" x14ac:dyDescent="0.25">
      <c r="B799" s="18">
        <v>796</v>
      </c>
      <c r="C799" s="19">
        <f>Tableau!$G$17*COS(B799*PI()/180)+Tableau!$G$16</f>
        <v>21209.609477998336</v>
      </c>
      <c r="D799" s="19">
        <f>Tableau!$G$17*SIN(B799*PI()/180)+Tableau!$H$16</f>
        <v>12351.478631379983</v>
      </c>
      <c r="F799" s="26">
        <v>796</v>
      </c>
      <c r="G799" s="27">
        <f>Tableau!$G$26*COS(F799*PI()/180)+Tableau!$G$25</f>
        <v>-19153.273365401164</v>
      </c>
      <c r="H799" s="27">
        <f>Tableau!$G$26*SIN(F799*PI()/180)+Tableau!$H$25</f>
        <v>13396.035041965988</v>
      </c>
      <c r="J799" s="34">
        <v>796</v>
      </c>
      <c r="K799" s="35">
        <f>Tableau!$G$36*COS(J799*PI()/180)+Tableau!$G$35</f>
        <v>-3790.3905220016636</v>
      </c>
      <c r="L799" s="35">
        <f>Tableau!$G$36*SIN(J799*PI()/180)+Tableau!$H$35</f>
        <v>-10148.521368620017</v>
      </c>
      <c r="N799" s="98">
        <v>795</v>
      </c>
      <c r="O799" s="99">
        <v>397.5</v>
      </c>
      <c r="P799" s="101">
        <f>P798+R798*Tableau!$G$2+((1/2)*T798)*Tableau!$G$2^2</f>
        <v>48230.002512347848</v>
      </c>
      <c r="Q799" s="101">
        <f>Q798+S798*Tableau!$G$2+((1/2)*U798)*Tableau!$G$2^2</f>
        <v>-247969.95075260717</v>
      </c>
      <c r="R799" s="101">
        <f>R798+T798*Tableau!$G$2</f>
        <v>864.98522037503847</v>
      </c>
      <c r="S799" s="101">
        <f>S798+U798*Tableau!$G$2</f>
        <v>-1614.0400843105774</v>
      </c>
      <c r="T799" s="101">
        <f t="shared" si="24"/>
        <v>-3.5497007190349468</v>
      </c>
      <c r="U799" s="101">
        <f t="shared" si="25"/>
        <v>19.210715616813218</v>
      </c>
      <c r="V799" s="101">
        <f>((Tableau!$G$16-P799)/(AC799^2+Tableau!$G$21^2)^(3/2))*Tableau!$G$20</f>
        <v>-0.86855692554584607</v>
      </c>
      <c r="W799" s="101">
        <f>((Tableau!$H$16-Q799)/(AC799^2+Tableau!$G$21^2)^(3/2))*Tableau!$G$20</f>
        <v>7.8600841391345275</v>
      </c>
      <c r="X799" s="101">
        <f>((Tableau!$G$25-P799)/(AD799^2+Tableau!$G$30^2)^(3/2))*Tableau!$G$29</f>
        <v>-0.6442656306972665</v>
      </c>
      <c r="Y799" s="101">
        <f>((Tableau!$H$25-Q799)/(AD799^2+Tableau!$G$30^2)^(3/2))*Tableau!$G$29</f>
        <v>2.4358957482449624</v>
      </c>
      <c r="Z799" s="101">
        <f>((Tableau!$G$35-P799)/(AE799^2+Tableau!$G$40^2)^(3/2))*Tableau!$G$39</f>
        <v>-2.0368781627918344</v>
      </c>
      <c r="AA799" s="102">
        <f>((Tableau!$H$35-Q799)/(AE799^2+Tableau!$G$40^2)^(3/2))*Tableau!$G$39</f>
        <v>8.9147357294337297</v>
      </c>
      <c r="AC799" s="113">
        <f>SQRT((Tableau!$G$16-P799)^2+(Tableau!$H$16-Q799)^2)</f>
        <v>257024.95750293726</v>
      </c>
      <c r="AD799" s="114">
        <f>SQRT((Tableau!$G$25-P799)^2+(Tableau!$H$25-Q799)^2)</f>
        <v>266840.45557999174</v>
      </c>
      <c r="AE799" s="115">
        <f>SQRT((Tableau!$G$35-P799)^2+(Tableau!$H$35-Q799)^2)</f>
        <v>238973.70382771568</v>
      </c>
    </row>
    <row r="800" spans="2:31" x14ac:dyDescent="0.25">
      <c r="B800" s="20">
        <v>797</v>
      </c>
      <c r="C800" s="21">
        <f>Tableau!$G$17*COS(B800*PI()/180)+Tableau!$G$16</f>
        <v>21124.755271719328</v>
      </c>
      <c r="D800" s="21">
        <f>Tableau!$G$17*SIN(B800*PI()/180)+Tableau!$H$16</f>
        <v>12371.850323926175</v>
      </c>
      <c r="F800" s="28">
        <v>797</v>
      </c>
      <c r="G800" s="29">
        <f>Tableau!$G$26*COS(F800*PI()/180)+Tableau!$G$25</f>
        <v>-19212.671309796471</v>
      </c>
      <c r="H800" s="29">
        <f>Tableau!$G$26*SIN(F800*PI()/180)+Tableau!$H$25</f>
        <v>13410.295226748323</v>
      </c>
      <c r="J800" s="36">
        <v>797</v>
      </c>
      <c r="K800" s="37">
        <f>Tableau!$G$36*COS(J800*PI()/180)+Tableau!$G$35</f>
        <v>-3875.244728280672</v>
      </c>
      <c r="L800" s="37">
        <f>Tableau!$G$36*SIN(J800*PI()/180)+Tableau!$H$35</f>
        <v>-10128.149676073825</v>
      </c>
      <c r="N800" s="92">
        <v>796</v>
      </c>
      <c r="O800" s="93">
        <v>398</v>
      </c>
      <c r="P800" s="96">
        <f>P799+R799*Tableau!$G$2+((1/2)*T799)*Tableau!$G$2^2</f>
        <v>48662.051409945489</v>
      </c>
      <c r="Q800" s="96">
        <f>Q799+S799*Tableau!$G$2+((1/2)*U799)*Tableau!$G$2^2</f>
        <v>-248774.56945531035</v>
      </c>
      <c r="R800" s="96">
        <f>R799+T799*Tableau!$G$2</f>
        <v>863.21037001552099</v>
      </c>
      <c r="S800" s="96">
        <f>S799+U799*Tableau!$G$2</f>
        <v>-1604.4347265021709</v>
      </c>
      <c r="T800" s="96">
        <f t="shared" si="24"/>
        <v>-3.5460261081677502</v>
      </c>
      <c r="U800" s="96">
        <f t="shared" si="25"/>
        <v>19.074252752825227</v>
      </c>
      <c r="V800" s="96">
        <f>((Tableau!$G$16-P800)/(AC800^2+Tableau!$G$21^2)^(3/2))*Tableau!$G$20</f>
        <v>-0.87319746777542528</v>
      </c>
      <c r="W800" s="96">
        <f>((Tableau!$H$16-Q800)/(AC800^2+Tableau!$G$21^2)^(3/2))*Tableau!$G$20</f>
        <v>7.8074769283947756</v>
      </c>
      <c r="X800" s="96">
        <f>((Tableau!$G$25-P800)/(AD800^2+Tableau!$G$30^2)^(3/2))*Tableau!$G$29</f>
        <v>-0.64191667719855694</v>
      </c>
      <c r="Y800" s="96">
        <f>((Tableau!$H$25-Q800)/(AD800^2+Tableau!$G$30^2)^(3/2))*Tableau!$G$29</f>
        <v>2.4192652033722841</v>
      </c>
      <c r="Z800" s="96">
        <f>((Tableau!$G$35-P800)/(AE800^2+Tableau!$G$40^2)^(3/2))*Tableau!$G$39</f>
        <v>-2.030911963193768</v>
      </c>
      <c r="AA800" s="97">
        <f>((Tableau!$H$35-Q800)/(AE800^2+Tableau!$G$40^2)^(3/2))*Tableau!$G$39</f>
        <v>8.8475106210581682</v>
      </c>
      <c r="AC800" s="110">
        <f>SQRT((Tableau!$G$16-P800)^2+(Tableau!$H$16-Q800)^2)</f>
        <v>257872.38731692667</v>
      </c>
      <c r="AD800" s="111">
        <f>SQRT((Tableau!$G$25-P800)^2+(Tableau!$H$25-Q800)^2)</f>
        <v>267728.8835755366</v>
      </c>
      <c r="AE800" s="112">
        <f>SQRT((Tableau!$G$35-P800)^2+(Tableau!$H$35-Q800)^2)</f>
        <v>239854.46646985618</v>
      </c>
    </row>
    <row r="801" spans="2:31" x14ac:dyDescent="0.25">
      <c r="B801" s="18">
        <v>798</v>
      </c>
      <c r="C801" s="19">
        <f>Tableau!$G$17*COS(B801*PI()/180)+Tableau!$G$16</f>
        <v>21039.558454088805</v>
      </c>
      <c r="D801" s="19">
        <f>Tableau!$G$17*SIN(B801*PI()/180)+Tableau!$H$16</f>
        <v>12390.738003669027</v>
      </c>
      <c r="F801" s="26">
        <v>798</v>
      </c>
      <c r="G801" s="27">
        <f>Tableau!$G$26*COS(F801*PI()/180)+Tableau!$G$25</f>
        <v>-19272.309082137836</v>
      </c>
      <c r="H801" s="27">
        <f>Tableau!$G$26*SIN(F801*PI()/180)+Tableau!$H$25</f>
        <v>13423.516602568317</v>
      </c>
      <c r="J801" s="34">
        <v>798</v>
      </c>
      <c r="K801" s="35">
        <f>Tableau!$G$36*COS(J801*PI()/180)+Tableau!$G$35</f>
        <v>-3960.4415459111951</v>
      </c>
      <c r="L801" s="35">
        <f>Tableau!$G$36*SIN(J801*PI()/180)+Tableau!$H$35</f>
        <v>-10109.261996330973</v>
      </c>
      <c r="N801" s="98">
        <v>797</v>
      </c>
      <c r="O801" s="99">
        <v>398.5</v>
      </c>
      <c r="P801" s="101">
        <f>P800+R800*Tableau!$G$2+((1/2)*T800)*Tableau!$G$2^2</f>
        <v>49093.213341689734</v>
      </c>
      <c r="Q801" s="101">
        <f>Q800+S800*Tableau!$G$2+((1/2)*U800)*Tableau!$G$2^2</f>
        <v>-249574.40253696733</v>
      </c>
      <c r="R801" s="101">
        <f>R800+T800*Tableau!$G$2</f>
        <v>861.4373569614371</v>
      </c>
      <c r="S801" s="101">
        <f>S800+U800*Tableau!$G$2</f>
        <v>-1594.8976001257583</v>
      </c>
      <c r="T801" s="101">
        <f t="shared" si="24"/>
        <v>-3.5423036026603847</v>
      </c>
      <c r="U801" s="101">
        <f t="shared" si="25"/>
        <v>18.939899765337501</v>
      </c>
      <c r="V801" s="101">
        <f>((Tableau!$G$16-P801)/(AC801^2+Tableau!$G$21^2)^(3/2))*Tableau!$G$20</f>
        <v>-0.87770966674402628</v>
      </c>
      <c r="W801" s="101">
        <f>((Tableau!$H$16-Q801)/(AC801^2+Tableau!$G$21^2)^(3/2))*Tableau!$G$20</f>
        <v>7.7556468420698801</v>
      </c>
      <c r="X801" s="101">
        <f>((Tableau!$G$25-P801)/(AD801^2+Tableau!$G$30^2)^(3/2))*Tableau!$G$29</f>
        <v>-0.63959728912371483</v>
      </c>
      <c r="Y801" s="101">
        <f>((Tableau!$H$25-Q801)/(AD801^2+Tableau!$G$30^2)^(3/2))*Tableau!$G$29</f>
        <v>2.4028855535711</v>
      </c>
      <c r="Z801" s="101">
        <f>((Tableau!$G$35-P801)/(AE801^2+Tableau!$G$40^2)^(3/2))*Tableau!$G$39</f>
        <v>-2.0249966467926437</v>
      </c>
      <c r="AA801" s="102">
        <f>((Tableau!$H$35-Q801)/(AE801^2+Tableau!$G$40^2)^(3/2))*Tableau!$G$39</f>
        <v>8.78136736969652</v>
      </c>
      <c r="AC801" s="113">
        <f>SQRT((Tableau!$G$16-P801)^2+(Tableau!$H$16-Q801)^2)</f>
        <v>258715.41025281773</v>
      </c>
      <c r="AD801" s="114">
        <f>SQRT((Tableau!$G$25-P801)^2+(Tableau!$H$25-Q801)^2)</f>
        <v>268612.62550800509</v>
      </c>
      <c r="AE801" s="115">
        <f>SQRT((Tableau!$G$35-P801)^2+(Tableau!$H$35-Q801)^2)</f>
        <v>240730.6088872056</v>
      </c>
    </row>
    <row r="802" spans="2:31" x14ac:dyDescent="0.25">
      <c r="B802" s="20">
        <v>799</v>
      </c>
      <c r="C802" s="21">
        <f>Tableau!$G$17*COS(B802*PI()/180)+Tableau!$G$16</f>
        <v>20954.044976882727</v>
      </c>
      <c r="D802" s="21">
        <f>Tableau!$G$17*SIN(B802*PI()/180)+Tableau!$H$16</f>
        <v>12408.13591723832</v>
      </c>
      <c r="F802" s="28">
        <v>799</v>
      </c>
      <c r="G802" s="29">
        <f>Tableau!$G$26*COS(F802*PI()/180)+Tableau!$G$25</f>
        <v>-19332.16851618209</v>
      </c>
      <c r="H802" s="29">
        <f>Tableau!$G$26*SIN(F802*PI()/180)+Tableau!$H$25</f>
        <v>13435.695142066823</v>
      </c>
      <c r="J802" s="36">
        <v>799</v>
      </c>
      <c r="K802" s="37">
        <f>Tableau!$G$36*COS(J802*PI()/180)+Tableau!$G$35</f>
        <v>-4045.9550231172707</v>
      </c>
      <c r="L802" s="37">
        <f>Tableau!$G$36*SIN(J802*PI()/180)+Tableau!$H$35</f>
        <v>-10091.86408276168</v>
      </c>
      <c r="N802" s="92">
        <v>798</v>
      </c>
      <c r="O802" s="93">
        <v>399</v>
      </c>
      <c r="P802" s="96">
        <f>P801+R801*Tableau!$G$2+((1/2)*T801)*Tableau!$G$2^2</f>
        <v>49523.489232220119</v>
      </c>
      <c r="Q802" s="96">
        <f>Q801+S801*Tableau!$G$2+((1/2)*U801)*Tableau!$G$2^2</f>
        <v>-250369.48384955953</v>
      </c>
      <c r="R802" s="96">
        <f>R801+T801*Tableau!$G$2</f>
        <v>859.66620516010687</v>
      </c>
      <c r="S802" s="96">
        <f>S801+U801*Tableau!$G$2</f>
        <v>-1585.4276502430896</v>
      </c>
      <c r="T802" s="96">
        <f t="shared" si="24"/>
        <v>-3.538536621627002</v>
      </c>
      <c r="U802" s="96">
        <f t="shared" si="25"/>
        <v>18.807611128097136</v>
      </c>
      <c r="V802" s="96">
        <f>((Tableau!$G$16-P802)/(AC802^2+Tableau!$G$21^2)^(3/2))*Tableau!$G$20</f>
        <v>-0.88209748897975149</v>
      </c>
      <c r="W802" s="96">
        <f>((Tableau!$H$16-Q802)/(AC802^2+Tableau!$G$21^2)^(3/2))*Tableau!$G$20</f>
        <v>7.7045779514420882</v>
      </c>
      <c r="X802" s="96">
        <f>((Tableau!$G$25-P802)/(AD802^2+Tableau!$G$30^2)^(3/2))*Tableau!$G$29</f>
        <v>-0.63730698882428616</v>
      </c>
      <c r="Y802" s="96">
        <f>((Tableau!$H$25-Q802)/(AD802^2+Tableau!$G$30^2)^(3/2))*Tableau!$G$29</f>
        <v>2.3867514931485192</v>
      </c>
      <c r="Z802" s="96">
        <f>((Tableau!$G$35-P802)/(AE802^2+Tableau!$G$40^2)^(3/2))*Tableau!$G$39</f>
        <v>-2.0191321438229646</v>
      </c>
      <c r="AA802" s="97">
        <f>((Tableau!$H$35-Q802)/(AE802^2+Tableau!$G$40^2)^(3/2))*Tableau!$G$39</f>
        <v>8.7162816835065282</v>
      </c>
      <c r="AC802" s="110">
        <f>SQRT((Tableau!$G$16-P802)^2+(Tableau!$H$16-Q802)^2)</f>
        <v>259554.05432642208</v>
      </c>
      <c r="AD802" s="111">
        <f>SQRT((Tableau!$G$25-P802)^2+(Tableau!$H$25-Q802)^2)</f>
        <v>269491.71355555381</v>
      </c>
      <c r="AE802" s="112">
        <f>SQRT((Tableau!$G$35-P802)^2+(Tableau!$H$35-Q802)^2)</f>
        <v>241602.16225370188</v>
      </c>
    </row>
    <row r="803" spans="2:31" x14ac:dyDescent="0.25">
      <c r="B803" s="18">
        <v>800</v>
      </c>
      <c r="C803" s="19">
        <f>Tableau!$G$17*COS(B803*PI()/180)+Tableau!$G$16</f>
        <v>20868.240888334654</v>
      </c>
      <c r="D803" s="19">
        <f>Tableau!$G$17*SIN(B803*PI()/180)+Tableau!$H$16</f>
        <v>12424.038765061039</v>
      </c>
      <c r="F803" s="26">
        <v>800</v>
      </c>
      <c r="G803" s="27">
        <f>Tableau!$G$26*COS(F803*PI()/180)+Tableau!$G$25</f>
        <v>-19392.231378165743</v>
      </c>
      <c r="H803" s="27">
        <f>Tableau!$G$26*SIN(F803*PI()/180)+Tableau!$H$25</f>
        <v>13446.827135542728</v>
      </c>
      <c r="J803" s="34">
        <v>800</v>
      </c>
      <c r="K803" s="35">
        <f>Tableau!$G$36*COS(J803*PI()/180)+Tableau!$G$35</f>
        <v>-4131.7591116653466</v>
      </c>
      <c r="L803" s="35">
        <f>Tableau!$G$36*SIN(J803*PI()/180)+Tableau!$H$35</f>
        <v>-10075.961234938961</v>
      </c>
      <c r="N803" s="98">
        <v>799</v>
      </c>
      <c r="O803" s="99">
        <v>399.5</v>
      </c>
      <c r="P803" s="101">
        <f>P802+R802*Tableau!$G$2+((1/2)*T802)*Tableau!$G$2^2</f>
        <v>49952.880017722469</v>
      </c>
      <c r="Q803" s="101">
        <f>Q802+S802*Tableau!$G$2+((1/2)*U802)*Tableau!$G$2^2</f>
        <v>-251159.84672329007</v>
      </c>
      <c r="R803" s="101">
        <f>R802+T802*Tableau!$G$2</f>
        <v>857.89693684929341</v>
      </c>
      <c r="S803" s="101">
        <f>S802+U802*Tableau!$G$2</f>
        <v>-1576.0238446790411</v>
      </c>
      <c r="T803" s="101">
        <f t="shared" si="24"/>
        <v>-3.534728437159218</v>
      </c>
      <c r="U803" s="101">
        <f t="shared" si="25"/>
        <v>18.677342596783404</v>
      </c>
      <c r="V803" s="101">
        <f>((Tableau!$G$16-P803)/(AC803^2+Tableau!$G$21^2)^(3/2))*Tableau!$G$20</f>
        <v>-0.88636476504202322</v>
      </c>
      <c r="W803" s="101">
        <f>((Tableau!$H$16-Q803)/(AC803^2+Tableau!$G$21^2)^(3/2))*Tableau!$G$20</f>
        <v>7.6542547538347723</v>
      </c>
      <c r="X803" s="101">
        <f>((Tableau!$G$25-P803)/(AD803^2+Tableau!$G$30^2)^(3/2))*Tableau!$G$29</f>
        <v>-0.63504530935781356</v>
      </c>
      <c r="Y803" s="101">
        <f>((Tableau!$H$25-Q803)/(AD803^2+Tableau!$G$30^2)^(3/2))*Tableau!$G$29</f>
        <v>2.3708578633533524</v>
      </c>
      <c r="Z803" s="101">
        <f>((Tableau!$G$35-P803)/(AE803^2+Tableau!$G$40^2)^(3/2))*Tableau!$G$39</f>
        <v>-2.0133183627593811</v>
      </c>
      <c r="AA803" s="102">
        <f>((Tableau!$H$35-Q803)/(AE803^2+Tableau!$G$40^2)^(3/2))*Tableau!$G$39</f>
        <v>8.6522299795952797</v>
      </c>
      <c r="AC803" s="113">
        <f>SQRT((Tableau!$G$16-P803)^2+(Tableau!$H$16-Q803)^2)</f>
        <v>260388.34714378446</v>
      </c>
      <c r="AD803" s="114">
        <f>SQRT((Tableau!$G$25-P803)^2+(Tableau!$H$25-Q803)^2)</f>
        <v>270366.17939991358</v>
      </c>
      <c r="AE803" s="115">
        <f>SQRT((Tableau!$G$35-P803)^2+(Tableau!$H$35-Q803)^2)</f>
        <v>242469.15726873401</v>
      </c>
    </row>
    <row r="804" spans="2:31" x14ac:dyDescent="0.25">
      <c r="B804" s="20">
        <v>801</v>
      </c>
      <c r="C804" s="21">
        <f>Tableau!$G$17*COS(B804*PI()/180)+Tableau!$G$16</f>
        <v>20782.172325201162</v>
      </c>
      <c r="D804" s="21">
        <f>Tableau!$G$17*SIN(B804*PI()/180)+Tableau!$H$16</f>
        <v>12438.441702975688</v>
      </c>
      <c r="F804" s="28">
        <v>801</v>
      </c>
      <c r="G804" s="29">
        <f>Tableau!$G$26*COS(F804*PI()/180)+Tableau!$G$25</f>
        <v>-19452.479372359187</v>
      </c>
      <c r="H804" s="29">
        <f>Tableau!$G$26*SIN(F804*PI()/180)+Tableau!$H$25</f>
        <v>13456.909192082981</v>
      </c>
      <c r="J804" s="36">
        <v>801</v>
      </c>
      <c r="K804" s="37">
        <f>Tableau!$G$36*COS(J804*PI()/180)+Tableau!$G$35</f>
        <v>-4217.8276747988384</v>
      </c>
      <c r="L804" s="37">
        <f>Tableau!$G$36*SIN(J804*PI()/180)+Tableau!$H$35</f>
        <v>-10061.558297024312</v>
      </c>
      <c r="N804" s="92">
        <v>800</v>
      </c>
      <c r="O804" s="93">
        <v>400</v>
      </c>
      <c r="P804" s="96">
        <f>P803+R803*Tableau!$G$2+((1/2)*T803)*Tableau!$G$2^2</f>
        <v>50381.386645092476</v>
      </c>
      <c r="Q804" s="96">
        <f>Q803+S803*Tableau!$G$2+((1/2)*U803)*Tableau!$G$2^2</f>
        <v>-251945.52397780502</v>
      </c>
      <c r="R804" s="96">
        <f>R803+T803*Tableau!$G$2</f>
        <v>856.12957263071382</v>
      </c>
      <c r="S804" s="96">
        <f>S803+U803*Tableau!$G$2</f>
        <v>-1566.6851733806493</v>
      </c>
      <c r="T804" s="96">
        <f t="shared" si="24"/>
        <v>-3.5308821809172777</v>
      </c>
      <c r="U804" s="96">
        <f t="shared" si="25"/>
        <v>18.549051164799319</v>
      </c>
      <c r="V804" s="96">
        <f>((Tableau!$G$16-P804)/(AC804^2+Tableau!$G$21^2)^(3/2))*Tableau!$G$20</f>
        <v>-0.89051519488873976</v>
      </c>
      <c r="W804" s="96">
        <f>((Tableau!$H$16-Q804)/(AC804^2+Tableau!$G$21^2)^(3/2))*Tableau!$G$20</f>
        <v>7.6046621586782086</v>
      </c>
      <c r="X804" s="96">
        <f>((Tableau!$G$25-P804)/(AD804^2+Tableau!$G$30^2)^(3/2))*Tableau!$G$29</f>
        <v>-0.63281179419097677</v>
      </c>
      <c r="Y804" s="96">
        <f>((Tableau!$H$25-Q804)/(AD804^2+Tableau!$G$30^2)^(3/2))*Tableau!$G$29</f>
        <v>2.3551996473807537</v>
      </c>
      <c r="Z804" s="96">
        <f>((Tableau!$G$35-P804)/(AE804^2+Tableau!$G$40^2)^(3/2))*Tableau!$G$39</f>
        <v>-2.0075551918375609</v>
      </c>
      <c r="AA804" s="97">
        <f>((Tableau!$H$35-Q804)/(AE804^2+Tableau!$G$40^2)^(3/2))*Tableau!$G$39</f>
        <v>8.5891893587403576</v>
      </c>
      <c r="AC804" s="110">
        <f>SQRT((Tableau!$G$16-P804)^2+(Tableau!$H$16-Q804)^2)</f>
        <v>261218.31590950204</v>
      </c>
      <c r="AD804" s="111">
        <f>SQRT((Tableau!$G$25-P804)^2+(Tableau!$H$25-Q804)^2)</f>
        <v>271236.05423706636</v>
      </c>
      <c r="AE804" s="112">
        <f>SQRT((Tableau!$G$35-P804)^2+(Tableau!$H$35-Q804)^2)</f>
        <v>243331.62416720478</v>
      </c>
    </row>
    <row r="805" spans="2:31" x14ac:dyDescent="0.25">
      <c r="B805" s="18">
        <v>802</v>
      </c>
      <c r="C805" s="19">
        <f>Tableau!$G$17*COS(B805*PI()/180)+Tableau!$G$16</f>
        <v>20695.865504800331</v>
      </c>
      <c r="D805" s="19">
        <f>Tableau!$G$17*SIN(B805*PI()/180)+Tableau!$H$16</f>
        <v>12451.340343707852</v>
      </c>
      <c r="F805" s="26">
        <v>802</v>
      </c>
      <c r="G805" s="27">
        <f>Tableau!$G$26*COS(F805*PI()/180)+Tableau!$G$25</f>
        <v>-19512.89414663977</v>
      </c>
      <c r="H805" s="27">
        <f>Tableau!$G$26*SIN(F805*PI()/180)+Tableau!$H$25</f>
        <v>13465.938240595497</v>
      </c>
      <c r="J805" s="34">
        <v>802</v>
      </c>
      <c r="K805" s="35">
        <f>Tableau!$G$36*COS(J805*PI()/180)+Tableau!$G$35</f>
        <v>-4304.1344951996689</v>
      </c>
      <c r="L805" s="35">
        <f>Tableau!$G$36*SIN(J805*PI()/180)+Tableau!$H$35</f>
        <v>-10048.659656292148</v>
      </c>
      <c r="N805" s="98">
        <v>801</v>
      </c>
      <c r="O805" s="99">
        <v>400.5</v>
      </c>
      <c r="P805" s="101">
        <f>P804+R804*Tableau!$G$2+((1/2)*T804)*Tableau!$G$2^2</f>
        <v>50809.010071135221</v>
      </c>
      <c r="Q805" s="101">
        <f>Q804+S804*Tableau!$G$2+((1/2)*U804)*Tableau!$G$2^2</f>
        <v>-252726.54793309973</v>
      </c>
      <c r="R805" s="101">
        <f>R804+T804*Tableau!$G$2</f>
        <v>854.36413154025513</v>
      </c>
      <c r="S805" s="101">
        <f>S804+U804*Tableau!$G$2</f>
        <v>-1557.4106477982496</v>
      </c>
      <c r="T805" s="101">
        <f t="shared" si="24"/>
        <v>-3.5270008503988834</v>
      </c>
      <c r="U805" s="101">
        <f t="shared" si="25"/>
        <v>18.422695020866541</v>
      </c>
      <c r="V805" s="101">
        <f>((Tableau!$G$16-P805)/(AC805^2+Tableau!$G$21^2)^(3/2))*Tableau!$G$20</f>
        <v>-0.89455235300268165</v>
      </c>
      <c r="W805" s="101">
        <f>((Tableau!$H$16-Q805)/(AC805^2+Tableau!$G$21^2)^(3/2))*Tableau!$G$20</f>
        <v>7.5557854741141321</v>
      </c>
      <c r="X805" s="101">
        <f>((Tableau!$G$25-P805)/(AD805^2+Tableau!$G$30^2)^(3/2))*Tableau!$G$29</f>
        <v>-0.63060599691265529</v>
      </c>
      <c r="Y805" s="101">
        <f>((Tableau!$H$25-Q805)/(AD805^2+Tableau!$G$30^2)^(3/2))*Tableau!$G$29</f>
        <v>2.3397719655780058</v>
      </c>
      <c r="Z805" s="101">
        <f>((Tableau!$G$35-P805)/(AE805^2+Tableau!$G$40^2)^(3/2))*Tableau!$G$39</f>
        <v>-2.0018425004835465</v>
      </c>
      <c r="AA805" s="102">
        <f>((Tableau!$H$35-Q805)/(AE805^2+Tableau!$G$40^2)^(3/2))*Tableau!$G$39</f>
        <v>8.5271375811744061</v>
      </c>
      <c r="AC805" s="113">
        <f>SQRT((Tableau!$G$16-P805)^2+(Tableau!$H$16-Q805)^2)</f>
        <v>262043.98743482202</v>
      </c>
      <c r="AD805" s="114">
        <f>SQRT((Tableau!$G$25-P805)^2+(Tableau!$H$25-Q805)^2)</f>
        <v>272101.36878762202</v>
      </c>
      <c r="AE805" s="115">
        <f>SQRT((Tableau!$G$35-P805)^2+(Tableau!$H$35-Q805)^2)</f>
        <v>244189.59272931441</v>
      </c>
    </row>
    <row r="806" spans="2:31" x14ac:dyDescent="0.25">
      <c r="B806" s="20">
        <v>803</v>
      </c>
      <c r="C806" s="21">
        <f>Tableau!$G$17*COS(B806*PI()/180)+Tableau!$G$16</f>
        <v>20609.346717025739</v>
      </c>
      <c r="D806" s="21">
        <f>Tableau!$G$17*SIN(B806*PI()/180)+Tableau!$H$16</f>
        <v>12462.73075820661</v>
      </c>
      <c r="F806" s="28">
        <v>803</v>
      </c>
      <c r="G806" s="29">
        <f>Tableau!$G$26*COS(F806*PI()/180)+Tableau!$G$25</f>
        <v>-19573.457298081983</v>
      </c>
      <c r="H806" s="29">
        <f>Tableau!$G$26*SIN(F806*PI()/180)+Tableau!$H$25</f>
        <v>13473.911530744626</v>
      </c>
      <c r="J806" s="36">
        <v>803</v>
      </c>
      <c r="K806" s="37">
        <f>Tableau!$G$36*COS(J806*PI()/180)+Tableau!$G$35</f>
        <v>-4390.6532829742628</v>
      </c>
      <c r="L806" s="37">
        <f>Tableau!$G$36*SIN(J806*PI()/180)+Tableau!$H$35</f>
        <v>-10037.26924179339</v>
      </c>
      <c r="N806" s="92">
        <v>802</v>
      </c>
      <c r="O806" s="93">
        <v>401</v>
      </c>
      <c r="P806" s="96">
        <f>P805+R805*Tableau!$G$2+((1/2)*T805)*Tableau!$G$2^2</f>
        <v>51235.751261799043</v>
      </c>
      <c r="Q806" s="96">
        <f>Q805+S805*Tableau!$G$2+((1/2)*U805)*Tableau!$G$2^2</f>
        <v>-253502.95042012125</v>
      </c>
      <c r="R806" s="96">
        <f>R805+T805*Tableau!$G$2</f>
        <v>852.60063111505565</v>
      </c>
      <c r="S806" s="96">
        <f>S805+U805*Tableau!$G$2</f>
        <v>-1548.1993002878162</v>
      </c>
      <c r="T806" s="96">
        <f t="shared" si="24"/>
        <v>-3.5230873149026403</v>
      </c>
      <c r="U806" s="96">
        <f t="shared" si="25"/>
        <v>18.298233508336288</v>
      </c>
      <c r="V806" s="96">
        <f>((Tableau!$G$16-P806)/(AC806^2+Tableau!$G$21^2)^(3/2))*Tableau!$G$20</f>
        <v>-0.89847969328915445</v>
      </c>
      <c r="W806" s="96">
        <f>((Tableau!$H$16-Q806)/(AC806^2+Tableau!$G$21^2)^(3/2))*Tableau!$G$20</f>
        <v>7.5076103941137751</v>
      </c>
      <c r="X806" s="96">
        <f>((Tableau!$G$25-P806)/(AD806^2+Tableau!$G$30^2)^(3/2))*Tableau!$G$29</f>
        <v>-0.62842748095648016</v>
      </c>
      <c r="Y806" s="96">
        <f>((Tableau!$H$25-Q806)/(AD806^2+Tableau!$G$30^2)^(3/2))*Tableau!$G$29</f>
        <v>2.3245700708419128</v>
      </c>
      <c r="Z806" s="96">
        <f>((Tableau!$G$35-P806)/(AE806^2+Tableau!$G$40^2)^(3/2))*Tableau!$G$39</f>
        <v>-1.9961801406570054</v>
      </c>
      <c r="AA806" s="97">
        <f>((Tableau!$H$35-Q806)/(AE806^2+Tableau!$G$40^2)^(3/2))*Tableau!$G$39</f>
        <v>8.4660530433806027</v>
      </c>
      <c r="AC806" s="110">
        <f>SQRT((Tableau!$G$16-P806)^2+(Tableau!$H$16-Q806)^2)</f>
        <v>262865.38814552448</v>
      </c>
      <c r="AD806" s="111">
        <f>SQRT((Tableau!$G$25-P806)^2+(Tableau!$H$25-Q806)^2)</f>
        <v>272962.15330690407</v>
      </c>
      <c r="AE806" s="112">
        <f>SQRT((Tableau!$G$35-P806)^2+(Tableau!$H$35-Q806)^2)</f>
        <v>245043.09229007404</v>
      </c>
    </row>
    <row r="807" spans="2:31" x14ac:dyDescent="0.25">
      <c r="B807" s="18">
        <v>804</v>
      </c>
      <c r="C807" s="19">
        <f>Tableau!$G$17*COS(B807*PI()/180)+Tableau!$G$16</f>
        <v>20522.642316338264</v>
      </c>
      <c r="D807" s="19">
        <f>Tableau!$G$17*SIN(B807*PI()/180)+Tableau!$H$16</f>
        <v>12472.609476841368</v>
      </c>
      <c r="F807" s="26">
        <v>804</v>
      </c>
      <c r="G807" s="27">
        <f>Tableau!$G$26*COS(F807*PI()/180)+Tableau!$G$25</f>
        <v>-19634.150378563216</v>
      </c>
      <c r="H807" s="27">
        <f>Tableau!$G$26*SIN(F807*PI()/180)+Tableau!$H$25</f>
        <v>13480.826633788956</v>
      </c>
      <c r="J807" s="34">
        <v>804</v>
      </c>
      <c r="K807" s="35">
        <f>Tableau!$G$36*COS(J807*PI()/180)+Tableau!$G$35</f>
        <v>-4477.3576836617358</v>
      </c>
      <c r="L807" s="35">
        <f>Tableau!$G$36*SIN(J807*PI()/180)+Tableau!$H$35</f>
        <v>-10027.390523158632</v>
      </c>
      <c r="N807" s="98">
        <v>803</v>
      </c>
      <c r="O807" s="99">
        <v>401.5</v>
      </c>
      <c r="P807" s="101">
        <f>P806+R806*Tableau!$G$2+((1/2)*T806)*Tableau!$G$2^2</f>
        <v>51661.611191442207</v>
      </c>
      <c r="Q807" s="101">
        <f>Q806+S806*Tableau!$G$2+((1/2)*U806)*Tableau!$G$2^2</f>
        <v>-254274.76279107662</v>
      </c>
      <c r="R807" s="101">
        <f>R806+T806*Tableau!$G$2</f>
        <v>850.83908745760436</v>
      </c>
      <c r="S807" s="101">
        <f>S806+U806*Tableau!$G$2</f>
        <v>-1539.0501835336481</v>
      </c>
      <c r="T807" s="101">
        <f t="shared" si="24"/>
        <v>-3.519144321202798</v>
      </c>
      <c r="U807" s="101">
        <f t="shared" si="25"/>
        <v>18.175627086137965</v>
      </c>
      <c r="V807" s="101">
        <f>((Tableau!$G$16-P807)/(AC807^2+Tableau!$G$21^2)^(3/2))*Tableau!$G$20</f>
        <v>-0.90230055375640594</v>
      </c>
      <c r="W807" s="101">
        <f>((Tableau!$H$16-Q807)/(AC807^2+Tableau!$G$21^2)^(3/2))*Tableau!$G$20</f>
        <v>7.4601229860874048</v>
      </c>
      <c r="X807" s="101">
        <f>((Tableau!$G$25-P807)/(AD807^2+Tableau!$G$30^2)^(3/2))*Tableau!$G$29</f>
        <v>-0.6262758193325344</v>
      </c>
      <c r="Y807" s="101">
        <f>((Tableau!$H$25-Q807)/(AD807^2+Tableau!$G$30^2)^(3/2))*Tableau!$G$29</f>
        <v>2.3095893441990833</v>
      </c>
      <c r="Z807" s="101">
        <f>((Tableau!$G$35-P807)/(AE807^2+Tableau!$G$40^2)^(3/2))*Tableau!$G$39</f>
        <v>-1.9905679481138576</v>
      </c>
      <c r="AA807" s="102">
        <f>((Tableau!$H$35-Q807)/(AE807^2+Tableau!$G$40^2)^(3/2))*Tableau!$G$39</f>
        <v>8.4059147558514784</v>
      </c>
      <c r="AC807" s="113">
        <f>SQRT((Tableau!$G$16-P807)^2+(Tableau!$H$16-Q807)^2)</f>
        <v>263682.54408959742</v>
      </c>
      <c r="AD807" s="114">
        <f>SQRT((Tableau!$G$25-P807)^2+(Tableau!$H$25-Q807)^2)</f>
        <v>273818.43759475596</v>
      </c>
      <c r="AE807" s="115">
        <f>SQRT((Tableau!$G$35-P807)^2+(Tableau!$H$35-Q807)^2)</f>
        <v>245892.15174855856</v>
      </c>
    </row>
    <row r="808" spans="2:31" x14ac:dyDescent="0.25">
      <c r="B808" s="20">
        <v>805</v>
      </c>
      <c r="C808" s="21">
        <f>Tableau!$G$17*COS(B808*PI()/180)+Tableau!$G$16</f>
        <v>20435.778713738295</v>
      </c>
      <c r="D808" s="21">
        <f>Tableau!$G$17*SIN(B808*PI()/180)+Tableau!$H$16</f>
        <v>12480.973490458728</v>
      </c>
      <c r="F808" s="28">
        <v>805</v>
      </c>
      <c r="G808" s="29">
        <f>Tableau!$G$26*COS(F808*PI()/180)+Tableau!$G$25</f>
        <v>-19694.954900383196</v>
      </c>
      <c r="H808" s="29">
        <f>Tableau!$G$26*SIN(F808*PI()/180)+Tableau!$H$25</f>
        <v>13486.681443321109</v>
      </c>
      <c r="J808" s="36">
        <v>805</v>
      </c>
      <c r="K808" s="37">
        <f>Tableau!$G$36*COS(J808*PI()/180)+Tableau!$G$35</f>
        <v>-4564.2212862617071</v>
      </c>
      <c r="L808" s="37">
        <f>Tableau!$G$36*SIN(J808*PI()/180)+Tableau!$H$35</f>
        <v>-10019.026509541272</v>
      </c>
      <c r="N808" s="92">
        <v>804</v>
      </c>
      <c r="O808" s="93">
        <v>402</v>
      </c>
      <c r="P808" s="96">
        <f>P807+R807*Tableau!$G$2+((1/2)*T807)*Tableau!$G$2^2</f>
        <v>52086.590842130856</v>
      </c>
      <c r="Q808" s="96">
        <f>Q807+S807*Tableau!$G$2+((1/2)*U807)*Tableau!$G$2^2</f>
        <v>-255042.01592945767</v>
      </c>
      <c r="R808" s="96">
        <f>R807+T807*Tableau!$G$2</f>
        <v>849.07951529700301</v>
      </c>
      <c r="S808" s="96">
        <f>S807+U807*Tableau!$G$2</f>
        <v>-1529.9623699905792</v>
      </c>
      <c r="T808" s="96">
        <f t="shared" si="24"/>
        <v>-3.5151744989505911</v>
      </c>
      <c r="U808" s="96">
        <f t="shared" si="25"/>
        <v>18.054837291289122</v>
      </c>
      <c r="V808" s="96">
        <f>((Tableau!$G$16-P808)/(AC808^2+Tableau!$G$21^2)^(3/2))*Tableau!$G$20</f>
        <v>-0.90601816098964005</v>
      </c>
      <c r="W808" s="96">
        <f>((Tableau!$H$16-Q808)/(AC808^2+Tableau!$G$21^2)^(3/2))*Tableau!$G$20</f>
        <v>7.4133096789638042</v>
      </c>
      <c r="X808" s="96">
        <f>((Tableau!$G$25-P808)/(AD808^2+Tableau!$G$30^2)^(3/2))*Tableau!$G$29</f>
        <v>-0.62415059436786413</v>
      </c>
      <c r="Y808" s="96">
        <f>((Tableau!$H$25-Q808)/(AD808^2+Tableau!$G$30^2)^(3/2))*Tableau!$G$29</f>
        <v>2.2948252905607647</v>
      </c>
      <c r="Z808" s="96">
        <f>((Tableau!$G$35-P808)/(AE808^2+Tableau!$G$40^2)^(3/2))*Tableau!$G$39</f>
        <v>-1.9850057435930868</v>
      </c>
      <c r="AA808" s="97">
        <f>((Tableau!$H$35-Q808)/(AE808^2+Tableau!$G$40^2)^(3/2))*Tableau!$G$39</f>
        <v>8.3467023217645533</v>
      </c>
      <c r="AC808" s="110">
        <f>SQRT((Tableau!$G$16-P808)^2+(Tableau!$H$16-Q808)^2)</f>
        <v>264495.4809447109</v>
      </c>
      <c r="AD808" s="111">
        <f>SQRT((Tableau!$G$25-P808)^2+(Tableau!$H$25-Q808)^2)</f>
        <v>274670.2510050764</v>
      </c>
      <c r="AE808" s="112">
        <f>SQRT((Tableau!$G$35-P808)^2+(Tableau!$H$35-Q808)^2)</f>
        <v>246736.79957690719</v>
      </c>
    </row>
    <row r="809" spans="2:31" x14ac:dyDescent="0.25">
      <c r="B809" s="18">
        <v>806</v>
      </c>
      <c r="C809" s="19">
        <f>Tableau!$G$17*COS(B809*PI()/180)+Tableau!$G$16</f>
        <v>20348.782368720633</v>
      </c>
      <c r="D809" s="19">
        <f>Tableau!$G$17*SIN(B809*PI()/180)+Tableau!$H$16</f>
        <v>12487.820251299119</v>
      </c>
      <c r="F809" s="26">
        <v>806</v>
      </c>
      <c r="G809" s="27">
        <f>Tableau!$G$26*COS(F809*PI()/180)+Tableau!$G$25</f>
        <v>-19755.852341895556</v>
      </c>
      <c r="H809" s="27">
        <f>Tableau!$G$26*SIN(F809*PI()/180)+Tableau!$H$25</f>
        <v>13491.474175909385</v>
      </c>
      <c r="J809" s="34">
        <v>806</v>
      </c>
      <c r="K809" s="35">
        <f>Tableau!$G$36*COS(J809*PI()/180)+Tableau!$G$35</f>
        <v>-4651.2176312793654</v>
      </c>
      <c r="L809" s="35">
        <f>Tableau!$G$36*SIN(J809*PI()/180)+Tableau!$H$35</f>
        <v>-10012.179748700881</v>
      </c>
      <c r="N809" s="98">
        <v>805</v>
      </c>
      <c r="O809" s="99">
        <v>402.5</v>
      </c>
      <c r="P809" s="101">
        <f>P808+R808*Tableau!$G$2+((1/2)*T808)*Tableau!$G$2^2</f>
        <v>52510.691202966991</v>
      </c>
      <c r="Q809" s="101">
        <f>Q808+S808*Tableau!$G$2+((1/2)*U808)*Tableau!$G$2^2</f>
        <v>-255804.74025979155</v>
      </c>
      <c r="R809" s="101">
        <f>R808+T808*Tableau!$G$2</f>
        <v>847.32192804752776</v>
      </c>
      <c r="S809" s="101">
        <f>S808+U808*Tableau!$G$2</f>
        <v>-1520.9349513449347</v>
      </c>
      <c r="T809" s="101">
        <f t="shared" si="24"/>
        <v>-3.511180365816541</v>
      </c>
      <c r="U809" s="101">
        <f t="shared" si="25"/>
        <v>17.93582670289415</v>
      </c>
      <c r="V809" s="101">
        <f>((Tableau!$G$16-P809)/(AC809^2+Tableau!$G$21^2)^(3/2))*Tableau!$G$20</f>
        <v>-0.90963563442881556</v>
      </c>
      <c r="W809" s="101">
        <f>((Tableau!$H$16-Q809)/(AC809^2+Tableau!$G$21^2)^(3/2))*Tableau!$G$20</f>
        <v>7.3671572517188348</v>
      </c>
      <c r="X809" s="101">
        <f>((Tableau!$G$25-P809)/(AD809^2+Tableau!$G$30^2)^(3/2))*Tableau!$G$29</f>
        <v>-0.62205139745541338</v>
      </c>
      <c r="Y809" s="101">
        <f>((Tableau!$H$25-Q809)/(AD809^2+Tableau!$G$30^2)^(3/2))*Tableau!$G$29</f>
        <v>2.2802735346441017</v>
      </c>
      <c r="Z809" s="101">
        <f>((Tableau!$G$35-P809)/(AE809^2+Tableau!$G$40^2)^(3/2))*Tableau!$G$39</f>
        <v>-1.9794933339323124</v>
      </c>
      <c r="AA809" s="102">
        <f>((Tableau!$H$35-Q809)/(AE809^2+Tableau!$G$40^2)^(3/2))*Tableau!$G$39</f>
        <v>8.2883959165312149</v>
      </c>
      <c r="AC809" s="113">
        <f>SQRT((Tableau!$G$16-P809)^2+(Tableau!$H$16-Q809)^2)</f>
        <v>265304.22402549675</v>
      </c>
      <c r="AD809" s="114">
        <f>SQRT((Tableau!$G$25-P809)^2+(Tableau!$H$25-Q809)^2)</f>
        <v>275517.62245509325</v>
      </c>
      <c r="AE809" s="115">
        <f>SQRT((Tableau!$G$35-P809)^2+(Tableau!$H$35-Q809)^2)</f>
        <v>247577.0638290807</v>
      </c>
    </row>
    <row r="810" spans="2:31" x14ac:dyDescent="0.25">
      <c r="B810" s="20">
        <v>807</v>
      </c>
      <c r="C810" s="21">
        <f>Tableau!$G$17*COS(B810*PI()/180)+Tableau!$G$16</f>
        <v>20261.679781214716</v>
      </c>
      <c r="D810" s="21">
        <f>Tableau!$G$17*SIN(B810*PI()/180)+Tableau!$H$16</f>
        <v>12493.14767377287</v>
      </c>
      <c r="F810" s="28">
        <v>807</v>
      </c>
      <c r="G810" s="29">
        <f>Tableau!$G$26*COS(F810*PI()/180)+Tableau!$G$25</f>
        <v>-19816.824153149701</v>
      </c>
      <c r="H810" s="29">
        <f>Tableau!$G$26*SIN(F810*PI()/180)+Tableau!$H$25</f>
        <v>13495.203371641008</v>
      </c>
      <c r="J810" s="36">
        <v>807</v>
      </c>
      <c r="K810" s="37">
        <f>Tableau!$G$36*COS(J810*PI()/180)+Tableau!$G$35</f>
        <v>-4738.3202187852858</v>
      </c>
      <c r="L810" s="37">
        <f>Tableau!$G$36*SIN(J810*PI()/180)+Tableau!$H$35</f>
        <v>-10006.85232622713</v>
      </c>
      <c r="N810" s="92">
        <v>806</v>
      </c>
      <c r="O810" s="93">
        <v>403</v>
      </c>
      <c r="P810" s="96">
        <f>P809+R809*Tableau!$G$2+((1/2)*T809)*Tableau!$G$2^2</f>
        <v>52933.913269445031</v>
      </c>
      <c r="Q810" s="96">
        <f>Q809+S809*Tableau!$G$2+((1/2)*U809)*Tableau!$G$2^2</f>
        <v>-256562.96575712613</v>
      </c>
      <c r="R810" s="96">
        <f>R809+T809*Tableau!$G$2</f>
        <v>845.56633786461953</v>
      </c>
      <c r="S810" s="96">
        <f>S809+U809*Tableau!$G$2</f>
        <v>-1511.9670379934876</v>
      </c>
      <c r="T810" s="96">
        <f t="shared" si="24"/>
        <v>-3.5071643323877257</v>
      </c>
      <c r="U810" s="96">
        <f t="shared" si="25"/>
        <v>17.818558907565432</v>
      </c>
      <c r="V810" s="96">
        <f>((Tableau!$G$16-P810)/(AC810^2+Tableau!$G$21^2)^(3/2))*Tableau!$G$20</f>
        <v>-0.91315599045999229</v>
      </c>
      <c r="W810" s="96">
        <f>((Tableau!$H$16-Q810)/(AC810^2+Tableau!$G$21^2)^(3/2))*Tableau!$G$20</f>
        <v>7.3216528223344897</v>
      </c>
      <c r="X810" s="96">
        <f>((Tableau!$G$25-P810)/(AD810^2+Tableau!$G$30^2)^(3/2))*Tableau!$G$29</f>
        <v>-0.6199778288111184</v>
      </c>
      <c r="Y810" s="96">
        <f>((Tableau!$H$25-Q810)/(AD810^2+Tableau!$G$30^2)^(3/2))*Tableau!$G$29</f>
        <v>2.2659298170524869</v>
      </c>
      <c r="Z810" s="96">
        <f>((Tableau!$G$35-P810)/(AE810^2+Tableau!$G$40^2)^(3/2))*Tableau!$G$39</f>
        <v>-1.9740305131166149</v>
      </c>
      <c r="AA810" s="97">
        <f>((Tableau!$H$35-Q810)/(AE810^2+Tableau!$G$40^2)^(3/2))*Tableau!$G$39</f>
        <v>8.2309762681784555</v>
      </c>
      <c r="AC810" s="110">
        <f>SQRT((Tableau!$G$16-P810)^2+(Tableau!$H$16-Q810)^2)</f>
        <v>266108.79829063994</v>
      </c>
      <c r="AD810" s="111">
        <f>SQRT((Tableau!$G$25-P810)^2+(Tableau!$H$25-Q810)^2)</f>
        <v>276360.58043438417</v>
      </c>
      <c r="AE810" s="112">
        <f>SQRT((Tableau!$G$35-P810)^2+(Tableau!$H$35-Q810)^2)</f>
        <v>248412.97214938287</v>
      </c>
    </row>
    <row r="811" spans="2:31" x14ac:dyDescent="0.25">
      <c r="B811" s="18">
        <v>808</v>
      </c>
      <c r="C811" s="19">
        <f>Tableau!$G$17*COS(B811*PI()/180)+Tableau!$G$16</f>
        <v>20174.497483512507</v>
      </c>
      <c r="D811" s="19">
        <f>Tableau!$G$17*SIN(B811*PI()/180)+Tableau!$H$16</f>
        <v>12496.954135095479</v>
      </c>
      <c r="F811" s="26">
        <v>808</v>
      </c>
      <c r="G811" s="27">
        <f>Tableau!$G$26*COS(F811*PI()/180)+Tableau!$G$25</f>
        <v>-19877.851761541246</v>
      </c>
      <c r="H811" s="27">
        <f>Tableau!$G$26*SIN(F811*PI()/180)+Tableau!$H$25</f>
        <v>13497.867894566836</v>
      </c>
      <c r="J811" s="34">
        <v>808</v>
      </c>
      <c r="K811" s="35">
        <f>Tableau!$G$36*COS(J811*PI()/180)+Tableau!$G$35</f>
        <v>-4825.5025164874942</v>
      </c>
      <c r="L811" s="35">
        <f>Tableau!$G$36*SIN(J811*PI()/180)+Tableau!$H$35</f>
        <v>-10003.045864904521</v>
      </c>
      <c r="N811" s="98">
        <v>807</v>
      </c>
      <c r="O811" s="99">
        <v>403.5</v>
      </c>
      <c r="P811" s="101">
        <f>P810+R810*Tableau!$G$2+((1/2)*T810)*Tableau!$G$2^2</f>
        <v>53356.258042835791</v>
      </c>
      <c r="Q811" s="101">
        <f>Q810+S810*Tableau!$G$2+((1/2)*U810)*Tableau!$G$2^2</f>
        <v>-257316.72195625943</v>
      </c>
      <c r="R811" s="101">
        <f>R810+T810*Tableau!$G$2</f>
        <v>843.81275569842569</v>
      </c>
      <c r="S811" s="101">
        <f>S810+U810*Tableau!$G$2</f>
        <v>-1503.0577585397048</v>
      </c>
      <c r="T811" s="101">
        <f t="shared" si="24"/>
        <v>-3.5031287068324639</v>
      </c>
      <c r="U811" s="101">
        <f t="shared" si="25"/>
        <v>17.702998466199787</v>
      </c>
      <c r="V811" s="101">
        <f>((Tableau!$G$16-P811)/(AC811^2+Tableau!$G$21^2)^(3/2))*Tableau!$G$20</f>
        <v>-0.91658214632916513</v>
      </c>
      <c r="W811" s="101">
        <f>((Tableau!$H$16-Q811)/(AC811^2+Tableau!$G$21^2)^(3/2))*Tableau!$G$20</f>
        <v>7.2767838371682831</v>
      </c>
      <c r="X811" s="101">
        <f>((Tableau!$G$25-P811)/(AD811^2+Tableau!$G$30^2)^(3/2))*Tableau!$G$29</f>
        <v>-0.61792949723879997</v>
      </c>
      <c r="Y811" s="101">
        <f>((Tableau!$H$25-Q811)/(AD811^2+Tableau!$G$30^2)^(3/2))*Tableau!$G$29</f>
        <v>2.2517899905076715</v>
      </c>
      <c r="Z811" s="101">
        <f>((Tableau!$G$35-P811)/(AE811^2+Tableau!$G$40^2)^(3/2))*Tableau!$G$39</f>
        <v>-1.968617063264499</v>
      </c>
      <c r="AA811" s="102">
        <f>((Tableau!$H$35-Q811)/(AE811^2+Tableau!$G$40^2)^(3/2))*Tableau!$G$39</f>
        <v>8.1744246385238348</v>
      </c>
      <c r="AC811" s="113">
        <f>SQRT((Tableau!$G$16-P811)^2+(Tableau!$H$16-Q811)^2)</f>
        <v>266909.22834978765</v>
      </c>
      <c r="AD811" s="114">
        <f>SQRT((Tableau!$G$25-P811)^2+(Tableau!$H$25-Q811)^2)</f>
        <v>277199.15301365411</v>
      </c>
      <c r="AE811" s="115">
        <f>SQRT((Tableau!$G$35-P811)^2+(Tableau!$H$35-Q811)^2)</f>
        <v>249244.55178075444</v>
      </c>
    </row>
    <row r="812" spans="2:31" x14ac:dyDescent="0.25">
      <c r="B812" s="20">
        <v>809</v>
      </c>
      <c r="C812" s="21">
        <f>Tableau!$G$17*COS(B812*PI()/180)+Tableau!$G$16</f>
        <v>20087.262032186423</v>
      </c>
      <c r="D812" s="21">
        <f>Tableau!$G$17*SIN(B812*PI()/180)+Tableau!$H$16</f>
        <v>12499.238475781956</v>
      </c>
      <c r="F812" s="28">
        <v>809</v>
      </c>
      <c r="G812" s="29">
        <f>Tableau!$G$26*COS(F812*PI()/180)+Tableau!$G$25</f>
        <v>-19938.916577469503</v>
      </c>
      <c r="H812" s="29">
        <f>Tableau!$G$26*SIN(F812*PI()/180)+Tableau!$H$25</f>
        <v>13499.46693304737</v>
      </c>
      <c r="J812" s="36">
        <v>809</v>
      </c>
      <c r="K812" s="37">
        <f>Tableau!$G$36*COS(J812*PI()/180)+Tableau!$G$35</f>
        <v>-4912.7379678135767</v>
      </c>
      <c r="L812" s="37">
        <f>Tableau!$G$36*SIN(J812*PI()/180)+Tableau!$H$35</f>
        <v>-10000.761524218044</v>
      </c>
      <c r="N812" s="92">
        <v>808</v>
      </c>
      <c r="O812" s="93">
        <v>404</v>
      </c>
      <c r="P812" s="96">
        <f>P811+R811*Tableau!$G$2+((1/2)*T811)*Tableau!$G$2^2</f>
        <v>53777.72652959665</v>
      </c>
      <c r="Q812" s="96">
        <f>Q811+S811*Tableau!$G$2+((1/2)*U811)*Tableau!$G$2^2</f>
        <v>-258066.03796072101</v>
      </c>
      <c r="R812" s="96">
        <f>R811+T811*Tableau!$G$2</f>
        <v>842.06119134500943</v>
      </c>
      <c r="S812" s="96">
        <f>S811+U811*Tableau!$G$2</f>
        <v>-1494.2062593066048</v>
      </c>
      <c r="T812" s="96">
        <f t="shared" si="24"/>
        <v>-3.4990756993448331</v>
      </c>
      <c r="U812" s="96">
        <f t="shared" si="25"/>
        <v>17.589110882050903</v>
      </c>
      <c r="V812" s="96">
        <f>((Tableau!$G$16-P812)/(AC812^2+Tableau!$G$21^2)^(3/2))*Tableau!$G$20</f>
        <v>-0.91991692388743618</v>
      </c>
      <c r="W812" s="96">
        <f>((Tableau!$H$16-Q812)/(AC812^2+Tableau!$G$21^2)^(3/2))*Tableau!$G$20</f>
        <v>7.2325380607170731</v>
      </c>
      <c r="X812" s="96">
        <f>((Tableau!$G$25-P812)/(AD812^2+Tableau!$G$30^2)^(3/2))*Tableau!$G$29</f>
        <v>-0.61590601990265326</v>
      </c>
      <c r="Y812" s="96">
        <f>((Tableau!$H$25-Q812)/(AD812^2+Tableau!$G$30^2)^(3/2))*Tableau!$G$29</f>
        <v>2.2378500162271653</v>
      </c>
      <c r="Z812" s="96">
        <f>((Tableau!$G$35-P812)/(AE812^2+Tableau!$G$40^2)^(3/2))*Tableau!$G$39</f>
        <v>-1.9632527555547434</v>
      </c>
      <c r="AA812" s="97">
        <f>((Tableau!$H$35-Q812)/(AE812^2+Tableau!$G$40^2)^(3/2))*Tableau!$G$39</f>
        <v>8.1187228051066658</v>
      </c>
      <c r="AC812" s="110">
        <f>SQRT((Tableau!$G$16-P812)^2+(Tableau!$H$16-Q812)^2)</f>
        <v>267705.5384702814</v>
      </c>
      <c r="AD812" s="111">
        <f>SQRT((Tableau!$G$25-P812)^2+(Tableau!$H$25-Q812)^2)</f>
        <v>278033.36785327521</v>
      </c>
      <c r="AE812" s="112">
        <f>SQRT((Tableau!$G$35-P812)^2+(Tableau!$H$35-Q812)^2)</f>
        <v>250071.82957284639</v>
      </c>
    </row>
    <row r="813" spans="2:31" x14ac:dyDescent="0.25">
      <c r="B813" s="18">
        <v>810</v>
      </c>
      <c r="C813" s="19">
        <f>Tableau!$G$17*COS(B813*PI()/180)+Tableau!$G$16</f>
        <v>20000.000000000011</v>
      </c>
      <c r="D813" s="19">
        <f>Tableau!$G$17*SIN(B813*PI()/180)+Tableau!$H$16</f>
        <v>12500</v>
      </c>
      <c r="F813" s="26">
        <v>810</v>
      </c>
      <c r="G813" s="27">
        <f>Tableau!$G$26*COS(F813*PI()/180)+Tableau!$G$25</f>
        <v>-19999.999999999993</v>
      </c>
      <c r="H813" s="27">
        <f>Tableau!$G$26*SIN(F813*PI()/180)+Tableau!$H$25</f>
        <v>13500</v>
      </c>
      <c r="J813" s="34">
        <v>810</v>
      </c>
      <c r="K813" s="35">
        <f>Tableau!$G$36*COS(J813*PI()/180)+Tableau!$G$35</f>
        <v>-4999.9999999999882</v>
      </c>
      <c r="L813" s="35">
        <f>Tableau!$G$36*SIN(J813*PI()/180)+Tableau!$H$35</f>
        <v>-10000</v>
      </c>
      <c r="N813" s="98">
        <v>809</v>
      </c>
      <c r="O813" s="99">
        <v>404.5</v>
      </c>
      <c r="P813" s="101">
        <f>P812+R812*Tableau!$G$2+((1/2)*T812)*Tableau!$G$2^2</f>
        <v>54198.319740806735</v>
      </c>
      <c r="Q813" s="101">
        <f>Q812+S812*Tableau!$G$2+((1/2)*U812)*Tableau!$G$2^2</f>
        <v>-258810.94245151404</v>
      </c>
      <c r="R813" s="101">
        <f>R812+T812*Tableau!$G$2</f>
        <v>840.31165349533705</v>
      </c>
      <c r="S813" s="101">
        <f>S812+U812*Tableau!$G$2</f>
        <v>-1485.4117038655793</v>
      </c>
      <c r="T813" s="101">
        <f t="shared" si="24"/>
        <v>-3.4950074263803819</v>
      </c>
      <c r="U813" s="101">
        <f t="shared" si="25"/>
        <v>17.476862570038925</v>
      </c>
      <c r="V813" s="101">
        <f>((Tableau!$G$16-P813)/(AC813^2+Tableau!$G$21^2)^(3/2))*Tableau!$G$20</f>
        <v>-0.92316305317555614</v>
      </c>
      <c r="W813" s="101">
        <f>((Tableau!$H$16-Q813)/(AC813^2+Tableau!$G$21^2)^(3/2))*Tableau!$G$20</f>
        <v>7.1889035657574683</v>
      </c>
      <c r="X813" s="101">
        <f>((Tableau!$G$25-P813)/(AD813^2+Tableau!$G$30^2)^(3/2))*Tableau!$G$29</f>
        <v>-0.61390702210688541</v>
      </c>
      <c r="Y813" s="101">
        <f>((Tableau!$H$25-Q813)/(AD813^2+Tableau!$G$30^2)^(3/2))*Tableau!$G$29</f>
        <v>2.2241059604399078</v>
      </c>
      <c r="Z813" s="101">
        <f>((Tableau!$G$35-P813)/(AE813^2+Tableau!$G$40^2)^(3/2))*Tableau!$G$39</f>
        <v>-1.9579373510979401</v>
      </c>
      <c r="AA813" s="102">
        <f>((Tableau!$H$35-Q813)/(AE813^2+Tableau!$G$40^2)^(3/2))*Tableau!$G$39</f>
        <v>8.0638530438415508</v>
      </c>
      <c r="AC813" s="113">
        <f>SQRT((Tableau!$G$16-P813)^2+(Tableau!$H$16-Q813)^2)</f>
        <v>268497.75258371921</v>
      </c>
      <c r="AD813" s="114">
        <f>SQRT((Tableau!$G$25-P813)^2+(Tableau!$H$25-Q813)^2)</f>
        <v>278863.25221159955</v>
      </c>
      <c r="AE813" s="115">
        <f>SQRT((Tableau!$G$35-P813)^2+(Tableau!$H$35-Q813)^2)</f>
        <v>250894.83198988033</v>
      </c>
    </row>
    <row r="814" spans="2:31" x14ac:dyDescent="0.25">
      <c r="B814" s="20">
        <v>811</v>
      </c>
      <c r="C814" s="21">
        <f>Tableau!$G$17*COS(B814*PI()/180)+Tableau!$G$16</f>
        <v>19912.73796781358</v>
      </c>
      <c r="D814" s="21">
        <f>Tableau!$G$17*SIN(B814*PI()/180)+Tableau!$H$16</f>
        <v>12499.238475781956</v>
      </c>
      <c r="F814" s="28">
        <v>811</v>
      </c>
      <c r="G814" s="29">
        <f>Tableau!$G$26*COS(F814*PI()/180)+Tableau!$G$25</f>
        <v>-20061.083422530493</v>
      </c>
      <c r="H814" s="29">
        <f>Tableau!$G$26*SIN(F814*PI()/180)+Tableau!$H$25</f>
        <v>13499.46693304737</v>
      </c>
      <c r="J814" s="36">
        <v>811</v>
      </c>
      <c r="K814" s="37">
        <f>Tableau!$G$36*COS(J814*PI()/180)+Tableau!$G$35</f>
        <v>-5087.2620321864179</v>
      </c>
      <c r="L814" s="37">
        <f>Tableau!$G$36*SIN(J814*PI()/180)+Tableau!$H$35</f>
        <v>-10000.761524218044</v>
      </c>
      <c r="N814" s="92">
        <v>810</v>
      </c>
      <c r="O814" s="93">
        <v>405</v>
      </c>
      <c r="P814" s="96">
        <f>P813+R813*Tableau!$G$2+((1/2)*T813)*Tableau!$G$2^2</f>
        <v>54618.038691626112</v>
      </c>
      <c r="Q814" s="96">
        <f>Q813+S813*Tableau!$G$2+((1/2)*U813)*Tableau!$G$2^2</f>
        <v>-259551.46369562557</v>
      </c>
      <c r="R814" s="96">
        <f>R813+T813*Tableau!$G$2</f>
        <v>838.56414978214684</v>
      </c>
      <c r="S814" s="96">
        <f>S813+U813*Tableau!$G$2</f>
        <v>-1476.6732725805598</v>
      </c>
      <c r="T814" s="96">
        <f t="shared" si="24"/>
        <v>-3.4909259146936815</v>
      </c>
      <c r="U814" s="96">
        <f t="shared" si="25"/>
        <v>17.366220827241399</v>
      </c>
      <c r="V814" s="96">
        <f>((Tableau!$G$16-P814)/(AC814^2+Tableau!$G$21^2)^(3/2))*Tableau!$G$20</f>
        <v>-0.92632317585562285</v>
      </c>
      <c r="W814" s="96">
        <f>((Tableau!$H$16-Q814)/(AC814^2+Tableau!$G$21^2)^(3/2))*Tableau!$G$20</f>
        <v>7.1458687238472329</v>
      </c>
      <c r="X814" s="96">
        <f>((Tableau!$G$25-P814)/(AD814^2+Tableau!$G$30^2)^(3/2))*Tableau!$G$29</f>
        <v>-0.61193213708245908</v>
      </c>
      <c r="Y814" s="96">
        <f>((Tableau!$H$25-Q814)/(AD814^2+Tableau!$G$30^2)^(3/2))*Tableau!$G$29</f>
        <v>2.2105539910348782</v>
      </c>
      <c r="Z814" s="96">
        <f>((Tableau!$G$35-P814)/(AE814^2+Tableau!$G$40^2)^(3/2))*Tableau!$G$39</f>
        <v>-1.9526706017555997</v>
      </c>
      <c r="AA814" s="97">
        <f>((Tableau!$H$35-Q814)/(AE814^2+Tableau!$G$40^2)^(3/2))*Tableau!$G$39</f>
        <v>8.0097981123592881</v>
      </c>
      <c r="AC814" s="110">
        <f>SQRT((Tableau!$G$16-P814)^2+(Tableau!$H$16-Q814)^2)</f>
        <v>269285.89429235045</v>
      </c>
      <c r="AD814" s="111">
        <f>SQRT((Tableau!$G$25-P814)^2+(Tableau!$H$25-Q814)^2)</f>
        <v>279688.83295305009</v>
      </c>
      <c r="AE814" s="112">
        <f>SQRT((Tableau!$G$35-P814)^2+(Tableau!$H$35-Q814)^2)</f>
        <v>251713.58511830287</v>
      </c>
    </row>
    <row r="815" spans="2:31" x14ac:dyDescent="0.25">
      <c r="B815" s="18">
        <v>812</v>
      </c>
      <c r="C815" s="19">
        <f>Tableau!$G$17*COS(B815*PI()/180)+Tableau!$G$16</f>
        <v>19825.502516487501</v>
      </c>
      <c r="D815" s="19">
        <f>Tableau!$G$17*SIN(B815*PI()/180)+Tableau!$H$16</f>
        <v>12496.954135095479</v>
      </c>
      <c r="F815" s="26">
        <v>812</v>
      </c>
      <c r="G815" s="27">
        <f>Tableau!$G$26*COS(F815*PI()/180)+Tableau!$G$25</f>
        <v>-20122.148238458751</v>
      </c>
      <c r="H815" s="27">
        <f>Tableau!$G$26*SIN(F815*PI()/180)+Tableau!$H$25</f>
        <v>13497.867894566836</v>
      </c>
      <c r="J815" s="34">
        <v>812</v>
      </c>
      <c r="K815" s="35">
        <f>Tableau!$G$36*COS(J815*PI()/180)+Tableau!$G$35</f>
        <v>-5174.4974835125004</v>
      </c>
      <c r="L815" s="35">
        <f>Tableau!$G$36*SIN(J815*PI()/180)+Tableau!$H$35</f>
        <v>-10003.045864904521</v>
      </c>
      <c r="N815" s="98">
        <v>811</v>
      </c>
      <c r="O815" s="99">
        <v>405.5</v>
      </c>
      <c r="P815" s="101">
        <f>P814+R814*Tableau!$G$2+((1/2)*T814)*Tableau!$G$2^2</f>
        <v>55036.884400777853</v>
      </c>
      <c r="Q815" s="101">
        <f>Q814+S814*Tableau!$G$2+((1/2)*U814)*Tableau!$G$2^2</f>
        <v>-260287.62955431244</v>
      </c>
      <c r="R815" s="101">
        <f>R814+T814*Tableau!$G$2</f>
        <v>836.81868682480001</v>
      </c>
      <c r="S815" s="101">
        <f>S814+U814*Tableau!$G$2</f>
        <v>-1467.9901621669392</v>
      </c>
      <c r="T815" s="101">
        <f t="shared" si="24"/>
        <v>-3.4868331051881496</v>
      </c>
      <c r="U815" s="101">
        <f t="shared" si="25"/>
        <v>17.257153804514438</v>
      </c>
      <c r="V815" s="101">
        <f>((Tableau!$G$16-P815)/(AC815^2+Tableau!$G$21^2)^(3/2))*Tableau!$G$20</f>
        <v>-0.92939984849725576</v>
      </c>
      <c r="W815" s="101">
        <f>((Tableau!$H$16-Q815)/(AC815^2+Tableau!$G$21^2)^(3/2))*Tableau!$G$20</f>
        <v>7.1034221961725521</v>
      </c>
      <c r="X815" s="101">
        <f>((Tableau!$G$25-P815)/(AD815^2+Tableau!$G$30^2)^(3/2))*Tableau!$G$29</f>
        <v>-0.60998100578044301</v>
      </c>
      <c r="Y815" s="101">
        <f>((Tableau!$H$25-Q815)/(AD815^2+Tableau!$G$30^2)^(3/2))*Tableau!$G$29</f>
        <v>2.1971903743359875</v>
      </c>
      <c r="Z815" s="101">
        <f>((Tableau!$G$35-P815)/(AE815^2+Tableau!$G$40^2)^(3/2))*Tableau!$G$39</f>
        <v>-1.9474522509104506</v>
      </c>
      <c r="AA815" s="102">
        <f>((Tableau!$H$35-Q815)/(AE815^2+Tableau!$G$40^2)^(3/2))*Tableau!$G$39</f>
        <v>7.9565412340058996</v>
      </c>
      <c r="AC815" s="113">
        <f>SQRT((Tableau!$G$16-P815)^2+(Tableau!$H$16-Q815)^2)</f>
        <v>270069.98687531188</v>
      </c>
      <c r="AD815" s="114">
        <f>SQRT((Tableau!$G$25-P815)^2+(Tableau!$H$25-Q815)^2)</f>
        <v>280510.13655599853</v>
      </c>
      <c r="AE815" s="115">
        <f>SQRT((Tableau!$G$35-P815)^2+(Tableau!$H$35-Q815)^2)</f>
        <v>252528.11467423974</v>
      </c>
    </row>
    <row r="816" spans="2:31" x14ac:dyDescent="0.25">
      <c r="B816" s="20">
        <v>813</v>
      </c>
      <c r="C816" s="21">
        <f>Tableau!$G$17*COS(B816*PI()/180)+Tableau!$G$16</f>
        <v>19738.320218785291</v>
      </c>
      <c r="D816" s="21">
        <f>Tableau!$G$17*SIN(B816*PI()/180)+Tableau!$H$16</f>
        <v>12493.14767377287</v>
      </c>
      <c r="F816" s="28">
        <v>813</v>
      </c>
      <c r="G816" s="29">
        <f>Tableau!$G$26*COS(F816*PI()/180)+Tableau!$G$25</f>
        <v>-20183.175846850296</v>
      </c>
      <c r="H816" s="29">
        <f>Tableau!$G$26*SIN(F816*PI()/180)+Tableau!$H$25</f>
        <v>13495.203371641008</v>
      </c>
      <c r="J816" s="36">
        <v>813</v>
      </c>
      <c r="K816" s="37">
        <f>Tableau!$G$36*COS(J816*PI()/180)+Tableau!$G$35</f>
        <v>-5261.6797812147088</v>
      </c>
      <c r="L816" s="37">
        <f>Tableau!$G$36*SIN(J816*PI()/180)+Tableau!$H$35</f>
        <v>-10006.85232622713</v>
      </c>
      <c r="N816" s="92">
        <v>812</v>
      </c>
      <c r="O816" s="93">
        <v>406</v>
      </c>
      <c r="P816" s="96">
        <f>P815+R815*Tableau!$G$2+((1/2)*T815)*Tableau!$G$2^2</f>
        <v>55454.857890052102</v>
      </c>
      <c r="Q816" s="96">
        <f>Q815+S815*Tableau!$G$2+((1/2)*U815)*Tableau!$G$2^2</f>
        <v>-261019.46749117036</v>
      </c>
      <c r="R816" s="96">
        <f>R815+T815*Tableau!$G$2</f>
        <v>835.0752702722059</v>
      </c>
      <c r="S816" s="96">
        <f>S815+U815*Tableau!$G$2</f>
        <v>-1459.3615852646819</v>
      </c>
      <c r="T816" s="96">
        <f t="shared" si="24"/>
        <v>-3.4827308565874731</v>
      </c>
      <c r="U816" s="96">
        <f t="shared" si="25"/>
        <v>17.14963047919284</v>
      </c>
      <c r="V816" s="96">
        <f>((Tableau!$G$16-P816)/(AC816^2+Tableau!$G$21^2)^(3/2))*Tableau!$G$20</f>
        <v>-0.9323955457251244</v>
      </c>
      <c r="W816" s="96">
        <f>((Tableau!$H$16-Q816)/(AC816^2+Tableau!$G$21^2)^(3/2))*Tableau!$G$20</f>
        <v>7.061552924726211</v>
      </c>
      <c r="X816" s="96">
        <f>((Tableau!$G$25-P816)/(AD816^2+Tableau!$G$30^2)^(3/2))*Tableau!$G$29</f>
        <v>-0.60805327667194131</v>
      </c>
      <c r="Y816" s="96">
        <f>((Tableau!$H$25-Q816)/(AD816^2+Tableau!$G$30^2)^(3/2))*Tableau!$G$29</f>
        <v>2.1840114719985064</v>
      </c>
      <c r="Z816" s="96">
        <f>((Tableau!$G$35-P816)/(AE816^2+Tableau!$G$40^2)^(3/2))*Tableau!$G$39</f>
        <v>-1.9422820341904077</v>
      </c>
      <c r="AA816" s="97">
        <f>((Tableau!$H$35-Q816)/(AE816^2+Tableau!$G$40^2)^(3/2))*Tableau!$G$39</f>
        <v>7.9040660824681233</v>
      </c>
      <c r="AC816" s="110">
        <f>SQRT((Tableau!$G$16-P816)^2+(Tableau!$H$16-Q816)^2)</f>
        <v>270850.0532947068</v>
      </c>
      <c r="AD816" s="111">
        <f>SQRT((Tableau!$G$25-P816)^2+(Tableau!$H$25-Q816)^2)</f>
        <v>281327.18912043597</v>
      </c>
      <c r="AE816" s="112">
        <f>SQRT((Tableau!$G$35-P816)^2+(Tableau!$H$35-Q816)^2)</f>
        <v>253338.44601075735</v>
      </c>
    </row>
    <row r="817" spans="2:31" x14ac:dyDescent="0.25">
      <c r="B817" s="18">
        <v>814</v>
      </c>
      <c r="C817" s="19">
        <f>Tableau!$G$17*COS(B817*PI()/180)+Tableau!$G$16</f>
        <v>19651.217631279371</v>
      </c>
      <c r="D817" s="19">
        <f>Tableau!$G$17*SIN(B817*PI()/180)+Tableau!$H$16</f>
        <v>12487.820251299121</v>
      </c>
      <c r="F817" s="26">
        <v>814</v>
      </c>
      <c r="G817" s="27">
        <f>Tableau!$G$26*COS(F817*PI()/180)+Tableau!$G$25</f>
        <v>-20244.147658104441</v>
      </c>
      <c r="H817" s="27">
        <f>Tableau!$G$26*SIN(F817*PI()/180)+Tableau!$H$25</f>
        <v>13491.474175909385</v>
      </c>
      <c r="J817" s="34">
        <v>814</v>
      </c>
      <c r="K817" s="35">
        <f>Tableau!$G$36*COS(J817*PI()/180)+Tableau!$G$35</f>
        <v>-5348.7823687206283</v>
      </c>
      <c r="L817" s="35">
        <f>Tableau!$G$36*SIN(J817*PI()/180)+Tableau!$H$35</f>
        <v>-10012.179748700879</v>
      </c>
      <c r="N817" s="98">
        <v>813</v>
      </c>
      <c r="O817" s="99">
        <v>406.5</v>
      </c>
      <c r="P817" s="101">
        <f>P816+R816*Tableau!$G$2+((1/2)*T816)*Tableau!$G$2^2</f>
        <v>55871.960183831136</v>
      </c>
      <c r="Q817" s="101">
        <f>Q816+S816*Tableau!$G$2+((1/2)*U816)*Tableau!$G$2^2</f>
        <v>-261747.00457999279</v>
      </c>
      <c r="R817" s="101">
        <f>R816+T816*Tableau!$G$2</f>
        <v>833.33390484391214</v>
      </c>
      <c r="S817" s="101">
        <f>S816+U816*Tableau!$G$2</f>
        <v>-1450.7867700250856</v>
      </c>
      <c r="T817" s="101">
        <f t="shared" si="24"/>
        <v>-3.4786209489378566</v>
      </c>
      <c r="U817" s="101">
        <f t="shared" si="25"/>
        <v>17.043620628822957</v>
      </c>
      <c r="V817" s="101">
        <f>((Tableau!$G$16-P817)/(AC817^2+Tableau!$G$21^2)^(3/2))*Tableau!$G$20</f>
        <v>-0.93531266323448869</v>
      </c>
      <c r="W817" s="101">
        <f>((Tableau!$H$16-Q817)/(AC817^2+Tableau!$G$21^2)^(3/2))*Tableau!$G$20</f>
        <v>7.0202501238036916</v>
      </c>
      <c r="X817" s="101">
        <f>((Tableau!$G$25-P817)/(AD817^2+Tableau!$G$30^2)^(3/2))*Tableau!$G$29</f>
        <v>-0.60614860555418526</v>
      </c>
      <c r="Y817" s="101">
        <f>((Tableau!$H$25-Q817)/(AD817^2+Tableau!$G$30^2)^(3/2))*Tableau!$G$29</f>
        <v>2.1710137380211281</v>
      </c>
      <c r="Z817" s="101">
        <f>((Tableau!$G$35-P817)/(AE817^2+Tableau!$G$40^2)^(3/2))*Tableau!$G$39</f>
        <v>-1.9371596801491824</v>
      </c>
      <c r="AA817" s="102">
        <f>((Tableau!$H$35-Q817)/(AE817^2+Tableau!$G$40^2)^(3/2))*Tableau!$G$39</f>
        <v>7.8523567669981373</v>
      </c>
      <c r="AC817" s="113">
        <f>SQRT((Tableau!$G$16-P817)^2+(Tableau!$H$16-Q817)^2)</f>
        <v>271626.11620153359</v>
      </c>
      <c r="AD817" s="114">
        <f>SQRT((Tableau!$G$25-P817)^2+(Tableau!$H$25-Q817)^2)</f>
        <v>282140.01637544343</v>
      </c>
      <c r="AE817" s="115">
        <f>SQRT((Tableau!$G$35-P817)^2+(Tableau!$H$35-Q817)^2)</f>
        <v>254144.60412493692</v>
      </c>
    </row>
    <row r="818" spans="2:31" x14ac:dyDescent="0.25">
      <c r="B818" s="20">
        <v>815</v>
      </c>
      <c r="C818" s="21">
        <f>Tableau!$G$17*COS(B818*PI()/180)+Tableau!$G$16</f>
        <v>19564.221286261713</v>
      </c>
      <c r="D818" s="21">
        <f>Tableau!$G$17*SIN(B818*PI()/180)+Tableau!$H$16</f>
        <v>12480.973490458728</v>
      </c>
      <c r="F818" s="28">
        <v>815</v>
      </c>
      <c r="G818" s="29">
        <f>Tableau!$G$26*COS(F818*PI()/180)+Tableau!$G$25</f>
        <v>-20305.0450996168</v>
      </c>
      <c r="H818" s="29">
        <f>Tableau!$G$26*SIN(F818*PI()/180)+Tableau!$H$25</f>
        <v>13486.681443321109</v>
      </c>
      <c r="J818" s="36">
        <v>815</v>
      </c>
      <c r="K818" s="37">
        <f>Tableau!$G$36*COS(J818*PI()/180)+Tableau!$G$35</f>
        <v>-5435.7787137382875</v>
      </c>
      <c r="L818" s="37">
        <f>Tableau!$G$36*SIN(J818*PI()/180)+Tableau!$H$35</f>
        <v>-10019.026509541272</v>
      </c>
      <c r="N818" s="92">
        <v>814</v>
      </c>
      <c r="O818" s="93">
        <v>407</v>
      </c>
      <c r="P818" s="96">
        <f>P817+R817*Tableau!$G$2+((1/2)*T817)*Tableau!$G$2^2</f>
        <v>56288.192308634476</v>
      </c>
      <c r="Q818" s="96">
        <f>Q817+S817*Tableau!$G$2+((1/2)*U817)*Tableau!$G$2^2</f>
        <v>-262470.26751242671</v>
      </c>
      <c r="R818" s="96">
        <f>R817+T817*Tableau!$G$2</f>
        <v>831.59459436944326</v>
      </c>
      <c r="S818" s="96">
        <f>S817+U817*Tableau!$G$2</f>
        <v>-1442.2649597106742</v>
      </c>
      <c r="T818" s="96">
        <f t="shared" si="24"/>
        <v>-3.4745050869496019</v>
      </c>
      <c r="U818" s="96">
        <f t="shared" si="25"/>
        <v>16.939094805882682</v>
      </c>
      <c r="V818" s="96">
        <f>((Tableau!$G$16-P818)/(AC818^2+Tableau!$G$21^2)^(3/2))*Tableau!$G$20</f>
        <v>-0.93815352068083868</v>
      </c>
      <c r="W818" s="96">
        <f>((Tableau!$H$16-Q818)/(AC818^2+Tableau!$G$21^2)^(3/2))*Tableau!$G$20</f>
        <v>6.9795032718030043</v>
      </c>
      <c r="X818" s="96">
        <f>((Tableau!$G$25-P818)/(AD818^2+Tableau!$G$30^2)^(3/2))*Tableau!$G$29</f>
        <v>-0.60426665536269986</v>
      </c>
      <c r="Y818" s="96">
        <f>((Tableau!$H$25-Q818)/(AD818^2+Tableau!$G$30^2)^(3/2))*Tableau!$G$29</f>
        <v>2.1581937158691766</v>
      </c>
      <c r="Z818" s="96">
        <f>((Tableau!$G$35-P818)/(AE818^2+Tableau!$G$40^2)^(3/2))*Tableau!$G$39</f>
        <v>-1.9320849109060634</v>
      </c>
      <c r="AA818" s="97">
        <f>((Tableau!$H$35-Q818)/(AE818^2+Tableau!$G$40^2)^(3/2))*Tableau!$G$39</f>
        <v>7.8013978182105008</v>
      </c>
      <c r="AC818" s="110">
        <f>SQRT((Tableau!$G$16-P818)^2+(Tableau!$H$16-Q818)^2)</f>
        <v>272398.19794146891</v>
      </c>
      <c r="AD818" s="111">
        <f>SQRT((Tableau!$G$25-P818)^2+(Tableau!$H$25-Q818)^2)</f>
        <v>282948.6436864693</v>
      </c>
      <c r="AE818" s="112">
        <f>SQRT((Tableau!$G$35-P818)^2+(Tableau!$H$35-Q818)^2)</f>
        <v>254946.61366476747</v>
      </c>
    </row>
    <row r="819" spans="2:31" x14ac:dyDescent="0.25">
      <c r="B819" s="18">
        <v>816</v>
      </c>
      <c r="C819" s="19">
        <f>Tableau!$G$17*COS(B819*PI()/180)+Tableau!$G$16</f>
        <v>19477.357683661743</v>
      </c>
      <c r="D819" s="19">
        <f>Tableau!$G$17*SIN(B819*PI()/180)+Tableau!$H$16</f>
        <v>12472.609476841368</v>
      </c>
      <c r="F819" s="26">
        <v>816</v>
      </c>
      <c r="G819" s="27">
        <f>Tableau!$G$26*COS(F819*PI()/180)+Tableau!$G$25</f>
        <v>-20365.849621436781</v>
      </c>
      <c r="H819" s="27">
        <f>Tableau!$G$26*SIN(F819*PI()/180)+Tableau!$H$25</f>
        <v>13480.826633788958</v>
      </c>
      <c r="J819" s="34">
        <v>816</v>
      </c>
      <c r="K819" s="35">
        <f>Tableau!$G$36*COS(J819*PI()/180)+Tableau!$G$35</f>
        <v>-5522.6423163382588</v>
      </c>
      <c r="L819" s="35">
        <f>Tableau!$G$36*SIN(J819*PI()/180)+Tableau!$H$35</f>
        <v>-10027.390523158632</v>
      </c>
      <c r="N819" s="98">
        <v>815</v>
      </c>
      <c r="O819" s="99">
        <v>407.5</v>
      </c>
      <c r="P819" s="101">
        <f>P818+R818*Tableau!$G$2+((1/2)*T818)*Tableau!$G$2^2</f>
        <v>56703.555292683326</v>
      </c>
      <c r="Q819" s="101">
        <f>Q818+S818*Tableau!$G$2+((1/2)*U818)*Tableau!$G$2^2</f>
        <v>-263189.28260543128</v>
      </c>
      <c r="R819" s="101">
        <f>R818+T818*Tableau!$G$2</f>
        <v>829.85734182596843</v>
      </c>
      <c r="S819" s="101">
        <f>S818+U818*Tableau!$G$2</f>
        <v>-1433.7954123077329</v>
      </c>
      <c r="T819" s="101">
        <f t="shared" si="24"/>
        <v>-3.4703849031860772</v>
      </c>
      <c r="U819" s="101">
        <f t="shared" si="25"/>
        <v>16.836024313446167</v>
      </c>
      <c r="V819" s="101">
        <f>((Tableau!$G$16-P819)/(AC819^2+Tableau!$G$21^2)^(3/2))*Tableau!$G$20</f>
        <v>-0.94092036444968763</v>
      </c>
      <c r="W819" s="101">
        <f>((Tableau!$H$16-Q819)/(AC819^2+Tableau!$G$21^2)^(3/2))*Tableau!$G$20</f>
        <v>6.9393021033169369</v>
      </c>
      <c r="X819" s="101">
        <f>((Tableau!$G$25-P819)/(AD819^2+Tableau!$G$30^2)^(3/2))*Tableau!$G$29</f>
        <v>-0.60240709598920916</v>
      </c>
      <c r="Y819" s="101">
        <f>((Tableau!$H$25-Q819)/(AD819^2+Tableau!$G$30^2)^(3/2))*Tableau!$G$29</f>
        <v>2.1455480357037828</v>
      </c>
      <c r="Z819" s="101">
        <f>((Tableau!$G$35-P819)/(AE819^2+Tableau!$G$40^2)^(3/2))*Tableau!$G$39</f>
        <v>-1.92705744274718</v>
      </c>
      <c r="AA819" s="102">
        <f>((Tableau!$H$35-Q819)/(AE819^2+Tableau!$G$40^2)^(3/2))*Tableau!$G$39</f>
        <v>7.7511741744254454</v>
      </c>
      <c r="AC819" s="113">
        <f>SQRT((Tableau!$G$16-P819)^2+(Tableau!$H$16-Q819)^2)</f>
        <v>273166.32056050777</v>
      </c>
      <c r="AD819" s="114">
        <f>SQRT((Tableau!$G$25-P819)^2+(Tableau!$H$25-Q819)^2)</f>
        <v>283753.09606241819</v>
      </c>
      <c r="AE819" s="115">
        <f>SQRT((Tableau!$G$35-P819)^2+(Tableau!$H$35-Q819)^2)</f>
        <v>255744.49893586343</v>
      </c>
    </row>
    <row r="820" spans="2:31" x14ac:dyDescent="0.25">
      <c r="B820" s="20">
        <v>817</v>
      </c>
      <c r="C820" s="21">
        <f>Tableau!$G$17*COS(B820*PI()/180)+Tableau!$G$16</f>
        <v>19390.653282974268</v>
      </c>
      <c r="D820" s="21">
        <f>Tableau!$G$17*SIN(B820*PI()/180)+Tableau!$H$16</f>
        <v>12462.730758206611</v>
      </c>
      <c r="F820" s="28">
        <v>817</v>
      </c>
      <c r="G820" s="29">
        <f>Tableau!$G$26*COS(F820*PI()/180)+Tableau!$G$25</f>
        <v>-20426.542701918013</v>
      </c>
      <c r="H820" s="29">
        <f>Tableau!$G$26*SIN(F820*PI()/180)+Tableau!$H$25</f>
        <v>13473.911530744628</v>
      </c>
      <c r="J820" s="36">
        <v>817</v>
      </c>
      <c r="K820" s="37">
        <f>Tableau!$G$36*COS(J820*PI()/180)+Tableau!$G$35</f>
        <v>-5609.3467170257318</v>
      </c>
      <c r="L820" s="37">
        <f>Tableau!$G$36*SIN(J820*PI()/180)+Tableau!$H$35</f>
        <v>-10037.269241793389</v>
      </c>
      <c r="N820" s="92">
        <v>816</v>
      </c>
      <c r="O820" s="93">
        <v>408</v>
      </c>
      <c r="P820" s="96">
        <f>P819+R819*Tableau!$G$2+((1/2)*T819)*Tableau!$G$2^2</f>
        <v>57118.050165483408</v>
      </c>
      <c r="Q820" s="96">
        <f>Q819+S819*Tableau!$G$2+((1/2)*U819)*Tableau!$G$2^2</f>
        <v>-263904.07580854598</v>
      </c>
      <c r="R820" s="96">
        <f>R819+T819*Tableau!$G$2</f>
        <v>828.12214937437534</v>
      </c>
      <c r="S820" s="96">
        <f>S819+U819*Tableau!$G$2</f>
        <v>-1425.3774001510099</v>
      </c>
      <c r="T820" s="96">
        <f t="shared" si="24"/>
        <v>-3.4662619611077385</v>
      </c>
      <c r="U820" s="96">
        <f t="shared" si="25"/>
        <v>16.734381181752223</v>
      </c>
      <c r="V820" s="96">
        <f>((Tableau!$G$16-P820)/(AC820^2+Tableau!$G$21^2)^(3/2))*Tableau!$G$20</f>
        <v>-0.94361537031193388</v>
      </c>
      <c r="W820" s="96">
        <f>((Tableau!$H$16-Q820)/(AC820^2+Tableau!$G$21^2)^(3/2))*Tableau!$G$20</f>
        <v>6.8996366015044952</v>
      </c>
      <c r="X820" s="96">
        <f>((Tableau!$G$25-P820)/(AD820^2+Tableau!$G$30^2)^(3/2))*Tableau!$G$29</f>
        <v>-0.60056960410520377</v>
      </c>
      <c r="Y820" s="96">
        <f>((Tableau!$H$25-Q820)/(AD820^2+Tableau!$G$30^2)^(3/2))*Tableau!$G$29</f>
        <v>2.1330734117129766</v>
      </c>
      <c r="Z820" s="96">
        <f>((Tableau!$G$35-P820)/(AE820^2+Tableau!$G$40^2)^(3/2))*Tableau!$G$39</f>
        <v>-1.9220769866906007</v>
      </c>
      <c r="AA820" s="97">
        <f>((Tableau!$H$35-Q820)/(AE820^2+Tableau!$G$40^2)^(3/2))*Tableau!$G$39</f>
        <v>7.7016711685347508</v>
      </c>
      <c r="AC820" s="110">
        <f>SQRT((Tableau!$G$16-P820)^2+(Tableau!$H$16-Q820)^2)</f>
        <v>273930.505810467</v>
      </c>
      <c r="AD820" s="111">
        <f>SQRT((Tableau!$G$25-P820)^2+(Tableau!$H$25-Q820)^2)</f>
        <v>284553.39816255879</v>
      </c>
      <c r="AE820" s="112">
        <f>SQRT((Tableau!$G$35-P820)^2+(Tableau!$H$35-Q820)^2)</f>
        <v>256538.28390801229</v>
      </c>
    </row>
    <row r="821" spans="2:31" x14ac:dyDescent="0.25">
      <c r="B821" s="18">
        <v>818</v>
      </c>
      <c r="C821" s="19">
        <f>Tableau!$G$17*COS(B821*PI()/180)+Tableau!$G$16</f>
        <v>19304.134495199676</v>
      </c>
      <c r="D821" s="19">
        <f>Tableau!$G$17*SIN(B821*PI()/180)+Tableau!$H$16</f>
        <v>12451.340343707852</v>
      </c>
      <c r="F821" s="26">
        <v>818</v>
      </c>
      <c r="G821" s="27">
        <f>Tableau!$G$26*COS(F821*PI()/180)+Tableau!$G$25</f>
        <v>-20487.105853360226</v>
      </c>
      <c r="H821" s="27">
        <f>Tableau!$G$26*SIN(F821*PI()/180)+Tableau!$H$25</f>
        <v>13465.938240595497</v>
      </c>
      <c r="J821" s="34">
        <v>818</v>
      </c>
      <c r="K821" s="35">
        <f>Tableau!$G$36*COS(J821*PI()/180)+Tableau!$G$35</f>
        <v>-5695.8655048003257</v>
      </c>
      <c r="L821" s="35">
        <f>Tableau!$G$36*SIN(J821*PI()/180)+Tableau!$H$35</f>
        <v>-10048.659656292148</v>
      </c>
      <c r="N821" s="98">
        <v>817</v>
      </c>
      <c r="O821" s="99">
        <v>408.5</v>
      </c>
      <c r="P821" s="101">
        <f>P820+R820*Tableau!$G$2+((1/2)*T820)*Tableau!$G$2^2</f>
        <v>57531.677957425461</v>
      </c>
      <c r="Q821" s="101">
        <f>Q820+S820*Tableau!$G$2+((1/2)*U820)*Tableau!$G$2^2</f>
        <v>-264614.67271097377</v>
      </c>
      <c r="R821" s="101">
        <f>R820+T820*Tableau!$G$2</f>
        <v>826.38901839382152</v>
      </c>
      <c r="S821" s="101">
        <f>S820+U820*Tableau!$G$2</f>
        <v>-1417.0102095601337</v>
      </c>
      <c r="T821" s="101">
        <f t="shared" si="24"/>
        <v>-3.4621377579785015</v>
      </c>
      <c r="U821" s="101">
        <f t="shared" si="25"/>
        <v>16.634138145638499</v>
      </c>
      <c r="V821" s="101">
        <f>((Tableau!$G$16-P821)/(AC821^2+Tableau!$G$21^2)^(3/2))*Tableau!$G$20</f>
        <v>-0.94624064597024105</v>
      </c>
      <c r="W821" s="101">
        <f>((Tableau!$H$16-Q821)/(AC821^2+Tableau!$G$21^2)^(3/2))*Tableau!$G$20</f>
        <v>6.8604969907312707</v>
      </c>
      <c r="X821" s="101">
        <f>((Tableau!$G$25-P821)/(AD821^2+Tableau!$G$30^2)^(3/2))*Tableau!$G$29</f>
        <v>-0.59875386299082256</v>
      </c>
      <c r="Y821" s="101">
        <f>((Tableau!$H$25-Q821)/(AD821^2+Tableau!$G$30^2)^(3/2))*Tableau!$G$29</f>
        <v>2.1207666395398612</v>
      </c>
      <c r="Z821" s="101">
        <f>((Tableau!$G$35-P821)/(AE821^2+Tableau!$G$40^2)^(3/2))*Tableau!$G$39</f>
        <v>-1.9171432490174378</v>
      </c>
      <c r="AA821" s="102">
        <f>((Tableau!$H$35-Q821)/(AE821^2+Tableau!$G$40^2)^(3/2))*Tableau!$G$39</f>
        <v>7.6528745153673672</v>
      </c>
      <c r="AC821" s="113">
        <f>SQRT((Tableau!$G$16-P821)^2+(Tableau!$H$16-Q821)^2)</f>
        <v>274690.77515435475</v>
      </c>
      <c r="AD821" s="114">
        <f>SQRT((Tableau!$G$25-P821)^2+(Tableau!$H$25-Q821)^2)</f>
        <v>285349.57430325559</v>
      </c>
      <c r="AE821" s="115">
        <f>SQRT((Tableau!$G$35-P821)^2+(Tableau!$H$35-Q821)^2)</f>
        <v>257327.99222155704</v>
      </c>
    </row>
    <row r="822" spans="2:31" x14ac:dyDescent="0.25">
      <c r="B822" s="20">
        <v>819</v>
      </c>
      <c r="C822" s="21">
        <f>Tableau!$G$17*COS(B822*PI()/180)+Tableau!$G$16</f>
        <v>19217.827674798846</v>
      </c>
      <c r="D822" s="21">
        <f>Tableau!$G$17*SIN(B822*PI()/180)+Tableau!$H$16</f>
        <v>12438.441702975688</v>
      </c>
      <c r="F822" s="28">
        <v>819</v>
      </c>
      <c r="G822" s="29">
        <f>Tableau!$G$26*COS(F822*PI()/180)+Tableau!$G$25</f>
        <v>-20547.52062764081</v>
      </c>
      <c r="H822" s="29">
        <f>Tableau!$G$26*SIN(F822*PI()/180)+Tableau!$H$25</f>
        <v>13456.909192082981</v>
      </c>
      <c r="J822" s="36">
        <v>819</v>
      </c>
      <c r="K822" s="37">
        <f>Tableau!$G$36*COS(J822*PI()/180)+Tableau!$G$35</f>
        <v>-5782.1723252011561</v>
      </c>
      <c r="L822" s="37">
        <f>Tableau!$G$36*SIN(J822*PI()/180)+Tableau!$H$35</f>
        <v>-10061.558297024312</v>
      </c>
      <c r="N822" s="92">
        <v>818</v>
      </c>
      <c r="O822" s="93">
        <v>409</v>
      </c>
      <c r="P822" s="96">
        <f>P821+R821*Tableau!$G$2+((1/2)*T821)*Tableau!$G$2^2</f>
        <v>57944.439699402625</v>
      </c>
      <c r="Q822" s="96">
        <f>Q821+S821*Tableau!$G$2+((1/2)*U821)*Tableau!$G$2^2</f>
        <v>-265321.09854848566</v>
      </c>
      <c r="R822" s="96">
        <f>R821+T821*Tableau!$G$2</f>
        <v>824.65794951483224</v>
      </c>
      <c r="S822" s="96">
        <f>S821+U821*Tableau!$G$2</f>
        <v>-1408.6931404873144</v>
      </c>
      <c r="T822" s="96">
        <f t="shared" si="24"/>
        <v>-3.4580137276410499</v>
      </c>
      <c r="U822" s="96">
        <f t="shared" si="25"/>
        <v>16.535268622803336</v>
      </c>
      <c r="V822" s="96">
        <f>((Tableau!$G$16-P822)/(AC822^2+Tableau!$G$21^2)^(3/2))*Tableau!$G$20</f>
        <v>-0.94879823350135062</v>
      </c>
      <c r="W822" s="96">
        <f>((Tableau!$H$16-Q822)/(AC822^2+Tableau!$G$21^2)^(3/2))*Tableau!$G$20</f>
        <v>6.8218737294670433</v>
      </c>
      <c r="X822" s="96">
        <f>((Tableau!$G$25-P822)/(AD822^2+Tableau!$G$30^2)^(3/2))*Tableau!$G$29</f>
        <v>-0.59695956236899472</v>
      </c>
      <c r="Y822" s="96">
        <f>((Tableau!$H$25-Q822)/(AD822^2+Tableau!$G$30^2)^(3/2))*Tableau!$G$29</f>
        <v>2.1086245938042771</v>
      </c>
      <c r="Z822" s="96">
        <f>((Tableau!$G$35-P822)/(AE822^2+Tableau!$G$40^2)^(3/2))*Tableau!$G$39</f>
        <v>-1.9122559317707049</v>
      </c>
      <c r="AA822" s="97">
        <f>((Tableau!$H$35-Q822)/(AE822^2+Tableau!$G$40^2)^(3/2))*Tableau!$G$39</f>
        <v>7.6047702995320137</v>
      </c>
      <c r="AC822" s="110">
        <f>SQRT((Tableau!$G$16-P822)^2+(Tableau!$H$16-Q822)^2)</f>
        <v>275447.14977161068</v>
      </c>
      <c r="AD822" s="111">
        <f>SQRT((Tableau!$G$25-P822)^2+(Tableau!$H$25-Q822)^2)</f>
        <v>286141.64846453018</v>
      </c>
      <c r="AE822" s="112">
        <f>SQRT((Tableau!$G$35-P822)^2+(Tableau!$H$35-Q822)^2)</f>
        <v>258113.64719361975</v>
      </c>
    </row>
    <row r="823" spans="2:31" x14ac:dyDescent="0.25">
      <c r="B823" s="18">
        <v>820</v>
      </c>
      <c r="C823" s="19">
        <f>Tableau!$G$17*COS(B823*PI()/180)+Tableau!$G$16</f>
        <v>19131.759111665353</v>
      </c>
      <c r="D823" s="19">
        <f>Tableau!$G$17*SIN(B823*PI()/180)+Tableau!$H$16</f>
        <v>12424.038765061041</v>
      </c>
      <c r="F823" s="26">
        <v>820</v>
      </c>
      <c r="G823" s="27">
        <f>Tableau!$G$26*COS(F823*PI()/180)+Tableau!$G$25</f>
        <v>-20607.768621834253</v>
      </c>
      <c r="H823" s="27">
        <f>Tableau!$G$26*SIN(F823*PI()/180)+Tableau!$H$25</f>
        <v>13446.827135542728</v>
      </c>
      <c r="J823" s="34">
        <v>820</v>
      </c>
      <c r="K823" s="35">
        <f>Tableau!$G$36*COS(J823*PI()/180)+Tableau!$G$35</f>
        <v>-5868.2408883346479</v>
      </c>
      <c r="L823" s="35">
        <f>Tableau!$G$36*SIN(J823*PI()/180)+Tableau!$H$35</f>
        <v>-10075.961234938959</v>
      </c>
      <c r="N823" s="98">
        <v>819</v>
      </c>
      <c r="O823" s="99">
        <v>409.5</v>
      </c>
      <c r="P823" s="101">
        <f>P822+R822*Tableau!$G$2+((1/2)*T822)*Tableau!$G$2^2</f>
        <v>58356.336422444088</v>
      </c>
      <c r="Q823" s="101">
        <f>Q822+S822*Tableau!$G$2+((1/2)*U822)*Tableau!$G$2^2</f>
        <v>-266023.37821015145</v>
      </c>
      <c r="R823" s="101">
        <f>R822+T822*Tableau!$G$2</f>
        <v>822.92894265101177</v>
      </c>
      <c r="S823" s="101">
        <f>S822+U822*Tableau!$G$2</f>
        <v>-1400.4255061759127</v>
      </c>
      <c r="T823" s="101">
        <f t="shared" si="24"/>
        <v>-3.4538912431678082</v>
      </c>
      <c r="U823" s="101">
        <f t="shared" si="25"/>
        <v>16.437746692861509</v>
      </c>
      <c r="V823" s="101">
        <f>((Tableau!$G$16-P823)/(AC823^2+Tableau!$G$21^2)^(3/2))*Tableau!$G$20</f>
        <v>-0.95129011169916455</v>
      </c>
      <c r="W823" s="101">
        <f>((Tableau!$H$16-Q823)/(AC823^2+Tableau!$G$21^2)^(3/2))*Tableau!$G$20</f>
        <v>6.7837575034307118</v>
      </c>
      <c r="X823" s="101">
        <f>((Tableau!$G$25-P823)/(AD823^2+Tableau!$G$30^2)^(3/2))*Tableau!$G$29</f>
        <v>-0.59518639824452679</v>
      </c>
      <c r="Y823" s="101">
        <f>((Tableau!$H$25-Q823)/(AD823^2+Tableau!$G$30^2)^(3/2))*Tableau!$G$29</f>
        <v>2.0966442257135642</v>
      </c>
      <c r="Z823" s="101">
        <f>((Tableau!$G$35-P823)/(AE823^2+Tableau!$G$40^2)^(3/2))*Tableau!$G$39</f>
        <v>-1.9074147332241167</v>
      </c>
      <c r="AA823" s="102">
        <f>((Tableau!$H$35-Q823)/(AE823^2+Tableau!$G$40^2)^(3/2))*Tableau!$G$39</f>
        <v>7.5573449637172345</v>
      </c>
      <c r="AC823" s="113">
        <f>SQRT((Tableau!$G$16-P823)^2+(Tableau!$H$16-Q823)^2)</f>
        <v>276199.65056322078</v>
      </c>
      <c r="AD823" s="114">
        <f>SQRT((Tableau!$G$25-P823)^2+(Tableau!$H$25-Q823)^2)</f>
        <v>286929.64429645735</v>
      </c>
      <c r="AE823" s="115">
        <f>SQRT((Tableau!$G$35-P823)^2+(Tableau!$H$35-Q823)^2)</f>
        <v>258895.27182416958</v>
      </c>
    </row>
    <row r="824" spans="2:31" x14ac:dyDescent="0.25">
      <c r="B824" s="20">
        <v>821</v>
      </c>
      <c r="C824" s="21">
        <f>Tableau!$G$17*COS(B824*PI()/180)+Tableau!$G$16</f>
        <v>19045.955023117283</v>
      </c>
      <c r="D824" s="21">
        <f>Tableau!$G$17*SIN(B824*PI()/180)+Tableau!$H$16</f>
        <v>12408.135917238322</v>
      </c>
      <c r="F824" s="28">
        <v>821</v>
      </c>
      <c r="G824" s="29">
        <f>Tableau!$G$26*COS(F824*PI()/180)+Tableau!$G$25</f>
        <v>-20667.831483817899</v>
      </c>
      <c r="H824" s="29">
        <f>Tableau!$G$26*SIN(F824*PI()/180)+Tableau!$H$25</f>
        <v>13435.695142066825</v>
      </c>
      <c r="J824" s="36">
        <v>821</v>
      </c>
      <c r="K824" s="37">
        <f>Tableau!$G$36*COS(J824*PI()/180)+Tableau!$G$35</f>
        <v>-5954.0449768827148</v>
      </c>
      <c r="L824" s="37">
        <f>Tableau!$G$36*SIN(J824*PI()/180)+Tableau!$H$35</f>
        <v>-10091.864082761678</v>
      </c>
      <c r="N824" s="92">
        <v>820</v>
      </c>
      <c r="O824" s="93">
        <v>410</v>
      </c>
      <c r="P824" s="96">
        <f>P823+R823*Tableau!$G$2+((1/2)*T823)*Tableau!$G$2^2</f>
        <v>58767.369157364199</v>
      </c>
      <c r="Q824" s="96">
        <f>Q823+S823*Tableau!$G$2+((1/2)*U823)*Tableau!$G$2^2</f>
        <v>-266721.53624490282</v>
      </c>
      <c r="R824" s="96">
        <f>R823+T823*Tableau!$G$2</f>
        <v>821.20199702942784</v>
      </c>
      <c r="S824" s="96">
        <f>S823+U823*Tableau!$G$2</f>
        <v>-1392.206632829482</v>
      </c>
      <c r="T824" s="96">
        <f t="shared" si="24"/>
        <v>-3.4497716193934571</v>
      </c>
      <c r="U824" s="96">
        <f t="shared" si="25"/>
        <v>16.341547077159554</v>
      </c>
      <c r="V824" s="96">
        <f>((Tableau!$G$16-P824)/(AC824^2+Tableau!$G$21^2)^(3/2))*Tableau!$G$20</f>
        <v>-0.95371819832307536</v>
      </c>
      <c r="W824" s="96">
        <f>((Tableau!$H$16-Q824)/(AC824^2+Tableau!$G$21^2)^(3/2))*Tableau!$G$20</f>
        <v>6.7461392189723748</v>
      </c>
      <c r="X824" s="96">
        <f>((Tableau!$G$25-P824)/(AD824^2+Tableau!$G$30^2)^(3/2))*Tableau!$G$29</f>
        <v>-0.5934340727481211</v>
      </c>
      <c r="Y824" s="96">
        <f>((Tableau!$H$25-Q824)/(AD824^2+Tableau!$G$30^2)^(3/2))*Tableau!$G$29</f>
        <v>2.0848225607593043</v>
      </c>
      <c r="Z824" s="96">
        <f>((Tableau!$G$35-P824)/(AE824^2+Tableau!$G$40^2)^(3/2))*Tableau!$G$39</f>
        <v>-1.9026193483222607</v>
      </c>
      <c r="AA824" s="97">
        <f>((Tableau!$H$35-Q824)/(AE824^2+Tableau!$G$40^2)^(3/2))*Tableau!$G$39</f>
        <v>7.510585297427876</v>
      </c>
      <c r="AC824" s="110">
        <f>SQRT((Tableau!$G$16-P824)^2+(Tableau!$H$16-Q824)^2)</f>
        <v>276948.29815670993</v>
      </c>
      <c r="AD824" s="111">
        <f>SQRT((Tableau!$G$25-P824)^2+(Tableau!$H$25-Q824)^2)</f>
        <v>287713.58512540133</v>
      </c>
      <c r="AE824" s="112">
        <f>SQRT((Tableau!$G$35-P824)^2+(Tableau!$H$35-Q824)^2)</f>
        <v>259672.8888019415</v>
      </c>
    </row>
    <row r="825" spans="2:31" x14ac:dyDescent="0.25">
      <c r="B825" s="18">
        <v>822</v>
      </c>
      <c r="C825" s="19">
        <f>Tableau!$G$17*COS(B825*PI()/180)+Tableau!$G$16</f>
        <v>18960.441545911199</v>
      </c>
      <c r="D825" s="19">
        <f>Tableau!$G$17*SIN(B825*PI()/180)+Tableau!$H$16</f>
        <v>12390.738003669027</v>
      </c>
      <c r="F825" s="26">
        <v>822</v>
      </c>
      <c r="G825" s="27">
        <f>Tableau!$G$26*COS(F825*PI()/180)+Tableau!$G$25</f>
        <v>-20727.690917862161</v>
      </c>
      <c r="H825" s="27">
        <f>Tableau!$G$26*SIN(F825*PI()/180)+Tableau!$H$25</f>
        <v>13423.516602568319</v>
      </c>
      <c r="J825" s="34">
        <v>822</v>
      </c>
      <c r="K825" s="35">
        <f>Tableau!$G$36*COS(J825*PI()/180)+Tableau!$G$35</f>
        <v>-6039.5584540887994</v>
      </c>
      <c r="L825" s="35">
        <f>Tableau!$G$36*SIN(J825*PI()/180)+Tableau!$H$35</f>
        <v>-10109.261996330973</v>
      </c>
      <c r="N825" s="98">
        <v>821</v>
      </c>
      <c r="O825" s="99">
        <v>410.5</v>
      </c>
      <c r="P825" s="101">
        <f>P824+R824*Tableau!$G$2+((1/2)*T824)*Tableau!$G$2^2</f>
        <v>59177.538934426491</v>
      </c>
      <c r="Q825" s="101">
        <f>Q824+S824*Tableau!$G$2+((1/2)*U824)*Tableau!$G$2^2</f>
        <v>-267415.59686793294</v>
      </c>
      <c r="R825" s="101">
        <f>R824+T824*Tableau!$G$2</f>
        <v>819.47711121973111</v>
      </c>
      <c r="S825" s="101">
        <f>S824+U824*Tableau!$G$2</f>
        <v>-1384.0358592909022</v>
      </c>
      <c r="T825" s="101">
        <f t="shared" si="24"/>
        <v>-3.4456561153350593</v>
      </c>
      <c r="U825" s="101">
        <f t="shared" si="25"/>
        <v>16.246645119320128</v>
      </c>
      <c r="V825" s="101">
        <f>((Tableau!$G$16-P825)/(AC825^2+Tableau!$G$21^2)^(3/2))*Tableau!$G$20</f>
        <v>-0.95608435225592425</v>
      </c>
      <c r="W825" s="101">
        <f>((Tableau!$H$16-Q825)/(AC825^2+Tableau!$G$21^2)^(3/2))*Tableau!$G$20</f>
        <v>6.7090099966836041</v>
      </c>
      <c r="X825" s="101">
        <f>((Tableau!$G$25-P825)/(AD825^2+Tableau!$G$30^2)^(3/2))*Tableau!$G$29</f>
        <v>-0.59170229398496776</v>
      </c>
      <c r="Y825" s="101">
        <f>((Tableau!$H$25-Q825)/(AD825^2+Tableau!$G$30^2)^(3/2))*Tableau!$G$29</f>
        <v>2.0731566964958219</v>
      </c>
      <c r="Z825" s="101">
        <f>((Tableau!$G$35-P825)/(AE825^2+Tableau!$G$40^2)^(3/2))*Tableau!$G$39</f>
        <v>-1.8978694690941675</v>
      </c>
      <c r="AA825" s="102">
        <f>((Tableau!$H$35-Q825)/(AE825^2+Tableau!$G$40^2)^(3/2))*Tableau!$G$39</f>
        <v>7.4644784261406993</v>
      </c>
      <c r="AC825" s="113">
        <f>SQRT((Tableau!$G$16-P825)^2+(Tableau!$H$16-Q825)^2)</f>
        <v>277693.1129110161</v>
      </c>
      <c r="AD825" s="114">
        <f>SQRT((Tableau!$G$25-P825)^2+(Tableau!$H$25-Q825)^2)</f>
        <v>288493.49396009627</v>
      </c>
      <c r="AE825" s="115">
        <f>SQRT((Tableau!$G$35-P825)^2+(Tableau!$H$35-Q825)^2)</f>
        <v>260446.52051020891</v>
      </c>
    </row>
    <row r="826" spans="2:31" x14ac:dyDescent="0.25">
      <c r="B826" s="20">
        <v>823</v>
      </c>
      <c r="C826" s="21">
        <f>Tableau!$G$17*COS(B826*PI()/180)+Tableau!$G$16</f>
        <v>18875.244728280679</v>
      </c>
      <c r="D826" s="21">
        <f>Tableau!$G$17*SIN(B826*PI()/180)+Tableau!$H$16</f>
        <v>12371.850323926177</v>
      </c>
      <c r="F826" s="28">
        <v>823</v>
      </c>
      <c r="G826" s="29">
        <f>Tableau!$G$26*COS(F826*PI()/180)+Tableau!$G$25</f>
        <v>-20787.328690203525</v>
      </c>
      <c r="H826" s="29">
        <f>Tableau!$G$26*SIN(F826*PI()/180)+Tableau!$H$25</f>
        <v>13410.295226748323</v>
      </c>
      <c r="J826" s="36">
        <v>823</v>
      </c>
      <c r="K826" s="37">
        <f>Tableau!$G$36*COS(J826*PI()/180)+Tableau!$G$35</f>
        <v>-6124.755271719323</v>
      </c>
      <c r="L826" s="37">
        <f>Tableau!$G$36*SIN(J826*PI()/180)+Tableau!$H$35</f>
        <v>-10128.149676073823</v>
      </c>
      <c r="N826" s="92">
        <v>822</v>
      </c>
      <c r="O826" s="93">
        <v>411</v>
      </c>
      <c r="P826" s="96">
        <f>P825+R825*Tableau!$G$2+((1/2)*T825)*Tableau!$G$2^2</f>
        <v>59586.846783021938</v>
      </c>
      <c r="Q826" s="96">
        <f>Q825+S825*Tableau!$G$2+((1/2)*U825)*Tableau!$G$2^2</f>
        <v>-268105.58396693843</v>
      </c>
      <c r="R826" s="96">
        <f>R825+T825*Tableau!$G$2</f>
        <v>817.75428316206353</v>
      </c>
      <c r="S826" s="96">
        <f>S825+U825*Tableau!$G$2</f>
        <v>-1375.9125367312422</v>
      </c>
      <c r="T826" s="96">
        <f t="shared" si="24"/>
        <v>-3.4415459365048404</v>
      </c>
      <c r="U826" s="96">
        <f t="shared" si="25"/>
        <v>16.153016766483056</v>
      </c>
      <c r="V826" s="96">
        <f>((Tableau!$G$16-P826)/(AC826^2+Tableau!$G$21^2)^(3/2))*Tableau!$G$20</f>
        <v>-0.95839037557548568</v>
      </c>
      <c r="W826" s="96">
        <f>((Tableau!$H$16-Q826)/(AC826^2+Tableau!$G$21^2)^(3/2))*Tableau!$G$20</f>
        <v>6.6723611652256913</v>
      </c>
      <c r="X826" s="96">
        <f>((Tableau!$G$25-P826)/(AD826^2+Tableau!$G$30^2)^(3/2))*Tableau!$G$29</f>
        <v>-0.58999077588790305</v>
      </c>
      <c r="Y826" s="96">
        <f>((Tableau!$H$25-Q826)/(AD826^2+Tableau!$G$30^2)^(3/2))*Tableau!$G$29</f>
        <v>2.0616438003976194</v>
      </c>
      <c r="Z826" s="96">
        <f>((Tableau!$G$35-P826)/(AE826^2+Tableau!$G$40^2)^(3/2))*Tableau!$G$39</f>
        <v>-1.8931647850414517</v>
      </c>
      <c r="AA826" s="97">
        <f>((Tableau!$H$35-Q826)/(AE826^2+Tableau!$G$40^2)^(3/2))*Tableau!$G$39</f>
        <v>7.4190118008597468</v>
      </c>
      <c r="AC826" s="110">
        <f>SQRT((Tableau!$G$16-P826)^2+(Tableau!$H$16-Q826)^2)</f>
        <v>278434.11492124957</v>
      </c>
      <c r="AD826" s="111">
        <f>SQRT((Tableau!$G$25-P826)^2+(Tableau!$H$25-Q826)^2)</f>
        <v>289269.393497577</v>
      </c>
      <c r="AE826" s="112">
        <f>SQRT((Tableau!$G$35-P826)^2+(Tableau!$H$35-Q826)^2)</f>
        <v>261216.18903241519</v>
      </c>
    </row>
    <row r="827" spans="2:31" x14ac:dyDescent="0.25">
      <c r="B827" s="18">
        <v>824</v>
      </c>
      <c r="C827" s="19">
        <f>Tableau!$G$17*COS(B827*PI()/180)+Tableau!$G$16</f>
        <v>18790.390522001668</v>
      </c>
      <c r="D827" s="19">
        <f>Tableau!$G$17*SIN(B827*PI()/180)+Tableau!$H$16</f>
        <v>12351.478631379985</v>
      </c>
      <c r="F827" s="26">
        <v>824</v>
      </c>
      <c r="G827" s="27">
        <f>Tableau!$G$26*COS(F827*PI()/180)+Tableau!$G$25</f>
        <v>-20846.726634598832</v>
      </c>
      <c r="H827" s="27">
        <f>Tableau!$G$26*SIN(F827*PI()/180)+Tableau!$H$25</f>
        <v>13396.035041965988</v>
      </c>
      <c r="J827" s="34">
        <v>824</v>
      </c>
      <c r="K827" s="35">
        <f>Tableau!$G$36*COS(J827*PI()/180)+Tableau!$G$35</f>
        <v>-6209.6094779983314</v>
      </c>
      <c r="L827" s="35">
        <f>Tableau!$G$36*SIN(J827*PI()/180)+Tableau!$H$35</f>
        <v>-10148.521368620015</v>
      </c>
      <c r="N827" s="98">
        <v>823</v>
      </c>
      <c r="O827" s="99">
        <v>411.5</v>
      </c>
      <c r="P827" s="101">
        <f>P826+R826*Tableau!$G$2+((1/2)*T826)*Tableau!$G$2^2</f>
        <v>59995.293731360907</v>
      </c>
      <c r="Q827" s="101">
        <f>Q826+S826*Tableau!$G$2+((1/2)*U826)*Tableau!$G$2^2</f>
        <v>-268791.52110820822</v>
      </c>
      <c r="R827" s="101">
        <f>R826+T826*Tableau!$G$2</f>
        <v>816.03351019381114</v>
      </c>
      <c r="S827" s="101">
        <f>S826+U826*Tableau!$G$2</f>
        <v>-1367.8360283480006</v>
      </c>
      <c r="T827" s="101">
        <f t="shared" si="24"/>
        <v>-3.4374422371212248</v>
      </c>
      <c r="U827" s="101">
        <f t="shared" si="25"/>
        <v>16.060638551216613</v>
      </c>
      <c r="V827" s="101">
        <f>((Tableau!$G$16-P827)/(AC827^2+Tableau!$G$21^2)^(3/2))*Tableau!$G$20</f>
        <v>-0.96063801554361217</v>
      </c>
      <c r="W827" s="101">
        <f>((Tableau!$H$16-Q827)/(AC827^2+Tableau!$G$21^2)^(3/2))*Tableau!$G$20</f>
        <v>6.6361842553689865</v>
      </c>
      <c r="X827" s="101">
        <f>((Tableau!$G$25-P827)/(AD827^2+Tableau!$G$30^2)^(3/2))*Tableau!$G$29</f>
        <v>-0.58829923807489215</v>
      </c>
      <c r="Y827" s="101">
        <f>((Tableau!$H$25-Q827)/(AD827^2+Tableau!$G$30^2)^(3/2))*Tableau!$G$29</f>
        <v>2.0502811077922254</v>
      </c>
      <c r="Z827" s="101">
        <f>((Tableau!$G$35-P827)/(AE827^2+Tableau!$G$40^2)^(3/2))*Tableau!$G$39</f>
        <v>-1.8885049835027201</v>
      </c>
      <c r="AA827" s="102">
        <f>((Tableau!$H$35-Q827)/(AE827^2+Tableau!$G$40^2)^(3/2))*Tableau!$G$39</f>
        <v>7.3741731880554031</v>
      </c>
      <c r="AC827" s="113">
        <f>SQRT((Tableau!$G$16-P827)^2+(Tableau!$H$16-Q827)^2)</f>
        <v>279171.32402334112</v>
      </c>
      <c r="AD827" s="114">
        <f>SQRT((Tableau!$G$25-P827)^2+(Tableau!$H$25-Q827)^2)</f>
        <v>290041.30612896365</v>
      </c>
      <c r="AE827" s="115">
        <f>SQRT((Tableau!$G$35-P827)^2+(Tableau!$H$35-Q827)^2)</f>
        <v>261981.91615766913</v>
      </c>
    </row>
    <row r="828" spans="2:31" x14ac:dyDescent="0.25">
      <c r="B828" s="20">
        <v>825</v>
      </c>
      <c r="C828" s="21">
        <f>Tableau!$G$17*COS(B828*PI()/180)+Tableau!$G$16</f>
        <v>18705.904774487393</v>
      </c>
      <c r="D828" s="21">
        <f>Tableau!$G$17*SIN(B828*PI()/180)+Tableau!$H$16</f>
        <v>12329.629131445341</v>
      </c>
      <c r="F828" s="28">
        <v>825</v>
      </c>
      <c r="G828" s="29">
        <f>Tableau!$G$26*COS(F828*PI()/180)+Tableau!$G$25</f>
        <v>-20905.866657858827</v>
      </c>
      <c r="H828" s="29">
        <f>Tableau!$G$26*SIN(F828*PI()/180)+Tableau!$H$25</f>
        <v>13380.740392011738</v>
      </c>
      <c r="J828" s="36">
        <v>825</v>
      </c>
      <c r="K828" s="37">
        <f>Tableau!$G$36*COS(J828*PI()/180)+Tableau!$G$35</f>
        <v>-6294.0952255126085</v>
      </c>
      <c r="L828" s="37">
        <f>Tableau!$G$36*SIN(J828*PI()/180)+Tableau!$H$35</f>
        <v>-10170.370868554659</v>
      </c>
      <c r="N828" s="92">
        <v>824</v>
      </c>
      <c r="O828" s="93">
        <v>412</v>
      </c>
      <c r="P828" s="96">
        <f>P827+R827*Tableau!$G$2+((1/2)*T827)*Tableau!$G$2^2</f>
        <v>60402.880806178175</v>
      </c>
      <c r="Q828" s="96">
        <f>Q827+S827*Tableau!$G$2+((1/2)*U827)*Tableau!$G$2^2</f>
        <v>-269473.43154256331</v>
      </c>
      <c r="R828" s="96">
        <f>R827+T827*Tableau!$G$2</f>
        <v>814.31478907525047</v>
      </c>
      <c r="S828" s="96">
        <f>S827+U827*Tableau!$G$2</f>
        <v>-1359.8057090723923</v>
      </c>
      <c r="T828" s="96">
        <f t="shared" si="24"/>
        <v>-3.4333461222227202</v>
      </c>
      <c r="U828" s="96">
        <f t="shared" si="25"/>
        <v>15.96948757406966</v>
      </c>
      <c r="V828" s="96">
        <f>((Tableau!$G$16-P828)/(AC828^2+Tableau!$G$21^2)^(3/2))*Tableau!$G$20</f>
        <v>-0.96282896651653627</v>
      </c>
      <c r="W828" s="96">
        <f>((Tableau!$H$16-Q828)/(AC828^2+Tableau!$G$21^2)^(3/2))*Tableau!$G$20</f>
        <v>6.6004709942338078</v>
      </c>
      <c r="X828" s="96">
        <f>((Tableau!$G$25-P828)/(AD828^2+Tableau!$G$30^2)^(3/2))*Tableau!$G$29</f>
        <v>-0.58662740571071337</v>
      </c>
      <c r="Y828" s="96">
        <f>((Tableau!$H$25-Q828)/(AD828^2+Tableau!$G$30^2)^(3/2))*Tableau!$G$29</f>
        <v>2.0390659198654841</v>
      </c>
      <c r="Z828" s="96">
        <f>((Tableau!$G$35-P828)/(AE828^2+Tableau!$G$40^2)^(3/2))*Tableau!$G$39</f>
        <v>-1.8838897499954705</v>
      </c>
      <c r="AA828" s="97">
        <f>((Tableau!$H$35-Q828)/(AE828^2+Tableau!$G$40^2)^(3/2))*Tableau!$G$39</f>
        <v>7.3299506599703692</v>
      </c>
      <c r="AC828" s="110">
        <f>SQRT((Tableau!$G$16-P828)^2+(Tableau!$H$16-Q828)^2)</f>
        <v>279904.75979858084</v>
      </c>
      <c r="AD828" s="111">
        <f>SQRT((Tableau!$G$25-P828)^2+(Tableau!$H$25-Q828)^2)</f>
        <v>290809.2539451046</v>
      </c>
      <c r="AE828" s="112">
        <f>SQRT((Tableau!$G$35-P828)^2+(Tableau!$H$35-Q828)^2)</f>
        <v>262743.72338610643</v>
      </c>
    </row>
    <row r="829" spans="2:31" x14ac:dyDescent="0.25">
      <c r="B829" s="18">
        <v>826</v>
      </c>
      <c r="C829" s="19">
        <f>Tableau!$G$17*COS(B829*PI()/180)+Tableau!$G$16</f>
        <v>18621.813220915006</v>
      </c>
      <c r="D829" s="19">
        <f>Tableau!$G$17*SIN(B829*PI()/180)+Tableau!$H$16</f>
        <v>12306.308479691594</v>
      </c>
      <c r="F829" s="26">
        <v>826</v>
      </c>
      <c r="G829" s="27">
        <f>Tableau!$G$26*COS(F829*PI()/180)+Tableau!$G$25</f>
        <v>-20964.730745359499</v>
      </c>
      <c r="H829" s="27">
        <f>Tableau!$G$26*SIN(F829*PI()/180)+Tableau!$H$25</f>
        <v>13364.415935784116</v>
      </c>
      <c r="J829" s="34">
        <v>826</v>
      </c>
      <c r="K829" s="35">
        <f>Tableau!$G$36*COS(J829*PI()/180)+Tableau!$G$35</f>
        <v>-6378.1867790849956</v>
      </c>
      <c r="L829" s="35">
        <f>Tableau!$G$36*SIN(J829*PI()/180)+Tableau!$H$35</f>
        <v>-10193.691520308406</v>
      </c>
      <c r="N829" s="98">
        <v>825</v>
      </c>
      <c r="O829" s="99">
        <v>412.5</v>
      </c>
      <c r="P829" s="101">
        <f>P828+R828*Tableau!$G$2+((1/2)*T828)*Tableau!$G$2^2</f>
        <v>60809.60903245052</v>
      </c>
      <c r="Q829" s="101">
        <f>Q828+S828*Tableau!$G$2+((1/2)*U828)*Tableau!$G$2^2</f>
        <v>-270151.33821115276</v>
      </c>
      <c r="R829" s="101">
        <f>R828+T828*Tableau!$G$2</f>
        <v>812.59811601413912</v>
      </c>
      <c r="S829" s="101">
        <f>S828+U828*Tableau!$G$2</f>
        <v>-1351.8209652853575</v>
      </c>
      <c r="T829" s="101">
        <f t="shared" si="24"/>
        <v>-3.4292586496895945</v>
      </c>
      <c r="U829" s="101">
        <f t="shared" si="25"/>
        <v>15.879541486739605</v>
      </c>
      <c r="V829" s="101">
        <f>((Tableau!$G$16-P829)/(AC829^2+Tableau!$G$21^2)^(3/2))*Tableau!$G$20</f>
        <v>-0.96496487177981427</v>
      </c>
      <c r="W829" s="101">
        <f>((Tableau!$H$16-Q829)/(AC829^2+Tableau!$G$21^2)^(3/2))*Tableau!$G$20</f>
        <v>6.565213299724932</v>
      </c>
      <c r="X829" s="101">
        <f>((Tableau!$G$25-P829)/(AD829^2+Tableau!$G$30^2)^(3/2))*Tableau!$G$29</f>
        <v>-0.58497500937272306</v>
      </c>
      <c r="Y829" s="101">
        <f>((Tableau!$H$25-Q829)/(AD829^2+Tableau!$G$30^2)^(3/2))*Tableau!$G$29</f>
        <v>2.0279956017364285</v>
      </c>
      <c r="Z829" s="101">
        <f>((Tableau!$G$35-P829)/(AE829^2+Tableau!$G$40^2)^(3/2))*Tableau!$G$39</f>
        <v>-1.8793187685370569</v>
      </c>
      <c r="AA829" s="102">
        <f>((Tableau!$H$35-Q829)/(AE829^2+Tableau!$G$40^2)^(3/2))*Tableau!$G$39</f>
        <v>7.2863325852782452</v>
      </c>
      <c r="AC829" s="113">
        <f>SQRT((Tableau!$G$16-P829)^2+(Tableau!$H$16-Q829)^2)</f>
        <v>280634.44157805259</v>
      </c>
      <c r="AD829" s="114">
        <f>SQRT((Tableau!$G$25-P829)^2+(Tableau!$H$25-Q829)^2)</f>
        <v>291573.25874208217</v>
      </c>
      <c r="AE829" s="115">
        <f>SQRT((Tableau!$G$35-P829)^2+(Tableau!$H$35-Q829)^2)</f>
        <v>263501.63193412306</v>
      </c>
    </row>
    <row r="830" spans="2:31" x14ac:dyDescent="0.25">
      <c r="B830" s="20">
        <v>827</v>
      </c>
      <c r="C830" s="21">
        <f>Tableau!$G$17*COS(B830*PI()/180)+Tableau!$G$16</f>
        <v>18538.141476386321</v>
      </c>
      <c r="D830" s="21">
        <f>Tableau!$G$17*SIN(B830*PI()/180)+Tableau!$H$16</f>
        <v>12281.523779815179</v>
      </c>
      <c r="F830" s="28">
        <v>827</v>
      </c>
      <c r="G830" s="29">
        <f>Tableau!$G$26*COS(F830*PI()/180)+Tableau!$G$25</f>
        <v>-21023.300966529576</v>
      </c>
      <c r="H830" s="29">
        <f>Tableau!$G$26*SIN(F830*PI()/180)+Tableau!$H$25</f>
        <v>13347.066645870626</v>
      </c>
      <c r="J830" s="36">
        <v>827</v>
      </c>
      <c r="K830" s="37">
        <f>Tableau!$G$36*COS(J830*PI()/180)+Tableau!$G$35</f>
        <v>-6461.8585236136778</v>
      </c>
      <c r="L830" s="37">
        <f>Tableau!$G$36*SIN(J830*PI()/180)+Tableau!$H$35</f>
        <v>-10218.476220184821</v>
      </c>
      <c r="N830" s="92">
        <v>826</v>
      </c>
      <c r="O830" s="93">
        <v>413</v>
      </c>
      <c r="P830" s="96">
        <f>P829+R829*Tableau!$G$2+((1/2)*T829)*Tableau!$G$2^2</f>
        <v>61215.479433126377</v>
      </c>
      <c r="Q830" s="96">
        <f>Q829+S829*Tableau!$G$2+((1/2)*U829)*Tableau!$G$2^2</f>
        <v>-270825.2637511096</v>
      </c>
      <c r="R830" s="96">
        <f>R829+T829*Tableau!$G$2</f>
        <v>810.88348668929427</v>
      </c>
      <c r="S830" s="96">
        <f>S829+U829*Tableau!$G$2</f>
        <v>-1343.8811945419877</v>
      </c>
      <c r="T830" s="96">
        <f t="shared" si="24"/>
        <v>-3.4251808321773511</v>
      </c>
      <c r="U830" s="96">
        <f t="shared" si="25"/>
        <v>15.790778475830241</v>
      </c>
      <c r="V830" s="96">
        <f>((Tableau!$G$16-P830)/(AC830^2+Tableau!$G$21^2)^(3/2))*Tableau!$G$20</f>
        <v>-0.96704732531143078</v>
      </c>
      <c r="W830" s="96">
        <f>((Tableau!$H$16-Q830)/(AC830^2+Tableau!$G$21^2)^(3/2))*Tableau!$G$20</f>
        <v>6.5304032751534713</v>
      </c>
      <c r="X830" s="96">
        <f>((Tableau!$G$25-P830)/(AD830^2+Tableau!$G$30^2)^(3/2))*Tableau!$G$29</f>
        <v>-0.58334178492047861</v>
      </c>
      <c r="Y830" s="96">
        <f>((Tableau!$H$25-Q830)/(AD830^2+Tableau!$G$30^2)^(3/2))*Tableau!$G$29</f>
        <v>2.0170675805986602</v>
      </c>
      <c r="Z830" s="96">
        <f>((Tableau!$G$35-P830)/(AE830^2+Tableau!$G$40^2)^(3/2))*Tableau!$G$39</f>
        <v>-1.8747917219454417</v>
      </c>
      <c r="AA830" s="97">
        <f>((Tableau!$H$35-Q830)/(AE830^2+Tableau!$G$40^2)^(3/2))*Tableau!$G$39</f>
        <v>7.2433076200781086</v>
      </c>
      <c r="AC830" s="110">
        <f>SQRT((Tableau!$G$16-P830)^2+(Tableau!$H$16-Q830)^2)</f>
        <v>281360.38844696525</v>
      </c>
      <c r="AD830" s="111">
        <f>SQRT((Tableau!$G$25-P830)^2+(Tableau!$H$25-Q830)^2)</f>
        <v>292333.34202658589</v>
      </c>
      <c r="AE830" s="112">
        <f>SQRT((Tableau!$G$35-P830)^2+(Tableau!$H$35-Q830)^2)</f>
        <v>264255.66273948335</v>
      </c>
    </row>
    <row r="831" spans="2:31" x14ac:dyDescent="0.25">
      <c r="B831" s="18">
        <v>828</v>
      </c>
      <c r="C831" s="19">
        <f>Tableau!$G$17*COS(B831*PI()/180)+Tableau!$G$16</f>
        <v>18454.915028125273</v>
      </c>
      <c r="D831" s="19">
        <f>Tableau!$G$17*SIN(B831*PI()/180)+Tableau!$H$16</f>
        <v>12255.282581475771</v>
      </c>
      <c r="F831" s="26">
        <v>828</v>
      </c>
      <c r="G831" s="27">
        <f>Tableau!$G$26*COS(F831*PI()/180)+Tableau!$G$25</f>
        <v>-21081.559480312309</v>
      </c>
      <c r="H831" s="27">
        <f>Tableau!$G$26*SIN(F831*PI()/180)+Tableau!$H$25</f>
        <v>13328.697807033041</v>
      </c>
      <c r="J831" s="34">
        <v>828</v>
      </c>
      <c r="K831" s="35">
        <f>Tableau!$G$36*COS(J831*PI()/180)+Tableau!$G$35</f>
        <v>-6545.0849718747259</v>
      </c>
      <c r="L831" s="35">
        <f>Tableau!$G$36*SIN(J831*PI()/180)+Tableau!$H$35</f>
        <v>-10244.717418524229</v>
      </c>
      <c r="N831" s="98">
        <v>827</v>
      </c>
      <c r="O831" s="99">
        <v>413.5</v>
      </c>
      <c r="P831" s="101">
        <f>P830+R830*Tableau!$G$2+((1/2)*T830)*Tableau!$G$2^2</f>
        <v>61620.493028867008</v>
      </c>
      <c r="Q831" s="101">
        <f>Q830+S830*Tableau!$G$2+((1/2)*U830)*Tableau!$G$2^2</f>
        <v>-271495.23050107114</v>
      </c>
      <c r="R831" s="101">
        <f>R830+T830*Tableau!$G$2</f>
        <v>809.17089627320559</v>
      </c>
      <c r="S831" s="101">
        <f>S830+U830*Tableau!$G$2</f>
        <v>-1335.9858053040725</v>
      </c>
      <c r="T831" s="101">
        <f t="shared" si="24"/>
        <v>-3.4211136389665899</v>
      </c>
      <c r="U831" s="101">
        <f t="shared" si="25"/>
        <v>15.70317724717637</v>
      </c>
      <c r="V831" s="101">
        <f>((Tableau!$G$16-P831)/(AC831^2+Tableau!$G$21^2)^(3/2))*Tableau!$G$20</f>
        <v>-0.96907787347599683</v>
      </c>
      <c r="W831" s="101">
        <f>((Tableau!$H$16-Q831)/(AC831^2+Tableau!$G$21^2)^(3/2))*Tableau!$G$20</f>
        <v>6.496033204037313</v>
      </c>
      <c r="X831" s="101">
        <f>((Tableau!$G$25-P831)/(AD831^2+Tableau!$G$30^2)^(3/2))*Tableau!$G$29</f>
        <v>-0.58172747336923292</v>
      </c>
      <c r="Y831" s="101">
        <f>((Tableau!$H$25-Q831)/(AD831^2+Tableau!$G$30^2)^(3/2))*Tableau!$G$29</f>
        <v>2.0062793439260735</v>
      </c>
      <c r="Z831" s="101">
        <f>((Tableau!$G$35-P831)/(AE831^2+Tableau!$G$40^2)^(3/2))*Tableau!$G$39</f>
        <v>-1.8703082921213603</v>
      </c>
      <c r="AA831" s="102">
        <f>((Tableau!$H$35-Q831)/(AE831^2+Tableau!$G$40^2)^(3/2))*Tableau!$G$39</f>
        <v>7.2008646992129828</v>
      </c>
      <c r="AC831" s="113">
        <f>SQRT((Tableau!$G$16-P831)^2+(Tableau!$H$16-Q831)^2)</f>
        <v>282082.6192488856</v>
      </c>
      <c r="AD831" s="114">
        <f>SQRT((Tableau!$G$25-P831)^2+(Tableau!$H$25-Q831)^2)</f>
        <v>293089.52502115542</v>
      </c>
      <c r="AE831" s="115">
        <f>SQRT((Tableau!$G$35-P831)^2+(Tableau!$H$35-Q831)^2)</f>
        <v>265005.83646630682</v>
      </c>
    </row>
    <row r="832" spans="2:31" x14ac:dyDescent="0.25">
      <c r="B832" s="20">
        <v>829</v>
      </c>
      <c r="C832" s="21">
        <f>Tableau!$G$17*COS(B832*PI()/180)+Tableau!$G$16</f>
        <v>18372.159227714215</v>
      </c>
      <c r="D832" s="21">
        <f>Tableau!$G$17*SIN(B832*PI()/180)+Tableau!$H$16</f>
        <v>12227.592877996583</v>
      </c>
      <c r="F832" s="28">
        <v>829</v>
      </c>
      <c r="G832" s="29">
        <f>Tableau!$G$26*COS(F832*PI()/180)+Tableau!$G$25</f>
        <v>-21139.48854060005</v>
      </c>
      <c r="H832" s="29">
        <f>Tableau!$G$26*SIN(F832*PI()/180)+Tableau!$H$25</f>
        <v>13309.315014597609</v>
      </c>
      <c r="J832" s="36">
        <v>829</v>
      </c>
      <c r="K832" s="37">
        <f>Tableau!$G$36*COS(J832*PI()/180)+Tableau!$G$35</f>
        <v>-6627.8407722857837</v>
      </c>
      <c r="L832" s="37">
        <f>Tableau!$G$36*SIN(J832*PI()/180)+Tableau!$H$35</f>
        <v>-10272.407122003417</v>
      </c>
      <c r="N832" s="92">
        <v>828</v>
      </c>
      <c r="O832" s="93">
        <v>414</v>
      </c>
      <c r="P832" s="96">
        <f>P831+R831*Tableau!$G$2+((1/2)*T831)*Tableau!$G$2^2</f>
        <v>62024.650837798741</v>
      </c>
      <c r="Q832" s="96">
        <f>Q831+S831*Tableau!$G$2+((1/2)*U831)*Tableau!$G$2^2</f>
        <v>-272161.26050656725</v>
      </c>
      <c r="R832" s="96">
        <f>R831+T831*Tableau!$G$2</f>
        <v>807.46033945372233</v>
      </c>
      <c r="S832" s="96">
        <f>S831+U831*Tableau!$G$2</f>
        <v>-1328.1342166804843</v>
      </c>
      <c r="T832" s="96">
        <f t="shared" si="24"/>
        <v>-3.4170579977329867</v>
      </c>
      <c r="U832" s="96">
        <f t="shared" si="25"/>
        <v>15.616717010712236</v>
      </c>
      <c r="V832" s="96">
        <f>((Tableau!$G$16-P832)/(AC832^2+Tableau!$G$21^2)^(3/2))*Tableau!$G$20</f>
        <v>-0.97105801665323155</v>
      </c>
      <c r="W832" s="96">
        <f>((Tableau!$H$16-Q832)/(AC832^2+Tableau!$G$21^2)^(3/2))*Tableau!$G$20</f>
        <v>6.462095545074483</v>
      </c>
      <c r="X832" s="96">
        <f>((Tableau!$G$25-P832)/(AD832^2+Tableau!$G$30^2)^(3/2))*Tableau!$G$29</f>
        <v>-0.5801318207669991</v>
      </c>
      <c r="Y832" s="96">
        <f>((Tableau!$H$25-Q832)/(AD832^2+Tableau!$G$30^2)^(3/2))*Tableau!$G$29</f>
        <v>1.9956284377397699</v>
      </c>
      <c r="Z832" s="96">
        <f>((Tableau!$G$35-P832)/(AE832^2+Tableau!$G$40^2)^(3/2))*Tableau!$G$39</f>
        <v>-1.865868160312756</v>
      </c>
      <c r="AA832" s="97">
        <f>((Tableau!$H$35-Q832)/(AE832^2+Tableau!$G$40^2)^(3/2))*Tableau!$G$39</f>
        <v>7.1589930278979841</v>
      </c>
      <c r="AC832" s="110">
        <f>SQRT((Tableau!$G$16-P832)^2+(Tableau!$H$16-Q832)^2)</f>
        <v>282801.15258987359</v>
      </c>
      <c r="AD832" s="111">
        <f>SQRT((Tableau!$G$25-P832)^2+(Tableau!$H$25-Q832)^2)</f>
        <v>293841.82866929908</v>
      </c>
      <c r="AE832" s="112">
        <f>SQRT((Tableau!$G$35-P832)^2+(Tableau!$H$35-Q832)^2)</f>
        <v>265752.17350993649</v>
      </c>
    </row>
    <row r="833" spans="2:31" x14ac:dyDescent="0.25">
      <c r="B833" s="18">
        <v>830</v>
      </c>
      <c r="C833" s="19">
        <f>Tableau!$G$17*COS(B833*PI()/180)+Tableau!$G$16</f>
        <v>18289.899283371662</v>
      </c>
      <c r="D833" s="19">
        <f>Tableau!$G$17*SIN(B833*PI()/180)+Tableau!$H$16</f>
        <v>12198.463103929544</v>
      </c>
      <c r="F833" s="26">
        <v>830</v>
      </c>
      <c r="G833" s="27">
        <f>Tableau!$G$26*COS(F833*PI()/180)+Tableau!$G$25</f>
        <v>-21197.070501639839</v>
      </c>
      <c r="H833" s="27">
        <f>Tableau!$G$26*SIN(F833*PI()/180)+Tableau!$H$25</f>
        <v>13288.924172750681</v>
      </c>
      <c r="J833" s="34">
        <v>830</v>
      </c>
      <c r="K833" s="35">
        <f>Tableau!$G$36*COS(J833*PI()/180)+Tableau!$G$35</f>
        <v>-6710.1007166283389</v>
      </c>
      <c r="L833" s="35">
        <f>Tableau!$G$36*SIN(J833*PI()/180)+Tableau!$H$35</f>
        <v>-10301.536896070456</v>
      </c>
      <c r="N833" s="98">
        <v>829</v>
      </c>
      <c r="O833" s="99">
        <v>414.5</v>
      </c>
      <c r="P833" s="101">
        <f>P832+R832*Tableau!$G$2+((1/2)*T832)*Tableau!$G$2^2</f>
        <v>62427.953875275889</v>
      </c>
      <c r="Q833" s="101">
        <f>Q832+S832*Tableau!$G$2+((1/2)*U832)*Tableau!$G$2^2</f>
        <v>-272823.37552528118</v>
      </c>
      <c r="R833" s="101">
        <f>R832+T832*Tableau!$G$2</f>
        <v>805.75181045485579</v>
      </c>
      <c r="S833" s="101">
        <f>S832+U832*Tableau!$G$2</f>
        <v>-1320.3258581751281</v>
      </c>
      <c r="T833" s="101">
        <f t="shared" si="24"/>
        <v>-3.4130147962411028</v>
      </c>
      <c r="U833" s="101">
        <f t="shared" si="25"/>
        <v>15.531377465861496</v>
      </c>
      <c r="V833" s="101">
        <f>((Tableau!$G$16-P833)/(AC833^2+Tableau!$G$21^2)^(3/2))*Tableau!$G$20</f>
        <v>-0.97298921080347922</v>
      </c>
      <c r="W833" s="101">
        <f>((Tableau!$H$16-Q833)/(AC833^2+Tableau!$G$21^2)^(3/2))*Tableau!$G$20</f>
        <v>6.4285829272820934</v>
      </c>
      <c r="X833" s="101">
        <f>((Tableau!$G$25-P833)/(AD833^2+Tableau!$G$30^2)^(3/2))*Tableau!$G$29</f>
        <v>-0.57855457807520261</v>
      </c>
      <c r="Y833" s="101">
        <f>((Tableau!$H$25-Q833)/(AD833^2+Tableau!$G$30^2)^(3/2))*Tableau!$G$29</f>
        <v>1.9851124649342264</v>
      </c>
      <c r="Z833" s="101">
        <f>((Tableau!$G$35-P833)/(AE833^2+Tableau!$G$40^2)^(3/2))*Tableau!$G$39</f>
        <v>-1.8614710073624208</v>
      </c>
      <c r="AA833" s="102">
        <f>((Tableau!$H$35-Q833)/(AE833^2+Tableau!$G$40^2)^(3/2))*Tableau!$G$39</f>
        <v>7.1176820736451756</v>
      </c>
      <c r="AC833" s="113">
        <f>SQRT((Tableau!$G$16-P833)^2+(Tableau!$H$16-Q833)^2)</f>
        <v>283516.00684252445</v>
      </c>
      <c r="AD833" s="114">
        <f>SQRT((Tableau!$G$25-P833)^2+(Tableau!$H$25-Q833)^2)</f>
        <v>294590.27364049008</v>
      </c>
      <c r="AE833" s="115">
        <f>SQRT((Tableau!$G$35-P833)^2+(Tableau!$H$35-Q833)^2)</f>
        <v>266494.69400169392</v>
      </c>
    </row>
    <row r="834" spans="2:31" x14ac:dyDescent="0.25">
      <c r="B834" s="20">
        <v>831</v>
      </c>
      <c r="C834" s="21">
        <f>Tableau!$G$17*COS(B834*PI()/180)+Tableau!$G$16</f>
        <v>18208.160252273501</v>
      </c>
      <c r="D834" s="21">
        <f>Tableau!$G$17*SIN(B834*PI()/180)+Tableau!$H$16</f>
        <v>12167.90213248601</v>
      </c>
      <c r="F834" s="28">
        <v>831</v>
      </c>
      <c r="G834" s="29">
        <f>Tableau!$G$26*COS(F834*PI()/180)+Tableau!$G$25</f>
        <v>-21254.287823408551</v>
      </c>
      <c r="H834" s="29">
        <f>Tableau!$G$26*SIN(F834*PI()/180)+Tableau!$H$25</f>
        <v>13267.531492740207</v>
      </c>
      <c r="J834" s="36">
        <v>831</v>
      </c>
      <c r="K834" s="37">
        <f>Tableau!$G$36*COS(J834*PI()/180)+Tableau!$G$35</f>
        <v>-6791.8397477265007</v>
      </c>
      <c r="L834" s="37">
        <f>Tableau!$G$36*SIN(J834*PI()/180)+Tableau!$H$35</f>
        <v>-10332.09786751399</v>
      </c>
      <c r="N834" s="92">
        <v>830</v>
      </c>
      <c r="O834" s="93">
        <v>415</v>
      </c>
      <c r="P834" s="96">
        <f>P833+R833*Tableau!$G$2+((1/2)*T833)*Tableau!$G$2^2</f>
        <v>62830.403153653788</v>
      </c>
      <c r="Q834" s="96">
        <f>Q833+S833*Tableau!$G$2+((1/2)*U833)*Tableau!$G$2^2</f>
        <v>-273481.59703218553</v>
      </c>
      <c r="R834" s="96">
        <f>R833+T833*Tableau!$G$2</f>
        <v>804.04530305673518</v>
      </c>
      <c r="S834" s="96">
        <f>S833+U833*Tableau!$G$2</f>
        <v>-1312.5601694421973</v>
      </c>
      <c r="T834" s="96">
        <f t="shared" si="24"/>
        <v>-3.4089848839657515</v>
      </c>
      <c r="U834" s="96">
        <f t="shared" si="25"/>
        <v>15.447138787428706</v>
      </c>
      <c r="V834" s="96">
        <f>((Tableau!$G$16-P834)/(AC834^2+Tableau!$G$21^2)^(3/2))*Tableau!$G$20</f>
        <v>-0.97487286897305647</v>
      </c>
      <c r="W834" s="96">
        <f>((Tableau!$H$16-Q834)/(AC834^2+Tableau!$G$21^2)^(3/2))*Tableau!$G$20</f>
        <v>6.3954881452949897</v>
      </c>
      <c r="X834" s="96">
        <f>((Tableau!$G$25-P834)/(AD834^2+Tableau!$G$30^2)^(3/2))*Tableau!$G$29</f>
        <v>-0.57699550105273123</v>
      </c>
      <c r="Y834" s="96">
        <f>((Tableau!$H$25-Q834)/(AD834^2+Tableau!$G$30^2)^(3/2))*Tableau!$G$29</f>
        <v>1.9747290836601354</v>
      </c>
      <c r="Z834" s="96">
        <f>((Tableau!$G$35-P834)/(AE834^2+Tableau!$G$40^2)^(3/2))*Tableau!$G$39</f>
        <v>-1.8571165139399637</v>
      </c>
      <c r="AA834" s="97">
        <f>((Tableau!$H$35-Q834)/(AE834^2+Tableau!$G$40^2)^(3/2))*Tableau!$G$39</f>
        <v>7.0769215584735816</v>
      </c>
      <c r="AC834" s="110">
        <f>SQRT((Tableau!$G$16-P834)^2+(Tableau!$H$16-Q834)^2)</f>
        <v>284227.20014991879</v>
      </c>
      <c r="AD834" s="111">
        <f>SQRT((Tableau!$G$25-P834)^2+(Tableau!$H$25-Q834)^2)</f>
        <v>295334.88033504481</v>
      </c>
      <c r="AE834" s="112">
        <f>SQRT((Tableau!$G$35-P834)^2+(Tableau!$H$35-Q834)^2)</f>
        <v>267233.41781352187</v>
      </c>
    </row>
    <row r="835" spans="2:31" x14ac:dyDescent="0.25">
      <c r="B835" s="18">
        <v>832</v>
      </c>
      <c r="C835" s="19">
        <f>Tableau!$G$17*COS(B835*PI()/180)+Tableau!$G$16</f>
        <v>18126.967032920438</v>
      </c>
      <c r="D835" s="19">
        <f>Tableau!$G$17*SIN(B835*PI()/180)+Tableau!$H$16</f>
        <v>12135.919272833937</v>
      </c>
      <c r="F835" s="26">
        <v>832</v>
      </c>
      <c r="G835" s="27">
        <f>Tableau!$G$26*COS(F835*PI()/180)+Tableau!$G$25</f>
        <v>-21311.123076955693</v>
      </c>
      <c r="H835" s="27">
        <f>Tableau!$G$26*SIN(F835*PI()/180)+Tableau!$H$25</f>
        <v>13245.143490983755</v>
      </c>
      <c r="J835" s="34">
        <v>832</v>
      </c>
      <c r="K835" s="35">
        <f>Tableau!$G$36*COS(J835*PI()/180)+Tableau!$G$35</f>
        <v>-6873.0329670795618</v>
      </c>
      <c r="L835" s="35">
        <f>Tableau!$G$36*SIN(J835*PI()/180)+Tableau!$H$35</f>
        <v>-10364.080727166063</v>
      </c>
      <c r="N835" s="98">
        <v>831</v>
      </c>
      <c r="O835" s="99">
        <v>415.5</v>
      </c>
      <c r="P835" s="101">
        <f>P834+R834*Tableau!$G$2+((1/2)*T834)*Tableau!$G$2^2</f>
        <v>63231.999682071655</v>
      </c>
      <c r="Q835" s="101">
        <f>Q834+S834*Tableau!$G$2+((1/2)*U834)*Tableau!$G$2^2</f>
        <v>-274135.94622455823</v>
      </c>
      <c r="R835" s="101">
        <f>R834+T834*Tableau!$G$2</f>
        <v>802.34081061475229</v>
      </c>
      <c r="S835" s="101">
        <f>S834+U834*Tableau!$G$2</f>
        <v>-1304.836600048483</v>
      </c>
      <c r="T835" s="101">
        <f t="shared" si="24"/>
        <v>-3.4049690736441862</v>
      </c>
      <c r="U835" s="101">
        <f t="shared" si="25"/>
        <v>15.363981611972127</v>
      </c>
      <c r="V835" s="101">
        <f>((Tableau!$G$16-P835)/(AC835^2+Tableau!$G$21^2)^(3/2))*Tableau!$G$20</f>
        <v>-0.9767103627419631</v>
      </c>
      <c r="W835" s="101">
        <f>((Tableau!$H$16-Q835)/(AC835^2+Tableau!$G$21^2)^(3/2))*Tableau!$G$20</f>
        <v>6.3628041548177299</v>
      </c>
      <c r="X835" s="101">
        <f>((Tableau!$G$25-P835)/(AD835^2+Tableau!$G$30^2)^(3/2))*Tableau!$G$29</f>
        <v>-0.57545435014328605</v>
      </c>
      <c r="Y835" s="101">
        <f>((Tableau!$H$25-Q835)/(AD835^2+Tableau!$G$30^2)^(3/2))*Tableau!$G$29</f>
        <v>1.9644760057617674</v>
      </c>
      <c r="Z835" s="101">
        <f>((Tableau!$G$35-P835)/(AE835^2+Tableau!$G$40^2)^(3/2))*Tableau!$G$39</f>
        <v>-1.8528043607589373</v>
      </c>
      <c r="AA835" s="102">
        <f>((Tableau!$H$35-Q835)/(AE835^2+Tableau!$G$40^2)^(3/2))*Tableau!$G$39</f>
        <v>7.0367014513926289</v>
      </c>
      <c r="AC835" s="113">
        <f>SQRT((Tableau!$G$16-P835)^2+(Tableau!$H$16-Q835)^2)</f>
        <v>284934.75042948499</v>
      </c>
      <c r="AD835" s="114">
        <f>SQRT((Tableau!$G$25-P835)^2+(Tableau!$H$25-Q835)^2)</f>
        <v>296075.66888888628</v>
      </c>
      <c r="AE835" s="115">
        <f>SQRT((Tableau!$G$35-P835)^2+(Tableau!$H$35-Q835)^2)</f>
        <v>267968.36456251948</v>
      </c>
    </row>
    <row r="836" spans="2:31" x14ac:dyDescent="0.25">
      <c r="B836" s="20">
        <v>833</v>
      </c>
      <c r="C836" s="21">
        <f>Tableau!$G$17*COS(B836*PI()/180)+Tableau!$G$16</f>
        <v>18046.344357553633</v>
      </c>
      <c r="D836" s="21">
        <f>Tableau!$G$17*SIN(B836*PI()/180)+Tableau!$H$16</f>
        <v>12102.524267262203</v>
      </c>
      <c r="F836" s="28">
        <v>833</v>
      </c>
      <c r="G836" s="29">
        <f>Tableau!$G$26*COS(F836*PI()/180)+Tableau!$G$25</f>
        <v>-21367.558949712457</v>
      </c>
      <c r="H836" s="29">
        <f>Tableau!$G$26*SIN(F836*PI()/180)+Tableau!$H$25</f>
        <v>13221.766987083542</v>
      </c>
      <c r="J836" s="36">
        <v>833</v>
      </c>
      <c r="K836" s="37">
        <f>Tableau!$G$36*COS(J836*PI()/180)+Tableau!$G$35</f>
        <v>-6953.6556424463661</v>
      </c>
      <c r="L836" s="37">
        <f>Tableau!$G$36*SIN(J836*PI()/180)+Tableau!$H$35</f>
        <v>-10397.475732737797</v>
      </c>
      <c r="N836" s="92">
        <v>832</v>
      </c>
      <c r="O836" s="93">
        <v>416</v>
      </c>
      <c r="P836" s="96">
        <f>P835+R835*Tableau!$G$2+((1/2)*T835)*Tableau!$G$2^2</f>
        <v>63632.744466244825</v>
      </c>
      <c r="Q836" s="96">
        <f>Q835+S835*Tableau!$G$2+((1/2)*U835)*Tableau!$G$2^2</f>
        <v>-274786.44402688096</v>
      </c>
      <c r="R836" s="96">
        <f>R835+T835*Tableau!$G$2</f>
        <v>800.63832607793017</v>
      </c>
      <c r="S836" s="96">
        <f>S835+U835*Tableau!$G$2</f>
        <v>-1297.1546092424969</v>
      </c>
      <c r="T836" s="96">
        <f t="shared" ref="T836:T899" si="26">V836+X836+Z836</f>
        <v>-3.4009681427623839</v>
      </c>
      <c r="U836" s="96">
        <f t="shared" ref="U836:U899" si="27">W836+Y836+AA836</f>
        <v>15.281887024639119</v>
      </c>
      <c r="V836" s="96">
        <f>((Tableau!$G$16-P836)/(AC836^2+Tableau!$G$21^2)^(3/2))*Tableau!$G$20</f>
        <v>-0.97850302361651553</v>
      </c>
      <c r="W836" s="96">
        <f>((Tableau!$H$16-Q836)/(AC836^2+Tableau!$G$21^2)^(3/2))*Tableau!$G$20</f>
        <v>6.3305240682246167</v>
      </c>
      <c r="X836" s="96">
        <f>((Tableau!$G$25-P836)/(AD836^2+Tableau!$G$30^2)^(3/2))*Tableau!$G$29</f>
        <v>-0.57393089036594314</v>
      </c>
      <c r="Y836" s="96">
        <f>((Tableau!$H$25-Q836)/(AD836^2+Tableau!$G$30^2)^(3/2))*Tableau!$G$29</f>
        <v>1.9543509952667892</v>
      </c>
      <c r="Z836" s="96">
        <f>((Tableau!$G$35-P836)/(AE836^2+Tableau!$G$40^2)^(3/2))*Tableau!$G$39</f>
        <v>-1.8485342287799251</v>
      </c>
      <c r="AA836" s="97">
        <f>((Tableau!$H$35-Q836)/(AE836^2+Tableau!$G$40^2)^(3/2))*Tableau!$G$39</f>
        <v>6.9970119611477131</v>
      </c>
      <c r="AC836" s="110">
        <f>SQRT((Tableau!$G$16-P836)^2+(Tableau!$H$16-Q836)^2)</f>
        <v>285638.67537677387</v>
      </c>
      <c r="AD836" s="111">
        <f>SQRT((Tableau!$G$25-P836)^2+(Tableau!$H$25-Q836)^2)</f>
        <v>296812.6591781961</v>
      </c>
      <c r="AE836" s="112">
        <f>SQRT((Tableau!$G$35-P836)^2+(Tableau!$H$35-Q836)^2)</f>
        <v>268699.5536153728</v>
      </c>
    </row>
    <row r="837" spans="2:31" x14ac:dyDescent="0.25">
      <c r="B837" s="18">
        <v>834</v>
      </c>
      <c r="C837" s="19">
        <f>Tableau!$G$17*COS(B837*PI()/180)+Tableau!$G$16</f>
        <v>17966.316784620998</v>
      </c>
      <c r="D837" s="19">
        <f>Tableau!$G$17*SIN(B837*PI()/180)+Tableau!$H$16</f>
        <v>12067.727288213006</v>
      </c>
      <c r="F837" s="26">
        <v>834</v>
      </c>
      <c r="G837" s="27">
        <f>Tableau!$G$26*COS(F837*PI()/180)+Tableau!$G$25</f>
        <v>-21423.578250765302</v>
      </c>
      <c r="H837" s="27">
        <f>Tableau!$G$26*SIN(F837*PI()/180)+Tableau!$H$25</f>
        <v>13197.409101749103</v>
      </c>
      <c r="J837" s="34">
        <v>834</v>
      </c>
      <c r="K837" s="35">
        <f>Tableau!$G$36*COS(J837*PI()/180)+Tableau!$G$35</f>
        <v>-7033.683215379001</v>
      </c>
      <c r="L837" s="35">
        <f>Tableau!$G$36*SIN(J837*PI()/180)+Tableau!$H$35</f>
        <v>-10432.272711786994</v>
      </c>
      <c r="N837" s="98">
        <v>833</v>
      </c>
      <c r="O837" s="99">
        <v>416.5</v>
      </c>
      <c r="P837" s="101">
        <f>P836+R836*Tableau!$G$2+((1/2)*T836)*Tableau!$G$2^2</f>
        <v>64032.63850826594</v>
      </c>
      <c r="Q837" s="101">
        <f>Q836+S836*Tableau!$G$2+((1/2)*U836)*Tableau!$G$2^2</f>
        <v>-275433.1110956241</v>
      </c>
      <c r="R837" s="101">
        <f>R836+T836*Tableau!$G$2</f>
        <v>798.93784200654898</v>
      </c>
      <c r="S837" s="101">
        <f>S836+U836*Tableau!$G$2</f>
        <v>-1289.5136657301773</v>
      </c>
      <c r="T837" s="101">
        <f t="shared" si="26"/>
        <v>-3.3969828349783353</v>
      </c>
      <c r="U837" s="101">
        <f t="shared" si="27"/>
        <v>15.200836546445544</v>
      </c>
      <c r="V837" s="101">
        <f>((Tableau!$G$16-P837)/(AC837^2+Tableau!$G$21^2)^(3/2))*Tableau!$G$20</f>
        <v>-0.98025214436915331</v>
      </c>
      <c r="W837" s="101">
        <f>((Tableau!$H$16-Q837)/(AC837^2+Tableau!$G$21^2)^(3/2))*Tableau!$G$20</f>
        <v>6.2986411503016617</v>
      </c>
      <c r="X837" s="101">
        <f>((Tableau!$G$25-P837)/(AD837^2+Tableau!$G$30^2)^(3/2))*Tableau!$G$29</f>
        <v>-0.57242489120875595</v>
      </c>
      <c r="Y837" s="101">
        <f>((Tableau!$H$25-Q837)/(AD837^2+Tableau!$G$30^2)^(3/2))*Tableau!$G$29</f>
        <v>1.9443518669262954</v>
      </c>
      <c r="Z837" s="101">
        <f>((Tableau!$G$35-P837)/(AE837^2+Tableau!$G$40^2)^(3/2))*Tableau!$G$39</f>
        <v>-1.8443057994004262</v>
      </c>
      <c r="AA837" s="102">
        <f>((Tableau!$H$35-Q837)/(AE837^2+Tableau!$G$40^2)^(3/2))*Tableau!$G$39</f>
        <v>6.9578435292175866</v>
      </c>
      <c r="AC837" s="113">
        <f>SQRT((Tableau!$G$16-P837)^2+(Tableau!$H$16-Q837)^2)</f>
        <v>286338.99246915075</v>
      </c>
      <c r="AD837" s="114">
        <f>SQRT((Tableau!$G$25-P837)^2+(Tableau!$H$25-Q837)^2)</f>
        <v>297545.87082395848</v>
      </c>
      <c r="AE837" s="115">
        <f>SQRT((Tableau!$G$35-P837)^2+(Tableau!$H$35-Q837)^2)</f>
        <v>269427.00409268297</v>
      </c>
    </row>
    <row r="838" spans="2:31" x14ac:dyDescent="0.25">
      <c r="B838" s="20">
        <v>835</v>
      </c>
      <c r="C838" s="21">
        <f>Tableau!$G$17*COS(B838*PI()/180)+Tableau!$G$16</f>
        <v>17886.908691296507</v>
      </c>
      <c r="D838" s="21">
        <f>Tableau!$G$17*SIN(B838*PI()/180)+Tableau!$H$16</f>
        <v>12031.538935183253</v>
      </c>
      <c r="F838" s="28">
        <v>835</v>
      </c>
      <c r="G838" s="29">
        <f>Tableau!$G$26*COS(F838*PI()/180)+Tableau!$G$25</f>
        <v>-21479.163916092446</v>
      </c>
      <c r="H838" s="29">
        <f>Tableau!$G$26*SIN(F838*PI()/180)+Tableau!$H$25</f>
        <v>13172.077254628277</v>
      </c>
      <c r="J838" s="36">
        <v>835</v>
      </c>
      <c r="K838" s="37">
        <f>Tableau!$G$36*COS(J838*PI()/180)+Tableau!$G$35</f>
        <v>-7113.0913087034924</v>
      </c>
      <c r="L838" s="37">
        <f>Tableau!$G$36*SIN(J838*PI()/180)+Tableau!$H$35</f>
        <v>-10468.461064816747</v>
      </c>
      <c r="N838" s="92">
        <v>834</v>
      </c>
      <c r="O838" s="93">
        <v>417</v>
      </c>
      <c r="P838" s="96">
        <f>P837+R837*Tableau!$G$2+((1/2)*T837)*Tableau!$G$2^2</f>
        <v>64431.682806414843</v>
      </c>
      <c r="Q838" s="96">
        <f>Q837+S837*Tableau!$G$2+((1/2)*U837)*Tableau!$G$2^2</f>
        <v>-276075.96782392089</v>
      </c>
      <c r="R838" s="96">
        <f>R837+T837*Tableau!$G$2</f>
        <v>797.23935058905977</v>
      </c>
      <c r="S838" s="96">
        <f>S837+U837*Tableau!$G$2</f>
        <v>-1281.9132474569547</v>
      </c>
      <c r="T838" s="96">
        <f t="shared" si="26"/>
        <v>-3.3930138614854495</v>
      </c>
      <c r="U838" s="96">
        <f t="shared" si="27"/>
        <v>15.120812121982635</v>
      </c>
      <c r="V838" s="96">
        <f>((Tableau!$G$16-P838)/(AC838^2+Tableau!$G$21^2)^(3/2))*Tableau!$G$20</f>
        <v>-0.98195898032774154</v>
      </c>
      <c r="W838" s="96">
        <f>((Tableau!$H$16-Q838)/(AC838^2+Tableau!$G$21^2)^(3/2))*Tableau!$G$20</f>
        <v>6.2671488141256493</v>
      </c>
      <c r="X838" s="96">
        <f>((Tableau!$G$25-P838)/(AD838^2+Tableau!$G$30^2)^(3/2))*Tableau!$G$29</f>
        <v>-0.5709361265254157</v>
      </c>
      <c r="Y838" s="96">
        <f>((Tableau!$H$25-Q838)/(AD838^2+Tableau!$G$30^2)^(3/2))*Tableau!$G$29</f>
        <v>1.9344764848035161</v>
      </c>
      <c r="Z838" s="96">
        <f>((Tableau!$G$35-P838)/(AE838^2+Tableau!$G$40^2)^(3/2))*Tableau!$G$39</f>
        <v>-1.8401187546322921</v>
      </c>
      <c r="AA838" s="97">
        <f>((Tableau!$H$35-Q838)/(AE838^2+Tableau!$G$40^2)^(3/2))*Tableau!$G$39</f>
        <v>6.9191868230534688</v>
      </c>
      <c r="AC838" s="110">
        <f>SQRT((Tableau!$G$16-P838)^2+(Tableau!$H$16-Q838)^2)</f>
        <v>287035.71896940505</v>
      </c>
      <c r="AD838" s="111">
        <f>SQRT((Tableau!$G$25-P838)^2+(Tableau!$H$25-Q838)^2)</f>
        <v>298275.32319639862</v>
      </c>
      <c r="AE838" s="112">
        <f>SQRT((Tableau!$G$35-P838)^2+(Tableau!$H$35-Q838)^2)</f>
        <v>270150.73487319553</v>
      </c>
    </row>
    <row r="839" spans="2:31" x14ac:dyDescent="0.25">
      <c r="B839" s="18">
        <v>836</v>
      </c>
      <c r="C839" s="19">
        <f>Tableau!$G$17*COS(B839*PI()/180)+Tableau!$G$16</f>
        <v>17808.144266054616</v>
      </c>
      <c r="D839" s="19">
        <f>Tableau!$G$17*SIN(B839*PI()/180)+Tableau!$H$16</f>
        <v>11993.970231495836</v>
      </c>
      <c r="F839" s="26">
        <v>836</v>
      </c>
      <c r="G839" s="27">
        <f>Tableau!$G$26*COS(F839*PI()/180)+Tableau!$G$25</f>
        <v>-21534.299013761771</v>
      </c>
      <c r="H839" s="27">
        <f>Tableau!$G$26*SIN(F839*PI()/180)+Tableau!$H$25</f>
        <v>13145.779162047085</v>
      </c>
      <c r="J839" s="34">
        <v>836</v>
      </c>
      <c r="K839" s="35">
        <f>Tableau!$G$36*COS(J839*PI()/180)+Tableau!$G$35</f>
        <v>-7191.8557339453855</v>
      </c>
      <c r="L839" s="35">
        <f>Tableau!$G$36*SIN(J839*PI()/180)+Tableau!$H$35</f>
        <v>-10506.029768504164</v>
      </c>
      <c r="N839" s="98">
        <v>835</v>
      </c>
      <c r="O839" s="99">
        <v>417.5</v>
      </c>
      <c r="P839" s="101">
        <f>P838+R838*Tableau!$G$2+((1/2)*T838)*Tableau!$G$2^2</f>
        <v>64829.878354976689</v>
      </c>
      <c r="Q839" s="101">
        <f>Q838+S838*Tableau!$G$2+((1/2)*U838)*Tableau!$G$2^2</f>
        <v>-276715.03434613417</v>
      </c>
      <c r="R839" s="101">
        <f>R838+T838*Tableau!$G$2</f>
        <v>795.542843658317</v>
      </c>
      <c r="S839" s="101">
        <f>S838+U838*Tableau!$G$2</f>
        <v>-1274.3528413959634</v>
      </c>
      <c r="T839" s="101">
        <f t="shared" si="26"/>
        <v>-3.3890619023185939</v>
      </c>
      <c r="U839" s="101">
        <f t="shared" si="27"/>
        <v>15.041796107533987</v>
      </c>
      <c r="V839" s="101">
        <f>((Tableau!$G$16-P839)/(AC839^2+Tableau!$G$21^2)^(3/2))*Tableau!$G$20</f>
        <v>-0.98362475061642707</v>
      </c>
      <c r="W839" s="101">
        <f>((Tableau!$H$16-Q839)/(AC839^2+Tableau!$G$21^2)^(3/2))*Tableau!$G$20</f>
        <v>6.2360406170747664</v>
      </c>
      <c r="X839" s="101">
        <f>((Tableau!$G$25-P839)/(AD839^2+Tableau!$G$30^2)^(3/2))*Tableau!$G$29</f>
        <v>-0.56946437443472075</v>
      </c>
      <c r="Y839" s="101">
        <f>((Tableau!$H$25-Q839)/(AD839^2+Tableau!$G$30^2)^(3/2))*Tableau!$G$29</f>
        <v>1.924722760908828</v>
      </c>
      <c r="Z839" s="101">
        <f>((Tableau!$G$35-P839)/(AE839^2+Tableau!$G$40^2)^(3/2))*Tableau!$G$39</f>
        <v>-1.8359727772674463</v>
      </c>
      <c r="AA839" s="102">
        <f>((Tableau!$H$35-Q839)/(AE839^2+Tableau!$G$40^2)^(3/2))*Tableau!$G$39</f>
        <v>6.8810327295503919</v>
      </c>
      <c r="AC839" s="113">
        <f>SQRT((Tableau!$G$16-P839)^2+(Tableau!$H$16-Q839)^2)</f>
        <v>287728.8719292804</v>
      </c>
      <c r="AD839" s="114">
        <f>SQRT((Tableau!$G$25-P839)^2+(Tableau!$H$25-Q839)^2)</f>
        <v>299001.03541931929</v>
      </c>
      <c r="AE839" s="115">
        <f>SQRT((Tableau!$G$35-P839)^2+(Tableau!$H$35-Q839)^2)</f>
        <v>270870.76459793339</v>
      </c>
    </row>
    <row r="840" spans="2:31" x14ac:dyDescent="0.25">
      <c r="B840" s="20">
        <v>837</v>
      </c>
      <c r="C840" s="21">
        <f>Tableau!$G$17*COS(B840*PI()/180)+Tableau!$G$16</f>
        <v>17730.047501302266</v>
      </c>
      <c r="D840" s="21">
        <f>Tableau!$G$17*SIN(B840*PI()/180)+Tableau!$H$16</f>
        <v>11955.032620941838</v>
      </c>
      <c r="F840" s="28">
        <v>837</v>
      </c>
      <c r="G840" s="29">
        <f>Tableau!$G$26*COS(F840*PI()/180)+Tableau!$G$25</f>
        <v>-21588.966749088417</v>
      </c>
      <c r="H840" s="29">
        <f>Tableau!$G$26*SIN(F840*PI()/180)+Tableau!$H$25</f>
        <v>13118.522834659287</v>
      </c>
      <c r="J840" s="36">
        <v>837</v>
      </c>
      <c r="K840" s="37">
        <f>Tableau!$G$36*COS(J840*PI()/180)+Tableau!$G$35</f>
        <v>-7269.9524986977358</v>
      </c>
      <c r="L840" s="37">
        <f>Tableau!$G$36*SIN(J840*PI()/180)+Tableau!$H$35</f>
        <v>-10544.967379058162</v>
      </c>
      <c r="N840" s="92">
        <v>836</v>
      </c>
      <c r="O840" s="93">
        <v>418</v>
      </c>
      <c r="P840" s="96">
        <f>P839+R839*Tableau!$G$2+((1/2)*T839)*Tableau!$G$2^2</f>
        <v>65227.22614406806</v>
      </c>
      <c r="Q840" s="96">
        <f>Q839+S839*Tableau!$G$2+((1/2)*U839)*Tableau!$G$2^2</f>
        <v>-277350.33054231876</v>
      </c>
      <c r="R840" s="96">
        <f>R839+T839*Tableau!$G$2</f>
        <v>793.84831270715767</v>
      </c>
      <c r="S840" s="96">
        <f>S839+U839*Tableau!$G$2</f>
        <v>-1266.8319433421964</v>
      </c>
      <c r="T840" s="96">
        <f t="shared" si="26"/>
        <v>-3.3851276076056278</v>
      </c>
      <c r="U840" s="96">
        <f t="shared" si="27"/>
        <v>14.963771259587975</v>
      </c>
      <c r="V840" s="96">
        <f>((Tableau!$G$16-P840)/(AC840^2+Tableau!$G$21^2)^(3/2))*Tableau!$G$20</f>
        <v>-0.9852506393502275</v>
      </c>
      <c r="W840" s="96">
        <f>((Tableau!$H$16-Q840)/(AC840^2+Tableau!$G$21^2)^(3/2))*Tableau!$G$20</f>
        <v>6.2053102569668148</v>
      </c>
      <c r="X840" s="96">
        <f>((Tableau!$G$25-P840)/(AD840^2+Tableau!$G$30^2)^(3/2))*Tableau!$G$29</f>
        <v>-0.56800941722292198</v>
      </c>
      <c r="Y840" s="96">
        <f>((Tableau!$H$25-Q840)/(AD840^2+Tableau!$G$30^2)^(3/2))*Tableau!$G$29</f>
        <v>1.9150886538798457</v>
      </c>
      <c r="Z840" s="96">
        <f>((Tableau!$G$35-P840)/(AE840^2+Tableau!$G$40^2)^(3/2))*Tableau!$G$39</f>
        <v>-1.831867551032478</v>
      </c>
      <c r="AA840" s="97">
        <f>((Tableau!$H$35-Q840)/(AE840^2+Tableau!$G$40^2)^(3/2))*Tableau!$G$39</f>
        <v>6.8433723487413154</v>
      </c>
      <c r="AC840" s="110">
        <f>SQRT((Tableau!$G$16-P840)^2+(Tableau!$H$16-Q840)^2)</f>
        <v>288418.46819292783</v>
      </c>
      <c r="AD840" s="111">
        <f>SQRT((Tableau!$G$25-P840)^2+(Tableau!$H$25-Q840)^2)</f>
        <v>299723.02637433773</v>
      </c>
      <c r="AE840" s="112">
        <f>SQRT((Tableau!$G$35-P840)^2+(Tableau!$H$35-Q840)^2)</f>
        <v>271587.11167423608</v>
      </c>
    </row>
    <row r="841" spans="2:31" x14ac:dyDescent="0.25">
      <c r="B841" s="18">
        <v>838</v>
      </c>
      <c r="C841" s="19">
        <f>Tableau!$G$17*COS(B841*PI()/180)+Tableau!$G$16</f>
        <v>17652.642186070549</v>
      </c>
      <c r="D841" s="19">
        <f>Tableau!$G$17*SIN(B841*PI()/180)+Tableau!$H$16</f>
        <v>11914.737964294636</v>
      </c>
      <c r="F841" s="26">
        <v>838</v>
      </c>
      <c r="G841" s="27">
        <f>Tableau!$G$26*COS(F841*PI()/180)+Tableau!$G$25</f>
        <v>-21643.150469750617</v>
      </c>
      <c r="H841" s="27">
        <f>Tableau!$G$26*SIN(F841*PI()/180)+Tableau!$H$25</f>
        <v>13090.316575006245</v>
      </c>
      <c r="J841" s="34">
        <v>838</v>
      </c>
      <c r="K841" s="35">
        <f>Tableau!$G$36*COS(J841*PI()/180)+Tableau!$G$35</f>
        <v>-7347.3578139294505</v>
      </c>
      <c r="L841" s="35">
        <f>Tableau!$G$36*SIN(J841*PI()/180)+Tableau!$H$35</f>
        <v>-10585.262035705364</v>
      </c>
      <c r="N841" s="98">
        <v>837</v>
      </c>
      <c r="O841" s="99">
        <v>418.5</v>
      </c>
      <c r="P841" s="101">
        <f>P840+R840*Tableau!$G$2+((1/2)*T840)*Tableau!$G$2^2</f>
        <v>65623.727159470684</v>
      </c>
      <c r="Q841" s="101">
        <f>Q840+S840*Tableau!$G$2+((1/2)*U840)*Tableau!$G$2^2</f>
        <v>-277981.87604258244</v>
      </c>
      <c r="R841" s="101">
        <f>R840+T840*Tableau!$G$2</f>
        <v>792.15574890335483</v>
      </c>
      <c r="S841" s="101">
        <f>S840+U840*Tableau!$G$2</f>
        <v>-1259.3500577124023</v>
      </c>
      <c r="T841" s="101">
        <f t="shared" si="26"/>
        <v>-3.3812115987665479</v>
      </c>
      <c r="U841" s="101">
        <f t="shared" si="27"/>
        <v>14.886720723728764</v>
      </c>
      <c r="V841" s="101">
        <f>((Tableau!$G$16-P841)/(AC841^2+Tableau!$G$21^2)^(3/2))*Tableau!$G$20</f>
        <v>-0.98683779678507821</v>
      </c>
      <c r="W841" s="101">
        <f>((Tableau!$H$16-Q841)/(AC841^2+Tableau!$G$21^2)^(3/2))*Tableau!$G$20</f>
        <v>6.1749515683190266</v>
      </c>
      <c r="X841" s="101">
        <f>((Tableau!$G$25-P841)/(AD841^2+Tableau!$G$30^2)^(3/2))*Tableau!$G$29</f>
        <v>-0.56657104124869606</v>
      </c>
      <c r="Y841" s="101">
        <f>((Tableau!$H$25-Q841)/(AD841^2+Tableau!$G$30^2)^(3/2))*Tableau!$G$29</f>
        <v>1.9055721677043556</v>
      </c>
      <c r="Z841" s="101">
        <f>((Tableau!$G$35-P841)/(AE841^2+Tableau!$G$40^2)^(3/2))*Tableau!$G$39</f>
        <v>-1.8278027607327734</v>
      </c>
      <c r="AA841" s="102">
        <f>((Tableau!$H$35-Q841)/(AE841^2+Tableau!$G$40^2)^(3/2))*Tableau!$G$39</f>
        <v>6.8061969877053814</v>
      </c>
      <c r="AC841" s="113">
        <f>SQRT((Tableau!$G$16-P841)^2+(Tableau!$H$16-Q841)^2)</f>
        <v>289104.5244002837</v>
      </c>
      <c r="AD841" s="114">
        <f>SQRT((Tableau!$G$25-P841)^2+(Tableau!$H$25-Q841)^2)</f>
        <v>300441.31470502657</v>
      </c>
      <c r="AE841" s="115">
        <f>SQRT((Tableau!$G$35-P841)^2+(Tableau!$H$35-Q841)^2)</f>
        <v>272299.79427970847</v>
      </c>
    </row>
    <row r="842" spans="2:31" x14ac:dyDescent="0.25">
      <c r="B842" s="20">
        <v>839</v>
      </c>
      <c r="C842" s="21">
        <f>Tableau!$G$17*COS(B842*PI()/180)+Tableau!$G$16</f>
        <v>17575.951898768322</v>
      </c>
      <c r="D842" s="21">
        <f>Tableau!$G$17*SIN(B842*PI()/180)+Tableau!$H$16</f>
        <v>11873.098535696983</v>
      </c>
      <c r="F842" s="28">
        <v>839</v>
      </c>
      <c r="G842" s="29">
        <f>Tableau!$G$26*COS(F842*PI()/180)+Tableau!$G$25</f>
        <v>-21696.833670862175</v>
      </c>
      <c r="H842" s="29">
        <f>Tableau!$G$26*SIN(F842*PI()/180)+Tableau!$H$25</f>
        <v>13061.16897498789</v>
      </c>
      <c r="J842" s="36">
        <v>839</v>
      </c>
      <c r="K842" s="37">
        <f>Tableau!$G$36*COS(J842*PI()/180)+Tableau!$G$35</f>
        <v>-7424.0481012316768</v>
      </c>
      <c r="L842" s="37">
        <f>Tableau!$G$36*SIN(J842*PI()/180)+Tableau!$H$35</f>
        <v>-10626.901464303017</v>
      </c>
      <c r="N842" s="92">
        <v>838</v>
      </c>
      <c r="O842" s="93">
        <v>419</v>
      </c>
      <c r="P842" s="96">
        <f>P841+R841*Tableau!$G$2+((1/2)*T841)*Tableau!$G$2^2</f>
        <v>66019.382382472511</v>
      </c>
      <c r="Q842" s="96">
        <f>Q841+S841*Tableau!$G$2+((1/2)*U841)*Tableau!$G$2^2</f>
        <v>-278609.69023134816</v>
      </c>
      <c r="R842" s="96">
        <f>R841+T841*Tableau!$G$2</f>
        <v>790.46514310397151</v>
      </c>
      <c r="S842" s="96">
        <f>S841+U841*Tableau!$G$2</f>
        <v>-1251.906697350538</v>
      </c>
      <c r="T842" s="96">
        <f t="shared" si="26"/>
        <v>-3.3773144696630455</v>
      </c>
      <c r="U842" s="96">
        <f t="shared" si="27"/>
        <v>14.81062802389344</v>
      </c>
      <c r="V842" s="96">
        <f>((Tableau!$G$16-P842)/(AC842^2+Tableau!$G$21^2)^(3/2))*Tableau!$G$20</f>
        <v>-0.9883873404254061</v>
      </c>
      <c r="W842" s="96">
        <f>((Tableau!$H$16-Q842)/(AC842^2+Tableau!$G$21^2)^(3/2))*Tableau!$G$20</f>
        <v>6.1449585187263329</v>
      </c>
      <c r="X842" s="96">
        <f>((Tableau!$G$25-P842)/(AD842^2+Tableau!$G$30^2)^(3/2))*Tableau!$G$29</f>
        <v>-0.56514903685078532</v>
      </c>
      <c r="Y842" s="96">
        <f>((Tableau!$H$25-Q842)/(AD842^2+Tableau!$G$30^2)^(3/2))*Tableau!$G$29</f>
        <v>1.8961713504849</v>
      </c>
      <c r="Z842" s="96">
        <f>((Tableau!$G$35-P842)/(AE842^2+Tableau!$G$40^2)^(3/2))*Tableau!$G$39</f>
        <v>-1.8237780923868543</v>
      </c>
      <c r="AA842" s="97">
        <f>((Tableau!$H$35-Q842)/(AE842^2+Tableau!$G$40^2)^(3/2))*Tableau!$G$39</f>
        <v>6.7694981546822079</v>
      </c>
      <c r="AC842" s="110">
        <f>SQRT((Tableau!$G$16-P842)^2+(Tableau!$H$16-Q842)^2)</f>
        <v>289787.05699037394</v>
      </c>
      <c r="AD842" s="111">
        <f>SQRT((Tableau!$G$25-P842)^2+(Tableau!$H$25-Q842)^2)</f>
        <v>301155.91882096016</v>
      </c>
      <c r="AE842" s="112">
        <f>SQRT((Tableau!$G$35-P842)^2+(Tableau!$H$35-Q842)^2)</f>
        <v>273008.83036608022</v>
      </c>
    </row>
    <row r="843" spans="2:31" x14ac:dyDescent="0.25">
      <c r="B843" s="18">
        <v>840</v>
      </c>
      <c r="C843" s="19">
        <f>Tableau!$G$17*COS(B843*PI()/180)+Tableau!$G$16</f>
        <v>17499.999999999996</v>
      </c>
      <c r="D843" s="19">
        <f>Tableau!$G$17*SIN(B843*PI()/180)+Tableau!$H$16</f>
        <v>11830.127018922192</v>
      </c>
      <c r="F843" s="26">
        <v>840</v>
      </c>
      <c r="G843" s="27">
        <f>Tableau!$G$26*COS(F843*PI()/180)+Tableau!$G$25</f>
        <v>-21750.000000000004</v>
      </c>
      <c r="H843" s="27">
        <f>Tableau!$G$26*SIN(F843*PI()/180)+Tableau!$H$25</f>
        <v>13031.088913245534</v>
      </c>
      <c r="J843" s="34">
        <v>840</v>
      </c>
      <c r="K843" s="35">
        <f>Tableau!$G$36*COS(J843*PI()/180)+Tableau!$G$35</f>
        <v>-7500.0000000000027</v>
      </c>
      <c r="L843" s="35">
        <f>Tableau!$G$36*SIN(J843*PI()/180)+Tableau!$H$35</f>
        <v>-10669.872981077808</v>
      </c>
      <c r="N843" s="98">
        <v>839</v>
      </c>
      <c r="O843" s="99">
        <v>419.5</v>
      </c>
      <c r="P843" s="101">
        <f>P842+R842*Tableau!$G$2+((1/2)*T842)*Tableau!$G$2^2</f>
        <v>66414.192789715788</v>
      </c>
      <c r="Q843" s="101">
        <f>Q842+S842*Tableau!$G$2+((1/2)*U842)*Tableau!$G$2^2</f>
        <v>-279233.79225152044</v>
      </c>
      <c r="R843" s="101">
        <f>R842+T842*Tableau!$G$2</f>
        <v>788.77648586913995</v>
      </c>
      <c r="S843" s="101">
        <f>S842+U842*Tableau!$G$2</f>
        <v>-1244.5013833385913</v>
      </c>
      <c r="T843" s="101">
        <f t="shared" si="26"/>
        <v>-3.3734367877003604</v>
      </c>
      <c r="U843" s="101">
        <f t="shared" si="27"/>
        <v>14.735477051979895</v>
      </c>
      <c r="V843" s="101">
        <f>((Tableau!$G$16-P843)/(AC843^2+Tableau!$G$21^2)^(3/2))*Tableau!$G$20</f>
        <v>-0.9899003560908427</v>
      </c>
      <c r="W843" s="101">
        <f>((Tableau!$H$16-Q843)/(AC843^2+Tableau!$G$21^2)^(3/2))*Tableau!$G$20</f>
        <v>6.1153252053529004</v>
      </c>
      <c r="X843" s="101">
        <f>((Tableau!$G$25-P843)/(AD843^2+Tableau!$G$30^2)^(3/2))*Tableau!$G$29</f>
        <v>-0.56374319825816543</v>
      </c>
      <c r="Y843" s="101">
        <f>((Tableau!$H$25-Q843)/(AD843^2+Tableau!$G$30^2)^(3/2))*Tableau!$G$29</f>
        <v>1.8868842932432628</v>
      </c>
      <c r="Z843" s="101">
        <f>((Tableau!$G$35-P843)/(AE843^2+Tableau!$G$40^2)^(3/2))*Tableau!$G$39</f>
        <v>-1.8197932333513522</v>
      </c>
      <c r="AA843" s="102">
        <f>((Tableau!$H$35-Q843)/(AE843^2+Tableau!$G$40^2)^(3/2))*Tableau!$G$39</f>
        <v>6.7332675533837332</v>
      </c>
      <c r="AC843" s="113">
        <f>SQRT((Tableau!$G$16-P843)^2+(Tableau!$H$16-Q843)^2)</f>
        <v>290466.08220454759</v>
      </c>
      <c r="AD843" s="114">
        <f>SQRT((Tableau!$G$25-P843)^2+(Tableau!$H$25-Q843)^2)</f>
        <v>301866.85690167086</v>
      </c>
      <c r="AE843" s="115">
        <f>SQRT((Tableau!$G$35-P843)^2+(Tableau!$H$35-Q843)^2)</f>
        <v>273714.2376629801</v>
      </c>
    </row>
    <row r="844" spans="2:31" x14ac:dyDescent="0.25">
      <c r="B844" s="20">
        <v>841</v>
      </c>
      <c r="C844" s="21">
        <f>Tableau!$G$17*COS(B844*PI()/180)+Tableau!$G$16</f>
        <v>17424.809625449732</v>
      </c>
      <c r="D844" s="21">
        <f>Tableau!$G$17*SIN(B844*PI()/180)+Tableau!$H$16</f>
        <v>11785.836503510563</v>
      </c>
      <c r="F844" s="28">
        <v>841</v>
      </c>
      <c r="G844" s="29">
        <f>Tableau!$G$26*COS(F844*PI()/180)+Tableau!$G$25</f>
        <v>-21802.633262185187</v>
      </c>
      <c r="H844" s="29">
        <f>Tableau!$G$26*SIN(F844*PI()/180)+Tableau!$H$25</f>
        <v>13000.085552457394</v>
      </c>
      <c r="J844" s="36">
        <v>841</v>
      </c>
      <c r="K844" s="37">
        <f>Tableau!$G$36*COS(J844*PI()/180)+Tableau!$G$35</f>
        <v>-7575.1903745502696</v>
      </c>
      <c r="L844" s="37">
        <f>Tableau!$G$36*SIN(J844*PI()/180)+Tableau!$H$35</f>
        <v>-10714.163496489437</v>
      </c>
      <c r="N844" s="92">
        <v>840</v>
      </c>
      <c r="O844" s="93">
        <v>420</v>
      </c>
      <c r="P844" s="96">
        <f>P843+R843*Tableau!$G$2+((1/2)*T843)*Tableau!$G$2^2</f>
        <v>66808.159353051888</v>
      </c>
      <c r="Q844" s="96">
        <f>Q843+S843*Tableau!$G$2+((1/2)*U843)*Tableau!$G$2^2</f>
        <v>-279854.20100855822</v>
      </c>
      <c r="R844" s="96">
        <f>R843+T843*Tableau!$G$2</f>
        <v>787.08976747528982</v>
      </c>
      <c r="S844" s="96">
        <f>S843+U843*Tableau!$G$2</f>
        <v>-1237.1336448126012</v>
      </c>
      <c r="T844" s="96">
        <f t="shared" si="26"/>
        <v>-3.3695790948837749</v>
      </c>
      <c r="U844" s="96">
        <f t="shared" si="27"/>
        <v>14.661252057793137</v>
      </c>
      <c r="V844" s="96">
        <f>((Tableau!$G$16-P844)/(AC844^2+Tableau!$G$21^2)^(3/2))*Tableau!$G$20</f>
        <v>-0.99137789894385142</v>
      </c>
      <c r="W844" s="96">
        <f>((Tableau!$H$16-Q844)/(AC844^2+Tableau!$G$21^2)^(3/2))*Tableau!$G$20</f>
        <v>6.0860458515333535</v>
      </c>
      <c r="X844" s="96">
        <f>((Tableau!$G$25-P844)/(AD844^2+Tableau!$G$30^2)^(3/2))*Tableau!$G$29</f>
        <v>-0.5623533235026561</v>
      </c>
      <c r="Y844" s="96">
        <f>((Tableau!$H$25-Q844)/(AD844^2+Tableau!$G$30^2)^(3/2))*Tableau!$G$29</f>
        <v>1.8777091287633561</v>
      </c>
      <c r="Z844" s="96">
        <f>((Tableau!$G$35-P844)/(AE844^2+Tableau!$G$40^2)^(3/2))*Tableau!$G$39</f>
        <v>-1.8158478724372675</v>
      </c>
      <c r="AA844" s="97">
        <f>((Tableau!$H$35-Q844)/(AE844^2+Tableau!$G$40^2)^(3/2))*Tableau!$G$39</f>
        <v>6.6974970774964273</v>
      </c>
      <c r="AC844" s="110">
        <f>SQRT((Tableau!$G$16-P844)^2+(Tableau!$H$16-Q844)^2)</f>
        <v>291141.61608964042</v>
      </c>
      <c r="AD844" s="111">
        <f>SQRT((Tableau!$G$25-P844)^2+(Tableau!$H$25-Q844)^2)</f>
        <v>302574.14690051513</v>
      </c>
      <c r="AE844" s="112">
        <f>SQRT((Tableau!$G$35-P844)^2+(Tableau!$H$35-Q844)^2)</f>
        <v>274416.03368162556</v>
      </c>
    </row>
    <row r="845" spans="2:31" x14ac:dyDescent="0.25">
      <c r="B845" s="18">
        <v>842</v>
      </c>
      <c r="C845" s="19">
        <f>Tableau!$G$17*COS(B845*PI()/180)+Tableau!$G$16</f>
        <v>17350.40367883398</v>
      </c>
      <c r="D845" s="19">
        <f>Tableau!$G$17*SIN(B845*PI()/180)+Tableau!$H$16</f>
        <v>11740.240480782133</v>
      </c>
      <c r="F845" s="26">
        <v>842</v>
      </c>
      <c r="G845" s="27">
        <f>Tableau!$G$26*COS(F845*PI()/180)+Tableau!$G$25</f>
        <v>-21854.717424816212</v>
      </c>
      <c r="H845" s="27">
        <f>Tableau!$G$26*SIN(F845*PI()/180)+Tableau!$H$25</f>
        <v>12968.168336547495</v>
      </c>
      <c r="J845" s="34">
        <v>842</v>
      </c>
      <c r="K845" s="35">
        <f>Tableau!$G$36*COS(J845*PI()/180)+Tableau!$G$35</f>
        <v>-7649.5963211660182</v>
      </c>
      <c r="L845" s="35">
        <f>Tableau!$G$36*SIN(J845*PI()/180)+Tableau!$H$35</f>
        <v>-10759.759519217867</v>
      </c>
      <c r="N845" s="98">
        <v>841</v>
      </c>
      <c r="O845" s="99">
        <v>420.5</v>
      </c>
      <c r="P845" s="101">
        <f>P844+R844*Tableau!$G$2+((1/2)*T844)*Tableau!$G$2^2</f>
        <v>67201.283039402668</v>
      </c>
      <c r="Q845" s="101">
        <f>Q844+S844*Tableau!$G$2+((1/2)*U844)*Tableau!$G$2^2</f>
        <v>-280470.93517445732</v>
      </c>
      <c r="R845" s="101">
        <f>R844+T844*Tableau!$G$2</f>
        <v>785.40497792784788</v>
      </c>
      <c r="S845" s="101">
        <f>S844+U844*Tableau!$G$2</f>
        <v>-1229.8030187837046</v>
      </c>
      <c r="T845" s="101">
        <f t="shared" si="26"/>
        <v>-3.3657419088316054</v>
      </c>
      <c r="U845" s="101">
        <f t="shared" si="27"/>
        <v>14.587937639316591</v>
      </c>
      <c r="V845" s="101">
        <f>((Tableau!$G$16-P845)/(AC845^2+Tableau!$G$21^2)^(3/2))*Tableau!$G$20</f>
        <v>-0.99282099447982397</v>
      </c>
      <c r="W845" s="101">
        <f>((Tableau!$H$16-Q845)/(AC845^2+Tableau!$G$21^2)^(3/2))*Tableau!$G$20</f>
        <v>6.0571148034794557</v>
      </c>
      <c r="X845" s="101">
        <f>((Tableau!$G$25-P845)/(AD845^2+Tableau!$G$30^2)^(3/2))*Tableau!$G$29</f>
        <v>-0.56097921433389775</v>
      </c>
      <c r="Y845" s="101">
        <f>((Tableau!$H$25-Q845)/(AD845^2+Tableau!$G$30^2)^(3/2))*Tableau!$G$29</f>
        <v>1.868644030471089</v>
      </c>
      <c r="Z845" s="101">
        <f>((Tableau!$G$35-P845)/(AE845^2+Tableau!$G$40^2)^(3/2))*Tableau!$G$39</f>
        <v>-1.8119417000178835</v>
      </c>
      <c r="AA845" s="102">
        <f>((Tableau!$H$35-Q845)/(AE845^2+Tableau!$G$40^2)^(3/2))*Tableau!$G$39</f>
        <v>6.6621788053660467</v>
      </c>
      <c r="AC845" s="113">
        <f>SQRT((Tableau!$G$16-P845)^2+(Tableau!$H$16-Q845)^2)</f>
        <v>291813.67450107145</v>
      </c>
      <c r="AD845" s="114">
        <f>SQRT((Tableau!$G$25-P845)^2+(Tableau!$H$25-Q845)^2)</f>
        <v>303277.80654845451</v>
      </c>
      <c r="AE845" s="115">
        <f>SQRT((Tableau!$G$35-P845)^2+(Tableau!$H$35-Q845)^2)</f>
        <v>275114.23571843182</v>
      </c>
    </row>
    <row r="846" spans="2:31" x14ac:dyDescent="0.25">
      <c r="B846" s="20">
        <v>843</v>
      </c>
      <c r="C846" s="21">
        <f>Tableau!$G$17*COS(B846*PI()/180)+Tableau!$G$16</f>
        <v>17276.80482492486</v>
      </c>
      <c r="D846" s="21">
        <f>Tableau!$G$17*SIN(B846*PI()/180)+Tableau!$H$16</f>
        <v>11693.352839727118</v>
      </c>
      <c r="F846" s="28">
        <v>843</v>
      </c>
      <c r="G846" s="29">
        <f>Tableau!$G$26*COS(F846*PI()/180)+Tableau!$G$25</f>
        <v>-21906.236622552598</v>
      </c>
      <c r="H846" s="29">
        <f>Tableau!$G$26*SIN(F846*PI()/180)+Tableau!$H$25</f>
        <v>12935.346987808982</v>
      </c>
      <c r="J846" s="36">
        <v>843</v>
      </c>
      <c r="K846" s="37">
        <f>Tableau!$G$36*COS(J846*PI()/180)+Tableau!$G$35</f>
        <v>-7723.1951750751396</v>
      </c>
      <c r="L846" s="37">
        <f>Tableau!$G$36*SIN(J846*PI()/180)+Tableau!$H$35</f>
        <v>-10806.647160272882</v>
      </c>
      <c r="N846" s="92">
        <v>842</v>
      </c>
      <c r="O846" s="93">
        <v>421</v>
      </c>
      <c r="P846" s="96">
        <f>P845+R845*Tableau!$G$2+((1/2)*T845)*Tableau!$G$2^2</f>
        <v>67593.564810627999</v>
      </c>
      <c r="Q846" s="96">
        <f>Q845+S845*Tableau!$G$2+((1/2)*U845)*Tableau!$G$2^2</f>
        <v>-281084.01319164428</v>
      </c>
      <c r="R846" s="96">
        <f>R845+T845*Tableau!$G$2</f>
        <v>783.72210697343212</v>
      </c>
      <c r="S846" s="96">
        <f>S845+U845*Tableau!$G$2</f>
        <v>-1222.5090499640462</v>
      </c>
      <c r="T846" s="96">
        <f t="shared" si="26"/>
        <v>-3.361925723746769</v>
      </c>
      <c r="U846" s="96">
        <f t="shared" si="27"/>
        <v>14.51551873329678</v>
      </c>
      <c r="V846" s="96">
        <f>((Tableau!$G$16-P846)/(AC846^2+Tableau!$G$21^2)^(3/2))*Tableau!$G$20</f>
        <v>-0.99423063948116019</v>
      </c>
      <c r="W846" s="96">
        <f>((Tableau!$H$16-Q846)/(AC846^2+Tableau!$G$21^2)^(3/2))*Tableau!$G$20</f>
        <v>6.0285265270883199</v>
      </c>
      <c r="X846" s="96">
        <f>((Tableau!$G$25-P846)/(AD846^2+Tableau!$G$30^2)^(3/2))*Tableau!$G$29</f>
        <v>-0.55962067613665112</v>
      </c>
      <c r="Y846" s="96">
        <f>((Tableau!$H$25-Q846)/(AD846^2+Tableau!$G$30^2)^(3/2))*Tableau!$G$29</f>
        <v>1.8596872113499494</v>
      </c>
      <c r="Z846" s="96">
        <f>((Tableau!$G$35-P846)/(AE846^2+Tableau!$G$40^2)^(3/2))*Tableau!$G$39</f>
        <v>-1.8080744081289577</v>
      </c>
      <c r="AA846" s="97">
        <f>((Tableau!$H$35-Q846)/(AE846^2+Tableau!$G$40^2)^(3/2))*Tableau!$G$39</f>
        <v>6.6273049948585108</v>
      </c>
      <c r="AC846" s="110">
        <f>SQRT((Tableau!$G$16-P846)^2+(Tableau!$H$16-Q846)^2)</f>
        <v>292482.27310587314</v>
      </c>
      <c r="AD846" s="111">
        <f>SQRT((Tableau!$G$25-P846)^2+(Tableau!$H$25-Q846)^2)</f>
        <v>303977.85335775209</v>
      </c>
      <c r="AE846" s="112">
        <f>SQRT((Tableau!$G$35-P846)^2+(Tableau!$H$35-Q846)^2)</f>
        <v>275808.86085854087</v>
      </c>
    </row>
    <row r="847" spans="2:31" x14ac:dyDescent="0.25">
      <c r="B847" s="18">
        <v>844</v>
      </c>
      <c r="C847" s="19">
        <f>Tableau!$G$17*COS(B847*PI()/180)+Tableau!$G$16</f>
        <v>17204.035482646268</v>
      </c>
      <c r="D847" s="19">
        <f>Tableau!$G$17*SIN(B847*PI()/180)+Tableau!$H$16</f>
        <v>11645.187862775208</v>
      </c>
      <c r="F847" s="26">
        <v>844</v>
      </c>
      <c r="G847" s="27">
        <f>Tableau!$G$26*COS(F847*PI()/180)+Tableau!$G$25</f>
        <v>-21957.175162147614</v>
      </c>
      <c r="H847" s="27">
        <f>Tableau!$G$26*SIN(F847*PI()/180)+Tableau!$H$25</f>
        <v>12901.631503942646</v>
      </c>
      <c r="J847" s="34">
        <v>844</v>
      </c>
      <c r="K847" s="35">
        <f>Tableau!$G$36*COS(J847*PI()/180)+Tableau!$G$35</f>
        <v>-7795.9645173537338</v>
      </c>
      <c r="L847" s="35">
        <f>Tableau!$G$36*SIN(J847*PI()/180)+Tableau!$H$35</f>
        <v>-10854.812137224792</v>
      </c>
      <c r="N847" s="98">
        <v>843</v>
      </c>
      <c r="O847" s="99">
        <v>421.5</v>
      </c>
      <c r="P847" s="101">
        <f>P846+R846*Tableau!$G$2+((1/2)*T846)*Tableau!$G$2^2</f>
        <v>67985.005623399251</v>
      </c>
      <c r="Q847" s="101">
        <f>Q846+S846*Tableau!$G$2+((1/2)*U846)*Tableau!$G$2^2</f>
        <v>-281693.45327678462</v>
      </c>
      <c r="R847" s="101">
        <f>R846+T846*Tableau!$G$2</f>
        <v>782.04114411155876</v>
      </c>
      <c r="S847" s="101">
        <f>S846+U846*Tableau!$G$2</f>
        <v>-1215.2512905973979</v>
      </c>
      <c r="T847" s="101">
        <f t="shared" si="26"/>
        <v>-3.3581310113487772</v>
      </c>
      <c r="U847" s="101">
        <f t="shared" si="27"/>
        <v>14.443980606130205</v>
      </c>
      <c r="V847" s="101">
        <f>((Tableau!$G$16-P847)/(AC847^2+Tableau!$G$21^2)^(3/2))*Tableau!$G$20</f>
        <v>-0.99560780293696416</v>
      </c>
      <c r="W847" s="101">
        <f>((Tableau!$H$16-Q847)/(AC847^2+Tableau!$G$21^2)^(3/2))*Tableau!$G$20</f>
        <v>6.0002756048495955</v>
      </c>
      <c r="X847" s="101">
        <f>((Tableau!$G$25-P847)/(AD847^2+Tableau!$G$30^2)^(3/2))*Tableau!$G$29</f>
        <v>-0.55827751785031476</v>
      </c>
      <c r="Y847" s="101">
        <f>((Tableau!$H$25-Q847)/(AD847^2+Tableau!$G$30^2)^(3/2))*Tableau!$G$29</f>
        <v>1.8508369228908919</v>
      </c>
      <c r="Z847" s="101">
        <f>((Tableau!$G$35-P847)/(AE847^2+Tableau!$G$40^2)^(3/2))*Tableau!$G$39</f>
        <v>-1.8042456905614983</v>
      </c>
      <c r="AA847" s="102">
        <f>((Tableau!$H$35-Q847)/(AE847^2+Tableau!$G$40^2)^(3/2))*Tableau!$G$39</f>
        <v>6.592868078389718</v>
      </c>
      <c r="AC847" s="113">
        <f>SQRT((Tableau!$G$16-P847)^2+(Tableau!$H$16-Q847)^2)</f>
        <v>293147.42738565773</v>
      </c>
      <c r="AD847" s="114">
        <f>SQRT((Tableau!$G$25-P847)^2+(Tableau!$H$25-Q847)^2)</f>
        <v>304674.30462558754</v>
      </c>
      <c r="AE847" s="115">
        <f>SQRT((Tableau!$G$35-P847)^2+(Tableau!$H$35-Q847)^2)</f>
        <v>276499.92597927421</v>
      </c>
    </row>
    <row r="848" spans="2:31" x14ac:dyDescent="0.25">
      <c r="B848" s="20">
        <v>845</v>
      </c>
      <c r="C848" s="21">
        <f>Tableau!$G$17*COS(B848*PI()/180)+Tableau!$G$16</f>
        <v>17132.117818244777</v>
      </c>
      <c r="D848" s="21">
        <f>Tableau!$G$17*SIN(B848*PI()/180)+Tableau!$H$16</f>
        <v>11595.760221444962</v>
      </c>
      <c r="F848" s="28">
        <v>845</v>
      </c>
      <c r="G848" s="29">
        <f>Tableau!$G$26*COS(F848*PI()/180)+Tableau!$G$25</f>
        <v>-22007.517527228658</v>
      </c>
      <c r="H848" s="29">
        <f>Tableau!$G$26*SIN(F848*PI()/180)+Tableau!$H$25</f>
        <v>12867.032155011473</v>
      </c>
      <c r="J848" s="36">
        <v>845</v>
      </c>
      <c r="K848" s="37">
        <f>Tableau!$G$36*COS(J848*PI()/180)+Tableau!$G$35</f>
        <v>-7867.8821817552252</v>
      </c>
      <c r="L848" s="37">
        <f>Tableau!$G$36*SIN(J848*PI()/180)+Tableau!$H$35</f>
        <v>-10904.239778555038</v>
      </c>
      <c r="N848" s="92">
        <v>844</v>
      </c>
      <c r="O848" s="93">
        <v>422</v>
      </c>
      <c r="P848" s="96">
        <f>P847+R847*Tableau!$G$2+((1/2)*T847)*Tableau!$G$2^2</f>
        <v>68375.606429078616</v>
      </c>
      <c r="Q848" s="96">
        <f>Q847+S847*Tableau!$G$2+((1/2)*U847)*Tableau!$G$2^2</f>
        <v>-282299.27342450753</v>
      </c>
      <c r="R848" s="96">
        <f>R847+T847*Tableau!$G$2</f>
        <v>780.36207860588434</v>
      </c>
      <c r="S848" s="96">
        <f>S847+U847*Tableau!$G$2</f>
        <v>-1208.0293002943329</v>
      </c>
      <c r="T848" s="96">
        <f t="shared" si="26"/>
        <v>-3.3543582217676282</v>
      </c>
      <c r="U848" s="96">
        <f t="shared" si="27"/>
        <v>14.373308845039462</v>
      </c>
      <c r="V848" s="96">
        <f>((Tableau!$G$16-P848)/(AC848^2+Tableau!$G$21^2)^(3/2))*Tableau!$G$20</f>
        <v>-0.99695342692942523</v>
      </c>
      <c r="W848" s="96">
        <f>((Tableau!$H$16-Q848)/(AC848^2+Tableau!$G$21^2)^(3/2))*Tableau!$G$20</f>
        <v>5.97235673284609</v>
      </c>
      <c r="X848" s="96">
        <f>((Tableau!$G$25-P848)/(AD848^2+Tableau!$G$30^2)^(3/2))*Tableau!$G$29</f>
        <v>-0.55694955189059925</v>
      </c>
      <c r="Y848" s="96">
        <f>((Tableau!$H$25-Q848)/(AD848^2+Tableau!$G$30^2)^(3/2))*Tableau!$G$29</f>
        <v>1.8420914540752926</v>
      </c>
      <c r="Z848" s="96">
        <f>((Tableau!$G$35-P848)/(AE848^2+Tableau!$G$40^2)^(3/2))*Tableau!$G$39</f>
        <v>-1.8004552429476037</v>
      </c>
      <c r="AA848" s="97">
        <f>((Tableau!$H$35-Q848)/(AE848^2+Tableau!$G$40^2)^(3/2))*Tableau!$G$39</f>
        <v>6.5588606581180793</v>
      </c>
      <c r="AC848" s="110">
        <f>SQRT((Tableau!$G$16-P848)^2+(Tableau!$H$16-Q848)^2)</f>
        <v>293809.1526395214</v>
      </c>
      <c r="AD848" s="111">
        <f>SQRT((Tableau!$G$25-P848)^2+(Tableau!$H$25-Q848)^2)</f>
        <v>305367.177437593</v>
      </c>
      <c r="AE848" s="112">
        <f>SQRT((Tableau!$G$35-P848)^2+(Tableau!$H$35-Q848)^2)</f>
        <v>277187.44775350968</v>
      </c>
    </row>
    <row r="849" spans="2:31" x14ac:dyDescent="0.25">
      <c r="B849" s="18">
        <v>846</v>
      </c>
      <c r="C849" s="19">
        <f>Tableau!$G$17*COS(B849*PI()/180)+Tableau!$G$16</f>
        <v>17061.073738537638</v>
      </c>
      <c r="D849" s="19">
        <f>Tableau!$G$17*SIN(B849*PI()/180)+Tableau!$H$16</f>
        <v>11545.084971874739</v>
      </c>
      <c r="F849" s="26">
        <v>846</v>
      </c>
      <c r="G849" s="27">
        <f>Tableau!$G$26*COS(F849*PI()/180)+Tableau!$G$25</f>
        <v>-22057.248383023652</v>
      </c>
      <c r="H849" s="27">
        <f>Tableau!$G$26*SIN(F849*PI()/180)+Tableau!$H$25</f>
        <v>12831.559480312317</v>
      </c>
      <c r="J849" s="34">
        <v>846</v>
      </c>
      <c r="K849" s="35">
        <f>Tableau!$G$36*COS(J849*PI()/180)+Tableau!$G$35</f>
        <v>-7938.926261462364</v>
      </c>
      <c r="L849" s="35">
        <f>Tableau!$G$36*SIN(J849*PI()/180)+Tableau!$H$35</f>
        <v>-10954.915028125261</v>
      </c>
      <c r="N849" s="98">
        <v>845</v>
      </c>
      <c r="O849" s="99">
        <v>422.5</v>
      </c>
      <c r="P849" s="101">
        <f>P848+R848*Tableau!$G$2+((1/2)*T848)*Tableau!$G$2^2</f>
        <v>68765.368173603842</v>
      </c>
      <c r="Q849" s="101">
        <f>Q848+S848*Tableau!$G$2+((1/2)*U848)*Tableau!$G$2^2</f>
        <v>-282901.49141104909</v>
      </c>
      <c r="R849" s="101">
        <f>R848+T848*Tableau!$G$2</f>
        <v>778.68489949500054</v>
      </c>
      <c r="S849" s="101">
        <f>S848+U848*Tableau!$G$2</f>
        <v>-1200.8426458718131</v>
      </c>
      <c r="T849" s="101">
        <f t="shared" si="26"/>
        <v>-3.3506077844017108</v>
      </c>
      <c r="U849" s="101">
        <f t="shared" si="27"/>
        <v>14.3034893495305</v>
      </c>
      <c r="V849" s="101">
        <f>((Tableau!$G$16-P849)/(AC849^2+Tableau!$G$21^2)^(3/2))*Tableau!$G$20</f>
        <v>-0.99826842748859301</v>
      </c>
      <c r="W849" s="101">
        <f>((Tableau!$H$16-Q849)/(AC849^2+Tableau!$G$21^2)^(3/2))*Tableau!$G$20</f>
        <v>5.9447647178468159</v>
      </c>
      <c r="X849" s="101">
        <f>((Tableau!$G$25-P849)/(AD849^2+Tableau!$G$30^2)^(3/2))*Tableau!$G$29</f>
        <v>-0.55563659407328991</v>
      </c>
      <c r="Y849" s="101">
        <f>((Tableau!$H$25-Q849)/(AD849^2+Tableau!$G$30^2)^(3/2))*Tableau!$G$29</f>
        <v>1.8334491303897764</v>
      </c>
      <c r="Z849" s="101">
        <f>((Tableau!$G$35-P849)/(AE849^2+Tableau!$G$40^2)^(3/2))*Tableau!$G$39</f>
        <v>-1.7967027628398282</v>
      </c>
      <c r="AA849" s="102">
        <f>((Tableau!$H$35-Q849)/(AE849^2+Tableau!$G$40^2)^(3/2))*Tableau!$G$39</f>
        <v>6.5252755012939074</v>
      </c>
      <c r="AC849" s="113">
        <f>SQRT((Tableau!$G$16-P849)^2+(Tableau!$H$16-Q849)^2)</f>
        <v>294467.46398688731</v>
      </c>
      <c r="AD849" s="114">
        <f>SQRT((Tableau!$G$25-P849)^2+(Tableau!$H$25-Q849)^2)</f>
        <v>306056.48867131094</v>
      </c>
      <c r="AE849" s="115">
        <f>SQRT((Tableau!$G$35-P849)^2+(Tableau!$H$35-Q849)^2)</f>
        <v>277871.44265298609</v>
      </c>
    </row>
    <row r="850" spans="2:31" x14ac:dyDescent="0.25">
      <c r="B850" s="20">
        <v>847</v>
      </c>
      <c r="C850" s="21">
        <f>Tableau!$G$17*COS(B850*PI()/180)+Tableau!$G$16</f>
        <v>16990.924884239757</v>
      </c>
      <c r="D850" s="21">
        <f>Tableau!$G$17*SIN(B850*PI()/180)+Tableau!$H$16</f>
        <v>11493.177550236464</v>
      </c>
      <c r="F850" s="28">
        <v>847</v>
      </c>
      <c r="G850" s="29">
        <f>Tableau!$G$26*COS(F850*PI()/180)+Tableau!$G$25</f>
        <v>-22106.35258103217</v>
      </c>
      <c r="H850" s="29">
        <f>Tableau!$G$26*SIN(F850*PI()/180)+Tableau!$H$25</f>
        <v>12795.224285165525</v>
      </c>
      <c r="J850" s="36">
        <v>847</v>
      </c>
      <c r="K850" s="37">
        <f>Tableau!$G$36*COS(J850*PI()/180)+Tableau!$G$35</f>
        <v>-8009.0751157602417</v>
      </c>
      <c r="L850" s="37">
        <f>Tableau!$G$36*SIN(J850*PI()/180)+Tableau!$H$35</f>
        <v>-11006.822449763536</v>
      </c>
      <c r="N850" s="92">
        <v>846</v>
      </c>
      <c r="O850" s="93">
        <v>423</v>
      </c>
      <c r="P850" s="96">
        <f>P849+R849*Tableau!$G$2+((1/2)*T849)*Tableau!$G$2^2</f>
        <v>69154.291797378304</v>
      </c>
      <c r="Q850" s="96">
        <f>Q849+S849*Tableau!$G$2+((1/2)*U849)*Tableau!$G$2^2</f>
        <v>-283500.12479781633</v>
      </c>
      <c r="R850" s="96">
        <f>R849+T849*Tableau!$G$2</f>
        <v>777.00959560279966</v>
      </c>
      <c r="S850" s="96">
        <f>S849+U849*Tableau!$G$2</f>
        <v>-1193.6909011970479</v>
      </c>
      <c r="T850" s="96">
        <f t="shared" si="26"/>
        <v>-3.3468801087408782</v>
      </c>
      <c r="U850" s="96">
        <f t="shared" si="27"/>
        <v>14.234508323118607</v>
      </c>
      <c r="V850" s="96">
        <f>((Tableau!$G$16-P850)/(AC850^2+Tableau!$G$21^2)^(3/2))*Tableau!$G$20</f>
        <v>-0.99955369541659511</v>
      </c>
      <c r="W850" s="96">
        <f>((Tableau!$H$16-Q850)/(AC850^2+Tableau!$G$21^2)^(3/2))*Tableau!$G$20</f>
        <v>5.9174944744878113</v>
      </c>
      <c r="X850" s="96">
        <f>((Tableau!$G$25-P850)/(AD850^2+Tableau!$G$30^2)^(3/2))*Tableau!$G$29</f>
        <v>-0.55433846354005867</v>
      </c>
      <c r="Y850" s="96">
        <f>((Tableau!$H$25-Q850)/(AD850^2+Tableau!$G$30^2)^(3/2))*Tableau!$G$29</f>
        <v>1.8249083128718355</v>
      </c>
      <c r="Z850" s="96">
        <f>((Tableau!$G$35-P850)/(AE850^2+Tableau!$G$40^2)^(3/2))*Tableau!$G$39</f>
        <v>-1.792987949784224</v>
      </c>
      <c r="AA850" s="97">
        <f>((Tableau!$H$35-Q850)/(AE850^2+Tableau!$G$40^2)^(3/2))*Tableau!$G$39</f>
        <v>6.4921055357589612</v>
      </c>
      <c r="AC850" s="110">
        <f>SQRT((Tableau!$G$16-P850)^2+(Tableau!$H$16-Q850)^2)</f>
        <v>295122.37637028896</v>
      </c>
      <c r="AD850" s="111">
        <f>SQRT((Tableau!$G$25-P850)^2+(Tableau!$H$25-Q850)^2)</f>
        <v>306742.25499957748</v>
      </c>
      <c r="AE850" s="112">
        <f>SQRT((Tableau!$G$35-P850)^2+(Tableau!$H$35-Q850)^2)</f>
        <v>278551.92695153569</v>
      </c>
    </row>
    <row r="851" spans="2:31" x14ac:dyDescent="0.25">
      <c r="B851" s="18">
        <v>848</v>
      </c>
      <c r="C851" s="19">
        <f>Tableau!$G$17*COS(B851*PI()/180)+Tableau!$G$16</f>
        <v>16921.692623371713</v>
      </c>
      <c r="D851" s="19">
        <f>Tableau!$G$17*SIN(B851*PI()/180)+Tableau!$H$16</f>
        <v>11440.053768033613</v>
      </c>
      <c r="F851" s="26">
        <v>848</v>
      </c>
      <c r="G851" s="27">
        <f>Tableau!$G$26*COS(F851*PI()/180)+Tableau!$G$25</f>
        <v>-22154.8151636398</v>
      </c>
      <c r="H851" s="27">
        <f>Tableau!$G$26*SIN(F851*PI()/180)+Tableau!$H$25</f>
        <v>12758.037637623529</v>
      </c>
      <c r="J851" s="34">
        <v>848</v>
      </c>
      <c r="K851" s="35">
        <f>Tableau!$G$36*COS(J851*PI()/180)+Tableau!$G$35</f>
        <v>-8078.3073766282878</v>
      </c>
      <c r="L851" s="35">
        <f>Tableau!$G$36*SIN(J851*PI()/180)+Tableau!$H$35</f>
        <v>-11059.946231966387</v>
      </c>
      <c r="N851" s="98">
        <v>847</v>
      </c>
      <c r="O851" s="99">
        <v>423.5</v>
      </c>
      <c r="P851" s="101">
        <f>P850+R850*Tableau!$G$2+((1/2)*T850)*Tableau!$G$2^2</f>
        <v>69542.378235166121</v>
      </c>
      <c r="Q851" s="101">
        <f>Q850+S850*Tableau!$G$2+((1/2)*U850)*Tableau!$G$2^2</f>
        <v>-284095.19093487447</v>
      </c>
      <c r="R851" s="101">
        <f>R850+T850*Tableau!$G$2</f>
        <v>775.33615554842925</v>
      </c>
      <c r="S851" s="101">
        <f>S850+U850*Tableau!$G$2</f>
        <v>-1186.5736470354886</v>
      </c>
      <c r="T851" s="101">
        <f t="shared" si="26"/>
        <v>-3.34317558515645</v>
      </c>
      <c r="U851" s="101">
        <f t="shared" si="27"/>
        <v>14.16635226531435</v>
      </c>
      <c r="V851" s="101">
        <f>((Tableau!$G$16-P851)/(AC851^2+Tableau!$G$21^2)^(3/2))*Tableau!$G$20</f>
        <v>-1.000810097082504</v>
      </c>
      <c r="W851" s="101">
        <f>((Tableau!$H$16-Q851)/(AC851^2+Tableau!$G$21^2)^(3/2))*Tableau!$G$20</f>
        <v>5.8905410225376604</v>
      </c>
      <c r="X851" s="101">
        <f>((Tableau!$G$25-P851)/(AD851^2+Tableau!$G$30^2)^(3/2))*Tableau!$G$29</f>
        <v>-0.55305498268618536</v>
      </c>
      <c r="Y851" s="101">
        <f>((Tableau!$H$25-Q851)/(AD851^2+Tableau!$G$30^2)^(3/2))*Tableau!$G$29</f>
        <v>1.8164673971848924</v>
      </c>
      <c r="Z851" s="101">
        <f>((Tableau!$G$35-P851)/(AE851^2+Tableau!$G$40^2)^(3/2))*Tableau!$G$39</f>
        <v>-1.7893105053877607</v>
      </c>
      <c r="AA851" s="102">
        <f>((Tableau!$H$35-Q851)/(AE851^2+Tableau!$G$40^2)^(3/2))*Tableau!$G$39</f>
        <v>6.4593438455917971</v>
      </c>
      <c r="AC851" s="113">
        <f>SQRT((Tableau!$G$16-P851)^2+(Tableau!$H$16-Q851)^2)</f>
        <v>295773.90455809678</v>
      </c>
      <c r="AD851" s="114">
        <f>SQRT((Tableau!$G$25-P851)^2+(Tableau!$H$25-Q851)^2)</f>
        <v>307424.4928938321</v>
      </c>
      <c r="AE851" s="115">
        <f>SQRT((Tableau!$G$35-P851)^2+(Tableau!$H$35-Q851)^2)</f>
        <v>279228.91672824847</v>
      </c>
    </row>
    <row r="852" spans="2:31" x14ac:dyDescent="0.25">
      <c r="B852" s="20">
        <v>849</v>
      </c>
      <c r="C852" s="21">
        <f>Tableau!$G$17*COS(B852*PI()/180)+Tableau!$G$16</f>
        <v>16853.398044750815</v>
      </c>
      <c r="D852" s="21">
        <f>Tableau!$G$17*SIN(B852*PI()/180)+Tableau!$H$16</f>
        <v>11385.729807284855</v>
      </c>
      <c r="F852" s="28">
        <v>849</v>
      </c>
      <c r="G852" s="29">
        <f>Tableau!$G$26*COS(F852*PI()/180)+Tableau!$G$25</f>
        <v>-22202.62136867443</v>
      </c>
      <c r="H852" s="29">
        <f>Tableau!$G$26*SIN(F852*PI()/180)+Tableau!$H$25</f>
        <v>12720.010865099399</v>
      </c>
      <c r="J852" s="36">
        <v>849</v>
      </c>
      <c r="K852" s="37">
        <f>Tableau!$G$36*COS(J852*PI()/180)+Tableau!$G$35</f>
        <v>-8146.6019552491862</v>
      </c>
      <c r="L852" s="37">
        <f>Tableau!$G$36*SIN(J852*PI()/180)+Tableau!$H$35</f>
        <v>-11114.270192715145</v>
      </c>
      <c r="N852" s="92">
        <v>848</v>
      </c>
      <c r="O852" s="93">
        <v>424</v>
      </c>
      <c r="P852" s="96">
        <f>P851+R851*Tableau!$G$2+((1/2)*T851)*Tableau!$G$2^2</f>
        <v>69929.628415992192</v>
      </c>
      <c r="Q852" s="96">
        <f>Q851+S851*Tableau!$G$2+((1/2)*U851)*Tableau!$G$2^2</f>
        <v>-284686.70696435904</v>
      </c>
      <c r="R852" s="96">
        <f>R851+T851*Tableau!$G$2</f>
        <v>773.66456775585107</v>
      </c>
      <c r="S852" s="96">
        <f>S851+U851*Tableau!$G$2</f>
        <v>-1179.4904709028315</v>
      </c>
      <c r="T852" s="96">
        <f t="shared" si="26"/>
        <v>-3.3394945856595424</v>
      </c>
      <c r="U852" s="96">
        <f t="shared" si="27"/>
        <v>14.099007963860082</v>
      </c>
      <c r="V852" s="96">
        <f>((Tableau!$G$16-P852)/(AC852^2+Tableau!$G$21^2)^(3/2))*Tableau!$G$20</f>
        <v>-1.002038475189178</v>
      </c>
      <c r="W852" s="96">
        <f>((Tableau!$H$16-Q852)/(AC852^2+Tableau!$G$21^2)^(3/2))*Tableau!$G$20</f>
        <v>5.8638994842456498</v>
      </c>
      <c r="X852" s="96">
        <f>((Tableau!$G$25-P852)/(AD852^2+Tableau!$G$30^2)^(3/2))*Tableau!$G$29</f>
        <v>-0.55178597709025834</v>
      </c>
      <c r="Y852" s="96">
        <f>((Tableau!$H$25-Q852)/(AD852^2+Tableau!$G$30^2)^(3/2))*Tableau!$G$29</f>
        <v>1.8081248127221619</v>
      </c>
      <c r="Z852" s="96">
        <f>((Tableau!$G$35-P852)/(AE852^2+Tableau!$G$40^2)^(3/2))*Tableau!$G$39</f>
        <v>-1.7856701333801064</v>
      </c>
      <c r="AA852" s="97">
        <f>((Tableau!$H$35-Q852)/(AE852^2+Tableau!$G$40^2)^(3/2))*Tableau!$G$39</f>
        <v>6.4269836668922693</v>
      </c>
      <c r="AC852" s="110">
        <f>SQRT((Tableau!$G$16-P852)^2+(Tableau!$H$16-Q852)^2)</f>
        <v>296422.06314718758</v>
      </c>
      <c r="AD852" s="111">
        <f>SQRT((Tableau!$G$25-P852)^2+(Tableau!$H$25-Q852)^2)</f>
        <v>308103.21862735623</v>
      </c>
      <c r="AE852" s="112">
        <f>SQRT((Tableau!$G$35-P852)^2+(Tableau!$H$35-Q852)^2)</f>
        <v>279902.42787056835</v>
      </c>
    </row>
    <row r="853" spans="2:31" x14ac:dyDescent="0.25">
      <c r="B853" s="18">
        <v>850</v>
      </c>
      <c r="C853" s="19">
        <f>Tableau!$G$17*COS(B853*PI()/180)+Tableau!$G$16</f>
        <v>16786.06195156731</v>
      </c>
      <c r="D853" s="19">
        <f>Tableau!$G$17*SIN(B853*PI()/180)+Tableau!$H$16</f>
        <v>11330.222215594895</v>
      </c>
      <c r="F853" s="26">
        <v>850</v>
      </c>
      <c r="G853" s="27">
        <f>Tableau!$G$26*COS(F853*PI()/180)+Tableau!$G$25</f>
        <v>-22249.756633902885</v>
      </c>
      <c r="H853" s="27">
        <f>Tableau!$G$26*SIN(F853*PI()/180)+Tableau!$H$25</f>
        <v>12681.155550916426</v>
      </c>
      <c r="J853" s="34">
        <v>850</v>
      </c>
      <c r="K853" s="35">
        <f>Tableau!$G$36*COS(J853*PI()/180)+Tableau!$G$35</f>
        <v>-8213.9380484326903</v>
      </c>
      <c r="L853" s="35">
        <f>Tableau!$G$36*SIN(J853*PI()/180)+Tableau!$H$35</f>
        <v>-11169.777784405105</v>
      </c>
      <c r="N853" s="98">
        <v>849</v>
      </c>
      <c r="O853" s="99">
        <v>424.5</v>
      </c>
      <c r="P853" s="101">
        <f>P852+R852*Tableau!$G$2+((1/2)*T852)*Tableau!$G$2^2</f>
        <v>70316.043263046915</v>
      </c>
      <c r="Q853" s="101">
        <f>Q852+S852*Tableau!$G$2+((1/2)*U852)*Tableau!$G$2^2</f>
        <v>-285274.68982381502</v>
      </c>
      <c r="R853" s="101">
        <f>R852+T852*Tableau!$G$2</f>
        <v>771.99482046302126</v>
      </c>
      <c r="S853" s="101">
        <f>S852+U852*Tableau!$G$2</f>
        <v>-1172.4409669209015</v>
      </c>
      <c r="T853" s="101">
        <f t="shared" si="26"/>
        <v>-3.3358374646289581</v>
      </c>
      <c r="U853" s="101">
        <f t="shared" si="27"/>
        <v>14.032462487207351</v>
      </c>
      <c r="V853" s="101">
        <f>((Tableau!$G$16-P853)/(AC853^2+Tableau!$G$21^2)^(3/2))*Tableau!$G$20</f>
        <v>-1.0032396495130407</v>
      </c>
      <c r="W853" s="101">
        <f>((Tableau!$H$16-Q853)/(AC853^2+Tableau!$G$21^2)^(3/2))*Tableau!$G$20</f>
        <v>5.8375650817688491</v>
      </c>
      <c r="X853" s="101">
        <f>((Tableau!$G$25-P853)/(AD853^2+Tableau!$G$30^2)^(3/2))*Tableau!$G$29</f>
        <v>-0.55053127544565339</v>
      </c>
      <c r="Y853" s="101">
        <f>((Tableau!$H$25-Q853)/(AD853^2+Tableau!$G$30^2)^(3/2))*Tableau!$G$29</f>
        <v>1.7998790217378315</v>
      </c>
      <c r="Z853" s="101">
        <f>((Tableau!$G$35-P853)/(AE853^2+Tableau!$G$40^2)^(3/2))*Tableau!$G$39</f>
        <v>-1.7820665396702637</v>
      </c>
      <c r="AA853" s="102">
        <f>((Tableau!$H$35-Q853)/(AE853^2+Tableau!$G$40^2)^(3/2))*Tableau!$G$39</f>
        <v>6.3950183837006689</v>
      </c>
      <c r="AC853" s="113">
        <f>SQRT((Tableau!$G$16-P853)^2+(Tableau!$H$16-Q853)^2)</f>
        <v>297066.86656555941</v>
      </c>
      <c r="AD853" s="114">
        <f>SQRT((Tableau!$G$25-P853)^2+(Tableau!$H$25-Q853)^2)</f>
        <v>308778.44827844243</v>
      </c>
      <c r="AE853" s="115">
        <f>SQRT((Tableau!$G$35-P853)^2+(Tableau!$H$35-Q853)^2)</f>
        <v>280572.47607732401</v>
      </c>
    </row>
    <row r="854" spans="2:31" x14ac:dyDescent="0.25">
      <c r="B854" s="20">
        <v>851</v>
      </c>
      <c r="C854" s="21">
        <f>Tableau!$G$17*COS(B854*PI()/180)+Tableau!$G$16</f>
        <v>16719.704855047465</v>
      </c>
      <c r="D854" s="21">
        <f>Tableau!$G$17*SIN(B854*PI()/180)+Tableau!$H$16</f>
        <v>11273.547901113863</v>
      </c>
      <c r="F854" s="28">
        <v>851</v>
      </c>
      <c r="G854" s="29">
        <f>Tableau!$G$26*COS(F854*PI()/180)+Tableau!$G$25</f>
        <v>-22296.206601466773</v>
      </c>
      <c r="H854" s="29">
        <f>Tableau!$G$26*SIN(F854*PI()/180)+Tableau!$H$25</f>
        <v>12641.483530779704</v>
      </c>
      <c r="J854" s="36">
        <v>851</v>
      </c>
      <c r="K854" s="37">
        <f>Tableau!$G$36*COS(J854*PI()/180)+Tableau!$G$35</f>
        <v>-8280.2951449525335</v>
      </c>
      <c r="L854" s="37">
        <f>Tableau!$G$36*SIN(J854*PI()/180)+Tableau!$H$35</f>
        <v>-11226.452098886137</v>
      </c>
      <c r="N854" s="92">
        <v>850</v>
      </c>
      <c r="O854" s="93">
        <v>425</v>
      </c>
      <c r="P854" s="96">
        <f>P853+R853*Tableau!$G$2+((1/2)*T853)*Tableau!$G$2^2</f>
        <v>70701.623693595349</v>
      </c>
      <c r="Q854" s="96">
        <f>Q853+S853*Tableau!$G$2+((1/2)*U853)*Tableau!$G$2^2</f>
        <v>-285859.15624946461</v>
      </c>
      <c r="R854" s="96">
        <f>R853+T853*Tableau!$G$2</f>
        <v>770.32690173070682</v>
      </c>
      <c r="S854" s="96">
        <f>S853+U853*Tableau!$G$2</f>
        <v>-1165.4247356772978</v>
      </c>
      <c r="T854" s="96">
        <f t="shared" si="26"/>
        <v>-3.3322045595101919</v>
      </c>
      <c r="U854" s="96">
        <f t="shared" si="27"/>
        <v>13.966703177227563</v>
      </c>
      <c r="V854" s="96">
        <f>((Tableau!$G$16-P854)/(AC854^2+Tableau!$G$21^2)^(3/2))*Tableau!$G$20</f>
        <v>-1.0044144176179517</v>
      </c>
      <c r="W854" s="96">
        <f>((Tableau!$H$16-Q854)/(AC854^2+Tableau!$G$21^2)^(3/2))*Tableau!$G$20</f>
        <v>5.8115331346759316</v>
      </c>
      <c r="X854" s="96">
        <f>((Tableau!$G$25-P854)/(AD854^2+Tableau!$G$30^2)^(3/2))*Tableau!$G$29</f>
        <v>-0.5492907094938434</v>
      </c>
      <c r="Y854" s="96">
        <f>((Tableau!$H$25-Q854)/(AD854^2+Tableau!$G$30^2)^(3/2))*Tableau!$G$29</f>
        <v>1.7917285185049416</v>
      </c>
      <c r="Z854" s="96">
        <f>((Tableau!$G$35-P854)/(AE854^2+Tableau!$G$40^2)^(3/2))*Tableau!$G$39</f>
        <v>-1.7784994323983967</v>
      </c>
      <c r="AA854" s="97">
        <f>((Tableau!$H$35-Q854)/(AE854^2+Tableau!$G$40^2)^(3/2))*Tableau!$G$39</f>
        <v>6.3634415240466904</v>
      </c>
      <c r="AC854" s="110">
        <f>SQRT((Tableau!$G$16-P854)^2+(Tableau!$H$16-Q854)^2)</f>
        <v>297708.32907489291</v>
      </c>
      <c r="AD854" s="111">
        <f>SQRT((Tableau!$G$25-P854)^2+(Tableau!$H$25-Q854)^2)</f>
        <v>309450.19773349585</v>
      </c>
      <c r="AE854" s="112">
        <f>SQRT((Tableau!$G$35-P854)^2+(Tableau!$H$35-Q854)^2)</f>
        <v>281239.07686169533</v>
      </c>
    </row>
    <row r="855" spans="2:31" x14ac:dyDescent="0.25">
      <c r="B855" s="18">
        <v>852</v>
      </c>
      <c r="C855" s="19">
        <f>Tableau!$G$17*COS(B855*PI()/180)+Tableau!$G$16</f>
        <v>16654.346968205708</v>
      </c>
      <c r="D855" s="19">
        <f>Tableau!$G$17*SIN(B855*PI()/180)+Tableau!$H$16</f>
        <v>11215.724127386971</v>
      </c>
      <c r="F855" s="26">
        <v>852</v>
      </c>
      <c r="G855" s="27">
        <f>Tableau!$G$26*COS(F855*PI()/180)+Tableau!$G$25</f>
        <v>-22341.957122256004</v>
      </c>
      <c r="H855" s="27">
        <f>Tableau!$G$26*SIN(F855*PI()/180)+Tableau!$H$25</f>
        <v>12601.00688917088</v>
      </c>
      <c r="J855" s="34">
        <v>852</v>
      </c>
      <c r="K855" s="35">
        <f>Tableau!$G$36*COS(J855*PI()/180)+Tableau!$G$35</f>
        <v>-8345.6530317942907</v>
      </c>
      <c r="L855" s="35">
        <f>Tableau!$G$36*SIN(J855*PI()/180)+Tableau!$H$35</f>
        <v>-11284.275872613029</v>
      </c>
      <c r="N855" s="98">
        <v>851</v>
      </c>
      <c r="O855" s="99">
        <v>425.5</v>
      </c>
      <c r="P855" s="101">
        <f>P854+R854*Tableau!$G$2+((1/2)*T854)*Tableau!$G$2^2</f>
        <v>71086.370618890767</v>
      </c>
      <c r="Q855" s="101">
        <f>Q854+S854*Tableau!$G$2+((1/2)*U854)*Tableau!$G$2^2</f>
        <v>-286440.12277940608</v>
      </c>
      <c r="R855" s="101">
        <f>R854+T854*Tableau!$G$2</f>
        <v>768.66079945095169</v>
      </c>
      <c r="S855" s="101">
        <f>S854+U854*Tableau!$G$2</f>
        <v>-1158.4413840886841</v>
      </c>
      <c r="T855" s="101">
        <f t="shared" si="26"/>
        <v>-3.3285961914865743</v>
      </c>
      <c r="U855" s="101">
        <f t="shared" si="27"/>
        <v>13.901717642146597</v>
      </c>
      <c r="V855" s="101">
        <f>((Tableau!$G$16-P855)/(AC855^2+Tableau!$G$21^2)^(3/2))*Tableau!$G$20</f>
        <v>-1.0055635555440967</v>
      </c>
      <c r="W855" s="101">
        <f>((Tableau!$H$16-Q855)/(AC855^2+Tableau!$G$21^2)^(3/2))*Tableau!$G$20</f>
        <v>5.7857990575245459</v>
      </c>
      <c r="X855" s="101">
        <f>((Tableau!$G$25-P855)/(AD855^2+Tableau!$G$30^2)^(3/2))*Tableau!$G$29</f>
        <v>-0.54806411395942434</v>
      </c>
      <c r="Y855" s="101">
        <f>((Tableau!$H$25-Q855)/(AD855^2+Tableau!$G$30^2)^(3/2))*Tableau!$G$29</f>
        <v>1.7836718284988209</v>
      </c>
      <c r="Z855" s="101">
        <f>((Tableau!$G$35-P855)/(AE855^2+Tableau!$G$40^2)^(3/2))*Tableau!$G$39</f>
        <v>-1.7749685219830529</v>
      </c>
      <c r="AA855" s="102">
        <f>((Tableau!$H$35-Q855)/(AE855^2+Tableau!$G$40^2)^(3/2))*Tableau!$G$39</f>
        <v>6.3322467561232294</v>
      </c>
      <c r="AC855" s="113">
        <f>SQRT((Tableau!$G$16-P855)^2+(Tableau!$H$16-Q855)^2)</f>
        <v>298346.46477306046</v>
      </c>
      <c r="AD855" s="114">
        <f>SQRT((Tableau!$G$25-P855)^2+(Tableau!$H$25-Q855)^2)</f>
        <v>310118.48269007006</v>
      </c>
      <c r="AE855" s="115">
        <f>SQRT((Tableau!$G$35-P855)^2+(Tableau!$H$35-Q855)^2)</f>
        <v>281902.24555411801</v>
      </c>
    </row>
    <row r="856" spans="2:31" x14ac:dyDescent="0.25">
      <c r="B856" s="20">
        <v>853</v>
      </c>
      <c r="C856" s="21">
        <f>Tableau!$G$17*COS(B856*PI()/180)+Tableau!$G$16</f>
        <v>16590.008199687512</v>
      </c>
      <c r="D856" s="21">
        <f>Tableau!$G$17*SIN(B856*PI()/180)+Tableau!$H$16</f>
        <v>11156.768508095856</v>
      </c>
      <c r="F856" s="28">
        <v>853</v>
      </c>
      <c r="G856" s="29">
        <f>Tableau!$G$26*COS(F856*PI()/180)+Tableau!$G$25</f>
        <v>-22386.994260218744</v>
      </c>
      <c r="H856" s="29">
        <f>Tableau!$G$26*SIN(F856*PI()/180)+Tableau!$H$25</f>
        <v>12559.7379556671</v>
      </c>
      <c r="J856" s="36">
        <v>853</v>
      </c>
      <c r="K856" s="37">
        <f>Tableau!$G$36*COS(J856*PI()/180)+Tableau!$G$35</f>
        <v>-8409.9918003124876</v>
      </c>
      <c r="L856" s="37">
        <f>Tableau!$G$36*SIN(J856*PI()/180)+Tableau!$H$35</f>
        <v>-11343.231491904144</v>
      </c>
      <c r="N856" s="92">
        <v>852</v>
      </c>
      <c r="O856" s="93">
        <v>426</v>
      </c>
      <c r="P856" s="96">
        <f>P855+R855*Tableau!$G$2+((1/2)*T855)*Tableau!$G$2^2</f>
        <v>71470.284944092302</v>
      </c>
      <c r="Q856" s="96">
        <f>Q855+S855*Tableau!$G$2+((1/2)*U855)*Tableau!$G$2^2</f>
        <v>-287017.60575674515</v>
      </c>
      <c r="R856" s="96">
        <f>R855+T855*Tableau!$G$2</f>
        <v>766.99650135520835</v>
      </c>
      <c r="S856" s="96">
        <f>S855+U855*Tableau!$G$2</f>
        <v>-1151.4905252676108</v>
      </c>
      <c r="T856" s="96">
        <f t="shared" si="26"/>
        <v>-3.3250126661238433</v>
      </c>
      <c r="U856" s="96">
        <f t="shared" si="27"/>
        <v>13.8374937496962</v>
      </c>
      <c r="V856" s="96">
        <f>((Tableau!$G$16-P856)/(AC856^2+Tableau!$G$21^2)^(3/2))*Tableau!$G$20</f>
        <v>-1.0066878184730512</v>
      </c>
      <c r="W856" s="96">
        <f>((Tableau!$H$16-Q856)/(AC856^2+Tableau!$G$21^2)^(3/2))*Tableau!$G$20</f>
        <v>5.7603583575107908</v>
      </c>
      <c r="X856" s="96">
        <f>((Tableau!$G$25-P856)/(AD856^2+Tableau!$G$30^2)^(3/2))*Tableau!$G$29</f>
        <v>-0.54685132648682877</v>
      </c>
      <c r="Y856" s="96">
        <f>((Tableau!$H$25-Q856)/(AD856^2+Tableau!$G$30^2)^(3/2))*Tableau!$G$29</f>
        <v>1.7757075076052706</v>
      </c>
      <c r="Z856" s="96">
        <f>((Tableau!$G$35-P856)/(AE856^2+Tableau!$G$40^2)^(3/2))*Tableau!$G$39</f>
        <v>-1.7714735211639632</v>
      </c>
      <c r="AA856" s="97">
        <f>((Tableau!$H$35-Q856)/(AE856^2+Tableau!$G$40^2)^(3/2))*Tableau!$G$39</f>
        <v>6.3014278845801401</v>
      </c>
      <c r="AC856" s="110">
        <f>SQRT((Tableau!$G$16-P856)^2+(Tableau!$H$16-Q856)^2)</f>
        <v>298981.28759658459</v>
      </c>
      <c r="AD856" s="111">
        <f>SQRT((Tableau!$G$25-P856)^2+(Tableau!$H$25-Q856)^2)</f>
        <v>310783.31865983852</v>
      </c>
      <c r="AE856" s="112">
        <f>SQRT((Tableau!$G$35-P856)^2+(Tableau!$H$35-Q856)^2)</f>
        <v>282561.99730512715</v>
      </c>
    </row>
    <row r="857" spans="2:31" x14ac:dyDescent="0.25">
      <c r="B857" s="18">
        <v>854</v>
      </c>
      <c r="C857" s="19">
        <f>Tableau!$G$17*COS(B857*PI()/180)+Tableau!$G$16</f>
        <v>16526.708147705009</v>
      </c>
      <c r="D857" s="19">
        <f>Tableau!$G$17*SIN(B857*PI()/180)+Tableau!$H$16</f>
        <v>11096.69900169325</v>
      </c>
      <c r="F857" s="26">
        <v>854</v>
      </c>
      <c r="G857" s="27">
        <f>Tableau!$G$26*COS(F857*PI()/180)+Tableau!$G$25</f>
        <v>-22431.304296606493</v>
      </c>
      <c r="H857" s="27">
        <f>Tableau!$G$26*SIN(F857*PI()/180)+Tableau!$H$25</f>
        <v>12517.689301185275</v>
      </c>
      <c r="J857" s="34">
        <v>854</v>
      </c>
      <c r="K857" s="35">
        <f>Tableau!$G$36*COS(J857*PI()/180)+Tableau!$G$35</f>
        <v>-8473.2918522949913</v>
      </c>
      <c r="L857" s="35">
        <f>Tableau!$G$36*SIN(J857*PI()/180)+Tableau!$H$35</f>
        <v>-11403.30099830675</v>
      </c>
      <c r="N857" s="98">
        <v>853</v>
      </c>
      <c r="O857" s="99">
        <v>426.5</v>
      </c>
      <c r="P857" s="101">
        <f>P856+R856*Tableau!$G$2+((1/2)*T856)*Tableau!$G$2^2</f>
        <v>71853.36756818663</v>
      </c>
      <c r="Q857" s="101">
        <f>Q856+S856*Tableau!$G$2+((1/2)*U856)*Tableau!$G$2^2</f>
        <v>-287591.62133266026</v>
      </c>
      <c r="R857" s="101">
        <f>R856+T856*Tableau!$G$2</f>
        <v>765.33399502214638</v>
      </c>
      <c r="S857" s="101">
        <f>S856+U856*Tableau!$G$2</f>
        <v>-1144.5717783927628</v>
      </c>
      <c r="T857" s="101">
        <f t="shared" si="26"/>
        <v>-3.3214542739891226</v>
      </c>
      <c r="U857" s="101">
        <f t="shared" si="27"/>
        <v>13.774019620473283</v>
      </c>
      <c r="V857" s="101">
        <f>((Tableau!$G$16-P857)/(AC857^2+Tableau!$G$21^2)^(3/2))*Tableau!$G$20</f>
        <v>-1.0077879413696416</v>
      </c>
      <c r="W857" s="101">
        <f>((Tableau!$H$16-Q857)/(AC857^2+Tableau!$G$21^2)^(3/2))*Tableau!$G$20</f>
        <v>5.7352066321865616</v>
      </c>
      <c r="X857" s="101">
        <f>((Tableau!$G$25-P857)/(AD857^2+Tableau!$G$30^2)^(3/2))*Tableau!$G$29</f>
        <v>-0.54565218757867129</v>
      </c>
      <c r="Y857" s="101">
        <f>((Tableau!$H$25-Q857)/(AD857^2+Tableau!$G$30^2)^(3/2))*Tableau!$G$29</f>
        <v>1.7678341413525964</v>
      </c>
      <c r="Z857" s="101">
        <f>((Tableau!$G$35-P857)/(AE857^2+Tableau!$G$40^2)^(3/2))*Tableau!$G$39</f>
        <v>-1.7680141450408098</v>
      </c>
      <c r="AA857" s="102">
        <f>((Tableau!$H$35-Q857)/(AE857^2+Tableau!$G$40^2)^(3/2))*Tableau!$G$39</f>
        <v>6.270978846934125</v>
      </c>
      <c r="AC857" s="113">
        <f>SQRT((Tableau!$G$16-P857)^2+(Tableau!$H$16-Q857)^2)</f>
        <v>299612.81132304674</v>
      </c>
      <c r="AD857" s="114">
        <f>SQRT((Tableau!$G$25-P857)^2+(Tableau!$H$25-Q857)^2)</f>
        <v>311444.72097150382</v>
      </c>
      <c r="AE857" s="115">
        <f>SQRT((Tableau!$G$35-P857)^2+(Tableau!$H$35-Q857)^2)</f>
        <v>283218.34708814195</v>
      </c>
    </row>
    <row r="858" spans="2:31" x14ac:dyDescent="0.25">
      <c r="B858" s="20">
        <v>855</v>
      </c>
      <c r="C858" s="21">
        <f>Tableau!$G$17*COS(B858*PI()/180)+Tableau!$G$16</f>
        <v>16464.466094067262</v>
      </c>
      <c r="D858" s="21">
        <f>Tableau!$G$17*SIN(B858*PI()/180)+Tableau!$H$16</f>
        <v>11035.533905932736</v>
      </c>
      <c r="F858" s="28">
        <v>855</v>
      </c>
      <c r="G858" s="29">
        <f>Tableau!$G$26*COS(F858*PI()/180)+Tableau!$G$25</f>
        <v>-22474.873734152916</v>
      </c>
      <c r="H858" s="29">
        <f>Tableau!$G$26*SIN(F858*PI()/180)+Tableau!$H$25</f>
        <v>12474.873734152916</v>
      </c>
      <c r="J858" s="36">
        <v>855</v>
      </c>
      <c r="K858" s="37">
        <f>Tableau!$G$36*COS(J858*PI()/180)+Tableau!$G$35</f>
        <v>-8535.533905932738</v>
      </c>
      <c r="L858" s="37">
        <f>Tableau!$G$36*SIN(J858*PI()/180)+Tableau!$H$35</f>
        <v>-11464.466094067264</v>
      </c>
      <c r="N858" s="92">
        <v>854</v>
      </c>
      <c r="O858" s="93">
        <v>427</v>
      </c>
      <c r="P858" s="96">
        <f>P857+R857*Tableau!$G$2+((1/2)*T857)*Tableau!$G$2^2</f>
        <v>72235.61938391345</v>
      </c>
      <c r="Q858" s="96">
        <f>Q857+S857*Tableau!$G$2+((1/2)*U857)*Tableau!$G$2^2</f>
        <v>-288162.1854694041</v>
      </c>
      <c r="R858" s="96">
        <f>R857+T857*Tableau!$G$2</f>
        <v>763.67326788515186</v>
      </c>
      <c r="S858" s="96">
        <f>S857+U857*Tableau!$G$2</f>
        <v>-1137.6847685825262</v>
      </c>
      <c r="T858" s="96">
        <f t="shared" si="26"/>
        <v>-3.3179212912458418</v>
      </c>
      <c r="U858" s="96">
        <f t="shared" si="27"/>
        <v>13.71128362150222</v>
      </c>
      <c r="V858" s="96">
        <f>((Tableau!$G$16-P858)/(AC858^2+Tableau!$G$21^2)^(3/2))*Tableau!$G$20</f>
        <v>-1.0088646396018757</v>
      </c>
      <c r="W858" s="96">
        <f>((Tableau!$H$16-Q858)/(AC858^2+Tableau!$G$21^2)^(3/2))*Tableau!$G$20</f>
        <v>5.7103395672446631</v>
      </c>
      <c r="X858" s="96">
        <f>((Tableau!$G$25-P858)/(AD858^2+Tableau!$G$30^2)^(3/2))*Tableau!$G$29</f>
        <v>-0.54446654053567856</v>
      </c>
      <c r="Y858" s="96">
        <f>((Tableau!$H$25-Q858)/(AD858^2+Tableau!$G$30^2)^(3/2))*Tableau!$G$29</f>
        <v>1.7600503441666802</v>
      </c>
      <c r="Z858" s="96">
        <f>((Tableau!$G$35-P858)/(AE858^2+Tableau!$G$40^2)^(3/2))*Tableau!$G$39</f>
        <v>-1.7645901111082876</v>
      </c>
      <c r="AA858" s="97">
        <f>((Tableau!$H$35-Q858)/(AE858^2+Tableau!$G$40^2)^(3/2))*Tableau!$G$39</f>
        <v>6.2408937100908766</v>
      </c>
      <c r="AC858" s="110">
        <f>SQRT((Tableau!$G$16-P858)^2+(Tableau!$H$16-Q858)^2)</f>
        <v>300241.04957344756</v>
      </c>
      <c r="AD858" s="111">
        <f>SQRT((Tableau!$G$25-P858)^2+(Tableau!$H$25-Q858)^2)</f>
        <v>312102.70477364573</v>
      </c>
      <c r="AE858" s="112">
        <f>SQRT((Tableau!$G$35-P858)^2+(Tableau!$H$35-Q858)^2)</f>
        <v>283871.30970219214</v>
      </c>
    </row>
    <row r="859" spans="2:31" x14ac:dyDescent="0.25">
      <c r="B859" s="18">
        <v>856</v>
      </c>
      <c r="C859" s="19">
        <f>Tableau!$G$17*COS(B859*PI()/180)+Tableau!$G$16</f>
        <v>16403.300998306746</v>
      </c>
      <c r="D859" s="19">
        <f>Tableau!$G$17*SIN(B859*PI()/180)+Tableau!$H$16</f>
        <v>10973.291852294989</v>
      </c>
      <c r="F859" s="26">
        <v>856</v>
      </c>
      <c r="G859" s="27">
        <f>Tableau!$G$26*COS(F859*PI()/180)+Tableau!$G$25</f>
        <v>-22517.689301185277</v>
      </c>
      <c r="H859" s="27">
        <f>Tableau!$G$26*SIN(F859*PI()/180)+Tableau!$H$25</f>
        <v>12431.304296606493</v>
      </c>
      <c r="J859" s="34">
        <v>856</v>
      </c>
      <c r="K859" s="35">
        <f>Tableau!$G$36*COS(J859*PI()/180)+Tableau!$G$35</f>
        <v>-8596.6990016932541</v>
      </c>
      <c r="L859" s="35">
        <f>Tableau!$G$36*SIN(J859*PI()/180)+Tableau!$H$35</f>
        <v>-11526.708147705011</v>
      </c>
      <c r="N859" s="98">
        <v>855</v>
      </c>
      <c r="O859" s="99">
        <v>427.5</v>
      </c>
      <c r="P859" s="101">
        <f>P858+R858*Tableau!$G$2+((1/2)*T858)*Tableau!$G$2^2</f>
        <v>72617.041277694618</v>
      </c>
      <c r="Q859" s="101">
        <f>Q858+S858*Tableau!$G$2+((1/2)*U858)*Tableau!$G$2^2</f>
        <v>-288729.31394324271</v>
      </c>
      <c r="R859" s="101">
        <f>R858+T858*Tableau!$G$2</f>
        <v>762.01430723952899</v>
      </c>
      <c r="S859" s="101">
        <f>S858+U858*Tableau!$G$2</f>
        <v>-1130.829126771775</v>
      </c>
      <c r="T859" s="101">
        <f t="shared" si="26"/>
        <v>-3.3144139802249453</v>
      </c>
      <c r="U859" s="101">
        <f t="shared" si="27"/>
        <v>13.649274359989999</v>
      </c>
      <c r="V859" s="101">
        <f>((Tableau!$G$16-P859)/(AC859^2+Tableau!$G$21^2)^(3/2))*Tableau!$G$20</f>
        <v>-1.0099186095394637</v>
      </c>
      <c r="W859" s="101">
        <f>((Tableau!$H$16-Q859)/(AC859^2+Tableau!$G$21^2)^(3/2))*Tableau!$G$20</f>
        <v>5.6857529343675184</v>
      </c>
      <c r="X859" s="101">
        <f>((Tableau!$G$25-P859)/(AD859^2+Tableau!$G$30^2)^(3/2))*Tableau!$G$29</f>
        <v>-0.54329423139815158</v>
      </c>
      <c r="Y859" s="101">
        <f>((Tableau!$H$25-Q859)/(AD859^2+Tableau!$G$30^2)^(3/2))*Tableau!$G$29</f>
        <v>1.7523547586482675</v>
      </c>
      <c r="Z859" s="101">
        <f>((Tableau!$G$35-P859)/(AE859^2+Tableau!$G$40^2)^(3/2))*Tableau!$G$39</f>
        <v>-1.7612011392873299</v>
      </c>
      <c r="AA859" s="102">
        <f>((Tableau!$H$35-Q859)/(AE859^2+Tableau!$G$40^2)^(3/2))*Tableau!$G$39</f>
        <v>6.2111666669742123</v>
      </c>
      <c r="AC859" s="113">
        <f>SQRT((Tableau!$G$16-P859)^2+(Tableau!$H$16-Q859)^2)</f>
        <v>300866.01581451978</v>
      </c>
      <c r="AD859" s="114">
        <f>SQRT((Tableau!$G$25-P859)^2+(Tableau!$H$25-Q859)^2)</f>
        <v>312757.28503751062</v>
      </c>
      <c r="AE859" s="115">
        <f>SQRT((Tableau!$G$35-P859)^2+(Tableau!$H$35-Q859)^2)</f>
        <v>284520.89977458894</v>
      </c>
    </row>
    <row r="860" spans="2:31" x14ac:dyDescent="0.25">
      <c r="B860" s="20">
        <v>857</v>
      </c>
      <c r="C860" s="21">
        <f>Tableau!$G$17*COS(B860*PI()/180)+Tableau!$G$16</f>
        <v>16343.231491904153</v>
      </c>
      <c r="D860" s="21">
        <f>Tableau!$G$17*SIN(B860*PI()/180)+Tableau!$H$16</f>
        <v>10909.991800312499</v>
      </c>
      <c r="F860" s="28">
        <v>857</v>
      </c>
      <c r="G860" s="29">
        <f>Tableau!$G$26*COS(F860*PI()/180)+Tableau!$G$25</f>
        <v>-22559.737955667093</v>
      </c>
      <c r="H860" s="29">
        <f>Tableau!$G$26*SIN(F860*PI()/180)+Tableau!$H$25</f>
        <v>12386.994260218749</v>
      </c>
      <c r="J860" s="36">
        <v>857</v>
      </c>
      <c r="K860" s="37">
        <f>Tableau!$G$36*COS(J860*PI()/180)+Tableau!$G$35</f>
        <v>-8656.7685080958472</v>
      </c>
      <c r="L860" s="37">
        <f>Tableau!$G$36*SIN(J860*PI()/180)+Tableau!$H$35</f>
        <v>-11590.008199687501</v>
      </c>
      <c r="N860" s="92">
        <v>856</v>
      </c>
      <c r="O860" s="93">
        <v>428</v>
      </c>
      <c r="P860" s="96">
        <f>P859+R859*Tableau!$G$2+((1/2)*T859)*Tableau!$G$2^2</f>
        <v>72997.634129566854</v>
      </c>
      <c r="Q860" s="96">
        <f>Q859+S859*Tableau!$G$2+((1/2)*U859)*Tableau!$G$2^2</f>
        <v>-289293.02234733361</v>
      </c>
      <c r="R860" s="96">
        <f>R859+T859*Tableau!$G$2</f>
        <v>760.35710024941648</v>
      </c>
      <c r="S860" s="96">
        <f>S859+U859*Tableau!$G$2</f>
        <v>-1124.0044895917799</v>
      </c>
      <c r="T860" s="96">
        <f t="shared" si="26"/>
        <v>-3.3109325899739739</v>
      </c>
      <c r="U860" s="96">
        <f t="shared" si="27"/>
        <v>13.587980677269996</v>
      </c>
      <c r="V860" s="96">
        <f>((Tableau!$G$16-P860)/(AC860^2+Tableau!$G$21^2)^(3/2))*Tableau!$G$20</f>
        <v>-1.0109505291319851</v>
      </c>
      <c r="W860" s="96">
        <f>((Tableau!$H$16-Q860)/(AC860^2+Tableau!$G$21^2)^(3/2))*Tableau!$G$20</f>
        <v>5.6614425891386526</v>
      </c>
      <c r="X860" s="96">
        <f>((Tableau!$G$25-P860)/(AD860^2+Tableau!$G$30^2)^(3/2))*Tableau!$G$29</f>
        <v>-0.54213510888893635</v>
      </c>
      <c r="Y860" s="96">
        <f>((Tableau!$H$25-Q860)/(AD860^2+Tableau!$G$30^2)^(3/2))*Tableau!$G$29</f>
        <v>1.7447460548717757</v>
      </c>
      <c r="Z860" s="96">
        <f>((Tableau!$G$35-P860)/(AE860^2+Tableau!$G$40^2)^(3/2))*Tableau!$G$39</f>
        <v>-1.7578469519530524</v>
      </c>
      <c r="AA860" s="97">
        <f>((Tableau!$H$35-Q860)/(AE860^2+Tableau!$G$40^2)^(3/2))*Tableau!$G$39</f>
        <v>6.1817920332595673</v>
      </c>
      <c r="AC860" s="110">
        <f>SQRT((Tableau!$G$16-P860)^2+(Tableau!$H$16-Q860)^2)</f>
        <v>301487.72336099576</v>
      </c>
      <c r="AD860" s="111">
        <f>SQRT((Tableau!$G$25-P860)^2+(Tableau!$H$25-Q860)^2)</f>
        <v>313408.47655974195</v>
      </c>
      <c r="AE860" s="112">
        <f>SQRT((Tableau!$G$35-P860)^2+(Tableau!$H$35-Q860)^2)</f>
        <v>285167.13176354079</v>
      </c>
    </row>
    <row r="861" spans="2:31" x14ac:dyDescent="0.25">
      <c r="B861" s="18">
        <v>858</v>
      </c>
      <c r="C861" s="19">
        <f>Tableau!$G$17*COS(B861*PI()/180)+Tableau!$G$16</f>
        <v>16284.275872613027</v>
      </c>
      <c r="D861" s="19">
        <f>Tableau!$G$17*SIN(B861*PI()/180)+Tableau!$H$16</f>
        <v>10845.653031794289</v>
      </c>
      <c r="F861" s="26">
        <v>858</v>
      </c>
      <c r="G861" s="27">
        <f>Tableau!$G$26*COS(F861*PI()/180)+Tableau!$G$25</f>
        <v>-22601.00688917088</v>
      </c>
      <c r="H861" s="27">
        <f>Tableau!$G$26*SIN(F861*PI()/180)+Tableau!$H$25</f>
        <v>12341.957122256003</v>
      </c>
      <c r="J861" s="34">
        <v>858</v>
      </c>
      <c r="K861" s="35">
        <f>Tableau!$G$36*COS(J861*PI()/180)+Tableau!$G$35</f>
        <v>-8715.7241273869731</v>
      </c>
      <c r="L861" s="35">
        <f>Tableau!$G$36*SIN(J861*PI()/180)+Tableau!$H$35</f>
        <v>-11654.346968205711</v>
      </c>
      <c r="N861" s="98">
        <v>857</v>
      </c>
      <c r="O861" s="99">
        <v>428.5</v>
      </c>
      <c r="P861" s="101">
        <f>P860+R860*Tableau!$G$2+((1/2)*T860)*Tableau!$G$2^2</f>
        <v>73377.398813117819</v>
      </c>
      <c r="Q861" s="101">
        <f>Q860+S860*Tableau!$G$2+((1/2)*U860)*Tableau!$G$2^2</f>
        <v>-289853.32609454484</v>
      </c>
      <c r="R861" s="101">
        <f>R860+T860*Tableau!$G$2</f>
        <v>758.70163395442944</v>
      </c>
      <c r="S861" s="101">
        <f>S860+U860*Tableau!$G$2</f>
        <v>-1117.2104992531449</v>
      </c>
      <c r="T861" s="101">
        <f t="shared" si="26"/>
        <v>-3.3074773567845757</v>
      </c>
      <c r="U861" s="101">
        <f t="shared" si="27"/>
        <v>13.527391642926204</v>
      </c>
      <c r="V861" s="101">
        <f>((Tableau!$G$16-P861)/(AC861^2+Tableau!$G$21^2)^(3/2))*Tableau!$G$20</f>
        <v>-1.0119610584672614</v>
      </c>
      <c r="W861" s="101">
        <f>((Tableau!$H$16-Q861)/(AC861^2+Tableau!$G$21^2)^(3/2))*Tableau!$G$20</f>
        <v>5.6374044690136875</v>
      </c>
      <c r="X861" s="101">
        <f>((Tableau!$G$25-P861)/(AD861^2+Tableau!$G$30^2)^(3/2))*Tableau!$G$29</f>
        <v>-0.54098902435779583</v>
      </c>
      <c r="Y861" s="101">
        <f>((Tableau!$H$25-Q861)/(AD861^2+Tableau!$G$30^2)^(3/2))*Tableau!$G$29</f>
        <v>1.7372229297046906</v>
      </c>
      <c r="Z861" s="101">
        <f>((Tableau!$G$35-P861)/(AE861^2+Tableau!$G$40^2)^(3/2))*Tableau!$G$39</f>
        <v>-1.7545272739595184</v>
      </c>
      <c r="AA861" s="102">
        <f>((Tableau!$H$35-Q861)/(AE861^2+Tableau!$G$40^2)^(3/2))*Tableau!$G$39</f>
        <v>6.1527642442078276</v>
      </c>
      <c r="AC861" s="113">
        <f>SQRT((Tableau!$G$16-P861)^2+(Tableau!$H$16-Q861)^2)</f>
        <v>302106.1853778293</v>
      </c>
      <c r="AD861" s="114">
        <f>SQRT((Tableau!$G$25-P861)^2+(Tableau!$H$25-Q861)^2)</f>
        <v>314056.29396505572</v>
      </c>
      <c r="AE861" s="115">
        <f>SQRT((Tableau!$G$35-P861)^2+(Tableau!$H$35-Q861)^2)</f>
        <v>285810.01996071573</v>
      </c>
    </row>
    <row r="862" spans="2:31" x14ac:dyDescent="0.25">
      <c r="B862" s="20">
        <v>859</v>
      </c>
      <c r="C862" s="21">
        <f>Tableau!$G$17*COS(B862*PI()/180)+Tableau!$G$16</f>
        <v>16226.452098886142</v>
      </c>
      <c r="D862" s="21">
        <f>Tableau!$G$17*SIN(B862*PI()/180)+Tableau!$H$16</f>
        <v>10780.295144952539</v>
      </c>
      <c r="F862" s="28">
        <v>859</v>
      </c>
      <c r="G862" s="29">
        <f>Tableau!$G$26*COS(F862*PI()/180)+Tableau!$G$25</f>
        <v>-22641.4835307797</v>
      </c>
      <c r="H862" s="29">
        <f>Tableau!$G$26*SIN(F862*PI()/180)+Tableau!$H$25</f>
        <v>12296.206601466776</v>
      </c>
      <c r="J862" s="36">
        <v>859</v>
      </c>
      <c r="K862" s="37">
        <f>Tableau!$G$36*COS(J862*PI()/180)+Tableau!$G$35</f>
        <v>-8773.5479011138577</v>
      </c>
      <c r="L862" s="37">
        <f>Tableau!$G$36*SIN(J862*PI()/180)+Tableau!$H$35</f>
        <v>-11719.704855047461</v>
      </c>
      <c r="N862" s="92">
        <v>858</v>
      </c>
      <c r="O862" s="93">
        <v>429</v>
      </c>
      <c r="P862" s="96">
        <f>P861+R861*Tableau!$G$2+((1/2)*T861)*Tableau!$G$2^2</f>
        <v>73756.336195425436</v>
      </c>
      <c r="Q862" s="96">
        <f>Q861+S861*Tableau!$G$2+((1/2)*U861)*Tableau!$G$2^2</f>
        <v>-290410.24042021605</v>
      </c>
      <c r="R862" s="96">
        <f>R861+T861*Tableau!$G$2</f>
        <v>757.04789527603714</v>
      </c>
      <c r="S862" s="96">
        <f>S861+U861*Tableau!$G$2</f>
        <v>-1110.4468034316819</v>
      </c>
      <c r="T862" s="96">
        <f t="shared" si="26"/>
        <v>-3.3040485046995718</v>
      </c>
      <c r="U862" s="96">
        <f t="shared" si="27"/>
        <v>13.467496549092875</v>
      </c>
      <c r="V862" s="96">
        <f>((Tableau!$G$16-P862)/(AC862^2+Tableau!$G$21^2)^(3/2))*Tableau!$G$20</f>
        <v>-1.0129508403109475</v>
      </c>
      <c r="W862" s="96">
        <f>((Tableau!$H$16-Q862)/(AC862^2+Tableau!$G$21^2)^(3/2))*Tableau!$G$20</f>
        <v>5.6136345913502597</v>
      </c>
      <c r="X862" s="96">
        <f>((Tableau!$G$25-P862)/(AD862^2+Tableau!$G$30^2)^(3/2))*Tableau!$G$29</f>
        <v>-0.53985583172726104</v>
      </c>
      <c r="Y862" s="96">
        <f>((Tableau!$H$25-Q862)/(AD862^2+Tableau!$G$30^2)^(3/2))*Tableau!$G$29</f>
        <v>1.7297841061472197</v>
      </c>
      <c r="Z862" s="96">
        <f>((Tableau!$G$35-P862)/(AE862^2+Tableau!$G$40^2)^(3/2))*Tableau!$G$39</f>
        <v>-1.751241832661363</v>
      </c>
      <c r="AA862" s="97">
        <f>((Tableau!$H$35-Q862)/(AE862^2+Tableau!$G$40^2)^(3/2))*Tableau!$G$39</f>
        <v>6.1240778515953957</v>
      </c>
      <c r="AC862" s="110">
        <f>SQRT((Tableau!$G$16-P862)^2+(Tableau!$H$16-Q862)^2)</f>
        <v>302721.41488237423</v>
      </c>
      <c r="AD862" s="111">
        <f>SQRT((Tableau!$G$25-P862)^2+(Tableau!$H$25-Q862)^2)</f>
        <v>314700.75170886016</v>
      </c>
      <c r="AE862" s="112">
        <f>SQRT((Tableau!$G$35-P862)^2+(Tableau!$H$35-Q862)^2)</f>
        <v>286449.57849375182</v>
      </c>
    </row>
    <row r="863" spans="2:31" x14ac:dyDescent="0.25">
      <c r="B863" s="18">
        <v>860</v>
      </c>
      <c r="C863" s="19">
        <f>Tableau!$G$17*COS(B863*PI()/180)+Tableau!$G$16</f>
        <v>16169.777784405114</v>
      </c>
      <c r="D863" s="19">
        <f>Tableau!$G$17*SIN(B863*PI()/180)+Tableau!$H$16</f>
        <v>10713.938048432703</v>
      </c>
      <c r="F863" s="26">
        <v>860</v>
      </c>
      <c r="G863" s="27">
        <f>Tableau!$G$26*COS(F863*PI()/180)+Tableau!$G$25</f>
        <v>-22681.155550916421</v>
      </c>
      <c r="H863" s="27">
        <f>Tableau!$G$26*SIN(F863*PI()/180)+Tableau!$H$25</f>
        <v>12249.756633902893</v>
      </c>
      <c r="J863" s="34">
        <v>860</v>
      </c>
      <c r="K863" s="35">
        <f>Tableau!$G$36*COS(J863*PI()/180)+Tableau!$G$35</f>
        <v>-8830.2222155948857</v>
      </c>
      <c r="L863" s="35">
        <f>Tableau!$G$36*SIN(J863*PI()/180)+Tableau!$H$35</f>
        <v>-11786.061951567297</v>
      </c>
      <c r="N863" s="98">
        <v>859</v>
      </c>
      <c r="O863" s="99">
        <v>429.5</v>
      </c>
      <c r="P863" s="101">
        <f>P862+R862*Tableau!$G$2+((1/2)*T862)*Tableau!$G$2^2</f>
        <v>74134.447137000374</v>
      </c>
      <c r="Q863" s="101">
        <f>Q862+S862*Tableau!$G$2+((1/2)*U862)*Tableau!$G$2^2</f>
        <v>-290963.78038486326</v>
      </c>
      <c r="R863" s="101">
        <f>R862+T862*Tableau!$G$2</f>
        <v>755.39587102368739</v>
      </c>
      <c r="S863" s="101">
        <f>S862+U862*Tableau!$G$2</f>
        <v>-1103.7130551571354</v>
      </c>
      <c r="T863" s="101">
        <f t="shared" si="26"/>
        <v>-3.3006462460003094</v>
      </c>
      <c r="U863" s="101">
        <f t="shared" si="27"/>
        <v>13.408284904922718</v>
      </c>
      <c r="V863" s="101">
        <f>((Tableau!$G$16-P863)/(AC863^2+Tableau!$G$21^2)^(3/2))*Tableau!$G$20</f>
        <v>-1.0139205006278107</v>
      </c>
      <c r="W863" s="101">
        <f>((Tableau!$H$16-Q863)/(AC863^2+Tableau!$G$21^2)^(3/2))*Tableau!$G$20</f>
        <v>5.5901290514935837</v>
      </c>
      <c r="X863" s="101">
        <f>((Tableau!$G$25-P863)/(AD863^2+Tableau!$G$30^2)^(3/2))*Tableau!$G$29</f>
        <v>-0.53873538743975624</v>
      </c>
      <c r="Y863" s="101">
        <f>((Tableau!$H$25-Q863)/(AD863^2+Tableau!$G$30^2)^(3/2))*Tableau!$G$29</f>
        <v>1.7224283326910041</v>
      </c>
      <c r="Z863" s="101">
        <f>((Tableau!$G$35-P863)/(AE863^2+Tableau!$G$40^2)^(3/2))*Tableau!$G$39</f>
        <v>-1.7479903579327425</v>
      </c>
      <c r="AA863" s="102">
        <f>((Tableau!$H$35-Q863)/(AE863^2+Tableau!$G$40^2)^(3/2))*Tableau!$G$39</f>
        <v>6.0957275207381301</v>
      </c>
      <c r="AC863" s="113">
        <f>SQRT((Tableau!$G$16-P863)^2+(Tableau!$H$16-Q863)^2)</f>
        <v>303333.42474651977</v>
      </c>
      <c r="AD863" s="114">
        <f>SQRT((Tableau!$G$25-P863)^2+(Tableau!$H$25-Q863)^2)</f>
        <v>315341.86407982197</v>
      </c>
      <c r="AE863" s="115">
        <f>SQRT((Tableau!$G$35-P863)^2+(Tableau!$H$35-Q863)^2)</f>
        <v>287085.82132871653</v>
      </c>
    </row>
    <row r="864" spans="2:31" x14ac:dyDescent="0.25">
      <c r="B864" s="20">
        <v>861</v>
      </c>
      <c r="C864" s="21">
        <f>Tableau!$G$17*COS(B864*PI()/180)+Tableau!$G$16</f>
        <v>16114.270192715148</v>
      </c>
      <c r="D864" s="21">
        <f>Tableau!$G$17*SIN(B864*PI()/180)+Tableau!$H$16</f>
        <v>10646.601955249191</v>
      </c>
      <c r="F864" s="28">
        <v>861</v>
      </c>
      <c r="G864" s="29">
        <f>Tableau!$G$26*COS(F864*PI()/180)+Tableau!$G$25</f>
        <v>-22720.010865099397</v>
      </c>
      <c r="H864" s="29">
        <f>Tableau!$G$26*SIN(F864*PI()/180)+Tableau!$H$25</f>
        <v>12202.621368674434</v>
      </c>
      <c r="J864" s="36">
        <v>861</v>
      </c>
      <c r="K864" s="37">
        <f>Tableau!$G$36*COS(J864*PI()/180)+Tableau!$G$35</f>
        <v>-8885.7298072848516</v>
      </c>
      <c r="L864" s="37">
        <f>Tableau!$G$36*SIN(J864*PI()/180)+Tableau!$H$35</f>
        <v>-11853.398044750809</v>
      </c>
      <c r="N864" s="92">
        <v>860</v>
      </c>
      <c r="O864" s="93">
        <v>430</v>
      </c>
      <c r="P864" s="96">
        <f>P863+R863*Tableau!$G$2+((1/2)*T863)*Tableau!$G$2^2</f>
        <v>74511.732491731469</v>
      </c>
      <c r="Q864" s="96">
        <f>Q863+S863*Tableau!$G$2+((1/2)*U863)*Tableau!$G$2^2</f>
        <v>-291513.9608768287</v>
      </c>
      <c r="R864" s="96">
        <f>R863+T863*Tableau!$G$2</f>
        <v>753.74554790068726</v>
      </c>
      <c r="S864" s="96">
        <f>S863+U863*Tableau!$G$2</f>
        <v>-1097.008912704674</v>
      </c>
      <c r="T864" s="96">
        <f t="shared" si="26"/>
        <v>-3.2972707816751488</v>
      </c>
      <c r="U864" s="96">
        <f t="shared" si="27"/>
        <v>13.349746431218307</v>
      </c>
      <c r="V864" s="96">
        <f>((Tableau!$G$16-P864)/(AC864^2+Tableau!$G$21^2)^(3/2))*Tableau!$G$20</f>
        <v>-1.0148706490855453</v>
      </c>
      <c r="W864" s="96">
        <f>((Tableau!$H$16-Q864)/(AC864^2+Tableau!$G$21^2)^(3/2))*Tableau!$G$20</f>
        <v>5.5668840209167252</v>
      </c>
      <c r="X864" s="96">
        <f>((Tableau!$G$25-P864)/(AD864^2+Tableau!$G$30^2)^(3/2))*Tableau!$G$29</f>
        <v>-0.53762755040612753</v>
      </c>
      <c r="Y864" s="96">
        <f>((Tableau!$H$25-Q864)/(AD864^2+Tableau!$G$30^2)^(3/2))*Tableau!$G$29</f>
        <v>1.7151543826967748</v>
      </c>
      <c r="Z864" s="96">
        <f>((Tableau!$G$35-P864)/(AE864^2+Tableau!$G$40^2)^(3/2))*Tableau!$G$39</f>
        <v>-1.7447725821834761</v>
      </c>
      <c r="AA864" s="97">
        <f>((Tableau!$H$35-Q864)/(AE864^2+Tableau!$G$40^2)^(3/2))*Tableau!$G$39</f>
        <v>6.0677080276048079</v>
      </c>
      <c r="AC864" s="110">
        <f>SQRT((Tableau!$G$16-P864)^2+(Tableau!$H$16-Q864)^2)</f>
        <v>303942.22769878444</v>
      </c>
      <c r="AD864" s="111">
        <f>SQRT((Tableau!$G$25-P864)^2+(Tableau!$H$25-Q864)^2)</f>
        <v>315979.64520238072</v>
      </c>
      <c r="AE864" s="112">
        <f>SQRT((Tableau!$G$35-P864)^2+(Tableau!$H$35-Q864)^2)</f>
        <v>287718.76227251679</v>
      </c>
    </row>
    <row r="865" spans="2:31" x14ac:dyDescent="0.25">
      <c r="B865" s="18">
        <v>862</v>
      </c>
      <c r="C865" s="19">
        <f>Tableau!$G$17*COS(B865*PI()/180)+Tableau!$G$16</f>
        <v>16059.946231966391</v>
      </c>
      <c r="D865" s="19">
        <f>Tableau!$G$17*SIN(B865*PI()/180)+Tableau!$H$16</f>
        <v>10578.307376628292</v>
      </c>
      <c r="F865" s="26">
        <v>862</v>
      </c>
      <c r="G865" s="27">
        <f>Tableau!$G$26*COS(F865*PI()/180)+Tableau!$G$25</f>
        <v>-22758.037637623525</v>
      </c>
      <c r="H865" s="27">
        <f>Tableau!$G$26*SIN(F865*PI()/180)+Tableau!$H$25</f>
        <v>12154.815163639803</v>
      </c>
      <c r="J865" s="34">
        <v>862</v>
      </c>
      <c r="K865" s="35">
        <f>Tableau!$G$36*COS(J865*PI()/180)+Tableau!$G$35</f>
        <v>-8940.0537680336092</v>
      </c>
      <c r="L865" s="35">
        <f>Tableau!$G$36*SIN(J865*PI()/180)+Tableau!$H$35</f>
        <v>-11921.692623371708</v>
      </c>
      <c r="N865" s="98">
        <v>861</v>
      </c>
      <c r="O865" s="99">
        <v>430.5</v>
      </c>
      <c r="P865" s="101">
        <f>P864+R864*Tableau!$G$2+((1/2)*T864)*Tableau!$G$2^2</f>
        <v>74888.193106834093</v>
      </c>
      <c r="Q865" s="101">
        <f>Q864+S864*Tableau!$G$2+((1/2)*U864)*Tableau!$G$2^2</f>
        <v>-292060.79661487712</v>
      </c>
      <c r="R865" s="101">
        <f>R864+T864*Tableau!$G$2</f>
        <v>752.09691250984963</v>
      </c>
      <c r="S865" s="101">
        <f>S864+U864*Tableau!$G$2</f>
        <v>-1090.3340394890649</v>
      </c>
      <c r="T865" s="101">
        <f t="shared" si="26"/>
        <v>-3.2939223018698875</v>
      </c>
      <c r="U865" s="101">
        <f t="shared" si="27"/>
        <v>13.291871055221073</v>
      </c>
      <c r="V865" s="101">
        <f>((Tableau!$G$16-P865)/(AC865^2+Tableau!$G$21^2)^(3/2))*Tableau!$G$20</f>
        <v>-1.015801879541711</v>
      </c>
      <c r="W865" s="101">
        <f>((Tableau!$H$16-Q865)/(AC865^2+Tableau!$G$21^2)^(3/2))*Tableau!$G$20</f>
        <v>5.5438957454133586</v>
      </c>
      <c r="X865" s="101">
        <f>((Tableau!$G$25-P865)/(AD865^2+Tableau!$G$30^2)^(3/2))*Tableau!$G$29</f>
        <v>-0.5365321819554083</v>
      </c>
      <c r="Y865" s="101">
        <f>((Tableau!$H$25-Q865)/(AD865^2+Tableau!$G$30^2)^(3/2))*Tableau!$G$29</f>
        <v>1.7079610537899101</v>
      </c>
      <c r="Z865" s="101">
        <f>((Tableau!$G$35-P865)/(AE865^2+Tableau!$G$40^2)^(3/2))*Tableau!$G$39</f>
        <v>-1.741588240372768</v>
      </c>
      <c r="AA865" s="102">
        <f>((Tableau!$H$35-Q865)/(AE865^2+Tableau!$G$40^2)^(3/2))*Tableau!$G$39</f>
        <v>6.0400142560178045</v>
      </c>
      <c r="AC865" s="113">
        <f>SQRT((Tableau!$G$16-P865)^2+(Tableau!$H$16-Q865)^2)</f>
        <v>304547.83632636908</v>
      </c>
      <c r="AD865" s="114">
        <f>SQRT((Tableau!$G$25-P865)^2+(Tableau!$H$25-Q865)^2)</f>
        <v>316614.10903921194</v>
      </c>
      <c r="AE865" s="115">
        <f>SQRT((Tableau!$G$35-P865)^2+(Tableau!$H$35-Q865)^2)</f>
        <v>288348.41497526062</v>
      </c>
    </row>
    <row r="866" spans="2:31" x14ac:dyDescent="0.25">
      <c r="B866" s="20">
        <v>863</v>
      </c>
      <c r="C866" s="21">
        <f>Tableau!$G$17*COS(B866*PI()/180)+Tableau!$G$16</f>
        <v>16006.82244976354</v>
      </c>
      <c r="D866" s="21">
        <f>Tableau!$G$17*SIN(B866*PI()/180)+Tableau!$H$16</f>
        <v>10509.075115760246</v>
      </c>
      <c r="F866" s="28">
        <v>863</v>
      </c>
      <c r="G866" s="29">
        <f>Tableau!$G$26*COS(F866*PI()/180)+Tableau!$G$25</f>
        <v>-22795.224285165521</v>
      </c>
      <c r="H866" s="29">
        <f>Tableau!$G$26*SIN(F866*PI()/180)+Tableau!$H$25</f>
        <v>12106.352581032173</v>
      </c>
      <c r="J866" s="36">
        <v>863</v>
      </c>
      <c r="K866" s="37">
        <f>Tableau!$G$36*COS(J866*PI()/180)+Tableau!$G$35</f>
        <v>-8993.1775502364599</v>
      </c>
      <c r="L866" s="37">
        <f>Tableau!$G$36*SIN(J866*PI()/180)+Tableau!$H$35</f>
        <v>-11990.924884239754</v>
      </c>
      <c r="N866" s="92">
        <v>862</v>
      </c>
      <c r="O866" s="93">
        <v>431</v>
      </c>
      <c r="P866" s="96">
        <f>P865+R865*Tableau!$G$2+((1/2)*T865)*Tableau!$G$2^2</f>
        <v>75263.829822801286</v>
      </c>
      <c r="Q866" s="96">
        <f>Q865+S865*Tableau!$G$2+((1/2)*U865)*Tableau!$G$2^2</f>
        <v>-292604.30215073976</v>
      </c>
      <c r="R866" s="96">
        <f>R865+T865*Tableau!$G$2</f>
        <v>750.44995135891463</v>
      </c>
      <c r="S866" s="96">
        <f>S865+U865*Tableau!$G$2</f>
        <v>-1083.6881039614543</v>
      </c>
      <c r="T866" s="96">
        <f t="shared" si="26"/>
        <v>-3.2906009863207943</v>
      </c>
      <c r="U866" s="96">
        <f t="shared" si="27"/>
        <v>13.234648905552357</v>
      </c>
      <c r="V866" s="96">
        <f>((Tableau!$G$16-P866)/(AC866^2+Tableau!$G$21^2)^(3/2))*Tableau!$G$20</f>
        <v>-1.0167147705144601</v>
      </c>
      <c r="W866" s="96">
        <f>((Tableau!$H$16-Q866)/(AC866^2+Tableau!$G$21^2)^(3/2))*Tableau!$G$20</f>
        <v>5.5211605433415327</v>
      </c>
      <c r="X866" s="96">
        <f>((Tableau!$G$25-P866)/(AD866^2+Tableau!$G$30^2)^(3/2))*Tableau!$G$29</f>
        <v>-0.53544914578583369</v>
      </c>
      <c r="Y866" s="96">
        <f>((Tableau!$H$25-Q866)/(AD866^2+Tableau!$G$30^2)^(3/2))*Tableau!$G$29</f>
        <v>1.7008471672734535</v>
      </c>
      <c r="Z866" s="96">
        <f>((Tableau!$G$35-P866)/(AE866^2+Tableau!$G$40^2)^(3/2))*Tableau!$G$39</f>
        <v>-1.7384370700205003</v>
      </c>
      <c r="AA866" s="97">
        <f>((Tableau!$H$35-Q866)/(AE866^2+Tableau!$G$40^2)^(3/2))*Tableau!$G$39</f>
        <v>6.0126411949373706</v>
      </c>
      <c r="AC866" s="110">
        <f>SQRT((Tableau!$G$16-P866)^2+(Tableau!$H$16-Q866)^2)</f>
        <v>305150.26307717001</v>
      </c>
      <c r="AD866" s="111">
        <f>SQRT((Tableau!$G$25-P866)^2+(Tableau!$H$25-Q866)^2)</f>
        <v>317245.26939364098</v>
      </c>
      <c r="AE866" s="112">
        <f>SQRT((Tableau!$G$35-P866)^2+(Tableau!$H$35-Q866)^2)</f>
        <v>288974.7929325719</v>
      </c>
    </row>
    <row r="867" spans="2:31" x14ac:dyDescent="0.25">
      <c r="B867" s="18">
        <v>864</v>
      </c>
      <c r="C867" s="19">
        <f>Tableau!$G$17*COS(B867*PI()/180)+Tableau!$G$16</f>
        <v>15954.915028125264</v>
      </c>
      <c r="D867" s="19">
        <f>Tableau!$G$17*SIN(B867*PI()/180)+Tableau!$H$16</f>
        <v>10438.926261462368</v>
      </c>
      <c r="F867" s="26">
        <v>864</v>
      </c>
      <c r="G867" s="27">
        <f>Tableau!$G$26*COS(F867*PI()/180)+Tableau!$G$25</f>
        <v>-22831.559480312317</v>
      </c>
      <c r="H867" s="27">
        <f>Tableau!$G$26*SIN(F867*PI()/180)+Tableau!$H$25</f>
        <v>12057.248383023658</v>
      </c>
      <c r="J867" s="34">
        <v>864</v>
      </c>
      <c r="K867" s="35">
        <f>Tableau!$G$36*COS(J867*PI()/180)+Tableau!$G$35</f>
        <v>-9045.0849718747359</v>
      </c>
      <c r="L867" s="35">
        <f>Tableau!$G$36*SIN(J867*PI()/180)+Tableau!$H$35</f>
        <v>-12061.073738537632</v>
      </c>
      <c r="N867" s="98">
        <v>863</v>
      </c>
      <c r="O867" s="99">
        <v>431.5</v>
      </c>
      <c r="P867" s="101">
        <f>P866+R866*Tableau!$G$2+((1/2)*T866)*Tableau!$G$2^2</f>
        <v>75638.643473357457</v>
      </c>
      <c r="Q867" s="101">
        <f>Q866+S866*Tableau!$G$2+((1/2)*U866)*Tableau!$G$2^2</f>
        <v>-293144.49187160726</v>
      </c>
      <c r="R867" s="101">
        <f>R866+T866*Tableau!$G$2</f>
        <v>748.80465086575418</v>
      </c>
      <c r="S867" s="101">
        <f>S866+U866*Tableau!$G$2</f>
        <v>-1077.0707795086782</v>
      </c>
      <c r="T867" s="101">
        <f t="shared" si="26"/>
        <v>-3.287307004771101</v>
      </c>
      <c r="U867" s="101">
        <f t="shared" si="27"/>
        <v>13.178070307301752</v>
      </c>
      <c r="V867" s="101">
        <f>((Tableau!$G$16-P867)/(AC867^2+Tableau!$G$21^2)^(3/2))*Tableau!$G$20</f>
        <v>-1.0176098856375893</v>
      </c>
      <c r="W867" s="101">
        <f>((Tableau!$H$16-Q867)/(AC867^2+Tableau!$G$21^2)^(3/2))*Tableau!$G$20</f>
        <v>5.4986748039163835</v>
      </c>
      <c r="X867" s="101">
        <f>((Tableau!$G$25-P867)/(AD867^2+Tableau!$G$30^2)^(3/2))*Tableau!$G$29</f>
        <v>-0.53437830791711194</v>
      </c>
      <c r="Y867" s="101">
        <f>((Tableau!$H$25-Q867)/(AD867^2+Tableau!$G$30^2)^(3/2))*Tableau!$G$29</f>
        <v>1.6938115675581455</v>
      </c>
      <c r="Z867" s="101">
        <f>((Tableau!$G$35-P867)/(AE867^2+Tableau!$G$40^2)^(3/2))*Tableau!$G$39</f>
        <v>-1.7353188112163997</v>
      </c>
      <c r="AA867" s="102">
        <f>((Tableau!$H$35-Q867)/(AE867^2+Tableau!$G$40^2)^(3/2))*Tableau!$G$39</f>
        <v>5.9855839358272229</v>
      </c>
      <c r="AC867" s="113">
        <f>SQRT((Tableau!$G$16-P867)^2+(Tableau!$H$16-Q867)^2)</f>
        <v>305749.52026175335</v>
      </c>
      <c r="AD867" s="114">
        <f>SQRT((Tableau!$G$25-P867)^2+(Tableau!$H$25-Q867)^2)</f>
        <v>317873.1399120079</v>
      </c>
      <c r="AE867" s="115">
        <f>SQRT((Tableau!$G$35-P867)^2+(Tableau!$H$35-Q867)^2)</f>
        <v>289597.90948785847</v>
      </c>
    </row>
    <row r="868" spans="2:31" x14ac:dyDescent="0.25">
      <c r="B868" s="20">
        <v>865</v>
      </c>
      <c r="C868" s="21">
        <f>Tableau!$G$17*COS(B868*PI()/180)+Tableau!$G$16</f>
        <v>15904.239778555042</v>
      </c>
      <c r="D868" s="21">
        <f>Tableau!$G$17*SIN(B868*PI()/180)+Tableau!$H$16</f>
        <v>10367.882181755231</v>
      </c>
      <c r="F868" s="28">
        <v>865</v>
      </c>
      <c r="G868" s="29">
        <f>Tableau!$G$26*COS(F868*PI()/180)+Tableau!$G$25</f>
        <v>-22867.032155011471</v>
      </c>
      <c r="H868" s="29">
        <f>Tableau!$G$26*SIN(F868*PI()/180)+Tableau!$H$25</f>
        <v>12007.517527228661</v>
      </c>
      <c r="J868" s="36">
        <v>865</v>
      </c>
      <c r="K868" s="37">
        <f>Tableau!$G$36*COS(J868*PI()/180)+Tableau!$G$35</f>
        <v>-9095.760221444958</v>
      </c>
      <c r="L868" s="37">
        <f>Tableau!$G$36*SIN(J868*PI()/180)+Tableau!$H$35</f>
        <v>-12132.117818244769</v>
      </c>
      <c r="N868" s="92">
        <v>864</v>
      </c>
      <c r="O868" s="93">
        <v>432</v>
      </c>
      <c r="P868" s="96">
        <f>P867+R867*Tableau!$G$2+((1/2)*T867)*Tableau!$G$2^2</f>
        <v>76012.634885414736</v>
      </c>
      <c r="Q868" s="96">
        <f>Q867+S867*Tableau!$G$2+((1/2)*U867)*Tableau!$G$2^2</f>
        <v>-293681.38000257319</v>
      </c>
      <c r="R868" s="96">
        <f>R867+T867*Tableau!$G$2</f>
        <v>747.16099736336866</v>
      </c>
      <c r="S868" s="96">
        <f>S867+U867*Tableau!$G$2</f>
        <v>-1070.4817443550273</v>
      </c>
      <c r="T868" s="96">
        <f t="shared" si="26"/>
        <v>-3.2840405173714835</v>
      </c>
      <c r="U868" s="96">
        <f t="shared" si="27"/>
        <v>13.122125777257544</v>
      </c>
      <c r="V868" s="96">
        <f>((Tableau!$G$16-P868)/(AC868^2+Tableau!$G$21^2)^(3/2))*Tableau!$G$20</f>
        <v>-1.0184877741006317</v>
      </c>
      <c r="W868" s="96">
        <f>((Tableau!$H$16-Q868)/(AC868^2+Tableau!$G$21^2)^(3/2))*Tableau!$G$20</f>
        <v>5.4764349855509575</v>
      </c>
      <c r="X868" s="96">
        <f>((Tableau!$G$25-P868)/(AD868^2+Tableau!$G$30^2)^(3/2))*Tableau!$G$29</f>
        <v>-0.53331953664381215</v>
      </c>
      <c r="Y868" s="96">
        <f>((Tableau!$H$25-Q868)/(AD868^2+Tableau!$G$30^2)^(3/2))*Tableau!$G$29</f>
        <v>1.6868531216085703</v>
      </c>
      <c r="Z868" s="96">
        <f>((Tableau!$G$35-P868)/(AE868^2+Tableau!$G$40^2)^(3/2))*Tableau!$G$39</f>
        <v>-1.7322332066270398</v>
      </c>
      <c r="AA868" s="97">
        <f>((Tableau!$H$35-Q868)/(AE868^2+Tableau!$G$40^2)^(3/2))*Tableau!$G$39</f>
        <v>5.9588376700980161</v>
      </c>
      <c r="AC868" s="110">
        <f>SQRT((Tableau!$G$16-P868)^2+(Tableau!$H$16-Q868)^2)</f>
        <v>306345.62005529174</v>
      </c>
      <c r="AD868" s="111">
        <f>SQRT((Tableau!$G$25-P868)^2+(Tableau!$H$25-Q868)^2)</f>
        <v>318497.73408598563</v>
      </c>
      <c r="AE868" s="112">
        <f>SQRT((Tableau!$G$35-P868)^2+(Tableau!$H$35-Q868)^2)</f>
        <v>290217.77783453604</v>
      </c>
    </row>
    <row r="869" spans="2:31" x14ac:dyDescent="0.25">
      <c r="B869" s="18">
        <v>866</v>
      </c>
      <c r="C869" s="19">
        <f>Tableau!$G$17*COS(B869*PI()/180)+Tableau!$G$16</f>
        <v>15854.812137224788</v>
      </c>
      <c r="D869" s="19">
        <f>Tableau!$G$17*SIN(B869*PI()/180)+Tableau!$H$16</f>
        <v>10295.96451735373</v>
      </c>
      <c r="F869" s="26">
        <v>866</v>
      </c>
      <c r="G869" s="27">
        <f>Tableau!$G$26*COS(F869*PI()/180)+Tableau!$G$25</f>
        <v>-22901.631503942648</v>
      </c>
      <c r="H869" s="27">
        <f>Tableau!$G$26*SIN(F869*PI()/180)+Tableau!$H$25</f>
        <v>11957.175162147611</v>
      </c>
      <c r="J869" s="34">
        <v>866</v>
      </c>
      <c r="K869" s="35">
        <f>Tableau!$G$36*COS(J869*PI()/180)+Tableau!$G$35</f>
        <v>-9145.1878627752121</v>
      </c>
      <c r="L869" s="35">
        <f>Tableau!$G$36*SIN(J869*PI()/180)+Tableau!$H$35</f>
        <v>-12204.03548264627</v>
      </c>
      <c r="N869" s="98">
        <v>865</v>
      </c>
      <c r="O869" s="99">
        <v>432.5</v>
      </c>
      <c r="P869" s="101">
        <f>P868+R868*Tableau!$G$2+((1/2)*T868)*Tableau!$G$2^2</f>
        <v>76385.804879031741</v>
      </c>
      <c r="Q869" s="101">
        <f>Q868+S868*Tableau!$G$2+((1/2)*U868)*Tableau!$G$2^2</f>
        <v>-294214.98060902854</v>
      </c>
      <c r="R869" s="101">
        <f>R868+T868*Tableau!$G$2</f>
        <v>745.5189771046829</v>
      </c>
      <c r="S869" s="101">
        <f>S868+U868*Tableau!$G$2</f>
        <v>-1063.9206814663985</v>
      </c>
      <c r="T869" s="101">
        <f t="shared" si="26"/>
        <v>-3.2808016750653017</v>
      </c>
      <c r="U869" s="101">
        <f t="shared" si="27"/>
        <v>13.066806019274626</v>
      </c>
      <c r="V869" s="101">
        <f>((Tableau!$G$16-P869)/(AC869^2+Tableau!$G$21^2)^(3/2))*Tableau!$G$20</f>
        <v>-1.0193489710744088</v>
      </c>
      <c r="W869" s="101">
        <f>((Tableau!$H$16-Q869)/(AC869^2+Tableau!$G$21^2)^(3/2))*Tableau!$G$20</f>
        <v>5.4544376142428446</v>
      </c>
      <c r="X869" s="101">
        <f>((Tableau!$G$25-P869)/(AD869^2+Tableau!$G$30^2)^(3/2))*Tableau!$G$29</f>
        <v>-0.5322727024899393</v>
      </c>
      <c r="Y869" s="101">
        <f>((Tableau!$H$25-Q869)/(AD869^2+Tableau!$G$30^2)^(3/2))*Tableau!$G$29</f>
        <v>1.6799707184052179</v>
      </c>
      <c r="Z869" s="101">
        <f>((Tableau!$G$35-P869)/(AE869^2+Tableau!$G$40^2)^(3/2))*Tableau!$G$39</f>
        <v>-1.7291800015009535</v>
      </c>
      <c r="AA869" s="102">
        <f>((Tableau!$H$35-Q869)/(AE869^2+Tableau!$G$40^2)^(3/2))*Tableau!$G$39</f>
        <v>5.9323976866265626</v>
      </c>
      <c r="AC869" s="113">
        <f>SQRT((Tableau!$G$16-P869)^2+(Tableau!$H$16-Q869)^2)</f>
        <v>306938.57449946349</v>
      </c>
      <c r="AD869" s="114">
        <f>SQRT((Tableau!$G$25-P869)^2+(Tableau!$H$25-Q869)^2)</f>
        <v>319119.06525485188</v>
      </c>
      <c r="AE869" s="115">
        <f>SQRT((Tableau!$G$35-P869)^2+(Tableau!$H$35-Q869)^2)</f>
        <v>290834.41101820813</v>
      </c>
    </row>
    <row r="870" spans="2:31" x14ac:dyDescent="0.25">
      <c r="B870" s="20">
        <v>867</v>
      </c>
      <c r="C870" s="21">
        <f>Tableau!$G$17*COS(B870*PI()/180)+Tableau!$G$16</f>
        <v>15806.647160272882</v>
      </c>
      <c r="D870" s="21">
        <f>Tableau!$G$17*SIN(B870*PI()/180)+Tableau!$H$16</f>
        <v>10223.195175075136</v>
      </c>
      <c r="F870" s="28">
        <v>867</v>
      </c>
      <c r="G870" s="29">
        <f>Tableau!$G$26*COS(F870*PI()/180)+Tableau!$G$25</f>
        <v>-22935.346987808982</v>
      </c>
      <c r="H870" s="29">
        <f>Tableau!$G$26*SIN(F870*PI()/180)+Tableau!$H$25</f>
        <v>11906.236622552595</v>
      </c>
      <c r="J870" s="36">
        <v>867</v>
      </c>
      <c r="K870" s="37">
        <f>Tableau!$G$36*COS(J870*PI()/180)+Tableau!$G$35</f>
        <v>-9193.3528397271184</v>
      </c>
      <c r="L870" s="37">
        <f>Tableau!$G$36*SIN(J870*PI()/180)+Tableau!$H$35</f>
        <v>-12276.804824924864</v>
      </c>
      <c r="N870" s="92">
        <v>866</v>
      </c>
      <c r="O870" s="93">
        <v>433</v>
      </c>
      <c r="P870" s="96">
        <f>P869+R869*Tableau!$G$2+((1/2)*T869)*Tableau!$G$2^2</f>
        <v>76758.154267374703</v>
      </c>
      <c r="Q870" s="96">
        <f>Q869+S869*Tableau!$G$2+((1/2)*U869)*Tableau!$G$2^2</f>
        <v>-294745.30759900931</v>
      </c>
      <c r="R870" s="96">
        <f>R869+T869*Tableau!$G$2</f>
        <v>743.87857626715027</v>
      </c>
      <c r="S870" s="96">
        <f>S869+U869*Tableau!$G$2</f>
        <v>-1057.3872784567611</v>
      </c>
      <c r="T870" s="96">
        <f t="shared" si="26"/>
        <v>-3.2775906199591143</v>
      </c>
      <c r="U870" s="96">
        <f t="shared" si="27"/>
        <v>13.012101919775075</v>
      </c>
      <c r="V870" s="96">
        <f>((Tableau!$G$16-P870)/(AC870^2+Tableau!$G$21^2)^(3/2))*Tableau!$G$20</f>
        <v>-1.0201939981226185</v>
      </c>
      <c r="W870" s="96">
        <f>((Tableau!$H$16-Q870)/(AC870^2+Tableau!$G$21^2)^(3/2))*Tableau!$G$20</f>
        <v>5.4326792820054175</v>
      </c>
      <c r="X870" s="96">
        <f>((Tableau!$G$25-P870)/(AD870^2+Tableau!$G$30^2)^(3/2))*Tableau!$G$29</f>
        <v>-0.53123767816460798</v>
      </c>
      <c r="Y870" s="96">
        <f>((Tableau!$H$25-Q870)/(AD870^2+Tableau!$G$30^2)^(3/2))*Tableau!$G$29</f>
        <v>1.6731632684217543</v>
      </c>
      <c r="Z870" s="96">
        <f>((Tableau!$G$35-P870)/(AE870^2+Tableau!$G$40^2)^(3/2))*Tableau!$G$39</f>
        <v>-1.7261589436718876</v>
      </c>
      <c r="AA870" s="97">
        <f>((Tableau!$H$35-Q870)/(AE870^2+Tableau!$G$40^2)^(3/2))*Tableau!$G$39</f>
        <v>5.9062593693479037</v>
      </c>
      <c r="AC870" s="110">
        <f>SQRT((Tableau!$G$16-P870)^2+(Tableau!$H$16-Q870)^2)</f>
        <v>307528.39550431579</v>
      </c>
      <c r="AD870" s="111">
        <f>SQRT((Tableau!$G$25-P870)^2+(Tableau!$H$25-Q870)^2)</f>
        <v>319737.14660771569</v>
      </c>
      <c r="AE870" s="112">
        <f>SQRT((Tableau!$G$35-P870)^2+(Tableau!$H$35-Q870)^2)</f>
        <v>291447.82193880295</v>
      </c>
    </row>
    <row r="871" spans="2:31" x14ac:dyDescent="0.25">
      <c r="B871" s="18">
        <v>868</v>
      </c>
      <c r="C871" s="19">
        <f>Tableau!$G$17*COS(B871*PI()/180)+Tableau!$G$16</f>
        <v>15759.759519217874</v>
      </c>
      <c r="D871" s="19">
        <f>Tableau!$G$17*SIN(B871*PI()/180)+Tableau!$H$16</f>
        <v>10149.596321166031</v>
      </c>
      <c r="F871" s="26">
        <v>868</v>
      </c>
      <c r="G871" s="27">
        <f>Tableau!$G$26*COS(F871*PI()/180)+Tableau!$G$25</f>
        <v>-22968.168336547489</v>
      </c>
      <c r="H871" s="27">
        <f>Tableau!$G$26*SIN(F871*PI()/180)+Tableau!$H$25</f>
        <v>11854.717424816221</v>
      </c>
      <c r="J871" s="34">
        <v>868</v>
      </c>
      <c r="K871" s="35">
        <f>Tableau!$G$36*COS(J871*PI()/180)+Tableau!$G$35</f>
        <v>-9240.2404807821258</v>
      </c>
      <c r="L871" s="35">
        <f>Tableau!$G$36*SIN(J871*PI()/180)+Tableau!$H$35</f>
        <v>-12350.403678833969</v>
      </c>
      <c r="N871" s="98">
        <v>867</v>
      </c>
      <c r="O871" s="99">
        <v>433.5</v>
      </c>
      <c r="P871" s="101">
        <f>P870+R870*Tableau!$G$2+((1/2)*T870)*Tableau!$G$2^2</f>
        <v>77129.683856680786</v>
      </c>
      <c r="Q871" s="101">
        <f>Q870+S870*Tableau!$G$2+((1/2)*U870)*Tableau!$G$2^2</f>
        <v>-295272.37472549768</v>
      </c>
      <c r="R871" s="101">
        <f>R870+T870*Tableau!$G$2</f>
        <v>742.23978095717075</v>
      </c>
      <c r="S871" s="101">
        <f>S870+U870*Tableau!$G$2</f>
        <v>-1050.8812274968736</v>
      </c>
      <c r="T871" s="101">
        <f t="shared" si="26"/>
        <v>-3.2744074856791463</v>
      </c>
      <c r="U871" s="101">
        <f t="shared" si="27"/>
        <v>12.958004543377399</v>
      </c>
      <c r="V871" s="101">
        <f>((Tableau!$G$16-P871)/(AC871^2+Tableau!$G$21^2)^(3/2))*Tableau!$G$20</f>
        <v>-1.0210233636000308</v>
      </c>
      <c r="W871" s="101">
        <f>((Tableau!$H$16-Q871)/(AC871^2+Tableau!$G$21^2)^(3/2))*Tableau!$G$20</f>
        <v>5.4111566453425386</v>
      </c>
      <c r="X871" s="101">
        <f>((Tableau!$G$25-P871)/(AD871^2+Tableau!$G$30^2)^(3/2))*Tableau!$G$29</f>
        <v>-0.53021433851878019</v>
      </c>
      <c r="Y871" s="101">
        <f>((Tableau!$H$25-Q871)/(AD871^2+Tableau!$G$30^2)^(3/2))*Tableau!$G$29</f>
        <v>1.6664297031170034</v>
      </c>
      <c r="Z871" s="101">
        <f>((Tableau!$G$35-P871)/(AE871^2+Tableau!$G$40^2)^(3/2))*Tableau!$G$39</f>
        <v>-1.7231697835603352</v>
      </c>
      <c r="AA871" s="102">
        <f>((Tableau!$H$35-Q871)/(AE871^2+Tableau!$G$40^2)^(3/2))*Tableau!$G$39</f>
        <v>5.8804181949178567</v>
      </c>
      <c r="AC871" s="113">
        <f>SQRT((Tableau!$G$16-P871)^2+(Tableau!$H$16-Q871)^2)</f>
        <v>308115.09485009249</v>
      </c>
      <c r="AD871" s="114">
        <f>SQRT((Tableau!$G$25-P871)^2+(Tableau!$H$25-Q871)^2)</f>
        <v>320351.99118570099</v>
      </c>
      <c r="AE871" s="115">
        <f>SQRT((Tableau!$G$35-P871)^2+(Tableau!$H$35-Q871)^2)</f>
        <v>292058.02335266897</v>
      </c>
    </row>
    <row r="872" spans="2:31" x14ac:dyDescent="0.25">
      <c r="B872" s="20">
        <v>869</v>
      </c>
      <c r="C872" s="21">
        <f>Tableau!$G$17*COS(B872*PI()/180)+Tableau!$G$16</f>
        <v>15714.163496489437</v>
      </c>
      <c r="D872" s="21">
        <f>Tableau!$G$17*SIN(B872*PI()/180)+Tableau!$H$16</f>
        <v>10075.190374550266</v>
      </c>
      <c r="F872" s="28">
        <v>869</v>
      </c>
      <c r="G872" s="29">
        <f>Tableau!$G$26*COS(F872*PI()/180)+Tableau!$G$25</f>
        <v>-23000.085552457396</v>
      </c>
      <c r="H872" s="29">
        <f>Tableau!$G$26*SIN(F872*PI()/180)+Tableau!$H$25</f>
        <v>11802.633262185187</v>
      </c>
      <c r="J872" s="36">
        <v>869</v>
      </c>
      <c r="K872" s="37">
        <f>Tableau!$G$36*COS(J872*PI()/180)+Tableau!$G$35</f>
        <v>-9285.8365035105635</v>
      </c>
      <c r="L872" s="37">
        <f>Tableau!$G$36*SIN(J872*PI()/180)+Tableau!$H$35</f>
        <v>-12424.809625449734</v>
      </c>
      <c r="N872" s="92">
        <v>868</v>
      </c>
      <c r="O872" s="93">
        <v>434</v>
      </c>
      <c r="P872" s="96">
        <f>P871+R871*Tableau!$G$2+((1/2)*T871)*Tableau!$G$2^2</f>
        <v>77500.394446223654</v>
      </c>
      <c r="Q872" s="96">
        <f>Q871+S871*Tableau!$G$2+((1/2)*U871)*Tableau!$G$2^2</f>
        <v>-295796.19558867818</v>
      </c>
      <c r="R872" s="96">
        <f>R871+T871*Tableau!$G$2</f>
        <v>740.60257721433118</v>
      </c>
      <c r="S872" s="96">
        <f>S871+U871*Tableau!$G$2</f>
        <v>-1044.402225225185</v>
      </c>
      <c r="T872" s="96">
        <f t="shared" si="26"/>
        <v>-3.2712523977142451</v>
      </c>
      <c r="U872" s="96">
        <f t="shared" si="27"/>
        <v>12.904505128649872</v>
      </c>
      <c r="V872" s="96">
        <f>((Tableau!$G$16-P872)/(AC872^2+Tableau!$G$21^2)^(3/2))*Tableau!$G$20</f>
        <v>-1.0218375630376988</v>
      </c>
      <c r="W872" s="96">
        <f>((Tableau!$H$16-Q872)/(AC872^2+Tableau!$G$21^2)^(3/2))*Tableau!$G$20</f>
        <v>5.3898664237649276</v>
      </c>
      <c r="X872" s="96">
        <f>((Tableau!$G$25-P872)/(AD872^2+Tableau!$G$30^2)^(3/2))*Tableau!$G$29</f>
        <v>-0.52920256050309122</v>
      </c>
      <c r="Y872" s="96">
        <f>((Tableau!$H$25-Q872)/(AD872^2+Tableau!$G$30^2)^(3/2))*Tableau!$G$29</f>
        <v>1.6597689744413178</v>
      </c>
      <c r="Z872" s="96">
        <f>((Tableau!$G$35-P872)/(AE872^2+Tableau!$G$40^2)^(3/2))*Tableau!$G$39</f>
        <v>-1.7202122741734551</v>
      </c>
      <c r="AA872" s="97">
        <f>((Tableau!$H$35-Q872)/(AE872^2+Tableau!$G$40^2)^(3/2))*Tableau!$G$39</f>
        <v>5.8548697304436264</v>
      </c>
      <c r="AC872" s="110">
        <f>SQRT((Tableau!$G$16-P872)^2+(Tableau!$H$16-Q872)^2)</f>
        <v>308698.6841890277</v>
      </c>
      <c r="AD872" s="111">
        <f>SQRT((Tableau!$G$25-P872)^2+(Tableau!$H$25-Q872)^2)</f>
        <v>320963.61188408622</v>
      </c>
      <c r="AE872" s="112">
        <f>SQRT((Tableau!$G$35-P872)^2+(Tableau!$H$35-Q872)^2)</f>
        <v>292665.02787462954</v>
      </c>
    </row>
    <row r="873" spans="2:31" x14ac:dyDescent="0.25">
      <c r="B873" s="18">
        <v>870</v>
      </c>
      <c r="C873" s="19">
        <f>Tableau!$G$17*COS(B873*PI()/180)+Tableau!$G$16</f>
        <v>15669.872981077806</v>
      </c>
      <c r="D873" s="19">
        <f>Tableau!$G$17*SIN(B873*PI()/180)+Tableau!$H$16</f>
        <v>10000</v>
      </c>
      <c r="F873" s="26">
        <v>870</v>
      </c>
      <c r="G873" s="27">
        <f>Tableau!$G$26*COS(F873*PI()/180)+Tableau!$G$25</f>
        <v>-23031.088913245534</v>
      </c>
      <c r="H873" s="27">
        <f>Tableau!$G$26*SIN(F873*PI()/180)+Tableau!$H$25</f>
        <v>11750</v>
      </c>
      <c r="J873" s="34">
        <v>870</v>
      </c>
      <c r="K873" s="35">
        <f>Tableau!$G$36*COS(J873*PI()/180)+Tableau!$G$35</f>
        <v>-9330.1270189221941</v>
      </c>
      <c r="L873" s="35">
        <f>Tableau!$G$36*SIN(J873*PI()/180)+Tableau!$H$35</f>
        <v>-12500</v>
      </c>
      <c r="N873" s="98">
        <v>869</v>
      </c>
      <c r="O873" s="99">
        <v>434.5</v>
      </c>
      <c r="P873" s="101">
        <f>P872+R872*Tableau!$G$2+((1/2)*T872)*Tableau!$G$2^2</f>
        <v>77870.286828281111</v>
      </c>
      <c r="Q873" s="101">
        <f>Q872+S872*Tableau!$G$2+((1/2)*U872)*Tableau!$G$2^2</f>
        <v>-296316.78363814973</v>
      </c>
      <c r="R873" s="101">
        <f>R872+T872*Tableau!$G$2</f>
        <v>738.96695101547402</v>
      </c>
      <c r="S873" s="101">
        <f>S872+U872*Tableau!$G$2</f>
        <v>-1037.9499726608601</v>
      </c>
      <c r="T873" s="101">
        <f t="shared" si="26"/>
        <v>-3.2681254737459202</v>
      </c>
      <c r="U873" s="101">
        <f t="shared" si="27"/>
        <v>12.851595083984282</v>
      </c>
      <c r="V873" s="101">
        <f>((Tableau!$G$16-P873)/(AC873^2+Tableau!$G$21^2)^(3/2))*Tableau!$G$20</f>
        <v>-1.0226370795157016</v>
      </c>
      <c r="W873" s="101">
        <f>((Tableau!$H$16-Q873)/(AC873^2+Tableau!$G$21^2)^(3/2))*Tableau!$G$20</f>
        <v>5.36880539834711</v>
      </c>
      <c r="X873" s="101">
        <f>((Tableau!$G$25-P873)/(AD873^2+Tableau!$G$30^2)^(3/2))*Tableau!$G$29</f>
        <v>-0.52820222312664267</v>
      </c>
      <c r="Y873" s="101">
        <f>((Tableau!$H$25-Q873)/(AD873^2+Tableau!$G$30^2)^(3/2))*Tableau!$G$29</f>
        <v>1.6531800543565971</v>
      </c>
      <c r="Z873" s="101">
        <f>((Tableau!$G$35-P873)/(AE873^2+Tableau!$G$40^2)^(3/2))*Tableau!$G$39</f>
        <v>-1.7172861711035761</v>
      </c>
      <c r="AA873" s="102">
        <f>((Tableau!$H$35-Q873)/(AE873^2+Tableau!$G$40^2)^(3/2))*Tableau!$G$39</f>
        <v>5.8296096312805741</v>
      </c>
      <c r="AC873" s="113">
        <f>SQRT((Tableau!$G$16-P873)^2+(Tableau!$H$16-Q873)^2)</f>
        <v>309279.175047105</v>
      </c>
      <c r="AD873" s="114">
        <f>SQRT((Tableau!$G$25-P873)^2+(Tableau!$H$25-Q873)^2)</f>
        <v>321572.02145440306</v>
      </c>
      <c r="AE873" s="115">
        <f>SQRT((Tableau!$G$35-P873)^2+(Tableau!$H$35-Q873)^2)</f>
        <v>293268.84797999792</v>
      </c>
    </row>
    <row r="874" spans="2:31" x14ac:dyDescent="0.25">
      <c r="B874" s="20">
        <v>871</v>
      </c>
      <c r="C874" s="21">
        <f>Tableau!$G$17*COS(B874*PI()/180)+Tableau!$G$16</f>
        <v>15626.901464303024</v>
      </c>
      <c r="D874" s="21">
        <f>Tableau!$G$17*SIN(B874*PI()/180)+Tableau!$H$16</f>
        <v>9924.0481012316905</v>
      </c>
      <c r="F874" s="28">
        <v>871</v>
      </c>
      <c r="G874" s="29">
        <f>Tableau!$G$26*COS(F874*PI()/180)+Tableau!$G$25</f>
        <v>-23061.168974987882</v>
      </c>
      <c r="H874" s="29">
        <f>Tableau!$G$26*SIN(F874*PI()/180)+Tableau!$H$25</f>
        <v>11696.833670862183</v>
      </c>
      <c r="J874" s="36">
        <v>871</v>
      </c>
      <c r="K874" s="37">
        <f>Tableau!$G$36*COS(J874*PI()/180)+Tableau!$G$35</f>
        <v>-9373.0985356969759</v>
      </c>
      <c r="L874" s="37">
        <f>Tableau!$G$36*SIN(J874*PI()/180)+Tableau!$H$35</f>
        <v>-12575.95189876831</v>
      </c>
      <c r="N874" s="92">
        <v>870</v>
      </c>
      <c r="O874" s="93">
        <v>435</v>
      </c>
      <c r="P874" s="96">
        <f>P873+R873*Tableau!$G$2+((1/2)*T873)*Tableau!$G$2^2</f>
        <v>78239.361788104623</v>
      </c>
      <c r="Q874" s="96">
        <f>Q873+S873*Tableau!$G$2+((1/2)*U873)*Tableau!$G$2^2</f>
        <v>-296834.15217509464</v>
      </c>
      <c r="R874" s="96">
        <f>R873+T873*Tableau!$G$2</f>
        <v>737.3328882786011</v>
      </c>
      <c r="S874" s="96">
        <f>S873+U873*Tableau!$G$2</f>
        <v>-1031.524175118868</v>
      </c>
      <c r="T874" s="96">
        <f t="shared" si="26"/>
        <v>-3.2650268239658242</v>
      </c>
      <c r="U874" s="96">
        <f t="shared" si="27"/>
        <v>12.799265983585425</v>
      </c>
      <c r="V874" s="96">
        <f>((Tableau!$G$16-P874)/(AC874^2+Tableau!$G$21^2)^(3/2))*Tableau!$G$20</f>
        <v>-1.0234223840238423</v>
      </c>
      <c r="W874" s="96">
        <f>((Tableau!$H$16-Q874)/(AC874^2+Tableau!$G$21^2)^(3/2))*Tableau!$G$20</f>
        <v>5.3479704103235264</v>
      </c>
      <c r="X874" s="96">
        <f>((Tableau!$G$25-P874)/(AD874^2+Tableau!$G$30^2)^(3/2))*Tableau!$G$29</f>
        <v>-0.52721320741685351</v>
      </c>
      <c r="Y874" s="96">
        <f>((Tableau!$H$25-Q874)/(AD874^2+Tableau!$G$30^2)^(3/2))*Tableau!$G$29</f>
        <v>1.6466619343698774</v>
      </c>
      <c r="Z874" s="96">
        <f>((Tableau!$G$35-P874)/(AE874^2+Tableau!$G$40^2)^(3/2))*Tableau!$G$39</f>
        <v>-1.7143912325251285</v>
      </c>
      <c r="AA874" s="97">
        <f>((Tableau!$H$35-Q874)/(AE874^2+Tableau!$G$40^2)^(3/2))*Tableau!$G$39</f>
        <v>5.804633638892021</v>
      </c>
      <c r="AC874" s="110">
        <f>SQRT((Tableau!$G$16-P874)^2+(Tableau!$H$16-Q874)^2)</f>
        <v>309856.57882578421</v>
      </c>
      <c r="AD874" s="111">
        <f>SQRT((Tableau!$G$25-P874)^2+(Tableau!$H$25-Q874)^2)</f>
        <v>322177.23250649363</v>
      </c>
      <c r="AE874" s="112">
        <f>SQRT((Tableau!$G$35-P874)^2+(Tableau!$H$35-Q874)^2)</f>
        <v>293869.49600655283</v>
      </c>
    </row>
    <row r="875" spans="2:31" x14ac:dyDescent="0.25">
      <c r="B875" s="18">
        <v>872</v>
      </c>
      <c r="C875" s="19">
        <f>Tableau!$G$17*COS(B875*PI()/180)+Tableau!$G$16</f>
        <v>15585.262035705371</v>
      </c>
      <c r="D875" s="19">
        <f>Tableau!$G$17*SIN(B875*PI()/180)+Tableau!$H$16</f>
        <v>9847.3578139294641</v>
      </c>
      <c r="F875" s="26">
        <v>872</v>
      </c>
      <c r="G875" s="27">
        <f>Tableau!$G$26*COS(F875*PI()/180)+Tableau!$G$25</f>
        <v>-23090.31657500624</v>
      </c>
      <c r="H875" s="27">
        <f>Tableau!$G$26*SIN(F875*PI()/180)+Tableau!$H$25</f>
        <v>11643.150469750624</v>
      </c>
      <c r="J875" s="34">
        <v>872</v>
      </c>
      <c r="K875" s="35">
        <f>Tableau!$G$36*COS(J875*PI()/180)+Tableau!$G$35</f>
        <v>-9414.7379642946289</v>
      </c>
      <c r="L875" s="35">
        <f>Tableau!$G$36*SIN(J875*PI()/180)+Tableau!$H$35</f>
        <v>-12652.642186070536</v>
      </c>
      <c r="N875" s="98">
        <v>871</v>
      </c>
      <c r="O875" s="99">
        <v>435.5</v>
      </c>
      <c r="P875" s="101">
        <f>P874+R874*Tableau!$G$2+((1/2)*T874)*Tableau!$G$2^2</f>
        <v>78607.620103890935</v>
      </c>
      <c r="Q875" s="101">
        <f>Q874+S874*Tableau!$G$2+((1/2)*U874)*Tableau!$G$2^2</f>
        <v>-297348.31435440615</v>
      </c>
      <c r="R875" s="101">
        <f>R874+T874*Tableau!$G$2</f>
        <v>735.70037486661818</v>
      </c>
      <c r="S875" s="101">
        <f>S874+U874*Tableau!$G$2</f>
        <v>-1025.1245421270753</v>
      </c>
      <c r="T875" s="101">
        <f t="shared" si="26"/>
        <v>-3.2619565513814015</v>
      </c>
      <c r="U875" s="101">
        <f t="shared" si="27"/>
        <v>12.747509563573598</v>
      </c>
      <c r="V875" s="101">
        <f>((Tableau!$G$16-P875)/(AC875^2+Tableau!$G$21^2)^(3/2))*Tableau!$G$20</f>
        <v>-1.0241939358108068</v>
      </c>
      <c r="W875" s="101">
        <f>((Tableau!$H$16-Q875)/(AC875^2+Tableau!$G$21^2)^(3/2))*Tableau!$G$20</f>
        <v>5.3273583597229344</v>
      </c>
      <c r="X875" s="101">
        <f>((Tableau!$G$25-P875)/(AD875^2+Tableau!$G$30^2)^(3/2))*Tableau!$G$29</f>
        <v>-0.52623539638019379</v>
      </c>
      <c r="Y875" s="101">
        <f>((Tableau!$H$25-Q875)/(AD875^2+Tableau!$G$30^2)^(3/2))*Tableau!$G$29</f>
        <v>1.6402136250796033</v>
      </c>
      <c r="Z875" s="101">
        <f>((Tableau!$G$35-P875)/(AE875^2+Tableau!$G$40^2)^(3/2))*Tableau!$G$39</f>
        <v>-1.7115272191904012</v>
      </c>
      <c r="AA875" s="102">
        <f>((Tableau!$H$35-Q875)/(AE875^2+Tableau!$G$40^2)^(3/2))*Tableau!$G$39</f>
        <v>5.7799375787710598</v>
      </c>
      <c r="AC875" s="113">
        <f>SQRT((Tableau!$G$16-P875)^2+(Tableau!$H$16-Q875)^2)</f>
        <v>310430.90680369572</v>
      </c>
      <c r="AD875" s="114">
        <f>SQRT((Tableau!$G$25-P875)^2+(Tableau!$H$25-Q875)^2)</f>
        <v>322779.25751052861</v>
      </c>
      <c r="AE875" s="115">
        <f>SQRT((Tableau!$G$35-P875)^2+(Tableau!$H$35-Q875)^2)</f>
        <v>294466.98415647738</v>
      </c>
    </row>
    <row r="876" spans="2:31" x14ac:dyDescent="0.25">
      <c r="B876" s="20">
        <v>873</v>
      </c>
      <c r="C876" s="21">
        <f>Tableau!$G$17*COS(B876*PI()/180)+Tableau!$G$16</f>
        <v>15544.96737905816</v>
      </c>
      <c r="D876" s="21">
        <f>Tableau!$G$17*SIN(B876*PI()/180)+Tableau!$H$16</f>
        <v>9769.9524986977322</v>
      </c>
      <c r="F876" s="28">
        <v>873</v>
      </c>
      <c r="G876" s="29">
        <f>Tableau!$G$26*COS(F876*PI()/180)+Tableau!$G$25</f>
        <v>-23118.522834659288</v>
      </c>
      <c r="H876" s="29">
        <f>Tableau!$G$26*SIN(F876*PI()/180)+Tableau!$H$25</f>
        <v>11588.966749088413</v>
      </c>
      <c r="J876" s="36">
        <v>873</v>
      </c>
      <c r="K876" s="37">
        <f>Tableau!$G$36*COS(J876*PI()/180)+Tableau!$G$35</f>
        <v>-9455.0326209418399</v>
      </c>
      <c r="L876" s="37">
        <f>Tableau!$G$36*SIN(J876*PI()/180)+Tableau!$H$35</f>
        <v>-12730.047501302268</v>
      </c>
      <c r="N876" s="92">
        <v>872</v>
      </c>
      <c r="O876" s="93">
        <v>436</v>
      </c>
      <c r="P876" s="96">
        <f>P875+R875*Tableau!$G$2+((1/2)*T875)*Tableau!$G$2^2</f>
        <v>78975.062546755333</v>
      </c>
      <c r="Q876" s="96">
        <f>Q875+S875*Tableau!$G$2+((1/2)*U875)*Tableau!$G$2^2</f>
        <v>-297859.28318677429</v>
      </c>
      <c r="R876" s="96">
        <f>R875+T875*Tableau!$G$2</f>
        <v>734.06939659092745</v>
      </c>
      <c r="S876" s="96">
        <f>S875+U875*Tableau!$G$2</f>
        <v>-1018.7507873452885</v>
      </c>
      <c r="T876" s="96">
        <f t="shared" si="26"/>
        <v>-3.2589147521100124</v>
      </c>
      <c r="U876" s="96">
        <f t="shared" si="27"/>
        <v>12.69631771819553</v>
      </c>
      <c r="V876" s="96">
        <f>((Tableau!$G$16-P876)/(AC876^2+Tableau!$G$21^2)^(3/2))*Tableau!$G$20</f>
        <v>-1.0249521827220653</v>
      </c>
      <c r="W876" s="96">
        <f>((Tableau!$H$16-Q876)/(AC876^2+Tableau!$G$21^2)^(3/2))*Tableau!$G$20</f>
        <v>5.3069662040392185</v>
      </c>
      <c r="X876" s="96">
        <f>((Tableau!$G$25-P876)/(AD876^2+Tableau!$G$30^2)^(3/2))*Tableau!$G$29</f>
        <v>-0.52526867496393859</v>
      </c>
      <c r="Y876" s="96">
        <f>((Tableau!$H$25-Q876)/(AD876^2+Tableau!$G$30^2)^(3/2))*Tableau!$G$29</f>
        <v>1.6338341557346774</v>
      </c>
      <c r="Z876" s="96">
        <f>((Tableau!$G$35-P876)/(AE876^2+Tableau!$G$40^2)^(3/2))*Tableau!$G$39</f>
        <v>-1.7086938944240087</v>
      </c>
      <c r="AA876" s="97">
        <f>((Tableau!$H$35-Q876)/(AE876^2+Tableau!$G$40^2)^(3/2))*Tableau!$G$39</f>
        <v>5.7555173584216357</v>
      </c>
      <c r="AC876" s="110">
        <f>SQRT((Tableau!$G$16-P876)^2+(Tableau!$H$16-Q876)^2)</f>
        <v>311002.1701383036</v>
      </c>
      <c r="AD876" s="111">
        <f>SQRT((Tableau!$G$25-P876)^2+(Tableau!$H$25-Q876)^2)</f>
        <v>323378.10879898566</v>
      </c>
      <c r="AE876" s="112">
        <f>SQRT((Tableau!$G$35-P876)^2+(Tableau!$H$35-Q876)^2)</f>
        <v>295061.32449825958</v>
      </c>
    </row>
    <row r="877" spans="2:31" x14ac:dyDescent="0.25">
      <c r="B877" s="18">
        <v>874</v>
      </c>
      <c r="C877" s="19">
        <f>Tableau!$G$17*COS(B877*PI()/180)+Tableau!$G$16</f>
        <v>15506.029768504166</v>
      </c>
      <c r="D877" s="19">
        <f>Tableau!$G$17*SIN(B877*PI()/180)+Tableau!$H$16</f>
        <v>9691.855733945391</v>
      </c>
      <c r="F877" s="26">
        <v>874</v>
      </c>
      <c r="G877" s="27">
        <f>Tableau!$G$26*COS(F877*PI()/180)+Tableau!$G$25</f>
        <v>-23145.779162047082</v>
      </c>
      <c r="H877" s="27">
        <f>Tableau!$G$26*SIN(F877*PI()/180)+Tableau!$H$25</f>
        <v>11534.299013761774</v>
      </c>
      <c r="J877" s="34">
        <v>874</v>
      </c>
      <c r="K877" s="35">
        <f>Tableau!$G$36*COS(J877*PI()/180)+Tableau!$G$35</f>
        <v>-9493.970231495834</v>
      </c>
      <c r="L877" s="35">
        <f>Tableau!$G$36*SIN(J877*PI()/180)+Tableau!$H$35</f>
        <v>-12808.144266054609</v>
      </c>
      <c r="N877" s="98">
        <v>873</v>
      </c>
      <c r="O877" s="99">
        <v>436.5</v>
      </c>
      <c r="P877" s="101">
        <f>P876+R876*Tableau!$G$2+((1/2)*T876)*Tableau!$G$2^2</f>
        <v>79341.689880706777</v>
      </c>
      <c r="Q877" s="101">
        <f>Q876+S876*Tableau!$G$2+((1/2)*U876)*Tableau!$G$2^2</f>
        <v>-298367.07154073217</v>
      </c>
      <c r="R877" s="101">
        <f>R876+T876*Tableau!$G$2</f>
        <v>732.43993921487242</v>
      </c>
      <c r="S877" s="101">
        <f>S876+U876*Tableau!$G$2</f>
        <v>-1012.4026284861907</v>
      </c>
      <c r="T877" s="101">
        <f t="shared" si="26"/>
        <v>-3.2559015156620887</v>
      </c>
      <c r="U877" s="101">
        <f t="shared" si="27"/>
        <v>12.64568249614096</v>
      </c>
      <c r="V877" s="101">
        <f>((Tableau!$G$16-P877)/(AC877^2+Tableau!$G$21^2)^(3/2))*Tableau!$G$20</f>
        <v>-1.0256975615270854</v>
      </c>
      <c r="W877" s="101">
        <f>((Tableau!$H$16-Q877)/(AC877^2+Tableau!$G$21^2)^(3/2))*Tableau!$G$20</f>
        <v>5.2867909569383329</v>
      </c>
      <c r="X877" s="101">
        <f>((Tableau!$G$25-P877)/(AD877^2+Tableau!$G$30^2)^(3/2))*Tableau!$G$29</f>
        <v>-0.52431293001877599</v>
      </c>
      <c r="Y877" s="101">
        <f>((Tableau!$H$25-Q877)/(AD877^2+Tableau!$G$30^2)^(3/2))*Tableau!$G$29</f>
        <v>1.6275225738054508</v>
      </c>
      <c r="Z877" s="101">
        <f>((Tableau!$G$35-P877)/(AE877^2+Tableau!$G$40^2)^(3/2))*Tableau!$G$39</f>
        <v>-1.7058910241162277</v>
      </c>
      <c r="AA877" s="102">
        <f>((Tableau!$H$35-Q877)/(AE877^2+Tableau!$G$40^2)^(3/2))*Tableau!$G$39</f>
        <v>5.7313689653971762</v>
      </c>
      <c r="AC877" s="113">
        <f>SQRT((Tableau!$G$16-P877)^2+(Tableau!$H$16-Q877)^2)</f>
        <v>311570.37986753706</v>
      </c>
      <c r="AD877" s="114">
        <f>SQRT((Tableau!$G$25-P877)^2+(Tableau!$H$25-Q877)^2)</f>
        <v>323973.79856859031</v>
      </c>
      <c r="AE877" s="115">
        <f>SQRT((Tableau!$G$35-P877)^2+(Tableau!$H$35-Q877)^2)</f>
        <v>295652.52896855748</v>
      </c>
    </row>
    <row r="878" spans="2:31" x14ac:dyDescent="0.25">
      <c r="B878" s="20">
        <v>875</v>
      </c>
      <c r="C878" s="21">
        <f>Tableau!$G$17*COS(B878*PI()/180)+Tableau!$G$16</f>
        <v>15468.461064816755</v>
      </c>
      <c r="D878" s="21">
        <f>Tableau!$G$17*SIN(B878*PI()/180)+Tableau!$H$16</f>
        <v>9613.091308703506</v>
      </c>
      <c r="F878" s="28">
        <v>875</v>
      </c>
      <c r="G878" s="29">
        <f>Tableau!$G$26*COS(F878*PI()/180)+Tableau!$G$25</f>
        <v>-23172.077254628271</v>
      </c>
      <c r="H878" s="29">
        <f>Tableau!$G$26*SIN(F878*PI()/180)+Tableau!$H$25</f>
        <v>11479.163916092453</v>
      </c>
      <c r="J878" s="36">
        <v>875</v>
      </c>
      <c r="K878" s="37">
        <f>Tableau!$G$36*COS(J878*PI()/180)+Tableau!$G$35</f>
        <v>-9531.5389351832455</v>
      </c>
      <c r="L878" s="37">
        <f>Tableau!$G$36*SIN(J878*PI()/180)+Tableau!$H$35</f>
        <v>-12886.908691296494</v>
      </c>
      <c r="N878" s="92">
        <v>874</v>
      </c>
      <c r="O878" s="93">
        <v>437</v>
      </c>
      <c r="P878" s="96">
        <f>P877+R877*Tableau!$G$2+((1/2)*T877)*Tableau!$G$2^2</f>
        <v>79707.502862624751</v>
      </c>
      <c r="Q878" s="96">
        <f>Q877+S877*Tableau!$G$2+((1/2)*U877)*Tableau!$G$2^2</f>
        <v>-298871.69214466325</v>
      </c>
      <c r="R878" s="96">
        <f>R877+T877*Tableau!$G$2</f>
        <v>730.81198845704137</v>
      </c>
      <c r="S878" s="96">
        <f>S877+U877*Tableau!$G$2</f>
        <v>-1006.0797872381202</v>
      </c>
      <c r="T878" s="96">
        <f t="shared" si="26"/>
        <v>-3.2529169252136239</v>
      </c>
      <c r="U878" s="96">
        <f t="shared" si="27"/>
        <v>12.595596096960753</v>
      </c>
      <c r="V878" s="96">
        <f>((Tableau!$G$16-P878)/(AC878^2+Tableau!$G$21^2)^(3/2))*Tableau!$G$20</f>
        <v>-1.0264304982361008</v>
      </c>
      <c r="W878" s="96">
        <f>((Tableau!$H$16-Q878)/(AC878^2+Tableau!$G$21^2)^(3/2))*Tableau!$G$20</f>
        <v>5.2668296869995714</v>
      </c>
      <c r="X878" s="96">
        <f>((Tableau!$G$25-P878)/(AD878^2+Tableau!$G$30^2)^(3/2))*Tableau!$G$29</f>
        <v>-0.52336805026232824</v>
      </c>
      <c r="Y878" s="96">
        <f>((Tableau!$H$25-Q878)/(AD878^2+Tableau!$G$30^2)^(3/2))*Tableau!$G$29</f>
        <v>1.6212779445665382</v>
      </c>
      <c r="Z878" s="96">
        <f>((Tableau!$G$35-P878)/(AE878^2+Tableau!$G$40^2)^(3/2))*Tableau!$G$39</f>
        <v>-1.7031183767151952</v>
      </c>
      <c r="AA878" s="97">
        <f>((Tableau!$H$35-Q878)/(AE878^2+Tableau!$G$40^2)^(3/2))*Tableau!$G$39</f>
        <v>5.7074884653946434</v>
      </c>
      <c r="AC878" s="110">
        <f>SQRT((Tableau!$G$16-P878)^2+(Tableau!$H$16-Q878)^2)</f>
        <v>312135.54691139335</v>
      </c>
      <c r="AD878" s="111">
        <f>SQRT((Tableau!$G$25-P878)^2+(Tableau!$H$25-Q878)^2)</f>
        <v>324566.3388822198</v>
      </c>
      <c r="AE878" s="112">
        <f>SQRT((Tableau!$G$35-P878)^2+(Tableau!$H$35-Q878)^2)</f>
        <v>296240.60937402904</v>
      </c>
    </row>
    <row r="879" spans="2:31" x14ac:dyDescent="0.25">
      <c r="B879" s="18">
        <v>876</v>
      </c>
      <c r="C879" s="19">
        <f>Tableau!$G$17*COS(B879*PI()/180)+Tableau!$G$16</f>
        <v>15432.272711786994</v>
      </c>
      <c r="D879" s="19">
        <f>Tableau!$G$17*SIN(B879*PI()/180)+Tableau!$H$16</f>
        <v>9533.6832153789983</v>
      </c>
      <c r="F879" s="26">
        <v>876</v>
      </c>
      <c r="G879" s="27">
        <f>Tableau!$G$26*COS(F879*PI()/180)+Tableau!$G$25</f>
        <v>-23197.409101749105</v>
      </c>
      <c r="H879" s="27">
        <f>Tableau!$G$26*SIN(F879*PI()/180)+Tableau!$H$25</f>
        <v>11423.578250765298</v>
      </c>
      <c r="J879" s="34">
        <v>876</v>
      </c>
      <c r="K879" s="35">
        <f>Tableau!$G$36*COS(J879*PI()/180)+Tableau!$G$35</f>
        <v>-9567.7272882130055</v>
      </c>
      <c r="L879" s="35">
        <f>Tableau!$G$36*SIN(J879*PI()/180)+Tableau!$H$35</f>
        <v>-12966.316784621002</v>
      </c>
      <c r="N879" s="98">
        <v>875</v>
      </c>
      <c r="O879" s="99">
        <v>437.5</v>
      </c>
      <c r="P879" s="101">
        <f>P878+R878*Tableau!$G$2+((1/2)*T878)*Tableau!$G$2^2</f>
        <v>80072.502242237621</v>
      </c>
      <c r="Q879" s="101">
        <f>Q878+S878*Tableau!$G$2+((1/2)*U878)*Tableau!$G$2^2</f>
        <v>-299373.15758877021</v>
      </c>
      <c r="R879" s="101">
        <f>R878+T878*Tableau!$G$2</f>
        <v>729.18552999443455</v>
      </c>
      <c r="S879" s="101">
        <f>S878+U878*Tableau!$G$2</f>
        <v>-999.78198918963983</v>
      </c>
      <c r="T879" s="101">
        <f t="shared" si="26"/>
        <v>-3.2499610578686404</v>
      </c>
      <c r="U879" s="101">
        <f t="shared" si="27"/>
        <v>12.546050867584153</v>
      </c>
      <c r="V879" s="101">
        <f>((Tableau!$G$16-P879)/(AC879^2+Tableau!$G$21^2)^(3/2))*Tableau!$G$20</f>
        <v>-1.0271514084068463</v>
      </c>
      <c r="W879" s="101">
        <f>((Tableau!$H$16-Q879)/(AC879^2+Tableau!$G$21^2)^(3/2))*Tableau!$G$20</f>
        <v>5.2470795164902793</v>
      </c>
      <c r="X879" s="101">
        <f>((Tableau!$G$25-P879)/(AD879^2+Tableau!$G$30^2)^(3/2))*Tableau!$G$29</f>
        <v>-0.52243392624352525</v>
      </c>
      <c r="Y879" s="101">
        <f>((Tableau!$H$25-Q879)/(AD879^2+Tableau!$G$30^2)^(3/2))*Tableau!$G$29</f>
        <v>1.6150993506909646</v>
      </c>
      <c r="Z879" s="101">
        <f>((Tableau!$G$35-P879)/(AE879^2+Tableau!$G$40^2)^(3/2))*Tableau!$G$39</f>
        <v>-1.7003757232182692</v>
      </c>
      <c r="AA879" s="102">
        <f>((Tableau!$H$35-Q879)/(AE879^2+Tableau!$G$40^2)^(3/2))*Tableau!$G$39</f>
        <v>5.683872000402908</v>
      </c>
      <c r="AC879" s="113">
        <f>SQRT((Tableau!$G$16-P879)^2+(Tableau!$H$16-Q879)^2)</f>
        <v>312697.68207350984</v>
      </c>
      <c r="AD879" s="114">
        <f>SQRT((Tableau!$G$25-P879)^2+(Tableau!$H$25-Q879)^2)</f>
        <v>325155.74167077028</v>
      </c>
      <c r="AE879" s="115">
        <f>SQRT((Tableau!$G$35-P879)^2+(Tableau!$H$35-Q879)^2)</f>
        <v>296825.57739312673</v>
      </c>
    </row>
    <row r="880" spans="2:31" x14ac:dyDescent="0.25">
      <c r="B880" s="20">
        <v>877</v>
      </c>
      <c r="C880" s="21">
        <f>Tableau!$G$17*COS(B880*PI()/180)+Tableau!$G$16</f>
        <v>15397.475732737799</v>
      </c>
      <c r="D880" s="21">
        <f>Tableau!$G$17*SIN(B880*PI()/180)+Tableau!$H$16</f>
        <v>9453.6556424463706</v>
      </c>
      <c r="F880" s="28">
        <v>877</v>
      </c>
      <c r="G880" s="29">
        <f>Tableau!$G$26*COS(F880*PI()/180)+Tableau!$G$25</f>
        <v>-23221.766987083542</v>
      </c>
      <c r="H880" s="29">
        <f>Tableau!$G$26*SIN(F880*PI()/180)+Tableau!$H$25</f>
        <v>11367.55894971246</v>
      </c>
      <c r="J880" s="36">
        <v>877</v>
      </c>
      <c r="K880" s="37">
        <f>Tableau!$G$36*COS(J880*PI()/180)+Tableau!$G$35</f>
        <v>-9602.5242672622007</v>
      </c>
      <c r="L880" s="37">
        <f>Tableau!$G$36*SIN(J880*PI()/180)+Tableau!$H$35</f>
        <v>-13046.344357553629</v>
      </c>
      <c r="N880" s="92">
        <v>876</v>
      </c>
      <c r="O880" s="93">
        <v>438</v>
      </c>
      <c r="P880" s="96">
        <f>P879+R879*Tableau!$G$2+((1/2)*T879)*Tableau!$G$2^2</f>
        <v>80436.688762102596</v>
      </c>
      <c r="Q880" s="96">
        <f>Q879+S879*Tableau!$G$2+((1/2)*U879)*Tableau!$G$2^2</f>
        <v>-299871.4803270066</v>
      </c>
      <c r="R880" s="96">
        <f>R879+T879*Tableau!$G$2</f>
        <v>727.56054946550023</v>
      </c>
      <c r="S880" s="96">
        <f>S879+U879*Tableau!$G$2</f>
        <v>-993.50896375584773</v>
      </c>
      <c r="T880" s="96">
        <f t="shared" si="26"/>
        <v>-3.2470339849117691</v>
      </c>
      <c r="U880" s="96">
        <f t="shared" si="27"/>
        <v>12.49703929893121</v>
      </c>
      <c r="V880" s="96">
        <f>((Tableau!$G$16-P880)/(AC880^2+Tableau!$G$21^2)^(3/2))*Tableau!$G$20</f>
        <v>-1.0278606974416729</v>
      </c>
      <c r="W880" s="96">
        <f>((Tableau!$H$16-Q880)/(AC880^2+Tableau!$G$21^2)^(3/2))*Tableau!$G$20</f>
        <v>5.2275376201733028</v>
      </c>
      <c r="X880" s="96">
        <f>((Tableau!$G$25-P880)/(AD880^2+Tableau!$G$30^2)^(3/2))*Tableau!$G$29</f>
        <v>-0.52151045030781951</v>
      </c>
      <c r="Y880" s="96">
        <f>((Tableau!$H$25-Q880)/(AD880^2+Tableau!$G$30^2)^(3/2))*Tableau!$G$29</f>
        <v>1.6089858918553299</v>
      </c>
      <c r="Z880" s="96">
        <f>((Tableau!$G$35-P880)/(AE880^2+Tableau!$G$40^2)^(3/2))*Tableau!$G$39</f>
        <v>-1.6976628371622768</v>
      </c>
      <c r="AA880" s="97">
        <f>((Tableau!$H$35-Q880)/(AE880^2+Tableau!$G$40^2)^(3/2))*Tableau!$G$39</f>
        <v>5.660515786902578</v>
      </c>
      <c r="AC880" s="110">
        <f>SQRT((Tableau!$G$16-P880)^2+(Tableau!$H$16-Q880)^2)</f>
        <v>313256.79604270787</v>
      </c>
      <c r="AD880" s="111">
        <f>SQRT((Tableau!$G$25-P880)^2+(Tableau!$H$25-Q880)^2)</f>
        <v>325742.01873498899</v>
      </c>
      <c r="AE880" s="112">
        <f>SQRT((Tableau!$G$35-P880)^2+(Tableau!$H$35-Q880)^2)</f>
        <v>297407.44457785937</v>
      </c>
    </row>
    <row r="881" spans="2:31" x14ac:dyDescent="0.25">
      <c r="B881" s="18">
        <v>878</v>
      </c>
      <c r="C881" s="19">
        <f>Tableau!$G$17*COS(B881*PI()/180)+Tableau!$G$16</f>
        <v>15364.080727166067</v>
      </c>
      <c r="D881" s="19">
        <f>Tableau!$G$17*SIN(B881*PI()/180)+Tableau!$H$16</f>
        <v>9373.0329670795672</v>
      </c>
      <c r="F881" s="26">
        <v>878</v>
      </c>
      <c r="G881" s="27">
        <f>Tableau!$G$26*COS(F881*PI()/180)+Tableau!$G$25</f>
        <v>-23245.143490983755</v>
      </c>
      <c r="H881" s="27">
        <f>Tableau!$G$26*SIN(F881*PI()/180)+Tableau!$H$25</f>
        <v>11311.123076955697</v>
      </c>
      <c r="J881" s="34">
        <v>878</v>
      </c>
      <c r="K881" s="35">
        <f>Tableau!$G$36*COS(J881*PI()/180)+Tableau!$G$35</f>
        <v>-9635.9192728339331</v>
      </c>
      <c r="L881" s="35">
        <f>Tableau!$G$36*SIN(J881*PI()/180)+Tableau!$H$35</f>
        <v>-13126.967032920433</v>
      </c>
      <c r="N881" s="98">
        <v>877</v>
      </c>
      <c r="O881" s="99">
        <v>438.5</v>
      </c>
      <c r="P881" s="101">
        <f>P880+R880*Tableau!$G$2+((1/2)*T880)*Tableau!$G$2^2</f>
        <v>80800.063157587239</v>
      </c>
      <c r="Q881" s="101">
        <f>Q880+S880*Tableau!$G$2+((1/2)*U880)*Tableau!$G$2^2</f>
        <v>-300366.67267897213</v>
      </c>
      <c r="R881" s="101">
        <f>R880+T880*Tableau!$G$2</f>
        <v>725.93703247304438</v>
      </c>
      <c r="S881" s="101">
        <f>S880+U880*Tableau!$G$2</f>
        <v>-987.26044410638212</v>
      </c>
      <c r="T881" s="101">
        <f t="shared" si="26"/>
        <v>-3.2441357720515098</v>
      </c>
      <c r="U881" s="101">
        <f t="shared" si="27"/>
        <v>12.448554022617927</v>
      </c>
      <c r="V881" s="101">
        <f>((Tableau!$G$16-P881)/(AC881^2+Tableau!$G$21^2)^(3/2))*Tableau!$G$20</f>
        <v>-1.0285587608753217</v>
      </c>
      <c r="W881" s="101">
        <f>((Tableau!$H$16-Q881)/(AC881^2+Tableau!$G$21^2)^(3/2))*Tableau!$G$20</f>
        <v>5.2082012241458662</v>
      </c>
      <c r="X881" s="101">
        <f>((Tableau!$G$25-P881)/(AD881^2+Tableau!$G$30^2)^(3/2))*Tableau!$G$29</f>
        <v>-0.52059751656321784</v>
      </c>
      <c r="Y881" s="101">
        <f>((Tableau!$H$25-Q881)/(AD881^2+Tableau!$G$30^2)^(3/2))*Tableau!$G$29</f>
        <v>1.6029366843556399</v>
      </c>
      <c r="Z881" s="101">
        <f>((Tableau!$G$35-P881)/(AE881^2+Tableau!$G$40^2)^(3/2))*Tableau!$G$39</f>
        <v>-1.6949794946129699</v>
      </c>
      <c r="AA881" s="102">
        <f>((Tableau!$H$35-Q881)/(AE881^2+Tableau!$G$40^2)^(3/2))*Tableau!$G$39</f>
        <v>5.6374161141164212</v>
      </c>
      <c r="AC881" s="113">
        <f>SQRT((Tableau!$G$16-P881)^2+(Tableau!$H$16-Q881)^2)</f>
        <v>313812.89939450857</v>
      </c>
      <c r="AD881" s="114">
        <f>SQRT((Tableau!$G$25-P881)^2+(Tableau!$H$25-Q881)^2)</f>
        <v>326325.18174727156</v>
      </c>
      <c r="AE881" s="115">
        <f>SQRT((Tableau!$G$35-P881)^2+(Tableau!$H$35-Q881)^2)</f>
        <v>297986.22235552029</v>
      </c>
    </row>
    <row r="882" spans="2:31" x14ac:dyDescent="0.25">
      <c r="B882" s="20">
        <v>879</v>
      </c>
      <c r="C882" s="21">
        <f>Tableau!$G$17*COS(B882*PI()/180)+Tableau!$G$16</f>
        <v>15332.097867513992</v>
      </c>
      <c r="D882" s="21">
        <f>Tableau!$G$17*SIN(B882*PI()/180)+Tableau!$H$16</f>
        <v>9291.8397477265062</v>
      </c>
      <c r="F882" s="28">
        <v>879</v>
      </c>
      <c r="G882" s="29">
        <f>Tableau!$G$26*COS(F882*PI()/180)+Tableau!$G$25</f>
        <v>-23267.531492740207</v>
      </c>
      <c r="H882" s="29">
        <f>Tableau!$G$26*SIN(F882*PI()/180)+Tableau!$H$25</f>
        <v>11254.287823408555</v>
      </c>
      <c r="J882" s="36">
        <v>879</v>
      </c>
      <c r="K882" s="37">
        <f>Tableau!$G$36*COS(J882*PI()/180)+Tableau!$G$35</f>
        <v>-9667.9021324860078</v>
      </c>
      <c r="L882" s="37">
        <f>Tableau!$G$36*SIN(J882*PI()/180)+Tableau!$H$35</f>
        <v>-13208.160252273494</v>
      </c>
      <c r="N882" s="92">
        <v>878</v>
      </c>
      <c r="O882" s="93">
        <v>439</v>
      </c>
      <c r="P882" s="96">
        <f>P881+R881*Tableau!$G$2+((1/2)*T881)*Tableau!$G$2^2</f>
        <v>81162.62615685226</v>
      </c>
      <c r="Q882" s="96">
        <f>Q881+S881*Tableau!$G$2+((1/2)*U881)*Tableau!$G$2^2</f>
        <v>-300858.7468317725</v>
      </c>
      <c r="R882" s="96">
        <f>R881+T881*Tableau!$G$2</f>
        <v>724.31496458701861</v>
      </c>
      <c r="S882" s="96">
        <f>S881+U881*Tableau!$G$2</f>
        <v>-981.03616709507321</v>
      </c>
      <c r="T882" s="96">
        <f t="shared" si="26"/>
        <v>-3.2412664796545192</v>
      </c>
      <c r="U882" s="96">
        <f t="shared" si="27"/>
        <v>12.400587807751076</v>
      </c>
      <c r="V882" s="96">
        <f>((Tableau!$G$16-P882)/(AC882^2+Tableau!$G$21^2)^(3/2))*Tableau!$G$20</f>
        <v>-1.0292459846536719</v>
      </c>
      <c r="W882" s="96">
        <f>((Tableau!$H$16-Q882)/(AC882^2+Tableau!$G$21^2)^(3/2))*Tableau!$G$20</f>
        <v>5.1890676047088471</v>
      </c>
      <c r="X882" s="96">
        <f>((Tableau!$G$25-P882)/(AD882^2+Tableau!$G$30^2)^(3/2))*Tableau!$G$29</f>
        <v>-0.51969502084710262</v>
      </c>
      <c r="Y882" s="96">
        <f>((Tableau!$H$25-Q882)/(AD882^2+Tableau!$G$30^2)^(3/2))*Tableau!$G$29</f>
        <v>1.5969508607334573</v>
      </c>
      <c r="Z882" s="96">
        <f>((Tableau!$G$35-P882)/(AE882^2+Tableau!$G$40^2)^(3/2))*Tableau!$G$39</f>
        <v>-1.6923254741537443</v>
      </c>
      <c r="AA882" s="97">
        <f>((Tableau!$H$35-Q882)/(AE882^2+Tableau!$G$40^2)^(3/2))*Tableau!$G$39</f>
        <v>5.6145693423087719</v>
      </c>
      <c r="AC882" s="110">
        <f>SQRT((Tableau!$G$16-P882)^2+(Tableau!$H$16-Q882)^2)</f>
        <v>314366.00259262137</v>
      </c>
      <c r="AD882" s="111">
        <f>SQRT((Tableau!$G$25-P882)^2+(Tableau!$H$25-Q882)^2)</f>
        <v>326905.24225342588</v>
      </c>
      <c r="AE882" s="112">
        <f>SQRT((Tableau!$G$35-P882)^2+(Tableau!$H$35-Q882)^2)</f>
        <v>298561.92203038366</v>
      </c>
    </row>
    <row r="883" spans="2:31" x14ac:dyDescent="0.25">
      <c r="B883" s="18">
        <v>880</v>
      </c>
      <c r="C883" s="19">
        <f>Tableau!$G$17*COS(B883*PI()/180)+Tableau!$G$16</f>
        <v>15301.536896070458</v>
      </c>
      <c r="D883" s="19">
        <f>Tableau!$G$17*SIN(B883*PI()/180)+Tableau!$H$16</f>
        <v>9210.1007166283453</v>
      </c>
      <c r="F883" s="26">
        <v>880</v>
      </c>
      <c r="G883" s="27">
        <f>Tableau!$G$26*COS(F883*PI()/180)+Tableau!$G$25</f>
        <v>-23288.924172750678</v>
      </c>
      <c r="H883" s="27">
        <f>Tableau!$G$26*SIN(F883*PI()/180)+Tableau!$H$25</f>
        <v>11197.070501639841</v>
      </c>
      <c r="J883" s="34">
        <v>880</v>
      </c>
      <c r="K883" s="35">
        <f>Tableau!$G$36*COS(J883*PI()/180)+Tableau!$G$35</f>
        <v>-9698.4631039295418</v>
      </c>
      <c r="L883" s="35">
        <f>Tableau!$G$36*SIN(J883*PI()/180)+Tableau!$H$35</f>
        <v>-13289.899283371655</v>
      </c>
      <c r="N883" s="98">
        <v>879</v>
      </c>
      <c r="O883" s="99">
        <v>439.5</v>
      </c>
      <c r="P883" s="101">
        <f>P882+R882*Tableau!$G$2+((1/2)*T882)*Tableau!$G$2^2</f>
        <v>81524.378480835818</v>
      </c>
      <c r="Q883" s="101">
        <f>Q882+S882*Tableau!$G$2+((1/2)*U882)*Tableau!$G$2^2</f>
        <v>-301347.71484184405</v>
      </c>
      <c r="R883" s="101">
        <f>R882+T882*Tableau!$G$2</f>
        <v>722.69433134719134</v>
      </c>
      <c r="S883" s="101">
        <f>S882+U882*Tableau!$G$2</f>
        <v>-974.83587319119772</v>
      </c>
      <c r="T883" s="101">
        <f t="shared" si="26"/>
        <v>-3.2384261629712214</v>
      </c>
      <c r="U883" s="101">
        <f t="shared" si="27"/>
        <v>12.353133557809745</v>
      </c>
      <c r="V883" s="101">
        <f>((Tableau!$G$16-P883)/(AC883^2+Tableau!$G$21^2)^(3/2))*Tableau!$G$20</f>
        <v>-1.0299227454038198</v>
      </c>
      <c r="W883" s="101">
        <f>((Tableau!$H$16-Q883)/(AC883^2+Tableau!$G$21^2)^(3/2))*Tableau!$G$20</f>
        <v>5.1701340872657413</v>
      </c>
      <c r="X883" s="101">
        <f>((Tableau!$G$25-P883)/(AD883^2+Tableau!$G$30^2)^(3/2))*Tableau!$G$29</f>
        <v>-0.51880286069384818</v>
      </c>
      <c r="Y883" s="101">
        <f>((Tableau!$H$25-Q883)/(AD883^2+Tableau!$G$30^2)^(3/2))*Tableau!$G$29</f>
        <v>1.5910275694121283</v>
      </c>
      <c r="Z883" s="101">
        <f>((Tableau!$G$35-P883)/(AE883^2+Tableau!$G$40^2)^(3/2))*Tableau!$G$39</f>
        <v>-1.6897005568735535</v>
      </c>
      <c r="AA883" s="102">
        <f>((Tableau!$H$35-Q883)/(AE883^2+Tableau!$G$40^2)^(3/2))*Tableau!$G$39</f>
        <v>5.5919719011318749</v>
      </c>
      <c r="AC883" s="113">
        <f>SQRT((Tableau!$G$16-P883)^2+(Tableau!$H$16-Q883)^2)</f>
        <v>314916.11599040491</v>
      </c>
      <c r="AD883" s="114">
        <f>SQRT((Tableau!$G$25-P883)^2+(Tableau!$H$25-Q883)^2)</f>
        <v>327482.21167440258</v>
      </c>
      <c r="AE883" s="115">
        <f>SQRT((Tableau!$G$35-P883)^2+(Tableau!$H$35-Q883)^2)</f>
        <v>299134.55478536908</v>
      </c>
    </row>
    <row r="884" spans="2:31" x14ac:dyDescent="0.25">
      <c r="B884" s="20">
        <v>881</v>
      </c>
      <c r="C884" s="21">
        <f>Tableau!$G$17*COS(B884*PI()/180)+Tableau!$G$16</f>
        <v>15272.407122003415</v>
      </c>
      <c r="D884" s="21">
        <f>Tableau!$G$17*SIN(B884*PI()/180)+Tableau!$H$16</f>
        <v>9127.840772285781</v>
      </c>
      <c r="F884" s="28">
        <v>881</v>
      </c>
      <c r="G884" s="29">
        <f>Tableau!$G$26*COS(F884*PI()/180)+Tableau!$G$25</f>
        <v>-23309.315014597611</v>
      </c>
      <c r="H884" s="29">
        <f>Tableau!$G$26*SIN(F884*PI()/180)+Tableau!$H$25</f>
        <v>11139.488540600047</v>
      </c>
      <c r="J884" s="36">
        <v>881</v>
      </c>
      <c r="K884" s="37">
        <f>Tableau!$G$36*COS(J884*PI()/180)+Tableau!$G$35</f>
        <v>-9727.5928779965852</v>
      </c>
      <c r="L884" s="37">
        <f>Tableau!$G$36*SIN(J884*PI()/180)+Tableau!$H$35</f>
        <v>-13372.159227714219</v>
      </c>
      <c r="N884" s="92">
        <v>880</v>
      </c>
      <c r="O884" s="93">
        <v>440</v>
      </c>
      <c r="P884" s="96">
        <f>P883+R883*Tableau!$G$2+((1/2)*T883)*Tableau!$G$2^2</f>
        <v>81885.320843239038</v>
      </c>
      <c r="Q884" s="96">
        <f>Q883+S883*Tableau!$G$2+((1/2)*U883)*Tableau!$G$2^2</f>
        <v>-301833.58863674494</v>
      </c>
      <c r="R884" s="96">
        <f>R883+T883*Tableau!$G$2</f>
        <v>721.07511826570578</v>
      </c>
      <c r="S884" s="96">
        <f>S883+U883*Tableau!$G$2</f>
        <v>-968.65930641229284</v>
      </c>
      <c r="T884" s="96">
        <f t="shared" si="26"/>
        <v>-3.235614872353068</v>
      </c>
      <c r="U884" s="96">
        <f t="shared" si="27"/>
        <v>12.306184307610962</v>
      </c>
      <c r="V884" s="96">
        <f>((Tableau!$G$16-P884)/(AC884^2+Tableau!$G$21^2)^(3/2))*Tableau!$G$20</f>
        <v>-1.0305894106958036</v>
      </c>
      <c r="W884" s="96">
        <f>((Tableau!$H$16-Q884)/(AC884^2+Tableau!$G$21^2)^(3/2))*Tableau!$G$20</f>
        <v>5.1513980452504917</v>
      </c>
      <c r="X884" s="96">
        <f>((Tableau!$G$25-P884)/(AD884^2+Tableau!$G$30^2)^(3/2))*Tableau!$G$29</f>
        <v>-0.51792093530314209</v>
      </c>
      <c r="Y884" s="96">
        <f>((Tableau!$H$25-Q884)/(AD884^2+Tableau!$G$30^2)^(3/2))*Tableau!$G$29</f>
        <v>1.5851659743425686</v>
      </c>
      <c r="Z884" s="96">
        <f>((Tableau!$G$35-P884)/(AE884^2+Tableau!$G$40^2)^(3/2))*Tableau!$G$39</f>
        <v>-1.6871045263541224</v>
      </c>
      <c r="AA884" s="97">
        <f>((Tableau!$H$35-Q884)/(AE884^2+Tableau!$G$40^2)^(3/2))*Tableau!$G$39</f>
        <v>5.5696202880179015</v>
      </c>
      <c r="AC884" s="110">
        <f>SQRT((Tableau!$G$16-P884)^2+(Tableau!$H$16-Q884)^2)</f>
        <v>315463.24983230227</v>
      </c>
      <c r="AD884" s="111">
        <f>SQRT((Tableau!$G$25-P884)^2+(Tableau!$H$25-Q884)^2)</f>
        <v>328056.10130799341</v>
      </c>
      <c r="AE884" s="112">
        <f>SQRT((Tableau!$G$35-P884)^2+(Tableau!$H$35-Q884)^2)</f>
        <v>299704.13168367569</v>
      </c>
    </row>
    <row r="885" spans="2:31" x14ac:dyDescent="0.25">
      <c r="B885" s="18">
        <v>882</v>
      </c>
      <c r="C885" s="19">
        <f>Tableau!$G$17*COS(B885*PI()/180)+Tableau!$G$16</f>
        <v>15244.717418524233</v>
      </c>
      <c r="D885" s="19">
        <f>Tableau!$G$17*SIN(B885*PI()/180)+Tableau!$H$16</f>
        <v>9045.0849718747395</v>
      </c>
      <c r="F885" s="26">
        <v>882</v>
      </c>
      <c r="G885" s="27">
        <f>Tableau!$G$26*COS(F885*PI()/180)+Tableau!$G$25</f>
        <v>-23328.697807033037</v>
      </c>
      <c r="H885" s="27">
        <f>Tableau!$G$26*SIN(F885*PI()/180)+Tableau!$H$25</f>
        <v>11081.559480312319</v>
      </c>
      <c r="J885" s="34">
        <v>882</v>
      </c>
      <c r="K885" s="35">
        <f>Tableau!$G$36*COS(J885*PI()/180)+Tableau!$G$35</f>
        <v>-9755.2825814757671</v>
      </c>
      <c r="L885" s="35">
        <f>Tableau!$G$36*SIN(J885*PI()/180)+Tableau!$H$35</f>
        <v>-13454.915028125261</v>
      </c>
      <c r="N885" s="98">
        <v>881</v>
      </c>
      <c r="O885" s="99">
        <v>440.5</v>
      </c>
      <c r="P885" s="101">
        <f>P884+R884*Tableau!$G$2+((1/2)*T884)*Tableau!$G$2^2</f>
        <v>82245.453950512849</v>
      </c>
      <c r="Q885" s="101">
        <f>Q884+S884*Tableau!$G$2+((1/2)*U884)*Tableau!$G$2^2</f>
        <v>-302316.38001691265</v>
      </c>
      <c r="R885" s="101">
        <f>R884+T884*Tableau!$G$2</f>
        <v>719.45731082952921</v>
      </c>
      <c r="S885" s="101">
        <f>S884+U884*Tableau!$G$2</f>
        <v>-962.50621425848738</v>
      </c>
      <c r="T885" s="101">
        <f t="shared" si="26"/>
        <v>-3.2328326534618164</v>
      </c>
      <c r="U885" s="101">
        <f t="shared" si="27"/>
        <v>12.259733220356745</v>
      </c>
      <c r="V885" s="101">
        <f>((Tableau!$G$16-P885)/(AC885^2+Tableau!$G$21^2)^(3/2))*Tableau!$G$20</f>
        <v>-1.0312463392962059</v>
      </c>
      <c r="W885" s="101">
        <f>((Tableau!$H$16-Q885)/(AC885^2+Tableau!$G$21^2)^(3/2))*Tableau!$G$20</f>
        <v>5.1328568990830057</v>
      </c>
      <c r="X885" s="101">
        <f>((Tableau!$G$25-P885)/(AD885^2+Tableau!$G$30^2)^(3/2))*Tableau!$G$29</f>
        <v>-0.51704914550909575</v>
      </c>
      <c r="Y885" s="101">
        <f>((Tableau!$H$25-Q885)/(AD885^2+Tableau!$G$30^2)^(3/2))*Tableau!$G$29</f>
        <v>1.5793652546586279</v>
      </c>
      <c r="Z885" s="101">
        <f>((Tableau!$G$35-P885)/(AE885^2+Tableau!$G$40^2)^(3/2))*Tableau!$G$39</f>
        <v>-1.6845371686565145</v>
      </c>
      <c r="AA885" s="102">
        <f>((Tableau!$H$35-Q885)/(AE885^2+Tableau!$G$40^2)^(3/2))*Tableau!$G$39</f>
        <v>5.5475110666151117</v>
      </c>
      <c r="AC885" s="113">
        <f>SQRT((Tableau!$G$16-P885)^2+(Tableau!$H$16-Q885)^2)</f>
        <v>316007.41425525042</v>
      </c>
      <c r="AD885" s="114">
        <f>SQRT((Tableau!$G$25-P885)^2+(Tableau!$H$25-Q885)^2)</f>
        <v>328626.92233049782</v>
      </c>
      <c r="AE885" s="115">
        <f>SQRT((Tableau!$G$35-P885)^2+(Tableau!$H$35-Q885)^2)</f>
        <v>300270.6636703859</v>
      </c>
    </row>
    <row r="886" spans="2:31" x14ac:dyDescent="0.25">
      <c r="B886" s="20">
        <v>883</v>
      </c>
      <c r="C886" s="21">
        <f>Tableau!$G$17*COS(B886*PI()/180)+Tableau!$G$16</f>
        <v>15218.476220184824</v>
      </c>
      <c r="D886" s="21">
        <f>Tableau!$G$17*SIN(B886*PI()/180)+Tableau!$H$16</f>
        <v>8961.8585236136914</v>
      </c>
      <c r="F886" s="28">
        <v>883</v>
      </c>
      <c r="G886" s="29">
        <f>Tableau!$G$26*COS(F886*PI()/180)+Tableau!$G$25</f>
        <v>-23347.066645870622</v>
      </c>
      <c r="H886" s="29">
        <f>Tableau!$G$26*SIN(F886*PI()/180)+Tableau!$H$25</f>
        <v>11023.300966529585</v>
      </c>
      <c r="J886" s="36">
        <v>883</v>
      </c>
      <c r="K886" s="37">
        <f>Tableau!$G$36*COS(J886*PI()/180)+Tableau!$G$35</f>
        <v>-9781.5237798151757</v>
      </c>
      <c r="L886" s="37">
        <f>Tableau!$G$36*SIN(J886*PI()/180)+Tableau!$H$35</f>
        <v>-13538.141476386309</v>
      </c>
      <c r="N886" s="92">
        <v>882</v>
      </c>
      <c r="O886" s="93">
        <v>441</v>
      </c>
      <c r="P886" s="96">
        <f>P885+R885*Tableau!$G$2+((1/2)*T885)*Tableau!$G$2^2</f>
        <v>82604.778501845925</v>
      </c>
      <c r="Q886" s="96">
        <f>Q885+S885*Tableau!$G$2+((1/2)*U885)*Tableau!$G$2^2</f>
        <v>-302796.10065738932</v>
      </c>
      <c r="R886" s="96">
        <f>R885+T885*Tableau!$G$2</f>
        <v>717.84089450279828</v>
      </c>
      <c r="S886" s="96">
        <f>S885+U885*Tableau!$G$2</f>
        <v>-956.37634764830898</v>
      </c>
      <c r="T886" s="96">
        <f t="shared" si="26"/>
        <v>-3.2300795474711594</v>
      </c>
      <c r="U886" s="96">
        <f t="shared" si="27"/>
        <v>12.213773584760229</v>
      </c>
      <c r="V886" s="96">
        <f>((Tableau!$G$16-P886)/(AC886^2+Tableau!$G$21^2)^(3/2))*Tableau!$G$20</f>
        <v>-1.0318938814139234</v>
      </c>
      <c r="W886" s="96">
        <f>((Tableau!$H$16-Q886)/(AC886^2+Tableau!$G$21^2)^(3/2))*Tableau!$G$20</f>
        <v>5.1145081151515912</v>
      </c>
      <c r="X886" s="96">
        <f>((Tableau!$G$25-P886)/(AD886^2+Tableau!$G$30^2)^(3/2))*Tableau!$G$29</f>
        <v>-0.51618739375001843</v>
      </c>
      <c r="Y886" s="96">
        <f>((Tableau!$H$25-Q886)/(AD886^2+Tableau!$G$30^2)^(3/2))*Tableau!$G$29</f>
        <v>1.573624604341419</v>
      </c>
      <c r="Z886" s="96">
        <f>((Tableau!$G$35-P886)/(AE886^2+Tableau!$G$40^2)^(3/2))*Tableau!$G$39</f>
        <v>-1.6819982723072178</v>
      </c>
      <c r="AA886" s="97">
        <f>((Tableau!$H$35-Q886)/(AE886^2+Tableau!$G$40^2)^(3/2))*Tableau!$G$39</f>
        <v>5.5256408652672189</v>
      </c>
      <c r="AC886" s="110">
        <f>SQRT((Tableau!$G$16-P886)^2+(Tableau!$H$16-Q886)^2)</f>
        <v>316548.61929006397</v>
      </c>
      <c r="AD886" s="111">
        <f>SQRT((Tableau!$G$25-P886)^2+(Tableau!$H$25-Q886)^2)</f>
        <v>329194.68579835928</v>
      </c>
      <c r="AE886" s="112">
        <f>SQRT((Tableau!$G$35-P886)^2+(Tableau!$H$35-Q886)^2)</f>
        <v>300834.16157404007</v>
      </c>
    </row>
    <row r="887" spans="2:31" x14ac:dyDescent="0.25">
      <c r="B887" s="18">
        <v>884</v>
      </c>
      <c r="C887" s="19">
        <f>Tableau!$G$17*COS(B887*PI()/180)+Tableau!$G$16</f>
        <v>15193.691520308405</v>
      </c>
      <c r="D887" s="19">
        <f>Tableau!$G$17*SIN(B887*PI()/180)+Tableau!$H$16</f>
        <v>8878.1867790849919</v>
      </c>
      <c r="F887" s="26">
        <v>884</v>
      </c>
      <c r="G887" s="27">
        <f>Tableau!$G$26*COS(F887*PI()/180)+Tableau!$G$25</f>
        <v>-23364.415935784116</v>
      </c>
      <c r="H887" s="27">
        <f>Tableau!$G$26*SIN(F887*PI()/180)+Tableau!$H$25</f>
        <v>10964.730745359495</v>
      </c>
      <c r="J887" s="34">
        <v>884</v>
      </c>
      <c r="K887" s="35">
        <f>Tableau!$G$36*COS(J887*PI()/180)+Tableau!$G$35</f>
        <v>-9806.3084796915955</v>
      </c>
      <c r="L887" s="35">
        <f>Tableau!$G$36*SIN(J887*PI()/180)+Tableau!$H$35</f>
        <v>-13621.813220915008</v>
      </c>
      <c r="N887" s="98">
        <v>883</v>
      </c>
      <c r="O887" s="99">
        <v>441.5</v>
      </c>
      <c r="P887" s="101">
        <f>P886+R886*Tableau!$G$2+((1/2)*T886)*Tableau!$G$2^2</f>
        <v>82963.295189153883</v>
      </c>
      <c r="Q887" s="101">
        <f>Q886+S886*Tableau!$G$2+((1/2)*U886)*Tableau!$G$2^2</f>
        <v>-303272.76210951537</v>
      </c>
      <c r="R887" s="101">
        <f>R886+T886*Tableau!$G$2</f>
        <v>716.22585472906269</v>
      </c>
      <c r="S887" s="101">
        <f>S886+U886*Tableau!$G$2</f>
        <v>-950.26946085592886</v>
      </c>
      <c r="T887" s="101">
        <f t="shared" si="26"/>
        <v>-3.2273555912609515</v>
      </c>
      <c r="U887" s="101">
        <f t="shared" si="27"/>
        <v>12.168298812248349</v>
      </c>
      <c r="V887" s="101">
        <f>((Tableau!$G$16-P887)/(AC887^2+Tableau!$G$21^2)^(3/2))*Tableau!$G$20</f>
        <v>-1.0325323789384675</v>
      </c>
      <c r="W887" s="101">
        <f>((Tableau!$H$16-Q887)/(AC887^2+Tableau!$G$21^2)^(3/2))*Tableau!$G$20</f>
        <v>5.0963492048219852</v>
      </c>
      <c r="X887" s="101">
        <f>((Tableau!$G$25-P887)/(AD887^2+Tableau!$G$30^2)^(3/2))*Tableau!$G$29</f>
        <v>-0.51533558403891477</v>
      </c>
      <c r="Y887" s="101">
        <f>((Tableau!$H$25-Q887)/(AD887^2+Tableau!$G$30^2)^(3/2))*Tableau!$G$29</f>
        <v>1.5679432318925748</v>
      </c>
      <c r="Z887" s="101">
        <f>((Tableau!$G$35-P887)/(AE887^2+Tableau!$G$40^2)^(3/2))*Tableau!$G$39</f>
        <v>-1.6794876282835693</v>
      </c>
      <c r="AA887" s="102">
        <f>((Tableau!$H$35-Q887)/(AE887^2+Tableau!$G$40^2)^(3/2))*Tableau!$G$39</f>
        <v>5.5040063755337885</v>
      </c>
      <c r="AC887" s="113">
        <f>SQRT((Tableau!$G$16-P887)^2+(Tableau!$H$16-Q887)^2)</f>
        <v>317086.87486279523</v>
      </c>
      <c r="AD887" s="114">
        <f>SQRT((Tableau!$G$25-P887)^2+(Tableau!$H$25-Q887)^2)</f>
        <v>329759.40264977107</v>
      </c>
      <c r="AE887" s="115">
        <f>SQRT((Tableau!$G$35-P887)^2+(Tableau!$H$35-Q887)^2)</f>
        <v>301394.63610818202</v>
      </c>
    </row>
    <row r="888" spans="2:31" x14ac:dyDescent="0.25">
      <c r="B888" s="20">
        <v>885</v>
      </c>
      <c r="C888" s="21">
        <f>Tableau!$G$17*COS(B888*PI()/180)+Tableau!$G$16</f>
        <v>15170.370868554659</v>
      </c>
      <c r="D888" s="21">
        <f>Tableau!$G$17*SIN(B888*PI()/180)+Tableau!$H$16</f>
        <v>8794.0952255126049</v>
      </c>
      <c r="F888" s="28">
        <v>885</v>
      </c>
      <c r="G888" s="29">
        <f>Tableau!$G$26*COS(F888*PI()/180)+Tableau!$G$25</f>
        <v>-23380.740392011739</v>
      </c>
      <c r="H888" s="29">
        <f>Tableau!$G$26*SIN(F888*PI()/180)+Tableau!$H$25</f>
        <v>10905.866657858824</v>
      </c>
      <c r="J888" s="36">
        <v>885</v>
      </c>
      <c r="K888" s="37">
        <f>Tableau!$G$36*COS(J888*PI()/180)+Tableau!$G$35</f>
        <v>-9829.629131445341</v>
      </c>
      <c r="L888" s="37">
        <f>Tableau!$G$36*SIN(J888*PI()/180)+Tableau!$H$35</f>
        <v>-13705.904774487395</v>
      </c>
      <c r="N888" s="92">
        <v>884</v>
      </c>
      <c r="O888" s="93">
        <v>442</v>
      </c>
      <c r="P888" s="96">
        <f>P887+R887*Tableau!$G$2+((1/2)*T887)*Tableau!$G$2^2</f>
        <v>83321.004697069511</v>
      </c>
      <c r="Q888" s="96">
        <f>Q887+S887*Tableau!$G$2+((1/2)*U887)*Tableau!$G$2^2</f>
        <v>-303746.37580259185</v>
      </c>
      <c r="R888" s="96">
        <f>R887+T887*Tableau!$G$2</f>
        <v>714.61217693343224</v>
      </c>
      <c r="S888" s="96">
        <f>S887+U887*Tableau!$G$2</f>
        <v>-944.18531144980466</v>
      </c>
      <c r="T888" s="96">
        <f t="shared" si="26"/>
        <v>-3.2246608176043443</v>
      </c>
      <c r="U888" s="96">
        <f t="shared" si="27"/>
        <v>12.123302434238662</v>
      </c>
      <c r="V888" s="96">
        <f>((Tableau!$G$16-P888)/(AC888^2+Tableau!$G$21^2)^(3/2))*Tableau!$G$20</f>
        <v>-1.0331621656709333</v>
      </c>
      <c r="W888" s="96">
        <f>((Tableau!$H$16-Q888)/(AC888^2+Tableau!$G$21^2)^(3/2))*Tableau!$G$20</f>
        <v>5.0783777234715464</v>
      </c>
      <c r="X888" s="96">
        <f>((Tableau!$G$25-P888)/(AD888^2+Tableau!$G$30^2)^(3/2))*Tableau!$G$29</f>
        <v>-0.51449362193465531</v>
      </c>
      <c r="Y888" s="96">
        <f>((Tableau!$H$25-Q888)/(AD888^2+Tableau!$G$30^2)^(3/2))*Tableau!$G$29</f>
        <v>1.5623203600160629</v>
      </c>
      <c r="Z888" s="96">
        <f>((Tableau!$G$35-P888)/(AE888^2+Tableau!$G$40^2)^(3/2))*Tableau!$G$39</f>
        <v>-1.6770050299987556</v>
      </c>
      <c r="AA888" s="97">
        <f>((Tableau!$H$35-Q888)/(AE888^2+Tableau!$G$40^2)^(3/2))*Tableau!$G$39</f>
        <v>5.4826043507510525</v>
      </c>
      <c r="AC888" s="110">
        <f>SQRT((Tableau!$G$16-P888)^2+(Tableau!$H$16-Q888)^2)</f>
        <v>317622.1907960691</v>
      </c>
      <c r="AD888" s="111">
        <f>SQRT((Tableau!$G$25-P888)^2+(Tableau!$H$25-Q888)^2)</f>
        <v>330321.08370625251</v>
      </c>
      <c r="AE888" s="112">
        <f>SQRT((Tableau!$G$35-P888)^2+(Tableau!$H$35-Q888)^2)</f>
        <v>301952.0978728768</v>
      </c>
    </row>
    <row r="889" spans="2:31" x14ac:dyDescent="0.25">
      <c r="B889" s="18">
        <v>886</v>
      </c>
      <c r="C889" s="19">
        <f>Tableau!$G$17*COS(B889*PI()/180)+Tableau!$G$16</f>
        <v>15148.521368620019</v>
      </c>
      <c r="D889" s="19">
        <f>Tableau!$G$17*SIN(B889*PI()/180)+Tableau!$H$16</f>
        <v>8709.609477998345</v>
      </c>
      <c r="F889" s="26">
        <v>886</v>
      </c>
      <c r="G889" s="27">
        <f>Tableau!$G$26*COS(F889*PI()/180)+Tableau!$G$25</f>
        <v>-23396.035041965988</v>
      </c>
      <c r="H889" s="27">
        <f>Tableau!$G$26*SIN(F889*PI()/180)+Tableau!$H$25</f>
        <v>10846.726634598841</v>
      </c>
      <c r="J889" s="34">
        <v>886</v>
      </c>
      <c r="K889" s="35">
        <f>Tableau!$G$36*COS(J889*PI()/180)+Tableau!$G$35</f>
        <v>-9851.4786313799814</v>
      </c>
      <c r="L889" s="35">
        <f>Tableau!$G$36*SIN(J889*PI()/180)+Tableau!$H$35</f>
        <v>-13790.390522001655</v>
      </c>
      <c r="N889" s="98">
        <v>885</v>
      </c>
      <c r="O889" s="99">
        <v>442.5</v>
      </c>
      <c r="P889" s="101">
        <f>P888+R888*Tableau!$G$2+((1/2)*T888)*Tableau!$G$2^2</f>
        <v>83677.907702934026</v>
      </c>
      <c r="Q889" s="101">
        <f>Q888+S888*Tableau!$G$2+((1/2)*U888)*Tableau!$G$2^2</f>
        <v>-304216.95304551249</v>
      </c>
      <c r="R889" s="101">
        <f>R888+T888*Tableau!$G$2</f>
        <v>712.99984652463002</v>
      </c>
      <c r="S889" s="101">
        <f>S888+U888*Tableau!$G$2</f>
        <v>-938.12366023268532</v>
      </c>
      <c r="T889" s="101">
        <f t="shared" si="26"/>
        <v>-3.2219952553480145</v>
      </c>
      <c r="U889" s="101">
        <f t="shared" si="27"/>
        <v>12.078778099487851</v>
      </c>
      <c r="V889" s="101">
        <f>((Tableau!$G$16-P889)/(AC889^2+Tableau!$G$21^2)^(3/2))*Tableau!$G$20</f>
        <v>-1.0337835675479352</v>
      </c>
      <c r="W889" s="101">
        <f>((Tableau!$H$16-Q889)/(AC889^2+Tableau!$G$21^2)^(3/2))*Tableau!$G$20</f>
        <v>5.060591269548171</v>
      </c>
      <c r="X889" s="101">
        <f>((Tableau!$G$25-P889)/(AD889^2+Tableau!$G$30^2)^(3/2))*Tableau!$G$29</f>
        <v>-0.51366141451378122</v>
      </c>
      <c r="Y889" s="101">
        <f>((Tableau!$H$25-Q889)/(AD889^2+Tableau!$G$30^2)^(3/2))*Tableau!$G$29</f>
        <v>1.5567552253082435</v>
      </c>
      <c r="Z889" s="101">
        <f>((Tableau!$G$35-P889)/(AE889^2+Tableau!$G$40^2)^(3/2))*Tableau!$G$39</f>
        <v>-1.674550273286298</v>
      </c>
      <c r="AA889" s="102">
        <f>((Tableau!$H$35-Q889)/(AE889^2+Tableau!$G$40^2)^(3/2))*Tableau!$G$39</f>
        <v>5.4614316046314357</v>
      </c>
      <c r="AC889" s="113">
        <f>SQRT((Tableau!$G$16-P889)^2+(Tableau!$H$16-Q889)^2)</f>
        <v>318154.57681039517</v>
      </c>
      <c r="AD889" s="114">
        <f>SQRT((Tableau!$G$25-P889)^2+(Tableau!$H$25-Q889)^2)</f>
        <v>330879.73967419629</v>
      </c>
      <c r="AE889" s="115">
        <f>SQRT((Tableau!$G$35-P889)^2+(Tableau!$H$35-Q889)^2)</f>
        <v>302506.55735620059</v>
      </c>
    </row>
    <row r="890" spans="2:31" x14ac:dyDescent="0.25">
      <c r="B890" s="20">
        <v>887</v>
      </c>
      <c r="C890" s="21">
        <f>Tableau!$G$17*COS(B890*PI()/180)+Tableau!$G$16</f>
        <v>15128.149676073823</v>
      </c>
      <c r="D890" s="21">
        <f>Tableau!$G$17*SIN(B890*PI()/180)+Tableau!$H$16</f>
        <v>8624.7552717193194</v>
      </c>
      <c r="F890" s="28">
        <v>887</v>
      </c>
      <c r="G890" s="29">
        <f>Tableau!$G$26*COS(F890*PI()/180)+Tableau!$G$25</f>
        <v>-23410.295226748323</v>
      </c>
      <c r="H890" s="29">
        <f>Tableau!$G$26*SIN(F890*PI()/180)+Tableau!$H$25</f>
        <v>10787.328690203523</v>
      </c>
      <c r="J890" s="36">
        <v>887</v>
      </c>
      <c r="K890" s="37">
        <f>Tableau!$G$36*COS(J890*PI()/180)+Tableau!$G$35</f>
        <v>-9871.8503239261772</v>
      </c>
      <c r="L890" s="37">
        <f>Tableau!$G$36*SIN(J890*PI()/180)+Tableau!$H$35</f>
        <v>-13875.244728280681</v>
      </c>
      <c r="N890" s="92">
        <v>886</v>
      </c>
      <c r="O890" s="93">
        <v>443</v>
      </c>
      <c r="P890" s="96">
        <f>P889+R889*Tableau!$G$2+((1/2)*T889)*Tableau!$G$2^2</f>
        <v>84034.004876789419</v>
      </c>
      <c r="Q890" s="96">
        <f>Q889+S889*Tableau!$G$2+((1/2)*U889)*Tableau!$G$2^2</f>
        <v>-304684.5050283664</v>
      </c>
      <c r="R890" s="96">
        <f>R889+T889*Tableau!$G$2</f>
        <v>711.38884889695601</v>
      </c>
      <c r="S890" s="96">
        <f>S889+U889*Tableau!$G$2</f>
        <v>-932.08427118294139</v>
      </c>
      <c r="T890" s="96">
        <f t="shared" si="26"/>
        <v>-3.2193589295859537</v>
      </c>
      <c r="U890" s="96">
        <f t="shared" si="27"/>
        <v>12.034719571510312</v>
      </c>
      <c r="V890" s="96">
        <f>((Tableau!$G$16-P890)/(AC890^2+Tableau!$G$21^2)^(3/2))*Tableau!$G$20</f>
        <v>-1.0343969028587467</v>
      </c>
      <c r="W890" s="96">
        <f>((Tableau!$H$16-Q890)/(AC890^2+Tableau!$G$21^2)^(3/2))*Tableau!$G$20</f>
        <v>5.0429874836531381</v>
      </c>
      <c r="X890" s="96">
        <f>((Tableau!$G$25-P890)/(AD890^2+Tableau!$G$30^2)^(3/2))*Tableau!$G$29</f>
        <v>-0.51283887034298326</v>
      </c>
      <c r="Y890" s="96">
        <f>((Tableau!$H$25-Q890)/(AD890^2+Tableau!$G$30^2)^(3/2))*Tableau!$G$29</f>
        <v>1.551247077956081</v>
      </c>
      <c r="Z890" s="96">
        <f>((Tableau!$G$35-P890)/(AE890^2+Tableau!$G$40^2)^(3/2))*Tableau!$G$39</f>
        <v>-1.672123156384224</v>
      </c>
      <c r="AA890" s="97">
        <f>((Tableau!$H$35-Q890)/(AE890^2+Tableau!$G$40^2)^(3/2))*Tableau!$G$39</f>
        <v>5.4404850099010931</v>
      </c>
      <c r="AC890" s="110">
        <f>SQRT((Tableau!$G$16-P890)^2+(Tableau!$H$16-Q890)^2)</f>
        <v>318684.04252545623</v>
      </c>
      <c r="AD890" s="111">
        <f>SQRT((Tableau!$G$25-P890)^2+(Tableau!$H$25-Q890)^2)</f>
        <v>331435.38114638848</v>
      </c>
      <c r="AE890" s="112">
        <f>SQRT((Tableau!$G$35-P890)^2+(Tableau!$H$35-Q890)^2)</f>
        <v>303058.02493570402</v>
      </c>
    </row>
    <row r="891" spans="2:31" x14ac:dyDescent="0.25">
      <c r="B891" s="18">
        <v>888</v>
      </c>
      <c r="C891" s="19">
        <f>Tableau!$G$17*COS(B891*PI()/180)+Tableau!$G$16</f>
        <v>15109.261996330972</v>
      </c>
      <c r="D891" s="19">
        <f>Tableau!$G$17*SIN(B891*PI()/180)+Tableau!$H$16</f>
        <v>8539.5584540887976</v>
      </c>
      <c r="F891" s="26">
        <v>888</v>
      </c>
      <c r="G891" s="27">
        <f>Tableau!$G$26*COS(F891*PI()/180)+Tableau!$G$25</f>
        <v>-23423.516602568321</v>
      </c>
      <c r="H891" s="27">
        <f>Tableau!$G$26*SIN(F891*PI()/180)+Tableau!$H$25</f>
        <v>10727.690917862157</v>
      </c>
      <c r="J891" s="34">
        <v>888</v>
      </c>
      <c r="K891" s="35">
        <f>Tableau!$G$36*COS(J891*PI()/180)+Tableau!$G$35</f>
        <v>-9890.7380036690283</v>
      </c>
      <c r="L891" s="35">
        <f>Tableau!$G$36*SIN(J891*PI()/180)+Tableau!$H$35</f>
        <v>-13960.441545911202</v>
      </c>
      <c r="N891" s="98">
        <v>887</v>
      </c>
      <c r="O891" s="99">
        <v>443.5</v>
      </c>
      <c r="P891" s="101">
        <f>P890+R890*Tableau!$G$2+((1/2)*T890)*Tableau!$G$2^2</f>
        <v>84389.296881371702</v>
      </c>
      <c r="Q891" s="101">
        <f>Q890+S890*Tableau!$G$2+((1/2)*U890)*Tableau!$G$2^2</f>
        <v>-305149.04282401141</v>
      </c>
      <c r="R891" s="101">
        <f>R890+T890*Tableau!$G$2</f>
        <v>709.77916943216303</v>
      </c>
      <c r="S891" s="101">
        <f>S890+U890*Tableau!$G$2</f>
        <v>-926.06691139718623</v>
      </c>
      <c r="T891" s="101">
        <f t="shared" si="26"/>
        <v>-3.2167518618268129</v>
      </c>
      <c r="U891" s="101">
        <f t="shared" si="27"/>
        <v>11.991120726064011</v>
      </c>
      <c r="V891" s="101">
        <f>((Tableau!$G$16-P891)/(AC891^2+Tableau!$G$21^2)^(3/2))*Tableau!$G$20</f>
        <v>-1.035002482455897</v>
      </c>
      <c r="W891" s="101">
        <f>((Tableau!$H$16-Q891)/(AC891^2+Tableau!$G$21^2)^(3/2))*Tableau!$G$20</f>
        <v>5.0255640476473271</v>
      </c>
      <c r="X891" s="101">
        <f>((Tableau!$G$25-P891)/(AD891^2+Tableau!$G$30^2)^(3/2))*Tableau!$G$29</f>
        <v>-0.51202589945217125</v>
      </c>
      <c r="Y891" s="101">
        <f>((Tableau!$H$25-Q891)/(AD891^2+Tableau!$G$30^2)^(3/2))*Tableau!$G$29</f>
        <v>1.5457951814430777</v>
      </c>
      <c r="Z891" s="101">
        <f>((Tableau!$G$35-P891)/(AE891^2+Tableau!$G$40^2)^(3/2))*Tableau!$G$39</f>
        <v>-1.6697234799187448</v>
      </c>
      <c r="AA891" s="102">
        <f>((Tableau!$H$35-Q891)/(AE891^2+Tableau!$G$40^2)^(3/2))*Tableau!$G$39</f>
        <v>5.4197614969736065</v>
      </c>
      <c r="AC891" s="113">
        <f>SQRT((Tableau!$G$16-P891)^2+(Tableau!$H$16-Q891)^2)</f>
        <v>319210.59746137494</v>
      </c>
      <c r="AD891" s="114">
        <f>SQRT((Tableau!$G$25-P891)^2+(Tableau!$H$25-Q891)^2)</f>
        <v>331988.0186034998</v>
      </c>
      <c r="AE891" s="115">
        <f>SQRT((Tableau!$G$35-P891)^2+(Tableau!$H$35-Q891)^2)</f>
        <v>303606.51087984926</v>
      </c>
    </row>
    <row r="892" spans="2:31" x14ac:dyDescent="0.25">
      <c r="B892" s="20">
        <v>889</v>
      </c>
      <c r="C892" s="21">
        <f>Tableau!$G$17*COS(B892*PI()/180)+Tableau!$G$16</f>
        <v>15091.86408276168</v>
      </c>
      <c r="D892" s="21">
        <f>Tableau!$G$17*SIN(B892*PI()/180)+Tableau!$H$16</f>
        <v>8454.0449768827293</v>
      </c>
      <c r="F892" s="28">
        <v>889</v>
      </c>
      <c r="G892" s="29">
        <f>Tableau!$G$26*COS(F892*PI()/180)+Tableau!$G$25</f>
        <v>-23435.695142066823</v>
      </c>
      <c r="H892" s="29">
        <f>Tableau!$G$26*SIN(F892*PI()/180)+Tableau!$H$25</f>
        <v>10667.83148381791</v>
      </c>
      <c r="J892" s="36">
        <v>889</v>
      </c>
      <c r="K892" s="37">
        <f>Tableau!$G$36*COS(J892*PI()/180)+Tableau!$G$35</f>
        <v>-9908.13591723832</v>
      </c>
      <c r="L892" s="37">
        <f>Tableau!$G$36*SIN(J892*PI()/180)+Tableau!$H$35</f>
        <v>-14045.955023117271</v>
      </c>
      <c r="N892" s="92">
        <v>888</v>
      </c>
      <c r="O892" s="93">
        <v>444</v>
      </c>
      <c r="P892" s="96">
        <f>P891+R891*Tableau!$G$2+((1/2)*T891)*Tableau!$G$2^2</f>
        <v>84743.784372105045</v>
      </c>
      <c r="Q892" s="96">
        <f>Q891+S891*Tableau!$G$2+((1/2)*U891)*Tableau!$G$2^2</f>
        <v>-305610.57738961925</v>
      </c>
      <c r="R892" s="96">
        <f>R891+T891*Tableau!$G$2</f>
        <v>708.17079350124959</v>
      </c>
      <c r="S892" s="96">
        <f>S891+U891*Tableau!$G$2</f>
        <v>-920.07135103415419</v>
      </c>
      <c r="T892" s="96">
        <f t="shared" si="26"/>
        <v>-3.214174070155281</v>
      </c>
      <c r="U892" s="96">
        <f t="shared" si="27"/>
        <v>11.94797554870223</v>
      </c>
      <c r="V892" s="96">
        <f>((Tableau!$G$16-P892)/(AC892^2+Tableau!$G$21^2)^(3/2))*Tableau!$G$20</f>
        <v>-1.0356006099594188</v>
      </c>
      <c r="W892" s="96">
        <f>((Tableau!$H$16-Q892)/(AC892^2+Tableau!$G$21^2)^(3/2))*Tableau!$G$20</f>
        <v>5.0083186837799722</v>
      </c>
      <c r="X892" s="96">
        <f>((Tableau!$G$25-P892)/(AD892^2+Tableau!$G$30^2)^(3/2))*Tableau!$G$29</f>
        <v>-0.51122241330817864</v>
      </c>
      <c r="Y892" s="96">
        <f>((Tableau!$H$25-Q892)/(AD892^2+Tableau!$G$30^2)^(3/2))*Tableau!$G$29</f>
        <v>1.5403988122628705</v>
      </c>
      <c r="Z892" s="96">
        <f>((Tableau!$G$35-P892)/(AE892^2+Tableau!$G$40^2)^(3/2))*Tableau!$G$39</f>
        <v>-1.6673510468876835</v>
      </c>
      <c r="AA892" s="97">
        <f>((Tableau!$H$35-Q892)/(AE892^2+Tableau!$G$40^2)^(3/2))*Tableau!$G$39</f>
        <v>5.3992580526593876</v>
      </c>
      <c r="AC892" s="110">
        <f>SQRT((Tableau!$G$16-P892)^2+(Tableau!$H$16-Q892)^2)</f>
        <v>319734.25103995722</v>
      </c>
      <c r="AD892" s="111">
        <f>SQRT((Tableau!$G$25-P892)^2+(Tableau!$H$25-Q892)^2)</f>
        <v>332537.66241555091</v>
      </c>
      <c r="AE892" s="112">
        <f>SQRT((Tableau!$G$35-P892)^2+(Tableau!$H$35-Q892)^2)</f>
        <v>304152.02534942084</v>
      </c>
    </row>
    <row r="893" spans="2:31" x14ac:dyDescent="0.25">
      <c r="B893" s="18">
        <v>890</v>
      </c>
      <c r="C893" s="19">
        <f>Tableau!$G$17*COS(B893*PI()/180)+Tableau!$G$16</f>
        <v>15075.961234938961</v>
      </c>
      <c r="D893" s="19">
        <f>Tableau!$G$17*SIN(B893*PI()/180)+Tableau!$H$16</f>
        <v>8368.2408883346616</v>
      </c>
      <c r="F893" s="26">
        <v>890</v>
      </c>
      <c r="G893" s="27">
        <f>Tableau!$G$26*COS(F893*PI()/180)+Tableau!$G$25</f>
        <v>-23446.827135542728</v>
      </c>
      <c r="H893" s="27">
        <f>Tableau!$G$26*SIN(F893*PI()/180)+Tableau!$H$25</f>
        <v>10607.768621834264</v>
      </c>
      <c r="J893" s="34">
        <v>890</v>
      </c>
      <c r="K893" s="35">
        <f>Tableau!$G$36*COS(J893*PI()/180)+Tableau!$G$35</f>
        <v>-9924.0387650610392</v>
      </c>
      <c r="L893" s="35">
        <f>Tableau!$G$36*SIN(J893*PI()/180)+Tableau!$H$35</f>
        <v>-14131.759111665338</v>
      </c>
      <c r="N893" s="98">
        <v>889</v>
      </c>
      <c r="O893" s="99">
        <v>444.5</v>
      </c>
      <c r="P893" s="101">
        <f>P892+R892*Tableau!$G$2+((1/2)*T892)*Tableau!$G$2^2</f>
        <v>85097.467997096901</v>
      </c>
      <c r="Q893" s="101">
        <f>Q892+S892*Tableau!$G$2+((1/2)*U892)*Tableau!$G$2^2</f>
        <v>-306069.11956819269</v>
      </c>
      <c r="R893" s="101">
        <f>R892+T892*Tableau!$G$2</f>
        <v>706.56370646617199</v>
      </c>
      <c r="S893" s="101">
        <f>S892+U892*Tableau!$G$2</f>
        <v>-914.09736325980305</v>
      </c>
      <c r="T893" s="101">
        <f t="shared" si="26"/>
        <v>-3.2116255693875786</v>
      </c>
      <c r="U893" s="101">
        <f t="shared" si="27"/>
        <v>11.905278132388752</v>
      </c>
      <c r="V893" s="101">
        <f>((Tableau!$G$16-P893)/(AC893^2+Tableau!$G$21^2)^(3/2))*Tableau!$G$20</f>
        <v>-1.036191581954977</v>
      </c>
      <c r="W893" s="101">
        <f>((Tableau!$H$16-Q893)/(AC893^2+Tableau!$G$21^2)^(3/2))*Tableau!$G$20</f>
        <v>4.9912491538393624</v>
      </c>
      <c r="X893" s="101">
        <f>((Tableau!$G$25-P893)/(AD893^2+Tableau!$G$30^2)^(3/2))*Tableau!$G$29</f>
        <v>-0.51042832478904632</v>
      </c>
      <c r="Y893" s="101">
        <f>((Tableau!$H$25-Q893)/(AD893^2+Tableau!$G$30^2)^(3/2))*Tableau!$G$29</f>
        <v>1.5350572596401448</v>
      </c>
      <c r="Z893" s="101">
        <f>((Tableau!$G$35-P893)/(AE893^2+Tableau!$G$40^2)^(3/2))*Tableau!$G$39</f>
        <v>-1.6650056626435557</v>
      </c>
      <c r="AA893" s="102">
        <f>((Tableau!$H$35-Q893)/(AE893^2+Tableau!$G$40^2)^(3/2))*Tableau!$G$39</f>
        <v>5.378971718909245</v>
      </c>
      <c r="AC893" s="113">
        <f>SQRT((Tableau!$G$16-P893)^2+(Tableau!$H$16-Q893)^2)</f>
        <v>320255.01258591504</v>
      </c>
      <c r="AD893" s="114">
        <f>SQRT((Tableau!$G$25-P893)^2+(Tableau!$H$25-Q893)^2)</f>
        <v>333084.32284335041</v>
      </c>
      <c r="AE893" s="115">
        <f>SQRT((Tableau!$G$35-P893)^2+(Tableau!$H$35-Q893)^2)</f>
        <v>304694.57839891204</v>
      </c>
    </row>
    <row r="894" spans="2:31" x14ac:dyDescent="0.25">
      <c r="B894" s="20">
        <v>891</v>
      </c>
      <c r="C894" s="21">
        <f>Tableau!$G$17*COS(B894*PI()/180)+Tableau!$G$16</f>
        <v>15061.558297024312</v>
      </c>
      <c r="D894" s="21">
        <f>Tableau!$G$17*SIN(B894*PI()/180)+Tableau!$H$16</f>
        <v>8282.1723252011525</v>
      </c>
      <c r="F894" s="28">
        <v>891</v>
      </c>
      <c r="G894" s="29">
        <f>Tableau!$G$26*COS(F894*PI()/180)+Tableau!$G$25</f>
        <v>-23456.909192082981</v>
      </c>
      <c r="H894" s="29">
        <f>Tableau!$G$26*SIN(F894*PI()/180)+Tableau!$H$25</f>
        <v>10547.520627640806</v>
      </c>
      <c r="J894" s="36">
        <v>891</v>
      </c>
      <c r="K894" s="37">
        <f>Tableau!$G$36*COS(J894*PI()/180)+Tableau!$G$35</f>
        <v>-9938.4417029756878</v>
      </c>
      <c r="L894" s="37">
        <f>Tableau!$G$36*SIN(J894*PI()/180)+Tableau!$H$35</f>
        <v>-14217.827674798848</v>
      </c>
      <c r="N894" s="92">
        <v>890</v>
      </c>
      <c r="O894" s="93">
        <v>445</v>
      </c>
      <c r="P894" s="96">
        <f>P893+R893*Tableau!$G$2+((1/2)*T893)*Tableau!$G$2^2</f>
        <v>85450.348397133814</v>
      </c>
      <c r="Q894" s="96">
        <f>Q893+S893*Tableau!$G$2+((1/2)*U893)*Tableau!$G$2^2</f>
        <v>-306524.68009005603</v>
      </c>
      <c r="R894" s="96">
        <f>R893+T893*Tableau!$G$2</f>
        <v>704.95789368147825</v>
      </c>
      <c r="S894" s="96">
        <f>S893+U893*Tableau!$G$2</f>
        <v>-908.14472419360868</v>
      </c>
      <c r="T894" s="96">
        <f t="shared" si="26"/>
        <v>-3.2091063712212717</v>
      </c>
      <c r="U894" s="96">
        <f t="shared" si="27"/>
        <v>11.863022675174546</v>
      </c>
      <c r="V894" s="96">
        <f>((Tableau!$G$16-P894)/(AC894^2+Tableau!$G$21^2)^(3/2))*Tableau!$G$20</f>
        <v>-1.0367756881860373</v>
      </c>
      <c r="W894" s="96">
        <f>((Tableau!$H$16-Q894)/(AC894^2+Tableau!$G$21^2)^(3/2))*Tableau!$G$20</f>
        <v>4.9743532583246788</v>
      </c>
      <c r="X894" s="96">
        <f>((Tableau!$G$25-P894)/(AD894^2+Tableau!$G$30^2)^(3/2))*Tableau!$G$29</f>
        <v>-0.50964354815889124</v>
      </c>
      <c r="Y894" s="96">
        <f>((Tableau!$H$25-Q894)/(AD894^2+Tableau!$G$30^2)^(3/2))*Tableau!$G$29</f>
        <v>1.5297698252587157</v>
      </c>
      <c r="Z894" s="96">
        <f>((Tableau!$G$35-P894)/(AE894^2+Tableau!$G$40^2)^(3/2))*Tableau!$G$39</f>
        <v>-1.6626871348763435</v>
      </c>
      <c r="AA894" s="97">
        <f>((Tableau!$H$35-Q894)/(AE894^2+Tableau!$G$40^2)^(3/2))*Tableau!$G$39</f>
        <v>5.3588995915911521</v>
      </c>
      <c r="AC894" s="110">
        <f>SQRT((Tableau!$G$16-P894)^2+(Tableau!$H$16-Q894)^2)</f>
        <v>320772.89132806752</v>
      </c>
      <c r="AD894" s="111">
        <f>SQRT((Tableau!$G$25-P894)^2+(Tableau!$H$25-Q894)^2)</f>
        <v>333628.0100399084</v>
      </c>
      <c r="AE894" s="112">
        <f>SQRT((Tableau!$G$35-P894)^2+(Tableau!$H$35-Q894)^2)</f>
        <v>305234.17997788585</v>
      </c>
    </row>
    <row r="895" spans="2:31" x14ac:dyDescent="0.25">
      <c r="B895" s="18">
        <v>892</v>
      </c>
      <c r="C895" s="19">
        <f>Tableau!$G$17*COS(B895*PI()/180)+Tableau!$G$16</f>
        <v>15048.659656292148</v>
      </c>
      <c r="D895" s="19">
        <f>Tableau!$G$17*SIN(B895*PI()/180)+Tableau!$H$16</f>
        <v>8195.8655048003311</v>
      </c>
      <c r="F895" s="26">
        <v>892</v>
      </c>
      <c r="G895" s="27">
        <f>Tableau!$G$26*COS(F895*PI()/180)+Tableau!$G$25</f>
        <v>-23465.938240595497</v>
      </c>
      <c r="H895" s="27">
        <f>Tableau!$G$26*SIN(F895*PI()/180)+Tableau!$H$25</f>
        <v>10487.105853360232</v>
      </c>
      <c r="J895" s="34">
        <v>892</v>
      </c>
      <c r="K895" s="35">
        <f>Tableau!$G$36*COS(J895*PI()/180)+Tableau!$G$35</f>
        <v>-9951.3403437078523</v>
      </c>
      <c r="L895" s="35">
        <f>Tableau!$G$36*SIN(J895*PI()/180)+Tableau!$H$35</f>
        <v>-14304.134495199669</v>
      </c>
      <c r="N895" s="98">
        <v>891</v>
      </c>
      <c r="O895" s="99">
        <v>445.5</v>
      </c>
      <c r="P895" s="101">
        <f>P894+R894*Tableau!$G$2+((1/2)*T894)*Tableau!$G$2^2</f>
        <v>85802.426205678144</v>
      </c>
      <c r="Q895" s="101">
        <f>Q894+S894*Tableau!$G$2+((1/2)*U894)*Tableau!$G$2^2</f>
        <v>-306977.26957431843</v>
      </c>
      <c r="R895" s="101">
        <f>R894+T894*Tableau!$G$2</f>
        <v>703.35334049586766</v>
      </c>
      <c r="S895" s="101">
        <f>S894+U894*Tableau!$G$2</f>
        <v>-902.21321285602141</v>
      </c>
      <c r="T895" s="101">
        <f t="shared" si="26"/>
        <v>-3.2066164843797678</v>
      </c>
      <c r="U895" s="101">
        <f t="shared" si="27"/>
        <v>11.821203477934649</v>
      </c>
      <c r="V895" s="101">
        <f>((Tableau!$G$16-P895)/(AC895^2+Tableau!$G$21^2)^(3/2))*Tableau!$G$20</f>
        <v>-1.037353211740361</v>
      </c>
      <c r="W895" s="101">
        <f>((Tableau!$H$16-Q895)/(AC895^2+Tableau!$G$21^2)^(3/2))*Tableau!$G$20</f>
        <v>4.9576288356387135</v>
      </c>
      <c r="X895" s="101">
        <f>((Tableau!$G$25-P895)/(AD895^2+Tableau!$G$30^2)^(3/2))*Tableau!$G$29</f>
        <v>-0.50886799904330116</v>
      </c>
      <c r="Y895" s="101">
        <f>((Tableau!$H$25-Q895)/(AD895^2+Tableau!$G$30^2)^(3/2))*Tableau!$G$29</f>
        <v>1.5245358229964292</v>
      </c>
      <c r="Z895" s="101">
        <f>((Tableau!$G$35-P895)/(AE895^2+Tableau!$G$40^2)^(3/2))*Tableau!$G$39</f>
        <v>-1.6603952735961054</v>
      </c>
      <c r="AA895" s="102">
        <f>((Tableau!$H$35-Q895)/(AE895^2+Tableau!$G$40^2)^(3/2))*Tableau!$G$39</f>
        <v>5.3390388192995051</v>
      </c>
      <c r="AC895" s="113">
        <f>SQRT((Tableau!$G$16-P895)^2+(Tableau!$H$16-Q895)^2)</f>
        <v>321287.89640052151</v>
      </c>
      <c r="AD895" s="114">
        <f>SQRT((Tableau!$G$25-P895)^2+(Tableau!$H$25-Q895)^2)</f>
        <v>334168.73405182315</v>
      </c>
      <c r="AE895" s="115">
        <f>SQRT((Tableau!$G$35-P895)^2+(Tableau!$H$35-Q895)^2)</f>
        <v>305770.83993231249</v>
      </c>
    </row>
    <row r="896" spans="2:31" x14ac:dyDescent="0.25">
      <c r="B896" s="20">
        <v>893</v>
      </c>
      <c r="C896" s="21">
        <f>Tableau!$G$17*COS(B896*PI()/180)+Tableau!$G$16</f>
        <v>15037.26924179339</v>
      </c>
      <c r="D896" s="21">
        <f>Tableau!$G$17*SIN(B896*PI()/180)+Tableau!$H$16</f>
        <v>8109.3467170257463</v>
      </c>
      <c r="F896" s="28">
        <v>893</v>
      </c>
      <c r="G896" s="29">
        <f>Tableau!$G$26*COS(F896*PI()/180)+Tableau!$G$25</f>
        <v>-23473.911530744626</v>
      </c>
      <c r="H896" s="29">
        <f>Tableau!$G$26*SIN(F896*PI()/180)+Tableau!$H$25</f>
        <v>10426.542701918022</v>
      </c>
      <c r="J896" s="36">
        <v>893</v>
      </c>
      <c r="K896" s="37">
        <f>Tableau!$G$36*COS(J896*PI()/180)+Tableau!$G$35</f>
        <v>-9962.7307582066096</v>
      </c>
      <c r="L896" s="37">
        <f>Tableau!$G$36*SIN(J896*PI()/180)+Tableau!$H$35</f>
        <v>-14390.653282974254</v>
      </c>
      <c r="N896" s="92">
        <v>892</v>
      </c>
      <c r="O896" s="93">
        <v>446</v>
      </c>
      <c r="P896" s="96">
        <f>P895+R895*Tableau!$G$2+((1/2)*T895)*Tableau!$G$2^2</f>
        <v>86153.70204886554</v>
      </c>
      <c r="Q896" s="96">
        <f>Q895+S895*Tableau!$G$2+((1/2)*U895)*Tableau!$G$2^2</f>
        <v>-307426.89853031165</v>
      </c>
      <c r="R896" s="96">
        <f>R895+T895*Tableau!$G$2</f>
        <v>701.75003225367777</v>
      </c>
      <c r="S896" s="96">
        <f>S895+U895*Tableau!$G$2</f>
        <v>-896.30261111705408</v>
      </c>
      <c r="T896" s="96">
        <f t="shared" si="26"/>
        <v>-3.2041559147515795</v>
      </c>
      <c r="U896" s="96">
        <f t="shared" si="27"/>
        <v>11.77981494216297</v>
      </c>
      <c r="V896" s="96">
        <f>((Tableau!$G$16-P896)/(AC896^2+Tableau!$G$21^2)^(3/2))*Tableau!$G$20</f>
        <v>-1.0379244292309462</v>
      </c>
      <c r="W896" s="96">
        <f>((Tableau!$H$16-Q896)/(AC896^2+Tableau!$G$21^2)^(3/2))*Tableau!$G$20</f>
        <v>4.9410737613005775</v>
      </c>
      <c r="X896" s="96">
        <f>((Tableau!$G$25-P896)/(AD896^2+Tableau!$G$30^2)^(3/2))*Tableau!$G$29</f>
        <v>-0.50810159440534231</v>
      </c>
      <c r="Y896" s="96">
        <f>((Tableau!$H$25-Q896)/(AD896^2+Tableau!$G$30^2)^(3/2))*Tableau!$G$29</f>
        <v>1.5193545786669793</v>
      </c>
      <c r="Z896" s="96">
        <f>((Tableau!$G$35-P896)/(AE896^2+Tableau!$G$40^2)^(3/2))*Tableau!$G$39</f>
        <v>-1.6581298911152911</v>
      </c>
      <c r="AA896" s="97">
        <f>((Tableau!$H$35-Q896)/(AE896^2+Tableau!$G$40^2)^(3/2))*Tableau!$G$39</f>
        <v>5.3193866021954133</v>
      </c>
      <c r="AC896" s="110">
        <f>SQRT((Tableau!$G$16-P896)^2+(Tableau!$H$16-Q896)^2)</f>
        <v>321800.03684383148</v>
      </c>
      <c r="AD896" s="111">
        <f>SQRT((Tableau!$G$25-P896)^2+(Tableau!$H$25-Q896)^2)</f>
        <v>334706.50482064445</v>
      </c>
      <c r="AE896" s="112">
        <f>SQRT((Tableau!$G$35-P896)^2+(Tableau!$H$35-Q896)^2)</f>
        <v>306304.5680058829</v>
      </c>
    </row>
    <row r="897" spans="2:31" x14ac:dyDescent="0.25">
      <c r="B897" s="18">
        <v>894</v>
      </c>
      <c r="C897" s="19">
        <f>Tableau!$G$17*COS(B897*PI()/180)+Tableau!$G$16</f>
        <v>15027.390523158634</v>
      </c>
      <c r="D897" s="19">
        <f>Tableau!$G$17*SIN(B897*PI()/180)+Tableau!$H$16</f>
        <v>8022.6423163382733</v>
      </c>
      <c r="F897" s="26">
        <v>894</v>
      </c>
      <c r="G897" s="27">
        <f>Tableau!$G$26*COS(F897*PI()/180)+Tableau!$G$25</f>
        <v>-23480.826633788958</v>
      </c>
      <c r="H897" s="27">
        <f>Tableau!$G$26*SIN(F897*PI()/180)+Tableau!$H$25</f>
        <v>10365.849621436791</v>
      </c>
      <c r="J897" s="34">
        <v>894</v>
      </c>
      <c r="K897" s="35">
        <f>Tableau!$G$36*COS(J897*PI()/180)+Tableau!$G$35</f>
        <v>-9972.6094768413659</v>
      </c>
      <c r="L897" s="35">
        <f>Tableau!$G$36*SIN(J897*PI()/180)+Tableau!$H$35</f>
        <v>-14477.357683661727</v>
      </c>
      <c r="N897" s="98">
        <v>893</v>
      </c>
      <c r="O897" s="99">
        <v>446.5</v>
      </c>
      <c r="P897" s="101">
        <f>P896+R896*Tableau!$G$2+((1/2)*T896)*Tableau!$G$2^2</f>
        <v>86504.17654550304</v>
      </c>
      <c r="Q897" s="101">
        <f>Q896+S896*Tableau!$G$2+((1/2)*U896)*Tableau!$G$2^2</f>
        <v>-307873.57735900237</v>
      </c>
      <c r="R897" s="101">
        <f>R896+T896*Tableau!$G$2</f>
        <v>700.14795429630203</v>
      </c>
      <c r="S897" s="101">
        <f>S896+U896*Tableau!$G$2</f>
        <v>-890.41270364597256</v>
      </c>
      <c r="T897" s="101">
        <f t="shared" si="26"/>
        <v>-3.2017246655245075</v>
      </c>
      <c r="U897" s="101">
        <f t="shared" si="27"/>
        <v>11.738851567823239</v>
      </c>
      <c r="V897" s="101">
        <f>((Tableau!$G$16-P897)/(AC897^2+Tableau!$G$21^2)^(3/2))*Tableau!$G$20</f>
        <v>-1.03848961097159</v>
      </c>
      <c r="W897" s="101">
        <f>((Tableau!$H$16-Q897)/(AC897^2+Tableau!$G$21^2)^(3/2))*Tableau!$G$20</f>
        <v>4.9246859471777809</v>
      </c>
      <c r="X897" s="101">
        <f>((Tableau!$G$25-P897)/(AD897^2+Tableau!$G$30^2)^(3/2))*Tableau!$G$29</f>
        <v>-0.50734425252204718</v>
      </c>
      <c r="Y897" s="101">
        <f>((Tableau!$H$25-Q897)/(AD897^2+Tableau!$G$30^2)^(3/2))*Tableau!$G$29</f>
        <v>1.5142254297681026</v>
      </c>
      <c r="Z897" s="101">
        <f>((Tableau!$G$35-P897)/(AE897^2+Tableau!$G$40^2)^(3/2))*Tableau!$G$39</f>
        <v>-1.6558908020308705</v>
      </c>
      <c r="AA897" s="102">
        <f>((Tableau!$H$35-Q897)/(AE897^2+Tableau!$G$40^2)^(3/2))*Tableau!$G$39</f>
        <v>5.299940190877356</v>
      </c>
      <c r="AC897" s="113">
        <f>SQRT((Tableau!$G$16-P897)^2+(Tableau!$H$16-Q897)^2)</f>
        <v>322309.32160613989</v>
      </c>
      <c r="AD897" s="114">
        <f>SQRT((Tableau!$G$25-P897)^2+(Tableau!$H$25-Q897)^2)</f>
        <v>335241.33218421228</v>
      </c>
      <c r="AE897" s="115">
        <f>SQRT((Tableau!$G$35-P897)^2+(Tableau!$H$35-Q897)^2)</f>
        <v>306835.37384129968</v>
      </c>
    </row>
    <row r="898" spans="2:31" x14ac:dyDescent="0.25">
      <c r="B898" s="20">
        <v>895</v>
      </c>
      <c r="C898" s="21">
        <f>Tableau!$G$17*COS(B898*PI()/180)+Tableau!$G$16</f>
        <v>15019.026509541272</v>
      </c>
      <c r="D898" s="21">
        <f>Tableau!$G$17*SIN(B898*PI()/180)+Tableau!$H$16</f>
        <v>7935.7787137382929</v>
      </c>
      <c r="F898" s="28">
        <v>895</v>
      </c>
      <c r="G898" s="29">
        <f>Tableau!$G$26*COS(F898*PI()/180)+Tableau!$G$25</f>
        <v>-23486.681443321108</v>
      </c>
      <c r="H898" s="29">
        <f>Tableau!$G$26*SIN(F898*PI()/180)+Tableau!$H$25</f>
        <v>10305.045099616806</v>
      </c>
      <c r="J898" s="36">
        <v>895</v>
      </c>
      <c r="K898" s="37">
        <f>Tableau!$G$36*COS(J898*PI()/180)+Tableau!$G$35</f>
        <v>-9980.9734904587276</v>
      </c>
      <c r="L898" s="37">
        <f>Tableau!$G$36*SIN(J898*PI()/180)+Tableau!$H$35</f>
        <v>-14564.221286261707</v>
      </c>
      <c r="N898" s="92">
        <v>894</v>
      </c>
      <c r="O898" s="93">
        <v>447</v>
      </c>
      <c r="P898" s="96">
        <f>P897+R897*Tableau!$G$2+((1/2)*T897)*Tableau!$G$2^2</f>
        <v>86853.850307068002</v>
      </c>
      <c r="Q898" s="96">
        <f>Q897+S897*Tableau!$G$2+((1/2)*U897)*Tableau!$G$2^2</f>
        <v>-308317.31635437941</v>
      </c>
      <c r="R898" s="96">
        <f>R897+T897*Tableau!$G$2</f>
        <v>698.54709196353974</v>
      </c>
      <c r="S898" s="96">
        <f>S897+U897*Tableau!$G$2</f>
        <v>-884.5432778620609</v>
      </c>
      <c r="T898" s="96">
        <f t="shared" si="26"/>
        <v>-3.1993227373151338</v>
      </c>
      <c r="U898" s="96">
        <f t="shared" si="27"/>
        <v>11.698307951255135</v>
      </c>
      <c r="V898" s="96">
        <f>((Tableau!$G$16-P898)/(AC898^2+Tableau!$G$21^2)^(3/2))*Tableau!$G$20</f>
        <v>-1.0390490211473624</v>
      </c>
      <c r="W898" s="96">
        <f>((Tableau!$H$16-Q898)/(AC898^2+Tableau!$G$21^2)^(3/2))*Tableau!$G$20</f>
        <v>4.9084633407376357</v>
      </c>
      <c r="X898" s="96">
        <f>((Tableau!$G$25-P898)/(AD898^2+Tableau!$G$30^2)^(3/2))*Tableau!$G$29</f>
        <v>-0.50659589296143315</v>
      </c>
      <c r="Y898" s="96">
        <f>((Tableau!$H$25-Q898)/(AD898^2+Tableau!$G$30^2)^(3/2))*Tableau!$G$29</f>
        <v>1.5091477252361323</v>
      </c>
      <c r="Z898" s="96">
        <f>((Tableau!$G$35-P898)/(AE898^2+Tableau!$G$40^2)^(3/2))*Tableau!$G$39</f>
        <v>-1.6536778232063383</v>
      </c>
      <c r="AA898" s="97">
        <f>((Tableau!$H$35-Q898)/(AE898^2+Tableau!$G$40^2)^(3/2))*Tableau!$G$39</f>
        <v>5.280696885281368</v>
      </c>
      <c r="AC898" s="110">
        <f>SQRT((Tableau!$G$16-P898)^2+(Tableau!$H$16-Q898)^2)</f>
        <v>322815.75954429799</v>
      </c>
      <c r="AD898" s="111">
        <f>SQRT((Tableau!$G$25-P898)^2+(Tableau!$H$25-Q898)^2)</f>
        <v>335773.22587797162</v>
      </c>
      <c r="AE898" s="112">
        <f>SQRT((Tableau!$G$35-P898)^2+(Tableau!$H$35-Q898)^2)</f>
        <v>307363.26698154473</v>
      </c>
    </row>
    <row r="899" spans="2:31" x14ac:dyDescent="0.25">
      <c r="B899" s="18">
        <v>896</v>
      </c>
      <c r="C899" s="19">
        <f>Tableau!$G$17*COS(B899*PI()/180)+Tableau!$G$16</f>
        <v>15012.179748700877</v>
      </c>
      <c r="D899" s="19">
        <f>Tableau!$G$17*SIN(B899*PI()/180)+Tableau!$H$16</f>
        <v>7848.7823687206255</v>
      </c>
      <c r="F899" s="26">
        <v>896</v>
      </c>
      <c r="G899" s="27">
        <f>Tableau!$G$26*COS(F899*PI()/180)+Tableau!$G$25</f>
        <v>-23491.474175909385</v>
      </c>
      <c r="H899" s="27">
        <f>Tableau!$G$26*SIN(F899*PI()/180)+Tableau!$H$25</f>
        <v>10244.147658104437</v>
      </c>
      <c r="J899" s="34">
        <v>896</v>
      </c>
      <c r="K899" s="35">
        <f>Tableau!$G$36*COS(J899*PI()/180)+Tableau!$G$35</f>
        <v>-9987.8202512991229</v>
      </c>
      <c r="L899" s="35">
        <f>Tableau!$G$36*SIN(J899*PI()/180)+Tableau!$H$35</f>
        <v>-14651.217631279374</v>
      </c>
      <c r="N899" s="98">
        <v>895</v>
      </c>
      <c r="O899" s="99">
        <v>447.5</v>
      </c>
      <c r="P899" s="101">
        <f>P898+R898*Tableau!$G$2+((1/2)*T898)*Tableau!$G$2^2</f>
        <v>87202.723937707604</v>
      </c>
      <c r="Q899" s="101">
        <f>Q898+S898*Tableau!$G$2+((1/2)*U898)*Tableau!$G$2^2</f>
        <v>-308758.12570481648</v>
      </c>
      <c r="R899" s="101">
        <f>R898+T898*Tableau!$G$2</f>
        <v>696.94743059488212</v>
      </c>
      <c r="S899" s="101">
        <f>S898+U898*Tableau!$G$2</f>
        <v>-878.69412388643332</v>
      </c>
      <c r="T899" s="101">
        <f t="shared" si="26"/>
        <v>-3.1969501282935577</v>
      </c>
      <c r="U899" s="101">
        <f t="shared" si="27"/>
        <v>11.658178783133032</v>
      </c>
      <c r="V899" s="101">
        <f>((Tableau!$G$16-P899)/(AC899^2+Tableau!$G$21^2)^(3/2))*Tableau!$G$20</f>
        <v>-1.0396029179799953</v>
      </c>
      <c r="W899" s="101">
        <f>((Tableau!$H$16-Q899)/(AC899^2+Tableau!$G$21^2)^(3/2))*Tableau!$G$20</f>
        <v>4.8924039243166826</v>
      </c>
      <c r="X899" s="101">
        <f>((Tableau!$G$25-P899)/(AD899^2+Tableau!$G$30^2)^(3/2))*Tableau!$G$29</f>
        <v>-0.50585643656004409</v>
      </c>
      <c r="Y899" s="101">
        <f>((Tableau!$H$25-Q899)/(AD899^2+Tableau!$G$30^2)^(3/2))*Tableau!$G$29</f>
        <v>1.5041208252067582</v>
      </c>
      <c r="Z899" s="101">
        <f>((Tableau!$G$35-P899)/(AE899^2+Tableau!$G$40^2)^(3/2))*Tableau!$G$39</f>
        <v>-1.6514907737535185</v>
      </c>
      <c r="AA899" s="102">
        <f>((Tableau!$H$35-Q899)/(AE899^2+Tableau!$G$40^2)^(3/2))*Tableau!$G$39</f>
        <v>5.2616540336095907</v>
      </c>
      <c r="AC899" s="113">
        <f>SQRT((Tableau!$G$16-P899)^2+(Tableau!$H$16-Q899)^2)</f>
        <v>323319.35942496738</v>
      </c>
      <c r="AD899" s="114">
        <f>SQRT((Tableau!$G$25-P899)^2+(Tableau!$H$25-Q899)^2)</f>
        <v>336302.19553626457</v>
      </c>
      <c r="AE899" s="115">
        <f>SQRT((Tableau!$G$35-P899)^2+(Tableau!$H$35-Q899)^2)</f>
        <v>307888.25687112508</v>
      </c>
    </row>
    <row r="900" spans="2:31" x14ac:dyDescent="0.25">
      <c r="B900" s="20">
        <v>897</v>
      </c>
      <c r="C900" s="21">
        <f>Tableau!$G$17*COS(B900*PI()/180)+Tableau!$G$16</f>
        <v>15006.85232622713</v>
      </c>
      <c r="D900" s="21">
        <f>Tableau!$G$17*SIN(B900*PI()/180)+Tableau!$H$16</f>
        <v>7761.6797812147233</v>
      </c>
      <c r="F900" s="28">
        <v>897</v>
      </c>
      <c r="G900" s="29">
        <f>Tableau!$G$26*COS(F900*PI()/180)+Tableau!$G$25</f>
        <v>-23495.203371641008</v>
      </c>
      <c r="H900" s="29">
        <f>Tableau!$G$26*SIN(F900*PI()/180)+Tableau!$H$25</f>
        <v>10183.175846850307</v>
      </c>
      <c r="J900" s="36">
        <v>897</v>
      </c>
      <c r="K900" s="37">
        <f>Tableau!$G$36*COS(J900*PI()/180)+Tableau!$G$35</f>
        <v>-9993.1476737728699</v>
      </c>
      <c r="L900" s="37">
        <f>Tableau!$G$36*SIN(J900*PI()/180)+Tableau!$H$35</f>
        <v>-14738.320218785277</v>
      </c>
      <c r="N900" s="92">
        <v>896</v>
      </c>
      <c r="O900" s="93">
        <v>448</v>
      </c>
      <c r="P900" s="96">
        <f>P899+R899*Tableau!$G$2+((1/2)*T899)*Tableau!$G$2^2</f>
        <v>87550.798034239007</v>
      </c>
      <c r="Q900" s="96">
        <f>Q899+S899*Tableau!$G$2+((1/2)*U899)*Tableau!$G$2^2</f>
        <v>-309196.01549441181</v>
      </c>
      <c r="R900" s="96">
        <f>R899+T899*Tableau!$G$2</f>
        <v>695.34895553073534</v>
      </c>
      <c r="S900" s="96">
        <f>S899+U899*Tableau!$G$2</f>
        <v>-872.86503449486679</v>
      </c>
      <c r="T900" s="96">
        <f t="shared" ref="T900:T963" si="28">V900+X900+Z900</f>
        <v>-3.1946068343037153</v>
      </c>
      <c r="U900" s="96">
        <f t="shared" ref="U900:U963" si="29">W900+Y900+AA900</f>
        <v>11.618458846476436</v>
      </c>
      <c r="V900" s="96">
        <f>((Tableau!$G$16-P900)/(AC900^2+Tableau!$G$21^2)^(3/2))*Tableau!$G$20</f>
        <v>-1.0401515538884345</v>
      </c>
      <c r="W900" s="96">
        <f>((Tableau!$H$16-Q900)/(AC900^2+Tableau!$G$21^2)^(3/2))*Tableau!$G$20</f>
        <v>4.8765057144080144</v>
      </c>
      <c r="X900" s="96">
        <f>((Tableau!$G$25-P900)/(AD900^2+Tableau!$G$30^2)^(3/2))*Tableau!$G$29</f>
        <v>-0.50512580540097274</v>
      </c>
      <c r="Y900" s="96">
        <f>((Tableau!$H$25-Q900)/(AD900^2+Tableau!$G$30^2)^(3/2))*Tableau!$G$29</f>
        <v>1.4991441007817246</v>
      </c>
      <c r="Z900" s="96">
        <f>((Tableau!$G$35-P900)/(AE900^2+Tableau!$G$40^2)^(3/2))*Tableau!$G$39</f>
        <v>-1.6493294750143079</v>
      </c>
      <c r="AA900" s="97">
        <f>((Tableau!$H$35-Q900)/(AE900^2+Tableau!$G$40^2)^(3/2))*Tableau!$G$39</f>
        <v>5.2428090312866971</v>
      </c>
      <c r="AC900" s="110">
        <f>SQRT((Tableau!$G$16-P900)^2+(Tableau!$H$16-Q900)^2)</f>
        <v>323820.12992570316</v>
      </c>
      <c r="AD900" s="111">
        <f>SQRT((Tableau!$G$25-P900)^2+(Tableau!$H$25-Q900)^2)</f>
        <v>336828.25069359969</v>
      </c>
      <c r="AE900" s="112">
        <f>SQRT((Tableau!$G$35-P900)^2+(Tableau!$H$35-Q900)^2)</f>
        <v>308410.3528572974</v>
      </c>
    </row>
    <row r="901" spans="2:31" x14ac:dyDescent="0.25">
      <c r="B901" s="18">
        <v>898</v>
      </c>
      <c r="C901" s="19">
        <f>Tableau!$G$17*COS(B901*PI()/180)+Tableau!$G$16</f>
        <v>15003.045864904521</v>
      </c>
      <c r="D901" s="19">
        <f>Tableau!$G$17*SIN(B901*PI()/180)+Tableau!$H$16</f>
        <v>7674.4974835125058</v>
      </c>
      <c r="F901" s="26">
        <v>898</v>
      </c>
      <c r="G901" s="27">
        <f>Tableau!$G$26*COS(F901*PI()/180)+Tableau!$G$25</f>
        <v>-23497.867894566836</v>
      </c>
      <c r="H901" s="27">
        <f>Tableau!$G$26*SIN(F901*PI()/180)+Tableau!$H$25</f>
        <v>10122.148238458754</v>
      </c>
      <c r="J901" s="34">
        <v>898</v>
      </c>
      <c r="K901" s="35">
        <f>Tableau!$G$36*COS(J901*PI()/180)+Tableau!$G$35</f>
        <v>-9996.9541350954787</v>
      </c>
      <c r="L901" s="35">
        <f>Tableau!$G$36*SIN(J901*PI()/180)+Tableau!$H$35</f>
        <v>-14825.502516487493</v>
      </c>
      <c r="N901" s="98">
        <v>897</v>
      </c>
      <c r="O901" s="99">
        <v>448.5</v>
      </c>
      <c r="P901" s="101">
        <f>P900+R900*Tableau!$G$2+((1/2)*T900)*Tableau!$G$2^2</f>
        <v>87898.073186150083</v>
      </c>
      <c r="Q901" s="101">
        <f>Q900+S900*Tableau!$G$2+((1/2)*U900)*Tableau!$G$2^2</f>
        <v>-309630.99570430344</v>
      </c>
      <c r="R901" s="101">
        <f>R900+T900*Tableau!$G$2</f>
        <v>693.75165211358353</v>
      </c>
      <c r="S901" s="101">
        <f>S900+U900*Tableau!$G$2</f>
        <v>-867.05580507162858</v>
      </c>
      <c r="T901" s="101">
        <f t="shared" si="28"/>
        <v>-3.1922928489794278</v>
      </c>
      <c r="U901" s="101">
        <f t="shared" si="29"/>
        <v>11.579143014710711</v>
      </c>
      <c r="V901" s="101">
        <f>((Tableau!$G$16-P901)/(AC901^2+Tableau!$G$21^2)^(3/2))*Tableau!$G$20</f>
        <v>-1.0406951756448108</v>
      </c>
      <c r="W901" s="101">
        <f>((Tableau!$H$16-Q901)/(AC901^2+Tableau!$G$21^2)^(3/2))*Tableau!$G$20</f>
        <v>4.8607667609664214</v>
      </c>
      <c r="X901" s="101">
        <f>((Tableau!$G$25-P901)/(AD901^2+Tableau!$G$30^2)^(3/2))*Tableau!$G$29</f>
        <v>-0.50440392279237212</v>
      </c>
      <c r="Y901" s="101">
        <f>((Tableau!$H$25-Q901)/(AD901^2+Tableau!$G$30^2)^(3/2))*Tableau!$G$29</f>
        <v>1.4942169338013467</v>
      </c>
      <c r="Z901" s="101">
        <f>((Tableau!$G$35-P901)/(AE901^2+Tableau!$G$40^2)^(3/2))*Tableau!$G$39</f>
        <v>-1.6471937505422449</v>
      </c>
      <c r="AA901" s="102">
        <f>((Tableau!$H$35-Q901)/(AE901^2+Tableau!$G$40^2)^(3/2))*Tableau!$G$39</f>
        <v>5.2241593199429435</v>
      </c>
      <c r="AC901" s="113">
        <f>SQRT((Tableau!$G$16-P901)^2+(Tableau!$H$16-Q901)^2)</f>
        <v>324318.07963601832</v>
      </c>
      <c r="AD901" s="114">
        <f>SQRT((Tableau!$G$25-P901)^2+(Tableau!$H$25-Q901)^2)</f>
        <v>337351.40078589896</v>
      </c>
      <c r="AE901" s="115">
        <f>SQRT((Tableau!$G$35-P901)^2+(Tableau!$H$35-Q901)^2)</f>
        <v>308929.56419127091</v>
      </c>
    </row>
    <row r="902" spans="2:31" x14ac:dyDescent="0.25">
      <c r="B902" s="20">
        <v>899</v>
      </c>
      <c r="C902" s="21">
        <f>Tableau!$G$17*COS(B902*PI()/180)+Tableau!$G$16</f>
        <v>15000.761524218044</v>
      </c>
      <c r="D902" s="21">
        <f>Tableau!$G$17*SIN(B902*PI()/180)+Tableau!$H$16</f>
        <v>7587.2620321864151</v>
      </c>
      <c r="F902" s="28">
        <v>899</v>
      </c>
      <c r="G902" s="29">
        <f>Tableau!$G$26*COS(F902*PI()/180)+Tableau!$G$25</f>
        <v>-23499.46693304737</v>
      </c>
      <c r="H902" s="29">
        <f>Tableau!$G$26*SIN(F902*PI()/180)+Tableau!$H$25</f>
        <v>10061.08342253049</v>
      </c>
      <c r="J902" s="36">
        <v>899</v>
      </c>
      <c r="K902" s="37">
        <f>Tableau!$G$36*COS(J902*PI()/180)+Tableau!$G$35</f>
        <v>-9999.2384757819564</v>
      </c>
      <c r="L902" s="37">
        <f>Tableau!$G$36*SIN(J902*PI()/180)+Tableau!$H$35</f>
        <v>-14912.737967813584</v>
      </c>
      <c r="N902" s="92">
        <v>898</v>
      </c>
      <c r="O902" s="93">
        <v>449</v>
      </c>
      <c r="P902" s="96">
        <f>P901+R901*Tableau!$G$2+((1/2)*T901)*Tableau!$G$2^2</f>
        <v>88244.549975600748</v>
      </c>
      <c r="Q902" s="96">
        <f>Q901+S901*Tableau!$G$2+((1/2)*U901)*Tableau!$G$2^2</f>
        <v>-310063.0762139624</v>
      </c>
      <c r="R902" s="96">
        <f>R901+T901*Tableau!$G$2</f>
        <v>692.15550568909384</v>
      </c>
      <c r="S902" s="96">
        <f>S901+U901*Tableau!$G$2</f>
        <v>-861.26623356427319</v>
      </c>
      <c r="T902" s="96">
        <f t="shared" si="28"/>
        <v>-3.190008163856271</v>
      </c>
      <c r="U902" s="96">
        <f t="shared" si="29"/>
        <v>11.540226249776051</v>
      </c>
      <c r="V902" s="96">
        <f>((Tableau!$G$16-P902)/(AC902^2+Tableau!$G$21^2)^(3/2))*Tableau!$G$20</f>
        <v>-1.0412340245257614</v>
      </c>
      <c r="W902" s="96">
        <f>((Tableau!$H$16-Q902)/(AC902^2+Tableau!$G$21^2)^(3/2))*Tableau!$G$20</f>
        <v>4.8451851467298708</v>
      </c>
      <c r="X902" s="96">
        <f>((Tableau!$G$25-P902)/(AD902^2+Tableau!$G$30^2)^(3/2))*Tableau!$G$29</f>
        <v>-0.50369071324642434</v>
      </c>
      <c r="Y902" s="96">
        <f>((Tableau!$H$25-Q902)/(AD902^2+Tableau!$G$30^2)^(3/2))*Tableau!$G$29</f>
        <v>1.4893387166226302</v>
      </c>
      <c r="Z902" s="96">
        <f>((Tableau!$G$35-P902)/(AE902^2+Tableau!$G$40^2)^(3/2))*Tableau!$G$39</f>
        <v>-1.6450834260840852</v>
      </c>
      <c r="AA902" s="97">
        <f>((Tableau!$H$35-Q902)/(AE902^2+Tableau!$G$40^2)^(3/2))*Tableau!$G$39</f>
        <v>5.2057023864235505</v>
      </c>
      <c r="AC902" s="110">
        <f>SQRT((Tableau!$G$16-P902)^2+(Tableau!$H$16-Q902)^2)</f>
        <v>324813.2170584306</v>
      </c>
      <c r="AD902" s="111">
        <f>SQRT((Tableau!$G$25-P902)^2+(Tableau!$H$25-Q902)^2)</f>
        <v>337871.6551517233</v>
      </c>
      <c r="AE902" s="112">
        <f>SQRT((Tableau!$G$35-P902)^2+(Tableau!$H$35-Q902)^2)</f>
        <v>309445.90002938948</v>
      </c>
    </row>
    <row r="903" spans="2:31" x14ac:dyDescent="0.25">
      <c r="B903" s="18">
        <v>900</v>
      </c>
      <c r="C903" s="19">
        <f>Tableau!$G$17*COS(B903*PI()/180)+Tableau!$G$16</f>
        <v>15000</v>
      </c>
      <c r="D903" s="19">
        <f>Tableau!$G$17*SIN(B903*PI()/180)+Tableau!$H$16</f>
        <v>7500.0000000000027</v>
      </c>
      <c r="F903" s="26">
        <v>900</v>
      </c>
      <c r="G903" s="27">
        <f>Tableau!$G$26*COS(F903*PI()/180)+Tableau!$G$25</f>
        <v>-23500</v>
      </c>
      <c r="H903" s="27">
        <f>Tableau!$G$26*SIN(F903*PI()/180)+Tableau!$H$25</f>
        <v>10000.000000000002</v>
      </c>
      <c r="J903" s="34">
        <v>900</v>
      </c>
      <c r="K903" s="35">
        <f>Tableau!$G$36*COS(J903*PI()/180)+Tableau!$G$35</f>
        <v>-10000</v>
      </c>
      <c r="L903" s="35">
        <f>Tableau!$G$36*SIN(J903*PI()/180)+Tableau!$H$35</f>
        <v>-14999.999999999996</v>
      </c>
      <c r="N903" s="98">
        <v>899</v>
      </c>
      <c r="O903" s="99">
        <v>449.5</v>
      </c>
      <c r="P903" s="101">
        <f>P902+R902*Tableau!$G$2+((1/2)*T902)*Tableau!$G$2^2</f>
        <v>88590.22897742482</v>
      </c>
      <c r="Q903" s="101">
        <f>Q902+S902*Tableau!$G$2+((1/2)*U902)*Tableau!$G$2^2</f>
        <v>-310492.26680246327</v>
      </c>
      <c r="R903" s="101">
        <f>R902+T902*Tableau!$G$2</f>
        <v>690.56050160716575</v>
      </c>
      <c r="S903" s="101">
        <f>S902+U902*Tableau!$G$2</f>
        <v>-855.49612043938521</v>
      </c>
      <c r="T903" s="101">
        <f t="shared" si="28"/>
        <v>-3.1877527684794407</v>
      </c>
      <c r="U903" s="101">
        <f t="shared" si="29"/>
        <v>11.501703600283747</v>
      </c>
      <c r="V903" s="101">
        <f>((Tableau!$G$16-P903)/(AC903^2+Tableau!$G$21^2)^(3/2))*Tableau!$G$20</f>
        <v>-1.0417683364594656</v>
      </c>
      <c r="W903" s="101">
        <f>((Tableau!$H$16-Q903)/(AC903^2+Tableau!$G$21^2)^(3/2))*Tableau!$G$20</f>
        <v>4.8297589865578292</v>
      </c>
      <c r="X903" s="101">
        <f>((Tableau!$G$25-P903)/(AD903^2+Tableau!$G$30^2)^(3/2))*Tableau!$G$29</f>
        <v>-0.50298610245878239</v>
      </c>
      <c r="Y903" s="101">
        <f>((Tableau!$H$25-Q903)/(AD903^2+Tableau!$G$30^2)^(3/2))*Tableau!$G$29</f>
        <v>1.4845088519029119</v>
      </c>
      <c r="Z903" s="101">
        <f>((Tableau!$G$35-P903)/(AE903^2+Tableau!$G$40^2)^(3/2))*Tableau!$G$39</f>
        <v>-1.6429983295611925</v>
      </c>
      <c r="AA903" s="102">
        <f>((Tableau!$H$35-Q903)/(AE903^2+Tableau!$G$40^2)^(3/2))*Tableau!$G$39</f>
        <v>5.1874357618230071</v>
      </c>
      <c r="AC903" s="113">
        <f>SQRT((Tableau!$G$16-P903)^2+(Tableau!$H$16-Q903)^2)</f>
        <v>325305.55060949171</v>
      </c>
      <c r="AD903" s="114">
        <f>SQRT((Tableau!$G$25-P903)^2+(Tableau!$H$25-Q903)^2)</f>
        <v>338389.02303347673</v>
      </c>
      <c r="AE903" s="115">
        <f>SQRT((Tableau!$G$35-P903)^2+(Tableau!$H$35-Q903)^2)</f>
        <v>309959.36943429365</v>
      </c>
    </row>
    <row r="904" spans="2:31" x14ac:dyDescent="0.25">
      <c r="B904" s="20">
        <v>901</v>
      </c>
      <c r="C904" s="21">
        <f>Tableau!$G$17*COS(B904*PI()/180)+Tableau!$G$16</f>
        <v>15000.761524218044</v>
      </c>
      <c r="D904" s="21">
        <f>Tableau!$G$17*SIN(B904*PI()/180)+Tableau!$H$16</f>
        <v>7412.7379678135912</v>
      </c>
      <c r="F904" s="28">
        <v>901</v>
      </c>
      <c r="G904" s="29">
        <f>Tableau!$G$26*COS(F904*PI()/180)+Tableau!$G$25</f>
        <v>-23499.46693304737</v>
      </c>
      <c r="H904" s="29">
        <f>Tableau!$G$26*SIN(F904*PI()/180)+Tableau!$H$25</f>
        <v>9938.9165774695139</v>
      </c>
      <c r="J904" s="36">
        <v>901</v>
      </c>
      <c r="K904" s="37">
        <f>Tableau!$G$36*COS(J904*PI()/180)+Tableau!$G$35</f>
        <v>-9999.2384757819564</v>
      </c>
      <c r="L904" s="37">
        <f>Tableau!$G$36*SIN(J904*PI()/180)+Tableau!$H$35</f>
        <v>-15087.262032186409</v>
      </c>
      <c r="N904" s="92">
        <v>900</v>
      </c>
      <c r="O904" s="93">
        <v>450</v>
      </c>
      <c r="P904" s="96">
        <f>P903+R903*Tableau!$G$2+((1/2)*T903)*Tableau!$G$2^2</f>
        <v>88935.110759132338</v>
      </c>
      <c r="Q904" s="96">
        <f>Q903+S903*Tableau!$G$2+((1/2)*U903)*Tableau!$G$2^2</f>
        <v>-310918.57714973291</v>
      </c>
      <c r="R904" s="96">
        <f>R903+T903*Tableau!$G$2</f>
        <v>688.96662522292604</v>
      </c>
      <c r="S904" s="96">
        <f>S903+U903*Tableau!$G$2</f>
        <v>-849.74526863924336</v>
      </c>
      <c r="T904" s="96">
        <f t="shared" si="28"/>
        <v>-3.1855266505078306</v>
      </c>
      <c r="U904" s="96">
        <f t="shared" si="29"/>
        <v>11.463570199718381</v>
      </c>
      <c r="V904" s="96">
        <f>((Tableau!$G$16-P904)/(AC904^2+Tableau!$G$21^2)^(3/2))*Tableau!$G$20</f>
        <v>-1.0422983421684076</v>
      </c>
      <c r="W904" s="96">
        <f>((Tableau!$H$16-Q904)/(AC904^2+Tableau!$G$21^2)^(3/2))*Tableau!$G$20</f>
        <v>4.8144864267853853</v>
      </c>
      <c r="X904" s="96">
        <f>((Tableau!$G$25-P904)/(AD904^2+Tableau!$G$30^2)^(3/2))*Tableau!$G$29</f>
        <v>-0.50229001728845324</v>
      </c>
      <c r="Y904" s="96">
        <f>((Tableau!$H$25-Q904)/(AD904^2+Tableau!$G$30^2)^(3/2))*Tableau!$G$29</f>
        <v>1.4797267523888002</v>
      </c>
      <c r="Z904" s="96">
        <f>((Tableau!$G$35-P904)/(AE904^2+Tableau!$G$40^2)^(3/2))*Tableau!$G$39</f>
        <v>-1.6409382910509698</v>
      </c>
      <c r="AA904" s="97">
        <f>((Tableau!$H$35-Q904)/(AE904^2+Tableau!$G$40^2)^(3/2))*Tableau!$G$39</f>
        <v>5.1693570205441954</v>
      </c>
      <c r="AC904" s="110">
        <f>SQRT((Tableau!$G$16-P904)^2+(Tableau!$H$16-Q904)^2)</f>
        <v>325795.08862079895</v>
      </c>
      <c r="AD904" s="111">
        <f>SQRT((Tableau!$G$25-P904)^2+(Tableau!$H$25-Q904)^2)</f>
        <v>338903.51357858995</v>
      </c>
      <c r="AE904" s="112">
        <f>SQRT((Tableau!$G$35-P904)^2+(Tableau!$H$35-Q904)^2)</f>
        <v>310469.98137606296</v>
      </c>
    </row>
    <row r="905" spans="2:31" x14ac:dyDescent="0.25">
      <c r="B905" s="18">
        <v>902</v>
      </c>
      <c r="C905" s="19">
        <f>Tableau!$G$17*COS(B905*PI()/180)+Tableau!$G$16</f>
        <v>15003.045864904521</v>
      </c>
      <c r="D905" s="19">
        <f>Tableau!$G$17*SIN(B905*PI()/180)+Tableau!$H$16</f>
        <v>7325.5025164874914</v>
      </c>
      <c r="F905" s="26">
        <v>902</v>
      </c>
      <c r="G905" s="27">
        <f>Tableau!$G$26*COS(F905*PI()/180)+Tableau!$G$25</f>
        <v>-23497.867894566836</v>
      </c>
      <c r="H905" s="27">
        <f>Tableau!$G$26*SIN(F905*PI()/180)+Tableau!$H$25</f>
        <v>9877.8517615412438</v>
      </c>
      <c r="J905" s="34">
        <v>902</v>
      </c>
      <c r="K905" s="35">
        <f>Tableau!$G$36*COS(J905*PI()/180)+Tableau!$G$35</f>
        <v>-9996.9541350954787</v>
      </c>
      <c r="L905" s="35">
        <f>Tableau!$G$36*SIN(J905*PI()/180)+Tableau!$H$35</f>
        <v>-15174.497483512509</v>
      </c>
      <c r="N905" s="98">
        <v>901</v>
      </c>
      <c r="O905" s="99">
        <v>450.5</v>
      </c>
      <c r="P905" s="101">
        <f>P904+R904*Tableau!$G$2+((1/2)*T904)*Tableau!$G$2^2</f>
        <v>89279.195880912492</v>
      </c>
      <c r="Q905" s="101">
        <f>Q904+S904*Tableau!$G$2+((1/2)*U904)*Tableau!$G$2^2</f>
        <v>-311342.01683777757</v>
      </c>
      <c r="R905" s="101">
        <f>R904+T904*Tableau!$G$2</f>
        <v>687.3738618976721</v>
      </c>
      <c r="S905" s="101">
        <f>S904+U904*Tableau!$G$2</f>
        <v>-844.0134835393842</v>
      </c>
      <c r="T905" s="101">
        <f t="shared" si="28"/>
        <v>-3.1833297958144073</v>
      </c>
      <c r="U905" s="101">
        <f t="shared" si="29"/>
        <v>11.425821264684423</v>
      </c>
      <c r="V905" s="101">
        <f>((Tableau!$G$16-P905)/(AC905^2+Tableau!$G$21^2)^(3/2))*Tableau!$G$20</f>
        <v>-1.0428242673079962</v>
      </c>
      <c r="W905" s="101">
        <f>((Tableau!$H$16-Q905)/(AC905^2+Tableau!$G$21^2)^(3/2))*Tableau!$G$20</f>
        <v>4.7993656445926947</v>
      </c>
      <c r="X905" s="101">
        <f>((Tableau!$G$25-P905)/(AD905^2+Tableau!$G$30^2)^(3/2))*Tableau!$G$29</f>
        <v>-0.50160238573811433</v>
      </c>
      <c r="Y905" s="101">
        <f>((Tableau!$H$25-Q905)/(AD905^2+Tableau!$G$30^2)^(3/2))*Tableau!$G$29</f>
        <v>1.4749918407102813</v>
      </c>
      <c r="Z905" s="101">
        <f>((Tableau!$G$35-P905)/(AE905^2+Tableau!$G$40^2)^(3/2))*Tableau!$G$39</f>
        <v>-1.6389031427682967</v>
      </c>
      <c r="AA905" s="102">
        <f>((Tableau!$H$35-Q905)/(AE905^2+Tableau!$G$40^2)^(3/2))*Tableau!$G$39</f>
        <v>5.1514637793814462</v>
      </c>
      <c r="AC905" s="113">
        <f>SQRT((Tableau!$G$16-P905)^2+(Tableau!$H$16-Q905)^2)</f>
        <v>326281.83933999063</v>
      </c>
      <c r="AD905" s="114">
        <f>SQRT((Tableau!$G$25-P905)^2+(Tableau!$H$25-Q905)^2)</f>
        <v>339415.13584068313</v>
      </c>
      <c r="AE905" s="115">
        <f>SQRT((Tableau!$G$35-P905)^2+(Tableau!$H$35-Q905)^2)</f>
        <v>310977.74473333795</v>
      </c>
    </row>
    <row r="906" spans="2:31" x14ac:dyDescent="0.25">
      <c r="B906" s="20">
        <v>903</v>
      </c>
      <c r="C906" s="21">
        <f>Tableau!$G$17*COS(B906*PI()/180)+Tableau!$G$16</f>
        <v>15006.85232622713</v>
      </c>
      <c r="D906" s="21">
        <f>Tableau!$G$17*SIN(B906*PI()/180)+Tableau!$H$16</f>
        <v>7238.3202187852821</v>
      </c>
      <c r="F906" s="28">
        <v>903</v>
      </c>
      <c r="G906" s="29">
        <f>Tableau!$G$26*COS(F906*PI()/180)+Tableau!$G$25</f>
        <v>-23495.203371641008</v>
      </c>
      <c r="H906" s="29">
        <f>Tableau!$G$26*SIN(F906*PI()/180)+Tableau!$H$25</f>
        <v>9816.8241531496969</v>
      </c>
      <c r="J906" s="36">
        <v>903</v>
      </c>
      <c r="K906" s="37">
        <f>Tableau!$G$36*COS(J906*PI()/180)+Tableau!$G$35</f>
        <v>-9993.1476737728699</v>
      </c>
      <c r="L906" s="37">
        <f>Tableau!$G$36*SIN(J906*PI()/180)+Tableau!$H$35</f>
        <v>-15261.679781214718</v>
      </c>
      <c r="N906" s="92">
        <v>902</v>
      </c>
      <c r="O906" s="93">
        <v>451</v>
      </c>
      <c r="P906" s="96">
        <f>P905+R905*Tableau!$G$2+((1/2)*T905)*Tableau!$G$2^2</f>
        <v>89622.484895636851</v>
      </c>
      <c r="Q906" s="96">
        <f>Q905+S905*Tableau!$G$2+((1/2)*U905)*Tableau!$G$2^2</f>
        <v>-311762.59535188915</v>
      </c>
      <c r="R906" s="96">
        <f>R905+T905*Tableau!$G$2</f>
        <v>685.78219699976489</v>
      </c>
      <c r="S906" s="96">
        <f>S905+U905*Tableau!$G$2</f>
        <v>-838.30057290704201</v>
      </c>
      <c r="T906" s="96">
        <f t="shared" si="28"/>
        <v>-3.1811621885830288</v>
      </c>
      <c r="U906" s="96">
        <f t="shared" si="29"/>
        <v>11.388452093196317</v>
      </c>
      <c r="V906" s="96">
        <f>((Tableau!$G$16-P906)/(AC906^2+Tableau!$G$21^2)^(3/2))*Tableau!$G$20</f>
        <v>-1.0433463326013455</v>
      </c>
      <c r="W906" s="96">
        <f>((Tableau!$H$16-Q906)/(AC906^2+Tableau!$G$21^2)^(3/2))*Tableau!$G$20</f>
        <v>4.7843948473901126</v>
      </c>
      <c r="X906" s="96">
        <f>((Tableau!$G$25-P906)/(AD906^2+Tableau!$G$30^2)^(3/2))*Tableau!$G$29</f>
        <v>-0.50092313693485124</v>
      </c>
      <c r="Y906" s="96">
        <f>((Tableau!$H$25-Q906)/(AD906^2+Tableau!$G$30^2)^(3/2))*Tableau!$G$29</f>
        <v>1.4703035491798331</v>
      </c>
      <c r="Z906" s="96">
        <f>((Tableau!$G$35-P906)/(AE906^2+Tableau!$G$40^2)^(3/2))*Tableau!$G$39</f>
        <v>-1.6368927190468319</v>
      </c>
      <c r="AA906" s="97">
        <f>((Tableau!$H$35-Q906)/(AE906^2+Tableau!$G$40^2)^(3/2))*Tableau!$G$39</f>
        <v>5.1337536966263704</v>
      </c>
      <c r="AC906" s="110">
        <f>SQRT((Tableau!$G$16-P906)^2+(Tableau!$H$16-Q906)^2)</f>
        <v>326765.81093172415</v>
      </c>
      <c r="AD906" s="111">
        <f>SQRT((Tableau!$G$25-P906)^2+(Tableau!$H$25-Q906)^2)</f>
        <v>339923.89878070896</v>
      </c>
      <c r="AE906" s="112">
        <f>SQRT((Tableau!$G$35-P906)^2+(Tableau!$H$35-Q906)^2)</f>
        <v>311482.66829442396</v>
      </c>
    </row>
    <row r="907" spans="2:31" x14ac:dyDescent="0.25">
      <c r="B907" s="18">
        <v>904</v>
      </c>
      <c r="C907" s="19">
        <f>Tableau!$G$17*COS(B907*PI()/180)+Tableau!$G$16</f>
        <v>15012.179748700877</v>
      </c>
      <c r="D907" s="19">
        <f>Tableau!$G$17*SIN(B907*PI()/180)+Tableau!$H$16</f>
        <v>7151.2176312793808</v>
      </c>
      <c r="F907" s="26">
        <v>904</v>
      </c>
      <c r="G907" s="27">
        <f>Tableau!$G$26*COS(F907*PI()/180)+Tableau!$G$25</f>
        <v>-23491.474175909385</v>
      </c>
      <c r="H907" s="27">
        <f>Tableau!$G$26*SIN(F907*PI()/180)+Tableau!$H$25</f>
        <v>9755.8523418955665</v>
      </c>
      <c r="J907" s="34">
        <v>904</v>
      </c>
      <c r="K907" s="35">
        <f>Tableau!$G$36*COS(J907*PI()/180)+Tableau!$G$35</f>
        <v>-9987.8202512991229</v>
      </c>
      <c r="L907" s="35">
        <f>Tableau!$G$36*SIN(J907*PI()/180)+Tableau!$H$35</f>
        <v>-15348.78236872062</v>
      </c>
      <c r="N907" s="98">
        <v>903</v>
      </c>
      <c r="O907" s="99">
        <v>451.5</v>
      </c>
      <c r="P907" s="101">
        <f>P906+R906*Tableau!$G$2+((1/2)*T906)*Tableau!$G$2^2</f>
        <v>89964.978348863166</v>
      </c>
      <c r="Q907" s="101">
        <f>Q906+S906*Tableau!$G$2+((1/2)*U906)*Tableau!$G$2^2</f>
        <v>-312180.32208183105</v>
      </c>
      <c r="R907" s="101">
        <f>R906+T906*Tableau!$G$2</f>
        <v>684.19161590547333</v>
      </c>
      <c r="S907" s="101">
        <f>S906+U906*Tableau!$G$2</f>
        <v>-832.60634686044386</v>
      </c>
      <c r="T907" s="101">
        <f t="shared" si="28"/>
        <v>-3.1790238114017941</v>
      </c>
      <c r="U907" s="101">
        <f t="shared" si="29"/>
        <v>11.35145806301019</v>
      </c>
      <c r="V907" s="101">
        <f>((Tableau!$G$16-P907)/(AC907^2+Tableau!$G$21^2)^(3/2))*Tableau!$G$20</f>
        <v>-1.0438647539700696</v>
      </c>
      <c r="W907" s="101">
        <f>((Tableau!$H$16-Q907)/(AC907^2+Tableau!$G$21^2)^(3/2))*Tableau!$G$20</f>
        <v>4.7695722722173235</v>
      </c>
      <c r="X907" s="101">
        <f>((Tableau!$G$25-P907)/(AD907^2+Tableau!$G$30^2)^(3/2))*Tableau!$G$29</f>
        <v>-0.50025220111133273</v>
      </c>
      <c r="Y907" s="101">
        <f>((Tableau!$H$25-Q907)/(AD907^2+Tableau!$G$30^2)^(3/2))*Tableau!$G$29</f>
        <v>1.4656613195964885</v>
      </c>
      <c r="Z907" s="101">
        <f>((Tableau!$G$35-P907)/(AE907^2+Tableau!$G$40^2)^(3/2))*Tableau!$G$39</f>
        <v>-1.6349068563203919</v>
      </c>
      <c r="AA907" s="102">
        <f>((Tableau!$H$35-Q907)/(AE907^2+Tableau!$G$40^2)^(3/2))*Tableau!$G$39</f>
        <v>5.1162244711963778</v>
      </c>
      <c r="AC907" s="113">
        <f>SQRT((Tableau!$G$16-P907)^2+(Tableau!$H$16-Q907)^2)</f>
        <v>327247.01147863845</v>
      </c>
      <c r="AD907" s="114">
        <f>SQRT((Tableau!$G$25-P907)^2+(Tableau!$H$25-Q907)^2)</f>
        <v>340429.81126807671</v>
      </c>
      <c r="AE907" s="115">
        <f>SQRT((Tableau!$G$35-P907)^2+(Tableau!$H$35-Q907)^2)</f>
        <v>311984.76075837563</v>
      </c>
    </row>
    <row r="908" spans="2:31" x14ac:dyDescent="0.25">
      <c r="B908" s="20">
        <v>905</v>
      </c>
      <c r="C908" s="21">
        <f>Tableau!$G$17*COS(B908*PI()/180)+Tableau!$G$16</f>
        <v>15019.026509541272</v>
      </c>
      <c r="D908" s="21">
        <f>Tableau!$G$17*SIN(B908*PI()/180)+Tableau!$H$16</f>
        <v>7064.2212862617216</v>
      </c>
      <c r="F908" s="28">
        <v>905</v>
      </c>
      <c r="G908" s="29">
        <f>Tableau!$G$26*COS(F908*PI()/180)+Tableau!$G$25</f>
        <v>-23486.681443321111</v>
      </c>
      <c r="H908" s="29">
        <f>Tableau!$G$26*SIN(F908*PI()/180)+Tableau!$H$25</f>
        <v>9694.9549003832053</v>
      </c>
      <c r="J908" s="36">
        <v>905</v>
      </c>
      <c r="K908" s="37">
        <f>Tableau!$G$36*COS(J908*PI()/180)+Tableau!$G$35</f>
        <v>-9980.9734904587276</v>
      </c>
      <c r="L908" s="37">
        <f>Tableau!$G$36*SIN(J908*PI()/180)+Tableau!$H$35</f>
        <v>-15435.778713738278</v>
      </c>
      <c r="N908" s="92">
        <v>904</v>
      </c>
      <c r="O908" s="93">
        <v>452</v>
      </c>
      <c r="P908" s="96">
        <f>P907+R907*Tableau!$G$2+((1/2)*T907)*Tableau!$G$2^2</f>
        <v>90306.676778839479</v>
      </c>
      <c r="Q908" s="96">
        <f>Q907+S907*Tableau!$G$2+((1/2)*U907)*Tableau!$G$2^2</f>
        <v>-312595.2063230034</v>
      </c>
      <c r="R908" s="96">
        <f>R907+T907*Tableau!$G$2</f>
        <v>682.60210399977245</v>
      </c>
      <c r="S908" s="96">
        <f>S907+U907*Tableau!$G$2</f>
        <v>-826.93061782893881</v>
      </c>
      <c r="T908" s="96">
        <f t="shared" si="28"/>
        <v>-3.1769146453530928</v>
      </c>
      <c r="U908" s="96">
        <f t="shared" si="29"/>
        <v>11.31483462999654</v>
      </c>
      <c r="V908" s="96">
        <f>((Tableau!$G$16-P908)/(AC908^2+Tableau!$G$21^2)^(3/2))*Tableau!$G$20</f>
        <v>-1.0443797426614303</v>
      </c>
      <c r="W908" s="96">
        <f>((Tableau!$H$16-Q908)/(AC908^2+Tableau!$G$21^2)^(3/2))*Tableau!$G$20</f>
        <v>4.7548961851570812</v>
      </c>
      <c r="X908" s="96">
        <f>((Tableau!$G$25-P908)/(AD908^2+Tableau!$G$30^2)^(3/2))*Tableau!$G$29</f>
        <v>-0.49958950958734211</v>
      </c>
      <c r="Y908" s="96">
        <f>((Tableau!$H$25-Q908)/(AD908^2+Tableau!$G$30^2)^(3/2))*Tableau!$G$29</f>
        <v>1.4610646030545051</v>
      </c>
      <c r="Z908" s="96">
        <f>((Tableau!$G$35-P908)/(AE908^2+Tableau!$G$40^2)^(3/2))*Tableau!$G$39</f>
        <v>-1.6329453931043205</v>
      </c>
      <c r="AA908" s="97">
        <f>((Tableau!$H$35-Q908)/(AE908^2+Tableau!$G$40^2)^(3/2))*Tableau!$G$39</f>
        <v>5.098873841784954</v>
      </c>
      <c r="AC908" s="110">
        <f>SQRT((Tableau!$G$16-P908)^2+(Tableau!$H$16-Q908)^2)</f>
        <v>327725.4489823003</v>
      </c>
      <c r="AD908" s="111">
        <f>SQRT((Tableau!$G$25-P908)^2+(Tableau!$H$25-Q908)^2)</f>
        <v>340932.8820817559</v>
      </c>
      <c r="AE908" s="112">
        <f>SQRT((Tableau!$G$35-P908)^2+(Tableau!$H$35-Q908)^2)</f>
        <v>312484.03073606361</v>
      </c>
    </row>
    <row r="909" spans="2:31" x14ac:dyDescent="0.25">
      <c r="B909" s="18">
        <v>906</v>
      </c>
      <c r="C909" s="19">
        <f>Tableau!$G$17*COS(B909*PI()/180)+Tableau!$G$16</f>
        <v>15027.390523158632</v>
      </c>
      <c r="D909" s="19">
        <f>Tableau!$G$17*SIN(B909*PI()/180)+Tableau!$H$16</f>
        <v>6977.3576836617331</v>
      </c>
      <c r="F909" s="26">
        <v>906</v>
      </c>
      <c r="G909" s="27">
        <f>Tableau!$G$26*COS(F909*PI()/180)+Tableau!$G$25</f>
        <v>-23480.826633788958</v>
      </c>
      <c r="H909" s="27">
        <f>Tableau!$G$26*SIN(F909*PI()/180)+Tableau!$H$25</f>
        <v>9634.1503785632121</v>
      </c>
      <c r="J909" s="34">
        <v>906</v>
      </c>
      <c r="K909" s="35">
        <f>Tableau!$G$36*COS(J909*PI()/180)+Tableau!$G$35</f>
        <v>-9972.6094768413677</v>
      </c>
      <c r="L909" s="35">
        <f>Tableau!$G$36*SIN(J909*PI()/180)+Tableau!$H$35</f>
        <v>-15522.642316338268</v>
      </c>
      <c r="N909" s="98">
        <v>905</v>
      </c>
      <c r="O909" s="99">
        <v>452.5</v>
      </c>
      <c r="P909" s="101">
        <f>P908+R908*Tableau!$G$2+((1/2)*T908)*Tableau!$G$2^2</f>
        <v>90647.580716508703</v>
      </c>
      <c r="Q909" s="101">
        <f>Q908+S908*Tableau!$G$2+((1/2)*U908)*Tableau!$G$2^2</f>
        <v>-313007.25727758912</v>
      </c>
      <c r="R909" s="101">
        <f>R908+T908*Tableau!$G$2</f>
        <v>681.01364667709595</v>
      </c>
      <c r="S909" s="101">
        <f>S908+U908*Tableau!$G$2</f>
        <v>-821.27320051394054</v>
      </c>
      <c r="T909" s="101">
        <f t="shared" si="28"/>
        <v>-3.1748346701006049</v>
      </c>
      <c r="U909" s="101">
        <f t="shared" si="29"/>
        <v>11.278577326553007</v>
      </c>
      <c r="V909" s="101">
        <f>((Tableau!$G$16-P909)/(AC909^2+Tableau!$G$21^2)^(3/2))*Tableau!$G$20</f>
        <v>-1.0448915053719101</v>
      </c>
      <c r="W909" s="101">
        <f>((Tableau!$H$16-Q909)/(AC909^2+Tableau!$G$21^2)^(3/2))*Tableau!$G$20</f>
        <v>4.7403648807629297</v>
      </c>
      <c r="X909" s="101">
        <f>((Tableau!$G$25-P909)/(AD909^2+Tableau!$G$30^2)^(3/2))*Tableau!$G$29</f>
        <v>-0.49893499475176661</v>
      </c>
      <c r="Y909" s="101">
        <f>((Tableau!$H$25-Q909)/(AD909^2+Tableau!$G$30^2)^(3/2))*Tableau!$G$29</f>
        <v>1.4565128597568271</v>
      </c>
      <c r="Z909" s="101">
        <f>((Tableau!$G$35-P909)/(AE909^2+Tableau!$G$40^2)^(3/2))*Tableau!$G$39</f>
        <v>-1.6310081699769281</v>
      </c>
      <c r="AA909" s="102">
        <f>((Tableau!$H$35-Q909)/(AE909^2+Tableau!$G$40^2)^(3/2))*Tableau!$G$39</f>
        <v>5.0816995860332508</v>
      </c>
      <c r="AC909" s="113">
        <f>SQRT((Tableau!$G$16-P909)^2+(Tableau!$H$16-Q909)^2)</f>
        <v>328201.13136413519</v>
      </c>
      <c r="AD909" s="114">
        <f>SQRT((Tableau!$G$25-P909)^2+(Tableau!$H$25-Q909)^2)</f>
        <v>341433.11991136265</v>
      </c>
      <c r="AE909" s="115">
        <f>SQRT((Tableau!$G$35-P909)^2+(Tableau!$H$35-Q909)^2)</f>
        <v>312980.48675122263</v>
      </c>
    </row>
    <row r="910" spans="2:31" x14ac:dyDescent="0.25">
      <c r="B910" s="20">
        <v>907</v>
      </c>
      <c r="C910" s="21">
        <f>Tableau!$G$17*COS(B910*PI()/180)+Tableau!$G$16</f>
        <v>15037.269241793389</v>
      </c>
      <c r="D910" s="21">
        <f>Tableau!$G$17*SIN(B910*PI()/180)+Tableau!$H$16</f>
        <v>6890.6532829742682</v>
      </c>
      <c r="F910" s="28">
        <v>907</v>
      </c>
      <c r="G910" s="29">
        <f>Tableau!$G$26*COS(F910*PI()/180)+Tableau!$G$25</f>
        <v>-23473.911530744626</v>
      </c>
      <c r="H910" s="29">
        <f>Tableau!$G$26*SIN(F910*PI()/180)+Tableau!$H$25</f>
        <v>9573.4572980819885</v>
      </c>
      <c r="J910" s="36">
        <v>907</v>
      </c>
      <c r="K910" s="37">
        <f>Tableau!$G$36*COS(J910*PI()/180)+Tableau!$G$35</f>
        <v>-9962.7307582066114</v>
      </c>
      <c r="L910" s="37">
        <f>Tableau!$G$36*SIN(J910*PI()/180)+Tableau!$H$35</f>
        <v>-15609.346717025732</v>
      </c>
      <c r="N910" s="92">
        <v>906</v>
      </c>
      <c r="O910" s="93">
        <v>453</v>
      </c>
      <c r="P910" s="96">
        <f>P909+R909*Tableau!$G$2+((1/2)*T909)*Tableau!$G$2^2</f>
        <v>90987.690685513488</v>
      </c>
      <c r="Q910" s="96">
        <f>Q909+S909*Tableau!$G$2+((1/2)*U909)*Tableau!$G$2^2</f>
        <v>-313416.48405568028</v>
      </c>
      <c r="R910" s="96">
        <f>R909+T909*Tableau!$G$2</f>
        <v>679.42622934204564</v>
      </c>
      <c r="S910" s="96">
        <f>S909+U909*Tableau!$G$2</f>
        <v>-815.63391185066405</v>
      </c>
      <c r="T910" s="96">
        <f t="shared" si="28"/>
        <v>-3.1727838639730175</v>
      </c>
      <c r="U910" s="96">
        <f t="shared" si="29"/>
        <v>11.242681760054971</v>
      </c>
      <c r="V910" s="96">
        <f>((Tableau!$G$16-P910)/(AC910^2+Tableau!$G$21^2)^(3/2))*Tableau!$G$20</f>
        <v>-1.0454002443672437</v>
      </c>
      <c r="W910" s="96">
        <f>((Tableau!$H$16-Q910)/(AC910^2+Tableau!$G$21^2)^(3/2))*Tableau!$G$20</f>
        <v>4.725976681500188</v>
      </c>
      <c r="X910" s="96">
        <f>((Tableau!$G$25-P910)/(AD910^2+Tableau!$G$30^2)^(3/2))*Tableau!$G$29</f>
        <v>-0.49828859004492659</v>
      </c>
      <c r="Y910" s="96">
        <f>((Tableau!$H$25-Q910)/(AD910^2+Tableau!$G$30^2)^(3/2))*Tableau!$G$29</f>
        <v>1.4520055588329033</v>
      </c>
      <c r="Z910" s="96">
        <f>((Tableau!$G$35-P910)/(AE910^2+Tableau!$G$40^2)^(3/2))*Tableau!$G$39</f>
        <v>-1.6290950295608473</v>
      </c>
      <c r="AA910" s="97">
        <f>((Tableau!$H$35-Q910)/(AE910^2+Tableau!$G$40^2)^(3/2))*Tableau!$G$39</f>
        <v>5.0646995197218807</v>
      </c>
      <c r="AC910" s="110">
        <f>SQRT((Tableau!$G$16-P910)^2+(Tableau!$H$16-Q910)^2)</f>
        <v>328674.06646634266</v>
      </c>
      <c r="AD910" s="111">
        <f>SQRT((Tableau!$G$25-P910)^2+(Tableau!$H$25-Q910)^2)</f>
        <v>341930.53335822659</v>
      </c>
      <c r="AE910" s="112">
        <f>SQRT((Tableau!$G$35-P910)^2+(Tableau!$H$35-Q910)^2)</f>
        <v>313474.13724148268</v>
      </c>
    </row>
    <row r="911" spans="2:31" x14ac:dyDescent="0.25">
      <c r="B911" s="18">
        <v>908</v>
      </c>
      <c r="C911" s="19">
        <f>Tableau!$G$17*COS(B911*PI()/180)+Tableau!$G$16</f>
        <v>15048.659656292148</v>
      </c>
      <c r="D911" s="19">
        <f>Tableau!$G$17*SIN(B911*PI()/180)+Tableau!$H$16</f>
        <v>6804.1344951996834</v>
      </c>
      <c r="F911" s="26">
        <v>908</v>
      </c>
      <c r="G911" s="27">
        <f>Tableau!$G$26*COS(F911*PI()/180)+Tableau!$G$25</f>
        <v>-23465.938240595497</v>
      </c>
      <c r="H911" s="27">
        <f>Tableau!$G$26*SIN(F911*PI()/180)+Tableau!$H$25</f>
        <v>9512.8941466397791</v>
      </c>
      <c r="J911" s="34">
        <v>908</v>
      </c>
      <c r="K911" s="35">
        <f>Tableau!$G$36*COS(J911*PI()/180)+Tableau!$G$35</f>
        <v>-9951.3403437078523</v>
      </c>
      <c r="L911" s="35">
        <f>Tableau!$G$36*SIN(J911*PI()/180)+Tableau!$H$35</f>
        <v>-15695.865504800317</v>
      </c>
      <c r="N911" s="98">
        <v>907</v>
      </c>
      <c r="O911" s="99">
        <v>453.5</v>
      </c>
      <c r="P911" s="101">
        <f>P910+R910*Tableau!$G$2+((1/2)*T910)*Tableau!$G$2^2</f>
        <v>91327.007202201508</v>
      </c>
      <c r="Q911" s="101">
        <f>Q910+S910*Tableau!$G$2+((1/2)*U910)*Tableau!$G$2^2</f>
        <v>-313822.89567638561</v>
      </c>
      <c r="R911" s="101">
        <f>R910+T910*Tableau!$G$2</f>
        <v>677.83983741005909</v>
      </c>
      <c r="S911" s="101">
        <f>S910+U910*Tableau!$G$2</f>
        <v>-810.0125709706366</v>
      </c>
      <c r="T911" s="101">
        <f t="shared" si="28"/>
        <v>-3.1707622040450421</v>
      </c>
      <c r="U911" s="101">
        <f t="shared" si="29"/>
        <v>11.207143611344451</v>
      </c>
      <c r="V911" s="101">
        <f>((Tableau!$G$16-P911)/(AC911^2+Tableau!$G$21^2)^(3/2))*Tableau!$G$20</f>
        <v>-1.0459061575991169</v>
      </c>
      <c r="W911" s="101">
        <f>((Tableau!$H$16-Q911)/(AC911^2+Tableau!$G$21^2)^(3/2))*Tableau!$G$20</f>
        <v>4.7117299372002455</v>
      </c>
      <c r="X911" s="101">
        <f>((Tableau!$G$25-P911)/(AD911^2+Tableau!$G$30^2)^(3/2))*Tableau!$G$29</f>
        <v>-0.49765022994128078</v>
      </c>
      <c r="Y911" s="101">
        <f>((Tableau!$H$25-Q911)/(AD911^2+Tableau!$G$30^2)^(3/2))*Tableau!$G$29</f>
        <v>1.4475421781608613</v>
      </c>
      <c r="Z911" s="101">
        <f>((Tableau!$G$35-P911)/(AE911^2+Tableau!$G$40^2)^(3/2))*Tableau!$G$39</f>
        <v>-1.6272058165046444</v>
      </c>
      <c r="AA911" s="102">
        <f>((Tableau!$H$35-Q911)/(AE911^2+Tableau!$G$40^2)^(3/2))*Tableau!$G$39</f>
        <v>5.0478714959833439</v>
      </c>
      <c r="AC911" s="113">
        <f>SQRT((Tableau!$G$16-P911)^2+(Tableau!$H$16-Q911)^2)</f>
        <v>329144.26205279701</v>
      </c>
      <c r="AD911" s="114">
        <f>SQRT((Tableau!$G$25-P911)^2+(Tableau!$H$25-Q911)^2)</f>
        <v>342425.13093644037</v>
      </c>
      <c r="AE911" s="115">
        <f>SQRT((Tableau!$G$35-P911)^2+(Tableau!$H$35-Q911)^2)</f>
        <v>313964.99055938231</v>
      </c>
    </row>
    <row r="912" spans="2:31" x14ac:dyDescent="0.25">
      <c r="B912" s="20">
        <v>909</v>
      </c>
      <c r="C912" s="21">
        <f>Tableau!$G$17*COS(B912*PI()/180)+Tableau!$G$16</f>
        <v>15061.558297024312</v>
      </c>
      <c r="D912" s="21">
        <f>Tableau!$G$17*SIN(B912*PI()/180)+Tableau!$H$16</f>
        <v>6717.8276747988439</v>
      </c>
      <c r="F912" s="28">
        <v>909</v>
      </c>
      <c r="G912" s="29">
        <f>Tableau!$G$26*COS(F912*PI()/180)+Tableau!$G$25</f>
        <v>-23456.909192082981</v>
      </c>
      <c r="H912" s="29">
        <f>Tableau!$G$26*SIN(F912*PI()/180)+Tableau!$H$25</f>
        <v>9452.4793723591902</v>
      </c>
      <c r="J912" s="36">
        <v>909</v>
      </c>
      <c r="K912" s="37">
        <f>Tableau!$G$36*COS(J912*PI()/180)+Tableau!$G$35</f>
        <v>-9938.4417029756878</v>
      </c>
      <c r="L912" s="37">
        <f>Tableau!$G$36*SIN(J912*PI()/180)+Tableau!$H$35</f>
        <v>-15782.172325201156</v>
      </c>
      <c r="N912" s="92">
        <v>908</v>
      </c>
      <c r="O912" s="93">
        <v>454</v>
      </c>
      <c r="P912" s="96">
        <f>P911+R911*Tableau!$G$2+((1/2)*T911)*Tableau!$G$2^2</f>
        <v>91665.530775631021</v>
      </c>
      <c r="Q912" s="96">
        <f>Q911+S911*Tableau!$G$2+((1/2)*U911)*Tableau!$G$2^2</f>
        <v>-314226.50106891955</v>
      </c>
      <c r="R912" s="96">
        <f>R911+T911*Tableau!$G$2</f>
        <v>676.25445630803654</v>
      </c>
      <c r="S912" s="96">
        <f>S911+U911*Tableau!$G$2</f>
        <v>-804.40899916496437</v>
      </c>
      <c r="T912" s="96">
        <f t="shared" si="28"/>
        <v>-3.1687696662153435</v>
      </c>
      <c r="U912" s="96">
        <f t="shared" si="29"/>
        <v>11.171958633254667</v>
      </c>
      <c r="V912" s="96">
        <f>((Tableau!$G$16-P912)/(AC912^2+Tableau!$G$21^2)^(3/2))*Tableau!$G$20</f>
        <v>-1.0464094388185801</v>
      </c>
      <c r="W912" s="96">
        <f>((Tableau!$H$16-Q912)/(AC912^2+Tableau!$G$21^2)^(3/2))*Tableau!$G$20</f>
        <v>4.6976230245275703</v>
      </c>
      <c r="X912" s="96">
        <f>((Tableau!$G$25-P912)/(AD912^2+Tableau!$G$30^2)^(3/2))*Tableau!$G$29</f>
        <v>-0.4970198499325385</v>
      </c>
      <c r="Y912" s="96">
        <f>((Tableau!$H$25-Q912)/(AD912^2+Tableau!$G$30^2)^(3/2))*Tableau!$G$29</f>
        <v>1.4431222041940435</v>
      </c>
      <c r="Z912" s="96">
        <f>((Tableau!$G$35-P912)/(AE912^2+Tableau!$G$40^2)^(3/2))*Tableau!$G$39</f>
        <v>-1.6253403774642252</v>
      </c>
      <c r="AA912" s="97">
        <f>((Tableau!$H$35-Q912)/(AE912^2+Tableau!$G$40^2)^(3/2))*Tableau!$G$39</f>
        <v>5.0312134045330525</v>
      </c>
      <c r="AC912" s="110">
        <f>SQRT((Tableau!$G$16-P912)^2+(Tableau!$H$16-Q912)^2)</f>
        <v>329611.72580993292</v>
      </c>
      <c r="AD912" s="111">
        <f>SQRT((Tableau!$G$25-P912)^2+(Tableau!$H$25-Q912)^2)</f>
        <v>342916.92107389146</v>
      </c>
      <c r="AE912" s="112">
        <f>SQRT((Tableau!$G$35-P912)^2+(Tableau!$H$35-Q912)^2)</f>
        <v>314453.05497336574</v>
      </c>
    </row>
    <row r="913" spans="2:31" x14ac:dyDescent="0.25">
      <c r="B913" s="18">
        <v>910</v>
      </c>
      <c r="C913" s="19">
        <f>Tableau!$G$17*COS(B913*PI()/180)+Tableau!$G$16</f>
        <v>15075.961234938959</v>
      </c>
      <c r="D913" s="19">
        <f>Tableau!$G$17*SIN(B913*PI()/180)+Tableau!$H$16</f>
        <v>6631.7591116653521</v>
      </c>
      <c r="F913" s="26">
        <v>910</v>
      </c>
      <c r="G913" s="27">
        <f>Tableau!$G$26*COS(F913*PI()/180)+Tableau!$G$25</f>
        <v>-23446.827135542728</v>
      </c>
      <c r="H913" s="27">
        <f>Tableau!$G$26*SIN(F913*PI()/180)+Tableau!$H$25</f>
        <v>9392.2313781657467</v>
      </c>
      <c r="J913" s="34">
        <v>910</v>
      </c>
      <c r="K913" s="35">
        <f>Tableau!$G$36*COS(J913*PI()/180)+Tableau!$G$35</f>
        <v>-9924.038765061041</v>
      </c>
      <c r="L913" s="35">
        <f>Tableau!$G$36*SIN(J913*PI()/180)+Tableau!$H$35</f>
        <v>-15868.240888334647</v>
      </c>
      <c r="N913" s="98">
        <v>909</v>
      </c>
      <c r="O913" s="99">
        <v>454.5</v>
      </c>
      <c r="P913" s="101">
        <f>P912+R912*Tableau!$G$2+((1/2)*T912)*Tableau!$G$2^2</f>
        <v>92003.261907576758</v>
      </c>
      <c r="Q913" s="101">
        <f>Q912+S912*Tableau!$G$2+((1/2)*U912)*Tableau!$G$2^2</f>
        <v>-314627.30907367286</v>
      </c>
      <c r="R913" s="101">
        <f>R912+T912*Tableau!$G$2</f>
        <v>674.67007147492882</v>
      </c>
      <c r="S913" s="101">
        <f>S912+U912*Tableau!$G$2</f>
        <v>-798.82301984833703</v>
      </c>
      <c r="T913" s="101">
        <f t="shared" si="28"/>
        <v>-3.166806225281924</v>
      </c>
      <c r="U913" s="101">
        <f t="shared" si="29"/>
        <v>11.13712264917063</v>
      </c>
      <c r="V913" s="101">
        <f>((Tableau!$G$16-P913)/(AC913^2+Tableau!$G$21^2)^(3/2))*Tableau!$G$20</f>
        <v>-1.0469102776863017</v>
      </c>
      <c r="W913" s="101">
        <f>((Tableau!$H$16-Q913)/(AC913^2+Tableau!$G$21^2)^(3/2))*Tableau!$G$20</f>
        <v>4.6836543464591713</v>
      </c>
      <c r="X913" s="101">
        <f>((Tableau!$G$25-P913)/(AD913^2+Tableau!$G$30^2)^(3/2))*Tableau!$G$29</f>
        <v>-0.49639738651107246</v>
      </c>
      <c r="Y913" s="101">
        <f>((Tableau!$H$25-Q913)/(AD913^2+Tableau!$G$30^2)^(3/2))*Tableau!$G$29</f>
        <v>1.4387451317914906</v>
      </c>
      <c r="Z913" s="101">
        <f>((Tableau!$G$35-P913)/(AE913^2+Tableau!$G$40^2)^(3/2))*Tableau!$G$39</f>
        <v>-1.6234985610845496</v>
      </c>
      <c r="AA913" s="102">
        <f>((Tableau!$H$35-Q913)/(AE913^2+Tableau!$G$40^2)^(3/2))*Tableau!$G$39</f>
        <v>5.014723170919968</v>
      </c>
      <c r="AC913" s="113">
        <f>SQRT((Tableau!$G$16-P913)^2+(Tableau!$H$16-Q913)^2)</f>
        <v>330076.46534761711</v>
      </c>
      <c r="AD913" s="114">
        <f>SQRT((Tableau!$G$25-P913)^2+(Tableau!$H$25-Q913)^2)</f>
        <v>343405.91211327619</v>
      </c>
      <c r="AE913" s="115">
        <f>SQRT((Tableau!$G$35-P913)^2+(Tableau!$H$35-Q913)^2)</f>
        <v>314938.33866876259</v>
      </c>
    </row>
    <row r="914" spans="2:31" x14ac:dyDescent="0.25">
      <c r="B914" s="20">
        <v>911</v>
      </c>
      <c r="C914" s="21">
        <f>Tableau!$G$17*COS(B914*PI()/180)+Tableau!$G$16</f>
        <v>15091.86408276168</v>
      </c>
      <c r="D914" s="21">
        <f>Tableau!$G$17*SIN(B914*PI()/180)+Tableau!$H$16</f>
        <v>6545.9550231172761</v>
      </c>
      <c r="F914" s="28">
        <v>911</v>
      </c>
      <c r="G914" s="29">
        <f>Tableau!$G$26*COS(F914*PI()/180)+Tableau!$G$25</f>
        <v>-23435.695142066823</v>
      </c>
      <c r="H914" s="29">
        <f>Tableau!$G$26*SIN(F914*PI()/180)+Tableau!$H$25</f>
        <v>9332.1685161820933</v>
      </c>
      <c r="J914" s="36">
        <v>911</v>
      </c>
      <c r="K914" s="37">
        <f>Tableau!$G$36*COS(J914*PI()/180)+Tableau!$G$35</f>
        <v>-9908.13591723832</v>
      </c>
      <c r="L914" s="37">
        <f>Tableau!$G$36*SIN(J914*PI()/180)+Tableau!$H$35</f>
        <v>-15954.044976882724</v>
      </c>
      <c r="N914" s="92">
        <v>910</v>
      </c>
      <c r="O914" s="93">
        <v>455</v>
      </c>
      <c r="P914" s="96">
        <f>P913+R913*Tableau!$G$2+((1/2)*T913)*Tableau!$G$2^2</f>
        <v>92340.201092536052</v>
      </c>
      <c r="Q914" s="96">
        <f>Q913+S913*Tableau!$G$2+((1/2)*U913)*Tableau!$G$2^2</f>
        <v>-315025.32844326587</v>
      </c>
      <c r="R914" s="96">
        <f>R913+T913*Tableau!$G$2</f>
        <v>673.08666836228781</v>
      </c>
      <c r="S914" s="96">
        <f>S913+U913*Tableau!$G$2</f>
        <v>-793.25445852375174</v>
      </c>
      <c r="T914" s="96">
        <f t="shared" si="28"/>
        <v>-3.1648718550147388</v>
      </c>
      <c r="U914" s="96">
        <f t="shared" si="29"/>
        <v>11.102631551623817</v>
      </c>
      <c r="V914" s="96">
        <f>((Tableau!$G$16-P914)/(AC914^2+Tableau!$G$21^2)^(3/2))*Tableau!$G$20</f>
        <v>-1.0474088598797517</v>
      </c>
      <c r="W914" s="96">
        <f>((Tableau!$H$16-Q914)/(AC914^2+Tableau!$G$21^2)^(3/2))*Tableau!$G$20</f>
        <v>4.6698223317761673</v>
      </c>
      <c r="X914" s="96">
        <f>((Tableau!$G$25-P914)/(AD914^2+Tableau!$G$30^2)^(3/2))*Tableau!$G$29</f>
        <v>-0.49578277715373781</v>
      </c>
      <c r="Y914" s="96">
        <f>((Tableau!$H$25-Q914)/(AD914^2+Tableau!$G$30^2)^(3/2))*Tableau!$G$29</f>
        <v>1.4344104640526096</v>
      </c>
      <c r="Z914" s="96">
        <f>((Tableau!$G$35-P914)/(AE914^2+Tableau!$G$40^2)^(3/2))*Tableau!$G$39</f>
        <v>-1.6216802179812491</v>
      </c>
      <c r="AA914" s="97">
        <f>((Tableau!$H$35-Q914)/(AE914^2+Tableau!$G$40^2)^(3/2))*Tableau!$G$39</f>
        <v>4.9983987557950407</v>
      </c>
      <c r="AC914" s="110">
        <f>SQRT((Tableau!$G$16-P914)^2+(Tableau!$H$16-Q914)^2)</f>
        <v>330538.48820000538</v>
      </c>
      <c r="AD914" s="111">
        <f>SQRT((Tableau!$G$25-P914)^2+(Tableau!$H$25-Q914)^2)</f>
        <v>343892.11231309781</v>
      </c>
      <c r="AE914" s="112">
        <f>SQRT((Tableau!$G$35-P914)^2+(Tableau!$H$35-Q914)^2)</f>
        <v>315420.8497487522</v>
      </c>
    </row>
    <row r="915" spans="2:31" x14ac:dyDescent="0.25">
      <c r="B915" s="18">
        <v>912</v>
      </c>
      <c r="C915" s="19">
        <f>Tableau!$G$17*COS(B915*PI()/180)+Tableau!$G$16</f>
        <v>15109.26199633097</v>
      </c>
      <c r="D915" s="19">
        <f>Tableau!$G$17*SIN(B915*PI()/180)+Tableau!$H$16</f>
        <v>6460.4415459112097</v>
      </c>
      <c r="F915" s="26">
        <v>912</v>
      </c>
      <c r="G915" s="27">
        <f>Tableau!$G$26*COS(F915*PI()/180)+Tableau!$G$25</f>
        <v>-23423.516602568321</v>
      </c>
      <c r="H915" s="27">
        <f>Tableau!$G$26*SIN(F915*PI()/180)+Tableau!$H$25</f>
        <v>9272.3090821378464</v>
      </c>
      <c r="J915" s="34">
        <v>912</v>
      </c>
      <c r="K915" s="35">
        <f>Tableau!$G$36*COS(J915*PI()/180)+Tableau!$G$35</f>
        <v>-9890.7380036690301</v>
      </c>
      <c r="L915" s="35">
        <f>Tableau!$G$36*SIN(J915*PI()/180)+Tableau!$H$35</f>
        <v>-16039.55845408879</v>
      </c>
      <c r="N915" s="98">
        <v>911</v>
      </c>
      <c r="O915" s="99">
        <v>455.5</v>
      </c>
      <c r="P915" s="101">
        <f>P914+R914*Tableau!$G$2+((1/2)*T914)*Tableau!$G$2^2</f>
        <v>92676.348817735314</v>
      </c>
      <c r="Q915" s="101">
        <f>Q914+S914*Tableau!$G$2+((1/2)*U914)*Tableau!$G$2^2</f>
        <v>-315420.56784358376</v>
      </c>
      <c r="R915" s="101">
        <f>R914+T914*Tableau!$G$2</f>
        <v>671.50423243478042</v>
      </c>
      <c r="S915" s="101">
        <f>S914+U914*Tableau!$G$2</f>
        <v>-787.70314274793986</v>
      </c>
      <c r="T915" s="101">
        <f t="shared" si="28"/>
        <v>-3.1629665282258963</v>
      </c>
      <c r="U915" s="101">
        <f t="shared" si="29"/>
        <v>11.06848130092067</v>
      </c>
      <c r="V915" s="101">
        <f>((Tableau!$G$16-P915)/(AC915^2+Tableau!$G$21^2)^(3/2))*Tableau!$G$20</f>
        <v>-1.0479053671974208</v>
      </c>
      <c r="W915" s="101">
        <f>((Tableau!$H$16-Q915)/(AC915^2+Tableau!$G$21^2)^(3/2))*Tableau!$G$20</f>
        <v>4.656125434567131</v>
      </c>
      <c r="X915" s="101">
        <f>((Tableau!$G$25-P915)/(AD915^2+Tableau!$G$30^2)^(3/2))*Tableau!$G$29</f>
        <v>-0.4951759603059957</v>
      </c>
      <c r="Y915" s="101">
        <f>((Tableau!$H$25-Q915)/(AD915^2+Tableau!$G$30^2)^(3/2))*Tableau!$G$29</f>
        <v>1.4301177121556268</v>
      </c>
      <c r="Z915" s="101">
        <f>((Tableau!$G$35-P915)/(AE915^2+Tableau!$G$40^2)^(3/2))*Tableau!$G$39</f>
        <v>-1.6198852007224798</v>
      </c>
      <c r="AA915" s="102">
        <f>((Tableau!$H$35-Q915)/(AE915^2+Tableau!$G$40^2)^(3/2))*Tableau!$G$39</f>
        <v>4.9822381541979119</v>
      </c>
      <c r="AC915" s="113">
        <f>SQRT((Tableau!$G$16-P915)^2+(Tableau!$H$16-Q915)^2)</f>
        <v>330997.80182638631</v>
      </c>
      <c r="AD915" s="114">
        <f>SQRT((Tableau!$G$25-P915)^2+(Tableau!$H$25-Q915)^2)</f>
        <v>344375.52984864713</v>
      </c>
      <c r="AE915" s="115">
        <f>SQRT((Tableau!$G$35-P915)^2+(Tableau!$H$35-Q915)^2)</f>
        <v>315900.59623531136</v>
      </c>
    </row>
    <row r="916" spans="2:31" x14ac:dyDescent="0.25">
      <c r="B916" s="20">
        <v>913</v>
      </c>
      <c r="C916" s="21">
        <f>Tableau!$G$17*COS(B916*PI()/180)+Tableau!$G$16</f>
        <v>15128.149676073823</v>
      </c>
      <c r="D916" s="21">
        <f>Tableau!$G$17*SIN(B916*PI()/180)+Tableau!$H$16</f>
        <v>6375.2447282806779</v>
      </c>
      <c r="F916" s="28">
        <v>913</v>
      </c>
      <c r="G916" s="29">
        <f>Tableau!$G$26*COS(F916*PI()/180)+Tableau!$G$25</f>
        <v>-23410.295226748323</v>
      </c>
      <c r="H916" s="29">
        <f>Tableau!$G$26*SIN(F916*PI()/180)+Tableau!$H$25</f>
        <v>9212.6713097964748</v>
      </c>
      <c r="J916" s="36">
        <v>913</v>
      </c>
      <c r="K916" s="37">
        <f>Tableau!$G$36*COS(J916*PI()/180)+Tableau!$G$35</f>
        <v>-9871.8503239261772</v>
      </c>
      <c r="L916" s="37">
        <f>Tableau!$G$36*SIN(J916*PI()/180)+Tableau!$H$35</f>
        <v>-16124.755271719323</v>
      </c>
      <c r="N916" s="92">
        <v>912</v>
      </c>
      <c r="O916" s="93">
        <v>456</v>
      </c>
      <c r="P916" s="96">
        <f>P915+R915*Tableau!$G$2+((1/2)*T915)*Tableau!$G$2^2</f>
        <v>93011.705563136682</v>
      </c>
      <c r="Q916" s="96">
        <f>Q915+S915*Tableau!$G$2+((1/2)*U915)*Tableau!$G$2^2</f>
        <v>-315813.03585479513</v>
      </c>
      <c r="R916" s="96">
        <f>R915+T915*Tableau!$G$2</f>
        <v>669.92274917066743</v>
      </c>
      <c r="S916" s="96">
        <f>S915+U915*Tableau!$G$2</f>
        <v>-782.16890209747953</v>
      </c>
      <c r="T916" s="96">
        <f t="shared" si="28"/>
        <v>-3.1610902168372554</v>
      </c>
      <c r="U916" s="96">
        <f t="shared" si="29"/>
        <v>11.034667923803315</v>
      </c>
      <c r="V916" s="96">
        <f>((Tableau!$G$16-P916)/(AC916^2+Tableau!$G$21^2)^(3/2))*Tableau!$G$20</f>
        <v>-1.0483999776601869</v>
      </c>
      <c r="W916" s="96">
        <f>((Tableau!$H$16-Q916)/(AC916^2+Tableau!$G$21^2)^(3/2))*Tableau!$G$20</f>
        <v>4.6425621337430396</v>
      </c>
      <c r="X916" s="96">
        <f>((Tableau!$G$25-P916)/(AD916^2+Tableau!$G$30^2)^(3/2))*Tableau!$G$29</f>
        <v>-0.4945768753663608</v>
      </c>
      <c r="Y916" s="96">
        <f>((Tableau!$H$25-Q916)/(AD916^2+Tableau!$G$30^2)^(3/2))*Tableau!$G$29</f>
        <v>1.4258663951998156</v>
      </c>
      <c r="Z916" s="96">
        <f>((Tableau!$G$35-P916)/(AE916^2+Tableau!$G$40^2)^(3/2))*Tableau!$G$39</f>
        <v>-1.6181133638107075</v>
      </c>
      <c r="AA916" s="97">
        <f>((Tableau!$H$35-Q916)/(AE916^2+Tableau!$G$40^2)^(3/2))*Tableau!$G$39</f>
        <v>4.9662393948604597</v>
      </c>
      <c r="AC916" s="110">
        <f>SQRT((Tableau!$G$16-P916)^2+(Tableau!$H$16-Q916)^2)</f>
        <v>331454.41361201124</v>
      </c>
      <c r="AD916" s="111">
        <f>SQRT((Tableau!$G$25-P916)^2+(Tableau!$H$25-Q916)^2)</f>
        <v>344856.17281296721</v>
      </c>
      <c r="AE916" s="112">
        <f>SQRT((Tableau!$G$35-P916)^2+(Tableau!$H$35-Q916)^2)</f>
        <v>316377.58607014699</v>
      </c>
    </row>
    <row r="917" spans="2:31" x14ac:dyDescent="0.25">
      <c r="B917" s="18">
        <v>914</v>
      </c>
      <c r="C917" s="19">
        <f>Tableau!$G$17*COS(B917*PI()/180)+Tableau!$G$16</f>
        <v>15148.521368620019</v>
      </c>
      <c r="D917" s="19">
        <f>Tableau!$G$17*SIN(B917*PI()/180)+Tableau!$H$16</f>
        <v>6290.3905220016604</v>
      </c>
      <c r="F917" s="26">
        <v>914</v>
      </c>
      <c r="G917" s="27">
        <f>Tableau!$G$26*COS(F917*PI()/180)+Tableau!$G$25</f>
        <v>-23396.035041965988</v>
      </c>
      <c r="H917" s="27">
        <f>Tableau!$G$26*SIN(F917*PI()/180)+Tableau!$H$25</f>
        <v>9153.2733654011627</v>
      </c>
      <c r="J917" s="34">
        <v>914</v>
      </c>
      <c r="K917" s="35">
        <f>Tableau!$G$36*COS(J917*PI()/180)+Tableau!$G$35</f>
        <v>-9851.4786313799814</v>
      </c>
      <c r="L917" s="35">
        <f>Tableau!$G$36*SIN(J917*PI()/180)+Tableau!$H$35</f>
        <v>-16209.60947799834</v>
      </c>
      <c r="N917" s="98">
        <v>913</v>
      </c>
      <c r="O917" s="99">
        <v>456.5</v>
      </c>
      <c r="P917" s="101">
        <f>P916+R916*Tableau!$G$2+((1/2)*T916)*Tableau!$G$2^2</f>
        <v>93346.271801444906</v>
      </c>
      <c r="Q917" s="101">
        <f>Q916+S916*Tableau!$G$2+((1/2)*U916)*Tableau!$G$2^2</f>
        <v>-316202.74097235344</v>
      </c>
      <c r="R917" s="101">
        <f>R916+T916*Tableau!$G$2</f>
        <v>668.34220406224881</v>
      </c>
      <c r="S917" s="101">
        <f>S916+U916*Tableau!$G$2</f>
        <v>-776.65156813557792</v>
      </c>
      <c r="T917" s="101">
        <f t="shared" si="28"/>
        <v>-3.1592428919458251</v>
      </c>
      <c r="U917" s="101">
        <f t="shared" si="29"/>
        <v>11.001187512142351</v>
      </c>
      <c r="V917" s="101">
        <f>((Tableau!$G$16-P917)/(AC917^2+Tableau!$G$21^2)^(3/2))*Tableau!$G$20</f>
        <v>-1.0488928656098357</v>
      </c>
      <c r="W917" s="101">
        <f>((Tableau!$H$16-Q917)/(AC917^2+Tableau!$G$21^2)^(3/2))*Tableau!$G$20</f>
        <v>4.6291309325631129</v>
      </c>
      <c r="X917" s="101">
        <f>((Tableau!$G$25-P917)/(AD917^2+Tableau!$G$30^2)^(3/2))*Tableau!$G$29</f>
        <v>-0.49398546267124011</v>
      </c>
      <c r="Y917" s="101">
        <f>((Tableau!$H$25-Q917)/(AD917^2+Tableau!$G$30^2)^(3/2))*Tableau!$G$29</f>
        <v>1.4216560400516021</v>
      </c>
      <c r="Z917" s="101">
        <f>((Tableau!$G$35-P917)/(AE917^2+Tableau!$G$40^2)^(3/2))*Tableau!$G$39</f>
        <v>-1.6163645636647492</v>
      </c>
      <c r="AA917" s="102">
        <f>((Tableau!$H$35-Q917)/(AE917^2+Tableau!$G$40^2)^(3/2))*Tableau!$G$39</f>
        <v>4.9504005395276378</v>
      </c>
      <c r="AC917" s="113">
        <f>SQRT((Tableau!$G$16-P917)^2+(Tableau!$H$16-Q917)^2)</f>
        <v>331908.33086891018</v>
      </c>
      <c r="AD917" s="114">
        <f>SQRT((Tableau!$G$25-P917)^2+(Tableau!$H$25-Q917)^2)</f>
        <v>345334.04921780206</v>
      </c>
      <c r="AE917" s="115">
        <f>SQRT((Tableau!$G$35-P917)^2+(Tableau!$H$35-Q917)^2)</f>
        <v>316851.82711561304</v>
      </c>
    </row>
    <row r="918" spans="2:31" x14ac:dyDescent="0.25">
      <c r="B918" s="20">
        <v>915</v>
      </c>
      <c r="C918" s="21">
        <f>Tableau!$G$17*COS(B918*PI()/180)+Tableau!$G$16</f>
        <v>15170.370868554657</v>
      </c>
      <c r="D918" s="21">
        <f>Tableau!$G$17*SIN(B918*PI()/180)+Tableau!$H$16</f>
        <v>6205.9047744874006</v>
      </c>
      <c r="F918" s="28">
        <v>915</v>
      </c>
      <c r="G918" s="29">
        <f>Tableau!$G$26*COS(F918*PI()/180)+Tableau!$G$25</f>
        <v>-23380.740392011739</v>
      </c>
      <c r="H918" s="29">
        <f>Tableau!$G$26*SIN(F918*PI()/180)+Tableau!$H$25</f>
        <v>9094.13334214118</v>
      </c>
      <c r="J918" s="36">
        <v>915</v>
      </c>
      <c r="K918" s="37">
        <f>Tableau!$G$36*COS(J918*PI()/180)+Tableau!$G$35</f>
        <v>-9829.6291314453429</v>
      </c>
      <c r="L918" s="37">
        <f>Tableau!$G$36*SIN(J918*PI()/180)+Tableau!$H$35</f>
        <v>-16294.095225512599</v>
      </c>
      <c r="N918" s="92">
        <v>914</v>
      </c>
      <c r="O918" s="93">
        <v>457</v>
      </c>
      <c r="P918" s="96">
        <f>P917+R917*Tableau!$G$2+((1/2)*T917)*Tableau!$G$2^2</f>
        <v>93680.047998114533</v>
      </c>
      <c r="Q918" s="96">
        <f>Q917+S917*Tableau!$G$2+((1/2)*U917)*Tableau!$G$2^2</f>
        <v>-316589.69160798221</v>
      </c>
      <c r="R918" s="96">
        <f>R917+T917*Tableau!$G$2</f>
        <v>666.76258261627595</v>
      </c>
      <c r="S918" s="96">
        <f>S917+U917*Tableau!$G$2</f>
        <v>-771.15097437950669</v>
      </c>
      <c r="T918" s="96">
        <f t="shared" si="28"/>
        <v>-3.1574245238867231</v>
      </c>
      <c r="U918" s="96">
        <f t="shared" si="29"/>
        <v>10.968036221660032</v>
      </c>
      <c r="V918" s="96">
        <f>((Tableau!$G$16-P918)/(AC918^2+Tableau!$G$21^2)^(3/2))*Tableau!$G$20</f>
        <v>-1.0493842018049235</v>
      </c>
      <c r="W918" s="96">
        <f>((Tableau!$H$16-Q918)/(AC918^2+Tableau!$G$21^2)^(3/2))*Tableau!$G$20</f>
        <v>4.6158303581717171</v>
      </c>
      <c r="X918" s="96">
        <f>((Tableau!$G$25-P918)/(AD918^2+Tableau!$G$30^2)^(3/2))*Tableau!$G$29</f>
        <v>-0.49340166347999515</v>
      </c>
      <c r="Y918" s="96">
        <f>((Tableau!$H$25-Q918)/(AD918^2+Tableau!$G$30^2)^(3/2))*Tableau!$G$29</f>
        <v>1.4174861811939916</v>
      </c>
      <c r="Z918" s="96">
        <f>((Tableau!$G$35-P918)/(AE918^2+Tableau!$G$40^2)^(3/2))*Tableau!$G$39</f>
        <v>-1.6146386586018042</v>
      </c>
      <c r="AA918" s="97">
        <f>((Tableau!$H$35-Q918)/(AE918^2+Tableau!$G$40^2)^(3/2))*Tableau!$G$39</f>
        <v>4.9347196822943227</v>
      </c>
      <c r="AC918" s="110">
        <f>SQRT((Tableau!$G$16-P918)^2+(Tableau!$H$16-Q918)^2)</f>
        <v>332359.56083669607</v>
      </c>
      <c r="AD918" s="111">
        <f>SQRT((Tableau!$G$25-P918)^2+(Tableau!$H$25-Q918)^2)</f>
        <v>345809.16699452972</v>
      </c>
      <c r="AE918" s="112">
        <f>SQRT((Tableau!$G$35-P918)^2+(Tableau!$H$35-Q918)^2)</f>
        <v>317323.3271556127</v>
      </c>
    </row>
    <row r="919" spans="2:31" x14ac:dyDescent="0.25">
      <c r="B919" s="18">
        <v>916</v>
      </c>
      <c r="C919" s="19">
        <f>Tableau!$G$17*COS(B919*PI()/180)+Tableau!$G$16</f>
        <v>15193.691520308403</v>
      </c>
      <c r="D919" s="19">
        <f>Tableau!$G$17*SIN(B919*PI()/180)+Tableau!$H$16</f>
        <v>6121.8132209150135</v>
      </c>
      <c r="F919" s="26">
        <v>916</v>
      </c>
      <c r="G919" s="27">
        <f>Tableau!$G$26*COS(F919*PI()/180)+Tableau!$G$25</f>
        <v>-23364.41593578412</v>
      </c>
      <c r="H919" s="27">
        <f>Tableau!$G$26*SIN(F919*PI()/180)+Tableau!$H$25</f>
        <v>9035.2692546405087</v>
      </c>
      <c r="J919" s="34">
        <v>916</v>
      </c>
      <c r="K919" s="35">
        <f>Tableau!$G$36*COS(J919*PI()/180)+Tableau!$G$35</f>
        <v>-9806.3084796915973</v>
      </c>
      <c r="L919" s="35">
        <f>Tableau!$G$36*SIN(J919*PI()/180)+Tableau!$H$35</f>
        <v>-16378.186779084986</v>
      </c>
      <c r="N919" s="98">
        <v>915</v>
      </c>
      <c r="O919" s="99">
        <v>457.5</v>
      </c>
      <c r="P919" s="101">
        <f>P918+R918*Tableau!$G$2+((1/2)*T918)*Tableau!$G$2^2</f>
        <v>94013.034611357187</v>
      </c>
      <c r="Q919" s="101">
        <f>Q918+S918*Tableau!$G$2+((1/2)*U918)*Tableau!$G$2^2</f>
        <v>-316973.89609064424</v>
      </c>
      <c r="R919" s="101">
        <f>R918+T918*Tableau!$G$2</f>
        <v>665.18387035433261</v>
      </c>
      <c r="S919" s="101">
        <f>S918+U918*Tableau!$G$2</f>
        <v>-765.6669562686767</v>
      </c>
      <c r="T919" s="101">
        <f t="shared" si="28"/>
        <v>-3.1556350822940882</v>
      </c>
      <c r="U919" s="101">
        <f t="shared" si="29"/>
        <v>10.935210270683896</v>
      </c>
      <c r="V919" s="101">
        <f>((Tableau!$G$16-P919)/(AC919^2+Tableau!$G$21^2)^(3/2))*Tableau!$G$20</f>
        <v>-1.0498741535140272</v>
      </c>
      <c r="W919" s="101">
        <f>((Tableau!$H$16-Q919)/(AC919^2+Tableau!$G$21^2)^(3/2))*Tableau!$G$20</f>
        <v>4.6026589611458828</v>
      </c>
      <c r="X919" s="101">
        <f>((Tableau!$G$25-P919)/(AD919^2+Tableau!$G$30^2)^(3/2))*Tableau!$G$29</f>
        <v>-0.49282541996039309</v>
      </c>
      <c r="Y919" s="101">
        <f>((Tableau!$H$25-Q919)/(AD919^2+Tableau!$G$30^2)^(3/2))*Tableau!$G$29</f>
        <v>1.4133563605797221</v>
      </c>
      <c r="Z919" s="101">
        <f>((Tableau!$G$35-P919)/(AE919^2+Tableau!$G$40^2)^(3/2))*Tableau!$G$39</f>
        <v>-1.6129355088196682</v>
      </c>
      <c r="AA919" s="102">
        <f>((Tableau!$H$35-Q919)/(AE919^2+Tableau!$G$40^2)^(3/2))*Tableau!$G$39</f>
        <v>4.9191949489582925</v>
      </c>
      <c r="AC919" s="113">
        <f>SQRT((Tableau!$G$16-P919)^2+(Tableau!$H$16-Q919)^2)</f>
        <v>332808.11068335478</v>
      </c>
      <c r="AD919" s="114">
        <f>SQRT((Tableau!$G$25-P919)^2+(Tableau!$H$25-Q919)^2)</f>
        <v>346281.53399508027</v>
      </c>
      <c r="AE919" s="115">
        <f>SQRT((Tableau!$G$35-P919)^2+(Tableau!$H$35-Q919)^2)</f>
        <v>317792.0938964861</v>
      </c>
    </row>
    <row r="920" spans="2:31" x14ac:dyDescent="0.25">
      <c r="B920" s="20">
        <v>917</v>
      </c>
      <c r="C920" s="21">
        <f>Tableau!$G$17*COS(B920*PI()/180)+Tableau!$G$16</f>
        <v>15218.476220184821</v>
      </c>
      <c r="D920" s="21">
        <f>Tableau!$G$17*SIN(B920*PI()/180)+Tableau!$H$16</f>
        <v>6038.1414763863222</v>
      </c>
      <c r="F920" s="28">
        <v>917</v>
      </c>
      <c r="G920" s="29">
        <f>Tableau!$G$26*COS(F920*PI()/180)+Tableau!$G$25</f>
        <v>-23347.066645870626</v>
      </c>
      <c r="H920" s="29">
        <f>Tableau!$G$26*SIN(F920*PI()/180)+Tableau!$H$25</f>
        <v>8976.699033470426</v>
      </c>
      <c r="J920" s="36">
        <v>917</v>
      </c>
      <c r="K920" s="37">
        <f>Tableau!$G$36*COS(J920*PI()/180)+Tableau!$G$35</f>
        <v>-9781.5237798151793</v>
      </c>
      <c r="L920" s="37">
        <f>Tableau!$G$36*SIN(J920*PI()/180)+Tableau!$H$35</f>
        <v>-16461.858523613679</v>
      </c>
      <c r="N920" s="92">
        <v>916</v>
      </c>
      <c r="O920" s="93">
        <v>458</v>
      </c>
      <c r="P920" s="96">
        <f>P919+R919*Tableau!$G$2+((1/2)*T919)*Tableau!$G$2^2</f>
        <v>94345.232092149075</v>
      </c>
      <c r="Q920" s="96">
        <f>Q919+S919*Tableau!$G$2+((1/2)*U919)*Tableau!$G$2^2</f>
        <v>-317355.36266749474</v>
      </c>
      <c r="R920" s="96">
        <f>R919+T919*Tableau!$G$2</f>
        <v>663.60605281318556</v>
      </c>
      <c r="S920" s="96">
        <f>S919+U919*Tableau!$G$2</f>
        <v>-760.19935113333474</v>
      </c>
      <c r="T920" s="96">
        <f t="shared" si="28"/>
        <v>-3.1538745361598015</v>
      </c>
      <c r="U920" s="96">
        <f t="shared" si="29"/>
        <v>10.902705938929337</v>
      </c>
      <c r="V920" s="96">
        <f>((Tableau!$G$16-P920)/(AC920^2+Tableau!$G$21^2)^(3/2))*Tableau!$G$20</f>
        <v>-1.0503628846064366</v>
      </c>
      <c r="W920" s="96">
        <f>((Tableau!$H$16-Q920)/(AC920^2+Tableau!$G$21^2)^(3/2))*Tableau!$G$20</f>
        <v>4.5896153150530363</v>
      </c>
      <c r="X920" s="96">
        <f>((Tableau!$G$25-P920)/(AD920^2+Tableau!$G$30^2)^(3/2))*Tableau!$G$29</f>
        <v>-0.49225667517430932</v>
      </c>
      <c r="Y920" s="96">
        <f>((Tableau!$H$25-Q920)/(AD920^2+Tableau!$G$30^2)^(3/2))*Tableau!$G$29</f>
        <v>1.4092661274876648</v>
      </c>
      <c r="Z920" s="96">
        <f>((Tableau!$G$35-P920)/(AE920^2+Tableau!$G$40^2)^(3/2))*Tableau!$G$39</f>
        <v>-1.6112549763790556</v>
      </c>
      <c r="AA920" s="97">
        <f>((Tableau!$H$35-Q920)/(AE920^2+Tableau!$G$40^2)^(3/2))*Tableau!$G$39</f>
        <v>4.9038244963886353</v>
      </c>
      <c r="AC920" s="110">
        <f>SQRT((Tableau!$G$16-P920)^2+(Tableau!$H$16-Q920)^2)</f>
        <v>333253.98750602378</v>
      </c>
      <c r="AD920" s="111">
        <f>SQRT((Tableau!$G$25-P920)^2+(Tableau!$H$25-Q920)^2)</f>
        <v>346751.15799283853</v>
      </c>
      <c r="AE920" s="112">
        <f>SQRT((Tableau!$G$35-P920)^2+(Tableau!$H$35-Q920)^2)</f>
        <v>318258.134967883</v>
      </c>
    </row>
    <row r="921" spans="2:31" x14ac:dyDescent="0.25">
      <c r="B921" s="18">
        <v>918</v>
      </c>
      <c r="C921" s="19">
        <f>Tableau!$G$17*COS(B921*PI()/180)+Tableau!$G$16</f>
        <v>15244.717418524229</v>
      </c>
      <c r="D921" s="19">
        <f>Tableau!$G$17*SIN(B921*PI()/180)+Tableau!$H$16</f>
        <v>5954.9150281252741</v>
      </c>
      <c r="F921" s="26">
        <v>918</v>
      </c>
      <c r="G921" s="27">
        <f>Tableau!$G$26*COS(F921*PI()/180)+Tableau!$G$25</f>
        <v>-23328.697807033041</v>
      </c>
      <c r="H921" s="27">
        <f>Tableau!$G$26*SIN(F921*PI()/180)+Tableau!$H$25</f>
        <v>8918.4405196876924</v>
      </c>
      <c r="J921" s="34">
        <v>918</v>
      </c>
      <c r="K921" s="35">
        <f>Tableau!$G$36*COS(J921*PI()/180)+Tableau!$G$35</f>
        <v>-9755.2825814757707</v>
      </c>
      <c r="L921" s="35">
        <f>Tableau!$G$36*SIN(J921*PI()/180)+Tableau!$H$35</f>
        <v>-16545.084971874727</v>
      </c>
      <c r="N921" s="98">
        <v>917</v>
      </c>
      <c r="O921" s="99">
        <v>458.5</v>
      </c>
      <c r="P921" s="101">
        <f>P920+R920*Tableau!$G$2+((1/2)*T920)*Tableau!$G$2^2</f>
        <v>94676.640884238645</v>
      </c>
      <c r="Q921" s="101">
        <f>Q920+S920*Tableau!$G$2+((1/2)*U920)*Tableau!$G$2^2</f>
        <v>-317734.09950481902</v>
      </c>
      <c r="R921" s="101">
        <f>R920+T920*Tableau!$G$2</f>
        <v>662.0291155451057</v>
      </c>
      <c r="S921" s="101">
        <f>S920+U920*Tableau!$G$2</f>
        <v>-754.74799816387008</v>
      </c>
      <c r="T921" s="101">
        <f t="shared" si="28"/>
        <v>-3.1521428538901737</v>
      </c>
      <c r="U921" s="101">
        <f t="shared" si="29"/>
        <v>10.870519566310513</v>
      </c>
      <c r="V921" s="101">
        <f>((Tableau!$G$16-P921)/(AC921^2+Tableau!$G$21^2)^(3/2))*Tableau!$G$20</f>
        <v>-1.0508505556403778</v>
      </c>
      <c r="W921" s="101">
        <f>((Tableau!$H$16-Q921)/(AC921^2+Tableau!$G$21^2)^(3/2))*Tableau!$G$20</f>
        <v>4.5766980160187138</v>
      </c>
      <c r="X921" s="101">
        <f>((Tableau!$G$25-P921)/(AD921^2+Tableau!$G$30^2)^(3/2))*Tableau!$G$29</f>
        <v>-0.49169537306377004</v>
      </c>
      <c r="Y921" s="101">
        <f>((Tableau!$H$25-Q921)/(AD921^2+Tableau!$G$30^2)^(3/2))*Tableau!$G$29</f>
        <v>1.4052150383826669</v>
      </c>
      <c r="Z921" s="101">
        <f>((Tableau!$G$35-P921)/(AE921^2+Tableau!$G$40^2)^(3/2))*Tableau!$G$39</f>
        <v>-1.6095969251860258</v>
      </c>
      <c r="AA921" s="102">
        <f>((Tableau!$H$35-Q921)/(AE921^2+Tableau!$G$40^2)^(3/2))*Tableau!$G$39</f>
        <v>4.8886065119091322</v>
      </c>
      <c r="AC921" s="113">
        <f>SQRT((Tableau!$G$16-P921)^2+(Tableau!$H$16-Q921)^2)</f>
        <v>333697.19833175716</v>
      </c>
      <c r="AD921" s="114">
        <f>SQRT((Tableau!$G$25-P921)^2+(Tableau!$H$25-Q921)^2)</f>
        <v>347218.04668353178</v>
      </c>
      <c r="AE921" s="115">
        <f>SQRT((Tableau!$G$35-P921)^2+(Tableau!$H$35-Q921)^2)</f>
        <v>318721.45792362199</v>
      </c>
    </row>
    <row r="922" spans="2:31" x14ac:dyDescent="0.25">
      <c r="B922" s="20">
        <v>919</v>
      </c>
      <c r="C922" s="21">
        <f>Tableau!$G$17*COS(B922*PI()/180)+Tableau!$G$16</f>
        <v>15272.407122003417</v>
      </c>
      <c r="D922" s="21">
        <f>Tableau!$G$17*SIN(B922*PI()/180)+Tableau!$H$16</f>
        <v>5872.1592277142163</v>
      </c>
      <c r="F922" s="28">
        <v>919</v>
      </c>
      <c r="G922" s="29">
        <f>Tableau!$G$26*COS(F922*PI()/180)+Tableau!$G$25</f>
        <v>-23309.315014597611</v>
      </c>
      <c r="H922" s="29">
        <f>Tableau!$G$26*SIN(F922*PI()/180)+Tableau!$H$25</f>
        <v>8860.5114593999515</v>
      </c>
      <c r="J922" s="36">
        <v>919</v>
      </c>
      <c r="K922" s="37">
        <f>Tableau!$G$36*COS(J922*PI()/180)+Tableau!$G$35</f>
        <v>-9727.5928779965834</v>
      </c>
      <c r="L922" s="37">
        <f>Tableau!$G$36*SIN(J922*PI()/180)+Tableau!$H$35</f>
        <v>-16627.840772285785</v>
      </c>
      <c r="N922" s="92">
        <v>918</v>
      </c>
      <c r="O922" s="93">
        <v>459</v>
      </c>
      <c r="P922" s="96">
        <f>P921+R921*Tableau!$G$2+((1/2)*T921)*Tableau!$G$2^2</f>
        <v>95007.261424154451</v>
      </c>
      <c r="Q922" s="96">
        <f>Q921+S921*Tableau!$G$2+((1/2)*U921)*Tableau!$G$2^2</f>
        <v>-318110.11468895519</v>
      </c>
      <c r="R922" s="96">
        <f>R921+T921*Tableau!$G$2</f>
        <v>660.45304411816062</v>
      </c>
      <c r="S922" s="96">
        <f>S921+U921*Tableau!$G$2</f>
        <v>-749.31273838071479</v>
      </c>
      <c r="T922" s="96">
        <f t="shared" si="28"/>
        <v>-3.1504400033607252</v>
      </c>
      <c r="U922" s="96">
        <f t="shared" si="29"/>
        <v>10.838647551779193</v>
      </c>
      <c r="V922" s="96">
        <f>((Tableau!$G$16-P922)/(AC922^2+Tableau!$G$21^2)^(3/2))*Tableau!$G$20</f>
        <v>-1.0513373239489092</v>
      </c>
      <c r="W922" s="96">
        <f>((Tableau!$H$16-Q922)/(AC922^2+Tableau!$G$21^2)^(3/2))*Tableau!$G$20</f>
        <v>4.5639056823043118</v>
      </c>
      <c r="X922" s="96">
        <f>((Tableau!$G$25-P922)/(AD922^2+Tableau!$G$30^2)^(3/2))*Tableau!$G$29</f>
        <v>-0.49114145843724877</v>
      </c>
      <c r="Y922" s="96">
        <f>((Tableau!$H$25-Q922)/(AD922^2+Tableau!$G$30^2)^(3/2))*Tableau!$G$29</f>
        <v>1.4012026567785147</v>
      </c>
      <c r="Z922" s="96">
        <f>((Tableau!$G$35-P922)/(AE922^2+Tableau!$G$40^2)^(3/2))*Tableau!$G$39</f>
        <v>-1.6079612209745671</v>
      </c>
      <c r="AA922" s="97">
        <f>((Tableau!$H$35-Q922)/(AE922^2+Tableau!$G$40^2)^(3/2))*Tableau!$G$39</f>
        <v>4.8735392126963673</v>
      </c>
      <c r="AC922" s="110">
        <f>SQRT((Tableau!$G$16-P922)^2+(Tableau!$H$16-Q922)^2)</f>
        <v>334137.75011827977</v>
      </c>
      <c r="AD922" s="111">
        <f>SQRT((Tableau!$G$25-P922)^2+(Tableau!$H$25-Q922)^2)</f>
        <v>347682.20768610394</v>
      </c>
      <c r="AE922" s="112">
        <f>SQRT((Tableau!$G$35-P922)^2+(Tableau!$H$35-Q922)^2)</f>
        <v>319182.07024253532</v>
      </c>
    </row>
    <row r="923" spans="2:31" x14ac:dyDescent="0.25">
      <c r="B923" s="18">
        <v>920</v>
      </c>
      <c r="C923" s="19">
        <f>Tableau!$G$17*COS(B923*PI()/180)+Tableau!$G$16</f>
        <v>15301.536896070456</v>
      </c>
      <c r="D923" s="19">
        <f>Tableau!$G$17*SIN(B923*PI()/180)+Tableau!$H$16</f>
        <v>5789.8992833716611</v>
      </c>
      <c r="F923" s="26">
        <v>920</v>
      </c>
      <c r="G923" s="27">
        <f>Tableau!$G$26*COS(F923*PI()/180)+Tableau!$G$25</f>
        <v>-23288.924172750681</v>
      </c>
      <c r="H923" s="27">
        <f>Tableau!$G$26*SIN(F923*PI()/180)+Tableau!$H$25</f>
        <v>8802.9294983601631</v>
      </c>
      <c r="J923" s="34">
        <v>920</v>
      </c>
      <c r="K923" s="35">
        <f>Tableau!$G$36*COS(J923*PI()/180)+Tableau!$G$35</f>
        <v>-9698.4631039295436</v>
      </c>
      <c r="L923" s="35">
        <f>Tableau!$G$36*SIN(J923*PI()/180)+Tableau!$H$35</f>
        <v>-16710.100716628338</v>
      </c>
      <c r="N923" s="98">
        <v>919</v>
      </c>
      <c r="O923" s="99">
        <v>459.5</v>
      </c>
      <c r="P923" s="101">
        <f>P922+R922*Tableau!$G$2+((1/2)*T922)*Tableau!$G$2^2</f>
        <v>95337.094141213107</v>
      </c>
      <c r="Q923" s="101">
        <f>Q922+S922*Tableau!$G$2+((1/2)*U922)*Tableau!$G$2^2</f>
        <v>-318483.41622720158</v>
      </c>
      <c r="R923" s="101">
        <f>R922+T922*Tableau!$G$2</f>
        <v>658.87782411648027</v>
      </c>
      <c r="S923" s="101">
        <f>S922+U922*Tableau!$G$2</f>
        <v>-743.89341460482524</v>
      </c>
      <c r="T923" s="101">
        <f t="shared" si="28"/>
        <v>-3.1487659519689557</v>
      </c>
      <c r="U923" s="101">
        <f t="shared" si="29"/>
        <v>10.807086352190005</v>
      </c>
      <c r="V923" s="101">
        <f>((Tableau!$G$16-P923)/(AC923^2+Tableau!$G$21^2)^(3/2))*Tableau!$G$20</f>
        <v>-1.0518233437234252</v>
      </c>
      <c r="W923" s="101">
        <f>((Tableau!$H$16-Q923)/(AC923^2+Tableau!$G$21^2)^(3/2))*Tableau!$G$20</f>
        <v>4.5512369538940005</v>
      </c>
      <c r="X923" s="101">
        <f>((Tableau!$G$25-P923)/(AD923^2+Tableau!$G$30^2)^(3/2))*Tableau!$G$29</f>
        <v>-0.4905948769562497</v>
      </c>
      <c r="Y923" s="101">
        <f>((Tableau!$H$25-Q923)/(AD923^2+Tableau!$G$30^2)^(3/2))*Tableau!$G$29</f>
        <v>1.3972285531040478</v>
      </c>
      <c r="Z923" s="101">
        <f>((Tableau!$G$35-P923)/(AE923^2+Tableau!$G$40^2)^(3/2))*Tableau!$G$39</f>
        <v>-1.6063477312892807</v>
      </c>
      <c r="AA923" s="102">
        <f>((Tableau!$H$35-Q923)/(AE923^2+Tableau!$G$40^2)^(3/2))*Tableau!$G$39</f>
        <v>4.8586208451919557</v>
      </c>
      <c r="AC923" s="113">
        <f>SQRT((Tableau!$G$16-P923)^2+(Tableau!$H$16-Q923)^2)</f>
        <v>334575.64975472877</v>
      </c>
      <c r="AD923" s="114">
        <f>SQRT((Tableau!$G$25-P923)^2+(Tableau!$H$25-Q923)^2)</f>
        <v>348143.64854357461</v>
      </c>
      <c r="AE923" s="115">
        <f>SQRT((Tableau!$G$35-P923)^2+(Tableau!$H$35-Q923)^2)</f>
        <v>319639.97932930035</v>
      </c>
    </row>
    <row r="924" spans="2:31" x14ac:dyDescent="0.25">
      <c r="B924" s="20">
        <v>921</v>
      </c>
      <c r="C924" s="21">
        <f>Tableau!$G$17*COS(B924*PI()/180)+Tableau!$G$16</f>
        <v>15332.097867513994</v>
      </c>
      <c r="D924" s="21">
        <f>Tableau!$G$17*SIN(B924*PI()/180)+Tableau!$H$16</f>
        <v>5708.160252273492</v>
      </c>
      <c r="F924" s="28">
        <v>921</v>
      </c>
      <c r="G924" s="29">
        <f>Tableau!$G$26*COS(F924*PI()/180)+Tableau!$G$25</f>
        <v>-23267.531492740203</v>
      </c>
      <c r="H924" s="29">
        <f>Tableau!$G$26*SIN(F924*PI()/180)+Tableau!$H$25</f>
        <v>8745.7121765914453</v>
      </c>
      <c r="J924" s="36">
        <v>921</v>
      </c>
      <c r="K924" s="37">
        <f>Tableau!$G$36*COS(J924*PI()/180)+Tableau!$G$35</f>
        <v>-9667.9021324860059</v>
      </c>
      <c r="L924" s="37">
        <f>Tableau!$G$36*SIN(J924*PI()/180)+Tableau!$H$35</f>
        <v>-16791.83974772651</v>
      </c>
      <c r="N924" s="92">
        <v>920</v>
      </c>
      <c r="O924" s="93">
        <v>460</v>
      </c>
      <c r="P924" s="96">
        <f>P923+R923*Tableau!$G$2+((1/2)*T923)*Tableau!$G$2^2</f>
        <v>95666.139457527344</v>
      </c>
      <c r="Q924" s="96">
        <f>Q923+S923*Tableau!$G$2+((1/2)*U923)*Tableau!$G$2^2</f>
        <v>-318854.01204870996</v>
      </c>
      <c r="R924" s="96">
        <f>R923+T923*Tableau!$G$2</f>
        <v>657.30344114049581</v>
      </c>
      <c r="S924" s="96">
        <f>S923+U923*Tableau!$G$2</f>
        <v>-738.48987142873023</v>
      </c>
      <c r="T924" s="96">
        <f t="shared" si="28"/>
        <v>-3.1471206666854346</v>
      </c>
      <c r="U924" s="96">
        <f t="shared" si="29"/>
        <v>10.775832481192378</v>
      </c>
      <c r="V924" s="96">
        <f>((Tableau!$G$16-P924)/(AC924^2+Tableau!$G$21^2)^(3/2))*Tableau!$G$20</f>
        <v>-1.0523087660949775</v>
      </c>
      <c r="W924" s="96">
        <f>((Tableau!$H$16-Q924)/(AC924^2+Tableau!$G$21^2)^(3/2))*Tableau!$G$20</f>
        <v>4.5386904920911633</v>
      </c>
      <c r="X924" s="96">
        <f>((Tableau!$G$25-P924)/(AD924^2+Tableau!$G$30^2)^(3/2))*Tableau!$G$29</f>
        <v>-0.49005557512219822</v>
      </c>
      <c r="Y924" s="96">
        <f>((Tableau!$H$25-Q924)/(AD924^2+Tableau!$G$30^2)^(3/2))*Tableau!$G$29</f>
        <v>1.393292304572417</v>
      </c>
      <c r="Z924" s="96">
        <f>((Tableau!$G$35-P924)/(AE924^2+Tableau!$G$40^2)^(3/2))*Tableau!$G$39</f>
        <v>-1.6047563254682589</v>
      </c>
      <c r="AA924" s="97">
        <f>((Tableau!$H$35-Q924)/(AE924^2+Tableau!$G$40^2)^(3/2))*Tableau!$G$39</f>
        <v>4.8438496845287986</v>
      </c>
      <c r="AC924" s="110">
        <f>SQRT((Tableau!$G$16-P924)^2+(Tableau!$H$16-Q924)^2)</f>
        <v>335010.90406238346</v>
      </c>
      <c r="AD924" s="111">
        <f>SQRT((Tableau!$G$25-P924)^2+(Tableau!$H$25-Q924)^2)</f>
        <v>348602.37672388472</v>
      </c>
      <c r="AE924" s="112">
        <f>SQRT((Tableau!$G$35-P924)^2+(Tableau!$H$35-Q924)^2)</f>
        <v>320095.19251525775</v>
      </c>
    </row>
    <row r="925" spans="2:31" x14ac:dyDescent="0.25">
      <c r="B925" s="18">
        <v>922</v>
      </c>
      <c r="C925" s="19">
        <f>Tableau!$G$17*COS(B925*PI()/180)+Tableau!$G$16</f>
        <v>15364.080727166063</v>
      </c>
      <c r="D925" s="19">
        <f>Tableau!$G$17*SIN(B925*PI()/180)+Tableau!$H$16</f>
        <v>5626.9670329204382</v>
      </c>
      <c r="F925" s="26">
        <v>922</v>
      </c>
      <c r="G925" s="27">
        <f>Tableau!$G$26*COS(F925*PI()/180)+Tableau!$G$25</f>
        <v>-23245.143490983755</v>
      </c>
      <c r="H925" s="27">
        <f>Tableau!$G$26*SIN(F925*PI()/180)+Tableau!$H$25</f>
        <v>8688.8769230443067</v>
      </c>
      <c r="J925" s="34">
        <v>922</v>
      </c>
      <c r="K925" s="35">
        <f>Tableau!$G$36*COS(J925*PI()/180)+Tableau!$G$35</f>
        <v>-9635.9192728339367</v>
      </c>
      <c r="L925" s="35">
        <f>Tableau!$G$36*SIN(J925*PI()/180)+Tableau!$H$35</f>
        <v>-16873.032967079562</v>
      </c>
      <c r="N925" s="98">
        <v>921</v>
      </c>
      <c r="O925" s="99">
        <v>460.5</v>
      </c>
      <c r="P925" s="101">
        <f>P924+R924*Tableau!$G$2+((1/2)*T924)*Tableau!$G$2^2</f>
        <v>95994.397788014263</v>
      </c>
      <c r="Q925" s="101">
        <f>Q924+S924*Tableau!$G$2+((1/2)*U924)*Tableau!$G$2^2</f>
        <v>-319221.91000536416</v>
      </c>
      <c r="R925" s="101">
        <f>R924+T924*Tableau!$G$2</f>
        <v>655.72988080715311</v>
      </c>
      <c r="S925" s="101">
        <f>S924+U924*Tableau!$G$2</f>
        <v>-733.10195518813407</v>
      </c>
      <c r="T925" s="101">
        <f t="shared" si="28"/>
        <v>-3.1455041141030629</v>
      </c>
      <c r="U925" s="101">
        <f t="shared" si="29"/>
        <v>10.744882508147779</v>
      </c>
      <c r="V925" s="101">
        <f>((Tableau!$G$16-P925)/(AC925^2+Tableau!$G$21^2)^(3/2))*Tableau!$G$20</f>
        <v>-1.0527937392134099</v>
      </c>
      <c r="W925" s="101">
        <f>((Tableau!$H$16-Q925)/(AC925^2+Tableau!$G$21^2)^(3/2))*Tableau!$G$20</f>
        <v>4.5262649791238321</v>
      </c>
      <c r="X925" s="101">
        <f>((Tableau!$G$25-P925)/(AD925^2+Tableau!$G$30^2)^(3/2))*Tableau!$G$29</f>
        <v>-0.48952350026355307</v>
      </c>
      <c r="Y925" s="101">
        <f>((Tableau!$H$25-Q925)/(AD925^2+Tableau!$G$30^2)^(3/2))*Tableau!$G$29</f>
        <v>1.3893934950531828</v>
      </c>
      <c r="Z925" s="101">
        <f>((Tableau!$G$35-P925)/(AE925^2+Tableau!$G$40^2)^(3/2))*Tableau!$G$39</f>
        <v>-1.6031868746261</v>
      </c>
      <c r="AA925" s="102">
        <f>((Tableau!$H$35-Q925)/(AE925^2+Tableau!$G$40^2)^(3/2))*Tableau!$G$39</f>
        <v>4.8292240339707648</v>
      </c>
      <c r="AC925" s="113">
        <f>SQRT((Tableau!$G$16-P925)^2+(Tableau!$H$16-Q925)^2)</f>
        <v>335443.51979538408</v>
      </c>
      <c r="AD925" s="114">
        <f>SQRT((Tableau!$G$25-P925)^2+(Tableau!$H$25-Q925)^2)</f>
        <v>349058.39962072845</v>
      </c>
      <c r="AE925" s="115">
        <f>SQRT((Tableau!$G$35-P925)^2+(Tableau!$H$35-Q925)^2)</f>
        <v>320547.71705921658</v>
      </c>
    </row>
    <row r="926" spans="2:31" x14ac:dyDescent="0.25">
      <c r="B926" s="20">
        <v>923</v>
      </c>
      <c r="C926" s="21">
        <f>Tableau!$G$17*COS(B926*PI()/180)+Tableau!$G$16</f>
        <v>15397.475732737797</v>
      </c>
      <c r="D926" s="21">
        <f>Tableau!$G$17*SIN(B926*PI()/180)+Tableau!$H$16</f>
        <v>5546.3443575536348</v>
      </c>
      <c r="F926" s="28">
        <v>923</v>
      </c>
      <c r="G926" s="29">
        <f>Tableau!$G$26*COS(F926*PI()/180)+Tableau!$G$25</f>
        <v>-23221.766987083542</v>
      </c>
      <c r="H926" s="29">
        <f>Tableau!$G$26*SIN(F926*PI()/180)+Tableau!$H$25</f>
        <v>8632.4410502875435</v>
      </c>
      <c r="J926" s="36">
        <v>923</v>
      </c>
      <c r="K926" s="37">
        <f>Tableau!$G$36*COS(J926*PI()/180)+Tableau!$G$35</f>
        <v>-9602.5242672622026</v>
      </c>
      <c r="L926" s="37">
        <f>Tableau!$G$36*SIN(J926*PI()/180)+Tableau!$H$35</f>
        <v>-16953.655642446367</v>
      </c>
      <c r="N926" s="92">
        <v>922</v>
      </c>
      <c r="O926" s="93">
        <v>461</v>
      </c>
      <c r="P926" s="96">
        <f>P925+R925*Tableau!$G$2+((1/2)*T925)*Tableau!$G$2^2</f>
        <v>96321.869540403583</v>
      </c>
      <c r="Q926" s="96">
        <f>Q925+S925*Tableau!$G$2+((1/2)*U925)*Tableau!$G$2^2</f>
        <v>-319587.11787264468</v>
      </c>
      <c r="R926" s="96">
        <f>R925+T925*Tableau!$G$2</f>
        <v>654.15712875010161</v>
      </c>
      <c r="S926" s="96">
        <f>S925+U925*Tableau!$G$2</f>
        <v>-727.72951393406015</v>
      </c>
      <c r="T926" s="96">
        <f t="shared" si="28"/>
        <v>-3.1439162604845539</v>
      </c>
      <c r="U926" s="96">
        <f t="shared" si="29"/>
        <v>10.714233057071432</v>
      </c>
      <c r="V926" s="96">
        <f>((Tableau!$G$16-P926)/(AC926^2+Tableau!$G$21^2)^(3/2))*Tableau!$G$20</f>
        <v>-1.0532784083243671</v>
      </c>
      <c r="W926" s="96">
        <f>((Tableau!$H$16-Q926)/(AC926^2+Tableau!$G$21^2)^(3/2))*Tableau!$G$20</f>
        <v>4.5139591177588185</v>
      </c>
      <c r="X926" s="96">
        <f>((Tableau!$G$25-P926)/(AD926^2+Tableau!$G$30^2)^(3/2))*Tableau!$G$29</f>
        <v>-0.48899860052322275</v>
      </c>
      <c r="Y926" s="96">
        <f>((Tableau!$H$25-Q926)/(AD926^2+Tableau!$G$30^2)^(3/2))*Tableau!$G$29</f>
        <v>1.3855317149474224</v>
      </c>
      <c r="Z926" s="96">
        <f>((Tableau!$G$35-P926)/(AE926^2+Tableau!$G$40^2)^(3/2))*Tableau!$G$39</f>
        <v>-1.6016392516369642</v>
      </c>
      <c r="AA926" s="97">
        <f>((Tableau!$H$35-Q926)/(AE926^2+Tableau!$G$40^2)^(3/2))*Tableau!$G$39</f>
        <v>4.8147422243651903</v>
      </c>
      <c r="AC926" s="110">
        <f>SQRT((Tableau!$G$16-P926)^2+(Tableau!$H$16-Q926)^2)</f>
        <v>335873.50364143902</v>
      </c>
      <c r="AD926" s="111">
        <f>SQRT((Tableau!$G$25-P926)^2+(Tableau!$H$25-Q926)^2)</f>
        <v>349511.72455437202</v>
      </c>
      <c r="AE926" s="112">
        <f>SQRT((Tableau!$G$35-P926)^2+(Tableau!$H$35-Q926)^2)</f>
        <v>320997.56014824618</v>
      </c>
    </row>
    <row r="927" spans="2:31" x14ac:dyDescent="0.25">
      <c r="B927" s="18">
        <v>924</v>
      </c>
      <c r="C927" s="19">
        <f>Tableau!$G$17*COS(B927*PI()/180)+Tableau!$G$16</f>
        <v>15432.272711786998</v>
      </c>
      <c r="D927" s="19">
        <f>Tableau!$G$17*SIN(B927*PI()/180)+Tableau!$H$16</f>
        <v>5466.3167846209908</v>
      </c>
      <c r="F927" s="26">
        <v>924</v>
      </c>
      <c r="G927" s="27">
        <f>Tableau!$G$26*COS(F927*PI()/180)+Tableau!$G$25</f>
        <v>-23197.409101749101</v>
      </c>
      <c r="H927" s="27">
        <f>Tableau!$G$26*SIN(F927*PI()/180)+Tableau!$H$25</f>
        <v>8576.4217492346943</v>
      </c>
      <c r="J927" s="34">
        <v>924</v>
      </c>
      <c r="K927" s="35">
        <f>Tableau!$G$36*COS(J927*PI()/180)+Tableau!$G$35</f>
        <v>-9567.7272882130019</v>
      </c>
      <c r="L927" s="35">
        <f>Tableau!$G$36*SIN(J927*PI()/180)+Tableau!$H$35</f>
        <v>-17033.683215379009</v>
      </c>
      <c r="N927" s="98">
        <v>923</v>
      </c>
      <c r="O927" s="99">
        <v>461.5</v>
      </c>
      <c r="P927" s="101">
        <f>P926+R926*Tableau!$G$2+((1/2)*T926)*Tableau!$G$2^2</f>
        <v>96648.555115246083</v>
      </c>
      <c r="Q927" s="101">
        <f>Q926+S926*Tableau!$G$2+((1/2)*U926)*Tableau!$G$2^2</f>
        <v>-319949.6433504796</v>
      </c>
      <c r="R927" s="101">
        <f>R926+T926*Tableau!$G$2</f>
        <v>652.58517061985935</v>
      </c>
      <c r="S927" s="101">
        <f>S926+U926*Tableau!$G$2</f>
        <v>-722.37239740552445</v>
      </c>
      <c r="T927" s="101">
        <f t="shared" si="28"/>
        <v>-3.1423570718085054</v>
      </c>
      <c r="U927" s="101">
        <f t="shared" si="29"/>
        <v>10.683880805598967</v>
      </c>
      <c r="V927" s="101">
        <f>((Tableau!$G$16-P927)/(AC927^2+Tableau!$G$21^2)^(3/2))*Tableau!$G$20</f>
        <v>-1.0537629158443123</v>
      </c>
      <c r="W927" s="101">
        <f>((Tableau!$H$16-Q927)/(AC927^2+Tableau!$G$21^2)^(3/2))*Tableau!$G$20</f>
        <v>4.5017716309246794</v>
      </c>
      <c r="X927" s="101">
        <f>((Tableau!$G$25-P927)/(AD927^2+Tableau!$G$30^2)^(3/2))*Tableau!$G$29</f>
        <v>-0.48848082484622901</v>
      </c>
      <c r="Y927" s="101">
        <f>((Tableau!$H$25-Q927)/(AD927^2+Tableau!$G$30^2)^(3/2))*Tableau!$G$29</f>
        <v>1.3817065610656307</v>
      </c>
      <c r="Z927" s="101">
        <f>((Tableau!$G$35-P927)/(AE927^2+Tableau!$G$40^2)^(3/2))*Tableau!$G$39</f>
        <v>-1.6001133311179643</v>
      </c>
      <c r="AA927" s="102">
        <f>((Tableau!$H$35-Q927)/(AE927^2+Tableau!$G$40^2)^(3/2))*Tableau!$G$39</f>
        <v>4.8004026136086582</v>
      </c>
      <c r="AC927" s="113">
        <f>SQRT((Tableau!$G$16-P927)^2+(Tableau!$H$16-Q927)^2)</f>
        <v>336300.86222252122</v>
      </c>
      <c r="AD927" s="114">
        <f>SQRT((Tableau!$G$25-P927)^2+(Tableau!$H$25-Q927)^2)</f>
        <v>349962.35877245897</v>
      </c>
      <c r="AE927" s="115">
        <f>SQRT((Tableau!$G$35-P927)^2+(Tableau!$H$35-Q927)^2)</f>
        <v>321444.72889845609</v>
      </c>
    </row>
    <row r="928" spans="2:31" x14ac:dyDescent="0.25">
      <c r="B928" s="20">
        <v>925</v>
      </c>
      <c r="C928" s="21">
        <f>Tableau!$G$17*COS(B928*PI()/180)+Tableau!$G$16</f>
        <v>15468.461064816751</v>
      </c>
      <c r="D928" s="21">
        <f>Tableau!$G$17*SIN(B928*PI()/180)+Tableau!$H$16</f>
        <v>5386.9086912964995</v>
      </c>
      <c r="F928" s="28">
        <v>925</v>
      </c>
      <c r="G928" s="29">
        <f>Tableau!$G$26*COS(F928*PI()/180)+Tableau!$G$25</f>
        <v>-23172.077254628275</v>
      </c>
      <c r="H928" s="29">
        <f>Tableau!$G$26*SIN(F928*PI()/180)+Tableau!$H$25</f>
        <v>8520.8360839075503</v>
      </c>
      <c r="J928" s="36">
        <v>925</v>
      </c>
      <c r="K928" s="37">
        <f>Tableau!$G$36*COS(J928*PI()/180)+Tableau!$G$35</f>
        <v>-9531.5389351832491</v>
      </c>
      <c r="L928" s="37">
        <f>Tableau!$G$36*SIN(J928*PI()/180)+Tableau!$H$35</f>
        <v>-17113.091308703501</v>
      </c>
      <c r="N928" s="92">
        <v>924</v>
      </c>
      <c r="O928" s="93">
        <v>462</v>
      </c>
      <c r="P928" s="96">
        <f>P927+R927*Tableau!$G$2+((1/2)*T927)*Tableau!$G$2^2</f>
        <v>96974.45490592203</v>
      </c>
      <c r="Q928" s="96">
        <f>Q927+S927*Tableau!$G$2+((1/2)*U927)*Tableau!$G$2^2</f>
        <v>-320309.49406408169</v>
      </c>
      <c r="R928" s="96">
        <f>R927+T927*Tableau!$G$2</f>
        <v>651.01399208395515</v>
      </c>
      <c r="S928" s="96">
        <f>S927+U927*Tableau!$G$2</f>
        <v>-717.03045700272492</v>
      </c>
      <c r="T928" s="96">
        <f t="shared" si="28"/>
        <v>-3.1408265138136473</v>
      </c>
      <c r="U928" s="96">
        <f t="shared" si="29"/>
        <v>10.653822483975745</v>
      </c>
      <c r="V928" s="96">
        <f>((Tableau!$G$16-P928)/(AC928^2+Tableau!$G$21^2)^(3/2))*Tableau!$G$20</f>
        <v>-1.0542474014334755</v>
      </c>
      <c r="W928" s="96">
        <f>((Tableau!$H$16-Q928)/(AC928^2+Tableau!$G$21^2)^(3/2))*Tableau!$G$20</f>
        <v>4.4897012613426419</v>
      </c>
      <c r="X928" s="96">
        <f>((Tableau!$G$25-P928)/(AD928^2+Tableau!$G$30^2)^(3/2))*Tableau!$G$29</f>
        <v>-0.48797012296760511</v>
      </c>
      <c r="Y928" s="96">
        <f>((Tableau!$H$25-Q928)/(AD928^2+Tableau!$G$30^2)^(3/2))*Tableau!$G$29</f>
        <v>1.3779176365083219</v>
      </c>
      <c r="Z928" s="96">
        <f>((Tableau!$G$35-P928)/(AE928^2+Tableau!$G$40^2)^(3/2))*Tableau!$G$39</f>
        <v>-1.5986089894125668</v>
      </c>
      <c r="AA928" s="97">
        <f>((Tableau!$H$35-Q928)/(AE928^2+Tableau!$G$40^2)^(3/2))*Tableau!$G$39</f>
        <v>4.7862035861247803</v>
      </c>
      <c r="AC928" s="110">
        <f>SQRT((Tableau!$G$16-P928)^2+(Tableau!$H$16-Q928)^2)</f>
        <v>336725.60209555354</v>
      </c>
      <c r="AD928" s="111">
        <f>SQRT((Tableau!$G$25-P928)^2+(Tableau!$H$25-Q928)^2)</f>
        <v>350410.30945080257</v>
      </c>
      <c r="AE928" s="112">
        <f>SQRT((Tableau!$G$35-P928)^2+(Tableau!$H$35-Q928)^2)</f>
        <v>321889.23035576299</v>
      </c>
    </row>
    <row r="929" spans="2:31" x14ac:dyDescent="0.25">
      <c r="B929" s="18">
        <v>926</v>
      </c>
      <c r="C929" s="19">
        <f>Tableau!$G$17*COS(B929*PI()/180)+Tableau!$G$16</f>
        <v>15506.029768504164</v>
      </c>
      <c r="D929" s="19">
        <f>Tableau!$G$17*SIN(B929*PI()/180)+Tableau!$H$16</f>
        <v>5308.1442660546145</v>
      </c>
      <c r="F929" s="26">
        <v>926</v>
      </c>
      <c r="G929" s="27">
        <f>Tableau!$G$26*COS(F929*PI()/180)+Tableau!$G$25</f>
        <v>-23145.779162047085</v>
      </c>
      <c r="H929" s="27">
        <f>Tableau!$G$26*SIN(F929*PI()/180)+Tableau!$H$25</f>
        <v>8465.7009862382311</v>
      </c>
      <c r="J929" s="34">
        <v>926</v>
      </c>
      <c r="K929" s="35">
        <f>Tableau!$G$36*COS(J929*PI()/180)+Tableau!$G$35</f>
        <v>-9493.9702314958358</v>
      </c>
      <c r="L929" s="35">
        <f>Tableau!$G$36*SIN(J929*PI()/180)+Tableau!$H$35</f>
        <v>-17191.855733945384</v>
      </c>
      <c r="N929" s="98">
        <v>925</v>
      </c>
      <c r="O929" s="99">
        <v>462.5</v>
      </c>
      <c r="P929" s="101">
        <f>P928+R928*Tableau!$G$2+((1/2)*T928)*Tableau!$G$2^2</f>
        <v>97299.569298649789</v>
      </c>
      <c r="Q929" s="101">
        <f>Q928+S928*Tableau!$G$2+((1/2)*U928)*Tableau!$G$2^2</f>
        <v>-320666.67756477254</v>
      </c>
      <c r="R929" s="101">
        <f>R928+T928*Tableau!$G$2</f>
        <v>649.44357882704833</v>
      </c>
      <c r="S929" s="101">
        <f>S928+U928*Tableau!$G$2</f>
        <v>-711.70354576073703</v>
      </c>
      <c r="T929" s="101">
        <f t="shared" si="28"/>
        <v>-3.1393245520417397</v>
      </c>
      <c r="U929" s="101">
        <f t="shared" si="29"/>
        <v>10.624054874069662</v>
      </c>
      <c r="V929" s="101">
        <f>((Tableau!$G$16-P929)/(AC929^2+Tableau!$G$21^2)^(3/2))*Tableau!$G$20</f>
        <v>-1.0547320020669559</v>
      </c>
      <c r="W929" s="101">
        <f>((Tableau!$H$16-Q929)/(AC929^2+Tableau!$G$21^2)^(3/2))*Tableau!$G$20</f>
        <v>4.4777467711660286</v>
      </c>
      <c r="X929" s="101">
        <f>((Tableau!$G$25-P929)/(AD929^2+Tableau!$G$30^2)^(3/2))*Tableau!$G$29</f>
        <v>-0.48746644540055695</v>
      </c>
      <c r="Y929" s="101">
        <f>((Tableau!$H$25-Q929)/(AD929^2+Tableau!$G$30^2)^(3/2))*Tableau!$G$29</f>
        <v>1.3741645505493529</v>
      </c>
      <c r="Z929" s="101">
        <f>((Tableau!$G$35-P929)/(AE929^2+Tableau!$G$40^2)^(3/2))*Tableau!$G$39</f>
        <v>-1.5971261045742271</v>
      </c>
      <c r="AA929" s="102">
        <f>((Tableau!$H$35-Q929)/(AE929^2+Tableau!$G$40^2)^(3/2))*Tableau!$G$39</f>
        <v>4.7721435523542803</v>
      </c>
      <c r="AC929" s="113">
        <f>SQRT((Tableau!$G$16-P929)^2+(Tableau!$H$16-Q929)^2)</f>
        <v>337147.72975308337</v>
      </c>
      <c r="AD929" s="114">
        <f>SQRT((Tableau!$G$25-P929)^2+(Tableau!$H$25-Q929)^2)</f>
        <v>350855.5836941661</v>
      </c>
      <c r="AE929" s="115">
        <f>SQRT((Tableau!$G$35-P929)^2+(Tableau!$H$35-Q929)^2)</f>
        <v>322331.07149664592</v>
      </c>
    </row>
    <row r="930" spans="2:31" x14ac:dyDescent="0.25">
      <c r="B930" s="20">
        <v>927</v>
      </c>
      <c r="C930" s="21">
        <f>Tableau!$G$17*COS(B930*PI()/180)+Tableau!$G$16</f>
        <v>15544.967379058158</v>
      </c>
      <c r="D930" s="21">
        <f>Tableau!$G$17*SIN(B930*PI()/180)+Tableau!$H$16</f>
        <v>5230.0475013022733</v>
      </c>
      <c r="F930" s="28">
        <v>927</v>
      </c>
      <c r="G930" s="29">
        <f>Tableau!$G$26*COS(F930*PI()/180)+Tableau!$G$25</f>
        <v>-23118.522834659288</v>
      </c>
      <c r="H930" s="29">
        <f>Tableau!$G$26*SIN(F930*PI()/180)+Tableau!$H$25</f>
        <v>8411.0332509115906</v>
      </c>
      <c r="J930" s="36">
        <v>927</v>
      </c>
      <c r="K930" s="37">
        <f>Tableau!$G$36*COS(J930*PI()/180)+Tableau!$G$35</f>
        <v>-9455.0326209418417</v>
      </c>
      <c r="L930" s="37">
        <f>Tableau!$G$36*SIN(J930*PI()/180)+Tableau!$H$35</f>
        <v>-17269.952498697727</v>
      </c>
      <c r="N930" s="92">
        <v>926</v>
      </c>
      <c r="O930" s="93">
        <v>463</v>
      </c>
      <c r="P930" s="96">
        <f>P929+R929*Tableau!$G$2+((1/2)*T929)*Tableau!$G$2^2</f>
        <v>97623.89867249431</v>
      </c>
      <c r="Q930" s="96">
        <f>Q929+S929*Tableau!$G$2+((1/2)*U929)*Tableau!$G$2^2</f>
        <v>-321021.20133079361</v>
      </c>
      <c r="R930" s="96">
        <f>R929+T929*Tableau!$G$2</f>
        <v>647.87391655102749</v>
      </c>
      <c r="S930" s="96">
        <f>S929+U929*Tableau!$G$2</f>
        <v>-706.39151832370214</v>
      </c>
      <c r="T930" s="96">
        <f t="shared" si="28"/>
        <v>-3.1378511518789183</v>
      </c>
      <c r="U930" s="96">
        <f t="shared" si="29"/>
        <v>10.594574808406048</v>
      </c>
      <c r="V930" s="96">
        <f>((Tableau!$G$16-P930)/(AC930^2+Tableau!$G$21^2)^(3/2))*Tableau!$G$20</f>
        <v>-1.0552168521039493</v>
      </c>
      <c r="W930" s="96">
        <f>((Tableau!$H$16-Q930)/(AC930^2+Tableau!$G$21^2)^(3/2))*Tableau!$G$20</f>
        <v>4.4659069416275754</v>
      </c>
      <c r="X930" s="96">
        <f>((Tableau!$G$25-P930)/(AD930^2+Tableau!$G$30^2)^(3/2))*Tableau!$G$29</f>
        <v>-0.48696974342486871</v>
      </c>
      <c r="Y930" s="96">
        <f>((Tableau!$H$25-Q930)/(AD930^2+Tableau!$G$30^2)^(3/2))*Tableau!$G$29</f>
        <v>1.3704469185218691</v>
      </c>
      <c r="Z930" s="96">
        <f>((Tableau!$G$35-P930)/(AE930^2+Tableau!$G$40^2)^(3/2))*Tableau!$G$39</f>
        <v>-1.5956645563501002</v>
      </c>
      <c r="AA930" s="97">
        <f>((Tableau!$H$35-Q930)/(AE930^2+Tableau!$G$40^2)^(3/2))*Tableau!$G$39</f>
        <v>4.7582209482566027</v>
      </c>
      <c r="AC930" s="110">
        <f>SQRT((Tableau!$G$16-P930)^2+(Tableau!$H$16-Q930)^2)</f>
        <v>337567.25162394752</v>
      </c>
      <c r="AD930" s="111">
        <f>SQRT((Tableau!$G$25-P930)^2+(Tableau!$H$25-Q930)^2)</f>
        <v>351298.18853703048</v>
      </c>
      <c r="AE930" s="112">
        <f>SQRT((Tableau!$G$35-P930)^2+(Tableau!$H$35-Q930)^2)</f>
        <v>322770.25922888948</v>
      </c>
    </row>
    <row r="931" spans="2:31" x14ac:dyDescent="0.25">
      <c r="B931" s="18">
        <v>928</v>
      </c>
      <c r="C931" s="19">
        <f>Tableau!$G$17*COS(B931*PI()/180)+Tableau!$G$16</f>
        <v>15585.262035705367</v>
      </c>
      <c r="D931" s="19">
        <f>Tableau!$G$17*SIN(B931*PI()/180)+Tableau!$H$16</f>
        <v>5152.6421860705414</v>
      </c>
      <c r="F931" s="26">
        <v>928</v>
      </c>
      <c r="G931" s="27">
        <f>Tableau!$G$26*COS(F931*PI()/180)+Tableau!$G$25</f>
        <v>-23090.316575006244</v>
      </c>
      <c r="H931" s="27">
        <f>Tableau!$G$26*SIN(F931*PI()/180)+Tableau!$H$25</f>
        <v>8356.8495302493793</v>
      </c>
      <c r="J931" s="34">
        <v>928</v>
      </c>
      <c r="K931" s="35">
        <f>Tableau!$G$36*COS(J931*PI()/180)+Tableau!$G$35</f>
        <v>-9414.7379642946325</v>
      </c>
      <c r="L931" s="35">
        <f>Tableau!$G$36*SIN(J931*PI()/180)+Tableau!$H$35</f>
        <v>-17347.357813929459</v>
      </c>
      <c r="N931" s="98">
        <v>927</v>
      </c>
      <c r="O931" s="99">
        <v>463.5</v>
      </c>
      <c r="P931" s="101">
        <f>P930+R930*Tableau!$G$2+((1/2)*T930)*Tableau!$G$2^2</f>
        <v>97947.443399375843</v>
      </c>
      <c r="Q931" s="101">
        <f>Q930+S930*Tableau!$G$2+((1/2)*U930)*Tableau!$G$2^2</f>
        <v>-321373.07276810438</v>
      </c>
      <c r="R931" s="101">
        <f>R930+T930*Tableau!$G$2</f>
        <v>646.304990975088</v>
      </c>
      <c r="S931" s="101">
        <f>S930+U930*Tableau!$G$2</f>
        <v>-701.09423091949907</v>
      </c>
      <c r="T931" s="101">
        <f t="shared" si="28"/>
        <v>-3.1364062785956781</v>
      </c>
      <c r="U931" s="101">
        <f t="shared" si="29"/>
        <v>10.565379169224324</v>
      </c>
      <c r="V931" s="101">
        <f>((Tableau!$G$16-P931)/(AC931^2+Tableau!$G$21^2)^(3/2))*Tableau!$G$20</f>
        <v>-1.0557020833551036</v>
      </c>
      <c r="W931" s="101">
        <f>((Tableau!$H$16-Q931)/(AC931^2+Tableau!$G$21^2)^(3/2))*Tableau!$G$20</f>
        <v>4.4541805726942227</v>
      </c>
      <c r="X931" s="101">
        <f>((Tableau!$G$25-P931)/(AD931^2+Tableau!$G$30^2)^(3/2))*Tableau!$G$29</f>
        <v>-0.48647996907552082</v>
      </c>
      <c r="Y931" s="101">
        <f>((Tableau!$H$25-Q931)/(AD931^2+Tableau!$G$30^2)^(3/2))*Tableau!$G$29</f>
        <v>1.3667643617067227</v>
      </c>
      <c r="Z931" s="101">
        <f>((Tableau!$G$35-P931)/(AE931^2+Tableau!$G$40^2)^(3/2))*Tableau!$G$39</f>
        <v>-1.5942242261650534</v>
      </c>
      <c r="AA931" s="102">
        <f>((Tableau!$H$35-Q931)/(AE931^2+Tableau!$G$40^2)^(3/2))*Tableau!$G$39</f>
        <v>4.7444342348233786</v>
      </c>
      <c r="AC931" s="113">
        <f>SQRT((Tableau!$G$16-P931)^2+(Tableau!$H$16-Q931)^2)</f>
        <v>337984.17407392582</v>
      </c>
      <c r="AD931" s="114">
        <f>SQRT((Tableau!$G$25-P931)^2+(Tableau!$H$25-Q931)^2)</f>
        <v>351738.13094434951</v>
      </c>
      <c r="AE931" s="115">
        <f>SQRT((Tableau!$G$35-P931)^2+(Tableau!$H$35-Q931)^2)</f>
        <v>323206.8003923152</v>
      </c>
    </row>
    <row r="932" spans="2:31" x14ac:dyDescent="0.25">
      <c r="B932" s="20">
        <v>929</v>
      </c>
      <c r="C932" s="21">
        <f>Tableau!$G$17*COS(B932*PI()/180)+Tableau!$G$16</f>
        <v>15626.90146430302</v>
      </c>
      <c r="D932" s="21">
        <f>Tableau!$G$17*SIN(B932*PI()/180)+Tableau!$H$16</f>
        <v>5075.951898768315</v>
      </c>
      <c r="F932" s="28">
        <v>929</v>
      </c>
      <c r="G932" s="29">
        <f>Tableau!$G$26*COS(F932*PI()/180)+Tableau!$G$25</f>
        <v>-23061.168974987886</v>
      </c>
      <c r="H932" s="29">
        <f>Tableau!$G$26*SIN(F932*PI()/180)+Tableau!$H$25</f>
        <v>8303.1663291378209</v>
      </c>
      <c r="J932" s="36">
        <v>929</v>
      </c>
      <c r="K932" s="37">
        <f>Tableau!$G$36*COS(J932*PI()/180)+Tableau!$G$35</f>
        <v>-9373.0985356969795</v>
      </c>
      <c r="L932" s="37">
        <f>Tableau!$G$36*SIN(J932*PI()/180)+Tableau!$H$35</f>
        <v>-17424.048101231685</v>
      </c>
      <c r="N932" s="92">
        <v>928</v>
      </c>
      <c r="O932" s="93">
        <v>464</v>
      </c>
      <c r="P932" s="96">
        <f>P931+R931*Tableau!$G$2+((1/2)*T931)*Tableau!$G$2^2</f>
        <v>98270.203844078569</v>
      </c>
      <c r="Q932" s="96">
        <f>Q931+S931*Tableau!$G$2+((1/2)*U931)*Tableau!$G$2^2</f>
        <v>-321722.29921116796</v>
      </c>
      <c r="R932" s="96">
        <f>R931+T931*Tableau!$G$2</f>
        <v>644.73678783579021</v>
      </c>
      <c r="S932" s="96">
        <f>S931+U931*Tableau!$G$2</f>
        <v>-695.8115413348869</v>
      </c>
      <c r="T932" s="96">
        <f t="shared" si="28"/>
        <v>-3.1349898973854824</v>
      </c>
      <c r="U932" s="96">
        <f t="shared" si="29"/>
        <v>10.536464887555907</v>
      </c>
      <c r="V932" s="96">
        <f>((Tableau!$G$16-P932)/(AC932^2+Tableau!$G$21^2)^(3/2))*Tableau!$G$20</f>
        <v>-1.0561878251481935</v>
      </c>
      <c r="W932" s="96">
        <f>((Tableau!$H$16-Q932)/(AC932^2+Tableau!$G$21^2)^(3/2))*Tableau!$G$20</f>
        <v>4.4425664827297844</v>
      </c>
      <c r="X932" s="96">
        <f>((Tableau!$G$25-P932)/(AD932^2+Tableau!$G$30^2)^(3/2))*Tableau!$G$29</f>
        <v>-0.48599707513157553</v>
      </c>
      <c r="Y932" s="96">
        <f>((Tableau!$H$25-Q932)/(AD932^2+Tableau!$G$30^2)^(3/2))*Tableau!$G$29</f>
        <v>1.3631165072234765</v>
      </c>
      <c r="Z932" s="96">
        <f>((Tableau!$G$35-P932)/(AE932^2+Tableau!$G$40^2)^(3/2))*Tableau!$G$39</f>
        <v>-1.5928049971057132</v>
      </c>
      <c r="AA932" s="97">
        <f>((Tableau!$H$35-Q932)/(AE932^2+Tableau!$G$40^2)^(3/2))*Tableau!$G$39</f>
        <v>4.7307818976026459</v>
      </c>
      <c r="AC932" s="110">
        <f>SQRT((Tableau!$G$16-P932)^2+(Tableau!$H$16-Q932)^2)</f>
        <v>338398.50340638537</v>
      </c>
      <c r="AD932" s="111">
        <f>SQRT((Tableau!$G$25-P932)^2+(Tableau!$H$25-Q932)^2)</f>
        <v>352175.41781229357</v>
      </c>
      <c r="AE932" s="112">
        <f>SQRT((Tableau!$G$35-P932)^2+(Tableau!$H$35-Q932)^2)</f>
        <v>323640.70175950183</v>
      </c>
    </row>
    <row r="933" spans="2:31" x14ac:dyDescent="0.25">
      <c r="B933" s="18">
        <v>930</v>
      </c>
      <c r="C933" s="19">
        <f>Tableau!$G$17*COS(B933*PI()/180)+Tableau!$G$16</f>
        <v>15669.872981077804</v>
      </c>
      <c r="D933" s="19">
        <f>Tableau!$G$17*SIN(B933*PI()/180)+Tableau!$H$16</f>
        <v>5000.0000000000055</v>
      </c>
      <c r="F933" s="26">
        <v>930</v>
      </c>
      <c r="G933" s="27">
        <f>Tableau!$G$26*COS(F933*PI()/180)+Tableau!$G$25</f>
        <v>-23031.088913245538</v>
      </c>
      <c r="H933" s="27">
        <f>Tableau!$G$26*SIN(F933*PI()/180)+Tableau!$H$25</f>
        <v>8250.0000000000036</v>
      </c>
      <c r="J933" s="34">
        <v>930</v>
      </c>
      <c r="K933" s="35">
        <f>Tableau!$G$36*COS(J933*PI()/180)+Tableau!$G$35</f>
        <v>-9330.1270189221959</v>
      </c>
      <c r="L933" s="35">
        <f>Tableau!$G$36*SIN(J933*PI()/180)+Tableau!$H$35</f>
        <v>-17499.999999999993</v>
      </c>
      <c r="N933" s="98">
        <v>929</v>
      </c>
      <c r="O933" s="99">
        <v>464.5</v>
      </c>
      <c r="P933" s="101">
        <f>P932+R932*Tableau!$G$2+((1/2)*T932)*Tableau!$G$2^2</f>
        <v>98592.180364259286</v>
      </c>
      <c r="Q933" s="101">
        <f>Q932+S932*Tableau!$G$2+((1/2)*U932)*Tableau!$G$2^2</f>
        <v>-322068.88792372443</v>
      </c>
      <c r="R933" s="101">
        <f>R932+T932*Tableau!$G$2</f>
        <v>643.16929288709741</v>
      </c>
      <c r="S933" s="101">
        <f>S932+U932*Tableau!$G$2</f>
        <v>-690.54330889110895</v>
      </c>
      <c r="T933" s="101">
        <f t="shared" si="28"/>
        <v>-3.1336019734020404</v>
      </c>
      <c r="U933" s="101">
        <f t="shared" si="29"/>
        <v>10.507828942322661</v>
      </c>
      <c r="V933" s="101">
        <f>((Tableau!$G$16-P933)/(AC933^2+Tableau!$G$21^2)^(3/2))*Tableau!$G$20</f>
        <v>-1.0566742043920789</v>
      </c>
      <c r="W933" s="101">
        <f>((Tableau!$H$16-Q933)/(AC933^2+Tableau!$G$21^2)^(3/2))*Tableau!$G$20</f>
        <v>4.4310635081649048</v>
      </c>
      <c r="X933" s="101">
        <f>((Tableau!$G$25-P933)/(AD933^2+Tableau!$G$30^2)^(3/2))*Tableau!$G$29</f>
        <v>-0.48552101510524781</v>
      </c>
      <c r="Y933" s="101">
        <f>((Tableau!$H$25-Q933)/(AD933^2+Tableau!$G$30^2)^(3/2))*Tableau!$G$29</f>
        <v>1.3595029879237051</v>
      </c>
      <c r="Z933" s="101">
        <f>((Tableau!$G$35-P933)/(AE933^2+Tableau!$G$40^2)^(3/2))*Tableau!$G$39</f>
        <v>-1.5914067539047136</v>
      </c>
      <c r="AA933" s="102">
        <f>((Tableau!$H$35-Q933)/(AE933^2+Tableau!$G$40^2)^(3/2))*Tableau!$G$39</f>
        <v>4.7172624462340496</v>
      </c>
      <c r="AC933" s="113">
        <f>SQRT((Tableau!$G$16-P933)^2+(Tableau!$H$16-Q933)^2)</f>
        <v>338810.24586291466</v>
      </c>
      <c r="AD933" s="114">
        <f>SQRT((Tableau!$G$25-P933)^2+(Tableau!$H$25-Q933)^2)</f>
        <v>352610.05596898118</v>
      </c>
      <c r="AE933" s="115">
        <f>SQRT((Tableau!$G$35-P933)^2+(Tableau!$H$35-Q933)^2)</f>
        <v>324071.97003649367</v>
      </c>
    </row>
    <row r="934" spans="2:31" x14ac:dyDescent="0.25">
      <c r="B934" s="20">
        <v>931</v>
      </c>
      <c r="C934" s="21">
        <f>Tableau!$G$17*COS(B934*PI()/180)+Tableau!$G$16</f>
        <v>15714.163496489442</v>
      </c>
      <c r="D934" s="21">
        <f>Tableau!$G$17*SIN(B934*PI()/180)+Tableau!$H$16</f>
        <v>4924.8096254497232</v>
      </c>
      <c r="F934" s="28">
        <v>931</v>
      </c>
      <c r="G934" s="29">
        <f>Tableau!$G$26*COS(F934*PI()/180)+Tableau!$G$25</f>
        <v>-23000.085552457393</v>
      </c>
      <c r="H934" s="29">
        <f>Tableau!$G$26*SIN(F934*PI()/180)+Tableau!$H$25</f>
        <v>8197.3667378148057</v>
      </c>
      <c r="J934" s="36">
        <v>931</v>
      </c>
      <c r="K934" s="37">
        <f>Tableau!$G$36*COS(J934*PI()/180)+Tableau!$G$35</f>
        <v>-9285.836503510558</v>
      </c>
      <c r="L934" s="37">
        <f>Tableau!$G$36*SIN(J934*PI()/180)+Tableau!$H$35</f>
        <v>-17575.190374550275</v>
      </c>
      <c r="N934" s="92">
        <v>930</v>
      </c>
      <c r="O934" s="93">
        <v>465</v>
      </c>
      <c r="P934" s="96">
        <f>P933+R933*Tableau!$G$2+((1/2)*T933)*Tableau!$G$2^2</f>
        <v>98913.373310456154</v>
      </c>
      <c r="Q934" s="96">
        <f>Q933+S933*Tableau!$G$2+((1/2)*U933)*Tableau!$G$2^2</f>
        <v>-322412.84609955217</v>
      </c>
      <c r="R934" s="96">
        <f>R933+T933*Tableau!$G$2</f>
        <v>641.60249190039644</v>
      </c>
      <c r="S934" s="96">
        <f>S933+U933*Tableau!$G$2</f>
        <v>-685.2893944199476</v>
      </c>
      <c r="T934" s="96">
        <f t="shared" si="28"/>
        <v>-3.1322424717953297</v>
      </c>
      <c r="U934" s="96">
        <f t="shared" si="29"/>
        <v>10.479468359455401</v>
      </c>
      <c r="V934" s="96">
        <f>((Tableau!$G$16-P934)/(AC934^2+Tableau!$G$21^2)^(3/2))*Tableau!$G$20</f>
        <v>-1.0571613456389413</v>
      </c>
      <c r="W934" s="96">
        <f>((Tableau!$H$16-Q934)/(AC934^2+Tableau!$G$21^2)^(3/2))*Tableau!$G$20</f>
        <v>4.4196705031739256</v>
      </c>
      <c r="X934" s="96">
        <f>((Tableau!$G$25-P934)/(AD934^2+Tableau!$G$30^2)^(3/2))*Tableau!$G$29</f>
        <v>-0.48505174323122113</v>
      </c>
      <c r="Y934" s="96">
        <f>((Tableau!$H$25-Q934)/(AD934^2+Tableau!$G$30^2)^(3/2))*Tableau!$G$29</f>
        <v>1.3559234422867192</v>
      </c>
      <c r="Z934" s="96">
        <f>((Tableau!$G$35-P934)/(AE934^2+Tableau!$G$40^2)^(3/2))*Tableau!$G$39</f>
        <v>-1.5900293829251675</v>
      </c>
      <c r="AA934" s="97">
        <f>((Tableau!$H$35-Q934)/(AE934^2+Tableau!$G$40^2)^(3/2))*Tableau!$G$39</f>
        <v>4.7038744139947566</v>
      </c>
      <c r="AC934" s="110">
        <f>SQRT((Tableau!$G$16-P934)^2+(Tableau!$H$16-Q934)^2)</f>
        <v>339219.40762394806</v>
      </c>
      <c r="AD934" s="111">
        <f>SQRT((Tableau!$G$25-P934)^2+(Tableau!$H$25-Q934)^2)</f>
        <v>353042.05217519973</v>
      </c>
      <c r="AE934" s="112">
        <f>SQRT((Tableau!$G$35-P934)^2+(Tableau!$H$35-Q934)^2)</f>
        <v>324500.61186349893</v>
      </c>
    </row>
    <row r="935" spans="2:31" x14ac:dyDescent="0.25">
      <c r="B935" s="18">
        <v>932</v>
      </c>
      <c r="C935" s="19">
        <f>Tableau!$G$17*COS(B935*PI()/180)+Tableau!$G$16</f>
        <v>15759.759519217871</v>
      </c>
      <c r="D935" s="19">
        <f>Tableau!$G$17*SIN(B935*PI()/180)+Tableau!$H$16</f>
        <v>4850.4036788339745</v>
      </c>
      <c r="F935" s="26">
        <v>932</v>
      </c>
      <c r="G935" s="27">
        <f>Tableau!$G$26*COS(F935*PI()/180)+Tableau!$G$25</f>
        <v>-22968.168336547489</v>
      </c>
      <c r="H935" s="27">
        <f>Tableau!$G$26*SIN(F935*PI()/180)+Tableau!$H$25</f>
        <v>8145.2825751837818</v>
      </c>
      <c r="J935" s="34">
        <v>932</v>
      </c>
      <c r="K935" s="35">
        <f>Tableau!$G$36*COS(J935*PI()/180)+Tableau!$G$35</f>
        <v>-9240.2404807821295</v>
      </c>
      <c r="L935" s="35">
        <f>Tableau!$G$36*SIN(J935*PI()/180)+Tableau!$H$35</f>
        <v>-17649.596321166027</v>
      </c>
      <c r="N935" s="98">
        <v>931</v>
      </c>
      <c r="O935" s="99">
        <v>465.5</v>
      </c>
      <c r="P935" s="101">
        <f>P934+R934*Tableau!$G$2+((1/2)*T934)*Tableau!$G$2^2</f>
        <v>99233.783026097371</v>
      </c>
      <c r="Q935" s="101">
        <f>Q934+S934*Tableau!$G$2+((1/2)*U934)*Tableau!$G$2^2</f>
        <v>-322754.18086321722</v>
      </c>
      <c r="R935" s="101">
        <f>R934+T934*Tableau!$G$2</f>
        <v>640.0363706644988</v>
      </c>
      <c r="S935" s="101">
        <f>S934+U934*Tableau!$G$2</f>
        <v>-680.04966024021985</v>
      </c>
      <c r="T935" s="101">
        <f t="shared" si="28"/>
        <v>-3.1309113577464327</v>
      </c>
      <c r="U935" s="101">
        <f t="shared" si="29"/>
        <v>10.451380211032184</v>
      </c>
      <c r="V935" s="101">
        <f>((Tableau!$G$16-P935)/(AC935^2+Tableau!$G$21^2)^(3/2))*Tableau!$G$20</f>
        <v>-1.0576493711449959</v>
      </c>
      <c r="W935" s="101">
        <f>((Tableau!$H$16-Q935)/(AC935^2+Tableau!$G$21^2)^(3/2))*Tableau!$G$20</f>
        <v>4.4083863393590592</v>
      </c>
      <c r="X935" s="101">
        <f>((Tableau!$G$25-P935)/(AD935^2+Tableau!$G$30^2)^(3/2))*Tableau!$G$29</f>
        <v>-0.48458921445616437</v>
      </c>
      <c r="Y935" s="101">
        <f>((Tableau!$H$25-Q935)/(AD935^2+Tableau!$G$30^2)^(3/2))*Tableau!$G$29</f>
        <v>1.3523775143175434</v>
      </c>
      <c r="Z935" s="101">
        <f>((Tableau!$G$35-P935)/(AE935^2+Tableau!$G$40^2)^(3/2))*Tableau!$G$39</f>
        <v>-1.5886727721452725</v>
      </c>
      <c r="AA935" s="102">
        <f>((Tableau!$H$35-Q935)/(AE935^2+Tableau!$G$40^2)^(3/2))*Tableau!$G$39</f>
        <v>4.690616357355581</v>
      </c>
      <c r="AC935" s="113">
        <f>SQRT((Tableau!$G$16-P935)^2+(Tableau!$H$16-Q935)^2)</f>
        <v>339625.99480938038</v>
      </c>
      <c r="AD935" s="114">
        <f>SQRT((Tableau!$G$25-P935)^2+(Tableau!$H$25-Q935)^2)</f>
        <v>353471.41312511417</v>
      </c>
      <c r="AE935" s="115">
        <f>SQRT((Tableau!$G$35-P935)^2+(Tableau!$H$35-Q935)^2)</f>
        <v>324926.63381557591</v>
      </c>
    </row>
    <row r="936" spans="2:31" x14ac:dyDescent="0.25">
      <c r="B936" s="20">
        <v>933</v>
      </c>
      <c r="C936" s="21">
        <f>Tableau!$G$17*COS(B936*PI()/180)+Tableau!$G$16</f>
        <v>15806.647160272878</v>
      </c>
      <c r="D936" s="21">
        <f>Tableau!$G$17*SIN(B936*PI()/180)+Tableau!$H$16</f>
        <v>4776.8048249248686</v>
      </c>
      <c r="F936" s="28">
        <v>933</v>
      </c>
      <c r="G936" s="29">
        <f>Tableau!$G$26*COS(F936*PI()/180)+Tableau!$G$25</f>
        <v>-22935.346987808985</v>
      </c>
      <c r="H936" s="29">
        <f>Tableau!$G$26*SIN(F936*PI()/180)+Tableau!$H$25</f>
        <v>8093.7633774474079</v>
      </c>
      <c r="J936" s="36">
        <v>933</v>
      </c>
      <c r="K936" s="37">
        <f>Tableau!$G$36*COS(J936*PI()/180)+Tableau!$G$35</f>
        <v>-9193.352839727122</v>
      </c>
      <c r="L936" s="37">
        <f>Tableau!$G$36*SIN(J936*PI()/180)+Tableau!$H$35</f>
        <v>-17723.195175075132</v>
      </c>
      <c r="N936" s="92">
        <v>932</v>
      </c>
      <c r="O936" s="93">
        <v>466</v>
      </c>
      <c r="P936" s="96">
        <f>P935+R935*Tableau!$G$2+((1/2)*T935)*Tableau!$G$2^2</f>
        <v>99553.409847509902</v>
      </c>
      <c r="Q936" s="96">
        <f>Q935+S935*Tableau!$G$2+((1/2)*U935)*Tableau!$G$2^2</f>
        <v>-323092.89927081094</v>
      </c>
      <c r="R936" s="96">
        <f>R935+T935*Tableau!$G$2</f>
        <v>638.47091498562554</v>
      </c>
      <c r="S936" s="96">
        <f>S935+U935*Tableau!$G$2</f>
        <v>-674.82397013470381</v>
      </c>
      <c r="T936" s="96">
        <f t="shared" si="28"/>
        <v>-3.1296085965011491</v>
      </c>
      <c r="U936" s="96">
        <f t="shared" si="29"/>
        <v>10.42356161443551</v>
      </c>
      <c r="V936" s="96">
        <f>((Tableau!$G$16-P936)/(AC936^2+Tableau!$G$21^2)^(3/2))*Tableau!$G$20</f>
        <v>-1.0581384009296333</v>
      </c>
      <c r="W936" s="96">
        <f>((Tableau!$H$16-Q936)/(AC936^2+Tableau!$G$21^2)^(3/2))*Tableau!$G$20</f>
        <v>4.3972099054413656</v>
      </c>
      <c r="X936" s="96">
        <f>((Tableau!$G$25-P936)/(AD936^2+Tableau!$G$30^2)^(3/2))*Tableau!$G$29</f>
        <v>-0.48413338442848275</v>
      </c>
      <c r="Y936" s="96">
        <f>((Tableau!$H$25-Q936)/(AD936^2+Tableau!$G$30^2)^(3/2))*Tableau!$G$29</f>
        <v>1.3488648534471908</v>
      </c>
      <c r="Z936" s="96">
        <f>((Tableau!$G$35-P936)/(AE936^2+Tableau!$G$40^2)^(3/2))*Tableau!$G$39</f>
        <v>-1.5873368111430333</v>
      </c>
      <c r="AA936" s="97">
        <f>((Tableau!$H$35-Q936)/(AE936^2+Tableau!$G$40^2)^(3/2))*Tableau!$G$39</f>
        <v>4.6774868555469524</v>
      </c>
      <c r="AC936" s="110">
        <f>SQRT((Tableau!$G$16-P936)^2+(Tableau!$H$16-Q936)^2)</f>
        <v>340030.01347917278</v>
      </c>
      <c r="AD936" s="111">
        <f>SQRT((Tableau!$G$25-P936)^2+(Tableau!$H$25-Q936)^2)</f>
        <v>353898.14544696512</v>
      </c>
      <c r="AE936" s="112">
        <f>SQRT((Tableau!$G$35-P936)^2+(Tableau!$H$35-Q936)^2)</f>
        <v>325350.04240330972</v>
      </c>
    </row>
    <row r="937" spans="2:31" x14ac:dyDescent="0.25">
      <c r="B937" s="18">
        <v>934</v>
      </c>
      <c r="C937" s="19">
        <f>Tableau!$G$17*COS(B937*PI()/180)+Tableau!$G$16</f>
        <v>15854.812137224786</v>
      </c>
      <c r="D937" s="19">
        <f>Tableau!$G$17*SIN(B937*PI()/180)+Tableau!$H$16</f>
        <v>4704.0354826462744</v>
      </c>
      <c r="F937" s="26">
        <v>934</v>
      </c>
      <c r="G937" s="27">
        <f>Tableau!$G$26*COS(F937*PI()/180)+Tableau!$G$25</f>
        <v>-22901.631503942648</v>
      </c>
      <c r="H937" s="27">
        <f>Tableau!$G$26*SIN(F937*PI()/180)+Tableau!$H$25</f>
        <v>8042.8248378523922</v>
      </c>
      <c r="J937" s="34">
        <v>934</v>
      </c>
      <c r="K937" s="35">
        <f>Tableau!$G$36*COS(J937*PI()/180)+Tableau!$G$35</f>
        <v>-9145.1878627752139</v>
      </c>
      <c r="L937" s="35">
        <f>Tableau!$G$36*SIN(J937*PI()/180)+Tableau!$H$35</f>
        <v>-17795.964517353725</v>
      </c>
      <c r="N937" s="98">
        <v>933</v>
      </c>
      <c r="O937" s="99">
        <v>466.5</v>
      </c>
      <c r="P937" s="101">
        <f>P936+R936*Tableau!$G$2+((1/2)*T936)*Tableau!$G$2^2</f>
        <v>99872.25410392815</v>
      </c>
      <c r="Q937" s="101">
        <f>Q936+S936*Tableau!$G$2+((1/2)*U936)*Tableau!$G$2^2</f>
        <v>-323429.00831067649</v>
      </c>
      <c r="R937" s="101">
        <f>R936+T936*Tableau!$G$2</f>
        <v>636.90611068737496</v>
      </c>
      <c r="S937" s="101">
        <f>S936+U936*Tableau!$G$2</f>
        <v>-669.61218932748602</v>
      </c>
      <c r="T937" s="101">
        <f t="shared" si="28"/>
        <v>-3.1283341534025002</v>
      </c>
      <c r="U937" s="101">
        <f t="shared" si="29"/>
        <v>10.396009731528135</v>
      </c>
      <c r="V937" s="101">
        <f>((Tableau!$G$16-P937)/(AC937^2+Tableau!$G$21^2)^(3/2))*Tableau!$G$20</f>
        <v>-1.05862855283299</v>
      </c>
      <c r="W937" s="101">
        <f>((Tableau!$H$16-Q937)/(AC937^2+Tableau!$G$21^2)^(3/2))*Tableau!$G$20</f>
        <v>4.3861401069581003</v>
      </c>
      <c r="X937" s="101">
        <f>((Tableau!$G$25-P937)/(AD937^2+Tableau!$G$30^2)^(3/2))*Tableau!$G$29</f>
        <v>-0.4836842094882477</v>
      </c>
      <c r="Y937" s="101">
        <f>((Tableau!$H$25-Q937)/(AD937^2+Tableau!$G$30^2)^(3/2))*Tableau!$G$29</f>
        <v>1.3453851144350428</v>
      </c>
      <c r="Z937" s="101">
        <f>((Tableau!$G$35-P937)/(AE937^2+Tableau!$G$40^2)^(3/2))*Tableau!$G$39</f>
        <v>-1.5860213910812628</v>
      </c>
      <c r="AA937" s="102">
        <f>((Tableau!$H$35-Q937)/(AE937^2+Tableau!$G$40^2)^(3/2))*Tableau!$G$39</f>
        <v>4.664484510134991</v>
      </c>
      <c r="AC937" s="113">
        <f>SQRT((Tableau!$G$16-P937)^2+(Tableau!$H$16-Q937)^2)</f>
        <v>340431.46963394887</v>
      </c>
      <c r="AD937" s="114">
        <f>SQRT((Tableau!$G$25-P937)^2+(Tableau!$H$25-Q937)^2)</f>
        <v>354322.25570375606</v>
      </c>
      <c r="AE937" s="115">
        <f>SQRT((Tableau!$G$35-P937)^2+(Tableau!$H$35-Q937)^2)</f>
        <v>325770.84407347784</v>
      </c>
    </row>
    <row r="938" spans="2:31" x14ac:dyDescent="0.25">
      <c r="B938" s="20">
        <v>935</v>
      </c>
      <c r="C938" s="21">
        <f>Tableau!$G$17*COS(B938*PI()/180)+Tableau!$G$16</f>
        <v>15904.239778555042</v>
      </c>
      <c r="D938" s="21">
        <f>Tableau!$G$17*SIN(B938*PI()/180)+Tableau!$H$16</f>
        <v>4632.1178182447675</v>
      </c>
      <c r="F938" s="28">
        <v>935</v>
      </c>
      <c r="G938" s="29">
        <f>Tableau!$G$26*COS(F938*PI()/180)+Tableau!$G$25</f>
        <v>-22867.032155011471</v>
      </c>
      <c r="H938" s="29">
        <f>Tableau!$G$26*SIN(F938*PI()/180)+Tableau!$H$25</f>
        <v>7992.4824727713376</v>
      </c>
      <c r="J938" s="36">
        <v>935</v>
      </c>
      <c r="K938" s="37">
        <f>Tableau!$G$36*COS(J938*PI()/180)+Tableau!$G$35</f>
        <v>-9095.760221444958</v>
      </c>
      <c r="L938" s="37">
        <f>Tableau!$G$36*SIN(J938*PI()/180)+Tableau!$H$35</f>
        <v>-17867.882181755231</v>
      </c>
      <c r="N938" s="92">
        <v>934</v>
      </c>
      <c r="O938" s="93">
        <v>467</v>
      </c>
      <c r="P938" s="96">
        <f>P937+R937*Tableau!$G$2+((1/2)*T937)*Tableau!$G$2^2</f>
        <v>100190.31611750266</v>
      </c>
      <c r="Q938" s="96">
        <f>Q937+S937*Tableau!$G$2+((1/2)*U937)*Tableau!$G$2^2</f>
        <v>-323762.51490412379</v>
      </c>
      <c r="R938" s="96">
        <f>R937+T937*Tableau!$G$2</f>
        <v>635.34194361067375</v>
      </c>
      <c r="S938" s="96">
        <f>S937+U937*Tableau!$G$2</f>
        <v>-664.4141844617219</v>
      </c>
      <c r="T938" s="96">
        <f t="shared" si="28"/>
        <v>-3.1270879939221232</v>
      </c>
      <c r="U938" s="96">
        <f t="shared" si="29"/>
        <v>10.368721767847077</v>
      </c>
      <c r="V938" s="96">
        <f>((Tableau!$G$16-P938)/(AC938^2+Tableau!$G$21^2)^(3/2))*Tableau!$G$20</f>
        <v>-1.0591199425721336</v>
      </c>
      <c r="W938" s="96">
        <f>((Tableau!$H$16-Q938)/(AC938^2+Tableau!$G$21^2)^(3/2))*Tableau!$G$20</f>
        <v>4.3751758659669253</v>
      </c>
      <c r="X938" s="96">
        <f>((Tableau!$G$25-P938)/(AD938^2+Tableau!$G$30^2)^(3/2))*Tableau!$G$29</f>
        <v>-0.48324164665733621</v>
      </c>
      <c r="Y938" s="96">
        <f>((Tableau!$H$25-Q938)/(AD938^2+Tableau!$G$30^2)^(3/2))*Tableau!$G$29</f>
        <v>1.3419379572733732</v>
      </c>
      <c r="Z938" s="96">
        <f>((Tableau!$G$35-P938)/(AE938^2+Tableau!$G$40^2)^(3/2))*Tableau!$G$39</f>
        <v>-1.5847264046926535</v>
      </c>
      <c r="AA938" s="97">
        <f>((Tableau!$H$35-Q938)/(AE938^2+Tableau!$G$40^2)^(3/2))*Tableau!$G$39</f>
        <v>4.6516079446067788</v>
      </c>
      <c r="AC938" s="110">
        <f>SQRT((Tableau!$G$16-P938)^2+(Tableau!$H$16-Q938)^2)</f>
        <v>340830.36921558186</v>
      </c>
      <c r="AD938" s="111">
        <f>SQRT((Tableau!$G$25-P938)^2+(Tableau!$H$25-Q938)^2)</f>
        <v>354743.75039392966</v>
      </c>
      <c r="AE938" s="112">
        <f>SQRT((Tableau!$G$35-P938)^2+(Tableau!$H$35-Q938)^2)</f>
        <v>326189.04520970565</v>
      </c>
    </row>
    <row r="939" spans="2:31" x14ac:dyDescent="0.25">
      <c r="B939" s="18">
        <v>936</v>
      </c>
      <c r="C939" s="19">
        <f>Tableau!$G$17*COS(B939*PI()/180)+Tableau!$G$16</f>
        <v>15954.915028125261</v>
      </c>
      <c r="D939" s="19">
        <f>Tableau!$G$17*SIN(B939*PI()/180)+Tableau!$H$16</f>
        <v>4561.0737385376369</v>
      </c>
      <c r="F939" s="26">
        <v>936</v>
      </c>
      <c r="G939" s="27">
        <f>Tableau!$G$26*COS(F939*PI()/180)+Tableau!$G$25</f>
        <v>-22831.559480312317</v>
      </c>
      <c r="H939" s="27">
        <f>Tableau!$G$26*SIN(F939*PI()/180)+Tableau!$H$25</f>
        <v>7942.7516169763458</v>
      </c>
      <c r="J939" s="34">
        <v>936</v>
      </c>
      <c r="K939" s="35">
        <f>Tableau!$G$36*COS(J939*PI()/180)+Tableau!$G$35</f>
        <v>-9045.0849718747395</v>
      </c>
      <c r="L939" s="35">
        <f>Tableau!$G$36*SIN(J939*PI()/180)+Tableau!$H$35</f>
        <v>-17938.926261462362</v>
      </c>
      <c r="N939" s="98">
        <v>935</v>
      </c>
      <c r="O939" s="99">
        <v>467.5</v>
      </c>
      <c r="P939" s="101">
        <f>P938+R938*Tableau!$G$2+((1/2)*T938)*Tableau!$G$2^2</f>
        <v>100507.59620330876</v>
      </c>
      <c r="Q939" s="101">
        <f>Q938+S938*Tableau!$G$2+((1/2)*U938)*Tableau!$G$2^2</f>
        <v>-324093.42590613366</v>
      </c>
      <c r="R939" s="101">
        <f>R938+T938*Tableau!$G$2</f>
        <v>633.77839961371274</v>
      </c>
      <c r="S939" s="101">
        <f>S938+U938*Tableau!$G$2</f>
        <v>-659.22982357779836</v>
      </c>
      <c r="T939" s="101">
        <f t="shared" si="28"/>
        <v>-3.1258700836906872</v>
      </c>
      <c r="U939" s="101">
        <f t="shared" si="29"/>
        <v>10.341694971815443</v>
      </c>
      <c r="V939" s="101">
        <f>((Tableau!$G$16-P939)/(AC939^2+Tableau!$G$21^2)^(3/2))*Tableau!$G$20</f>
        <v>-1.0596126837957707</v>
      </c>
      <c r="W939" s="101">
        <f>((Tableau!$H$16-Q939)/(AC939^2+Tableau!$G$21^2)^(3/2))*Tableau!$G$20</f>
        <v>4.3643161207562162</v>
      </c>
      <c r="X939" s="101">
        <f>((Tableau!$G$25-P939)/(AD939^2+Tableau!$G$30^2)^(3/2))*Tableau!$G$29</f>
        <v>-0.4828056536297729</v>
      </c>
      <c r="Y939" s="101">
        <f>((Tableau!$H$25-Q939)/(AD939^2+Tableau!$G$30^2)^(3/2))*Tableau!$G$29</f>
        <v>1.3385230470939566</v>
      </c>
      <c r="Z939" s="101">
        <f>((Tableau!$G$35-P939)/(AE939^2+Tableau!$G$40^2)^(3/2))*Tableau!$G$39</f>
        <v>-1.5834517462651434</v>
      </c>
      <c r="AA939" s="102">
        <f>((Tableau!$H$35-Q939)/(AE939^2+Tableau!$G$40^2)^(3/2))*Tableau!$G$39</f>
        <v>4.6388558039652708</v>
      </c>
      <c r="AC939" s="113">
        <f>SQRT((Tableau!$G$16-P939)^2+(Tableau!$H$16-Q939)^2)</f>
        <v>341226.71810777299</v>
      </c>
      <c r="AD939" s="114">
        <f>SQRT((Tableau!$G$25-P939)^2+(Tableau!$H$25-Q939)^2)</f>
        <v>355162.63595203386</v>
      </c>
      <c r="AE939" s="115">
        <f>SQRT((Tableau!$G$35-P939)^2+(Tableau!$H$35-Q939)^2)</f>
        <v>326604.65213311184</v>
      </c>
    </row>
    <row r="940" spans="2:31" x14ac:dyDescent="0.25">
      <c r="B940" s="20">
        <v>937</v>
      </c>
      <c r="C940" s="21">
        <f>Tableau!$G$17*COS(B940*PI()/180)+Tableau!$G$16</f>
        <v>16006.822449763531</v>
      </c>
      <c r="D940" s="21">
        <f>Tableau!$G$17*SIN(B940*PI()/180)+Tableau!$H$16</f>
        <v>4490.9248842397647</v>
      </c>
      <c r="F940" s="28">
        <v>937</v>
      </c>
      <c r="G940" s="29">
        <f>Tableau!$G$26*COS(F940*PI()/180)+Tableau!$G$25</f>
        <v>-22795.224285165528</v>
      </c>
      <c r="H940" s="29">
        <f>Tableau!$G$26*SIN(F940*PI()/180)+Tableau!$H$25</f>
        <v>7893.6474189678356</v>
      </c>
      <c r="J940" s="36">
        <v>937</v>
      </c>
      <c r="K940" s="37">
        <f>Tableau!$G$36*COS(J940*PI()/180)+Tableau!$G$35</f>
        <v>-8993.177550236469</v>
      </c>
      <c r="L940" s="37">
        <f>Tableau!$G$36*SIN(J940*PI()/180)+Tableau!$H$35</f>
        <v>-18009.075115760235</v>
      </c>
      <c r="N940" s="92">
        <v>936</v>
      </c>
      <c r="O940" s="93">
        <v>468</v>
      </c>
      <c r="P940" s="96">
        <f>P939+R939*Tableau!$G$2+((1/2)*T939)*Tableau!$G$2^2</f>
        <v>100824.09466935515</v>
      </c>
      <c r="Q940" s="96">
        <f>Q939+S939*Tableau!$G$2+((1/2)*U939)*Tableau!$G$2^2</f>
        <v>-324421.74810605106</v>
      </c>
      <c r="R940" s="96">
        <f>R939+T939*Tableau!$G$2</f>
        <v>632.21546457186741</v>
      </c>
      <c r="S940" s="96">
        <f>S939+U939*Tableau!$G$2</f>
        <v>-654.0589760918906</v>
      </c>
      <c r="T940" s="96">
        <f t="shared" si="28"/>
        <v>-3.1246803885270769</v>
      </c>
      <c r="U940" s="96">
        <f t="shared" si="29"/>
        <v>10.314926633970799</v>
      </c>
      <c r="V940" s="96">
        <f>((Tableau!$G$16-P940)/(AC940^2+Tableau!$G$21^2)^(3/2))*Tableau!$G$20</f>
        <v>-1.0601068881375348</v>
      </c>
      <c r="W940" s="96">
        <f>((Tableau!$H$16-Q940)/(AC940^2+Tableau!$G$21^2)^(3/2))*Tableau!$G$20</f>
        <v>4.3535598255614074</v>
      </c>
      <c r="X940" s="96">
        <f>((Tableau!$G$25-P940)/(AD940^2+Tableau!$G$30^2)^(3/2))*Tableau!$G$29</f>
        <v>-0.48237618876226929</v>
      </c>
      <c r="Y940" s="96">
        <f>((Tableau!$H$25-Q940)/(AD940^2+Tableau!$G$30^2)^(3/2))*Tableau!$G$29</f>
        <v>1.3351400540767115</v>
      </c>
      <c r="Z940" s="96">
        <f>((Tableau!$G$35-P940)/(AE940^2+Tableau!$G$40^2)^(3/2))*Tableau!$G$39</f>
        <v>-1.582197311627273</v>
      </c>
      <c r="AA940" s="97">
        <f>((Tableau!$H$35-Q940)/(AE940^2+Tableau!$G$40^2)^(3/2))*Tableau!$G$39</f>
        <v>4.6262267543326807</v>
      </c>
      <c r="AC940" s="110">
        <f>SQRT((Tableau!$G$16-P940)^2+(Tableau!$H$16-Q940)^2)</f>
        <v>341620.52213662118</v>
      </c>
      <c r="AD940" s="111">
        <f>SQRT((Tableau!$G$25-P940)^2+(Tableau!$H$25-Q940)^2)</f>
        <v>355578.91874937742</v>
      </c>
      <c r="AE940" s="112">
        <f>SQRT((Tableau!$G$35-P940)^2+(Tableau!$H$35-Q940)^2)</f>
        <v>327017.67110294383</v>
      </c>
    </row>
    <row r="941" spans="2:31" x14ac:dyDescent="0.25">
      <c r="B941" s="18">
        <v>938</v>
      </c>
      <c r="C941" s="19">
        <f>Tableau!$G$17*COS(B941*PI()/180)+Tableau!$G$16</f>
        <v>16059.946231966382</v>
      </c>
      <c r="D941" s="19">
        <f>Tableau!$G$17*SIN(B941*PI()/180)+Tableau!$H$16</f>
        <v>4421.6926233717195</v>
      </c>
      <c r="F941" s="26">
        <v>938</v>
      </c>
      <c r="G941" s="27">
        <f>Tableau!$G$26*COS(F941*PI()/180)+Tableau!$G$25</f>
        <v>-22758.037637623533</v>
      </c>
      <c r="H941" s="27">
        <f>Tableau!$G$26*SIN(F941*PI()/180)+Tableau!$H$25</f>
        <v>7845.1848363602039</v>
      </c>
      <c r="J941" s="34">
        <v>938</v>
      </c>
      <c r="K941" s="35">
        <f>Tableau!$G$36*COS(J941*PI()/180)+Tableau!$G$35</f>
        <v>-8940.0537680336183</v>
      </c>
      <c r="L941" s="35">
        <f>Tableau!$G$36*SIN(J941*PI()/180)+Tableau!$H$35</f>
        <v>-18078.30737662828</v>
      </c>
      <c r="N941" s="98">
        <v>937</v>
      </c>
      <c r="O941" s="99">
        <v>468.5</v>
      </c>
      <c r="P941" s="101">
        <f>P940+R940*Tableau!$G$2+((1/2)*T940)*Tableau!$G$2^2</f>
        <v>101139.81181659253</v>
      </c>
      <c r="Q941" s="101">
        <f>Q940+S940*Tableau!$G$2+((1/2)*U940)*Tableau!$G$2^2</f>
        <v>-324747.48822826776</v>
      </c>
      <c r="R941" s="101">
        <f>R940+T940*Tableau!$G$2</f>
        <v>630.65312437760383</v>
      </c>
      <c r="S941" s="101">
        <f>S940+U940*Tableau!$G$2</f>
        <v>-648.9015127749052</v>
      </c>
      <c r="T941" s="101">
        <f t="shared" si="28"/>
        <v>-3.1235188744669853</v>
      </c>
      <c r="U941" s="101">
        <f t="shared" si="29"/>
        <v>10.288414086211676</v>
      </c>
      <c r="V941" s="101">
        <f>((Tableau!$G$16-P941)/(AC941^2+Tableau!$G$21^2)^(3/2))*Tableau!$G$20</f>
        <v>-1.0606026652680949</v>
      </c>
      <c r="W941" s="101">
        <f>((Tableau!$H$16-Q941)/(AC941^2+Tableau!$G$21^2)^(3/2))*Tableau!$G$20</f>
        <v>4.3429059502880305</v>
      </c>
      <c r="X941" s="101">
        <f>((Tableau!$G$25-P941)/(AD941^2+Tableau!$G$30^2)^(3/2))*Tableau!$G$29</f>
        <v>-0.48195321106493744</v>
      </c>
      <c r="Y941" s="101">
        <f>((Tableau!$H$25-Q941)/(AD941^2+Tableau!$G$30^2)^(3/2))*Tableau!$G$29</f>
        <v>1.3317886533602674</v>
      </c>
      <c r="Z941" s="101">
        <f>((Tableau!$G$35-P941)/(AE941^2+Tableau!$G$40^2)^(3/2))*Tableau!$G$39</f>
        <v>-1.580962998133953</v>
      </c>
      <c r="AA941" s="102">
        <f>((Tableau!$H$35-Q941)/(AE941^2+Tableau!$G$40^2)^(3/2))*Tableau!$G$39</f>
        <v>4.6137194825633774</v>
      </c>
      <c r="AC941" s="113">
        <f>SQRT((Tableau!$G$16-P941)^2+(Tableau!$H$16-Q941)^2)</f>
        <v>342011.78707118408</v>
      </c>
      <c r="AD941" s="114">
        <f>SQRT((Tableau!$G$25-P941)^2+(Tableau!$H$25-Q941)^2)</f>
        <v>355992.60509467567</v>
      </c>
      <c r="AE941" s="115">
        <f>SQRT((Tableau!$G$35-P941)^2+(Tableau!$H$35-Q941)^2)</f>
        <v>327428.10831720382</v>
      </c>
    </row>
    <row r="942" spans="2:31" x14ac:dyDescent="0.25">
      <c r="B942" s="20">
        <v>939</v>
      </c>
      <c r="C942" s="21">
        <f>Tableau!$G$17*COS(B942*PI()/180)+Tableau!$G$16</f>
        <v>16114.270192715145</v>
      </c>
      <c r="D942" s="21">
        <f>Tableau!$G$17*SIN(B942*PI()/180)+Tableau!$H$16</f>
        <v>4353.3980447508147</v>
      </c>
      <c r="F942" s="28">
        <v>939</v>
      </c>
      <c r="G942" s="29">
        <f>Tableau!$G$26*COS(F942*PI()/180)+Tableau!$G$25</f>
        <v>-22720.010865099401</v>
      </c>
      <c r="H942" s="29">
        <f>Tableau!$G$26*SIN(F942*PI()/180)+Tableau!$H$25</f>
        <v>7797.3786313255696</v>
      </c>
      <c r="J942" s="36">
        <v>939</v>
      </c>
      <c r="K942" s="37">
        <f>Tableau!$G$36*COS(J942*PI()/180)+Tableau!$G$35</f>
        <v>-8885.7298072848553</v>
      </c>
      <c r="L942" s="37">
        <f>Tableau!$G$36*SIN(J942*PI()/180)+Tableau!$H$35</f>
        <v>-18146.601955249185</v>
      </c>
      <c r="N942" s="92">
        <v>938</v>
      </c>
      <c r="O942" s="93">
        <v>469</v>
      </c>
      <c r="P942" s="96">
        <f>P941+R941*Tableau!$G$2+((1/2)*T941)*Tableau!$G$2^2</f>
        <v>101454.74793892201</v>
      </c>
      <c r="Q942" s="96">
        <f>Q941+S941*Tableau!$G$2+((1/2)*U941)*Tableau!$G$2^2</f>
        <v>-325070.65293289442</v>
      </c>
      <c r="R942" s="96">
        <f>R941+T941*Tableau!$G$2</f>
        <v>629.09136494037034</v>
      </c>
      <c r="S942" s="96">
        <f>S941+U941*Tableau!$G$2</f>
        <v>-643.75730573179931</v>
      </c>
      <c r="T942" s="96">
        <f t="shared" si="28"/>
        <v>-3.122385507790117</v>
      </c>
      <c r="U942" s="96">
        <f t="shared" si="29"/>
        <v>10.262154701058854</v>
      </c>
      <c r="V942" s="96">
        <f>((Tableau!$G$16-P942)/(AC942^2+Tableau!$G$21^2)^(3/2))*Tableau!$G$20</f>
        <v>-1.0611001229457007</v>
      </c>
      <c r="W942" s="96">
        <f>((Tableau!$H$16-Q942)/(AC942^2+Tableau!$G$21^2)^(3/2))*Tableau!$G$20</f>
        <v>4.3323534802395764</v>
      </c>
      <c r="X942" s="96">
        <f>((Tableau!$G$25-P942)/(AD942^2+Tableau!$G$30^2)^(3/2))*Tableau!$G$29</f>
        <v>-0.48153668019220935</v>
      </c>
      <c r="Y942" s="96">
        <f>((Tableau!$H$25-Q942)/(AD942^2+Tableau!$G$30^2)^(3/2))*Tableau!$G$29</f>
        <v>1.3284685249545134</v>
      </c>
      <c r="Z942" s="96">
        <f>((Tableau!$G$35-P942)/(AE942^2+Tableau!$G$40^2)^(3/2))*Tableau!$G$39</f>
        <v>-1.579748704652207</v>
      </c>
      <c r="AA942" s="97">
        <f>((Tableau!$H$35-Q942)/(AE942^2+Tableau!$G$40^2)^(3/2))*Tableau!$G$39</f>
        <v>4.6013326958647642</v>
      </c>
      <c r="AC942" s="110">
        <f>SQRT((Tableau!$G$16-P942)^2+(Tableau!$H$16-Q942)^2)</f>
        <v>342400.51862403046</v>
      </c>
      <c r="AD942" s="111">
        <f>SQRT((Tableau!$G$25-P942)^2+(Tableau!$H$25-Q942)^2)</f>
        <v>356403.7012346859</v>
      </c>
      <c r="AE942" s="112">
        <f>SQRT((Tableau!$G$35-P942)^2+(Tableau!$H$35-Q942)^2)</f>
        <v>327835.9699132645</v>
      </c>
    </row>
    <row r="943" spans="2:31" x14ac:dyDescent="0.25">
      <c r="B943" s="18">
        <v>940</v>
      </c>
      <c r="C943" s="19">
        <f>Tableau!$G$17*COS(B943*PI()/180)+Tableau!$G$16</f>
        <v>16169.777784405105</v>
      </c>
      <c r="D943" s="19">
        <f>Tableau!$G$17*SIN(B943*PI()/180)+Tableau!$H$16</f>
        <v>4286.0619515673088</v>
      </c>
      <c r="F943" s="26">
        <v>940</v>
      </c>
      <c r="G943" s="27">
        <f>Tableau!$G$26*COS(F943*PI()/180)+Tableau!$G$25</f>
        <v>-22681.155550916425</v>
      </c>
      <c r="H943" s="27">
        <f>Tableau!$G$26*SIN(F943*PI()/180)+Tableau!$H$25</f>
        <v>7750.2433660971164</v>
      </c>
      <c r="J943" s="34">
        <v>940</v>
      </c>
      <c r="K943" s="35">
        <f>Tableau!$G$36*COS(J943*PI()/180)+Tableau!$G$35</f>
        <v>-8830.2222155948948</v>
      </c>
      <c r="L943" s="35">
        <f>Tableau!$G$36*SIN(J943*PI()/180)+Tableau!$H$35</f>
        <v>-18213.93804843269</v>
      </c>
      <c r="N943" s="98">
        <v>939</v>
      </c>
      <c r="O943" s="99">
        <v>469.5</v>
      </c>
      <c r="P943" s="101">
        <f>P942+R942*Tableau!$G$2+((1/2)*T942)*Tableau!$G$2^2</f>
        <v>101768.90332320372</v>
      </c>
      <c r="Q943" s="101">
        <f>Q942+S942*Tableau!$G$2+((1/2)*U942)*Tableau!$G$2^2</f>
        <v>-325391.24881642265</v>
      </c>
      <c r="R943" s="101">
        <f>R942+T942*Tableau!$G$2</f>
        <v>627.53017218647528</v>
      </c>
      <c r="S943" s="101">
        <f>S942+U942*Tableau!$G$2</f>
        <v>-638.62622838126993</v>
      </c>
      <c r="T943" s="101">
        <f t="shared" si="28"/>
        <v>-3.1212802550467988</v>
      </c>
      <c r="U943" s="101">
        <f t="shared" si="29"/>
        <v>10.236145890933841</v>
      </c>
      <c r="V943" s="101">
        <f>((Tableau!$G$16-P943)/(AC943^2+Tableau!$G$21^2)^(3/2))*Tableau!$G$20</f>
        <v>-1.0615993670657196</v>
      </c>
      <c r="W943" s="101">
        <f>((Tableau!$H$16-Q943)/(AC943^2+Tableau!$G$21^2)^(3/2))*Tableau!$G$20</f>
        <v>4.3219014158521443</v>
      </c>
      <c r="X943" s="101">
        <f>((Tableau!$G$25-P943)/(AD943^2+Tableau!$G$30^2)^(3/2))*Tableau!$G$29</f>
        <v>-0.48112655643390184</v>
      </c>
      <c r="Y943" s="101">
        <f>((Tableau!$H$25-Q943)/(AD943^2+Tableau!$G$30^2)^(3/2))*Tableau!$G$29</f>
        <v>1.3251793536549188</v>
      </c>
      <c r="Z943" s="101">
        <f>((Tableau!$G$35-P943)/(AE943^2+Tableau!$G$40^2)^(3/2))*Tableau!$G$39</f>
        <v>-1.5785543315471775</v>
      </c>
      <c r="AA943" s="102">
        <f>((Tableau!$H$35-Q943)/(AE943^2+Tableau!$G$40^2)^(3/2))*Tableau!$G$39</f>
        <v>4.5890651214267768</v>
      </c>
      <c r="AC943" s="113">
        <f>SQRT((Tableau!$G$16-P943)^2+(Tableau!$H$16-Q943)^2)</f>
        <v>342786.72245178465</v>
      </c>
      <c r="AD943" s="114">
        <f>SQRT((Tableau!$G$25-P943)^2+(Tableau!$H$25-Q943)^2)</f>
        <v>356812.21335483354</v>
      </c>
      <c r="AE943" s="115">
        <f>SQRT((Tableau!$G$35-P943)^2+(Tableau!$H$35-Q943)^2)</f>
        <v>328241.26196847652</v>
      </c>
    </row>
    <row r="944" spans="2:31" x14ac:dyDescent="0.25">
      <c r="B944" s="20">
        <v>941</v>
      </c>
      <c r="C944" s="21">
        <f>Tableau!$G$17*COS(B944*PI()/180)+Tableau!$G$16</f>
        <v>16226.452098886131</v>
      </c>
      <c r="D944" s="21">
        <f>Tableau!$G$17*SIN(B944*PI()/180)+Tableau!$H$16</f>
        <v>4219.7048550474728</v>
      </c>
      <c r="F944" s="28">
        <v>941</v>
      </c>
      <c r="G944" s="29">
        <f>Tableau!$G$26*COS(F944*PI()/180)+Tableau!$G$25</f>
        <v>-22641.483530779708</v>
      </c>
      <c r="H944" s="29">
        <f>Tableau!$G$26*SIN(F944*PI()/180)+Tableau!$H$25</f>
        <v>7703.7933985332311</v>
      </c>
      <c r="J944" s="36">
        <v>941</v>
      </c>
      <c r="K944" s="37">
        <f>Tableau!$G$36*COS(J944*PI()/180)+Tableau!$G$35</f>
        <v>-8773.5479011138686</v>
      </c>
      <c r="L944" s="37">
        <f>Tableau!$G$36*SIN(J944*PI()/180)+Tableau!$H$35</f>
        <v>-18280.295144952528</v>
      </c>
      <c r="N944" s="92">
        <v>940</v>
      </c>
      <c r="O944" s="93">
        <v>470</v>
      </c>
      <c r="P944" s="96">
        <f>P943+R943*Tableau!$G$2+((1/2)*T943)*Tableau!$G$2^2</f>
        <v>102082.27824926507</v>
      </c>
      <c r="Q944" s="96">
        <f>Q943+S943*Tableau!$G$2+((1/2)*U943)*Tableau!$G$2^2</f>
        <v>-325709.28241237695</v>
      </c>
      <c r="R944" s="96">
        <f>R943+T943*Tableau!$G$2</f>
        <v>625.96953205895193</v>
      </c>
      <c r="S944" s="96">
        <f>S943+U943*Tableau!$G$2</f>
        <v>-633.50815543580302</v>
      </c>
      <c r="T944" s="96">
        <f t="shared" si="28"/>
        <v>-3.1202030830836236</v>
      </c>
      <c r="U944" s="96">
        <f t="shared" si="29"/>
        <v>10.210385107452476</v>
      </c>
      <c r="V944" s="96">
        <f>((Tableau!$G$16-P944)/(AC944^2+Tableau!$G$21^2)^(3/2))*Tableau!$G$20</f>
        <v>-1.0621005017087819</v>
      </c>
      <c r="W944" s="96">
        <f>((Tableau!$H$16-Q944)/(AC944^2+Tableau!$G$21^2)^(3/2))*Tableau!$G$20</f>
        <v>4.3115487724340484</v>
      </c>
      <c r="X944" s="96">
        <f>((Tableau!$G$25-P944)/(AD944^2+Tableau!$G$30^2)^(3/2))*Tableau!$G$29</f>
        <v>-0.48072280070650059</v>
      </c>
      <c r="Y944" s="96">
        <f>((Tableau!$H$25-Q944)/(AD944^2+Tableau!$G$30^2)^(3/2))*Tableau!$G$29</f>
        <v>1.3219208289588005</v>
      </c>
      <c r="Z944" s="96">
        <f>((Tableau!$G$35-P944)/(AE944^2+Tableau!$G$40^2)^(3/2))*Tableau!$G$39</f>
        <v>-1.5773797806683409</v>
      </c>
      <c r="AA944" s="97">
        <f>((Tableau!$H$35-Q944)/(AE944^2+Tableau!$G$40^2)^(3/2))*Tableau!$G$39</f>
        <v>4.5769155060596267</v>
      </c>
      <c r="AC944" s="110">
        <f>SQRT((Tableau!$G$16-P944)^2+(Tableau!$H$16-Q944)^2)</f>
        <v>343170.40415566281</v>
      </c>
      <c r="AD944" s="111">
        <f>SQRT((Tableau!$G$25-P944)^2+(Tableau!$H$25-Q944)^2)</f>
        <v>357218.14757982839</v>
      </c>
      <c r="AE944" s="112">
        <f>SQRT((Tableau!$G$35-P944)^2+(Tableau!$H$35-Q944)^2)</f>
        <v>328643.9905007655</v>
      </c>
    </row>
    <row r="945" spans="2:31" x14ac:dyDescent="0.25">
      <c r="B945" s="18">
        <v>942</v>
      </c>
      <c r="C945" s="19">
        <f>Tableau!$G$17*COS(B945*PI()/180)+Tableau!$G$16</f>
        <v>16284.275872613029</v>
      </c>
      <c r="D945" s="19">
        <f>Tableau!$G$17*SIN(B945*PI()/180)+Tableau!$H$16</f>
        <v>4154.3469682057093</v>
      </c>
      <c r="F945" s="26">
        <v>942</v>
      </c>
      <c r="G945" s="27">
        <f>Tableau!$G$26*COS(F945*PI()/180)+Tableau!$G$25</f>
        <v>-22601.00688917088</v>
      </c>
      <c r="H945" s="27">
        <f>Tableau!$G$26*SIN(F945*PI()/180)+Tableau!$H$25</f>
        <v>7658.0428777439965</v>
      </c>
      <c r="J945" s="34">
        <v>942</v>
      </c>
      <c r="K945" s="35">
        <f>Tableau!$G$36*COS(J945*PI()/180)+Tableau!$G$35</f>
        <v>-8715.7241273869713</v>
      </c>
      <c r="L945" s="35">
        <f>Tableau!$G$36*SIN(J945*PI()/180)+Tableau!$H$35</f>
        <v>-18345.653031794289</v>
      </c>
      <c r="N945" s="98">
        <v>941</v>
      </c>
      <c r="O945" s="99">
        <v>470.5</v>
      </c>
      <c r="P945" s="101">
        <f>P944+R944*Tableau!$G$2+((1/2)*T944)*Tableau!$G$2^2</f>
        <v>102394.87298990917</v>
      </c>
      <c r="Q945" s="101">
        <f>Q944+S944*Tableau!$G$2+((1/2)*U944)*Tableau!$G$2^2</f>
        <v>-326024.76019195642</v>
      </c>
      <c r="R945" s="101">
        <f>R944+T944*Tableau!$G$2</f>
        <v>624.4094305174101</v>
      </c>
      <c r="S945" s="101">
        <f>S944+U944*Tableau!$G$2</f>
        <v>-628.40296288207674</v>
      </c>
      <c r="T945" s="101">
        <f t="shared" si="28"/>
        <v>-3.1191539590681456</v>
      </c>
      <c r="U945" s="101">
        <f t="shared" si="29"/>
        <v>10.184869840733477</v>
      </c>
      <c r="V945" s="101">
        <f>((Tableau!$G$16-P945)/(AC945^2+Tableau!$G$21^2)^(3/2))*Tableau!$G$20</f>
        <v>-1.0626036291877758</v>
      </c>
      <c r="W945" s="101">
        <f>((Tableau!$H$16-Q945)/(AC945^2+Tableau!$G$21^2)^(3/2))*Tableau!$G$20</f>
        <v>4.3012945799110485</v>
      </c>
      <c r="X945" s="101">
        <f>((Tableau!$G$25-P945)/(AD945^2+Tableau!$G$30^2)^(3/2))*Tableau!$G$29</f>
        <v>-0.48032537454458946</v>
      </c>
      <c r="Y945" s="101">
        <f>((Tableau!$H$25-Q945)/(AD945^2+Tableau!$G$30^2)^(3/2))*Tableau!$G$29</f>
        <v>1.3186926449832914</v>
      </c>
      <c r="Z945" s="101">
        <f>((Tableau!$G$35-P945)/(AE945^2+Tableau!$G$40^2)^(3/2))*Tableau!$G$39</f>
        <v>-1.5762249553357803</v>
      </c>
      <c r="AA945" s="102">
        <f>((Tableau!$H$35-Q945)/(AE945^2+Tableau!$G$40^2)^(3/2))*Tableau!$G$39</f>
        <v>4.564882615839136</v>
      </c>
      <c r="AC945" s="113">
        <f>SQRT((Tableau!$G$16-P945)^2+(Tableau!$H$16-Q945)^2)</f>
        <v>343551.56928200065</v>
      </c>
      <c r="AD945" s="114">
        <f>SQRT((Tableau!$G$25-P945)^2+(Tableau!$H$25-Q945)^2)</f>
        <v>357621.50997427129</v>
      </c>
      <c r="AE945" s="115">
        <f>SQRT((Tableau!$G$35-P945)^2+(Tableau!$H$35-Q945)^2)</f>
        <v>329044.16146922094</v>
      </c>
    </row>
    <row r="946" spans="2:31" x14ac:dyDescent="0.25">
      <c r="B946" s="20">
        <v>943</v>
      </c>
      <c r="C946" s="21">
        <f>Tableau!$G$17*COS(B946*PI()/180)+Tableau!$G$16</f>
        <v>16343.231491904144</v>
      </c>
      <c r="D946" s="21">
        <f>Tableau!$G$17*SIN(B946*PI()/180)+Tableau!$H$16</f>
        <v>4090.0081996875115</v>
      </c>
      <c r="F946" s="28">
        <v>943</v>
      </c>
      <c r="G946" s="29">
        <f>Tableau!$G$26*COS(F946*PI()/180)+Tableau!$G$25</f>
        <v>-22559.7379556671</v>
      </c>
      <c r="H946" s="29">
        <f>Tableau!$G$26*SIN(F946*PI()/180)+Tableau!$H$25</f>
        <v>7613.0057397812579</v>
      </c>
      <c r="J946" s="36">
        <v>943</v>
      </c>
      <c r="K946" s="37">
        <f>Tableau!$G$36*COS(J946*PI()/180)+Tableau!$G$35</f>
        <v>-8656.7685080958563</v>
      </c>
      <c r="L946" s="37">
        <f>Tableau!$G$36*SIN(J946*PI()/180)+Tableau!$H$35</f>
        <v>-18409.991800312488</v>
      </c>
      <c r="N946" s="92">
        <v>942</v>
      </c>
      <c r="O946" s="93">
        <v>471</v>
      </c>
      <c r="P946" s="96">
        <f>P945+R945*Tableau!$G$2+((1/2)*T945)*Tableau!$G$2^2</f>
        <v>102706.68781092299</v>
      </c>
      <c r="Q946" s="96">
        <f>Q945+S945*Tableau!$G$2+((1/2)*U945)*Tableau!$G$2^2</f>
        <v>-326337.68856466736</v>
      </c>
      <c r="R946" s="96">
        <f>R945+T945*Tableau!$G$2</f>
        <v>622.84985353787602</v>
      </c>
      <c r="S946" s="96">
        <f>S945+U945*Tableau!$G$2</f>
        <v>-623.31052796171002</v>
      </c>
      <c r="T946" s="96">
        <f t="shared" si="28"/>
        <v>-3.1181328505129571</v>
      </c>
      <c r="U946" s="96">
        <f t="shared" si="29"/>
        <v>10.15959761872239</v>
      </c>
      <c r="V946" s="96">
        <f>((Tableau!$G$16-P946)/(AC946^2+Tableau!$G$21^2)^(3/2))*Tableau!$G$20</f>
        <v>-1.0631088500936898</v>
      </c>
      <c r="W946" s="96">
        <f>((Tableau!$H$16-Q946)/(AC946^2+Tableau!$G$21^2)^(3/2))*Tableau!$G$20</f>
        <v>4.2911378825769733</v>
      </c>
      <c r="X946" s="96">
        <f>((Tableau!$G$25-P946)/(AD946^2+Tableau!$G$30^2)^(3/2))*Tableau!$G$29</f>
        <v>-0.47993424009246194</v>
      </c>
      <c r="Y946" s="96">
        <f>((Tableau!$H$25-Q946)/(AD946^2+Tableau!$G$30^2)^(3/2))*Tableau!$G$29</f>
        <v>1.3154945003850853</v>
      </c>
      <c r="Z946" s="96">
        <f>((Tableau!$G$35-P946)/(AE946^2+Tableau!$G$40^2)^(3/2))*Tableau!$G$39</f>
        <v>-1.5750897603268055</v>
      </c>
      <c r="AA946" s="97">
        <f>((Tableau!$H$35-Q946)/(AE946^2+Tableau!$G$40^2)^(3/2))*Tableau!$G$39</f>
        <v>4.5529652357603325</v>
      </c>
      <c r="AC946" s="110">
        <f>SQRT((Tableau!$G$16-P946)^2+(Tableau!$H$16-Q946)^2)</f>
        <v>343930.22332277417</v>
      </c>
      <c r="AD946" s="111">
        <f>SQRT((Tableau!$G$25-P946)^2+(Tableau!$H$25-Q946)^2)</f>
        <v>358022.30654325226</v>
      </c>
      <c r="AE946" s="112">
        <f>SQRT((Tableau!$G$35-P946)^2+(Tableau!$H$35-Q946)^2)</f>
        <v>329441.78077467566</v>
      </c>
    </row>
    <row r="947" spans="2:31" x14ac:dyDescent="0.25">
      <c r="B947" s="18">
        <v>944</v>
      </c>
      <c r="C947" s="19">
        <f>Tableau!$G$17*COS(B947*PI()/180)+Tableau!$G$16</f>
        <v>16403.300998306739</v>
      </c>
      <c r="D947" s="19">
        <f>Tableau!$G$17*SIN(B947*PI()/180)+Tableau!$H$16</f>
        <v>4026.7081477050215</v>
      </c>
      <c r="F947" s="26">
        <v>944</v>
      </c>
      <c r="G947" s="27">
        <f>Tableau!$G$26*COS(F947*PI()/180)+Tableau!$G$25</f>
        <v>-22517.689301185284</v>
      </c>
      <c r="H947" s="27">
        <f>Tableau!$G$26*SIN(F947*PI()/180)+Tableau!$H$25</f>
        <v>7568.695703393515</v>
      </c>
      <c r="J947" s="34">
        <v>944</v>
      </c>
      <c r="K947" s="35">
        <f>Tableau!$G$36*COS(J947*PI()/180)+Tableau!$G$35</f>
        <v>-8596.6990016932632</v>
      </c>
      <c r="L947" s="35">
        <f>Tableau!$G$36*SIN(J947*PI()/180)+Tableau!$H$35</f>
        <v>-18473.291852294977</v>
      </c>
      <c r="N947" s="98">
        <v>943</v>
      </c>
      <c r="O947" s="99">
        <v>471.5</v>
      </c>
      <c r="P947" s="101">
        <f>P946+R946*Tableau!$G$2+((1/2)*T946)*Tableau!$G$2^2</f>
        <v>103017.72297108562</v>
      </c>
      <c r="Q947" s="101">
        <f>Q946+S946*Tableau!$G$2+((1/2)*U946)*Tableau!$G$2^2</f>
        <v>-326648.0738789459</v>
      </c>
      <c r="R947" s="101">
        <f>R946+T946*Tableau!$G$2</f>
        <v>621.29078711261957</v>
      </c>
      <c r="S947" s="101">
        <f>S946+U946*Tableau!$G$2</f>
        <v>-618.23072915234877</v>
      </c>
      <c r="T947" s="101">
        <f t="shared" si="28"/>
        <v>-3.1171397252988076</v>
      </c>
      <c r="U947" s="101">
        <f t="shared" si="29"/>
        <v>10.134566006529496</v>
      </c>
      <c r="V947" s="101">
        <f>((Tableau!$G$16-P947)/(AC947^2+Tableau!$G$21^2)^(3/2))*Tableau!$G$20</f>
        <v>-1.0636162633403237</v>
      </c>
      <c r="W947" s="101">
        <f>((Tableau!$H$16-Q947)/(AC947^2+Tableau!$G$21^2)^(3/2))*Tableau!$G$20</f>
        <v>4.2810777388495174</v>
      </c>
      <c r="X947" s="101">
        <f>((Tableau!$G$25-P947)/(AD947^2+Tableau!$G$30^2)^(3/2))*Tableau!$G$29</f>
        <v>-0.47954936009589111</v>
      </c>
      <c r="Y947" s="101">
        <f>((Tableau!$H$25-Q947)/(AD947^2+Tableau!$G$30^2)^(3/2))*Tableau!$G$29</f>
        <v>1.3123260982818539</v>
      </c>
      <c r="Z947" s="101">
        <f>((Tableau!$G$35-P947)/(AE947^2+Tableau!$G$40^2)^(3/2))*Tableau!$G$39</f>
        <v>-1.573974101862593</v>
      </c>
      <c r="AA947" s="102">
        <f>((Tableau!$H$35-Q947)/(AE947^2+Tableau!$G$40^2)^(3/2))*Tableau!$G$39</f>
        <v>4.5411621693981257</v>
      </c>
      <c r="AC947" s="113">
        <f>SQRT((Tableau!$G$16-P947)^2+(Tableau!$H$16-Q947)^2)</f>
        <v>344306.3717161119</v>
      </c>
      <c r="AD947" s="114">
        <f>SQRT((Tableau!$G$25-P947)^2+(Tableau!$H$25-Q947)^2)</f>
        <v>358420.54323293886</v>
      </c>
      <c r="AE947" s="115">
        <f>SQRT((Tableau!$G$35-P947)^2+(Tableau!$H$35-Q947)^2)</f>
        <v>329836.85426027689</v>
      </c>
    </row>
    <row r="948" spans="2:31" x14ac:dyDescent="0.25">
      <c r="B948" s="20">
        <v>945</v>
      </c>
      <c r="C948" s="21">
        <f>Tableau!$G$17*COS(B948*PI()/180)+Tableau!$G$16</f>
        <v>16464.466094067251</v>
      </c>
      <c r="D948" s="21">
        <f>Tableau!$G$17*SIN(B948*PI()/180)+Tableau!$H$16</f>
        <v>3964.4660940672743</v>
      </c>
      <c r="F948" s="28">
        <v>945</v>
      </c>
      <c r="G948" s="29">
        <f>Tableau!$G$26*COS(F948*PI()/180)+Tableau!$G$25</f>
        <v>-22474.873734152923</v>
      </c>
      <c r="H948" s="29">
        <f>Tableau!$G$26*SIN(F948*PI()/180)+Tableau!$H$25</f>
        <v>7525.1262658470914</v>
      </c>
      <c r="J948" s="36">
        <v>945</v>
      </c>
      <c r="K948" s="37">
        <f>Tableau!$G$36*COS(J948*PI()/180)+Tableau!$G$35</f>
        <v>-8535.5339059327489</v>
      </c>
      <c r="L948" s="37">
        <f>Tableau!$G$36*SIN(J948*PI()/180)+Tableau!$H$35</f>
        <v>-18535.533905932727</v>
      </c>
      <c r="N948" s="92">
        <v>944</v>
      </c>
      <c r="O948" s="93">
        <v>472</v>
      </c>
      <c r="P948" s="96">
        <f>P947+R947*Tableau!$G$2+((1/2)*T947)*Tableau!$G$2^2</f>
        <v>103327.97872217627</v>
      </c>
      <c r="Q948" s="96">
        <f>Q947+S947*Tableau!$G$2+((1/2)*U947)*Tableau!$G$2^2</f>
        <v>-326955.92242277123</v>
      </c>
      <c r="R948" s="96">
        <f>R947+T947*Tableau!$G$2</f>
        <v>619.73221724997018</v>
      </c>
      <c r="S948" s="96">
        <f>S947+U947*Tableau!$G$2</f>
        <v>-613.16344614908405</v>
      </c>
      <c r="T948" s="96">
        <f t="shared" si="28"/>
        <v>-3.1161745516970498</v>
      </c>
      <c r="U948" s="96">
        <f t="shared" si="29"/>
        <v>10.109772605782023</v>
      </c>
      <c r="V948" s="96">
        <f>((Tableau!$G$16-P948)/(AC948^2+Tableau!$G$21^2)^(3/2))*Tableau!$G$20</f>
        <v>-1.0641259662078966</v>
      </c>
      <c r="W948" s="96">
        <f>((Tableau!$H$16-Q948)/(AC948^2+Tableau!$G$21^2)^(3/2))*Tableau!$G$20</f>
        <v>4.2711132210310936</v>
      </c>
      <c r="X948" s="96">
        <f>((Tableau!$G$25-P948)/(AD948^2+Tableau!$G$30^2)^(3/2))*Tableau!$G$29</f>
        <v>-0.47917069789406302</v>
      </c>
      <c r="Y948" s="96">
        <f>((Tableau!$H$25-Q948)/(AD948^2+Tableau!$G$30^2)^(3/2))*Tableau!$G$29</f>
        <v>1.3091871461753242</v>
      </c>
      <c r="Z948" s="96">
        <f>((Tableau!$G$35-P948)/(AE948^2+Tableau!$G$40^2)^(3/2))*Tableau!$G$39</f>
        <v>-1.5728778875950902</v>
      </c>
      <c r="AA948" s="97">
        <f>((Tableau!$H$35-Q948)/(AE948^2+Tableau!$G$40^2)^(3/2))*Tableau!$G$39</f>
        <v>4.5294722385756057</v>
      </c>
      <c r="AC948" s="110">
        <f>SQRT((Tableau!$G$16-P948)^2+(Tableau!$H$16-Q948)^2)</f>
        <v>344680.01984679967</v>
      </c>
      <c r="AD948" s="111">
        <f>SQRT((Tableau!$G$25-P948)^2+(Tableau!$H$25-Q948)^2)</f>
        <v>358816.22593115573</v>
      </c>
      <c r="AE948" s="112">
        <f>SQRT((Tableau!$G$35-P948)^2+(Tableau!$H$35-Q948)^2)</f>
        <v>330229.38771204831</v>
      </c>
    </row>
    <row r="949" spans="2:31" x14ac:dyDescent="0.25">
      <c r="B949" s="18">
        <v>946</v>
      </c>
      <c r="C949" s="19">
        <f>Tableau!$G$17*COS(B949*PI()/180)+Tableau!$G$16</f>
        <v>16526.708147705009</v>
      </c>
      <c r="D949" s="19">
        <f>Tableau!$G$17*SIN(B949*PI()/180)+Tableau!$H$16</f>
        <v>3903.3009983067473</v>
      </c>
      <c r="F949" s="26">
        <v>946</v>
      </c>
      <c r="G949" s="27">
        <f>Tableau!$G$26*COS(F949*PI()/180)+Tableau!$G$25</f>
        <v>-22431.304296606493</v>
      </c>
      <c r="H949" s="27">
        <f>Tableau!$G$26*SIN(F949*PI()/180)+Tableau!$H$25</f>
        <v>7482.3106988147229</v>
      </c>
      <c r="J949" s="34">
        <v>946</v>
      </c>
      <c r="K949" s="35">
        <f>Tableau!$G$36*COS(J949*PI()/180)+Tableau!$G$35</f>
        <v>-8473.2918522949894</v>
      </c>
      <c r="L949" s="35">
        <f>Tableau!$G$36*SIN(J949*PI()/180)+Tableau!$H$35</f>
        <v>-18596.699001693254</v>
      </c>
      <c r="N949" s="98">
        <v>945</v>
      </c>
      <c r="O949" s="99">
        <v>472.5</v>
      </c>
      <c r="P949" s="101">
        <f>P948+R948*Tableau!$G$2+((1/2)*T948)*Tableau!$G$2^2</f>
        <v>103637.4553089823</v>
      </c>
      <c r="Q949" s="101">
        <f>Q948+S948*Tableau!$G$2+((1/2)*U948)*Tableau!$G$2^2</f>
        <v>-327261.24042427004</v>
      </c>
      <c r="R949" s="101">
        <f>R948+T948*Tableau!$G$2</f>
        <v>618.17412997412168</v>
      </c>
      <c r="S949" s="101">
        <f>S948+U948*Tableau!$G$2</f>
        <v>-608.10855984619309</v>
      </c>
      <c r="T949" s="101">
        <f t="shared" si="28"/>
        <v>-3.1152372983913423</v>
      </c>
      <c r="U949" s="101">
        <f t="shared" si="29"/>
        <v>10.085215053990137</v>
      </c>
      <c r="V949" s="101">
        <f>((Tableau!$G$16-P949)/(AC949^2+Tableau!$G$21^2)^(3/2))*Tableau!$G$20</f>
        <v>-1.0646380543856098</v>
      </c>
      <c r="W949" s="101">
        <f>((Tableau!$H$16-Q949)/(AC949^2+Tableau!$G$21^2)^(3/2))*Tableau!$G$20</f>
        <v>4.261243415074734</v>
      </c>
      <c r="X949" s="101">
        <f>((Tableau!$G$25-P949)/(AD949^2+Tableau!$G$30^2)^(3/2))*Tableau!$G$29</f>
        <v>-0.47879821741169132</v>
      </c>
      <c r="Y949" s="101">
        <f>((Tableau!$H$25-Q949)/(AD949^2+Tableau!$G$30^2)^(3/2))*Tableau!$G$29</f>
        <v>1.3060773558760292</v>
      </c>
      <c r="Z949" s="101">
        <f>((Tableau!$G$35-P949)/(AE949^2+Tableau!$G$40^2)^(3/2))*Tableau!$G$39</f>
        <v>-1.5718010265940412</v>
      </c>
      <c r="AA949" s="102">
        <f>((Tableau!$H$35-Q949)/(AE949^2+Tableau!$G$40^2)^(3/2))*Tableau!$G$39</f>
        <v>4.5178942830393725</v>
      </c>
      <c r="AC949" s="113">
        <f>SQRT((Tableau!$G$16-P949)^2+(Tableau!$H$16-Q949)^2)</f>
        <v>345051.1730467786</v>
      </c>
      <c r="AD949" s="114">
        <f>SQRT((Tableau!$G$25-P949)^2+(Tableau!$H$25-Q949)^2)</f>
        <v>359209.36046795588</v>
      </c>
      <c r="AE949" s="115">
        <f>SQRT((Tableau!$G$35-P949)^2+(Tableau!$H$35-Q949)^2)</f>
        <v>330619.38685944432</v>
      </c>
    </row>
    <row r="950" spans="2:31" x14ac:dyDescent="0.25">
      <c r="B950" s="20">
        <v>947</v>
      </c>
      <c r="C950" s="21">
        <f>Tableau!$G$17*COS(B950*PI()/180)+Tableau!$G$16</f>
        <v>16590.008199687501</v>
      </c>
      <c r="D950" s="21">
        <f>Tableau!$G$17*SIN(B950*PI()/180)+Tableau!$H$16</f>
        <v>3843.2314919041542</v>
      </c>
      <c r="F950" s="28">
        <v>947</v>
      </c>
      <c r="G950" s="29">
        <f>Tableau!$G$26*COS(F950*PI()/180)+Tableau!$G$25</f>
        <v>-22386.994260218751</v>
      </c>
      <c r="H950" s="29">
        <f>Tableau!$G$26*SIN(F950*PI()/180)+Tableau!$H$25</f>
        <v>7440.2620443329079</v>
      </c>
      <c r="J950" s="36">
        <v>947</v>
      </c>
      <c r="K950" s="37">
        <f>Tableau!$G$36*COS(J950*PI()/180)+Tableau!$G$35</f>
        <v>-8409.9918003124985</v>
      </c>
      <c r="L950" s="37">
        <f>Tableau!$G$36*SIN(J950*PI()/180)+Tableau!$H$35</f>
        <v>-18656.768508095847</v>
      </c>
      <c r="N950" s="92">
        <v>946</v>
      </c>
      <c r="O950" s="93">
        <v>473</v>
      </c>
      <c r="P950" s="96">
        <f>P949+R949*Tableau!$G$2+((1/2)*T949)*Tableau!$G$2^2</f>
        <v>103946.15296930706</v>
      </c>
      <c r="Q950" s="96">
        <f>Q949+S949*Tableau!$G$2+((1/2)*U949)*Tableau!$G$2^2</f>
        <v>-327564.03405231138</v>
      </c>
      <c r="R950" s="96">
        <f>R949+T949*Tableau!$G$2</f>
        <v>616.61651132492602</v>
      </c>
      <c r="S950" s="96">
        <f>S949+U949*Tableau!$G$2</f>
        <v>-603.065952319198</v>
      </c>
      <c r="T950" s="96">
        <f t="shared" si="28"/>
        <v>-3.1143279344986459</v>
      </c>
      <c r="U950" s="96">
        <f t="shared" si="29"/>
        <v>10.060891023926292</v>
      </c>
      <c r="V950" s="96">
        <f>((Tableau!$G$16-P950)/(AC950^2+Tableau!$G$21^2)^(3/2))*Tableau!$G$20</f>
        <v>-1.0651526220131537</v>
      </c>
      <c r="W950" s="96">
        <f>((Tableau!$H$16-Q950)/(AC950^2+Tableau!$G$21^2)^(3/2))*Tableau!$G$20</f>
        <v>4.2514674203547385</v>
      </c>
      <c r="X950" s="96">
        <f>((Tableau!$G$25-P950)/(AD950^2+Tableau!$G$30^2)^(3/2))*Tableau!$G$29</f>
        <v>-0.47843188315123547</v>
      </c>
      <c r="Y950" s="96">
        <f>((Tableau!$H$25-Q950)/(AD950^2+Tableau!$G$30^2)^(3/2))*Tableau!$G$29</f>
        <v>1.3029964434294938</v>
      </c>
      <c r="Z950" s="96">
        <f>((Tableau!$G$35-P950)/(AE950^2+Tableau!$G$40^2)^(3/2))*Tableau!$G$39</f>
        <v>-1.5707434293342564</v>
      </c>
      <c r="AA950" s="97">
        <f>((Tableau!$H$35-Q950)/(AE950^2+Tableau!$G$40^2)^(3/2))*Tableau!$G$39</f>
        <v>4.5064271601420609</v>
      </c>
      <c r="AC950" s="110">
        <f>SQRT((Tableau!$G$16-P950)^2+(Tableau!$H$16-Q950)^2)</f>
        <v>345419.83659563441</v>
      </c>
      <c r="AD950" s="111">
        <f>SQRT((Tableau!$G$25-P950)^2+(Tableau!$H$25-Q950)^2)</f>
        <v>359599.9526161828</v>
      </c>
      <c r="AE950" s="112">
        <f>SQRT((Tableau!$G$35-P950)^2+(Tableau!$H$35-Q950)^2)</f>
        <v>331006.85737589502</v>
      </c>
    </row>
    <row r="951" spans="2:31" x14ac:dyDescent="0.25">
      <c r="B951" s="18">
        <v>948</v>
      </c>
      <c r="C951" s="19">
        <f>Tableau!$G$17*COS(B951*PI()/180)+Tableau!$G$16</f>
        <v>16654.346968205711</v>
      </c>
      <c r="D951" s="19">
        <f>Tableau!$G$17*SIN(B951*PI()/180)+Tableau!$H$16</f>
        <v>3784.2758726130273</v>
      </c>
      <c r="F951" s="26">
        <v>948</v>
      </c>
      <c r="G951" s="27">
        <f>Tableau!$G$26*COS(F951*PI()/180)+Tableau!$G$25</f>
        <v>-22341.957122256001</v>
      </c>
      <c r="H951" s="27">
        <f>Tableau!$G$26*SIN(F951*PI()/180)+Tableau!$H$25</f>
        <v>7398.9931108291185</v>
      </c>
      <c r="J951" s="34">
        <v>948</v>
      </c>
      <c r="K951" s="35">
        <f>Tableau!$G$36*COS(J951*PI()/180)+Tableau!$G$35</f>
        <v>-8345.6530317942888</v>
      </c>
      <c r="L951" s="35">
        <f>Tableau!$G$36*SIN(J951*PI()/180)+Tableau!$H$35</f>
        <v>-18715.724127386973</v>
      </c>
      <c r="N951" s="98">
        <v>947</v>
      </c>
      <c r="O951" s="99">
        <v>473.5</v>
      </c>
      <c r="P951" s="101">
        <f>P950+R950*Tableau!$G$2+((1/2)*T950)*Tableau!$G$2^2</f>
        <v>104254.07193397771</v>
      </c>
      <c r="Q951" s="101">
        <f>Q950+S950*Tableau!$G$2+((1/2)*U950)*Tableau!$G$2^2</f>
        <v>-327864.309417093</v>
      </c>
      <c r="R951" s="101">
        <f>R950+T950*Tableau!$G$2</f>
        <v>615.05934735767676</v>
      </c>
      <c r="S951" s="101">
        <f>S950+U950*Tableau!$G$2</f>
        <v>-598.03550680723481</v>
      </c>
      <c r="T951" s="101">
        <f t="shared" si="28"/>
        <v>-3.1134464295895734</v>
      </c>
      <c r="U951" s="101">
        <f t="shared" si="29"/>
        <v>10.036798223017785</v>
      </c>
      <c r="V951" s="101">
        <f>((Tableau!$G$16-P951)/(AC951^2+Tableau!$G$21^2)^(3/2))*Tableau!$G$20</f>
        <v>-1.0656697617212039</v>
      </c>
      <c r="W951" s="101">
        <f>((Tableau!$H$16-Q951)/(AC951^2+Tableau!$G$21^2)^(3/2))*Tableau!$G$20</f>
        <v>4.2417843494420291</v>
      </c>
      <c r="X951" s="101">
        <f>((Tableau!$G$25-P951)/(AD951^2+Tableau!$G$30^2)^(3/2))*Tableau!$G$29</f>
        <v>-0.47807166018534747</v>
      </c>
      <c r="Y951" s="101">
        <f>((Tableau!$H$25-Q951)/(AD951^2+Tableau!$G$30^2)^(3/2))*Tableau!$G$29</f>
        <v>1.299944129044164</v>
      </c>
      <c r="Z951" s="101">
        <f>((Tableau!$G$35-P951)/(AE951^2+Tableau!$G$40^2)^(3/2))*Tableau!$G$39</f>
        <v>-1.5697050076830219</v>
      </c>
      <c r="AA951" s="102">
        <f>((Tableau!$H$35-Q951)/(AE951^2+Tableau!$G$40^2)^(3/2))*Tableau!$G$39</f>
        <v>4.4950697445315919</v>
      </c>
      <c r="AC951" s="113">
        <f>SQRT((Tableau!$G$16-P951)^2+(Tableau!$H$16-Q951)^2)</f>
        <v>345786.01572108088</v>
      </c>
      <c r="AD951" s="114">
        <f>SQRT((Tableau!$G$25-P951)^2+(Tableau!$H$25-Q951)^2)</f>
        <v>359988.00809202419</v>
      </c>
      <c r="AE951" s="115">
        <f>SQRT((Tableau!$G$35-P951)^2+(Tableau!$H$35-Q951)^2)</f>
        <v>331391.80487934407</v>
      </c>
    </row>
    <row r="952" spans="2:31" x14ac:dyDescent="0.25">
      <c r="B952" s="20">
        <v>949</v>
      </c>
      <c r="C952" s="21">
        <f>Tableau!$G$17*COS(B952*PI()/180)+Tableau!$G$16</f>
        <v>16719.704855047461</v>
      </c>
      <c r="D952" s="21">
        <f>Tableau!$G$17*SIN(B952*PI()/180)+Tableau!$H$16</f>
        <v>3726.4520988861418</v>
      </c>
      <c r="F952" s="28">
        <v>949</v>
      </c>
      <c r="G952" s="29">
        <f>Tableau!$G$26*COS(F952*PI()/180)+Tableau!$G$25</f>
        <v>-22296.206601466776</v>
      </c>
      <c r="H952" s="29">
        <f>Tableau!$G$26*SIN(F952*PI()/180)+Tableau!$H$25</f>
        <v>7358.5164692202998</v>
      </c>
      <c r="J952" s="36">
        <v>949</v>
      </c>
      <c r="K952" s="37">
        <f>Tableau!$G$36*COS(J952*PI()/180)+Tableau!$G$35</f>
        <v>-8280.295144952539</v>
      </c>
      <c r="L952" s="37">
        <f>Tableau!$G$36*SIN(J952*PI()/180)+Tableau!$H$35</f>
        <v>-18773.54790111386</v>
      </c>
      <c r="N952" s="92">
        <v>948</v>
      </c>
      <c r="O952" s="93">
        <v>474</v>
      </c>
      <c r="P952" s="96">
        <f>P951+R951*Tableau!$G$2+((1/2)*T951)*Tableau!$G$2^2</f>
        <v>104561.21242685286</v>
      </c>
      <c r="Q952" s="96">
        <f>Q951+S951*Tableau!$G$2+((1/2)*U951)*Tableau!$G$2^2</f>
        <v>-328162.07257071877</v>
      </c>
      <c r="R952" s="96">
        <f>R951+T951*Tableau!$G$2</f>
        <v>613.50262414288193</v>
      </c>
      <c r="S952" s="96">
        <f>S951+U951*Tableau!$G$2</f>
        <v>-593.01710769572594</v>
      </c>
      <c r="T952" s="96">
        <f t="shared" si="28"/>
        <v>-3.112592753708014</v>
      </c>
      <c r="U952" s="96">
        <f t="shared" si="29"/>
        <v>10.012934392751905</v>
      </c>
      <c r="V952" s="96">
        <f>((Tableau!$G$16-P952)/(AC952^2+Tableau!$G$21^2)^(3/2))*Tableau!$G$20</f>
        <v>-1.0661895646709809</v>
      </c>
      <c r="W952" s="96">
        <f>((Tableau!$H$16-Q952)/(AC952^2+Tableau!$G$21^2)^(3/2))*Tableau!$G$20</f>
        <v>4.2321933278843025</v>
      </c>
      <c r="X952" s="96">
        <f>((Tableau!$G$25-P952)/(AD952^2+Tableau!$G$30^2)^(3/2))*Tableau!$G$29</f>
        <v>-0.47771751414938329</v>
      </c>
      <c r="Y952" s="96">
        <f>((Tableau!$H$25-Q952)/(AD952^2+Tableau!$G$30^2)^(3/2))*Tableau!$G$29</f>
        <v>1.2969201370206085</v>
      </c>
      <c r="Z952" s="96">
        <f>((Tableau!$G$35-P952)/(AE952^2+Tableau!$G$40^2)^(3/2))*Tableau!$G$39</f>
        <v>-1.5686856748876499</v>
      </c>
      <c r="AA952" s="97">
        <f>((Tableau!$H$35-Q952)/(AE952^2+Tableau!$G$40^2)^(3/2))*Tableau!$G$39</f>
        <v>4.4838209278469954</v>
      </c>
      <c r="AC952" s="110">
        <f>SQRT((Tableau!$G$16-P952)^2+(Tableau!$H$16-Q952)^2)</f>
        <v>346149.71559943509</v>
      </c>
      <c r="AD952" s="111">
        <f>SQRT((Tableau!$G$25-P952)^2+(Tableau!$H$25-Q952)^2)</f>
        <v>360373.53255555773</v>
      </c>
      <c r="AE952" s="112">
        <f>SQRT((Tableau!$G$35-P952)^2+(Tableau!$H$35-Q952)^2)</f>
        <v>331774.23493277788</v>
      </c>
    </row>
    <row r="953" spans="2:31" x14ac:dyDescent="0.25">
      <c r="B953" s="18">
        <v>950</v>
      </c>
      <c r="C953" s="19">
        <f>Tableau!$G$17*COS(B953*PI()/180)+Tableau!$G$16</f>
        <v>16786.061951567295</v>
      </c>
      <c r="D953" s="19">
        <f>Tableau!$G$17*SIN(B953*PI()/180)+Tableau!$H$16</f>
        <v>3669.7777844051147</v>
      </c>
      <c r="F953" s="26">
        <v>950</v>
      </c>
      <c r="G953" s="27">
        <f>Tableau!$G$26*COS(F953*PI()/180)+Tableau!$G$25</f>
        <v>-22249.756633902893</v>
      </c>
      <c r="H953" s="27">
        <f>Tableau!$G$26*SIN(F953*PI()/180)+Tableau!$H$25</f>
        <v>7318.8444490835809</v>
      </c>
      <c r="J953" s="34">
        <v>950</v>
      </c>
      <c r="K953" s="35">
        <f>Tableau!$G$36*COS(J953*PI()/180)+Tableau!$G$35</f>
        <v>-8213.938048432703</v>
      </c>
      <c r="L953" s="35">
        <f>Tableau!$G$36*SIN(J953*PI()/180)+Tableau!$H$35</f>
        <v>-18830.222215594884</v>
      </c>
      <c r="N953" s="98">
        <v>949</v>
      </c>
      <c r="O953" s="99">
        <v>474.5</v>
      </c>
      <c r="P953" s="101">
        <f>P952+R952*Tableau!$G$2+((1/2)*T952)*Tableau!$G$2^2</f>
        <v>104867.57466483008</v>
      </c>
      <c r="Q953" s="101">
        <f>Q952+S952*Tableau!$G$2+((1/2)*U952)*Tableau!$G$2^2</f>
        <v>-328457.32950776751</v>
      </c>
      <c r="R953" s="101">
        <f>R952+T952*Tableau!$G$2</f>
        <v>611.94632776602793</v>
      </c>
      <c r="S953" s="101">
        <f>S952+U952*Tableau!$G$2</f>
        <v>-588.01064049934996</v>
      </c>
      <c r="T953" s="101">
        <f t="shared" si="28"/>
        <v>-3.1117668773901968</v>
      </c>
      <c r="U953" s="101">
        <f t="shared" si="29"/>
        <v>9.9892973080937608</v>
      </c>
      <c r="V953" s="101">
        <f>((Tableau!$G$16-P953)/(AC953^2+Tableau!$G$21^2)^(3/2))*Tableau!$G$20</f>
        <v>-1.0667121205928485</v>
      </c>
      <c r="W953" s="101">
        <f>((Tableau!$H$16-Q953)/(AC953^2+Tableau!$G$21^2)^(3/2))*Tableau!$G$20</f>
        <v>4.2226934939906178</v>
      </c>
      <c r="X953" s="101">
        <f>((Tableau!$G$25-P953)/(AD953^2+Tableau!$G$30^2)^(3/2))*Tableau!$G$29</f>
        <v>-0.47736941123414717</v>
      </c>
      <c r="Y953" s="101">
        <f>((Tableau!$H$25-Q953)/(AD953^2+Tableau!$G$30^2)^(3/2))*Tableau!$G$29</f>
        <v>1.2939241956824195</v>
      </c>
      <c r="Z953" s="101">
        <f>((Tableau!$G$35-P953)/(AE953^2+Tableau!$G$40^2)^(3/2))*Tableau!$G$39</f>
        <v>-1.5676853455632012</v>
      </c>
      <c r="AA953" s="102">
        <f>((Tableau!$H$35-Q953)/(AE953^2+Tableau!$G$40^2)^(3/2))*Tableau!$G$39</f>
        <v>4.4726796184207247</v>
      </c>
      <c r="AC953" s="113">
        <f>SQRT((Tableau!$G$16-P953)^2+(Tableau!$H$16-Q953)^2)</f>
        <v>346510.94135608646</v>
      </c>
      <c r="AD953" s="114">
        <f>SQRT((Tableau!$G$25-P953)^2+(Tableau!$H$25-Q953)^2)</f>
        <v>360756.53161128826</v>
      </c>
      <c r="AE953" s="115">
        <f>SQRT((Tableau!$G$35-P953)^2+(Tableau!$H$35-Q953)^2)</f>
        <v>332154.1530447469</v>
      </c>
    </row>
    <row r="954" spans="2:31" x14ac:dyDescent="0.25">
      <c r="B954" s="20">
        <v>951</v>
      </c>
      <c r="C954" s="21">
        <f>Tableau!$G$17*COS(B954*PI()/180)+Tableau!$G$16</f>
        <v>16853.398044750815</v>
      </c>
      <c r="D954" s="21">
        <f>Tableau!$G$17*SIN(B954*PI()/180)+Tableau!$H$16</f>
        <v>3614.2701927151429</v>
      </c>
      <c r="F954" s="28">
        <v>951</v>
      </c>
      <c r="G954" s="29">
        <f>Tableau!$G$26*COS(F954*PI()/180)+Tableau!$G$25</f>
        <v>-22202.62136867443</v>
      </c>
      <c r="H954" s="29">
        <f>Tableau!$G$26*SIN(F954*PI()/180)+Tableau!$H$25</f>
        <v>7279.9891349005993</v>
      </c>
      <c r="J954" s="36">
        <v>951</v>
      </c>
      <c r="K954" s="37">
        <f>Tableau!$G$36*COS(J954*PI()/180)+Tableau!$G$35</f>
        <v>-8146.6019552491844</v>
      </c>
      <c r="L954" s="37">
        <f>Tableau!$G$36*SIN(J954*PI()/180)+Tableau!$H$35</f>
        <v>-18885.729807284857</v>
      </c>
      <c r="N954" s="92">
        <v>950</v>
      </c>
      <c r="O954" s="93">
        <v>475</v>
      </c>
      <c r="P954" s="96">
        <f>P953+R953*Tableau!$G$2+((1/2)*T953)*Tableau!$G$2^2</f>
        <v>105173.15885785343</v>
      </c>
      <c r="Q954" s="96">
        <f>Q953+S953*Tableau!$G$2+((1/2)*U953)*Tableau!$G$2^2</f>
        <v>-328750.08616585366</v>
      </c>
      <c r="R954" s="96">
        <f>R953+T953*Tableau!$G$2</f>
        <v>610.39044432733283</v>
      </c>
      <c r="S954" s="96">
        <f>S953+U953*Tableau!$G$2</f>
        <v>-583.01599184530312</v>
      </c>
      <c r="T954" s="96">
        <f t="shared" si="28"/>
        <v>-3.1109687716831207</v>
      </c>
      <c r="U954" s="96">
        <f t="shared" si="29"/>
        <v>9.9658847769161003</v>
      </c>
      <c r="V954" s="96">
        <f>((Tableau!$G$16-P954)/(AC954^2+Tableau!$G$21^2)^(3/2))*Tableau!$G$20</f>
        <v>-1.0672375178238998</v>
      </c>
      <c r="W954" s="96">
        <f>((Tableau!$H$16-Q954)/(AC954^2+Tableau!$G$21^2)^(3/2))*Tableau!$G$20</f>
        <v>4.2132839986200574</v>
      </c>
      <c r="X954" s="96">
        <f>((Tableau!$G$25-P954)/(AD954^2+Tableau!$G$30^2)^(3/2))*Tableau!$G$29</f>
        <v>-0.47702731817869809</v>
      </c>
      <c r="Y954" s="96">
        <f>((Tableau!$H$25-Q954)/(AD954^2+Tableau!$G$30^2)^(3/2))*Tableau!$G$29</f>
        <v>1.2909560373083262</v>
      </c>
      <c r="Z954" s="96">
        <f>((Tableau!$G$35-P954)/(AE954^2+Tableau!$G$40^2)^(3/2))*Tableau!$G$39</f>
        <v>-1.5667039356805226</v>
      </c>
      <c r="AA954" s="97">
        <f>((Tableau!$H$35-Q954)/(AE954^2+Tableau!$G$40^2)^(3/2))*Tableau!$G$39</f>
        <v>4.4616447409877171</v>
      </c>
      <c r="AC954" s="110">
        <f>SQRT((Tableau!$G$16-P954)^2+(Tableau!$H$16-Q954)^2)</f>
        <v>346869.69806595839</v>
      </c>
      <c r="AD954" s="111">
        <f>SQRT((Tableau!$G$25-P954)^2+(Tableau!$H$25-Q954)^2)</f>
        <v>361137.0108086773</v>
      </c>
      <c r="AE954" s="112">
        <f>SQRT((Tableau!$G$35-P954)^2+(Tableau!$H$35-Q954)^2)</f>
        <v>332531.56466987974</v>
      </c>
    </row>
    <row r="955" spans="2:31" x14ac:dyDescent="0.25">
      <c r="B955" s="18">
        <v>952</v>
      </c>
      <c r="C955" s="19">
        <f>Tableau!$G$17*COS(B955*PI()/180)+Tableau!$G$16</f>
        <v>16921.692623371706</v>
      </c>
      <c r="D955" s="19">
        <f>Tableau!$G$17*SIN(B955*PI()/180)+Tableau!$H$16</f>
        <v>3559.9462319663912</v>
      </c>
      <c r="F955" s="26">
        <v>952</v>
      </c>
      <c r="G955" s="27">
        <f>Tableau!$G$26*COS(F955*PI()/180)+Tableau!$G$25</f>
        <v>-22154.815163639803</v>
      </c>
      <c r="H955" s="27">
        <f>Tableau!$G$26*SIN(F955*PI()/180)+Tableau!$H$25</f>
        <v>7241.9623623764737</v>
      </c>
      <c r="J955" s="34">
        <v>952</v>
      </c>
      <c r="K955" s="35">
        <f>Tableau!$G$36*COS(J955*PI()/180)+Tableau!$G$35</f>
        <v>-8078.3073766282923</v>
      </c>
      <c r="L955" s="35">
        <f>Tableau!$G$36*SIN(J955*PI()/180)+Tableau!$H$35</f>
        <v>-18940.053768033609</v>
      </c>
      <c r="N955" s="98">
        <v>951</v>
      </c>
      <c r="O955" s="99">
        <v>475.5</v>
      </c>
      <c r="P955" s="101">
        <f>P954+R954*Tableau!$G$2+((1/2)*T954)*Tableau!$G$2^2</f>
        <v>105477.96520892062</v>
      </c>
      <c r="Q955" s="101">
        <f>Q954+S954*Tableau!$G$2+((1/2)*U954)*Tableau!$G$2^2</f>
        <v>-329040.3484261792</v>
      </c>
      <c r="R955" s="101">
        <f>R954+T954*Tableau!$G$2</f>
        <v>608.83495994149132</v>
      </c>
      <c r="S955" s="101">
        <f>S954+U954*Tableau!$G$2</f>
        <v>-578.03304945684511</v>
      </c>
      <c r="T955" s="101">
        <f t="shared" si="28"/>
        <v>-3.1101984081624767</v>
      </c>
      <c r="U955" s="101">
        <f t="shared" si="29"/>
        <v>9.9426946394414593</v>
      </c>
      <c r="V955" s="101">
        <f>((Tableau!$G$16-P955)/(AC955^2+Tableau!$G$21^2)^(3/2))*Tableau!$G$20</f>
        <v>-1.0677658433448582</v>
      </c>
      <c r="W955" s="101">
        <f>((Tableau!$H$16-Q955)/(AC955^2+Tableau!$G$21^2)^(3/2))*Tableau!$G$20</f>
        <v>4.2039640049755151</v>
      </c>
      <c r="X955" s="101">
        <f>((Tableau!$G$25-P955)/(AD955^2+Tableau!$G$30^2)^(3/2))*Tableau!$G$29</f>
        <v>-0.47669120226336864</v>
      </c>
      <c r="Y955" s="101">
        <f>((Tableau!$H$25-Q955)/(AD955^2+Tableau!$G$30^2)^(3/2))*Tableau!$G$29</f>
        <v>1.2880153980658977</v>
      </c>
      <c r="Z955" s="101">
        <f>((Tableau!$G$35-P955)/(AE955^2+Tableau!$G$40^2)^(3/2))*Tableau!$G$39</f>
        <v>-1.56574136255425</v>
      </c>
      <c r="AA955" s="102">
        <f>((Tableau!$H$35-Q955)/(AE955^2+Tableau!$G$40^2)^(3/2))*Tableau!$G$39</f>
        <v>4.4507152364000468</v>
      </c>
      <c r="AC955" s="113">
        <f>SQRT((Tableau!$G$16-P955)^2+(Tableau!$H$16-Q955)^2)</f>
        <v>347225.99075396353</v>
      </c>
      <c r="AD955" s="114">
        <f>SQRT((Tableau!$G$25-P955)^2+(Tableau!$H$25-Q955)^2)</f>
        <v>361514.97564266418</v>
      </c>
      <c r="AE955" s="115">
        <f>SQRT((Tableau!$G$35-P955)^2+(Tableau!$H$35-Q955)^2)</f>
        <v>332906.47520938894</v>
      </c>
    </row>
    <row r="956" spans="2:31" x14ac:dyDescent="0.25">
      <c r="B956" s="20">
        <v>953</v>
      </c>
      <c r="C956" s="21">
        <f>Tableau!$G$17*COS(B956*PI()/180)+Tableau!$G$16</f>
        <v>16990.924884239754</v>
      </c>
      <c r="D956" s="21">
        <f>Tableau!$G$17*SIN(B956*PI()/180)+Tableau!$H$16</f>
        <v>3506.8224497635397</v>
      </c>
      <c r="F956" s="28">
        <v>953</v>
      </c>
      <c r="G956" s="29">
        <f>Tableau!$G$26*COS(F956*PI()/180)+Tableau!$G$25</f>
        <v>-22106.352581032173</v>
      </c>
      <c r="H956" s="29">
        <f>Tableau!$G$26*SIN(F956*PI()/180)+Tableau!$H$25</f>
        <v>7204.7757148344772</v>
      </c>
      <c r="J956" s="36">
        <v>953</v>
      </c>
      <c r="K956" s="37">
        <f>Tableau!$G$36*COS(J956*PI()/180)+Tableau!$G$35</f>
        <v>-8009.0751157602463</v>
      </c>
      <c r="L956" s="37">
        <f>Tableau!$G$36*SIN(J956*PI()/180)+Tableau!$H$35</f>
        <v>-18993.177550236462</v>
      </c>
      <c r="N956" s="92">
        <v>952</v>
      </c>
      <c r="O956" s="93">
        <v>476</v>
      </c>
      <c r="P956" s="96">
        <f>P955+R955*Tableau!$G$2+((1/2)*T955)*Tableau!$G$2^2</f>
        <v>105781.99391409034</v>
      </c>
      <c r="Q956" s="96">
        <f>Q955+S955*Tableau!$G$2+((1/2)*U955)*Tableau!$G$2^2</f>
        <v>-329328.12211407773</v>
      </c>
      <c r="R956" s="96">
        <f>R955+T955*Tableau!$G$2</f>
        <v>607.2798607374101</v>
      </c>
      <c r="S956" s="96">
        <f>S955+U955*Tableau!$G$2</f>
        <v>-573.06170213712437</v>
      </c>
      <c r="T956" s="96">
        <f t="shared" si="28"/>
        <v>-3.1094557589497951</v>
      </c>
      <c r="U956" s="96">
        <f t="shared" si="29"/>
        <v>9.9197247676950049</v>
      </c>
      <c r="V956" s="96">
        <f>((Tableau!$G$16-P956)/(AC956^2+Tableau!$G$21^2)^(3/2))*Tableau!$G$20</f>
        <v>-1.0682971828158287</v>
      </c>
      <c r="W956" s="96">
        <f>((Tableau!$H$16-Q956)/(AC956^2+Tableau!$G$21^2)^(3/2))*Tableau!$G$20</f>
        <v>4.19473268840059</v>
      </c>
      <c r="X956" s="96">
        <f>((Tableau!$G$25-P956)/(AD956^2+Tableau!$G$30^2)^(3/2))*Tableau!$G$29</f>
        <v>-0.47636103130286306</v>
      </c>
      <c r="Y956" s="96">
        <f>((Tableau!$H$25-Q956)/(AD956^2+Tableau!$G$30^2)^(3/2))*Tableau!$G$29</f>
        <v>1.2851020179464527</v>
      </c>
      <c r="Z956" s="96">
        <f>((Tableau!$G$35-P956)/(AE956^2+Tableau!$G$40^2)^(3/2))*Tableau!$G$39</f>
        <v>-1.5647975448311033</v>
      </c>
      <c r="AA956" s="97">
        <f>((Tableau!$H$35-Q956)/(AE956^2+Tableau!$G$40^2)^(3/2))*Tableau!$G$39</f>
        <v>4.4398900613479615</v>
      </c>
      <c r="AC956" s="110">
        <f>SQRT((Tableau!$G$16-P956)^2+(Tableau!$H$16-Q956)^2)</f>
        <v>347579.82439545175</v>
      </c>
      <c r="AD956" s="111">
        <f>SQRT((Tableau!$G$25-P956)^2+(Tableau!$H$25-Q956)^2)</f>
        <v>361890.4315541801</v>
      </c>
      <c r="AE956" s="112">
        <f>SQRT((Tableau!$G$35-P956)^2+(Tableau!$H$35-Q956)^2)</f>
        <v>333278.89001156989</v>
      </c>
    </row>
    <row r="957" spans="2:31" x14ac:dyDescent="0.25">
      <c r="B957" s="18">
        <v>954</v>
      </c>
      <c r="C957" s="19">
        <f>Tableau!$G$17*COS(B957*PI()/180)+Tableau!$G$16</f>
        <v>17061.073738537638</v>
      </c>
      <c r="D957" s="19">
        <f>Tableau!$G$17*SIN(B957*PI()/180)+Tableau!$H$16</f>
        <v>3454.9150281252596</v>
      </c>
      <c r="F957" s="26">
        <v>954</v>
      </c>
      <c r="G957" s="27">
        <f>Tableau!$G$26*COS(F957*PI()/180)+Tableau!$G$25</f>
        <v>-22057.248383023652</v>
      </c>
      <c r="H957" s="27">
        <f>Tableau!$G$26*SIN(F957*PI()/180)+Tableau!$H$25</f>
        <v>7168.4405196876814</v>
      </c>
      <c r="J957" s="34">
        <v>954</v>
      </c>
      <c r="K957" s="35">
        <f>Tableau!$G$36*COS(J957*PI()/180)+Tableau!$G$35</f>
        <v>-7938.9262614623613</v>
      </c>
      <c r="L957" s="35">
        <f>Tableau!$G$36*SIN(J957*PI()/180)+Tableau!$H$35</f>
        <v>-19045.084971874741</v>
      </c>
      <c r="N957" s="98">
        <v>953</v>
      </c>
      <c r="O957" s="99">
        <v>476.5</v>
      </c>
      <c r="P957" s="101">
        <f>P956+R956*Tableau!$G$2+((1/2)*T956)*Tableau!$G$2^2</f>
        <v>106085.24516248918</v>
      </c>
      <c r="Q957" s="101">
        <f>Q956+S956*Tableau!$G$2+((1/2)*U956)*Tableau!$G$2^2</f>
        <v>-329613.41299955035</v>
      </c>
      <c r="R957" s="101">
        <f>R956+T956*Tableau!$G$2</f>
        <v>605.72513285793525</v>
      </c>
      <c r="S957" s="101">
        <f>S956+U956*Tableau!$G$2</f>
        <v>-568.10183975327686</v>
      </c>
      <c r="T957" s="101">
        <f t="shared" si="28"/>
        <v>-3.1087407967293865</v>
      </c>
      <c r="U957" s="101">
        <f t="shared" si="29"/>
        <v>9.8969730649699663</v>
      </c>
      <c r="V957" s="101">
        <f>((Tableau!$G$16-P957)/(AC957^2+Tableau!$G$21^2)^(3/2))*Tableau!$G$20</f>
        <v>-1.0688316206114754</v>
      </c>
      <c r="W957" s="101">
        <f>((Tableau!$H$16-Q957)/(AC957^2+Tableau!$G$21^2)^(3/2))*Tableau!$G$20</f>
        <v>4.1855892361816709</v>
      </c>
      <c r="X957" s="101">
        <f>((Tableau!$G$25-P957)/(AD957^2+Tableau!$G$30^2)^(3/2))*Tableau!$G$29</f>
        <v>-0.47603677363952995</v>
      </c>
      <c r="Y957" s="101">
        <f>((Tableau!$H$25-Q957)/(AD957^2+Tableau!$G$30^2)^(3/2))*Tableau!$G$29</f>
        <v>1.2822156407014078</v>
      </c>
      <c r="Z957" s="101">
        <f>((Tableau!$G$35-P957)/(AE957^2+Tableau!$G$40^2)^(3/2))*Tableau!$G$39</f>
        <v>-1.5638724024783812</v>
      </c>
      <c r="AA957" s="102">
        <f>((Tableau!$H$35-Q957)/(AE957^2+Tableau!$G$40^2)^(3/2))*Tableau!$G$39</f>
        <v>4.4291681880868881</v>
      </c>
      <c r="AC957" s="113">
        <f>SQRT((Tableau!$G$16-P957)^2+(Tableau!$H$16-Q957)^2)</f>
        <v>347931.20391665254</v>
      </c>
      <c r="AD957" s="114">
        <f>SQRT((Tableau!$G$25-P957)^2+(Tableau!$H$25-Q957)^2)</f>
        <v>362263.38393065362</v>
      </c>
      <c r="AE957" s="115">
        <f>SQRT((Tableau!$G$35-P957)^2+(Tableau!$H$35-Q957)^2)</f>
        <v>333648.81437229167</v>
      </c>
    </row>
    <row r="958" spans="2:31" x14ac:dyDescent="0.25">
      <c r="B958" s="20">
        <v>955</v>
      </c>
      <c r="C958" s="21">
        <f>Tableau!$G$17*COS(B958*PI()/180)+Tableau!$G$16</f>
        <v>17132.117818244769</v>
      </c>
      <c r="D958" s="21">
        <f>Tableau!$G$17*SIN(B958*PI()/180)+Tableau!$H$16</f>
        <v>3404.2397785550411</v>
      </c>
      <c r="F958" s="28">
        <v>955</v>
      </c>
      <c r="G958" s="29">
        <f>Tableau!$G$26*COS(F958*PI()/180)+Tableau!$G$25</f>
        <v>-22007.517527228661</v>
      </c>
      <c r="H958" s="29">
        <f>Tableau!$G$26*SIN(F958*PI()/180)+Tableau!$H$25</f>
        <v>7132.9678449885287</v>
      </c>
      <c r="J958" s="36">
        <v>955</v>
      </c>
      <c r="K958" s="37">
        <f>Tableau!$G$36*COS(J958*PI()/180)+Tableau!$G$35</f>
        <v>-7867.8821817552307</v>
      </c>
      <c r="L958" s="37">
        <f>Tableau!$G$36*SIN(J958*PI()/180)+Tableau!$H$35</f>
        <v>-19095.760221444958</v>
      </c>
      <c r="N958" s="92">
        <v>954</v>
      </c>
      <c r="O958" s="93">
        <v>477</v>
      </c>
      <c r="P958" s="96">
        <f>P957+R957*Tableau!$G$2+((1/2)*T957)*Tableau!$G$2^2</f>
        <v>106387.71913631857</v>
      </c>
      <c r="Q958" s="96">
        <f>Q957+S957*Tableau!$G$2+((1/2)*U957)*Tableau!$G$2^2</f>
        <v>-329896.22679779388</v>
      </c>
      <c r="R958" s="96">
        <f>R957+T957*Tableau!$G$2</f>
        <v>604.1707624595706</v>
      </c>
      <c r="S958" s="96">
        <f>S957+U957*Tableau!$G$2</f>
        <v>-563.15335322079193</v>
      </c>
      <c r="T958" s="96">
        <f t="shared" si="28"/>
        <v>-3.1080534947644369</v>
      </c>
      <c r="U958" s="96">
        <f t="shared" si="29"/>
        <v>9.8744374653029663</v>
      </c>
      <c r="V958" s="96">
        <f>((Tableau!$G$16-P958)/(AC958^2+Tableau!$G$21^2)^(3/2))*Tableau!$G$20</f>
        <v>-1.0693692398551538</v>
      </c>
      <c r="W958" s="96">
        <f>((Tableau!$H$16-Q958)/(AC958^2+Tableau!$G$21^2)^(3/2))*Tableau!$G$20</f>
        <v>4.1765328473531627</v>
      </c>
      <c r="X958" s="96">
        <f>((Tableau!$G$25-P958)/(AD958^2+Tableau!$G$30^2)^(3/2))*Tableau!$G$29</f>
        <v>-0.47571839813676448</v>
      </c>
      <c r="Y958" s="96">
        <f>((Tableau!$H$25-Q958)/(AD958^2+Tableau!$G$30^2)^(3/2))*Tableau!$G$29</f>
        <v>1.279356013779922</v>
      </c>
      <c r="Z958" s="96">
        <f>((Tableau!$G$35-P958)/(AE958^2+Tableau!$G$40^2)^(3/2))*Tableau!$G$39</f>
        <v>-1.5629658567725186</v>
      </c>
      <c r="AA958" s="97">
        <f>((Tableau!$H$35-Q958)/(AE958^2+Tableau!$G$40^2)^(3/2))*Tableau!$G$39</f>
        <v>4.4185486041698816</v>
      </c>
      <c r="AC958" s="110">
        <f>SQRT((Tableau!$G$16-P958)^2+(Tableau!$H$16-Q958)^2)</f>
        <v>348280.13419511</v>
      </c>
      <c r="AD958" s="111">
        <f>SQRT((Tableau!$G$25-P958)^2+(Tableau!$H$25-Q958)^2)</f>
        <v>362633.83810650971</v>
      </c>
      <c r="AE958" s="112">
        <f>SQRT((Tableau!$G$35-P958)^2+(Tableau!$H$35-Q958)^2)</f>
        <v>334016.25353548146</v>
      </c>
    </row>
    <row r="959" spans="2:31" x14ac:dyDescent="0.25">
      <c r="B959" s="18">
        <v>956</v>
      </c>
      <c r="C959" s="19">
        <f>Tableau!$G$17*COS(B959*PI()/180)+Tableau!$G$16</f>
        <v>17204.035482646261</v>
      </c>
      <c r="D959" s="19">
        <f>Tableau!$G$17*SIN(B959*PI()/180)+Tableau!$H$16</f>
        <v>3354.8121372247942</v>
      </c>
      <c r="F959" s="26">
        <v>956</v>
      </c>
      <c r="G959" s="27">
        <f>Tableau!$G$26*COS(F959*PI()/180)+Tableau!$G$25</f>
        <v>-21957.175162147618</v>
      </c>
      <c r="H959" s="27">
        <f>Tableau!$G$26*SIN(F959*PI()/180)+Tableau!$H$25</f>
        <v>7098.3684960573564</v>
      </c>
      <c r="J959" s="34">
        <v>956</v>
      </c>
      <c r="K959" s="35">
        <f>Tableau!$G$36*COS(J959*PI()/180)+Tableau!$G$35</f>
        <v>-7795.9645173537383</v>
      </c>
      <c r="L959" s="35">
        <f>Tableau!$G$36*SIN(J959*PI()/180)+Tableau!$H$35</f>
        <v>-19145.187862775205</v>
      </c>
      <c r="N959" s="98">
        <v>955</v>
      </c>
      <c r="O959" s="99">
        <v>477.5</v>
      </c>
      <c r="P959" s="101">
        <f>P958+R958*Tableau!$G$2+((1/2)*T958)*Tableau!$G$2^2</f>
        <v>106689.41601086152</v>
      </c>
      <c r="Q959" s="101">
        <f>Q958+S958*Tableau!$G$2+((1/2)*U958)*Tableau!$G$2^2</f>
        <v>-330176.5691697211</v>
      </c>
      <c r="R959" s="101">
        <f>R958+T958*Tableau!$G$2</f>
        <v>602.61673571218842</v>
      </c>
      <c r="S959" s="101">
        <f>S958+U958*Tableau!$G$2</f>
        <v>-558.21613448814048</v>
      </c>
      <c r="T959" s="101">
        <f t="shared" si="28"/>
        <v>-3.107393826912809</v>
      </c>
      <c r="U959" s="101">
        <f t="shared" si="29"/>
        <v>9.8521159329609116</v>
      </c>
      <c r="V959" s="101">
        <f>((Tableau!$G$16-P959)/(AC959^2+Tableau!$G$21^2)^(3/2))*Tableau!$G$20</f>
        <v>-1.0699101224524163</v>
      </c>
      <c r="W959" s="101">
        <f>((Tableau!$H$16-Q959)/(AC959^2+Tableau!$G$21^2)^(3/2))*Tableau!$G$20</f>
        <v>4.1675627325073004</v>
      </c>
      <c r="X959" s="101">
        <f>((Tableau!$G$25-P959)/(AD959^2+Tableau!$G$30^2)^(3/2))*Tableau!$G$29</f>
        <v>-0.47540587417250113</v>
      </c>
      <c r="Y959" s="101">
        <f>((Tableau!$H$25-Q959)/(AD959^2+Tableau!$G$30^2)^(3/2))*Tableau!$G$29</f>
        <v>1.2765228882677033</v>
      </c>
      <c r="Z959" s="101">
        <f>((Tableau!$G$35-P959)/(AE959^2+Tableau!$G$40^2)^(3/2))*Tableau!$G$39</f>
        <v>-1.5620778302878915</v>
      </c>
      <c r="AA959" s="102">
        <f>((Tableau!$H$35-Q959)/(AE959^2+Tableau!$G$40^2)^(3/2))*Tableau!$G$39</f>
        <v>4.4080303121859075</v>
      </c>
      <c r="AC959" s="113">
        <f>SQRT((Tableau!$G$16-P959)^2+(Tableau!$H$16-Q959)^2)</f>
        <v>348626.62006011198</v>
      </c>
      <c r="AD959" s="114">
        <f>SQRT((Tableau!$G$25-P959)^2+(Tableau!$H$25-Q959)^2)</f>
        <v>363001.79936366045</v>
      </c>
      <c r="AE959" s="115">
        <f>SQRT((Tableau!$G$35-P959)^2+(Tableau!$H$35-Q959)^2)</f>
        <v>334381.21269360109</v>
      </c>
    </row>
    <row r="960" spans="2:31" x14ac:dyDescent="0.25">
      <c r="B960" s="20">
        <v>957</v>
      </c>
      <c r="C960" s="21">
        <f>Tableau!$G$17*COS(B960*PI()/180)+Tableau!$G$16</f>
        <v>17276.804824924871</v>
      </c>
      <c r="D960" s="21">
        <f>Tableau!$G$17*SIN(B960*PI()/180)+Tableau!$H$16</f>
        <v>3306.6471602728761</v>
      </c>
      <c r="F960" s="28">
        <v>957</v>
      </c>
      <c r="G960" s="29">
        <f>Tableau!$G$26*COS(F960*PI()/180)+Tableau!$G$25</f>
        <v>-21906.236622552591</v>
      </c>
      <c r="H960" s="29">
        <f>Tableau!$G$26*SIN(F960*PI()/180)+Tableau!$H$25</f>
        <v>7064.6530121910127</v>
      </c>
      <c r="J960" s="36">
        <v>957</v>
      </c>
      <c r="K960" s="37">
        <f>Tableau!$G$36*COS(J960*PI()/180)+Tableau!$G$35</f>
        <v>-7723.1951750751286</v>
      </c>
      <c r="L960" s="37">
        <f>Tableau!$G$36*SIN(J960*PI()/180)+Tableau!$H$35</f>
        <v>-19193.352839727122</v>
      </c>
      <c r="N960" s="92">
        <v>956</v>
      </c>
      <c r="O960" s="93">
        <v>478</v>
      </c>
      <c r="P960" s="96">
        <f>P959+R959*Tableau!$G$2+((1/2)*T959)*Tableau!$G$2^2</f>
        <v>106990.33595448924</v>
      </c>
      <c r="Q960" s="96">
        <f>Q959+S959*Tableau!$G$2+((1/2)*U959)*Tableau!$G$2^2</f>
        <v>-330454.44572247355</v>
      </c>
      <c r="R960" s="96">
        <f>R959+T959*Tableau!$G$2</f>
        <v>601.06303879873201</v>
      </c>
      <c r="S960" s="96">
        <f>S959+U959*Tableau!$G$2</f>
        <v>-553.29007652166001</v>
      </c>
      <c r="T960" s="96">
        <f t="shared" si="28"/>
        <v>-3.106761767642265</v>
      </c>
      <c r="U960" s="96">
        <f t="shared" si="29"/>
        <v>9.8300064619380336</v>
      </c>
      <c r="V960" s="96">
        <f>((Tableau!$G$16-P960)/(AC960^2+Tableau!$G$21^2)^(3/2))*Tableau!$G$20</f>
        <v>-1.0704543491236103</v>
      </c>
      <c r="W960" s="96">
        <f>((Tableau!$H$16-Q960)/(AC960^2+Tableau!$G$21^2)^(3/2))*Tableau!$G$20</f>
        <v>4.1586781136073041</v>
      </c>
      <c r="X960" s="96">
        <f>((Tableau!$G$25-P960)/(AD960^2+Tableau!$G$30^2)^(3/2))*Tableau!$G$29</f>
        <v>-0.47509917163290089</v>
      </c>
      <c r="Y960" s="96">
        <f>((Tableau!$H$25-Q960)/(AD960^2+Tableau!$G$30^2)^(3/2))*Tableau!$G$29</f>
        <v>1.2737160188272387</v>
      </c>
      <c r="Z960" s="96">
        <f>((Tableau!$G$35-P960)/(AE960^2+Tableau!$G$40^2)^(3/2))*Tableau!$G$39</f>
        <v>-1.5612082468857538</v>
      </c>
      <c r="AA960" s="97">
        <f>((Tableau!$H$35-Q960)/(AE960^2+Tableau!$G$40^2)^(3/2))*Tableau!$G$39</f>
        <v>4.3976123295034917</v>
      </c>
      <c r="AC960" s="110">
        <f>SQRT((Tableau!$G$16-P960)^2+(Tableau!$H$16-Q960)^2)</f>
        <v>348970.66629311297</v>
      </c>
      <c r="AD960" s="111">
        <f>SQRT((Tableau!$G$25-P960)^2+(Tableau!$H$25-Q960)^2)</f>
        <v>363367.27293198922</v>
      </c>
      <c r="AE960" s="112">
        <f>SQRT((Tableau!$G$35-P960)^2+(Tableau!$H$35-Q960)^2)</f>
        <v>334743.69698811712</v>
      </c>
    </row>
    <row r="961" spans="2:31" x14ac:dyDescent="0.25">
      <c r="B961" s="18">
        <v>958</v>
      </c>
      <c r="C961" s="19">
        <f>Tableau!$G$17*COS(B961*PI()/180)+Tableau!$G$16</f>
        <v>17350.403678833976</v>
      </c>
      <c r="D961" s="19">
        <f>Tableau!$G$17*SIN(B961*PI()/180)+Tableau!$H$16</f>
        <v>3259.7595192178687</v>
      </c>
      <c r="F961" s="26">
        <v>958</v>
      </c>
      <c r="G961" s="27">
        <f>Tableau!$G$26*COS(F961*PI()/180)+Tableau!$G$25</f>
        <v>-21854.717424816215</v>
      </c>
      <c r="H961" s="27">
        <f>Tableau!$G$26*SIN(F961*PI()/180)+Tableau!$H$25</f>
        <v>7031.831663452509</v>
      </c>
      <c r="J961" s="34">
        <v>958</v>
      </c>
      <c r="K961" s="35">
        <f>Tableau!$G$36*COS(J961*PI()/180)+Tableau!$G$35</f>
        <v>-7649.5963211660237</v>
      </c>
      <c r="L961" s="35">
        <f>Tableau!$G$36*SIN(J961*PI()/180)+Tableau!$H$35</f>
        <v>-19240.240480782129</v>
      </c>
      <c r="N961" s="98">
        <v>957</v>
      </c>
      <c r="O961" s="99">
        <v>478.5</v>
      </c>
      <c r="P961" s="101">
        <f>P960+R960*Tableau!$G$2+((1/2)*T960)*Tableau!$G$2^2</f>
        <v>107290.47912866765</v>
      </c>
      <c r="Q961" s="101">
        <f>Q960+S960*Tableau!$G$2+((1/2)*U960)*Tableau!$G$2^2</f>
        <v>-330729.86200992664</v>
      </c>
      <c r="R961" s="101">
        <f>R960+T960*Tableau!$G$2</f>
        <v>599.50965791491092</v>
      </c>
      <c r="S961" s="101">
        <f>S960+U960*Tableau!$G$2</f>
        <v>-548.37507329069103</v>
      </c>
      <c r="T961" s="101">
        <f t="shared" si="28"/>
        <v>-3.1061572920452774</v>
      </c>
      <c r="U961" s="101">
        <f t="shared" si="29"/>
        <v>9.8081070754634574</v>
      </c>
      <c r="V961" s="101">
        <f>((Tableau!$G$16-P961)/(AC961^2+Tableau!$G$21^2)^(3/2))*Tableau!$G$20</f>
        <v>-1.0710019994357798</v>
      </c>
      <c r="W961" s="101">
        <f>((Tableau!$H$16-Q961)/(AC961^2+Tableau!$G$21^2)^(3/2))*Tableau!$G$20</f>
        <v>4.1498782238045022</v>
      </c>
      <c r="X961" s="101">
        <f>((Tableau!$G$25-P961)/(AD961^2+Tableau!$G$30^2)^(3/2))*Tableau!$G$29</f>
        <v>-0.47479826090608979</v>
      </c>
      <c r="Y961" s="101">
        <f>((Tableau!$H$25-Q961)/(AD961^2+Tableau!$G$30^2)^(3/2))*Tableau!$G$29</f>
        <v>1.2709351636390407</v>
      </c>
      <c r="Z961" s="101">
        <f>((Tableau!$G$35-P961)/(AE961^2+Tableau!$G$40^2)^(3/2))*Tableau!$G$39</f>
        <v>-1.5603570317034074</v>
      </c>
      <c r="AA961" s="102">
        <f>((Tableau!$H$35-Q961)/(AE961^2+Tableau!$G$40^2)^(3/2))*Tableau!$G$39</f>
        <v>4.3872936880199154</v>
      </c>
      <c r="AC961" s="113">
        <f>SQRT((Tableau!$G$16-P961)^2+(Tableau!$H$16-Q961)^2)</f>
        <v>349312.27762815088</v>
      </c>
      <c r="AD961" s="114">
        <f>SQRT((Tableau!$G$25-P961)^2+(Tableau!$H$25-Q961)^2)</f>
        <v>363730.26398982725</v>
      </c>
      <c r="AE961" s="115">
        <f>SQRT((Tableau!$G$35-P961)^2+(Tableau!$H$35-Q961)^2)</f>
        <v>335103.71150996379</v>
      </c>
    </row>
    <row r="962" spans="2:31" x14ac:dyDescent="0.25">
      <c r="B962" s="20">
        <v>959</v>
      </c>
      <c r="C962" s="21">
        <f>Tableau!$G$17*COS(B962*PI()/180)+Tableau!$G$16</f>
        <v>17424.809625449725</v>
      </c>
      <c r="D962" s="21">
        <f>Tableau!$G$17*SIN(B962*PI()/180)+Tableau!$H$16</f>
        <v>3214.1634964894401</v>
      </c>
      <c r="F962" s="28">
        <v>959</v>
      </c>
      <c r="G962" s="29">
        <f>Tableau!$G$26*COS(F962*PI()/180)+Tableau!$G$25</f>
        <v>-21802.633262185191</v>
      </c>
      <c r="H962" s="29">
        <f>Tableau!$G$26*SIN(F962*PI()/180)+Tableau!$H$25</f>
        <v>6999.9144475426083</v>
      </c>
      <c r="J962" s="36">
        <v>959</v>
      </c>
      <c r="K962" s="37">
        <f>Tableau!$G$36*COS(J962*PI()/180)+Tableau!$G$35</f>
        <v>-7575.1903745502741</v>
      </c>
      <c r="L962" s="37">
        <f>Tableau!$G$36*SIN(J962*PI()/180)+Tableau!$H$35</f>
        <v>-19285.83650351056</v>
      </c>
      <c r="N962" s="92">
        <v>958</v>
      </c>
      <c r="O962" s="93">
        <v>479</v>
      </c>
      <c r="P962" s="96">
        <f>P961+R961*Tableau!$G$2+((1/2)*T961)*Tableau!$G$2^2</f>
        <v>107589.84568796361</v>
      </c>
      <c r="Q962" s="96">
        <f>Q961+S961*Tableau!$G$2+((1/2)*U961)*Tableau!$G$2^2</f>
        <v>-331002.82353318756</v>
      </c>
      <c r="R962" s="96">
        <f>R961+T961*Tableau!$G$2</f>
        <v>597.95657926888828</v>
      </c>
      <c r="S962" s="96">
        <f>S961+U961*Tableau!$G$2</f>
        <v>-543.47101975295925</v>
      </c>
      <c r="T962" s="96">
        <f t="shared" si="28"/>
        <v>-3.105580375853414</v>
      </c>
      <c r="U962" s="96">
        <f t="shared" si="29"/>
        <v>9.7864158255188975</v>
      </c>
      <c r="V962" s="96">
        <f>((Tableau!$G$16-P962)/(AC962^2+Tableau!$G$21^2)^(3/2))*Tableau!$G$20</f>
        <v>-1.0715531518338586</v>
      </c>
      <c r="W962" s="96">
        <f>((Tableau!$H$16-Q962)/(AC962^2+Tableau!$G$21^2)^(3/2))*Tableau!$G$20</f>
        <v>4.1411623072592336</v>
      </c>
      <c r="X962" s="96">
        <f>((Tableau!$G$25-P962)/(AD962^2+Tableau!$G$30^2)^(3/2))*Tableau!$G$29</f>
        <v>-0.47450311287608637</v>
      </c>
      <c r="Y962" s="96">
        <f>((Tableau!$H$25-Q962)/(AD962^2+Tableau!$G$30^2)^(3/2))*Tableau!$G$29</f>
        <v>1.2681800843442559</v>
      </c>
      <c r="Z962" s="96">
        <f>((Tableau!$G$35-P962)/(AE962^2+Tableau!$G$40^2)^(3/2))*Tableau!$G$39</f>
        <v>-1.5595241111434688</v>
      </c>
      <c r="AA962" s="97">
        <f>((Tableau!$H$35-Q962)/(AE962^2+Tableau!$G$40^2)^(3/2))*Tableau!$G$39</f>
        <v>4.3770734339154087</v>
      </c>
      <c r="AC962" s="110">
        <f>SQRT((Tableau!$G$16-P962)^2+(Tableau!$H$16-Q962)^2)</f>
        <v>349651.45875225746</v>
      </c>
      <c r="AD962" s="111">
        <f>SQRT((Tableau!$G$25-P962)^2+(Tableau!$H$25-Q962)^2)</f>
        <v>364090.77766442345</v>
      </c>
      <c r="AE962" s="112">
        <f>SQRT((Tableau!$G$35-P962)^2+(Tableau!$H$35-Q962)^2)</f>
        <v>335461.2612999992</v>
      </c>
    </row>
    <row r="963" spans="2:31" x14ac:dyDescent="0.25">
      <c r="B963" s="18">
        <v>960</v>
      </c>
      <c r="C963" s="19">
        <f>Tableau!$G$17*COS(B963*PI()/180)+Tableau!$G$16</f>
        <v>17499.999999999993</v>
      </c>
      <c r="D963" s="19">
        <f>Tableau!$G$17*SIN(B963*PI()/180)+Tableau!$H$16</f>
        <v>3169.8729810778113</v>
      </c>
      <c r="F963" s="26">
        <v>960</v>
      </c>
      <c r="G963" s="27">
        <f>Tableau!$G$26*COS(F963*PI()/180)+Tableau!$G$25</f>
        <v>-21750.000000000007</v>
      </c>
      <c r="H963" s="27">
        <f>Tableau!$G$26*SIN(F963*PI()/180)+Tableau!$H$25</f>
        <v>6968.9110867544678</v>
      </c>
      <c r="J963" s="34">
        <v>960</v>
      </c>
      <c r="K963" s="35">
        <f>Tableau!$G$36*COS(J963*PI()/180)+Tableau!$G$35</f>
        <v>-7500.0000000000073</v>
      </c>
      <c r="L963" s="35">
        <f>Tableau!$G$36*SIN(J963*PI()/180)+Tableau!$H$35</f>
        <v>-19330.12701892219</v>
      </c>
      <c r="N963" s="98">
        <v>959</v>
      </c>
      <c r="O963" s="99">
        <v>479.5</v>
      </c>
      <c r="P963" s="101">
        <f>P962+R962*Tableau!$G$2+((1/2)*T962)*Tableau!$G$2^2</f>
        <v>107888.43578005106</v>
      </c>
      <c r="Q963" s="101">
        <f>Q962+S962*Tableau!$G$2+((1/2)*U962)*Tableau!$G$2^2</f>
        <v>-331273.33574108582</v>
      </c>
      <c r="R963" s="101">
        <f>R962+T962*Tableau!$G$2</f>
        <v>596.40378908096159</v>
      </c>
      <c r="S963" s="101">
        <f>S962+U962*Tableau!$G$2</f>
        <v>-538.57781184019984</v>
      </c>
      <c r="T963" s="101">
        <f t="shared" si="28"/>
        <v>-3.1050309954511461</v>
      </c>
      <c r="U963" s="101">
        <f t="shared" si="29"/>
        <v>9.7649307923656998</v>
      </c>
      <c r="V963" s="101">
        <f>((Tableau!$G$16-P963)/(AC963^2+Tableau!$G$21^2)^(3/2))*Tableau!$G$20</f>
        <v>-1.0721078836710749</v>
      </c>
      <c r="W963" s="101">
        <f>((Tableau!$H$16-Q963)/(AC963^2+Tableau!$G$21^2)^(3/2))*Tableau!$G$20</f>
        <v>4.1325296189650196</v>
      </c>
      <c r="X963" s="101">
        <f>((Tableau!$G$25-P963)/(AD963^2+Tableau!$G$30^2)^(3/2))*Tableau!$G$29</f>
        <v>-0.47421369891680099</v>
      </c>
      <c r="Y963" s="101">
        <f>((Tableau!$H$25-Q963)/(AD963^2+Tableau!$G$30^2)^(3/2))*Tableau!$G$29</f>
        <v>1.2654505459883025</v>
      </c>
      <c r="Z963" s="101">
        <f>((Tableau!$G$35-P963)/(AE963^2+Tableau!$G$40^2)^(3/2))*Tableau!$G$39</f>
        <v>-1.5587094128632701</v>
      </c>
      <c r="AA963" s="102">
        <f>((Tableau!$H$35-Q963)/(AE963^2+Tableau!$G$40^2)^(3/2))*Tableau!$G$39</f>
        <v>4.3669506274123773</v>
      </c>
      <c r="AC963" s="113">
        <f>SQRT((Tableau!$G$16-P963)^2+(Tableau!$H$16-Q963)^2)</f>
        <v>349988.2143058629</v>
      </c>
      <c r="AD963" s="114">
        <f>SQRT((Tableau!$G$25-P963)^2+(Tableau!$H$25-Q963)^2)</f>
        <v>364448.81903240696</v>
      </c>
      <c r="AE963" s="115">
        <f>SQRT((Tableau!$G$35-P963)^2+(Tableau!$H$35-Q963)^2)</f>
        <v>335816.35134945455</v>
      </c>
    </row>
    <row r="964" spans="2:31" x14ac:dyDescent="0.25">
      <c r="B964" s="20">
        <v>961</v>
      </c>
      <c r="C964" s="21">
        <f>Tableau!$G$17*COS(B964*PI()/180)+Tableau!$G$16</f>
        <v>17575.951898768319</v>
      </c>
      <c r="D964" s="21">
        <f>Tableau!$G$17*SIN(B964*PI()/180)+Tableau!$H$16</f>
        <v>3126.9014643030196</v>
      </c>
      <c r="F964" s="28">
        <v>961</v>
      </c>
      <c r="G964" s="29">
        <f>Tableau!$G$26*COS(F964*PI()/180)+Tableau!$G$25</f>
        <v>-21696.833670862179</v>
      </c>
      <c r="H964" s="29">
        <f>Tableau!$G$26*SIN(F964*PI()/180)+Tableau!$H$25</f>
        <v>6938.831025012114</v>
      </c>
      <c r="J964" s="36">
        <v>961</v>
      </c>
      <c r="K964" s="37">
        <f>Tableau!$G$36*COS(J964*PI()/180)+Tableau!$G$35</f>
        <v>-7424.0481012316832</v>
      </c>
      <c r="L964" s="37">
        <f>Tableau!$G$36*SIN(J964*PI()/180)+Tableau!$H$35</f>
        <v>-19373.09853569698</v>
      </c>
      <c r="N964" s="92">
        <v>960</v>
      </c>
      <c r="O964" s="93">
        <v>480</v>
      </c>
      <c r="P964" s="96">
        <f>P963+R963*Tableau!$G$2+((1/2)*T963)*Tableau!$G$2^2</f>
        <v>108186.24954571712</v>
      </c>
      <c r="Q964" s="96">
        <f>Q963+S963*Tableau!$G$2+((1/2)*U963)*Tableau!$G$2^2</f>
        <v>-331541.40403065691</v>
      </c>
      <c r="R964" s="96">
        <f>R963+T963*Tableau!$G$2</f>
        <v>594.85127358323598</v>
      </c>
      <c r="S964" s="96">
        <f>S963+U963*Tableau!$G$2</f>
        <v>-533.69534644401699</v>
      </c>
      <c r="T964" s="96">
        <f t="shared" ref="T964:T1004" si="30">V964+X964+Z964</f>
        <v>-3.1045091278895125</v>
      </c>
      <c r="U964" s="96">
        <f t="shared" ref="U964:U1004" si="31">W964+Y964+AA964</f>
        <v>9.7436500840823506</v>
      </c>
      <c r="V964" s="96">
        <f>((Tableau!$G$16-P964)/(AC964^2+Tableau!$G$21^2)^(3/2))*Tableau!$G$20</f>
        <v>-1.07266627123875</v>
      </c>
      <c r="W964" s="96">
        <f>((Tableau!$H$16-Q964)/(AC964^2+Tableau!$G$21^2)^(3/2))*Tableau!$G$20</f>
        <v>4.1239794245766035</v>
      </c>
      <c r="X964" s="96">
        <f>((Tableau!$G$25-P964)/(AD964^2+Tableau!$G$30^2)^(3/2))*Tableau!$G$29</f>
        <v>-0.47392999088617493</v>
      </c>
      <c r="Y964" s="96">
        <f>((Tableau!$H$25-Q964)/(AD964^2+Tableau!$G$30^2)^(3/2))*Tableau!$G$29</f>
        <v>1.2627463169657016</v>
      </c>
      <c r="Z964" s="96">
        <f>((Tableau!$G$35-P964)/(AE964^2+Tableau!$G$40^2)^(3/2))*Tableau!$G$39</f>
        <v>-1.5579128657645878</v>
      </c>
      <c r="AA964" s="97">
        <f>((Tableau!$H$35-Q964)/(AE964^2+Tableau!$G$40^2)^(3/2))*Tableau!$G$39</f>
        <v>4.3569243425400446</v>
      </c>
      <c r="AC964" s="110">
        <f>SQRT((Tableau!$G$16-P964)^2+(Tableau!$H$16-Q964)^2)</f>
        <v>350322.54888319509</v>
      </c>
      <c r="AD964" s="111">
        <f>SQRT((Tableau!$G$25-P964)^2+(Tableau!$H$25-Q964)^2)</f>
        <v>364804.39312024368</v>
      </c>
      <c r="AE964" s="112">
        <f>SQRT((Tableau!$G$35-P964)^2+(Tableau!$H$35-Q964)^2)</f>
        <v>336168.98660037771</v>
      </c>
    </row>
    <row r="965" spans="2:31" x14ac:dyDescent="0.25">
      <c r="B965" s="18">
        <v>962</v>
      </c>
      <c r="C965" s="19">
        <f>Tableau!$G$17*COS(B965*PI()/180)+Tableau!$G$16</f>
        <v>17652.642186070545</v>
      </c>
      <c r="D965" s="19">
        <f>Tableau!$G$17*SIN(B965*PI()/180)+Tableau!$H$16</f>
        <v>3085.2620357053665</v>
      </c>
      <c r="F965" s="26">
        <v>962</v>
      </c>
      <c r="G965" s="27">
        <f>Tableau!$G$26*COS(F965*PI()/180)+Tableau!$G$25</f>
        <v>-21643.150469750621</v>
      </c>
      <c r="H965" s="27">
        <f>Tableau!$G$26*SIN(F965*PI()/180)+Tableau!$H$25</f>
        <v>6909.6834249937565</v>
      </c>
      <c r="J965" s="34">
        <v>962</v>
      </c>
      <c r="K965" s="35">
        <f>Tableau!$G$36*COS(J965*PI()/180)+Tableau!$G$35</f>
        <v>-7347.3578139294559</v>
      </c>
      <c r="L965" s="35">
        <f>Tableau!$G$36*SIN(J965*PI()/180)+Tableau!$H$35</f>
        <v>-19414.737964294633</v>
      </c>
      <c r="N965" s="98">
        <v>961</v>
      </c>
      <c r="O965" s="99">
        <v>480.5</v>
      </c>
      <c r="P965" s="101">
        <f>P964+R964*Tableau!$G$2+((1/2)*T964)*Tableau!$G$2^2</f>
        <v>108483.28711886775</v>
      </c>
      <c r="Q965" s="101">
        <f>Q964+S964*Tableau!$G$2+((1/2)*U964)*Tableau!$G$2^2</f>
        <v>-331807.03374761844</v>
      </c>
      <c r="R965" s="101">
        <f>R964+T964*Tableau!$G$2</f>
        <v>593.29901901929122</v>
      </c>
      <c r="S965" s="101">
        <f>S964+U964*Tableau!$G$2</f>
        <v>-528.82352140197577</v>
      </c>
      <c r="T965" s="101">
        <f t="shared" si="30"/>
        <v>-3.1040147508990561</v>
      </c>
      <c r="U965" s="101">
        <f t="shared" si="31"/>
        <v>9.7225718361102942</v>
      </c>
      <c r="V965" s="101">
        <f>((Tableau!$G$16-P965)/(AC965^2+Tableau!$G$21^2)^(3/2))*Tableau!$G$20</f>
        <v>-1.0732283897953099</v>
      </c>
      <c r="W965" s="101">
        <f>((Tableau!$H$16-Q965)/(AC965^2+Tableau!$G$21^2)^(3/2))*Tableau!$G$20</f>
        <v>4.1155110002409589</v>
      </c>
      <c r="X965" s="101">
        <f>((Tableau!$G$25-P965)/(AD965^2+Tableau!$G$30^2)^(3/2))*Tableau!$G$29</f>
        <v>-0.47365196112043434</v>
      </c>
      <c r="Y965" s="101">
        <f>((Tableau!$H$25-Q965)/(AD965^2+Tableau!$G$30^2)^(3/2))*Tableau!$G$29</f>
        <v>1.2600671689660041</v>
      </c>
      <c r="Z965" s="101">
        <f>((Tableau!$G$35-P965)/(AE965^2+Tableau!$G$40^2)^(3/2))*Tableau!$G$39</f>
        <v>-1.5571343999833116</v>
      </c>
      <c r="AA965" s="102">
        <f>((Tableau!$H$35-Q965)/(AE965^2+Tableau!$G$40^2)^(3/2))*Tableau!$G$39</f>
        <v>4.3469936669033311</v>
      </c>
      <c r="AC965" s="113">
        <f>SQRT((Tableau!$G$16-P965)^2+(Tableau!$H$16-Q965)^2)</f>
        <v>350654.46703267231</v>
      </c>
      <c r="AD965" s="114">
        <f>SQRT((Tableau!$G$25-P965)^2+(Tableau!$H$25-Q965)^2)</f>
        <v>365157.5049046849</v>
      </c>
      <c r="AE965" s="115">
        <f>SQRT((Tableau!$G$35-P965)^2+(Tableau!$H$35-Q965)^2)</f>
        <v>336519.17194606911</v>
      </c>
    </row>
    <row r="966" spans="2:31" x14ac:dyDescent="0.25">
      <c r="B966" s="20">
        <v>963</v>
      </c>
      <c r="C966" s="21">
        <f>Tableau!$G$17*COS(B966*PI()/180)+Tableau!$G$16</f>
        <v>17730.047501302259</v>
      </c>
      <c r="D966" s="21">
        <f>Tableau!$G$17*SIN(B966*PI()/180)+Tableau!$H$16</f>
        <v>3044.9673790581646</v>
      </c>
      <c r="F966" s="28">
        <v>963</v>
      </c>
      <c r="G966" s="29">
        <f>Tableau!$G$26*COS(F966*PI()/180)+Tableau!$G$25</f>
        <v>-21588.96674908842</v>
      </c>
      <c r="H966" s="29">
        <f>Tableau!$G$26*SIN(F966*PI()/180)+Tableau!$H$25</f>
        <v>6881.4771653407151</v>
      </c>
      <c r="J966" s="36">
        <v>963</v>
      </c>
      <c r="K966" s="37">
        <f>Tableau!$G$36*COS(J966*PI()/180)+Tableau!$G$35</f>
        <v>-7269.9524986977412</v>
      </c>
      <c r="L966" s="37">
        <f>Tableau!$G$36*SIN(J966*PI()/180)+Tableau!$H$35</f>
        <v>-19455.032620941834</v>
      </c>
      <c r="N966" s="92">
        <v>962</v>
      </c>
      <c r="O966" s="93">
        <v>481</v>
      </c>
      <c r="P966" s="96">
        <f>P965+R965*Tableau!$G$2+((1/2)*T965)*Tableau!$G$2^2</f>
        <v>108779.54862653353</v>
      </c>
      <c r="Q966" s="96">
        <f>Q965+S965*Tableau!$G$2+((1/2)*U965)*Tableau!$G$2^2</f>
        <v>-332070.23018683988</v>
      </c>
      <c r="R966" s="96">
        <f>R965+T965*Tableau!$G$2</f>
        <v>591.74701164384169</v>
      </c>
      <c r="S966" s="96">
        <f>S965+U965*Tableau!$G$2</f>
        <v>-523.96223548392061</v>
      </c>
      <c r="T966" s="96">
        <f t="shared" si="30"/>
        <v>-3.1035478429027021</v>
      </c>
      <c r="U966" s="96">
        <f t="shared" si="31"/>
        <v>9.7016942108099862</v>
      </c>
      <c r="V966" s="96">
        <f>((Tableau!$G$16-P966)/(AC966^2+Tableau!$G$21^2)^(3/2))*Tableau!$G$20</f>
        <v>-1.0737943135947534</v>
      </c>
      <c r="W966" s="96">
        <f>((Tableau!$H$16-Q966)/(AC966^2+Tableau!$G$21^2)^(3/2))*Tableau!$G$20</f>
        <v>4.1071236324320939</v>
      </c>
      <c r="X966" s="96">
        <f>((Tableau!$G$25-P966)/(AD966^2+Tableau!$G$30^2)^(3/2))*Tableau!$G$29</f>
        <v>-0.4733795824284619</v>
      </c>
      <c r="Y966" s="96">
        <f>((Tableau!$H$25-Q966)/(AD966^2+Tableau!$G$30^2)^(3/2))*Tableau!$G$29</f>
        <v>1.2574128769208195</v>
      </c>
      <c r="Z966" s="96">
        <f>((Tableau!$G$35-P966)/(AE966^2+Tableau!$G$40^2)^(3/2))*Tableau!$G$39</f>
        <v>-1.5563739468794868</v>
      </c>
      <c r="AA966" s="97">
        <f>((Tableau!$H$35-Q966)/(AE966^2+Tableau!$G$40^2)^(3/2))*Tableau!$G$39</f>
        <v>4.3371577014570724</v>
      </c>
      <c r="AC966" s="110">
        <f>SQRT((Tableau!$G$16-P966)^2+(Tableau!$H$16-Q966)^2)</f>
        <v>350983.97325729055</v>
      </c>
      <c r="AD966" s="111">
        <f>SQRT((Tableau!$G$25-P966)^2+(Tableau!$H$25-Q966)^2)</f>
        <v>365508.15931321058</v>
      </c>
      <c r="AE966" s="112">
        <f>SQRT((Tableau!$G$35-P966)^2+(Tableau!$H$35-Q966)^2)</f>
        <v>336866.91223151219</v>
      </c>
    </row>
    <row r="967" spans="2:31" x14ac:dyDescent="0.25">
      <c r="B967" s="18">
        <v>964</v>
      </c>
      <c r="C967" s="19">
        <f>Tableau!$G$17*COS(B967*PI()/180)+Tableau!$G$16</f>
        <v>17808.144266054616</v>
      </c>
      <c r="D967" s="19">
        <f>Tableau!$G$17*SIN(B967*PI()/180)+Tableau!$H$16</f>
        <v>3006.0297685041633</v>
      </c>
      <c r="F967" s="26">
        <v>964</v>
      </c>
      <c r="G967" s="27">
        <f>Tableau!$G$26*COS(F967*PI()/180)+Tableau!$G$25</f>
        <v>-21534.299013761767</v>
      </c>
      <c r="H967" s="27">
        <f>Tableau!$G$26*SIN(F967*PI()/180)+Tableau!$H$25</f>
        <v>6854.2208379529147</v>
      </c>
      <c r="J967" s="34">
        <v>964</v>
      </c>
      <c r="K967" s="35">
        <f>Tableau!$G$36*COS(J967*PI()/180)+Tableau!$G$35</f>
        <v>-7191.8557339453828</v>
      </c>
      <c r="L967" s="35">
        <f>Tableau!$G$36*SIN(J967*PI()/180)+Tableau!$H$35</f>
        <v>-19493.970231495838</v>
      </c>
      <c r="N967" s="98">
        <v>963</v>
      </c>
      <c r="O967" s="99">
        <v>481.5</v>
      </c>
      <c r="P967" s="101">
        <f>P966+R966*Tableau!$G$2+((1/2)*T966)*Tableau!$G$2^2</f>
        <v>109075.03418887508</v>
      </c>
      <c r="Q967" s="101">
        <f>Q966+S966*Tableau!$G$2+((1/2)*U966)*Tableau!$G$2^2</f>
        <v>-332330.99859280547</v>
      </c>
      <c r="R967" s="101">
        <f>R966+T966*Tableau!$G$2</f>
        <v>590.19523772239029</v>
      </c>
      <c r="S967" s="101">
        <f>S966+U966*Tableau!$G$2</f>
        <v>-519.11138837851558</v>
      </c>
      <c r="T967" s="101">
        <f t="shared" si="30"/>
        <v>-3.1031083830280499</v>
      </c>
      <c r="U967" s="101">
        <f t="shared" si="31"/>
        <v>9.6810153970251811</v>
      </c>
      <c r="V967" s="101">
        <f>((Tableau!$G$16-P967)/(AC967^2+Tableau!$G$21^2)^(3/2))*Tableau!$G$20</f>
        <v>-1.0743641159144286</v>
      </c>
      <c r="W967" s="101">
        <f>((Tableau!$H$16-Q967)/(AC967^2+Tableau!$G$21^2)^(3/2))*Tableau!$G$20</f>
        <v>4.0988166177889136</v>
      </c>
      <c r="X967" s="101">
        <f>((Tableau!$G$25-P967)/(AD967^2+Tableau!$G$30^2)^(3/2))*Tableau!$G$29</f>
        <v>-0.47311282808625277</v>
      </c>
      <c r="Y967" s="101">
        <f>((Tableau!$H$25-Q967)/(AD967^2+Tableau!$G$30^2)^(3/2))*Tableau!$G$29</f>
        <v>1.2547832189518224</v>
      </c>
      <c r="Z967" s="101">
        <f>((Tableau!$G$35-P967)/(AE967^2+Tableau!$G$40^2)^(3/2))*Tableau!$G$39</f>
        <v>-1.5556314390273689</v>
      </c>
      <c r="AA967" s="102">
        <f>((Tableau!$H$35-Q967)/(AE967^2+Tableau!$G$40^2)^(3/2))*Tableau!$G$39</f>
        <v>4.327415560284444</v>
      </c>
      <c r="AC967" s="113">
        <f>SQRT((Tableau!$G$16-P967)^2+(Tableau!$H$16-Q967)^2)</f>
        <v>351311.0720150058</v>
      </c>
      <c r="AD967" s="114">
        <f>SQRT((Tableau!$G$25-P967)^2+(Tableau!$H$25-Q967)^2)</f>
        <v>365856.3612244656</v>
      </c>
      <c r="AE967" s="115">
        <f>SQRT((Tableau!$G$35-P967)^2+(Tableau!$H$35-Q967)^2)</f>
        <v>337212.21225379745</v>
      </c>
    </row>
    <row r="968" spans="2:31" x14ac:dyDescent="0.25">
      <c r="B968" s="20">
        <v>965</v>
      </c>
      <c r="C968" s="21">
        <f>Tableau!$G$17*COS(B968*PI()/180)+Tableau!$G$16</f>
        <v>17886.908691296503</v>
      </c>
      <c r="D968" s="21">
        <f>Tableau!$G$17*SIN(B968*PI()/180)+Tableau!$H$16</f>
        <v>2968.46106481675</v>
      </c>
      <c r="F968" s="28">
        <v>965</v>
      </c>
      <c r="G968" s="29">
        <f>Tableau!$G$26*COS(F968*PI()/180)+Tableau!$G$25</f>
        <v>-21479.16391609245</v>
      </c>
      <c r="H968" s="29">
        <f>Tableau!$G$26*SIN(F968*PI()/180)+Tableau!$H$25</f>
        <v>6827.9227453717249</v>
      </c>
      <c r="J968" s="36">
        <v>965</v>
      </c>
      <c r="K968" s="37">
        <f>Tableau!$G$36*COS(J968*PI()/180)+Tableau!$G$35</f>
        <v>-7113.0913087034978</v>
      </c>
      <c r="L968" s="37">
        <f>Tableau!$G$36*SIN(J968*PI()/180)+Tableau!$H$35</f>
        <v>-19531.538935183249</v>
      </c>
      <c r="N968" s="92">
        <v>964</v>
      </c>
      <c r="O968" s="93">
        <v>482</v>
      </c>
      <c r="P968" s="96">
        <f>P967+R967*Tableau!$G$2+((1/2)*T967)*Tableau!$G$2^2</f>
        <v>109369.7439191884</v>
      </c>
      <c r="Q968" s="96">
        <f>Q967+S967*Tableau!$G$2+((1/2)*U967)*Tableau!$G$2^2</f>
        <v>-332589.34416007012</v>
      </c>
      <c r="R968" s="96">
        <f>R967+T967*Tableau!$G$2</f>
        <v>588.64368353087627</v>
      </c>
      <c r="S968" s="96">
        <f>S967+U967*Tableau!$G$2</f>
        <v>-514.27088068000296</v>
      </c>
      <c r="T968" s="96">
        <f t="shared" si="30"/>
        <v>-3.1026963511193664</v>
      </c>
      <c r="U968" s="96">
        <f t="shared" si="31"/>
        <v>9.6605336096561274</v>
      </c>
      <c r="V968" s="96">
        <f>((Tableau!$G$16-P968)/(AC968^2+Tableau!$G$21^2)^(3/2))*Tableau!$G$20</f>
        <v>-1.0749378690821521</v>
      </c>
      <c r="W968" s="96">
        <f>((Tableau!$H$16-Q968)/(AC968^2+Tableau!$G$21^2)^(3/2))*Tableau!$G$20</f>
        <v>4.0905892629561453</v>
      </c>
      <c r="X968" s="96">
        <f>((Tableau!$G$25-P968)/(AD968^2+Tableau!$G$30^2)^(3/2))*Tableau!$G$29</f>
        <v>-0.4728516718315105</v>
      </c>
      <c r="Y968" s="96">
        <f>((Tableau!$H$25-Q968)/(AD968^2+Tableau!$G$30^2)^(3/2))*Tableau!$G$29</f>
        <v>1.2521779763198759</v>
      </c>
      <c r="Z968" s="96">
        <f>((Tableau!$G$35-P968)/(AE968^2+Tableau!$G$40^2)^(3/2))*Tableau!$G$39</f>
        <v>-1.554906810205704</v>
      </c>
      <c r="AA968" s="97">
        <f>((Tableau!$H$35-Q968)/(AE968^2+Tableau!$G$40^2)^(3/2))*Tableau!$G$39</f>
        <v>4.317766370380105</v>
      </c>
      <c r="AC968" s="110">
        <f>SQRT((Tableau!$G$16-P968)^2+(Tableau!$H$16-Q968)^2)</f>
        <v>351635.76771911007</v>
      </c>
      <c r="AD968" s="111">
        <f>SQRT((Tableau!$G$25-P968)^2+(Tableau!$H$25-Q968)^2)</f>
        <v>366202.11546868947</v>
      </c>
      <c r="AE968" s="112">
        <f>SQRT((Tableau!$G$35-P968)^2+(Tableau!$H$35-Q968)^2)</f>
        <v>337555.07676253992</v>
      </c>
    </row>
    <row r="969" spans="2:31" x14ac:dyDescent="0.25">
      <c r="B969" s="18">
        <v>966</v>
      </c>
      <c r="C969" s="19">
        <f>Tableau!$G$17*COS(B969*PI()/180)+Tableau!$G$16</f>
        <v>17966.316784620994</v>
      </c>
      <c r="D969" s="19">
        <f>Tableau!$G$17*SIN(B969*PI()/180)+Tableau!$H$16</f>
        <v>2932.2727117869981</v>
      </c>
      <c r="F969" s="26">
        <v>966</v>
      </c>
      <c r="G969" s="27">
        <f>Tableau!$G$26*COS(F969*PI()/180)+Tableau!$G$25</f>
        <v>-21423.578250765306</v>
      </c>
      <c r="H969" s="27">
        <f>Tableau!$G$26*SIN(F969*PI()/180)+Tableau!$H$25</f>
        <v>6802.590898250899</v>
      </c>
      <c r="J969" s="34">
        <v>966</v>
      </c>
      <c r="K969" s="35">
        <f>Tableau!$G$36*COS(J969*PI()/180)+Tableau!$G$35</f>
        <v>-7033.6832153790074</v>
      </c>
      <c r="L969" s="35">
        <f>Tableau!$G$36*SIN(J969*PI()/180)+Tableau!$H$35</f>
        <v>-19567.727288213002</v>
      </c>
      <c r="N969" s="98">
        <v>965</v>
      </c>
      <c r="O969" s="99">
        <v>482.5</v>
      </c>
      <c r="P969" s="101">
        <f>P968+R968*Tableau!$G$2+((1/2)*T968)*Tableau!$G$2^2</f>
        <v>109663.67792390996</v>
      </c>
      <c r="Q969" s="101">
        <f>Q968+S968*Tableau!$G$2+((1/2)*U968)*Tableau!$G$2^2</f>
        <v>-332845.27203370887</v>
      </c>
      <c r="R969" s="101">
        <f>R968+T968*Tableau!$G$2</f>
        <v>587.09233535531655</v>
      </c>
      <c r="S969" s="101">
        <f>S968+U968*Tableau!$G$2</f>
        <v>-509.4406138751749</v>
      </c>
      <c r="T969" s="101">
        <f t="shared" si="30"/>
        <v>-3.1023117277493348</v>
      </c>
      <c r="U969" s="101">
        <f t="shared" si="31"/>
        <v>9.6402470892416545</v>
      </c>
      <c r="V969" s="101">
        <f>((Tableau!$G$16-P969)/(AC969^2+Tableau!$G$21^2)^(3/2))*Tableau!$G$20</f>
        <v>-1.0755156445028116</v>
      </c>
      <c r="W969" s="101">
        <f>((Tableau!$H$16-Q969)/(AC969^2+Tableau!$G$21^2)^(3/2))*Tableau!$G$20</f>
        <v>4.0824408844287232</v>
      </c>
      <c r="X969" s="101">
        <f>((Tableau!$G$25-P969)/(AD969^2+Tableau!$G$30^2)^(3/2))*Tableau!$G$29</f>
        <v>-0.47259608785835161</v>
      </c>
      <c r="Y969" s="101">
        <f>((Tableau!$H$25-Q969)/(AD969^2+Tableau!$G$30^2)^(3/2))*Tableau!$G$29</f>
        <v>1.2495969333751664</v>
      </c>
      <c r="Z969" s="101">
        <f>((Tableau!$G$35-P969)/(AE969^2+Tableau!$G$40^2)^(3/2))*Tableau!$G$39</f>
        <v>-1.5541999953881718</v>
      </c>
      <c r="AA969" s="102">
        <f>((Tableau!$H$35-Q969)/(AE969^2+Tableau!$G$40^2)^(3/2))*Tableau!$G$39</f>
        <v>4.3082092714377636</v>
      </c>
      <c r="AC969" s="113">
        <f>SQRT((Tableau!$G$16-P969)^2+(Tableau!$H$16-Q969)^2)</f>
        <v>351958.06473860197</v>
      </c>
      <c r="AD969" s="114">
        <f>SQRT((Tableau!$G$25-P969)^2+(Tableau!$H$25-Q969)^2)</f>
        <v>366545.42682813993</v>
      </c>
      <c r="AE969" s="115">
        <f>SQRT((Tableau!$G$35-P969)^2+(Tableau!$H$35-Q969)^2)</f>
        <v>337895.51046029088</v>
      </c>
    </row>
    <row r="970" spans="2:31" x14ac:dyDescent="0.25">
      <c r="B970" s="20">
        <v>967</v>
      </c>
      <c r="C970" s="21">
        <f>Tableau!$G$17*COS(B970*PI()/180)+Tableau!$G$16</f>
        <v>18046.344357553622</v>
      </c>
      <c r="D970" s="21">
        <f>Tableau!$G$17*SIN(B970*PI()/180)+Tableau!$H$16</f>
        <v>2897.4757327378029</v>
      </c>
      <c r="F970" s="28">
        <v>967</v>
      </c>
      <c r="G970" s="29">
        <f>Tableau!$G$26*COS(F970*PI()/180)+Tableau!$G$25</f>
        <v>-21367.558949712467</v>
      </c>
      <c r="H970" s="29">
        <f>Tableau!$G$26*SIN(F970*PI()/180)+Tableau!$H$25</f>
        <v>6778.233012916462</v>
      </c>
      <c r="J970" s="36">
        <v>967</v>
      </c>
      <c r="K970" s="37">
        <f>Tableau!$G$36*COS(J970*PI()/180)+Tableau!$G$35</f>
        <v>-6953.6556424463797</v>
      </c>
      <c r="L970" s="37">
        <f>Tableau!$G$36*SIN(J970*PI()/180)+Tableau!$H$35</f>
        <v>-19602.524267262197</v>
      </c>
      <c r="N970" s="92">
        <v>966</v>
      </c>
      <c r="O970" s="93">
        <v>483</v>
      </c>
      <c r="P970" s="96">
        <f>P969+R969*Tableau!$G$2+((1/2)*T969)*Tableau!$G$2^2</f>
        <v>109956.83630262165</v>
      </c>
      <c r="Q970" s="96">
        <f>Q969+S969*Tableau!$G$2+((1/2)*U969)*Tableau!$G$2^2</f>
        <v>-333098.78730976029</v>
      </c>
      <c r="R970" s="96">
        <f>R969+T969*Tableau!$G$2</f>
        <v>585.54117949144188</v>
      </c>
      <c r="S970" s="96">
        <f>S969+U969*Tableau!$G$2</f>
        <v>-504.62049033055405</v>
      </c>
      <c r="T970" s="96">
        <f t="shared" si="30"/>
        <v>-3.1019544942303554</v>
      </c>
      <c r="U970" s="96">
        <f t="shared" si="31"/>
        <v>9.6201541015491863</v>
      </c>
      <c r="V970" s="96">
        <f>((Tableau!$G$16-P970)/(AC970^2+Tableau!$G$21^2)^(3/2))*Tableau!$G$20</f>
        <v>-1.0760975126842902</v>
      </c>
      <c r="W970" s="96">
        <f>((Tableau!$H$16-Q970)/(AC970^2+Tableau!$G$21^2)^(3/2))*Tableau!$G$20</f>
        <v>4.0743708083988848</v>
      </c>
      <c r="X970" s="96">
        <f>((Tableau!$G$25-P970)/(AD970^2+Tableau!$G$30^2)^(3/2))*Tableau!$G$29</f>
        <v>-0.47234605081208075</v>
      </c>
      <c r="Y970" s="96">
        <f>((Tableau!$H$25-Q970)/(AD970^2+Tableau!$G$30^2)^(3/2))*Tableau!$G$29</f>
        <v>1.2470398775082372</v>
      </c>
      <c r="Z970" s="96">
        <f>((Tableau!$G$35-P970)/(AE970^2+Tableau!$G$40^2)^(3/2))*Tableau!$G$39</f>
        <v>-1.5535109307339847</v>
      </c>
      <c r="AA970" s="97">
        <f>((Tableau!$H$35-Q970)/(AE970^2+Tableau!$G$40^2)^(3/2))*Tableau!$G$39</f>
        <v>4.2987434156420647</v>
      </c>
      <c r="AC970" s="110">
        <f>SQRT((Tableau!$G$16-P970)^2+(Tableau!$H$16-Q970)^2)</f>
        <v>352277.96739855304</v>
      </c>
      <c r="AD970" s="111">
        <f>SQRT((Tableau!$G$25-P970)^2+(Tableau!$H$25-Q970)^2)</f>
        <v>366886.30003751098</v>
      </c>
      <c r="AE970" s="112">
        <f>SQRT((Tableau!$G$35-P970)^2+(Tableau!$H$35-Q970)^2)</f>
        <v>338233.51800294401</v>
      </c>
    </row>
    <row r="971" spans="2:31" x14ac:dyDescent="0.25">
      <c r="B971" s="18">
        <v>968</v>
      </c>
      <c r="C971" s="19">
        <f>Tableau!$G$17*COS(B971*PI()/180)+Tableau!$G$16</f>
        <v>18126.967032920442</v>
      </c>
      <c r="D971" s="19">
        <f>Tableau!$G$17*SIN(B971*PI()/180)+Tableau!$H$16</f>
        <v>2864.0807271660633</v>
      </c>
      <c r="F971" s="26">
        <v>968</v>
      </c>
      <c r="G971" s="27">
        <f>Tableau!$G$26*COS(F971*PI()/180)+Tableau!$G$25</f>
        <v>-21311.123076955693</v>
      </c>
      <c r="H971" s="27">
        <f>Tableau!$G$26*SIN(F971*PI()/180)+Tableau!$H$25</f>
        <v>6754.8565090162447</v>
      </c>
      <c r="J971" s="34">
        <v>968</v>
      </c>
      <c r="K971" s="35">
        <f>Tableau!$G$36*COS(J971*PI()/180)+Tableau!$G$35</f>
        <v>-6873.03296707956</v>
      </c>
      <c r="L971" s="35">
        <f>Tableau!$G$36*SIN(J971*PI()/180)+Tableau!$H$35</f>
        <v>-19635.919272833937</v>
      </c>
      <c r="N971" s="98">
        <v>967</v>
      </c>
      <c r="O971" s="99">
        <v>483.5</v>
      </c>
      <c r="P971" s="101">
        <f>P970+R970*Tableau!$G$2+((1/2)*T970)*Tableau!$G$2^2</f>
        <v>110249.21914805559</v>
      </c>
      <c r="Q971" s="101">
        <f>Q970+S970*Tableau!$G$2+((1/2)*U970)*Tableau!$G$2^2</f>
        <v>-333349.89503566286</v>
      </c>
      <c r="R971" s="101">
        <f>R970+T970*Tableau!$G$2</f>
        <v>583.99020224432672</v>
      </c>
      <c r="S971" s="101">
        <f>S970+U970*Tableau!$G$2</f>
        <v>-499.81041327977948</v>
      </c>
      <c r="T971" s="101">
        <f t="shared" si="30"/>
        <v>-3.1016246326255956</v>
      </c>
      <c r="U971" s="101">
        <f t="shared" si="31"/>
        <v>9.6002529371731686</v>
      </c>
      <c r="V971" s="101">
        <f>((Tableau!$G$16-P971)/(AC971^2+Tableau!$G$21^2)^(3/2))*Tableau!$G$20</f>
        <v>-1.0766835432628916</v>
      </c>
      <c r="W971" s="101">
        <f>((Tableau!$H$16-Q971)/(AC971^2+Tableau!$G$21^2)^(3/2))*Tableau!$G$20</f>
        <v>4.0663783706065333</v>
      </c>
      <c r="X971" s="101">
        <f>((Tableau!$G$25-P971)/(AD971^2+Tableau!$G$30^2)^(3/2))*Tableau!$G$29</f>
        <v>-0.47210153578410502</v>
      </c>
      <c r="Y971" s="101">
        <f>((Tableau!$H$25-Q971)/(AD971^2+Tableau!$G$30^2)^(3/2))*Tableau!$G$29</f>
        <v>1.2445065991020763</v>
      </c>
      <c r="Z971" s="101">
        <f>((Tableau!$G$35-P971)/(AE971^2+Tableau!$G$40^2)^(3/2))*Tableau!$G$39</f>
        <v>-1.552839553578599</v>
      </c>
      <c r="AA971" s="102">
        <f>((Tableau!$H$35-Q971)/(AE971^2+Tableau!$G$40^2)^(3/2))*Tableau!$G$39</f>
        <v>4.2893679674645586</v>
      </c>
      <c r="AC971" s="113">
        <f>SQRT((Tableau!$G$16-P971)^2+(Tableau!$H$16-Q971)^2)</f>
        <v>352595.47998046735</v>
      </c>
      <c r="AD971" s="114">
        <f>SQRT((Tableau!$G$25-P971)^2+(Tableau!$H$25-Q971)^2)</f>
        <v>367224.73978434363</v>
      </c>
      <c r="AE971" s="115">
        <f>SQRT((Tableau!$G$35-P971)^2+(Tableau!$H$35-Q971)^2)</f>
        <v>338569.1040001348</v>
      </c>
    </row>
    <row r="972" spans="2:31" x14ac:dyDescent="0.25">
      <c r="B972" s="20">
        <v>969</v>
      </c>
      <c r="C972" s="21">
        <f>Tableau!$G$17*COS(B972*PI()/180)+Tableau!$G$16</f>
        <v>18208.160252273494</v>
      </c>
      <c r="D972" s="21">
        <f>Tableau!$G$17*SIN(B972*PI()/180)+Tableau!$H$16</f>
        <v>2832.0978675139932</v>
      </c>
      <c r="F972" s="28">
        <v>969</v>
      </c>
      <c r="G972" s="29">
        <f>Tableau!$G$26*COS(F972*PI()/180)+Tableau!$G$25</f>
        <v>-21254.287823408555</v>
      </c>
      <c r="H972" s="29">
        <f>Tableau!$G$26*SIN(F972*PI()/180)+Tableau!$H$25</f>
        <v>6732.4685072597949</v>
      </c>
      <c r="J972" s="36">
        <v>969</v>
      </c>
      <c r="K972" s="37">
        <f>Tableau!$G$36*COS(J972*PI()/180)+Tableau!$G$35</f>
        <v>-6791.8397477265062</v>
      </c>
      <c r="L972" s="37">
        <f>Tableau!$G$36*SIN(J972*PI()/180)+Tableau!$H$35</f>
        <v>-19667.902132486008</v>
      </c>
      <c r="N972" s="92">
        <v>968</v>
      </c>
      <c r="O972" s="93">
        <v>484</v>
      </c>
      <c r="P972" s="96">
        <f>P971+R971*Tableau!$G$2+((1/2)*T971)*Tableau!$G$2^2</f>
        <v>110540.82654609867</v>
      </c>
      <c r="Q972" s="96">
        <f>Q971+S971*Tableau!$G$2+((1/2)*U971)*Tableau!$G$2^2</f>
        <v>-333598.60021068563</v>
      </c>
      <c r="R972" s="96">
        <f>R971+T971*Tableau!$G$2</f>
        <v>582.43938992801395</v>
      </c>
      <c r="S972" s="96">
        <f>S971+U971*Tableau!$G$2</f>
        <v>-495.01028681119288</v>
      </c>
      <c r="T972" s="96">
        <f t="shared" si="30"/>
        <v>-3.1013221257597214</v>
      </c>
      <c r="U972" s="96">
        <f t="shared" si="31"/>
        <v>9.5805419111413741</v>
      </c>
      <c r="V972" s="96">
        <f>((Tableau!$G$16-P972)/(AC972^2+Tableau!$G$21^2)^(3/2))*Tableau!$G$20</f>
        <v>-1.0772738050281605</v>
      </c>
      <c r="W972" s="96">
        <f>((Tableau!$H$16-Q972)/(AC972^2+Tableau!$G$21^2)^(3/2))*Tableau!$G$20</f>
        <v>4.0584629161923429</v>
      </c>
      <c r="X972" s="96">
        <f>((Tableau!$G$25-P972)/(AD972^2+Tableau!$G$30^2)^(3/2))*Tableau!$G$29</f>
        <v>-0.47186251830692516</v>
      </c>
      <c r="Y972" s="96">
        <f>((Tableau!$H$25-Q972)/(AD972^2+Tableau!$G$30^2)^(3/2))*Tableau!$G$29</f>
        <v>1.2419968914850872</v>
      </c>
      <c r="Z972" s="96">
        <f>((Tableau!$G$35-P972)/(AE972^2+Tableau!$G$40^2)^(3/2))*Tableau!$G$39</f>
        <v>-1.5521858024246356</v>
      </c>
      <c r="AA972" s="97">
        <f>((Tableau!$H$35-Q972)/(AE972^2+Tableau!$G$40^2)^(3/2))*Tableau!$G$39</f>
        <v>4.2800821034639442</v>
      </c>
      <c r="AC972" s="110">
        <f>SQRT((Tableau!$G$16-P972)^2+(Tableau!$H$16-Q972)^2)</f>
        <v>352910.60672263714</v>
      </c>
      <c r="AD972" s="111">
        <f>SQRT((Tableau!$G$25-P972)^2+(Tableau!$H$25-Q972)^2)</f>
        <v>367560.75070943194</v>
      </c>
      <c r="AE972" s="112">
        <f>SQRT((Tableau!$G$35-P972)^2+(Tableau!$H$35-Q972)^2)</f>
        <v>338902.27301563491</v>
      </c>
    </row>
    <row r="973" spans="2:31" x14ac:dyDescent="0.25">
      <c r="B973" s="18">
        <v>970</v>
      </c>
      <c r="C973" s="19">
        <f>Tableau!$G$17*COS(B973*PI()/180)+Tableau!$G$16</f>
        <v>18289.899283371647</v>
      </c>
      <c r="D973" s="19">
        <f>Tableau!$G$17*SIN(B973*PI()/180)+Tableau!$H$16</f>
        <v>2801.5368960704618</v>
      </c>
      <c r="F973" s="26">
        <v>970</v>
      </c>
      <c r="G973" s="27">
        <f>Tableau!$G$26*COS(F973*PI()/180)+Tableau!$G$25</f>
        <v>-21197.070501639846</v>
      </c>
      <c r="H973" s="27">
        <f>Tableau!$G$26*SIN(F973*PI()/180)+Tableau!$H$25</f>
        <v>6711.0758272493231</v>
      </c>
      <c r="J973" s="34">
        <v>970</v>
      </c>
      <c r="K973" s="35">
        <f>Tableau!$G$36*COS(J973*PI()/180)+Tableau!$G$35</f>
        <v>-6710.1007166283534</v>
      </c>
      <c r="L973" s="35">
        <f>Tableau!$G$36*SIN(J973*PI()/180)+Tableau!$H$35</f>
        <v>-19698.463103929538</v>
      </c>
      <c r="N973" s="98">
        <v>969</v>
      </c>
      <c r="O973" s="99">
        <v>484.5</v>
      </c>
      <c r="P973" s="101">
        <f>P972+R972*Tableau!$G$2+((1/2)*T972)*Tableau!$G$2^2</f>
        <v>110831.65857579696</v>
      </c>
      <c r="Q973" s="101">
        <f>Q972+S972*Tableau!$G$2+((1/2)*U972)*Tableau!$G$2^2</f>
        <v>-333844.90778635233</v>
      </c>
      <c r="R973" s="101">
        <f>R972+T972*Tableau!$G$2</f>
        <v>580.88872886513411</v>
      </c>
      <c r="S973" s="101">
        <f>S972+U972*Tableau!$G$2</f>
        <v>-490.22001585562219</v>
      </c>
      <c r="T973" s="101">
        <f t="shared" si="30"/>
        <v>-3.1010469572293915</v>
      </c>
      <c r="U973" s="101">
        <f t="shared" si="31"/>
        <v>9.5610193625291835</v>
      </c>
      <c r="V973" s="101">
        <f>((Tableau!$G$16-P973)/(AC973^2+Tableau!$G$21^2)^(3/2))*Tableau!$G$20</f>
        <v>-1.0778683659471704</v>
      </c>
      <c r="W973" s="101">
        <f>((Tableau!$H$16-Q973)/(AC973^2+Tableau!$G$21^2)^(3/2))*Tableau!$G$20</f>
        <v>4.050623799553744</v>
      </c>
      <c r="X973" s="101">
        <f>((Tableau!$G$25-P973)/(AD973^2+Tableau!$G$30^2)^(3/2))*Tableau!$G$29</f>
        <v>-0.47162897434925199</v>
      </c>
      <c r="Y973" s="101">
        <f>((Tableau!$H$25-Q973)/(AD973^2+Tableau!$G$30^2)^(3/2))*Tableau!$G$29</f>
        <v>1.239510550885047</v>
      </c>
      <c r="Z973" s="101">
        <f>((Tableau!$G$35-P973)/(AE973^2+Tableau!$G$40^2)^(3/2))*Tableau!$G$39</f>
        <v>-1.5515496169329692</v>
      </c>
      <c r="AA973" s="102">
        <f>((Tableau!$H$35-Q973)/(AE973^2+Tableau!$G$40^2)^(3/2))*Tableau!$G$39</f>
        <v>4.2708850120903934</v>
      </c>
      <c r="AC973" s="113">
        <f>SQRT((Tableau!$G$16-P973)^2+(Tableau!$H$16-Q973)^2)</f>
        <v>353223.35182049265</v>
      </c>
      <c r="AD973" s="114">
        <f>SQRT((Tableau!$G$25-P973)^2+(Tableau!$H$25-Q973)^2)</f>
        <v>367894.33740722219</v>
      </c>
      <c r="AE973" s="115">
        <f>SQRT((Tableau!$G$35-P973)^2+(Tableau!$H$35-Q973)^2)</f>
        <v>339233.02956774051</v>
      </c>
    </row>
    <row r="974" spans="2:31" x14ac:dyDescent="0.25">
      <c r="B974" s="20">
        <v>971</v>
      </c>
      <c r="C974" s="21">
        <f>Tableau!$G$17*COS(B974*PI()/180)+Tableau!$G$16</f>
        <v>18372.159227714219</v>
      </c>
      <c r="D974" s="21">
        <f>Tableau!$G$17*SIN(B974*PI()/180)+Tableau!$H$16</f>
        <v>2772.4071220034148</v>
      </c>
      <c r="F974" s="28">
        <v>971</v>
      </c>
      <c r="G974" s="29">
        <f>Tableau!$G$26*COS(F974*PI()/180)+Tableau!$G$25</f>
        <v>-21139.488540600047</v>
      </c>
      <c r="H974" s="29">
        <f>Tableau!$G$26*SIN(F974*PI()/180)+Tableau!$H$25</f>
        <v>6690.6849854023912</v>
      </c>
      <c r="J974" s="36">
        <v>971</v>
      </c>
      <c r="K974" s="37">
        <f>Tableau!$G$36*COS(J974*PI()/180)+Tableau!$G$35</f>
        <v>-6627.840772285781</v>
      </c>
      <c r="L974" s="37">
        <f>Tableau!$G$36*SIN(J974*PI()/180)+Tableau!$H$35</f>
        <v>-19727.592877996583</v>
      </c>
      <c r="N974" s="92">
        <v>970</v>
      </c>
      <c r="O974" s="93">
        <v>485</v>
      </c>
      <c r="P974" s="96">
        <f>P973+R973*Tableau!$G$2+((1/2)*T973)*Tableau!$G$2^2</f>
        <v>111121.71530935988</v>
      </c>
      <c r="Q974" s="96">
        <f>Q973+S973*Tableau!$G$2+((1/2)*U973)*Tableau!$G$2^2</f>
        <v>-334088.82266685984</v>
      </c>
      <c r="R974" s="96">
        <f>R973+T973*Tableau!$G$2</f>
        <v>579.33820538651946</v>
      </c>
      <c r="S974" s="96">
        <f>S973+U973*Tableau!$G$2</f>
        <v>-485.43950617435758</v>
      </c>
      <c r="T974" s="96">
        <f t="shared" si="30"/>
        <v>-3.1007991114134166</v>
      </c>
      <c r="U974" s="96">
        <f t="shared" si="31"/>
        <v>9.5416836540813605</v>
      </c>
      <c r="V974" s="96">
        <f>((Tableau!$G$16-P974)/(AC974^2+Tableau!$G$21^2)^(3/2))*Tableau!$G$20</f>
        <v>-1.078467293188329</v>
      </c>
      <c r="W974" s="96">
        <f>((Tableau!$H$16-Q974)/(AC974^2+Tableau!$G$21^2)^(3/2))*Tableau!$G$20</f>
        <v>4.0428603842038937</v>
      </c>
      <c r="X974" s="96">
        <f>((Tableau!$G$25-P974)/(AD974^2+Tableau!$G$30^2)^(3/2))*Tableau!$G$29</f>
        <v>-0.47140088031118732</v>
      </c>
      <c r="Y974" s="96">
        <f>((Tableau!$H$25-Q974)/(AD974^2+Tableau!$G$30^2)^(3/2))*Tableau!$G$29</f>
        <v>1.2370473763838805</v>
      </c>
      <c r="Z974" s="96">
        <f>((Tableau!$G$35-P974)/(AE974^2+Tableau!$G$40^2)^(3/2))*Tableau!$G$39</f>
        <v>-1.5509309379139002</v>
      </c>
      <c r="AA974" s="97">
        <f>((Tableau!$H$35-Q974)/(AE974^2+Tableau!$G$40^2)^(3/2))*Tableau!$G$39</f>
        <v>4.2617758934935868</v>
      </c>
      <c r="AC974" s="110">
        <f>SQRT((Tableau!$G$16-P974)^2+(Tableau!$H$16-Q974)^2)</f>
        <v>353533.71942694724</v>
      </c>
      <c r="AD974" s="111">
        <f>SQRT((Tableau!$G$25-P974)^2+(Tableau!$H$25-Q974)^2)</f>
        <v>368225.50442620693</v>
      </c>
      <c r="AE974" s="112">
        <f>SQRT((Tableau!$G$35-P974)^2+(Tableau!$H$35-Q974)^2)</f>
        <v>339561.37812965532</v>
      </c>
    </row>
    <row r="975" spans="2:31" x14ac:dyDescent="0.25">
      <c r="B975" s="18">
        <v>972</v>
      </c>
      <c r="C975" s="19">
        <f>Tableau!$G$17*COS(B975*PI()/180)+Tableau!$G$16</f>
        <v>18454.915028125259</v>
      </c>
      <c r="D975" s="19">
        <f>Tableau!$G$17*SIN(B975*PI()/180)+Tableau!$H$16</f>
        <v>2744.7174185242329</v>
      </c>
      <c r="F975" s="26">
        <v>972</v>
      </c>
      <c r="G975" s="27">
        <f>Tableau!$G$26*COS(F975*PI()/180)+Tableau!$G$25</f>
        <v>-21081.559480312317</v>
      </c>
      <c r="H975" s="27">
        <f>Tableau!$G$26*SIN(F975*PI()/180)+Tableau!$H$25</f>
        <v>6671.302192966963</v>
      </c>
      <c r="J975" s="34">
        <v>972</v>
      </c>
      <c r="K975" s="35">
        <f>Tableau!$G$36*COS(J975*PI()/180)+Tableau!$G$35</f>
        <v>-6545.0849718747404</v>
      </c>
      <c r="L975" s="35">
        <f>Tableau!$G$36*SIN(J975*PI()/180)+Tableau!$H$35</f>
        <v>-19755.282581475767</v>
      </c>
      <c r="N975" s="98">
        <v>971</v>
      </c>
      <c r="O975" s="99">
        <v>485.5</v>
      </c>
      <c r="P975" s="101">
        <f>P974+R974*Tableau!$G$2+((1/2)*T974)*Tableau!$G$2^2</f>
        <v>111410.9968121642</v>
      </c>
      <c r="Q975" s="101">
        <f>Q974+S974*Tableau!$G$2+((1/2)*U974)*Tableau!$G$2^2</f>
        <v>-334330.34970949026</v>
      </c>
      <c r="R975" s="101">
        <f>R974+T974*Tableau!$G$2</f>
        <v>577.78780583081277</v>
      </c>
      <c r="S975" s="101">
        <f>S974+U974*Tableau!$G$2</f>
        <v>-480.66866434731691</v>
      </c>
      <c r="T975" s="101">
        <f t="shared" si="30"/>
        <v>-3.100578573482685</v>
      </c>
      <c r="U975" s="101">
        <f t="shared" si="31"/>
        <v>9.5225331718413226</v>
      </c>
      <c r="V975" s="101">
        <f>((Tableau!$G$16-P975)/(AC975^2+Tableau!$G$21^2)^(3/2))*Tableau!$G$20</f>
        <v>-1.0790706531446175</v>
      </c>
      <c r="W975" s="101">
        <f>((Tableau!$H$16-Q975)/(AC975^2+Tableau!$G$21^2)^(3/2))*Tableau!$G$20</f>
        <v>4.0351720426331461</v>
      </c>
      <c r="X975" s="101">
        <f>((Tableau!$G$25-P975)/(AD975^2+Tableau!$G$30^2)^(3/2))*Tableau!$G$29</f>
        <v>-0.47117821301953283</v>
      </c>
      <c r="Y975" s="101">
        <f>((Tableau!$H$25-Q975)/(AD975^2+Tableau!$G$30^2)^(3/2))*Tableau!$G$29</f>
        <v>1.2346071698734</v>
      </c>
      <c r="Z975" s="101">
        <f>((Tableau!$G$35-P975)/(AE975^2+Tableau!$G$40^2)^(3/2))*Tableau!$G$39</f>
        <v>-1.5503297073185347</v>
      </c>
      <c r="AA975" s="102">
        <f>((Tableau!$H$35-Q975)/(AE975^2+Tableau!$G$40^2)^(3/2))*Tableau!$G$39</f>
        <v>4.2527539593347763</v>
      </c>
      <c r="AC975" s="113">
        <f>SQRT((Tableau!$G$16-P975)^2+(Tableau!$H$16-Q975)^2)</f>
        <v>353841.71365273756</v>
      </c>
      <c r="AD975" s="114">
        <f>SQRT((Tableau!$G$25-P975)^2+(Tableau!$H$25-Q975)^2)</f>
        <v>368554.25626931305</v>
      </c>
      <c r="AE975" s="115">
        <f>SQRT((Tableau!$G$35-P975)^2+(Tableau!$H$35-Q975)^2)</f>
        <v>339887.32312986761</v>
      </c>
    </row>
    <row r="976" spans="2:31" x14ac:dyDescent="0.25">
      <c r="B976" s="20">
        <v>973</v>
      </c>
      <c r="C976" s="21">
        <f>Tableau!$G$17*COS(B976*PI()/180)+Tableau!$G$16</f>
        <v>18538.141476386307</v>
      </c>
      <c r="D976" s="21">
        <f>Tableau!$G$17*SIN(B976*PI()/180)+Tableau!$H$16</f>
        <v>2718.4762201848253</v>
      </c>
      <c r="F976" s="28">
        <v>973</v>
      </c>
      <c r="G976" s="29">
        <f>Tableau!$G$26*COS(F976*PI()/180)+Tableau!$G$25</f>
        <v>-21023.300966529583</v>
      </c>
      <c r="H976" s="29">
        <f>Tableau!$G$26*SIN(F976*PI()/180)+Tableau!$H$25</f>
        <v>6652.9333541293781</v>
      </c>
      <c r="J976" s="36">
        <v>973</v>
      </c>
      <c r="K976" s="37">
        <f>Tableau!$G$36*COS(J976*PI()/180)+Tableau!$G$35</f>
        <v>-6461.8585236136914</v>
      </c>
      <c r="L976" s="37">
        <f>Tableau!$G$36*SIN(J976*PI()/180)+Tableau!$H$35</f>
        <v>-19781.523779815176</v>
      </c>
      <c r="N976" s="92">
        <v>972</v>
      </c>
      <c r="O976" s="93">
        <v>486</v>
      </c>
      <c r="P976" s="96">
        <f>P975+R975*Tableau!$G$2+((1/2)*T975)*Tableau!$G$2^2</f>
        <v>111699.50314275792</v>
      </c>
      <c r="Q976" s="96">
        <f>Q975+S975*Tableau!$G$2+((1/2)*U975)*Tableau!$G$2^2</f>
        <v>-334569.49372501741</v>
      </c>
      <c r="R976" s="96">
        <f>R975+T975*Tableau!$G$2</f>
        <v>576.23751654407147</v>
      </c>
      <c r="S976" s="96">
        <f>S975+U975*Tableau!$G$2</f>
        <v>-475.90739776139623</v>
      </c>
      <c r="T976" s="96">
        <f t="shared" si="30"/>
        <v>-3.100385329409828</v>
      </c>
      <c r="U976" s="96">
        <f t="shared" si="31"/>
        <v>9.5035663247876823</v>
      </c>
      <c r="V976" s="96">
        <f>((Tableau!$G$16-P976)/(AC976^2+Tableau!$G$21^2)^(3/2))*Tableau!$G$20</f>
        <v>-1.0796785114563188</v>
      </c>
      <c r="W976" s="96">
        <f>((Tableau!$H$16-Q976)/(AC976^2+Tableau!$G$21^2)^(3/2))*Tableau!$G$20</f>
        <v>4.0275581561731864</v>
      </c>
      <c r="X976" s="96">
        <f>((Tableau!$G$25-P976)/(AD976^2+Tableau!$G$30^2)^(3/2))*Tableau!$G$29</f>
        <v>-0.47096094972316671</v>
      </c>
      <c r="Y976" s="96">
        <f>((Tableau!$H$25-Q976)/(AD976^2+Tableau!$G$30^2)^(3/2))*Tableau!$G$29</f>
        <v>1.2321897360118366</v>
      </c>
      <c r="Z976" s="96">
        <f>((Tableau!$G$35-P976)/(AE976^2+Tableau!$G$40^2)^(3/2))*Tableau!$G$39</f>
        <v>-1.5497458682303424</v>
      </c>
      <c r="AA976" s="97">
        <f>((Tableau!$H$35-Q976)/(AE976^2+Tableau!$G$40^2)^(3/2))*Tableau!$G$39</f>
        <v>4.2438184326026596</v>
      </c>
      <c r="AC976" s="110">
        <f>SQRT((Tableau!$G$16-P976)^2+(Tableau!$H$16-Q976)^2)</f>
        <v>354147.33856675867</v>
      </c>
      <c r="AD976" s="111">
        <f>SQRT((Tableau!$G$25-P976)^2+(Tableau!$H$25-Q976)^2)</f>
        <v>368880.59739428438</v>
      </c>
      <c r="AE976" s="112">
        <f>SQRT((Tableau!$G$35-P976)^2+(Tableau!$H$35-Q976)^2)</f>
        <v>340210.86895252264</v>
      </c>
    </row>
    <row r="977" spans="2:31" x14ac:dyDescent="0.25">
      <c r="B977" s="18">
        <v>974</v>
      </c>
      <c r="C977" s="19">
        <f>Tableau!$G$17*COS(B977*PI()/180)+Tableau!$G$16</f>
        <v>18621.813220914992</v>
      </c>
      <c r="D977" s="19">
        <f>Tableau!$G$17*SIN(B977*PI()/180)+Tableau!$H$16</f>
        <v>2693.6915203084091</v>
      </c>
      <c r="F977" s="26">
        <v>974</v>
      </c>
      <c r="G977" s="27">
        <f>Tableau!$G$26*COS(F977*PI()/180)+Tableau!$G$25</f>
        <v>-20964.730745359506</v>
      </c>
      <c r="H977" s="27">
        <f>Tableau!$G$26*SIN(F977*PI()/180)+Tableau!$H$25</f>
        <v>6635.5840642158864</v>
      </c>
      <c r="J977" s="34">
        <v>974</v>
      </c>
      <c r="K977" s="35">
        <f>Tableau!$G$36*COS(J977*PI()/180)+Tableau!$G$35</f>
        <v>-6378.1867790850092</v>
      </c>
      <c r="L977" s="35">
        <f>Tableau!$G$36*SIN(J977*PI()/180)+Tableau!$H$35</f>
        <v>-19806.30847969159</v>
      </c>
      <c r="N977" s="98">
        <v>973</v>
      </c>
      <c r="O977" s="99">
        <v>486.5</v>
      </c>
      <c r="P977" s="101">
        <f>P976+R976*Tableau!$G$2+((1/2)*T976)*Tableau!$G$2^2</f>
        <v>111987.23435286377</v>
      </c>
      <c r="Q977" s="101">
        <f>Q976+S976*Tableau!$G$2+((1/2)*U976)*Tableau!$G$2^2</f>
        <v>-334806.2594781075</v>
      </c>
      <c r="R977" s="101">
        <f>R976+T976*Tableau!$G$2</f>
        <v>574.68732387936655</v>
      </c>
      <c r="S977" s="101">
        <f>S976+U976*Tableau!$G$2</f>
        <v>-471.15561459900238</v>
      </c>
      <c r="T977" s="101">
        <f t="shared" si="30"/>
        <v>-3.1002193659786546</v>
      </c>
      <c r="U977" s="101">
        <f t="shared" si="31"/>
        <v>9.4847815444780714</v>
      </c>
      <c r="V977" s="101">
        <f>((Tableau!$G$16-P977)/(AC977^2+Tableau!$G$21^2)^(3/2))*Tableau!$G$20</f>
        <v>-1.0802909330333761</v>
      </c>
      <c r="W977" s="101">
        <f>((Tableau!$H$16-Q977)/(AC977^2+Tableau!$G$21^2)^(3/2))*Tableau!$G$20</f>
        <v>4.0200181148641878</v>
      </c>
      <c r="X977" s="101">
        <f>((Tableau!$G$25-P977)/(AD977^2+Tableau!$G$30^2)^(3/2))*Tableau!$G$29</f>
        <v>-0.47074906808853534</v>
      </c>
      <c r="Y977" s="101">
        <f>((Tableau!$H$25-Q977)/(AD977^2+Tableau!$G$30^2)^(3/2))*Tableau!$G$29</f>
        <v>1.2297948821812779</v>
      </c>
      <c r="Z977" s="101">
        <f>((Tableau!$G$35-P977)/(AE977^2+Tableau!$G$40^2)^(3/2))*Tableau!$G$39</f>
        <v>-1.5491793648567431</v>
      </c>
      <c r="AA977" s="102">
        <f>((Tableau!$H$35-Q977)/(AE977^2+Tableau!$G$40^2)^(3/2))*Tableau!$G$39</f>
        <v>4.2349685474326062</v>
      </c>
      <c r="AC977" s="113">
        <f>SQRT((Tableau!$G$16-P977)^2+(Tableau!$H$16-Q977)^2)</f>
        <v>354450.59819639486</v>
      </c>
      <c r="AD977" s="114">
        <f>SQRT((Tableau!$G$25-P977)^2+(Tableau!$H$25-Q977)^2)</f>
        <v>369204.5322140585</v>
      </c>
      <c r="AE977" s="115">
        <f>SQRT((Tableau!$G$35-P977)^2+(Tableau!$H$35-Q977)^2)</f>
        <v>340532.01993778866</v>
      </c>
    </row>
    <row r="978" spans="2:31" x14ac:dyDescent="0.25">
      <c r="B978" s="20">
        <v>975</v>
      </c>
      <c r="C978" s="21">
        <f>Tableau!$G$17*COS(B978*PI()/180)+Tableau!$G$16</f>
        <v>18705.904774487393</v>
      </c>
      <c r="D978" s="21">
        <f>Tableau!$G$17*SIN(B978*PI()/180)+Tableau!$H$16</f>
        <v>2670.370868554659</v>
      </c>
      <c r="F978" s="28">
        <v>975</v>
      </c>
      <c r="G978" s="29">
        <f>Tableau!$G$26*COS(F978*PI()/180)+Tableau!$G$25</f>
        <v>-20905.866657858824</v>
      </c>
      <c r="H978" s="29">
        <f>Tableau!$G$26*SIN(F978*PI()/180)+Tableau!$H$25</f>
        <v>6619.2596079882615</v>
      </c>
      <c r="J978" s="36">
        <v>975</v>
      </c>
      <c r="K978" s="37">
        <f>Tableau!$G$36*COS(J978*PI()/180)+Tableau!$G$35</f>
        <v>-6294.0952255126058</v>
      </c>
      <c r="L978" s="37">
        <f>Tableau!$G$36*SIN(J978*PI()/180)+Tableau!$H$35</f>
        <v>-19829.629131445341</v>
      </c>
      <c r="N978" s="92">
        <v>974</v>
      </c>
      <c r="O978" s="93">
        <v>487</v>
      </c>
      <c r="P978" s="96">
        <f>P977+R977*Tableau!$G$2+((1/2)*T977)*Tableau!$G$2^2</f>
        <v>112274.1904873827</v>
      </c>
      <c r="Q978" s="96">
        <f>Q977+S977*Tableau!$G$2+((1/2)*U977)*Tableau!$G$2^2</f>
        <v>-335040.65168771392</v>
      </c>
      <c r="R978" s="96">
        <f>R977+T977*Tableau!$G$2</f>
        <v>573.13721419637727</v>
      </c>
      <c r="S978" s="96">
        <f>S977+U977*Tableau!$G$2</f>
        <v>-466.41322382676333</v>
      </c>
      <c r="T978" s="96">
        <f t="shared" si="30"/>
        <v>-3.1000806707933553</v>
      </c>
      <c r="U978" s="96">
        <f t="shared" si="31"/>
        <v>9.4661772846997643</v>
      </c>
      <c r="V978" s="96">
        <f>((Tableau!$G$16-P978)/(AC978^2+Tableau!$G$21^2)^(3/2))*Tableau!$G$20</f>
        <v>-1.0809079820771064</v>
      </c>
      <c r="W978" s="96">
        <f>((Tableau!$H$16-Q978)/(AC978^2+Tableau!$G$21^2)^(3/2))*Tableau!$G$20</f>
        <v>4.012551317323898</v>
      </c>
      <c r="X978" s="96">
        <f>((Tableau!$G$25-P978)/(AD978^2+Tableau!$G$30^2)^(3/2))*Tableau!$G$29</f>
        <v>-0.47054254619521574</v>
      </c>
      <c r="Y978" s="96">
        <f>((Tableau!$H$25-Q978)/(AD978^2+Tableau!$G$30^2)^(3/2))*Tableau!$G$29</f>
        <v>1.227422418445874</v>
      </c>
      <c r="Z978" s="96">
        <f>((Tableau!$G$35-P978)/(AE978^2+Tableau!$G$40^2)^(3/2))*Tableau!$G$39</f>
        <v>-1.5486301425210334</v>
      </c>
      <c r="AA978" s="97">
        <f>((Tableau!$H$35-Q978)/(AE978^2+Tableau!$G$40^2)^(3/2))*Tableau!$G$39</f>
        <v>4.2262035489299929</v>
      </c>
      <c r="AC978" s="110">
        <f>SQRT((Tableau!$G$16-P978)^2+(Tableau!$H$16-Q978)^2)</f>
        <v>354751.49652784487</v>
      </c>
      <c r="AD978" s="111">
        <f>SQRT((Tableau!$G$25-P978)^2+(Tableau!$H$25-Q978)^2)</f>
        <v>369526.06509713863</v>
      </c>
      <c r="AE978" s="112">
        <f>SQRT((Tableau!$G$35-P978)^2+(Tableau!$H$35-Q978)^2)</f>
        <v>340850.78038221877</v>
      </c>
    </row>
    <row r="979" spans="2:31" x14ac:dyDescent="0.25">
      <c r="B979" s="18">
        <v>976</v>
      </c>
      <c r="C979" s="19">
        <f>Tableau!$G$17*COS(B979*PI()/180)+Tableau!$G$16</f>
        <v>18790.390522001653</v>
      </c>
      <c r="D979" s="19">
        <f>Tableau!$G$17*SIN(B979*PI()/180)+Tableau!$H$16</f>
        <v>2648.5213686200195</v>
      </c>
      <c r="F979" s="26">
        <v>976</v>
      </c>
      <c r="G979" s="27">
        <f>Tableau!$G$26*COS(F979*PI()/180)+Tableau!$G$25</f>
        <v>-20846.726634598843</v>
      </c>
      <c r="H979" s="27">
        <f>Tableau!$G$26*SIN(F979*PI()/180)+Tableau!$H$25</f>
        <v>6603.9649580340138</v>
      </c>
      <c r="J979" s="34">
        <v>976</v>
      </c>
      <c r="K979" s="35">
        <f>Tableau!$G$36*COS(J979*PI()/180)+Tableau!$G$35</f>
        <v>-6209.6094779983459</v>
      </c>
      <c r="L979" s="35">
        <f>Tableau!$G$36*SIN(J979*PI()/180)+Tableau!$H$35</f>
        <v>-19851.478631379981</v>
      </c>
      <c r="N979" s="98">
        <v>975</v>
      </c>
      <c r="O979" s="99">
        <v>487.5</v>
      </c>
      <c r="P979" s="101">
        <f>P978+R978*Tableau!$G$2+((1/2)*T978)*Tableau!$G$2^2</f>
        <v>112560.37158439704</v>
      </c>
      <c r="Q979" s="101">
        <f>Q978+S978*Tableau!$G$2+((1/2)*U978)*Tableau!$G$2^2</f>
        <v>-335272.67502746673</v>
      </c>
      <c r="R979" s="101">
        <f>R978+T978*Tableau!$G$2</f>
        <v>571.58717386098056</v>
      </c>
      <c r="S979" s="101">
        <f>S978+U978*Tableau!$G$2</f>
        <v>-461.68013518441347</v>
      </c>
      <c r="T979" s="101">
        <f t="shared" si="30"/>
        <v>-3.0999692322874672</v>
      </c>
      <c r="U979" s="101">
        <f t="shared" si="31"/>
        <v>9.4477520211272719</v>
      </c>
      <c r="V979" s="101">
        <f>((Tableau!$G$16-P979)/(AC979^2+Tableau!$G$21^2)^(3/2))*Tableau!$G$20</f>
        <v>-1.0815297221016358</v>
      </c>
      <c r="W979" s="101">
        <f>((Tableau!$H$16-Q979)/(AC979^2+Tableau!$G$21^2)^(3/2))*Tableau!$G$20</f>
        <v>4.0051571706199027</v>
      </c>
      <c r="X979" s="101">
        <f>((Tableau!$G$25-P979)/(AD979^2+Tableau!$G$30^2)^(3/2))*Tableau!$G$29</f>
        <v>-0.47034136253157993</v>
      </c>
      <c r="Y979" s="101">
        <f>((Tableau!$H$25-Q979)/(AD979^2+Tableau!$G$30^2)^(3/2))*Tableau!$G$29</f>
        <v>1.2250721575108867</v>
      </c>
      <c r="Z979" s="101">
        <f>((Tableau!$G$35-P979)/(AE979^2+Tableau!$G$40^2)^(3/2))*Tableau!$G$39</f>
        <v>-1.5480981476542517</v>
      </c>
      <c r="AA979" s="102">
        <f>((Tableau!$H$35-Q979)/(AE979^2+Tableau!$G$40^2)^(3/2))*Tableau!$G$39</f>
        <v>4.2175226929964813</v>
      </c>
      <c r="AC979" s="113">
        <f>SQRT((Tableau!$G$16-P979)^2+(Tableau!$H$16-Q979)^2)</f>
        <v>355050.03750644356</v>
      </c>
      <c r="AD979" s="114">
        <f>SQRT((Tableau!$G$25-P979)^2+(Tableau!$H$25-Q979)^2)</f>
        <v>369845.20036795945</v>
      </c>
      <c r="AE979" s="115">
        <f>SQRT((Tableau!$G$35-P979)^2+(Tableau!$H$35-Q979)^2)</f>
        <v>341167.15453910688</v>
      </c>
    </row>
    <row r="980" spans="2:31" x14ac:dyDescent="0.25">
      <c r="B980" s="20">
        <v>977</v>
      </c>
      <c r="C980" s="21">
        <f>Tableau!$G$17*COS(B980*PI()/180)+Tableau!$G$16</f>
        <v>18875.244728280664</v>
      </c>
      <c r="D980" s="21">
        <f>Tableau!$G$17*SIN(B980*PI()/180)+Tableau!$H$16</f>
        <v>2628.1496760738264</v>
      </c>
      <c r="F980" s="28">
        <v>977</v>
      </c>
      <c r="G980" s="29">
        <f>Tableau!$G$26*COS(F980*PI()/180)+Tableau!$G$25</f>
        <v>-20787.328690203536</v>
      </c>
      <c r="H980" s="29">
        <f>Tableau!$G$26*SIN(F980*PI()/180)+Tableau!$H$25</f>
        <v>6589.7047732516785</v>
      </c>
      <c r="J980" s="36">
        <v>977</v>
      </c>
      <c r="K980" s="37">
        <f>Tableau!$G$36*COS(J980*PI()/180)+Tableau!$G$35</f>
        <v>-6124.7552717193375</v>
      </c>
      <c r="L980" s="37">
        <f>Tableau!$G$36*SIN(J980*PI()/180)+Tableau!$H$35</f>
        <v>-19871.850323926174</v>
      </c>
      <c r="N980" s="92">
        <v>976</v>
      </c>
      <c r="O980" s="93">
        <v>488</v>
      </c>
      <c r="P980" s="96">
        <f>P979+R979*Tableau!$G$2+((1/2)*T979)*Tableau!$G$2^2</f>
        <v>112845.77767517349</v>
      </c>
      <c r="Q980" s="96">
        <f>Q979+S979*Tableau!$G$2+((1/2)*U979)*Tableau!$G$2^2</f>
        <v>-335502.33412605629</v>
      </c>
      <c r="R980" s="96">
        <f>R979+T979*Tableau!$G$2</f>
        <v>570.03718924483678</v>
      </c>
      <c r="S980" s="96">
        <f>S979+U979*Tableau!$G$2</f>
        <v>-456.95625917384984</v>
      </c>
      <c r="T980" s="96">
        <f t="shared" si="30"/>
        <v>-3.0998850397326789</v>
      </c>
      <c r="U980" s="96">
        <f t="shared" si="31"/>
        <v>9.4295042509865787</v>
      </c>
      <c r="V980" s="96">
        <f>((Tableau!$G$16-P980)/(AC980^2+Tableau!$G$21^2)^(3/2))*Tableau!$G$20</f>
        <v>-1.0821562159547353</v>
      </c>
      <c r="W980" s="96">
        <f>((Tableau!$H$16-Q980)/(AC980^2+Tableau!$G$21^2)^(3/2))*Tableau!$G$20</f>
        <v>3.9978350901437611</v>
      </c>
      <c r="X980" s="96">
        <f>((Tableau!$G$25-P980)/(AD980^2+Tableau!$G$30^2)^(3/2))*Tableau!$G$29</f>
        <v>-0.4701454959905495</v>
      </c>
      <c r="Y980" s="96">
        <f>((Tableau!$H$25-Q980)/(AD980^2+Tableau!$G$30^2)^(3/2))*Tableau!$G$29</f>
        <v>1.2227439146825347</v>
      </c>
      <c r="Z980" s="96">
        <f>((Tableau!$G$35-P980)/(AE980^2+Tableau!$G$40^2)^(3/2))*Tableau!$G$39</f>
        <v>-1.547583327787394</v>
      </c>
      <c r="AA980" s="97">
        <f>((Tableau!$H$35-Q980)/(AE980^2+Tableau!$G$40^2)^(3/2))*Tableau!$G$39</f>
        <v>4.2089252461602822</v>
      </c>
      <c r="AC980" s="110">
        <f>SQRT((Tableau!$G$16-P980)^2+(Tableau!$H$16-Q980)^2)</f>
        <v>355346.22503697785</v>
      </c>
      <c r="AD980" s="111">
        <f>SQRT((Tableau!$G$25-P980)^2+(Tableau!$H$25-Q980)^2)</f>
        <v>370161.94230724836</v>
      </c>
      <c r="AE980" s="112">
        <f>SQRT((Tableau!$G$35-P980)^2+(Tableau!$H$35-Q980)^2)</f>
        <v>341481.14661883848</v>
      </c>
    </row>
    <row r="981" spans="2:31" x14ac:dyDescent="0.25">
      <c r="B981" s="18">
        <v>978</v>
      </c>
      <c r="C981" s="19">
        <f>Tableau!$G$17*COS(B981*PI()/180)+Tableau!$G$16</f>
        <v>18960.441545911202</v>
      </c>
      <c r="D981" s="19">
        <f>Tableau!$G$17*SIN(B981*PI()/180)+Tableau!$H$16</f>
        <v>2609.2619963309717</v>
      </c>
      <c r="F981" s="26">
        <v>978</v>
      </c>
      <c r="G981" s="27">
        <f>Tableau!$G$26*COS(F981*PI()/180)+Tableau!$G$25</f>
        <v>-20727.690917862157</v>
      </c>
      <c r="H981" s="27">
        <f>Tableau!$G$26*SIN(F981*PI()/180)+Tableau!$H$25</f>
        <v>6576.4833974316807</v>
      </c>
      <c r="J981" s="34">
        <v>978</v>
      </c>
      <c r="K981" s="35">
        <f>Tableau!$G$36*COS(J981*PI()/180)+Tableau!$G$35</f>
        <v>-6039.5584540887967</v>
      </c>
      <c r="L981" s="35">
        <f>Tableau!$G$36*SIN(J981*PI()/180)+Tableau!$H$35</f>
        <v>-19890.73800366903</v>
      </c>
      <c r="N981" s="98">
        <v>977</v>
      </c>
      <c r="O981" s="99">
        <v>488.5</v>
      </c>
      <c r="P981" s="101">
        <f>P980+R980*Tableau!$G$2+((1/2)*T980)*Tableau!$G$2^2</f>
        <v>113130.40878416595</v>
      </c>
      <c r="Q981" s="101">
        <f>Q980+S980*Tableau!$G$2+((1/2)*U980)*Tableau!$G$2^2</f>
        <v>-335729.6335676118</v>
      </c>
      <c r="R981" s="101">
        <f>R980+T980*Tableau!$G$2</f>
        <v>568.48724672497042</v>
      </c>
      <c r="S981" s="101">
        <f>S980+U980*Tableau!$G$2</f>
        <v>-452.24150704835654</v>
      </c>
      <c r="T981" s="101">
        <f t="shared" si="30"/>
        <v>-3.0998280832473504</v>
      </c>
      <c r="U981" s="101">
        <f t="shared" si="31"/>
        <v>9.4114324927258171</v>
      </c>
      <c r="V981" s="101">
        <f>((Tableau!$G$16-P981)/(AC981^2+Tableau!$G$21^2)^(3/2))*Tableau!$G$20</f>
        <v>-1.0827875258383202</v>
      </c>
      <c r="W981" s="101">
        <f>((Tableau!$H$16-Q981)/(AC981^2+Tableau!$G$21^2)^(3/2))*Tableau!$G$20</f>
        <v>3.9905844994879343</v>
      </c>
      <c r="X981" s="101">
        <f>((Tableau!$G$25-P981)/(AD981^2+Tableau!$G$30^2)^(3/2))*Tableau!$G$29</f>
        <v>-0.46995492586542037</v>
      </c>
      <c r="Y981" s="101">
        <f>((Tableau!$H$25-Q981)/(AD981^2+Tableau!$G$30^2)^(3/2))*Tableau!$G$29</f>
        <v>1.2204375078285676</v>
      </c>
      <c r="Z981" s="101">
        <f>((Tableau!$G$35-P981)/(AE981^2+Tableau!$G$40^2)^(3/2))*Tableau!$G$39</f>
        <v>-1.5470856315436099</v>
      </c>
      <c r="AA981" s="102">
        <f>((Tableau!$H$35-Q981)/(AE981^2+Tableau!$G$40^2)^(3/2))*Tableau!$G$39</f>
        <v>4.2004104854093152</v>
      </c>
      <c r="AC981" s="113">
        <f>SQRT((Tableau!$G$16-P981)^2+(Tableau!$H$16-Q981)^2)</f>
        <v>355640.0629839992</v>
      </c>
      <c r="AD981" s="114">
        <f>SQRT((Tableau!$G$25-P981)^2+(Tableau!$H$25-Q981)^2)</f>
        <v>370476.29515238118</v>
      </c>
      <c r="AE981" s="115">
        <f>SQRT((Tableau!$G$35-P981)^2+(Tableau!$H$35-Q981)^2)</f>
        <v>341792.76078923716</v>
      </c>
    </row>
    <row r="982" spans="2:31" x14ac:dyDescent="0.25">
      <c r="B982" s="20">
        <v>979</v>
      </c>
      <c r="C982" s="21">
        <f>Tableau!$G$17*COS(B982*PI()/180)+Tableau!$G$16</f>
        <v>19045.955023117269</v>
      </c>
      <c r="D982" s="21">
        <f>Tableau!$G$17*SIN(B982*PI()/180)+Tableau!$H$16</f>
        <v>2591.8640827616809</v>
      </c>
      <c r="F982" s="28">
        <v>979</v>
      </c>
      <c r="G982" s="29">
        <f>Tableau!$G$26*COS(F982*PI()/180)+Tableau!$G$25</f>
        <v>-20667.83148381791</v>
      </c>
      <c r="H982" s="29">
        <f>Tableau!$G$26*SIN(F982*PI()/180)+Tableau!$H$25</f>
        <v>6564.3048579331771</v>
      </c>
      <c r="J982" s="36">
        <v>979</v>
      </c>
      <c r="K982" s="37">
        <f>Tableau!$G$36*COS(J982*PI()/180)+Tableau!$G$35</f>
        <v>-5954.0449768827293</v>
      </c>
      <c r="L982" s="37">
        <f>Tableau!$G$36*SIN(J982*PI()/180)+Tableau!$H$35</f>
        <v>-19908.13591723832</v>
      </c>
      <c r="N982" s="92">
        <v>978</v>
      </c>
      <c r="O982" s="93">
        <v>489</v>
      </c>
      <c r="P982" s="96">
        <f>P981+R981*Tableau!$G$2+((1/2)*T981)*Tableau!$G$2^2</f>
        <v>113414.26492901803</v>
      </c>
      <c r="Q982" s="96">
        <f>Q981+S981*Tableau!$G$2+((1/2)*U981)*Tableau!$G$2^2</f>
        <v>-335954.57789207442</v>
      </c>
      <c r="R982" s="96">
        <f>R981+T981*Tableau!$G$2</f>
        <v>566.93733268334677</v>
      </c>
      <c r="S982" s="96">
        <f>S981+U981*Tableau!$G$2</f>
        <v>-447.53579080199364</v>
      </c>
      <c r="T982" s="96">
        <f t="shared" si="30"/>
        <v>-3.0997983538049265</v>
      </c>
      <c r="U982" s="96">
        <f t="shared" si="31"/>
        <v>9.3935352856925167</v>
      </c>
      <c r="V982" s="96">
        <f>((Tableau!$G$16-P982)/(AC982^2+Tableau!$G$21^2)^(3/2))*Tableau!$G$20</f>
        <v>-1.0834237133285034</v>
      </c>
      <c r="W982" s="96">
        <f>((Tableau!$H$16-Q982)/(AC982^2+Tableau!$G$21^2)^(3/2))*Tableau!$G$20</f>
        <v>3.9834048303249503</v>
      </c>
      <c r="X982" s="96">
        <f>((Tableau!$G$25-P982)/(AD982^2+Tableau!$G$30^2)^(3/2))*Tableau!$G$29</f>
        <v>-0.46976963184577902</v>
      </c>
      <c r="Y982" s="96">
        <f>((Tableau!$H$25-Q982)/(AD982^2+Tableau!$G$30^2)^(3/2))*Tableau!$G$29</f>
        <v>1.2181527573396185</v>
      </c>
      <c r="Z982" s="96">
        <f>((Tableau!$G$35-P982)/(AE982^2+Tableau!$G$40^2)^(3/2))*Tableau!$G$39</f>
        <v>-1.5466050086306442</v>
      </c>
      <c r="AA982" s="97">
        <f>((Tableau!$H$35-Q982)/(AE982^2+Tableau!$G$40^2)^(3/2))*Tableau!$G$39</f>
        <v>4.191977698027948</v>
      </c>
      <c r="AC982" s="110">
        <f>SQRT((Tableau!$G$16-P982)^2+(Tableau!$H$16-Q982)^2)</f>
        <v>355931.55517213105</v>
      </c>
      <c r="AD982" s="111">
        <f>SQRT((Tableau!$G$25-P982)^2+(Tableau!$H$25-Q982)^2)</f>
        <v>370788.26309773291</v>
      </c>
      <c r="AE982" s="112">
        <f>SQRT((Tableau!$G$35-P982)^2+(Tableau!$H$35-Q982)^2)</f>
        <v>342102.00117590564</v>
      </c>
    </row>
    <row r="983" spans="2:31" x14ac:dyDescent="0.25">
      <c r="B983" s="18">
        <v>980</v>
      </c>
      <c r="C983" s="19">
        <f>Tableau!$G$17*COS(B983*PI()/180)+Tableau!$G$16</f>
        <v>19131.759111665338</v>
      </c>
      <c r="D983" s="19">
        <f>Tableau!$G$17*SIN(B983*PI()/180)+Tableau!$H$16</f>
        <v>2575.9612349389618</v>
      </c>
      <c r="F983" s="26">
        <v>980</v>
      </c>
      <c r="G983" s="27">
        <f>Tableau!$G$26*COS(F983*PI()/180)+Tableau!$G$25</f>
        <v>-20607.768621834264</v>
      </c>
      <c r="H983" s="27">
        <f>Tableau!$G$26*SIN(F983*PI()/180)+Tableau!$H$25</f>
        <v>6553.1728644572731</v>
      </c>
      <c r="J983" s="34">
        <v>980</v>
      </c>
      <c r="K983" s="35">
        <f>Tableau!$G$36*COS(J983*PI()/180)+Tableau!$G$35</f>
        <v>-5868.2408883346625</v>
      </c>
      <c r="L983" s="35">
        <f>Tableau!$G$36*SIN(J983*PI()/180)+Tableau!$H$35</f>
        <v>-19924.038765061039</v>
      </c>
      <c r="N983" s="98">
        <v>979</v>
      </c>
      <c r="O983" s="99">
        <v>489.5</v>
      </c>
      <c r="P983" s="101">
        <f>P982+R982*Tableau!$G$2+((1/2)*T982)*Tableau!$G$2^2</f>
        <v>113697.34612056547</v>
      </c>
      <c r="Q983" s="101">
        <f>Q982+S982*Tableau!$G$2+((1/2)*U982)*Tableau!$G$2^2</f>
        <v>-336177.17159556469</v>
      </c>
      <c r="R983" s="101">
        <f>R982+T982*Tableau!$G$2</f>
        <v>565.38743350644427</v>
      </c>
      <c r="S983" s="101">
        <f>S982+U982*Tableau!$G$2</f>
        <v>-442.83902315914736</v>
      </c>
      <c r="T983" s="101">
        <f t="shared" si="30"/>
        <v>-3.0997958432421315</v>
      </c>
      <c r="U983" s="101">
        <f t="shared" si="31"/>
        <v>9.3758111898169716</v>
      </c>
      <c r="V983" s="101">
        <f>((Tableau!$G$16-P983)/(AC983^2+Tableau!$G$21^2)^(3/2))*Tableau!$G$20</f>
        <v>-1.084064839395209</v>
      </c>
      <c r="W983" s="101">
        <f>((Tableau!$H$16-Q983)/(AC983^2+Tableau!$G$21^2)^(3/2))*Tableau!$G$20</f>
        <v>3.9762955222887695</v>
      </c>
      <c r="X983" s="101">
        <f>((Tableau!$G$25-P983)/(AD983^2+Tableau!$G$30^2)^(3/2))*Tableau!$G$29</f>
        <v>-0.4695895940135234</v>
      </c>
      <c r="Y983" s="101">
        <f>((Tableau!$H$25-Q983)/(AD983^2+Tableau!$G$30^2)^(3/2))*Tableau!$G$29</f>
        <v>1.215889486091345</v>
      </c>
      <c r="Z983" s="101">
        <f>((Tableau!$G$35-P983)/(AE983^2+Tableau!$G$40^2)^(3/2))*Tableau!$G$39</f>
        <v>-1.5461414098333994</v>
      </c>
      <c r="AA983" s="102">
        <f>((Tableau!$H$35-Q983)/(AE983^2+Tableau!$G$40^2)^(3/2))*Tableau!$G$39</f>
        <v>4.1836261814368561</v>
      </c>
      <c r="AC983" s="113">
        <f>SQRT((Tableau!$G$16-P983)^2+(Tableau!$H$16-Q983)^2)</f>
        <v>356220.70538637176</v>
      </c>
      <c r="AD983" s="114">
        <f>SQRT((Tableau!$G$25-P983)^2+(Tableau!$H$25-Q983)^2)</f>
        <v>371097.85029502306</v>
      </c>
      <c r="AE983" s="115">
        <f>SQRT((Tableau!$G$35-P983)^2+(Tableau!$H$35-Q983)^2)</f>
        <v>342408.87186256162</v>
      </c>
    </row>
    <row r="984" spans="2:31" x14ac:dyDescent="0.25">
      <c r="B984" s="20">
        <v>981</v>
      </c>
      <c r="C984" s="21">
        <f>Tableau!$G$17*COS(B984*PI()/180)+Tableau!$G$16</f>
        <v>19217.827674798846</v>
      </c>
      <c r="D984" s="21">
        <f>Tableau!$G$17*SIN(B984*PI()/180)+Tableau!$H$16</f>
        <v>2561.5582970243113</v>
      </c>
      <c r="F984" s="28">
        <v>981</v>
      </c>
      <c r="G984" s="29">
        <f>Tableau!$G$26*COS(F984*PI()/180)+Tableau!$G$25</f>
        <v>-20547.520627640806</v>
      </c>
      <c r="H984" s="29">
        <f>Tableau!$G$26*SIN(F984*PI()/180)+Tableau!$H$25</f>
        <v>6543.0908079170176</v>
      </c>
      <c r="J984" s="36">
        <v>981</v>
      </c>
      <c r="K984" s="37">
        <f>Tableau!$G$36*COS(J984*PI()/180)+Tableau!$G$35</f>
        <v>-5782.1723252011534</v>
      </c>
      <c r="L984" s="37">
        <f>Tableau!$G$36*SIN(J984*PI()/180)+Tableau!$H$35</f>
        <v>-19938.441702975688</v>
      </c>
      <c r="N984" s="92">
        <v>980</v>
      </c>
      <c r="O984" s="93">
        <v>490</v>
      </c>
      <c r="P984" s="96">
        <f>P983+R983*Tableau!$G$2+((1/2)*T983)*Tableau!$G$2^2</f>
        <v>113979.65236283829</v>
      </c>
      <c r="Q984" s="96">
        <f>Q983+S983*Tableau!$G$2+((1/2)*U983)*Tableau!$G$2^2</f>
        <v>-336397.41913074552</v>
      </c>
      <c r="R984" s="96">
        <f>R983+T983*Tableau!$G$2</f>
        <v>563.83753558482317</v>
      </c>
      <c r="S984" s="96">
        <f>S983+U983*Tableau!$G$2</f>
        <v>-438.15111756423886</v>
      </c>
      <c r="T984" s="96">
        <f t="shared" si="30"/>
        <v>-3.0998205442669393</v>
      </c>
      <c r="U984" s="96">
        <f t="shared" si="31"/>
        <v>9.3582587853016719</v>
      </c>
      <c r="V984" s="96">
        <f>((Tableau!$G$16-P984)/(AC984^2+Tableau!$G$21^2)^(3/2))*Tableau!$G$20</f>
        <v>-1.0847109644214399</v>
      </c>
      <c r="W984" s="96">
        <f>((Tableau!$H$16-Q984)/(AC984^2+Tableau!$G$21^2)^(3/2))*Tableau!$G$20</f>
        <v>3.9692560228586187</v>
      </c>
      <c r="X984" s="96">
        <f>((Tableau!$G$25-P984)/(AD984^2+Tableau!$G$30^2)^(3/2))*Tableau!$G$29</f>
        <v>-0.46941479283892595</v>
      </c>
      <c r="Y984" s="96">
        <f>((Tableau!$H$25-Q984)/(AD984^2+Tableau!$G$30^2)^(3/2))*Tableau!$G$29</f>
        <v>1.2136475194071989</v>
      </c>
      <c r="Z984" s="96">
        <f>((Tableau!$G$35-P984)/(AE984^2+Tableau!$G$40^2)^(3/2))*Tableau!$G$39</f>
        <v>-1.5456947870065731</v>
      </c>
      <c r="AA984" s="97">
        <f>((Tableau!$H$35-Q984)/(AE984^2+Tableau!$G$40^2)^(3/2))*Tableau!$G$39</f>
        <v>4.1753552430358534</v>
      </c>
      <c r="AC984" s="110">
        <f>SQRT((Tableau!$G$16-P984)^2+(Tableau!$H$16-Q984)^2)</f>
        <v>356507.51737239369</v>
      </c>
      <c r="AD984" s="111">
        <f>SQRT((Tableau!$G$25-P984)^2+(Tableau!$H$25-Q984)^2)</f>
        <v>371405.06085365661</v>
      </c>
      <c r="AE984" s="112">
        <f>SQRT((Tableau!$G$35-P984)^2+(Tableau!$H$35-Q984)^2)</f>
        <v>342713.37689136958</v>
      </c>
    </row>
    <row r="985" spans="2:31" x14ac:dyDescent="0.25">
      <c r="B985" s="18">
        <v>982</v>
      </c>
      <c r="C985" s="19">
        <f>Tableau!$G$17*COS(B985*PI()/180)+Tableau!$G$16</f>
        <v>19304.134495199669</v>
      </c>
      <c r="D985" s="19">
        <f>Tableau!$G$17*SIN(B985*PI()/180)+Tableau!$H$16</f>
        <v>2548.6596562921495</v>
      </c>
      <c r="F985" s="26">
        <v>982</v>
      </c>
      <c r="G985" s="27">
        <f>Tableau!$G$26*COS(F985*PI()/180)+Tableau!$G$25</f>
        <v>-20487.105853360234</v>
      </c>
      <c r="H985" s="27">
        <f>Tableau!$G$26*SIN(F985*PI()/180)+Tableau!$H$25</f>
        <v>6534.0617594045043</v>
      </c>
      <c r="J985" s="34">
        <v>982</v>
      </c>
      <c r="K985" s="35">
        <f>Tableau!$G$36*COS(J985*PI()/180)+Tableau!$G$35</f>
        <v>-5695.8655048003311</v>
      </c>
      <c r="L985" s="35">
        <f>Tableau!$G$36*SIN(J985*PI()/180)+Tableau!$H$35</f>
        <v>-19951.340343707852</v>
      </c>
      <c r="N985" s="98">
        <v>981</v>
      </c>
      <c r="O985" s="99">
        <v>490.5</v>
      </c>
      <c r="P985" s="101">
        <f>P984+R984*Tableau!$G$2+((1/2)*T984)*Tableau!$G$2^2</f>
        <v>114261.18365306266</v>
      </c>
      <c r="Q985" s="101">
        <f>Q984+S984*Tableau!$G$2+((1/2)*U984)*Tableau!$G$2^2</f>
        <v>-336615.32490717951</v>
      </c>
      <c r="R985" s="101">
        <f>R984+T984*Tableau!$G$2</f>
        <v>562.28762531268967</v>
      </c>
      <c r="S985" s="101">
        <f>S984+U984*Tableau!$G$2</f>
        <v>-433.47198817158801</v>
      </c>
      <c r="T985" s="101">
        <f t="shared" si="30"/>
        <v>-3.0998724504664885</v>
      </c>
      <c r="U985" s="101">
        <f t="shared" si="31"/>
        <v>9.3408766723169556</v>
      </c>
      <c r="V985" s="101">
        <f>((Tableau!$G$16-P985)/(AC985^2+Tableau!$G$21^2)^(3/2))*Tableau!$G$20</f>
        <v>-1.0853621482220892</v>
      </c>
      <c r="W985" s="101">
        <f>((Tableau!$H$16-Q985)/(AC985^2+Tableau!$G$21^2)^(3/2))*Tableau!$G$20</f>
        <v>3.9622857872447628</v>
      </c>
      <c r="X985" s="101">
        <f>((Tableau!$G$25-P985)/(AD985^2+Tableau!$G$30^2)^(3/2))*Tableau!$G$29</f>
        <v>-0.46924520917680734</v>
      </c>
      <c r="Y985" s="101">
        <f>((Tableau!$H$25-Q985)/(AD985^2+Tableau!$G$30^2)^(3/2))*Tableau!$G$29</f>
        <v>1.2114266850219764</v>
      </c>
      <c r="Z985" s="101">
        <f>((Tableau!$G$35-P985)/(AE985^2+Tableau!$G$40^2)^(3/2))*Tableau!$G$39</f>
        <v>-1.5452650930675922</v>
      </c>
      <c r="AA985" s="102">
        <f>((Tableau!$H$35-Q985)/(AE985^2+Tableau!$G$40^2)^(3/2))*Tableau!$G$39</f>
        <v>4.1671642000502152</v>
      </c>
      <c r="AC985" s="113">
        <f>SQRT((Tableau!$G$16-P985)^2+(Tableau!$H$16-Q985)^2)</f>
        <v>356791.99483683787</v>
      </c>
      <c r="AD985" s="114">
        <f>SQRT((Tableau!$G$25-P985)^2+(Tableau!$H$25-Q985)^2)</f>
        <v>371709.89884105994</v>
      </c>
      <c r="AE985" s="115">
        <f>SQRT((Tableau!$G$35-P985)^2+(Tableau!$H$35-Q985)^2)</f>
        <v>343015.52026326768</v>
      </c>
    </row>
    <row r="986" spans="2:31" x14ac:dyDescent="0.25">
      <c r="B986" s="20">
        <v>983</v>
      </c>
      <c r="C986" s="21">
        <f>Tableau!$G$17*COS(B986*PI()/180)+Tableau!$G$16</f>
        <v>19390.653282974272</v>
      </c>
      <c r="D986" s="21">
        <f>Tableau!$G$17*SIN(B986*PI()/180)+Tableau!$H$16</f>
        <v>2537.2692417933886</v>
      </c>
      <c r="F986" s="28">
        <v>983</v>
      </c>
      <c r="G986" s="29">
        <f>Tableau!$G$26*COS(F986*PI()/180)+Tableau!$G$25</f>
        <v>-20426.54270191801</v>
      </c>
      <c r="H986" s="29">
        <f>Tableau!$G$26*SIN(F986*PI()/180)+Tableau!$H$25</f>
        <v>6526.0884692553718</v>
      </c>
      <c r="J986" s="36">
        <v>983</v>
      </c>
      <c r="K986" s="37">
        <f>Tableau!$G$36*COS(J986*PI()/180)+Tableau!$G$35</f>
        <v>-5609.34671702573</v>
      </c>
      <c r="L986" s="37">
        <f>Tableau!$G$36*SIN(J986*PI()/180)+Tableau!$H$35</f>
        <v>-19962.730758206613</v>
      </c>
      <c r="N986" s="92">
        <v>982</v>
      </c>
      <c r="O986" s="93">
        <v>491</v>
      </c>
      <c r="P986" s="96">
        <f>P985+R985*Tableau!$G$2+((1/2)*T985)*Tableau!$G$2^2</f>
        <v>114541.9399816627</v>
      </c>
      <c r="Q986" s="96">
        <f>Q985+S985*Tableau!$G$2+((1/2)*U985)*Tableau!$G$2^2</f>
        <v>-336830.89329168125</v>
      </c>
      <c r="R986" s="96">
        <f>R985+T985*Tableau!$G$2</f>
        <v>560.73768908745637</v>
      </c>
      <c r="S986" s="96">
        <f>S985+U985*Tableau!$G$2</f>
        <v>-428.80154983542951</v>
      </c>
      <c r="T986" s="96">
        <f t="shared" si="30"/>
        <v>-3.099951556314811</v>
      </c>
      <c r="U986" s="96">
        <f t="shared" si="31"/>
        <v>9.3236634707024901</v>
      </c>
      <c r="V986" s="96">
        <f>((Tableau!$G$16-P986)/(AC986^2+Tableau!$G$21^2)^(3/2))*Tableau!$G$20</f>
        <v>-1.0860184500624754</v>
      </c>
      <c r="W986" s="96">
        <f>((Tableau!$H$16-Q986)/(AC986^2+Tableau!$G$21^2)^(3/2))*Tableau!$G$20</f>
        <v>3.9553842782768194</v>
      </c>
      <c r="X986" s="96">
        <f>((Tableau!$G$25-P986)/(AD986^2+Tableau!$G$30^2)^(3/2))*Tableau!$G$29</f>
        <v>-0.46908082426278458</v>
      </c>
      <c r="Y986" s="96">
        <f>((Tableau!$H$25-Q986)/(AD986^2+Tableau!$G$30^2)^(3/2))*Tableau!$G$29</f>
        <v>1.2092268130460559</v>
      </c>
      <c r="Z986" s="96">
        <f>((Tableau!$G$35-P986)/(AE986^2+Tableau!$G$40^2)^(3/2))*Tableau!$G$39</f>
        <v>-1.5448522819895507</v>
      </c>
      <c r="AA986" s="97">
        <f>((Tableau!$H$35-Q986)/(AE986^2+Tableau!$G$40^2)^(3/2))*Tableau!$G$39</f>
        <v>4.1590523793796148</v>
      </c>
      <c r="AC986" s="110">
        <f>SQRT((Tableau!$G$16-P986)^2+(Tableau!$H$16-Q986)^2)</f>
        <v>357074.14144760399</v>
      </c>
      <c r="AD986" s="111">
        <f>SQRT((Tableau!$G$25-P986)^2+(Tableau!$H$25-Q986)^2)</f>
        <v>372012.36828301143</v>
      </c>
      <c r="AE986" s="112">
        <f>SQRT((Tableau!$G$35-P986)^2+(Tableau!$H$35-Q986)^2)</f>
        <v>343315.30593828898</v>
      </c>
    </row>
    <row r="987" spans="2:31" x14ac:dyDescent="0.25">
      <c r="B987" s="18">
        <v>984</v>
      </c>
      <c r="C987" s="19">
        <f>Tableau!$G$17*COS(B987*PI()/180)+Tableau!$G$16</f>
        <v>19477.357683661736</v>
      </c>
      <c r="D987" s="19">
        <f>Tableau!$G$17*SIN(B987*PI()/180)+Tableau!$H$16</f>
        <v>2527.3905231586332</v>
      </c>
      <c r="F987" s="26">
        <v>984</v>
      </c>
      <c r="G987" s="27">
        <f>Tableau!$G$26*COS(F987*PI()/180)+Tableau!$G$25</f>
        <v>-20365.849621436784</v>
      </c>
      <c r="H987" s="27">
        <f>Tableau!$G$26*SIN(F987*PI()/180)+Tableau!$H$25</f>
        <v>6519.1733662110437</v>
      </c>
      <c r="J987" s="34">
        <v>984</v>
      </c>
      <c r="K987" s="35">
        <f>Tableau!$G$36*COS(J987*PI()/180)+Tableau!$G$35</f>
        <v>-5522.6423163382651</v>
      </c>
      <c r="L987" s="35">
        <f>Tableau!$G$36*SIN(J987*PI()/180)+Tableau!$H$35</f>
        <v>-19972.609476841368</v>
      </c>
      <c r="N987" s="98">
        <v>983</v>
      </c>
      <c r="O987" s="99">
        <v>491.5</v>
      </c>
      <c r="P987" s="101">
        <f>P986+R986*Tableau!$G$2+((1/2)*T986)*Tableau!$G$2^2</f>
        <v>114821.92133226189</v>
      </c>
      <c r="Q987" s="101">
        <f>Q986+S986*Tableau!$G$2+((1/2)*U986)*Tableau!$G$2^2</f>
        <v>-337044.12860866514</v>
      </c>
      <c r="R987" s="101">
        <f>R986+T986*Tableau!$G$2</f>
        <v>559.18771330929894</v>
      </c>
      <c r="S987" s="101">
        <f>S986+U986*Tableau!$G$2</f>
        <v>-424.13971810007826</v>
      </c>
      <c r="T987" s="101">
        <f t="shared" si="30"/>
        <v>-3.1000578571802571</v>
      </c>
      <c r="U987" s="101">
        <f t="shared" si="31"/>
        <v>9.3066178196740204</v>
      </c>
      <c r="V987" s="101">
        <f>((Tableau!$G$16-P987)/(AC987^2+Tableau!$G$21^2)^(3/2))*Tableau!$G$20</f>
        <v>-1.0866799286763649</v>
      </c>
      <c r="W987" s="101">
        <f>((Tableau!$H$16-Q987)/(AC987^2+Tableau!$G$21^2)^(3/2))*Tableau!$G$20</f>
        <v>3.9485509662936642</v>
      </c>
      <c r="X987" s="101">
        <f>((Tableau!$G$25-P987)/(AD987^2+Tableau!$G$30^2)^(3/2))*Tableau!$G$29</f>
        <v>-0.46892161970957513</v>
      </c>
      <c r="Y987" s="101">
        <f>((Tableau!$H$25-Q987)/(AD987^2+Tableau!$G$30^2)^(3/2))*Tableau!$G$29</f>
        <v>1.2070477359302529</v>
      </c>
      <c r="Z987" s="101">
        <f>((Tableau!$G$35-P987)/(AE987^2+Tableau!$G$40^2)^(3/2))*Tableau!$G$39</f>
        <v>-1.5444563087943173</v>
      </c>
      <c r="AA987" s="102">
        <f>((Tableau!$H$35-Q987)/(AE987^2+Tableau!$G$40^2)^(3/2))*Tableau!$G$39</f>
        <v>4.1510191174501019</v>
      </c>
      <c r="AC987" s="113">
        <f>SQRT((Tableau!$G$16-P987)^2+(Tableau!$H$16-Q987)^2)</f>
        <v>357353.96083413716</v>
      </c>
      <c r="AD987" s="114">
        <f>SQRT((Tableau!$G$25-P987)^2+(Tableau!$H$25-Q987)^2)</f>
        <v>372312.47316396795</v>
      </c>
      <c r="AE987" s="115">
        <f>SQRT((Tableau!$G$35-P987)^2+(Tableau!$H$35-Q987)^2)</f>
        <v>343612.73783588002</v>
      </c>
    </row>
    <row r="988" spans="2:31" x14ac:dyDescent="0.25">
      <c r="B988" s="20">
        <v>985</v>
      </c>
      <c r="C988" s="21">
        <f>Tableau!$G$17*COS(B988*PI()/180)+Tableau!$G$16</f>
        <v>19564.221286261705</v>
      </c>
      <c r="D988" s="21">
        <f>Tableau!$G$17*SIN(B988*PI()/180)+Tableau!$H$16</f>
        <v>2519.0265095412724</v>
      </c>
      <c r="F988" s="28">
        <v>985</v>
      </c>
      <c r="G988" s="29">
        <f>Tableau!$G$26*COS(F988*PI()/180)+Tableau!$G$25</f>
        <v>-20305.045099616807</v>
      </c>
      <c r="H988" s="29">
        <f>Tableau!$G$26*SIN(F988*PI()/180)+Tableau!$H$25</f>
        <v>6513.3185566788907</v>
      </c>
      <c r="J988" s="36">
        <v>985</v>
      </c>
      <c r="K988" s="37">
        <f>Tableau!$G$36*COS(J988*PI()/180)+Tableau!$G$35</f>
        <v>-5435.7787137382938</v>
      </c>
      <c r="L988" s="37">
        <f>Tableau!$G$36*SIN(J988*PI()/180)+Tableau!$H$35</f>
        <v>-19980.973490458728</v>
      </c>
      <c r="N988" s="92">
        <v>984</v>
      </c>
      <c r="O988" s="93">
        <v>492</v>
      </c>
      <c r="P988" s="96">
        <f>P987+R987*Tableau!$G$2+((1/2)*T987)*Tableau!$G$2^2</f>
        <v>115101.12768168439</v>
      </c>
      <c r="Q988" s="96">
        <f>Q987+S987*Tableau!$G$2+((1/2)*U987)*Tableau!$G$2^2</f>
        <v>-337255.03514048771</v>
      </c>
      <c r="R988" s="96">
        <f>R987+T987*Tableau!$G$2</f>
        <v>557.63768438070883</v>
      </c>
      <c r="S988" s="96">
        <f>S987+U987*Tableau!$G$2</f>
        <v>-419.48640919024126</v>
      </c>
      <c r="T988" s="96">
        <f t="shared" si="30"/>
        <v>-3.1001913493329907</v>
      </c>
      <c r="U988" s="96">
        <f t="shared" si="31"/>
        <v>9.2897383775363416</v>
      </c>
      <c r="V988" s="96">
        <f>((Tableau!$G$16-P988)/(AC988^2+Tableau!$G$21^2)^(3/2))*Tableau!$G$20</f>
        <v>-1.0873466422837792</v>
      </c>
      <c r="W988" s="96">
        <f>((Tableau!$H$16-Q988)/(AC988^2+Tableau!$G$21^2)^(3/2))*Tableau!$G$20</f>
        <v>3.9417853290359233</v>
      </c>
      <c r="X988" s="96">
        <f>((Tableau!$G$25-P988)/(AD988^2+Tableau!$G$30^2)^(3/2))*Tableau!$G$29</f>
        <v>-0.4687675775034123</v>
      </c>
      <c r="Y988" s="96">
        <f>((Tableau!$H$25-Q988)/(AD988^2+Tableau!$G$30^2)^(3/2))*Tableau!$G$29</f>
        <v>1.2048892884314317</v>
      </c>
      <c r="Z988" s="96">
        <f>((Tableau!$G$35-P988)/(AE988^2+Tableau!$G$40^2)^(3/2))*Tableau!$G$39</f>
        <v>-1.5440771295457991</v>
      </c>
      <c r="AA988" s="97">
        <f>((Tableau!$H$35-Q988)/(AE988^2+Tableau!$G$40^2)^(3/2))*Tableau!$G$39</f>
        <v>4.1430637600689879</v>
      </c>
      <c r="AC988" s="110">
        <f>SQRT((Tableau!$G$16-P988)^2+(Tableau!$H$16-Q988)^2)</f>
        <v>357631.45658770978</v>
      </c>
      <c r="AD988" s="111">
        <f>SQRT((Tableau!$G$25-P988)^2+(Tableau!$H$25-Q988)^2)</f>
        <v>372610.21742738638</v>
      </c>
      <c r="AE988" s="112">
        <f>SQRT((Tableau!$G$35-P988)^2+(Tableau!$H$35-Q988)^2)</f>
        <v>343907.8198352129</v>
      </c>
    </row>
    <row r="989" spans="2:31" x14ac:dyDescent="0.25">
      <c r="B989" s="18">
        <v>986</v>
      </c>
      <c r="C989" s="19">
        <f>Tableau!$G$17*COS(B989*PI()/180)+Tableau!$G$16</f>
        <v>19651.217631279382</v>
      </c>
      <c r="D989" s="19">
        <f>Tableau!$G$17*SIN(B989*PI()/180)+Tableau!$H$16</f>
        <v>2512.179748700878</v>
      </c>
      <c r="F989" s="26">
        <v>986</v>
      </c>
      <c r="G989" s="27">
        <f>Tableau!$G$26*COS(F989*PI()/180)+Tableau!$G$25</f>
        <v>-20244.147658104434</v>
      </c>
      <c r="H989" s="27">
        <f>Tableau!$G$26*SIN(F989*PI()/180)+Tableau!$H$25</f>
        <v>6508.5258240906151</v>
      </c>
      <c r="J989" s="34">
        <v>986</v>
      </c>
      <c r="K989" s="35">
        <f>Tableau!$G$36*COS(J989*PI()/180)+Tableau!$G$35</f>
        <v>-5348.7823687206173</v>
      </c>
      <c r="L989" s="35">
        <f>Tableau!$G$36*SIN(J989*PI()/180)+Tableau!$H$35</f>
        <v>-19987.820251299123</v>
      </c>
      <c r="N989" s="98">
        <v>985</v>
      </c>
      <c r="O989" s="99">
        <v>492.5</v>
      </c>
      <c r="P989" s="101">
        <f>P988+R988*Tableau!$G$2+((1/2)*T988)*Tableau!$G$2^2</f>
        <v>115379.55899995609</v>
      </c>
      <c r="Q989" s="101">
        <f>Q988+S988*Tableau!$G$2+((1/2)*U988)*Tableau!$G$2^2</f>
        <v>-337463.61712778563</v>
      </c>
      <c r="R989" s="101">
        <f>R988+T988*Tableau!$G$2</f>
        <v>556.08758870604231</v>
      </c>
      <c r="S989" s="101">
        <f>S988+U988*Tableau!$G$2</f>
        <v>-414.84154000147311</v>
      </c>
      <c r="T989" s="101">
        <f t="shared" si="30"/>
        <v>-3.1003520299522975</v>
      </c>
      <c r="U989" s="101">
        <f t="shared" si="31"/>
        <v>9.2730238214016509</v>
      </c>
      <c r="V989" s="101">
        <f>((Tableau!$G$16-P989)/(AC989^2+Tableau!$G$21^2)^(3/2))*Tableau!$G$20</f>
        <v>-1.0880186486083938</v>
      </c>
      <c r="W989" s="101">
        <f>((Tableau!$H$16-Q989)/(AC989^2+Tableau!$G$21^2)^(3/2))*Tableau!$G$20</f>
        <v>3.9350868515402699</v>
      </c>
      <c r="X989" s="101">
        <f>((Tableau!$G$25-P989)/(AD989^2+Tableau!$G$30^2)^(3/2))*Tableau!$G$29</f>
        <v>-0.46861868000050738</v>
      </c>
      <c r="Y989" s="101">
        <f>((Tableau!$H$25-Q989)/(AD989^2+Tableau!$G$30^2)^(3/2))*Tableau!$G$29</f>
        <v>1.2027513075786973</v>
      </c>
      <c r="Z989" s="101">
        <f>((Tableau!$G$35-P989)/(AE989^2+Tableau!$G$40^2)^(3/2))*Tableau!$G$39</f>
        <v>-1.5437147013433965</v>
      </c>
      <c r="AA989" s="102">
        <f>((Tableau!$H$35-Q989)/(AE989^2+Tableau!$G$40^2)^(3/2))*Tableau!$G$39</f>
        <v>4.1351856622826846</v>
      </c>
      <c r="AC989" s="113">
        <f>SQRT((Tableau!$G$16-P989)^2+(Tableau!$H$16-Q989)^2)</f>
        <v>357906.63226169976</v>
      </c>
      <c r="AD989" s="114">
        <f>SQRT((Tableau!$G$25-P989)^2+(Tableau!$H$25-Q989)^2)</f>
        <v>372905.60497604084</v>
      </c>
      <c r="AE989" s="115">
        <f>SQRT((Tableau!$G$35-P989)^2+(Tableau!$H$35-Q989)^2)</f>
        <v>344200.55577549414</v>
      </c>
    </row>
    <row r="990" spans="2:31" x14ac:dyDescent="0.25">
      <c r="B990" s="20">
        <v>987</v>
      </c>
      <c r="C990" s="21">
        <f>Tableau!$G$17*COS(B990*PI()/180)+Tableau!$G$16</f>
        <v>19738.320218785284</v>
      </c>
      <c r="D990" s="21">
        <f>Tableau!$G$17*SIN(B990*PI()/180)+Tableau!$H$16</f>
        <v>2506.8523262271301</v>
      </c>
      <c r="F990" s="28">
        <v>987</v>
      </c>
      <c r="G990" s="29">
        <f>Tableau!$G$26*COS(F990*PI()/180)+Tableau!$G$25</f>
        <v>-20183.175846850299</v>
      </c>
      <c r="H990" s="29">
        <f>Tableau!$G$26*SIN(F990*PI()/180)+Tableau!$H$25</f>
        <v>6504.7966283589913</v>
      </c>
      <c r="J990" s="36">
        <v>987</v>
      </c>
      <c r="K990" s="37">
        <f>Tableau!$G$36*COS(J990*PI()/180)+Tableau!$G$35</f>
        <v>-5261.6797812147151</v>
      </c>
      <c r="L990" s="37">
        <f>Tableau!$G$36*SIN(J990*PI()/180)+Tableau!$H$35</f>
        <v>-19993.14767377287</v>
      </c>
      <c r="N990" s="92">
        <v>986</v>
      </c>
      <c r="O990" s="93">
        <v>493</v>
      </c>
      <c r="P990" s="96">
        <f>P989+R989*Tableau!$G$2+((1/2)*T989)*Tableau!$G$2^2</f>
        <v>115657.21525030538</v>
      </c>
      <c r="Q990" s="96">
        <f>Q989+S989*Tableau!$G$2+((1/2)*U989)*Tableau!$G$2^2</f>
        <v>-337669.87876980868</v>
      </c>
      <c r="R990" s="96">
        <f>R989+T989*Tableau!$G$2</f>
        <v>554.53741269106615</v>
      </c>
      <c r="S990" s="96">
        <f>S989+U989*Tableau!$G$2</f>
        <v>-410.20502809077226</v>
      </c>
      <c r="T990" s="96">
        <f t="shared" si="30"/>
        <v>-3.100539897133614</v>
      </c>
      <c r="U990" s="96">
        <f t="shared" si="31"/>
        <v>9.2564728469127644</v>
      </c>
      <c r="V990" s="96">
        <f>((Tableau!$G$16-P990)/(AC990^2+Tableau!$G$21^2)^(3/2))*Tableau!$G$20</f>
        <v>-1.0886960048945471</v>
      </c>
      <c r="W990" s="96">
        <f>((Tableau!$H$16-Q990)/(AC990^2+Tableau!$G$21^2)^(3/2))*Tableau!$G$20</f>
        <v>3.9284550260355418</v>
      </c>
      <c r="X990" s="96">
        <f>((Tableau!$G$25-P990)/(AD990^2+Tableau!$G$30^2)^(3/2))*Tableau!$G$29</f>
        <v>-0.46847490992359264</v>
      </c>
      <c r="Y990" s="96">
        <f>((Tableau!$H$25-Q990)/(AD990^2+Tableau!$G$30^2)^(3/2))*Tableau!$G$29</f>
        <v>1.2006336326402354</v>
      </c>
      <c r="Z990" s="96">
        <f>((Tableau!$G$35-P990)/(AE990^2+Tableau!$G$40^2)^(3/2))*Tableau!$G$39</f>
        <v>-1.5433689823154741</v>
      </c>
      <c r="AA990" s="97">
        <f>((Tableau!$H$35-Q990)/(AE990^2+Tableau!$G$40^2)^(3/2))*Tableau!$G$39</f>
        <v>4.1273841882369862</v>
      </c>
      <c r="AC990" s="110">
        <f>SQRT((Tableau!$G$16-P990)^2+(Tableau!$H$16-Q990)^2)</f>
        <v>358179.49137186469</v>
      </c>
      <c r="AD990" s="111">
        <f>SQRT((Tableau!$G$25-P990)^2+(Tableau!$H$25-Q990)^2)</f>
        <v>373198.63967233471</v>
      </c>
      <c r="AE990" s="112">
        <f>SQRT((Tableau!$G$35-P990)^2+(Tableau!$H$35-Q990)^2)</f>
        <v>344490.94945626881</v>
      </c>
    </row>
    <row r="991" spans="2:31" x14ac:dyDescent="0.25">
      <c r="B991" s="18">
        <v>988</v>
      </c>
      <c r="C991" s="19">
        <f>Tableau!$G$17*COS(B991*PI()/180)+Tableau!$G$16</f>
        <v>19825.502516487493</v>
      </c>
      <c r="D991" s="19">
        <f>Tableau!$G$17*SIN(B991*PI()/180)+Tableau!$H$16</f>
        <v>2503.0458649045213</v>
      </c>
      <c r="F991" s="26">
        <v>988</v>
      </c>
      <c r="G991" s="27">
        <f>Tableau!$G$26*COS(F991*PI()/180)+Tableau!$G$25</f>
        <v>-20122.148238458754</v>
      </c>
      <c r="H991" s="27">
        <f>Tableau!$G$26*SIN(F991*PI()/180)+Tableau!$H$25</f>
        <v>6502.1321054331647</v>
      </c>
      <c r="J991" s="34">
        <v>988</v>
      </c>
      <c r="K991" s="35">
        <f>Tableau!$G$36*COS(J991*PI()/180)+Tableau!$G$35</f>
        <v>-5174.4974835125058</v>
      </c>
      <c r="L991" s="35">
        <f>Tableau!$G$36*SIN(J991*PI()/180)+Tableau!$H$35</f>
        <v>-19996.954135095479</v>
      </c>
      <c r="N991" s="98">
        <v>987</v>
      </c>
      <c r="O991" s="99">
        <v>493.5</v>
      </c>
      <c r="P991" s="101">
        <f>P990+R990*Tableau!$G$2+((1/2)*T990)*Tableau!$G$2^2</f>
        <v>115934.09638916378</v>
      </c>
      <c r="Q991" s="101">
        <f>Q990+S990*Tableau!$G$2+((1/2)*U990)*Tableau!$G$2^2</f>
        <v>-337873.82422474818</v>
      </c>
      <c r="R991" s="101">
        <f>R990+T990*Tableau!$G$2</f>
        <v>552.98714274249937</v>
      </c>
      <c r="S991" s="101">
        <f>S990+U990*Tableau!$G$2</f>
        <v>-405.57679166731589</v>
      </c>
      <c r="T991" s="101">
        <f t="shared" si="30"/>
        <v>-3.1007549498956535</v>
      </c>
      <c r="U991" s="101">
        <f t="shared" si="31"/>
        <v>9.2400841679723129</v>
      </c>
      <c r="V991" s="101">
        <f>((Tableau!$G$16-P991)/(AC991^2+Tableau!$G$21^2)^(3/2))*Tableau!$G$20</f>
        <v>-1.0893787679240412</v>
      </c>
      <c r="W991" s="101">
        <f>((Tableau!$H$16-Q991)/(AC991^2+Tableau!$G$21^2)^(3/2))*Tableau!$G$20</f>
        <v>3.9218893518412195</v>
      </c>
      <c r="X991" s="101">
        <f>((Tableau!$G$25-P991)/(AD991^2+Tableau!$G$30^2)^(3/2))*Tableau!$G$29</f>
        <v>-0.46833625035855353</v>
      </c>
      <c r="Y991" s="101">
        <f>((Tableau!$H$25-Q991)/(AD991^2+Tableau!$G$30^2)^(3/2))*Tableau!$G$29</f>
        <v>1.1985361050908248</v>
      </c>
      <c r="Z991" s="101">
        <f>((Tableau!$G$35-P991)/(AE991^2+Tableau!$G$40^2)^(3/2))*Tableau!$G$39</f>
        <v>-1.5430399316130587</v>
      </c>
      <c r="AA991" s="102">
        <f>((Tableau!$H$35-Q991)/(AE991^2+Tableau!$G$40^2)^(3/2))*Tableau!$G$39</f>
        <v>4.1196587110402696</v>
      </c>
      <c r="AC991" s="113">
        <f>SQRT((Tableau!$G$16-P991)^2+(Tableau!$H$16-Q991)^2)</f>
        <v>358450.03739661211</v>
      </c>
      <c r="AD991" s="114">
        <f>SQRT((Tableau!$G$25-P991)^2+(Tableau!$H$25-Q991)^2)</f>
        <v>373489.32533860917</v>
      </c>
      <c r="AE991" s="115">
        <f>SQRT((Tableau!$G$35-P991)^2+(Tableau!$H$35-Q991)^2)</f>
        <v>344779.0046377203</v>
      </c>
    </row>
    <row r="992" spans="2:31" x14ac:dyDescent="0.25">
      <c r="B992" s="20">
        <v>989</v>
      </c>
      <c r="C992" s="21">
        <f>Tableau!$G$17*COS(B992*PI()/180)+Tableau!$G$16</f>
        <v>19912.737967813577</v>
      </c>
      <c r="D992" s="21">
        <f>Tableau!$G$17*SIN(B992*PI()/180)+Tableau!$H$16</f>
        <v>2500.7615242180436</v>
      </c>
      <c r="F992" s="28">
        <v>989</v>
      </c>
      <c r="G992" s="29">
        <f>Tableau!$G$26*COS(F992*PI()/180)+Tableau!$G$25</f>
        <v>-20061.083422530497</v>
      </c>
      <c r="H992" s="29">
        <f>Tableau!$G$26*SIN(F992*PI()/180)+Tableau!$H$25</f>
        <v>6500.5330669526302</v>
      </c>
      <c r="J992" s="36">
        <v>989</v>
      </c>
      <c r="K992" s="37">
        <f>Tableau!$G$36*COS(J992*PI()/180)+Tableau!$G$35</f>
        <v>-5087.2620321864242</v>
      </c>
      <c r="L992" s="37">
        <f>Tableau!$G$36*SIN(J992*PI()/180)+Tableau!$H$35</f>
        <v>-19999.238475781956</v>
      </c>
      <c r="N992" s="92">
        <v>988</v>
      </c>
      <c r="O992" s="93">
        <v>494</v>
      </c>
      <c r="P992" s="96">
        <f>P991+R991*Tableau!$G$2+((1/2)*T991)*Tableau!$G$2^2</f>
        <v>116210.2023661663</v>
      </c>
      <c r="Q992" s="96">
        <f>Q991+S991*Tableau!$G$2+((1/2)*U991)*Tableau!$G$2^2</f>
        <v>-338075.45761006081</v>
      </c>
      <c r="R992" s="96">
        <f>R991+T991*Tableau!$G$2</f>
        <v>551.43676526755155</v>
      </c>
      <c r="S992" s="96">
        <f>S991+U991*Tableau!$G$2</f>
        <v>-400.95674958332972</v>
      </c>
      <c r="T992" s="96">
        <f t="shared" si="30"/>
        <v>-3.1009971881872938</v>
      </c>
      <c r="U992" s="96">
        <f t="shared" si="31"/>
        <v>9.2238565164766548</v>
      </c>
      <c r="V992" s="96">
        <f>((Tableau!$G$16-P992)/(AC992^2+Tableau!$G$21^2)^(3/2))*Tableau!$G$20</f>
        <v>-1.0900669940324985</v>
      </c>
      <c r="W992" s="96">
        <f>((Tableau!$H$16-Q992)/(AC992^2+Tableau!$G$21^2)^(3/2))*Tableau!$G$20</f>
        <v>3.9153893352673812</v>
      </c>
      <c r="X992" s="96">
        <f>((Tableau!$G$25-P992)/(AD992^2+Tableau!$G$30^2)^(3/2))*Tableau!$G$29</f>
        <v>-0.46820268475109433</v>
      </c>
      <c r="Y992" s="96">
        <f>((Tableau!$H$25-Q992)/(AD992^2+Tableau!$G$30^2)^(3/2))*Tableau!$G$29</f>
        <v>1.1964585685798586</v>
      </c>
      <c r="Z992" s="96">
        <f>((Tableau!$G$35-P992)/(AE992^2+Tableau!$G$40^2)^(3/2))*Tableau!$G$39</f>
        <v>-1.5427275094037012</v>
      </c>
      <c r="AA992" s="97">
        <f>((Tableau!$H$35-Q992)/(AE992^2+Tableau!$G$40^2)^(3/2))*Tableau!$G$39</f>
        <v>4.1120086126294151</v>
      </c>
      <c r="AC992" s="110">
        <f>SQRT((Tableau!$G$16-P992)^2+(Tableau!$H$16-Q992)^2)</f>
        <v>358718.27377726603</v>
      </c>
      <c r="AD992" s="111">
        <f>SQRT((Tableau!$G$25-P992)^2+(Tableau!$H$25-Q992)^2)</f>
        <v>373777.66575744626</v>
      </c>
      <c r="AE992" s="112">
        <f>SQRT((Tableau!$G$35-P992)^2+(Tableau!$H$35-Q992)^2)</f>
        <v>345064.7250409656</v>
      </c>
    </row>
    <row r="993" spans="2:31" x14ac:dyDescent="0.25">
      <c r="B993" s="18">
        <v>990</v>
      </c>
      <c r="C993" s="19">
        <f>Tableau!$G$17*COS(B993*PI()/180)+Tableau!$G$16</f>
        <v>20000.000000000007</v>
      </c>
      <c r="D993" s="19">
        <f>Tableau!$G$17*SIN(B993*PI()/180)+Tableau!$H$16</f>
        <v>2500</v>
      </c>
      <c r="F993" s="26">
        <v>990</v>
      </c>
      <c r="G993" s="27">
        <f>Tableau!$G$26*COS(F993*PI()/180)+Tableau!$G$25</f>
        <v>-19999.999999999996</v>
      </c>
      <c r="H993" s="27">
        <f>Tableau!$G$26*SIN(F993*PI()/180)+Tableau!$H$25</f>
        <v>6500</v>
      </c>
      <c r="J993" s="34">
        <v>990</v>
      </c>
      <c r="K993" s="35">
        <f>Tableau!$G$36*COS(J993*PI()/180)+Tableau!$G$35</f>
        <v>-4999.9999999999945</v>
      </c>
      <c r="L993" s="35">
        <f>Tableau!$G$36*SIN(J993*PI()/180)+Tableau!$H$35</f>
        <v>-20000</v>
      </c>
      <c r="N993" s="98">
        <v>989</v>
      </c>
      <c r="O993" s="99">
        <v>494.5</v>
      </c>
      <c r="P993" s="101">
        <f>P992+R992*Tableau!$G$2+((1/2)*T992)*Tableau!$G$2^2</f>
        <v>116485.53312415154</v>
      </c>
      <c r="Q993" s="101">
        <f>Q992+S992*Tableau!$G$2+((1/2)*U992)*Tableau!$G$2^2</f>
        <v>-338274.78300278791</v>
      </c>
      <c r="R993" s="101">
        <f>R992+T992*Tableau!$G$2</f>
        <v>549.88626667345795</v>
      </c>
      <c r="S993" s="101">
        <f>S992+U992*Tableau!$G$2</f>
        <v>-396.3448213250914</v>
      </c>
      <c r="T993" s="101">
        <f t="shared" si="30"/>
        <v>-3.1012666128943751</v>
      </c>
      <c r="U993" s="101">
        <f t="shared" si="31"/>
        <v>9.207788642054954</v>
      </c>
      <c r="V993" s="101">
        <f>((Tableau!$G$16-P993)/(AC993^2+Tableau!$G$21^2)^(3/2))*Tableau!$G$20</f>
        <v>-1.0907607391255125</v>
      </c>
      <c r="W993" s="101">
        <f>((Tableau!$H$16-Q993)/(AC993^2+Tableau!$G$21^2)^(3/2))*Tableau!$G$20</f>
        <v>3.9089544895169097</v>
      </c>
      <c r="X993" s="101">
        <f>((Tableau!$G$25-P993)/(AD993^2+Tableau!$G$30^2)^(3/2))*Tableau!$G$29</f>
        <v>-0.46807419690353125</v>
      </c>
      <c r="Y993" s="101">
        <f>((Tableau!$H$25-Q993)/(AD993^2+Tableau!$G$30^2)^(3/2))*Tableau!$G$29</f>
        <v>1.1944008689001118</v>
      </c>
      <c r="Z993" s="101">
        <f>((Tableau!$G$35-P993)/(AE993^2+Tableau!$G$40^2)^(3/2))*Tableau!$G$39</f>
        <v>-1.5424316768653312</v>
      </c>
      <c r="AA993" s="102">
        <f>((Tableau!$H$35-Q993)/(AE993^2+Tableau!$G$40^2)^(3/2))*Tableau!$G$39</f>
        <v>4.1044332836379338</v>
      </c>
      <c r="AC993" s="113">
        <f>SQRT((Tableau!$G$16-P993)^2+(Tableau!$H$16-Q993)^2)</f>
        <v>358984.20391832956</v>
      </c>
      <c r="AD993" s="114">
        <f>SQRT((Tableau!$G$25-P993)^2+(Tableau!$H$25-Q993)^2)</f>
        <v>374063.66467196849</v>
      </c>
      <c r="AE993" s="115">
        <f>SQRT((Tableau!$G$35-P993)^2+(Tableau!$H$35-Q993)^2)</f>
        <v>345348.11434834695</v>
      </c>
    </row>
    <row r="994" spans="2:31" x14ac:dyDescent="0.25">
      <c r="B994" s="20">
        <v>991</v>
      </c>
      <c r="C994" s="21">
        <f>Tableau!$G$17*COS(B994*PI()/180)+Tableau!$G$16</f>
        <v>20087.262032186416</v>
      </c>
      <c r="D994" s="21">
        <f>Tableau!$G$17*SIN(B994*PI()/180)+Tableau!$H$16</f>
        <v>2500.7615242180436</v>
      </c>
      <c r="F994" s="28">
        <v>991</v>
      </c>
      <c r="G994" s="29">
        <f>Tableau!$G$26*COS(F994*PI()/180)+Tableau!$G$25</f>
        <v>-19938.916577469507</v>
      </c>
      <c r="H994" s="29">
        <f>Tableau!$G$26*SIN(F994*PI()/180)+Tableau!$H$25</f>
        <v>6500.5330669526302</v>
      </c>
      <c r="J994" s="36">
        <v>991</v>
      </c>
      <c r="K994" s="37">
        <f>Tableau!$G$36*COS(J994*PI()/180)+Tableau!$G$35</f>
        <v>-4912.7379678135821</v>
      </c>
      <c r="L994" s="37">
        <f>Tableau!$G$36*SIN(J994*PI()/180)+Tableau!$H$35</f>
        <v>-19999.238475781956</v>
      </c>
      <c r="N994" s="92">
        <v>990</v>
      </c>
      <c r="O994" s="93">
        <v>495</v>
      </c>
      <c r="P994" s="96">
        <f>P993+R993*Tableau!$G$2+((1/2)*T993)*Tableau!$G$2^2</f>
        <v>116760.08859916165</v>
      </c>
      <c r="Q994" s="96">
        <f>Q993+S993*Tableau!$G$2+((1/2)*U993)*Tableau!$G$2^2</f>
        <v>-338471.80443987017</v>
      </c>
      <c r="R994" s="96">
        <f>R993+T993*Tableau!$G$2</f>
        <v>548.33563336701081</v>
      </c>
      <c r="S994" s="96">
        <f>S993+U993*Tableau!$G$2</f>
        <v>-391.74092700406391</v>
      </c>
      <c r="T994" s="96">
        <f t="shared" si="30"/>
        <v>-3.1015632258463359</v>
      </c>
      <c r="U994" s="96">
        <f t="shared" si="31"/>
        <v>9.1918793118129507</v>
      </c>
      <c r="V994" s="96">
        <f>((Tableau!$G$16-P994)/(AC994^2+Tableau!$G$21^2)^(3/2))*Tableau!$G$20</f>
        <v>-1.0914600586943839</v>
      </c>
      <c r="W994" s="96">
        <f>((Tableau!$H$16-Q994)/(AC994^2+Tableau!$G$21^2)^(3/2))*Tableau!$G$20</f>
        <v>3.9025843345891094</v>
      </c>
      <c r="X994" s="96">
        <f>((Tableau!$G$25-P994)/(AD994^2+Tableau!$G$30^2)^(3/2))*Tableau!$G$29</f>
        <v>-0.46795077097159149</v>
      </c>
      <c r="Y994" s="96">
        <f>((Tableau!$H$25-Q994)/(AD994^2+Tableau!$G$30^2)^(3/2))*Tableau!$G$29</f>
        <v>1.1923628539569293</v>
      </c>
      <c r="Z994" s="96">
        <f>((Tableau!$G$35-P994)/(AE994^2+Tableau!$G$40^2)^(3/2))*Tableau!$G$39</f>
        <v>-1.5421523961803607</v>
      </c>
      <c r="AA994" s="97">
        <f>((Tableau!$H$35-Q994)/(AE994^2+Tableau!$G$40^2)^(3/2))*Tableau!$G$39</f>
        <v>4.0969321232669129</v>
      </c>
      <c r="AC994" s="110">
        <f>SQRT((Tableau!$G$16-P994)^2+(Tableau!$H$16-Q994)^2)</f>
        <v>359247.8311877434</v>
      </c>
      <c r="AD994" s="111">
        <f>SQRT((Tableau!$G$25-P994)^2+(Tableau!$H$25-Q994)^2)</f>
        <v>374347.32578613365</v>
      </c>
      <c r="AE994" s="112">
        <f>SQRT((Tableau!$G$35-P994)^2+(Tableau!$H$35-Q994)^2)</f>
        <v>345629.17620371882</v>
      </c>
    </row>
    <row r="995" spans="2:31" x14ac:dyDescent="0.25">
      <c r="B995" s="18">
        <v>992</v>
      </c>
      <c r="C995" s="19">
        <f>Tableau!$G$17*COS(B995*PI()/180)+Tableau!$G$16</f>
        <v>20174.497483512499</v>
      </c>
      <c r="D995" s="19">
        <f>Tableau!$G$17*SIN(B995*PI()/180)+Tableau!$H$16</f>
        <v>2503.0458649045213</v>
      </c>
      <c r="F995" s="26">
        <v>992</v>
      </c>
      <c r="G995" s="27">
        <f>Tableau!$G$26*COS(F995*PI()/180)+Tableau!$G$25</f>
        <v>-19877.851761541249</v>
      </c>
      <c r="H995" s="27">
        <f>Tableau!$G$26*SIN(F995*PI()/180)+Tableau!$H$25</f>
        <v>6502.1321054331647</v>
      </c>
      <c r="J995" s="34">
        <v>992</v>
      </c>
      <c r="K995" s="35">
        <f>Tableau!$G$36*COS(J995*PI()/180)+Tableau!$G$35</f>
        <v>-4825.5025164875005</v>
      </c>
      <c r="L995" s="35">
        <f>Tableau!$G$36*SIN(J995*PI()/180)+Tableau!$H$35</f>
        <v>-19996.954135095479</v>
      </c>
      <c r="N995" s="98">
        <v>991</v>
      </c>
      <c r="O995" s="99">
        <v>495.5</v>
      </c>
      <c r="P995" s="101">
        <f>P994+R994*Tableau!$G$2+((1/2)*T994)*Tableau!$G$2^2</f>
        <v>117033.86872044193</v>
      </c>
      <c r="Q995" s="101">
        <f>Q994+S994*Tableau!$G$2+((1/2)*U994)*Tableau!$G$2^2</f>
        <v>-338666.52591845818</v>
      </c>
      <c r="R995" s="101">
        <f>R994+T994*Tableau!$G$2</f>
        <v>546.78485175408764</v>
      </c>
      <c r="S995" s="101">
        <f>S994+U994*Tableau!$G$2</f>
        <v>-387.14498734815743</v>
      </c>
      <c r="T995" s="101">
        <f t="shared" si="30"/>
        <v>-3.1018870298230024</v>
      </c>
      <c r="U995" s="101">
        <f t="shared" si="31"/>
        <v>9.1761273100823431</v>
      </c>
      <c r="V995" s="101">
        <f>((Tableau!$G$16-P995)/(AC995^2+Tableau!$G$21^2)^(3/2))*Tableau!$G$20</f>
        <v>-1.0921650078316902</v>
      </c>
      <c r="W995" s="101">
        <f>((Tableau!$H$16-Q995)/(AC995^2+Tableau!$G$21^2)^(3/2))*Tableau!$G$20</f>
        <v>3.8962783971856054</v>
      </c>
      <c r="X995" s="101">
        <f>((Tableau!$G$25-P995)/(AD995^2+Tableau!$G$30^2)^(3/2))*Tableau!$G$29</f>
        <v>-0.46783239146132616</v>
      </c>
      <c r="Y995" s="101">
        <f>((Tableau!$H$25-Q995)/(AD995^2+Tableau!$G$30^2)^(3/2))*Tableau!$G$29</f>
        <v>1.1903443737381092</v>
      </c>
      <c r="Z995" s="101">
        <f>((Tableau!$G$35-P995)/(AE995^2+Tableau!$G$40^2)^(3/2))*Tableau!$G$39</f>
        <v>-1.5418896305299858</v>
      </c>
      <c r="AA995" s="102">
        <f>((Tableau!$H$35-Q995)/(AE995^2+Tableau!$G$40^2)^(3/2))*Tableau!$G$39</f>
        <v>4.0895045391586295</v>
      </c>
      <c r="AC995" s="113">
        <f>SQRT((Tableau!$G$16-P995)^2+(Tableau!$H$16-Q995)^2)</f>
        <v>359509.15891714155</v>
      </c>
      <c r="AD995" s="114">
        <f>SQRT((Tableau!$G$25-P995)^2+(Tableau!$H$25-Q995)^2)</f>
        <v>374628.65276502573</v>
      </c>
      <c r="AE995" s="115">
        <f>SQRT((Tableau!$G$35-P995)^2+(Tableau!$H$35-Q995)^2)</f>
        <v>345907.91421273095</v>
      </c>
    </row>
    <row r="996" spans="2:31" x14ac:dyDescent="0.25">
      <c r="B996" s="20">
        <v>993</v>
      </c>
      <c r="C996" s="21">
        <f>Tableau!$G$17*COS(B996*PI()/180)+Tableau!$G$16</f>
        <v>20261.679781214727</v>
      </c>
      <c r="D996" s="21">
        <f>Tableau!$G$17*SIN(B996*PI()/180)+Tableau!$H$16</f>
        <v>2506.852326227131</v>
      </c>
      <c r="F996" s="28">
        <v>993</v>
      </c>
      <c r="G996" s="29">
        <f>Tableau!$G$26*COS(F996*PI()/180)+Tableau!$G$25</f>
        <v>-19816.824153149693</v>
      </c>
      <c r="H996" s="29">
        <f>Tableau!$G$26*SIN(F996*PI()/180)+Tableau!$H$25</f>
        <v>6504.7966283589922</v>
      </c>
      <c r="J996" s="36">
        <v>993</v>
      </c>
      <c r="K996" s="37">
        <f>Tableau!$G$36*COS(J996*PI()/180)+Tableau!$G$35</f>
        <v>-4738.3202187852739</v>
      </c>
      <c r="L996" s="37">
        <f>Tableau!$G$36*SIN(J996*PI()/180)+Tableau!$H$35</f>
        <v>-19993.14767377287</v>
      </c>
      <c r="N996" s="92">
        <v>992</v>
      </c>
      <c r="O996" s="93">
        <v>496</v>
      </c>
      <c r="P996" s="96">
        <f>P995+R995*Tableau!$G$2+((1/2)*T995)*Tableau!$G$2^2</f>
        <v>117306.87341044024</v>
      </c>
      <c r="Q996" s="96">
        <f>Q995+S995*Tableau!$G$2+((1/2)*U995)*Tableau!$G$2^2</f>
        <v>-338858.9513962185</v>
      </c>
      <c r="R996" s="96">
        <f>R995+T995*Tableau!$G$2</f>
        <v>545.23390823917612</v>
      </c>
      <c r="S996" s="96">
        <f>S995+U995*Tableau!$G$2</f>
        <v>-382.55692369311623</v>
      </c>
      <c r="T996" s="96">
        <f t="shared" si="30"/>
        <v>-3.1022380285609144</v>
      </c>
      <c r="U996" s="96">
        <f t="shared" si="31"/>
        <v>9.1605314381738054</v>
      </c>
      <c r="V996" s="96">
        <f>((Tableau!$G$16-P996)/(AC996^2+Tableau!$G$21^2)^(3/2))*Tableau!$G$20</f>
        <v>-1.0928756412464573</v>
      </c>
      <c r="W996" s="96">
        <f>((Tableau!$H$16-Q996)/(AC996^2+Tableau!$G$21^2)^(3/2))*Tableau!$G$20</f>
        <v>3.890036210617573</v>
      </c>
      <c r="X996" s="96">
        <f>((Tableau!$G$25-P996)/(AD996^2+Tableau!$G$30^2)^(3/2))*Tableau!$G$29</f>
        <v>-0.46771904322607682</v>
      </c>
      <c r="Y996" s="96">
        <f>((Tableau!$H$25-Q996)/(AD996^2+Tableau!$G$30^2)^(3/2))*Tableau!$G$29</f>
        <v>1.1883452802843093</v>
      </c>
      <c r="Z996" s="96">
        <f>((Tableau!$G$35-P996)/(AE996^2+Tableau!$G$40^2)^(3/2))*Tableau!$G$39</f>
        <v>-1.5416433440883799</v>
      </c>
      <c r="AA996" s="97">
        <f>((Tableau!$H$35-Q996)/(AE996^2+Tableau!$G$40^2)^(3/2))*Tableau!$G$39</f>
        <v>4.0821499472719234</v>
      </c>
      <c r="AC996" s="110">
        <f>SQRT((Tableau!$G$16-P996)^2+(Tableau!$H$16-Q996)^2)</f>
        <v>359768.19040210254</v>
      </c>
      <c r="AD996" s="111">
        <f>SQRT((Tableau!$G$25-P996)^2+(Tableau!$H$25-Q996)^2)</f>
        <v>374907.64923514141</v>
      </c>
      <c r="AE996" s="112">
        <f>SQRT((Tableau!$G$35-P996)^2+(Tableau!$H$35-Q996)^2)</f>
        <v>346184.33194310754</v>
      </c>
    </row>
    <row r="997" spans="2:31" x14ac:dyDescent="0.25">
      <c r="B997" s="18">
        <v>994</v>
      </c>
      <c r="C997" s="19">
        <f>Tableau!$G$17*COS(B997*PI()/180)+Tableau!$G$16</f>
        <v>20348.782368720629</v>
      </c>
      <c r="D997" s="19">
        <f>Tableau!$G$17*SIN(B997*PI()/180)+Tableau!$H$16</f>
        <v>2512.1797487008789</v>
      </c>
      <c r="F997" s="26">
        <v>994</v>
      </c>
      <c r="G997" s="27">
        <f>Tableau!$G$26*COS(F997*PI()/180)+Tableau!$G$25</f>
        <v>-19755.852341895559</v>
      </c>
      <c r="H997" s="27">
        <f>Tableau!$G$26*SIN(F997*PI()/180)+Tableau!$H$25</f>
        <v>6508.5258240906151</v>
      </c>
      <c r="J997" s="34">
        <v>994</v>
      </c>
      <c r="K997" s="35">
        <f>Tableau!$G$36*COS(J997*PI()/180)+Tableau!$G$35</f>
        <v>-4651.2176312793717</v>
      </c>
      <c r="L997" s="35">
        <f>Tableau!$G$36*SIN(J997*PI()/180)+Tableau!$H$35</f>
        <v>-19987.820251299119</v>
      </c>
      <c r="N997" s="98">
        <v>993</v>
      </c>
      <c r="O997" s="99">
        <v>496.5</v>
      </c>
      <c r="P997" s="101">
        <f>P996+R996*Tableau!$G$2+((1/2)*T996)*Tableau!$G$2^2</f>
        <v>117579.10258480626</v>
      </c>
      <c r="Q997" s="101">
        <f>Q996+S996*Tableau!$G$2+((1/2)*U996)*Tableau!$G$2^2</f>
        <v>-339049.08479163534</v>
      </c>
      <c r="R997" s="101">
        <f>R996+T996*Tableau!$G$2</f>
        <v>543.68278922489571</v>
      </c>
      <c r="S997" s="101">
        <f>S996+U996*Tableau!$G$2</f>
        <v>-377.97665797402931</v>
      </c>
      <c r="T997" s="101">
        <f t="shared" si="30"/>
        <v>-3.1026162267598911</v>
      </c>
      <c r="U997" s="101">
        <f t="shared" si="31"/>
        <v>9.1450905141355641</v>
      </c>
      <c r="V997" s="101">
        <f>((Tableau!$G$16-P997)/(AC997^2+Tableau!$G$21^2)^(3/2))*Tableau!$G$20</f>
        <v>-1.0935920132791233</v>
      </c>
      <c r="W997" s="101">
        <f>((Tableau!$H$16-Q997)/(AC997^2+Tableau!$G$21^2)^(3/2))*Tableau!$G$20</f>
        <v>3.8838573147149682</v>
      </c>
      <c r="X997" s="101">
        <f>((Tableau!$G$25-P997)/(AD997^2+Tableau!$G$30^2)^(3/2))*Tableau!$G$29</f>
        <v>-0.46761071146349636</v>
      </c>
      <c r="Y997" s="101">
        <f>((Tableau!$H$25-Q997)/(AD997^2+Tableau!$G$30^2)^(3/2))*Tableau!$G$29</f>
        <v>1.1863654276599722</v>
      </c>
      <c r="Z997" s="101">
        <f>((Tableau!$G$35-P997)/(AE997^2+Tableau!$G$40^2)^(3/2))*Tableau!$G$39</f>
        <v>-1.5414135020172717</v>
      </c>
      <c r="AA997" s="102">
        <f>((Tableau!$H$35-Q997)/(AE997^2+Tableau!$G$40^2)^(3/2))*Tableau!$G$39</f>
        <v>4.0748677717606236</v>
      </c>
      <c r="AC997" s="113">
        <f>SQRT((Tableau!$G$16-P997)^2+(Tableau!$H$16-Q997)^2)</f>
        <v>360024.92890239728</v>
      </c>
      <c r="AD997" s="114">
        <f>SQRT((Tableau!$G$25-P997)^2+(Tableau!$H$25-Q997)^2)</f>
        <v>375184.31878467265</v>
      </c>
      <c r="AE997" s="115">
        <f>SQRT((Tableau!$G$35-P997)^2+(Tableau!$H$35-Q997)^2)</f>
        <v>346458.43292492238</v>
      </c>
    </row>
    <row r="998" spans="2:31" x14ac:dyDescent="0.25">
      <c r="B998" s="20">
        <v>995</v>
      </c>
      <c r="C998" s="21">
        <f>Tableau!$G$17*COS(B998*PI()/180)+Tableau!$G$16</f>
        <v>20435.778713738287</v>
      </c>
      <c r="D998" s="21">
        <f>Tableau!$G$17*SIN(B998*PI()/180)+Tableau!$H$16</f>
        <v>2519.0265095412724</v>
      </c>
      <c r="F998" s="28">
        <v>995</v>
      </c>
      <c r="G998" s="29">
        <f>Tableau!$G$26*COS(F998*PI()/180)+Tableau!$G$25</f>
        <v>-19694.9549003832</v>
      </c>
      <c r="H998" s="29">
        <f>Tableau!$G$26*SIN(F998*PI()/180)+Tableau!$H$25</f>
        <v>6513.3185566788907</v>
      </c>
      <c r="J998" s="36">
        <v>995</v>
      </c>
      <c r="K998" s="37">
        <f>Tableau!$G$36*COS(J998*PI()/180)+Tableau!$G$35</f>
        <v>-4564.2212862617125</v>
      </c>
      <c r="L998" s="37">
        <f>Tableau!$G$36*SIN(J998*PI()/180)+Tableau!$H$35</f>
        <v>-19980.973490458728</v>
      </c>
      <c r="N998" s="92">
        <v>994</v>
      </c>
      <c r="O998" s="93">
        <v>497</v>
      </c>
      <c r="P998" s="96">
        <f>P997+R997*Tableau!$G$2+((1/2)*T997)*Tableau!$G$2^2</f>
        <v>117850.55615239036</v>
      </c>
      <c r="Q998" s="96">
        <f>Q997+S997*Tableau!$G$2+((1/2)*U997)*Tableau!$G$2^2</f>
        <v>-339236.92998430808</v>
      </c>
      <c r="R998" s="96">
        <f>R997+T997*Tableau!$G$2</f>
        <v>542.13148111151577</v>
      </c>
      <c r="S998" s="96">
        <f>S997+U997*Tableau!$G$2</f>
        <v>-373.40411271696155</v>
      </c>
      <c r="T998" s="96">
        <f t="shared" si="30"/>
        <v>-3.1030216300893776</v>
      </c>
      <c r="U998" s="96">
        <f t="shared" si="31"/>
        <v>9.1298033725161112</v>
      </c>
      <c r="V998" s="96">
        <f>((Tableau!$G$16-P998)/(AC998^2+Tableau!$G$21^2)^(3/2))*Tableau!$G$20</f>
        <v>-1.0943141779161922</v>
      </c>
      <c r="W998" s="96">
        <f>((Tableau!$H$16-Q998)/(AC998^2+Tableau!$G$21^2)^(3/2))*Tableau!$G$20</f>
        <v>3.8777412557372908</v>
      </c>
      <c r="X998" s="96">
        <f>((Tableau!$G$25-P998)/(AD998^2+Tableau!$G$30^2)^(3/2))*Tableau!$G$29</f>
        <v>-0.46750738171264866</v>
      </c>
      <c r="Y998" s="96">
        <f>((Tableau!$H$25-Q998)/(AD998^2+Tableau!$G$30^2)^(3/2))*Tableau!$G$29</f>
        <v>1.1844046719248313</v>
      </c>
      <c r="Z998" s="96">
        <f>((Tableau!$G$35-P998)/(AE998^2+Tableau!$G$40^2)^(3/2))*Tableau!$G$39</f>
        <v>-1.5412000704605366</v>
      </c>
      <c r="AA998" s="97">
        <f>((Tableau!$H$35-Q998)/(AE998^2+Tableau!$G$40^2)^(3/2))*Tableau!$G$39</f>
        <v>4.0676574448539897</v>
      </c>
      <c r="AC998" s="110">
        <f>SQRT((Tableau!$G$16-P998)^2+(Tableau!$H$16-Q998)^2)</f>
        <v>360279.37764223345</v>
      </c>
      <c r="AD998" s="111">
        <f>SQRT((Tableau!$G$25-P998)^2+(Tableau!$H$25-Q998)^2)</f>
        <v>375458.66496378509</v>
      </c>
      <c r="AE998" s="112">
        <f>SQRT((Tableau!$G$35-P998)^2+(Tableau!$H$35-Q998)^2)</f>
        <v>346730.2206508696</v>
      </c>
    </row>
    <row r="999" spans="2:31" x14ac:dyDescent="0.25">
      <c r="B999" s="18">
        <v>996</v>
      </c>
      <c r="C999" s="19">
        <f>Tableau!$G$17*COS(B999*PI()/180)+Tableau!$G$16</f>
        <v>20522.642316338257</v>
      </c>
      <c r="D999" s="19">
        <f>Tableau!$G$17*SIN(B999*PI()/180)+Tableau!$H$16</f>
        <v>2527.3905231586323</v>
      </c>
      <c r="F999" s="26">
        <v>996</v>
      </c>
      <c r="G999" s="27">
        <f>Tableau!$G$26*COS(F999*PI()/180)+Tableau!$G$25</f>
        <v>-19634.150378563219</v>
      </c>
      <c r="H999" s="27">
        <f>Tableau!$G$26*SIN(F999*PI()/180)+Tableau!$H$25</f>
        <v>6519.1733662110428</v>
      </c>
      <c r="J999" s="34">
        <v>996</v>
      </c>
      <c r="K999" s="35">
        <f>Tableau!$G$36*COS(J999*PI()/180)+Tableau!$G$35</f>
        <v>-4477.3576836617422</v>
      </c>
      <c r="L999" s="35">
        <f>Tableau!$G$36*SIN(J999*PI()/180)+Tableau!$H$35</f>
        <v>-19972.609476841368</v>
      </c>
      <c r="N999" s="98">
        <v>995</v>
      </c>
      <c r="O999" s="99">
        <v>497.5</v>
      </c>
      <c r="P999" s="101">
        <f>P998+R998*Tableau!$G$2+((1/2)*T998)*Tableau!$G$2^2</f>
        <v>118121.23401524236</v>
      </c>
      <c r="Q999" s="101">
        <f>Q998+S998*Tableau!$G$2+((1/2)*U998)*Tableau!$G$2^2</f>
        <v>-339422.49081524496</v>
      </c>
      <c r="R999" s="101">
        <f>R998+T998*Tableau!$G$2</f>
        <v>540.57997029647106</v>
      </c>
      <c r="S999" s="101">
        <f>S998+U998*Tableau!$G$2</f>
        <v>-368.8392110307035</v>
      </c>
      <c r="T999" s="101">
        <f t="shared" si="30"/>
        <v>-3.1034542451946718</v>
      </c>
      <c r="U999" s="101">
        <f t="shared" si="31"/>
        <v>9.1146688641312501</v>
      </c>
      <c r="V999" s="101">
        <f>((Tableau!$G$16-P999)/(AC999^2+Tableau!$G$21^2)^(3/2))*Tableau!$G$20</f>
        <v>-1.0950421888046347</v>
      </c>
      <c r="W999" s="101">
        <f>((Tableau!$H$16-Q999)/(AC999^2+Tableau!$G$21^2)^(3/2))*Tableau!$G$20</f>
        <v>3.871687586286042</v>
      </c>
      <c r="X999" s="101">
        <f>((Tableau!$G$25-P999)/(AD999^2+Tableau!$G$30^2)^(3/2))*Tableau!$G$29</f>
        <v>-0.46740903985117027</v>
      </c>
      <c r="Y999" s="101">
        <f>((Tableau!$H$25-Q999)/(AD999^2+Tableau!$G$30^2)^(3/2))*Tableau!$G$29</f>
        <v>1.1824628711059335</v>
      </c>
      <c r="Z999" s="101">
        <f>((Tableau!$G$35-P999)/(AE999^2+Tableau!$G$40^2)^(3/2))*Tableau!$G$39</f>
        <v>-1.5410030165388671</v>
      </c>
      <c r="AA999" s="102">
        <f>((Tableau!$H$35-Q999)/(AE999^2+Tableau!$G$40^2)^(3/2))*Tableau!$G$39</f>
        <v>4.0605184067392752</v>
      </c>
      <c r="AC999" s="113">
        <f>SQRT((Tableau!$G$16-P999)^2+(Tableau!$H$16-Q999)^2)</f>
        <v>360531.53981049656</v>
      </c>
      <c r="AD999" s="114">
        <f>SQRT((Tableau!$G$25-P999)^2+(Tableau!$H$25-Q999)^2)</f>
        <v>375730.69128489267</v>
      </c>
      <c r="AE999" s="115">
        <f>SQRT((Tableau!$G$35-P999)^2+(Tableau!$H$35-Q999)^2)</f>
        <v>346999.69857653155</v>
      </c>
    </row>
    <row r="1000" spans="2:31" x14ac:dyDescent="0.25">
      <c r="B1000" s="20">
        <v>997</v>
      </c>
      <c r="C1000" s="21">
        <f>Tableau!$G$17*COS(B1000*PI()/180)+Tableau!$G$16</f>
        <v>20609.346717025739</v>
      </c>
      <c r="D1000" s="21">
        <f>Tableau!$G$17*SIN(B1000*PI()/180)+Tableau!$H$16</f>
        <v>2537.2692417933904</v>
      </c>
      <c r="F1000" s="28">
        <v>997</v>
      </c>
      <c r="G1000" s="29">
        <f>Tableau!$G$26*COS(F1000*PI()/180)+Tableau!$G$25</f>
        <v>-19573.457298081983</v>
      </c>
      <c r="H1000" s="29">
        <f>Tableau!$G$26*SIN(F1000*PI()/180)+Tableau!$H$25</f>
        <v>6526.0884692553736</v>
      </c>
      <c r="J1000" s="36">
        <v>997</v>
      </c>
      <c r="K1000" s="37">
        <f>Tableau!$G$36*COS(J1000*PI()/180)+Tableau!$G$35</f>
        <v>-4390.6532829742591</v>
      </c>
      <c r="L1000" s="37">
        <f>Tableau!$G$36*SIN(J1000*PI()/180)+Tableau!$H$35</f>
        <v>-19962.73075820661</v>
      </c>
      <c r="N1000" s="92">
        <v>996</v>
      </c>
      <c r="O1000" s="93">
        <v>498</v>
      </c>
      <c r="P1000" s="96">
        <f>P999+R999*Tableau!$G$2+((1/2)*T999)*Tableau!$G$2^2</f>
        <v>118391.13606860995</v>
      </c>
      <c r="Q1000" s="96">
        <f>Q999+S999*Tableau!$G$2+((1/2)*U999)*Tableau!$G$2^2</f>
        <v>-339605.7710871523</v>
      </c>
      <c r="R1000" s="96">
        <f>R999+T999*Tableau!$G$2</f>
        <v>539.02824317387376</v>
      </c>
      <c r="S1000" s="96">
        <f>S999+U999*Tableau!$G$2</f>
        <v>-364.28187659863789</v>
      </c>
      <c r="T1000" s="96">
        <f t="shared" si="30"/>
        <v>-3.1039140797032463</v>
      </c>
      <c r="U1000" s="96">
        <f t="shared" si="31"/>
        <v>9.0996858558359577</v>
      </c>
      <c r="V1000" s="96">
        <f>((Tableau!$G$16-P1000)/(AC1000^2+Tableau!$G$21^2)^(3/2))*Tableau!$G$20</f>
        <v>-1.0957760992660599</v>
      </c>
      <c r="W1000" s="96">
        <f>((Tableau!$H$16-Q1000)/(AC1000^2+Tableau!$G$21^2)^(3/2))*Tableau!$G$20</f>
        <v>3.8656958652189202</v>
      </c>
      <c r="X1000" s="96">
        <f>((Tableau!$G$25-P1000)/(AD1000^2+Tableau!$G$30^2)^(3/2))*Tableau!$G$29</f>
        <v>-0.4673156720924953</v>
      </c>
      <c r="Y1000" s="96">
        <f>((Tableau!$H$25-Q1000)/(AD1000^2+Tableau!$G$30^2)^(3/2))*Tableau!$G$29</f>
        <v>1.1805398851701805</v>
      </c>
      <c r="Z1000" s="96">
        <f>((Tableau!$G$35-P1000)/(AE1000^2+Tableau!$G$40^2)^(3/2))*Tableau!$G$39</f>
        <v>-1.5408223083446912</v>
      </c>
      <c r="AA1000" s="97">
        <f>((Tableau!$H$35-Q1000)/(AE1000^2+Tableau!$G$40^2)^(3/2))*Tableau!$G$39</f>
        <v>4.0534501054468572</v>
      </c>
      <c r="AC1000" s="110">
        <f>SQRT((Tableau!$G$16-P1000)^2+(Tableau!$H$16-Q1000)^2)</f>
        <v>360781.41856098728</v>
      </c>
      <c r="AD1000" s="111">
        <f>SQRT((Tableau!$G$25-P1000)^2+(Tableau!$H$25-Q1000)^2)</f>
        <v>376000.40122292802</v>
      </c>
      <c r="AE1000" s="112">
        <f>SQRT((Tableau!$G$35-P1000)^2+(Tableau!$H$35-Q1000)^2)</f>
        <v>347266.87012064212</v>
      </c>
    </row>
    <row r="1001" spans="2:31" x14ac:dyDescent="0.25">
      <c r="B1001" s="18">
        <v>998</v>
      </c>
      <c r="C1001" s="19">
        <f>Tableau!$G$17*COS(B1001*PI()/180)+Tableau!$G$16</f>
        <v>20695.865504800324</v>
      </c>
      <c r="D1001" s="19">
        <f>Tableau!$G$17*SIN(B1001*PI()/180)+Tableau!$H$16</f>
        <v>2548.6596562921486</v>
      </c>
      <c r="F1001" s="26">
        <v>998</v>
      </c>
      <c r="G1001" s="27">
        <f>Tableau!$G$26*COS(F1001*PI()/180)+Tableau!$G$25</f>
        <v>-19512.894146639774</v>
      </c>
      <c r="H1001" s="27">
        <f>Tableau!$G$26*SIN(F1001*PI()/180)+Tableau!$H$25</f>
        <v>6534.0617594045034</v>
      </c>
      <c r="J1001" s="34">
        <v>998</v>
      </c>
      <c r="K1001" s="35">
        <f>Tableau!$G$36*COS(J1001*PI()/180)+Tableau!$G$35</f>
        <v>-4304.1344951996753</v>
      </c>
      <c r="L1001" s="35">
        <f>Tableau!$G$36*SIN(J1001*PI()/180)+Tableau!$H$35</f>
        <v>-19951.340343707852</v>
      </c>
      <c r="N1001" s="98">
        <v>997</v>
      </c>
      <c r="O1001" s="99">
        <v>498.5</v>
      </c>
      <c r="P1001" s="101">
        <f>P1000+R1000*Tableau!$G$2+((1/2)*T1000)*Tableau!$G$2^2</f>
        <v>118660.26220093692</v>
      </c>
      <c r="Q1001" s="101">
        <f>Q1000+S1000*Tableau!$G$2+((1/2)*U1000)*Tableau!$G$2^2</f>
        <v>-339786.77456471964</v>
      </c>
      <c r="R1001" s="101">
        <f>R1000+T1000*Tableau!$G$2</f>
        <v>537.47628613402219</v>
      </c>
      <c r="S1001" s="101">
        <f>S1000+U1000*Tableau!$G$2</f>
        <v>-359.73203367071994</v>
      </c>
      <c r="T1001" s="101">
        <f t="shared" si="30"/>
        <v>-3.1044011422308753</v>
      </c>
      <c r="U1001" s="101">
        <f t="shared" si="31"/>
        <v>9.0848532303001122</v>
      </c>
      <c r="V1001" s="101">
        <f>((Tableau!$G$16-P1001)/(AC1001^2+Tableau!$G$21^2)^(3/2))*Tableau!$G$20</f>
        <v>-1.096515962310606</v>
      </c>
      <c r="W1001" s="101">
        <f>((Tableau!$H$16-Q1001)/(AC1001^2+Tableau!$G$21^2)^(3/2))*Tableau!$G$20</f>
        <v>3.8597656575654602</v>
      </c>
      <c r="X1001" s="101">
        <f>((Tableau!$G$25-P1001)/(AD1001^2+Tableau!$G$30^2)^(3/2))*Tableau!$G$29</f>
        <v>-0.46722726498313066</v>
      </c>
      <c r="Y1001" s="101">
        <f>((Tableau!$H$25-Q1001)/(AD1001^2+Tableau!$G$30^2)^(3/2))*Tableau!$G$29</f>
        <v>1.1786355759973501</v>
      </c>
      <c r="Z1001" s="101">
        <f>((Tableau!$G$35-P1001)/(AE1001^2+Tableau!$G$40^2)^(3/2))*Tableau!$G$39</f>
        <v>-1.5406579149371387</v>
      </c>
      <c r="AA1001" s="102">
        <f>((Tableau!$H$35-Q1001)/(AE1001^2+Tableau!$G$40^2)^(3/2))*Tableau!$G$39</f>
        <v>4.0464519967373018</v>
      </c>
      <c r="AC1001" s="113">
        <f>SQRT((Tableau!$G$16-P1001)^2+(Tableau!$H$16-Q1001)^2)</f>
        <v>361029.01701265515</v>
      </c>
      <c r="AD1001" s="114">
        <f>SQRT((Tableau!$G$25-P1001)^2+(Tableau!$H$25-Q1001)^2)</f>
        <v>376267.79821560945</v>
      </c>
      <c r="AE1001" s="115">
        <f>SQRT((Tableau!$G$35-P1001)^2+(Tableau!$H$35-Q1001)^2)</f>
        <v>347531.73866534617</v>
      </c>
    </row>
    <row r="1002" spans="2:31" x14ac:dyDescent="0.25">
      <c r="B1002" s="20">
        <v>999</v>
      </c>
      <c r="C1002" s="21">
        <f>Tableau!$G$17*COS(B1002*PI()/180)+Tableau!$G$16</f>
        <v>20782.172325201147</v>
      </c>
      <c r="D1002" s="21">
        <f>Tableau!$G$17*SIN(B1002*PI()/180)+Tableau!$H$16</f>
        <v>2561.5582970243104</v>
      </c>
      <c r="F1002" s="28">
        <v>999</v>
      </c>
      <c r="G1002" s="29">
        <f>Tableau!$G$26*COS(F1002*PI()/180)+Tableau!$G$25</f>
        <v>-19452.479372359197</v>
      </c>
      <c r="H1002" s="29">
        <f>Tableau!$G$26*SIN(F1002*PI()/180)+Tableau!$H$25</f>
        <v>6543.0908079170167</v>
      </c>
      <c r="J1002" s="36">
        <v>999</v>
      </c>
      <c r="K1002" s="37">
        <f>Tableau!$G$36*COS(J1002*PI()/180)+Tableau!$G$35</f>
        <v>-4217.827674798853</v>
      </c>
      <c r="L1002" s="37">
        <f>Tableau!$G$36*SIN(J1002*PI()/180)+Tableau!$H$35</f>
        <v>-19938.441702975688</v>
      </c>
      <c r="N1002" s="92">
        <v>998</v>
      </c>
      <c r="O1002" s="93">
        <v>499</v>
      </c>
      <c r="P1002" s="96">
        <f>P1001+R1001*Tableau!$G$2+((1/2)*T1001)*Tableau!$G$2^2</f>
        <v>118928.61229386115</v>
      </c>
      <c r="Q1002" s="96">
        <f>Q1001+S1001*Tableau!$G$2+((1/2)*U1001)*Tableau!$G$2^2</f>
        <v>-339965.50497490121</v>
      </c>
      <c r="R1002" s="96">
        <f>R1001+T1001*Tableau!$G$2</f>
        <v>535.92408556290673</v>
      </c>
      <c r="S1002" s="96">
        <f>S1001+U1001*Tableau!$G$2</f>
        <v>-355.18960705556987</v>
      </c>
      <c r="T1002" s="96">
        <f t="shared" si="30"/>
        <v>-3.1049154423877279</v>
      </c>
      <c r="U1002" s="96">
        <f t="shared" si="31"/>
        <v>9.0701698857884718</v>
      </c>
      <c r="V1002" s="96">
        <f>((Tableau!$G$16-P1002)/(AC1002^2+Tableau!$G$21^2)^(3/2))*Tableau!$G$20</f>
        <v>-1.0972618306505653</v>
      </c>
      <c r="W1002" s="96">
        <f>((Tableau!$H$16-Q1002)/(AC1002^2+Tableau!$G$21^2)^(3/2))*Tableau!$G$20</f>
        <v>3.8538965344441785</v>
      </c>
      <c r="X1002" s="96">
        <f>((Tableau!$G$25-P1002)/(AD1002^2+Tableau!$G$30^2)^(3/2))*Tableau!$G$29</f>
        <v>-0.46714380540001316</v>
      </c>
      <c r="Y1002" s="96">
        <f>((Tableau!$H$25-Q1002)/(AD1002^2+Tableau!$G$30^2)^(3/2))*Tableau!$G$29</f>
        <v>1.1767498073536611</v>
      </c>
      <c r="Z1002" s="96">
        <f>((Tableau!$G$35-P1002)/(AE1002^2+Tableau!$G$40^2)^(3/2))*Tableau!$G$39</f>
        <v>-1.5405098063371494</v>
      </c>
      <c r="AA1002" s="97">
        <f>((Tableau!$H$35-Q1002)/(AE1002^2+Tableau!$G$40^2)^(3/2))*Tableau!$G$39</f>
        <v>4.0395235439906321</v>
      </c>
      <c r="AC1002" s="110">
        <f>SQRT((Tableau!$G$16-P1002)^2+(Tableau!$H$16-Q1002)^2)</f>
        <v>361274.33824982948</v>
      </c>
      <c r="AD1002" s="111">
        <f>SQRT((Tableau!$G$25-P1002)^2+(Tableau!$H$25-Q1002)^2)</f>
        <v>376532.88566370349</v>
      </c>
      <c r="AE1002" s="112">
        <f>SQRT((Tableau!$G$35-P1002)^2+(Tableau!$H$35-Q1002)^2)</f>
        <v>347794.30755645601</v>
      </c>
    </row>
    <row r="1003" spans="2:31" x14ac:dyDescent="0.25">
      <c r="B1003" s="18">
        <v>1000</v>
      </c>
      <c r="C1003" s="19">
        <f>Tableau!$G$17*COS(B1003*PI()/180)+Tableau!$G$16</f>
        <v>20868.24088833464</v>
      </c>
      <c r="D1003" s="19">
        <f>Tableau!$G$17*SIN(B1003*PI()/180)+Tableau!$H$16</f>
        <v>2575.9612349389572</v>
      </c>
      <c r="F1003" s="26">
        <v>1000</v>
      </c>
      <c r="G1003" s="27">
        <f>Tableau!$G$26*COS(F1003*PI()/180)+Tableau!$G$25</f>
        <v>-19392.231378165754</v>
      </c>
      <c r="H1003" s="27">
        <f>Tableau!$G$26*SIN(F1003*PI()/180)+Tableau!$H$25</f>
        <v>6553.1728644572704</v>
      </c>
      <c r="J1003" s="34">
        <v>1000</v>
      </c>
      <c r="K1003" s="35">
        <f>Tableau!$G$36*COS(J1003*PI()/180)+Tableau!$G$35</f>
        <v>-4131.7591116653612</v>
      </c>
      <c r="L1003" s="35">
        <f>Tableau!$G$36*SIN(J1003*PI()/180)+Tableau!$H$35</f>
        <v>-19924.038765061043</v>
      </c>
      <c r="N1003" s="98">
        <v>999</v>
      </c>
      <c r="O1003" s="99">
        <v>499.5</v>
      </c>
      <c r="P1003" s="101">
        <f>P1002+R1002*Tableau!$G$2+((1/2)*T1002)*Tableau!$G$2^2</f>
        <v>119196.1862222123</v>
      </c>
      <c r="Q1003" s="101">
        <f>Q1002+S1002*Tableau!$G$2+((1/2)*U1002)*Tableau!$G$2^2</f>
        <v>-340141.96600719332</v>
      </c>
      <c r="R1003" s="101">
        <f>R1002+T1002*Tableau!$G$2</f>
        <v>534.37162784171289</v>
      </c>
      <c r="S1003" s="101">
        <f>S1002+U1002*Tableau!$G$2</f>
        <v>-350.65452211267564</v>
      </c>
      <c r="T1003" s="101">
        <f t="shared" si="30"/>
        <v>-3.1054569907844769</v>
      </c>
      <c r="U1003" s="101">
        <f t="shared" si="31"/>
        <v>9.0556347359449898</v>
      </c>
      <c r="V1003" s="101">
        <f>((Tableau!$G$16-P1003)/(AC1003^2+Tableau!$G$21^2)^(3/2))*Tableau!$G$20</f>
        <v>-1.0980137567138579</v>
      </c>
      <c r="W1003" s="101">
        <f>((Tableau!$H$16-Q1003)/(AC1003^2+Tableau!$G$21^2)^(3/2))*Tableau!$G$20</f>
        <v>3.8480880729815272</v>
      </c>
      <c r="X1003" s="101">
        <f>((Tableau!$G$25-P1003)/(AD1003^2+Tableau!$G$30^2)^(3/2))*Tableau!$G$29</f>
        <v>-0.46706528054790153</v>
      </c>
      <c r="Y1003" s="101">
        <f>((Tableau!$H$25-Q1003)/(AD1003^2+Tableau!$G$30^2)^(3/2))*Tableau!$G$29</f>
        <v>1.1748824448657682</v>
      </c>
      <c r="Z1003" s="101">
        <f>((Tableau!$G$35-P1003)/(AE1003^2+Tableau!$G$40^2)^(3/2))*Tableau!$G$39</f>
        <v>-1.5403779535227176</v>
      </c>
      <c r="AA1003" s="102">
        <f>((Tableau!$H$35-Q1003)/(AE1003^2+Tableau!$G$40^2)^(3/2))*Tableau!$G$39</f>
        <v>4.0326642180976942</v>
      </c>
      <c r="AC1003" s="113">
        <f>SQRT((Tableau!$G$16-P1003)^2+(Tableau!$H$16-Q1003)^2)</f>
        <v>361517.3853224467</v>
      </c>
      <c r="AD1003" s="114">
        <f>SQRT((Tableau!$G$25-P1003)^2+(Tableau!$H$25-Q1003)^2)</f>
        <v>376795.6669312843</v>
      </c>
      <c r="AE1003" s="115">
        <f>SQRT((Tableau!$G$35-P1003)^2+(Tableau!$H$35-Q1003)^2)</f>
        <v>348054.58010370343</v>
      </c>
    </row>
    <row r="1004" spans="2:31" x14ac:dyDescent="0.25">
      <c r="N1004" s="103">
        <v>1000</v>
      </c>
      <c r="O1004" s="104">
        <v>500</v>
      </c>
      <c r="P1004" s="105">
        <f>P1003+R1003*Tableau!$G$2+((1/2)*T1003)*Tableau!$G$2^2</f>
        <v>119462.98385400932</v>
      </c>
      <c r="Q1004" s="105">
        <f>Q1003+S1003*Tableau!$G$2+((1/2)*U1003)*Tableau!$G$2^2</f>
        <v>-340316.16131390765</v>
      </c>
      <c r="R1004" s="105">
        <f>R1003+T1003*Tableau!$G$2</f>
        <v>532.81889934632068</v>
      </c>
      <c r="S1004" s="105">
        <f>S1003+U1003*Tableau!$G$2</f>
        <v>-346.12670474470315</v>
      </c>
      <c r="T1004" s="105">
        <f t="shared" si="30"/>
        <v>-3.1060257990382985</v>
      </c>
      <c r="U1004" s="105">
        <f t="shared" si="31"/>
        <v>9.0412467095809106</v>
      </c>
      <c r="V1004" s="105">
        <f>((Tableau!$G$16-P1004)/(AC1004^2+Tableau!$G$21^2)^(3/2))*Tableau!$G$20</f>
        <v>-1.0987717926572065</v>
      </c>
      <c r="W1004" s="105">
        <f>((Tableau!$H$16-Q1004)/(AC1004^2+Tableau!$G$21^2)^(3/2))*Tableau!$G$20</f>
        <v>3.8423398562321052</v>
      </c>
      <c r="X1004" s="105">
        <f>((Tableau!$G$25-P1004)/(AD1004^2+Tableau!$G$30^2)^(3/2))*Tableau!$G$29</f>
        <v>-0.46699167795686247</v>
      </c>
      <c r="Y1004" s="105">
        <f>((Tableau!$H$25-Q1004)/(AD1004^2+Tableau!$G$30^2)^(3/2))*Tableau!$G$29</f>
        <v>1.1730333559953128</v>
      </c>
      <c r="Z1004" s="105">
        <f>((Tableau!$G$35-P1004)/(AE1004^2+Tableau!$G$40^2)^(3/2))*Tableau!$G$39</f>
        <v>-1.5402623284242294</v>
      </c>
      <c r="AA1004" s="106">
        <f>((Tableau!$H$35-Q1004)/(AE1004^2+Tableau!$G$40^2)^(3/2))*Tableau!$G$39</f>
        <v>4.0258734973534915</v>
      </c>
      <c r="AC1004" s="116">
        <f>SQRT((Tableau!$G$16-P1004)^2+(Tableau!$H$16-Q1004)^2)</f>
        <v>361758.16124627396</v>
      </c>
      <c r="AD1004" s="117">
        <f>SQRT((Tableau!$G$25-P1004)^2+(Tableau!$H$25-Q1004)^2)</f>
        <v>377056.1453459888</v>
      </c>
      <c r="AE1004" s="118">
        <f>SQRT((Tableau!$G$35-P1004)^2+(Tableau!$H$35-Q1004)^2)</f>
        <v>348312.55958098866</v>
      </c>
    </row>
    <row r="1005" spans="2:31" x14ac:dyDescent="0.25">
      <c r="V1005" s="3"/>
      <c r="W1005" s="3"/>
      <c r="X1005" s="3"/>
      <c r="Y1005" s="3"/>
      <c r="Z1005" s="3"/>
      <c r="AA1005" s="3"/>
    </row>
  </sheetData>
  <mergeCells count="3">
    <mergeCell ref="B2:D2"/>
    <mergeCell ref="F2:H2"/>
    <mergeCell ref="J2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A1:D10"/>
  <sheetViews>
    <sheetView tabSelected="1" topLeftCell="E1" workbookViewId="0">
      <selection activeCell="C11" sqref="C11"/>
    </sheetView>
  </sheetViews>
  <sheetFormatPr baseColWidth="10" defaultColWidth="4.28515625" defaultRowHeight="15" x14ac:dyDescent="0.25"/>
  <cols>
    <col min="1" max="1" width="17.7109375" hidden="1" customWidth="1"/>
    <col min="2" max="2" width="0.140625" hidden="1" customWidth="1"/>
    <col min="3" max="3" width="21.42578125" hidden="1" customWidth="1"/>
    <col min="4" max="4" width="22.42578125" hidden="1" customWidth="1"/>
  </cols>
  <sheetData>
    <row r="1" spans="1:4" x14ac:dyDescent="0.25">
      <c r="B1" t="s">
        <v>55</v>
      </c>
      <c r="C1" t="s">
        <v>56</v>
      </c>
      <c r="D1" t="s">
        <v>78</v>
      </c>
    </row>
    <row r="2" spans="1:4" x14ac:dyDescent="0.25">
      <c r="A2" s="5" t="s">
        <v>73</v>
      </c>
      <c r="B2">
        <v>0</v>
      </c>
      <c r="C2">
        <v>0</v>
      </c>
      <c r="D2">
        <v>0</v>
      </c>
    </row>
    <row r="3" spans="1:4" x14ac:dyDescent="0.25">
      <c r="A3" s="5" t="s">
        <v>74</v>
      </c>
      <c r="B3">
        <f>Conditions!P5</f>
        <v>14.896066662928291</v>
      </c>
      <c r="C3">
        <f>Conditions!Q5</f>
        <v>-95.064598248307064</v>
      </c>
      <c r="D3">
        <v>1000</v>
      </c>
    </row>
    <row r="4" spans="1:4" x14ac:dyDescent="0.25">
      <c r="A4" s="5" t="s">
        <v>75</v>
      </c>
      <c r="B4">
        <f>INDEX(navettex,MATCH(D4,numero))</f>
        <v>597.78138509713824</v>
      </c>
      <c r="C4">
        <f>INDEX(Navettey,MATCH(D4,numero))</f>
        <v>-3988.1713399098685</v>
      </c>
      <c r="D4">
        <v>29</v>
      </c>
    </row>
    <row r="5" spans="1:4" x14ac:dyDescent="0.25">
      <c r="B5">
        <f>INDEX(navettex,MATCH(D4+1,numero))</f>
        <v>2948.2328775484116</v>
      </c>
      <c r="C5">
        <f>INDEX(Navettey,MATCH(D4+1,numero))</f>
        <v>-2836.4229574485039</v>
      </c>
    </row>
    <row r="6" spans="1:4" x14ac:dyDescent="0.25">
      <c r="B6">
        <f>INDEX(navettex,MATCH(D4+2,numero))</f>
        <v>5245.4913349528724</v>
      </c>
      <c r="C6">
        <f>INDEX(Navettey,MATCH(D4+2,numero))</f>
        <v>-1865.7641451009611</v>
      </c>
    </row>
    <row r="8" spans="1:4" x14ac:dyDescent="0.25">
      <c r="A8" t="s">
        <v>76</v>
      </c>
      <c r="B8" s="9">
        <f>D4/D3</f>
        <v>2.9000000000000001E-2</v>
      </c>
    </row>
    <row r="9" spans="1:4" x14ac:dyDescent="0.25">
      <c r="A9">
        <v>2</v>
      </c>
    </row>
    <row r="10" spans="1:4" x14ac:dyDescent="0.25">
      <c r="A10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43</xdr:col>
                <xdr:colOff>247650</xdr:colOff>
                <xdr:row>6</xdr:row>
                <xdr:rowOff>28575</xdr:rowOff>
              </from>
              <to>
                <xdr:col>49</xdr:col>
                <xdr:colOff>276225</xdr:colOff>
                <xdr:row>10</xdr:row>
                <xdr:rowOff>57150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5" r:id="rId6" name="CommandButton2">
          <controlPr defaultSize="0" autoLine="0" autoPict="0" r:id="rId7">
            <anchor moveWithCells="1">
              <from>
                <xdr:col>44</xdr:col>
                <xdr:colOff>28575</xdr:colOff>
                <xdr:row>12</xdr:row>
                <xdr:rowOff>95250</xdr:rowOff>
              </from>
              <to>
                <xdr:col>50</xdr:col>
                <xdr:colOff>85725</xdr:colOff>
                <xdr:row>20</xdr:row>
                <xdr:rowOff>0</xdr:rowOff>
              </to>
            </anchor>
          </controlPr>
        </control>
      </mc:Choice>
      <mc:Fallback>
        <control shapeId="8195" r:id="rId6" name="CommandButton2"/>
      </mc:Fallback>
    </mc:AlternateContent>
    <mc:AlternateContent xmlns:mc="http://schemas.openxmlformats.org/markup-compatibility/2006">
      <mc:Choice Requires="x14">
        <control shapeId="8196" r:id="rId8" name="CommandButton3">
          <controlPr defaultSize="0" autoLine="0" autoPict="0" r:id="rId9">
            <anchor moveWithCells="1">
              <from>
                <xdr:col>44</xdr:col>
                <xdr:colOff>19050</xdr:colOff>
                <xdr:row>21</xdr:row>
                <xdr:rowOff>28575</xdr:rowOff>
              </from>
              <to>
                <xdr:col>50</xdr:col>
                <xdr:colOff>152400</xdr:colOff>
                <xdr:row>27</xdr:row>
                <xdr:rowOff>142875</xdr:rowOff>
              </to>
            </anchor>
          </controlPr>
        </control>
      </mc:Choice>
      <mc:Fallback>
        <control shapeId="8196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22375818-dcd7-42e4-9660-6b33e030de6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Tableau</vt:lpstr>
      <vt:lpstr>Conditions</vt:lpstr>
      <vt:lpstr>Graphique animé</vt:lpstr>
      <vt:lpstr>constant</vt:lpstr>
      <vt:lpstr>corps1</vt:lpstr>
      <vt:lpstr>corps2</vt:lpstr>
      <vt:lpstr>corps3</vt:lpstr>
      <vt:lpstr>navettex</vt:lpstr>
      <vt:lpstr>Navettey</vt:lpstr>
      <vt:lpstr>numero</vt:lpstr>
      <vt:lpstr>Vaiseau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BenjaminsamuelJ@hotmail.com</dc:creator>
  <cp:keywords/>
  <dc:description/>
  <cp:lastModifiedBy>Benjamin Joinvil</cp:lastModifiedBy>
  <cp:revision/>
  <dcterms:created xsi:type="dcterms:W3CDTF">2012-11-18T18:16:58Z</dcterms:created>
  <dcterms:modified xsi:type="dcterms:W3CDTF">2022-12-20T01:25:21Z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