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\OneDrive\Bureau\"/>
    </mc:Choice>
  </mc:AlternateContent>
  <xr:revisionPtr revIDLastSave="0" documentId="13_ncr:1_{85051F99-3428-4D25-81E9-65B78EC5F026}" xr6:coauthVersionLast="47" xr6:coauthVersionMax="47" xr10:uidLastSave="{00000000-0000-0000-0000-000000000000}"/>
  <bookViews>
    <workbookView xWindow="-120" yWindow="480" windowWidth="29040" windowHeight="15840" activeTab="2" xr2:uid="{00000000-000D-0000-FFFF-FFFF00000000}"/>
  </bookViews>
  <sheets>
    <sheet name="Tableau" sheetId="9" r:id="rId1"/>
    <sheet name="Conditions" sheetId="7" state="hidden" r:id="rId2"/>
    <sheet name="Graphique animé" sheetId="8" r:id="rId3"/>
  </sheets>
  <definedNames>
    <definedName name="constant">Tableau!$G$4</definedName>
    <definedName name="corps1">Conditions!$B$2:$D$1003</definedName>
    <definedName name="corps2">Conditions!$F$2:$H$1003</definedName>
    <definedName name="corps3">Conditions!$J$2:$L$1003</definedName>
    <definedName name="navettex">Conditions!$P$4:$P$1004</definedName>
    <definedName name="Navettey">Conditions!$Q$4:$Q$1004</definedName>
    <definedName name="numero">Conditions!$N$4:$N$1004</definedName>
    <definedName name="Vaiseau">'Graphique animé'!$B$5:$C$6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8" l="1"/>
  <c r="G4" i="9"/>
  <c r="G19" i="9" l="1"/>
  <c r="G20" i="9" s="1"/>
  <c r="G21" i="9"/>
  <c r="G28" i="9"/>
  <c r="G29" i="9" s="1"/>
  <c r="G30" i="9"/>
  <c r="G38" i="9"/>
  <c r="G39" i="9" s="1"/>
  <c r="G40" i="9"/>
  <c r="AC4" i="7" l="1"/>
  <c r="D4" i="7"/>
  <c r="C4" i="7"/>
  <c r="AE4" i="7"/>
  <c r="AD4" i="7"/>
  <c r="K5" i="7"/>
  <c r="L5" i="7"/>
  <c r="K6" i="7"/>
  <c r="L6" i="7"/>
  <c r="K7" i="7"/>
  <c r="L7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7" i="7"/>
  <c r="L37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69" i="7"/>
  <c r="L69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5" i="7"/>
  <c r="L95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6" i="7"/>
  <c r="L106" i="7"/>
  <c r="K107" i="7"/>
  <c r="L107" i="7"/>
  <c r="K108" i="7"/>
  <c r="L108" i="7"/>
  <c r="K109" i="7"/>
  <c r="L109" i="7"/>
  <c r="K110" i="7"/>
  <c r="L110" i="7"/>
  <c r="K111" i="7"/>
  <c r="L111" i="7"/>
  <c r="K112" i="7"/>
  <c r="L112" i="7"/>
  <c r="K113" i="7"/>
  <c r="L113" i="7"/>
  <c r="K114" i="7"/>
  <c r="L114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2" i="7"/>
  <c r="L122" i="7"/>
  <c r="K123" i="7"/>
  <c r="L123" i="7"/>
  <c r="K124" i="7"/>
  <c r="L124" i="7"/>
  <c r="K125" i="7"/>
  <c r="L125" i="7"/>
  <c r="K126" i="7"/>
  <c r="L126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K169" i="7"/>
  <c r="L169" i="7"/>
  <c r="K170" i="7"/>
  <c r="L170" i="7"/>
  <c r="K171" i="7"/>
  <c r="L171" i="7"/>
  <c r="K172" i="7"/>
  <c r="L172" i="7"/>
  <c r="K173" i="7"/>
  <c r="L173" i="7"/>
  <c r="K174" i="7"/>
  <c r="L174" i="7"/>
  <c r="K175" i="7"/>
  <c r="L175" i="7"/>
  <c r="K176" i="7"/>
  <c r="L176" i="7"/>
  <c r="K177" i="7"/>
  <c r="L177" i="7"/>
  <c r="K178" i="7"/>
  <c r="L178" i="7"/>
  <c r="K179" i="7"/>
  <c r="L179" i="7"/>
  <c r="K180" i="7"/>
  <c r="L180" i="7"/>
  <c r="K181" i="7"/>
  <c r="L181" i="7"/>
  <c r="K182" i="7"/>
  <c r="L182" i="7"/>
  <c r="K183" i="7"/>
  <c r="L183" i="7"/>
  <c r="K184" i="7"/>
  <c r="L184" i="7"/>
  <c r="K185" i="7"/>
  <c r="L185" i="7"/>
  <c r="K186" i="7"/>
  <c r="L186" i="7"/>
  <c r="K187" i="7"/>
  <c r="L187" i="7"/>
  <c r="K188" i="7"/>
  <c r="L188" i="7"/>
  <c r="K189" i="7"/>
  <c r="L189" i="7"/>
  <c r="K190" i="7"/>
  <c r="L190" i="7"/>
  <c r="K191" i="7"/>
  <c r="L191" i="7"/>
  <c r="K192" i="7"/>
  <c r="L192" i="7"/>
  <c r="K193" i="7"/>
  <c r="L193" i="7"/>
  <c r="K194" i="7"/>
  <c r="L194" i="7"/>
  <c r="K195" i="7"/>
  <c r="L195" i="7"/>
  <c r="K196" i="7"/>
  <c r="L196" i="7"/>
  <c r="K197" i="7"/>
  <c r="L197" i="7"/>
  <c r="K198" i="7"/>
  <c r="L198" i="7"/>
  <c r="K199" i="7"/>
  <c r="L199" i="7"/>
  <c r="K200" i="7"/>
  <c r="L200" i="7"/>
  <c r="K201" i="7"/>
  <c r="L201" i="7"/>
  <c r="K202" i="7"/>
  <c r="L202" i="7"/>
  <c r="K203" i="7"/>
  <c r="L203" i="7"/>
  <c r="K204" i="7"/>
  <c r="L204" i="7"/>
  <c r="K205" i="7"/>
  <c r="L205" i="7"/>
  <c r="K206" i="7"/>
  <c r="L206" i="7"/>
  <c r="K207" i="7"/>
  <c r="L207" i="7"/>
  <c r="K208" i="7"/>
  <c r="L208" i="7"/>
  <c r="K209" i="7"/>
  <c r="L209" i="7"/>
  <c r="K210" i="7"/>
  <c r="L210" i="7"/>
  <c r="K211" i="7"/>
  <c r="L211" i="7"/>
  <c r="K212" i="7"/>
  <c r="L212" i="7"/>
  <c r="K213" i="7"/>
  <c r="L213" i="7"/>
  <c r="K214" i="7"/>
  <c r="L214" i="7"/>
  <c r="K215" i="7"/>
  <c r="L215" i="7"/>
  <c r="K216" i="7"/>
  <c r="L216" i="7"/>
  <c r="K217" i="7"/>
  <c r="L217" i="7"/>
  <c r="K218" i="7"/>
  <c r="L218" i="7"/>
  <c r="K219" i="7"/>
  <c r="L219" i="7"/>
  <c r="K220" i="7"/>
  <c r="L220" i="7"/>
  <c r="K221" i="7"/>
  <c r="L221" i="7"/>
  <c r="K222" i="7"/>
  <c r="L222" i="7"/>
  <c r="K223" i="7"/>
  <c r="L223" i="7"/>
  <c r="K224" i="7"/>
  <c r="L224" i="7"/>
  <c r="K225" i="7"/>
  <c r="L225" i="7"/>
  <c r="K226" i="7"/>
  <c r="L226" i="7"/>
  <c r="K227" i="7"/>
  <c r="L227" i="7"/>
  <c r="K228" i="7"/>
  <c r="L228" i="7"/>
  <c r="K229" i="7"/>
  <c r="L229" i="7"/>
  <c r="K230" i="7"/>
  <c r="L230" i="7"/>
  <c r="K231" i="7"/>
  <c r="L231" i="7"/>
  <c r="K232" i="7"/>
  <c r="L232" i="7"/>
  <c r="K233" i="7"/>
  <c r="L233" i="7"/>
  <c r="K234" i="7"/>
  <c r="L234" i="7"/>
  <c r="K235" i="7"/>
  <c r="L235" i="7"/>
  <c r="K236" i="7"/>
  <c r="L236" i="7"/>
  <c r="K237" i="7"/>
  <c r="L237" i="7"/>
  <c r="K238" i="7"/>
  <c r="L238" i="7"/>
  <c r="K239" i="7"/>
  <c r="L239" i="7"/>
  <c r="K240" i="7"/>
  <c r="L240" i="7"/>
  <c r="K241" i="7"/>
  <c r="L241" i="7"/>
  <c r="K242" i="7"/>
  <c r="L242" i="7"/>
  <c r="K243" i="7"/>
  <c r="L243" i="7"/>
  <c r="K244" i="7"/>
  <c r="L244" i="7"/>
  <c r="K245" i="7"/>
  <c r="L245" i="7"/>
  <c r="K246" i="7"/>
  <c r="L246" i="7"/>
  <c r="K247" i="7"/>
  <c r="L247" i="7"/>
  <c r="K248" i="7"/>
  <c r="L248" i="7"/>
  <c r="K249" i="7"/>
  <c r="L249" i="7"/>
  <c r="K250" i="7"/>
  <c r="L250" i="7"/>
  <c r="K251" i="7"/>
  <c r="L251" i="7"/>
  <c r="K252" i="7"/>
  <c r="L252" i="7"/>
  <c r="K253" i="7"/>
  <c r="L253" i="7"/>
  <c r="K254" i="7"/>
  <c r="L254" i="7"/>
  <c r="K255" i="7"/>
  <c r="L255" i="7"/>
  <c r="K256" i="7"/>
  <c r="L256" i="7"/>
  <c r="K257" i="7"/>
  <c r="L257" i="7"/>
  <c r="K258" i="7"/>
  <c r="L258" i="7"/>
  <c r="K259" i="7"/>
  <c r="L259" i="7"/>
  <c r="K260" i="7"/>
  <c r="L260" i="7"/>
  <c r="K261" i="7"/>
  <c r="L261" i="7"/>
  <c r="K262" i="7"/>
  <c r="L262" i="7"/>
  <c r="K263" i="7"/>
  <c r="L263" i="7"/>
  <c r="K264" i="7"/>
  <c r="L264" i="7"/>
  <c r="K265" i="7"/>
  <c r="L265" i="7"/>
  <c r="K266" i="7"/>
  <c r="L266" i="7"/>
  <c r="K267" i="7"/>
  <c r="L267" i="7"/>
  <c r="K268" i="7"/>
  <c r="L268" i="7"/>
  <c r="K269" i="7"/>
  <c r="L269" i="7"/>
  <c r="K270" i="7"/>
  <c r="L270" i="7"/>
  <c r="K271" i="7"/>
  <c r="L271" i="7"/>
  <c r="K272" i="7"/>
  <c r="L272" i="7"/>
  <c r="K273" i="7"/>
  <c r="L273" i="7"/>
  <c r="K274" i="7"/>
  <c r="L274" i="7"/>
  <c r="K275" i="7"/>
  <c r="L275" i="7"/>
  <c r="K276" i="7"/>
  <c r="L276" i="7"/>
  <c r="K277" i="7"/>
  <c r="L277" i="7"/>
  <c r="K278" i="7"/>
  <c r="L278" i="7"/>
  <c r="K279" i="7"/>
  <c r="L279" i="7"/>
  <c r="K280" i="7"/>
  <c r="L280" i="7"/>
  <c r="K281" i="7"/>
  <c r="L281" i="7"/>
  <c r="K282" i="7"/>
  <c r="L282" i="7"/>
  <c r="K283" i="7"/>
  <c r="L283" i="7"/>
  <c r="K284" i="7"/>
  <c r="L284" i="7"/>
  <c r="K285" i="7"/>
  <c r="L285" i="7"/>
  <c r="K286" i="7"/>
  <c r="L286" i="7"/>
  <c r="K287" i="7"/>
  <c r="L287" i="7"/>
  <c r="K288" i="7"/>
  <c r="L288" i="7"/>
  <c r="K289" i="7"/>
  <c r="L289" i="7"/>
  <c r="K290" i="7"/>
  <c r="L290" i="7"/>
  <c r="K291" i="7"/>
  <c r="L291" i="7"/>
  <c r="K292" i="7"/>
  <c r="L292" i="7"/>
  <c r="K293" i="7"/>
  <c r="L293" i="7"/>
  <c r="K294" i="7"/>
  <c r="L294" i="7"/>
  <c r="K295" i="7"/>
  <c r="L295" i="7"/>
  <c r="K296" i="7"/>
  <c r="L296" i="7"/>
  <c r="K297" i="7"/>
  <c r="L297" i="7"/>
  <c r="K298" i="7"/>
  <c r="L298" i="7"/>
  <c r="K299" i="7"/>
  <c r="L299" i="7"/>
  <c r="K300" i="7"/>
  <c r="L300" i="7"/>
  <c r="K301" i="7"/>
  <c r="L301" i="7"/>
  <c r="K302" i="7"/>
  <c r="L302" i="7"/>
  <c r="K303" i="7"/>
  <c r="L303" i="7"/>
  <c r="K304" i="7"/>
  <c r="L304" i="7"/>
  <c r="K305" i="7"/>
  <c r="L305" i="7"/>
  <c r="K306" i="7"/>
  <c r="L306" i="7"/>
  <c r="K307" i="7"/>
  <c r="L307" i="7"/>
  <c r="K308" i="7"/>
  <c r="L308" i="7"/>
  <c r="K309" i="7"/>
  <c r="L309" i="7"/>
  <c r="K310" i="7"/>
  <c r="L310" i="7"/>
  <c r="K311" i="7"/>
  <c r="L311" i="7"/>
  <c r="K312" i="7"/>
  <c r="L312" i="7"/>
  <c r="K313" i="7"/>
  <c r="L313" i="7"/>
  <c r="K314" i="7"/>
  <c r="L314" i="7"/>
  <c r="K315" i="7"/>
  <c r="L315" i="7"/>
  <c r="K316" i="7"/>
  <c r="L316" i="7"/>
  <c r="K317" i="7"/>
  <c r="L317" i="7"/>
  <c r="K318" i="7"/>
  <c r="L318" i="7"/>
  <c r="K319" i="7"/>
  <c r="L319" i="7"/>
  <c r="K320" i="7"/>
  <c r="L320" i="7"/>
  <c r="K321" i="7"/>
  <c r="L321" i="7"/>
  <c r="K322" i="7"/>
  <c r="L322" i="7"/>
  <c r="K323" i="7"/>
  <c r="L323" i="7"/>
  <c r="K324" i="7"/>
  <c r="L324" i="7"/>
  <c r="K325" i="7"/>
  <c r="L325" i="7"/>
  <c r="K326" i="7"/>
  <c r="L326" i="7"/>
  <c r="K327" i="7"/>
  <c r="L327" i="7"/>
  <c r="K328" i="7"/>
  <c r="L328" i="7"/>
  <c r="K329" i="7"/>
  <c r="L329" i="7"/>
  <c r="K330" i="7"/>
  <c r="L330" i="7"/>
  <c r="K331" i="7"/>
  <c r="L331" i="7"/>
  <c r="K332" i="7"/>
  <c r="L332" i="7"/>
  <c r="K333" i="7"/>
  <c r="L333" i="7"/>
  <c r="K334" i="7"/>
  <c r="L334" i="7"/>
  <c r="K335" i="7"/>
  <c r="L335" i="7"/>
  <c r="K336" i="7"/>
  <c r="L336" i="7"/>
  <c r="K337" i="7"/>
  <c r="L337" i="7"/>
  <c r="K338" i="7"/>
  <c r="L338" i="7"/>
  <c r="K339" i="7"/>
  <c r="L339" i="7"/>
  <c r="K340" i="7"/>
  <c r="L340" i="7"/>
  <c r="K341" i="7"/>
  <c r="L341" i="7"/>
  <c r="K342" i="7"/>
  <c r="L342" i="7"/>
  <c r="K343" i="7"/>
  <c r="L343" i="7"/>
  <c r="K344" i="7"/>
  <c r="L344" i="7"/>
  <c r="K345" i="7"/>
  <c r="L345" i="7"/>
  <c r="K346" i="7"/>
  <c r="L346" i="7"/>
  <c r="K347" i="7"/>
  <c r="L347" i="7"/>
  <c r="K348" i="7"/>
  <c r="L348" i="7"/>
  <c r="K349" i="7"/>
  <c r="L349" i="7"/>
  <c r="K350" i="7"/>
  <c r="L350" i="7"/>
  <c r="K351" i="7"/>
  <c r="L351" i="7"/>
  <c r="K352" i="7"/>
  <c r="L352" i="7"/>
  <c r="K353" i="7"/>
  <c r="L353" i="7"/>
  <c r="K354" i="7"/>
  <c r="L354" i="7"/>
  <c r="K355" i="7"/>
  <c r="L355" i="7"/>
  <c r="K356" i="7"/>
  <c r="L356" i="7"/>
  <c r="K357" i="7"/>
  <c r="L357" i="7"/>
  <c r="K358" i="7"/>
  <c r="L358" i="7"/>
  <c r="K359" i="7"/>
  <c r="L359" i="7"/>
  <c r="K360" i="7"/>
  <c r="L360" i="7"/>
  <c r="K361" i="7"/>
  <c r="L361" i="7"/>
  <c r="K362" i="7"/>
  <c r="L362" i="7"/>
  <c r="K363" i="7"/>
  <c r="L363" i="7"/>
  <c r="K364" i="7"/>
  <c r="L364" i="7"/>
  <c r="K365" i="7"/>
  <c r="L365" i="7"/>
  <c r="K366" i="7"/>
  <c r="L366" i="7"/>
  <c r="K367" i="7"/>
  <c r="L367" i="7"/>
  <c r="K368" i="7"/>
  <c r="L368" i="7"/>
  <c r="K369" i="7"/>
  <c r="L369" i="7"/>
  <c r="K370" i="7"/>
  <c r="L370" i="7"/>
  <c r="K371" i="7"/>
  <c r="L371" i="7"/>
  <c r="K372" i="7"/>
  <c r="L372" i="7"/>
  <c r="K373" i="7"/>
  <c r="L373" i="7"/>
  <c r="K374" i="7"/>
  <c r="L374" i="7"/>
  <c r="K375" i="7"/>
  <c r="L375" i="7"/>
  <c r="K376" i="7"/>
  <c r="L376" i="7"/>
  <c r="K377" i="7"/>
  <c r="L377" i="7"/>
  <c r="K378" i="7"/>
  <c r="L378" i="7"/>
  <c r="K379" i="7"/>
  <c r="L379" i="7"/>
  <c r="K380" i="7"/>
  <c r="L380" i="7"/>
  <c r="K381" i="7"/>
  <c r="L381" i="7"/>
  <c r="K382" i="7"/>
  <c r="L382" i="7"/>
  <c r="K383" i="7"/>
  <c r="L383" i="7"/>
  <c r="K384" i="7"/>
  <c r="L384" i="7"/>
  <c r="K385" i="7"/>
  <c r="L385" i="7"/>
  <c r="K386" i="7"/>
  <c r="L386" i="7"/>
  <c r="K387" i="7"/>
  <c r="L387" i="7"/>
  <c r="K388" i="7"/>
  <c r="L388" i="7"/>
  <c r="K389" i="7"/>
  <c r="L389" i="7"/>
  <c r="K390" i="7"/>
  <c r="L390" i="7"/>
  <c r="K391" i="7"/>
  <c r="L391" i="7"/>
  <c r="K392" i="7"/>
  <c r="L392" i="7"/>
  <c r="K393" i="7"/>
  <c r="L393" i="7"/>
  <c r="K394" i="7"/>
  <c r="L394" i="7"/>
  <c r="K395" i="7"/>
  <c r="L395" i="7"/>
  <c r="K396" i="7"/>
  <c r="L396" i="7"/>
  <c r="K397" i="7"/>
  <c r="L397" i="7"/>
  <c r="K398" i="7"/>
  <c r="L398" i="7"/>
  <c r="K399" i="7"/>
  <c r="L399" i="7"/>
  <c r="K400" i="7"/>
  <c r="L400" i="7"/>
  <c r="K401" i="7"/>
  <c r="L401" i="7"/>
  <c r="K402" i="7"/>
  <c r="L402" i="7"/>
  <c r="K403" i="7"/>
  <c r="L403" i="7"/>
  <c r="K404" i="7"/>
  <c r="L404" i="7"/>
  <c r="K405" i="7"/>
  <c r="L405" i="7"/>
  <c r="K406" i="7"/>
  <c r="L406" i="7"/>
  <c r="K407" i="7"/>
  <c r="L407" i="7"/>
  <c r="K408" i="7"/>
  <c r="L408" i="7"/>
  <c r="K409" i="7"/>
  <c r="L409" i="7"/>
  <c r="K410" i="7"/>
  <c r="L410" i="7"/>
  <c r="K411" i="7"/>
  <c r="L411" i="7"/>
  <c r="K412" i="7"/>
  <c r="L412" i="7"/>
  <c r="K413" i="7"/>
  <c r="L413" i="7"/>
  <c r="K414" i="7"/>
  <c r="L414" i="7"/>
  <c r="K415" i="7"/>
  <c r="L415" i="7"/>
  <c r="K416" i="7"/>
  <c r="L416" i="7"/>
  <c r="K417" i="7"/>
  <c r="L417" i="7"/>
  <c r="K418" i="7"/>
  <c r="L418" i="7"/>
  <c r="K419" i="7"/>
  <c r="L419" i="7"/>
  <c r="K420" i="7"/>
  <c r="L420" i="7"/>
  <c r="K421" i="7"/>
  <c r="L421" i="7"/>
  <c r="K422" i="7"/>
  <c r="L422" i="7"/>
  <c r="K423" i="7"/>
  <c r="L423" i="7"/>
  <c r="K424" i="7"/>
  <c r="L424" i="7"/>
  <c r="K425" i="7"/>
  <c r="L425" i="7"/>
  <c r="K426" i="7"/>
  <c r="L426" i="7"/>
  <c r="K427" i="7"/>
  <c r="L427" i="7"/>
  <c r="K428" i="7"/>
  <c r="L428" i="7"/>
  <c r="K429" i="7"/>
  <c r="L429" i="7"/>
  <c r="K430" i="7"/>
  <c r="L430" i="7"/>
  <c r="K431" i="7"/>
  <c r="L431" i="7"/>
  <c r="K432" i="7"/>
  <c r="L432" i="7"/>
  <c r="K433" i="7"/>
  <c r="L433" i="7"/>
  <c r="K434" i="7"/>
  <c r="L434" i="7"/>
  <c r="K435" i="7"/>
  <c r="L435" i="7"/>
  <c r="K436" i="7"/>
  <c r="L436" i="7"/>
  <c r="K437" i="7"/>
  <c r="L437" i="7"/>
  <c r="K438" i="7"/>
  <c r="L438" i="7"/>
  <c r="K439" i="7"/>
  <c r="L439" i="7"/>
  <c r="K440" i="7"/>
  <c r="L440" i="7"/>
  <c r="K441" i="7"/>
  <c r="L441" i="7"/>
  <c r="K442" i="7"/>
  <c r="L442" i="7"/>
  <c r="K443" i="7"/>
  <c r="L443" i="7"/>
  <c r="K444" i="7"/>
  <c r="L444" i="7"/>
  <c r="K445" i="7"/>
  <c r="L445" i="7"/>
  <c r="K446" i="7"/>
  <c r="L446" i="7"/>
  <c r="K447" i="7"/>
  <c r="L447" i="7"/>
  <c r="K448" i="7"/>
  <c r="L448" i="7"/>
  <c r="K449" i="7"/>
  <c r="L449" i="7"/>
  <c r="K450" i="7"/>
  <c r="L450" i="7"/>
  <c r="K451" i="7"/>
  <c r="L451" i="7"/>
  <c r="K452" i="7"/>
  <c r="L452" i="7"/>
  <c r="K453" i="7"/>
  <c r="L453" i="7"/>
  <c r="K454" i="7"/>
  <c r="L454" i="7"/>
  <c r="K455" i="7"/>
  <c r="L455" i="7"/>
  <c r="K456" i="7"/>
  <c r="L456" i="7"/>
  <c r="K457" i="7"/>
  <c r="L457" i="7"/>
  <c r="K458" i="7"/>
  <c r="L458" i="7"/>
  <c r="K459" i="7"/>
  <c r="L459" i="7"/>
  <c r="K460" i="7"/>
  <c r="L460" i="7"/>
  <c r="K461" i="7"/>
  <c r="L461" i="7"/>
  <c r="K462" i="7"/>
  <c r="L462" i="7"/>
  <c r="K463" i="7"/>
  <c r="L463" i="7"/>
  <c r="K464" i="7"/>
  <c r="L464" i="7"/>
  <c r="K465" i="7"/>
  <c r="L465" i="7"/>
  <c r="K466" i="7"/>
  <c r="L466" i="7"/>
  <c r="K467" i="7"/>
  <c r="L467" i="7"/>
  <c r="K468" i="7"/>
  <c r="L468" i="7"/>
  <c r="K469" i="7"/>
  <c r="L469" i="7"/>
  <c r="K470" i="7"/>
  <c r="L470" i="7"/>
  <c r="K471" i="7"/>
  <c r="L471" i="7"/>
  <c r="K472" i="7"/>
  <c r="L472" i="7"/>
  <c r="K473" i="7"/>
  <c r="L473" i="7"/>
  <c r="K474" i="7"/>
  <c r="L474" i="7"/>
  <c r="K475" i="7"/>
  <c r="L475" i="7"/>
  <c r="K476" i="7"/>
  <c r="L476" i="7"/>
  <c r="K477" i="7"/>
  <c r="L477" i="7"/>
  <c r="K478" i="7"/>
  <c r="L478" i="7"/>
  <c r="K479" i="7"/>
  <c r="L479" i="7"/>
  <c r="K480" i="7"/>
  <c r="L480" i="7"/>
  <c r="K481" i="7"/>
  <c r="L481" i="7"/>
  <c r="K482" i="7"/>
  <c r="L482" i="7"/>
  <c r="K483" i="7"/>
  <c r="L483" i="7"/>
  <c r="K484" i="7"/>
  <c r="L484" i="7"/>
  <c r="K485" i="7"/>
  <c r="L485" i="7"/>
  <c r="K486" i="7"/>
  <c r="L486" i="7"/>
  <c r="K487" i="7"/>
  <c r="L487" i="7"/>
  <c r="K488" i="7"/>
  <c r="L488" i="7"/>
  <c r="K489" i="7"/>
  <c r="L489" i="7"/>
  <c r="K490" i="7"/>
  <c r="L490" i="7"/>
  <c r="K491" i="7"/>
  <c r="L491" i="7"/>
  <c r="K492" i="7"/>
  <c r="L492" i="7"/>
  <c r="K493" i="7"/>
  <c r="L493" i="7"/>
  <c r="K494" i="7"/>
  <c r="L494" i="7"/>
  <c r="K495" i="7"/>
  <c r="L495" i="7"/>
  <c r="K496" i="7"/>
  <c r="L496" i="7"/>
  <c r="K497" i="7"/>
  <c r="L497" i="7"/>
  <c r="K498" i="7"/>
  <c r="L498" i="7"/>
  <c r="K499" i="7"/>
  <c r="L499" i="7"/>
  <c r="K500" i="7"/>
  <c r="L500" i="7"/>
  <c r="K501" i="7"/>
  <c r="L501" i="7"/>
  <c r="K502" i="7"/>
  <c r="L502" i="7"/>
  <c r="K503" i="7"/>
  <c r="L503" i="7"/>
  <c r="K504" i="7"/>
  <c r="L504" i="7"/>
  <c r="K505" i="7"/>
  <c r="L505" i="7"/>
  <c r="K506" i="7"/>
  <c r="L506" i="7"/>
  <c r="K507" i="7"/>
  <c r="L507" i="7"/>
  <c r="K508" i="7"/>
  <c r="L508" i="7"/>
  <c r="K509" i="7"/>
  <c r="L509" i="7"/>
  <c r="K510" i="7"/>
  <c r="L510" i="7"/>
  <c r="K511" i="7"/>
  <c r="L511" i="7"/>
  <c r="K512" i="7"/>
  <c r="L512" i="7"/>
  <c r="K513" i="7"/>
  <c r="L513" i="7"/>
  <c r="K514" i="7"/>
  <c r="L514" i="7"/>
  <c r="K515" i="7"/>
  <c r="L515" i="7"/>
  <c r="K516" i="7"/>
  <c r="L516" i="7"/>
  <c r="K517" i="7"/>
  <c r="L517" i="7"/>
  <c r="K518" i="7"/>
  <c r="L518" i="7"/>
  <c r="K519" i="7"/>
  <c r="L519" i="7"/>
  <c r="K520" i="7"/>
  <c r="L520" i="7"/>
  <c r="K521" i="7"/>
  <c r="L521" i="7"/>
  <c r="K522" i="7"/>
  <c r="L522" i="7"/>
  <c r="K523" i="7"/>
  <c r="L523" i="7"/>
  <c r="K524" i="7"/>
  <c r="L524" i="7"/>
  <c r="K525" i="7"/>
  <c r="L525" i="7"/>
  <c r="K526" i="7"/>
  <c r="L526" i="7"/>
  <c r="K527" i="7"/>
  <c r="L527" i="7"/>
  <c r="K528" i="7"/>
  <c r="L528" i="7"/>
  <c r="K529" i="7"/>
  <c r="L529" i="7"/>
  <c r="K530" i="7"/>
  <c r="L530" i="7"/>
  <c r="K531" i="7"/>
  <c r="L531" i="7"/>
  <c r="K532" i="7"/>
  <c r="L532" i="7"/>
  <c r="K533" i="7"/>
  <c r="L533" i="7"/>
  <c r="K534" i="7"/>
  <c r="L534" i="7"/>
  <c r="K535" i="7"/>
  <c r="L535" i="7"/>
  <c r="K536" i="7"/>
  <c r="L536" i="7"/>
  <c r="K537" i="7"/>
  <c r="L537" i="7"/>
  <c r="K538" i="7"/>
  <c r="L538" i="7"/>
  <c r="K539" i="7"/>
  <c r="L539" i="7"/>
  <c r="K540" i="7"/>
  <c r="L540" i="7"/>
  <c r="K541" i="7"/>
  <c r="L541" i="7"/>
  <c r="K542" i="7"/>
  <c r="L542" i="7"/>
  <c r="K543" i="7"/>
  <c r="L543" i="7"/>
  <c r="K544" i="7"/>
  <c r="L544" i="7"/>
  <c r="K545" i="7"/>
  <c r="L545" i="7"/>
  <c r="K546" i="7"/>
  <c r="L546" i="7"/>
  <c r="K547" i="7"/>
  <c r="L547" i="7"/>
  <c r="K548" i="7"/>
  <c r="L548" i="7"/>
  <c r="K549" i="7"/>
  <c r="L549" i="7"/>
  <c r="K550" i="7"/>
  <c r="L550" i="7"/>
  <c r="K551" i="7"/>
  <c r="L551" i="7"/>
  <c r="K552" i="7"/>
  <c r="L552" i="7"/>
  <c r="K553" i="7"/>
  <c r="L553" i="7"/>
  <c r="K554" i="7"/>
  <c r="L554" i="7"/>
  <c r="K555" i="7"/>
  <c r="L555" i="7"/>
  <c r="K556" i="7"/>
  <c r="L556" i="7"/>
  <c r="K557" i="7"/>
  <c r="L557" i="7"/>
  <c r="K558" i="7"/>
  <c r="L558" i="7"/>
  <c r="K559" i="7"/>
  <c r="L559" i="7"/>
  <c r="K560" i="7"/>
  <c r="L560" i="7"/>
  <c r="K561" i="7"/>
  <c r="L561" i="7"/>
  <c r="K562" i="7"/>
  <c r="L562" i="7"/>
  <c r="K563" i="7"/>
  <c r="L563" i="7"/>
  <c r="K564" i="7"/>
  <c r="L564" i="7"/>
  <c r="K565" i="7"/>
  <c r="L565" i="7"/>
  <c r="K566" i="7"/>
  <c r="L566" i="7"/>
  <c r="K567" i="7"/>
  <c r="L567" i="7"/>
  <c r="K568" i="7"/>
  <c r="L568" i="7"/>
  <c r="K569" i="7"/>
  <c r="L569" i="7"/>
  <c r="K570" i="7"/>
  <c r="L570" i="7"/>
  <c r="K571" i="7"/>
  <c r="L571" i="7"/>
  <c r="K572" i="7"/>
  <c r="L572" i="7"/>
  <c r="K573" i="7"/>
  <c r="L573" i="7"/>
  <c r="K574" i="7"/>
  <c r="L574" i="7"/>
  <c r="K575" i="7"/>
  <c r="L575" i="7"/>
  <c r="K576" i="7"/>
  <c r="L576" i="7"/>
  <c r="K577" i="7"/>
  <c r="L577" i="7"/>
  <c r="K578" i="7"/>
  <c r="L578" i="7"/>
  <c r="K579" i="7"/>
  <c r="L579" i="7"/>
  <c r="K580" i="7"/>
  <c r="L580" i="7"/>
  <c r="K581" i="7"/>
  <c r="L581" i="7"/>
  <c r="K582" i="7"/>
  <c r="L582" i="7"/>
  <c r="K583" i="7"/>
  <c r="L583" i="7"/>
  <c r="K584" i="7"/>
  <c r="L584" i="7"/>
  <c r="K585" i="7"/>
  <c r="L585" i="7"/>
  <c r="K586" i="7"/>
  <c r="L586" i="7"/>
  <c r="K587" i="7"/>
  <c r="L587" i="7"/>
  <c r="K588" i="7"/>
  <c r="L588" i="7"/>
  <c r="K589" i="7"/>
  <c r="L589" i="7"/>
  <c r="K590" i="7"/>
  <c r="L590" i="7"/>
  <c r="K591" i="7"/>
  <c r="L591" i="7"/>
  <c r="K592" i="7"/>
  <c r="L592" i="7"/>
  <c r="K593" i="7"/>
  <c r="L593" i="7"/>
  <c r="K594" i="7"/>
  <c r="L594" i="7"/>
  <c r="K595" i="7"/>
  <c r="L595" i="7"/>
  <c r="K596" i="7"/>
  <c r="L596" i="7"/>
  <c r="K597" i="7"/>
  <c r="L597" i="7"/>
  <c r="K598" i="7"/>
  <c r="L598" i="7"/>
  <c r="K599" i="7"/>
  <c r="L599" i="7"/>
  <c r="K600" i="7"/>
  <c r="L600" i="7"/>
  <c r="K601" i="7"/>
  <c r="L601" i="7"/>
  <c r="K602" i="7"/>
  <c r="L602" i="7"/>
  <c r="K603" i="7"/>
  <c r="L603" i="7"/>
  <c r="K604" i="7"/>
  <c r="L604" i="7"/>
  <c r="K605" i="7"/>
  <c r="L605" i="7"/>
  <c r="K606" i="7"/>
  <c r="L606" i="7"/>
  <c r="K607" i="7"/>
  <c r="L607" i="7"/>
  <c r="K608" i="7"/>
  <c r="L608" i="7"/>
  <c r="K609" i="7"/>
  <c r="L609" i="7"/>
  <c r="K610" i="7"/>
  <c r="L610" i="7"/>
  <c r="K611" i="7"/>
  <c r="L611" i="7"/>
  <c r="K612" i="7"/>
  <c r="L612" i="7"/>
  <c r="K613" i="7"/>
  <c r="L613" i="7"/>
  <c r="K614" i="7"/>
  <c r="L614" i="7"/>
  <c r="K615" i="7"/>
  <c r="L615" i="7"/>
  <c r="K616" i="7"/>
  <c r="L616" i="7"/>
  <c r="K617" i="7"/>
  <c r="L617" i="7"/>
  <c r="K618" i="7"/>
  <c r="L618" i="7"/>
  <c r="K619" i="7"/>
  <c r="L619" i="7"/>
  <c r="K620" i="7"/>
  <c r="L620" i="7"/>
  <c r="K621" i="7"/>
  <c r="L621" i="7"/>
  <c r="K622" i="7"/>
  <c r="L622" i="7"/>
  <c r="K623" i="7"/>
  <c r="L623" i="7"/>
  <c r="K624" i="7"/>
  <c r="L624" i="7"/>
  <c r="K625" i="7"/>
  <c r="L625" i="7"/>
  <c r="K626" i="7"/>
  <c r="L626" i="7"/>
  <c r="K627" i="7"/>
  <c r="L627" i="7"/>
  <c r="K628" i="7"/>
  <c r="L628" i="7"/>
  <c r="K629" i="7"/>
  <c r="L629" i="7"/>
  <c r="K630" i="7"/>
  <c r="L630" i="7"/>
  <c r="K631" i="7"/>
  <c r="L631" i="7"/>
  <c r="K632" i="7"/>
  <c r="L632" i="7"/>
  <c r="K633" i="7"/>
  <c r="L633" i="7"/>
  <c r="K634" i="7"/>
  <c r="L634" i="7"/>
  <c r="K635" i="7"/>
  <c r="L635" i="7"/>
  <c r="K636" i="7"/>
  <c r="L636" i="7"/>
  <c r="K637" i="7"/>
  <c r="L637" i="7"/>
  <c r="K638" i="7"/>
  <c r="L638" i="7"/>
  <c r="K639" i="7"/>
  <c r="L639" i="7"/>
  <c r="K640" i="7"/>
  <c r="L640" i="7"/>
  <c r="K641" i="7"/>
  <c r="L641" i="7"/>
  <c r="K642" i="7"/>
  <c r="L642" i="7"/>
  <c r="K643" i="7"/>
  <c r="L643" i="7"/>
  <c r="K644" i="7"/>
  <c r="L644" i="7"/>
  <c r="K645" i="7"/>
  <c r="L645" i="7"/>
  <c r="K646" i="7"/>
  <c r="L646" i="7"/>
  <c r="K647" i="7"/>
  <c r="L647" i="7"/>
  <c r="K648" i="7"/>
  <c r="L648" i="7"/>
  <c r="K649" i="7"/>
  <c r="L649" i="7"/>
  <c r="K650" i="7"/>
  <c r="L650" i="7"/>
  <c r="K651" i="7"/>
  <c r="L651" i="7"/>
  <c r="K652" i="7"/>
  <c r="L652" i="7"/>
  <c r="K653" i="7"/>
  <c r="L653" i="7"/>
  <c r="K654" i="7"/>
  <c r="L654" i="7"/>
  <c r="K655" i="7"/>
  <c r="L655" i="7"/>
  <c r="K656" i="7"/>
  <c r="L656" i="7"/>
  <c r="K657" i="7"/>
  <c r="L657" i="7"/>
  <c r="K658" i="7"/>
  <c r="L658" i="7"/>
  <c r="K659" i="7"/>
  <c r="L659" i="7"/>
  <c r="K660" i="7"/>
  <c r="L660" i="7"/>
  <c r="K661" i="7"/>
  <c r="L661" i="7"/>
  <c r="K662" i="7"/>
  <c r="L662" i="7"/>
  <c r="K663" i="7"/>
  <c r="L663" i="7"/>
  <c r="K664" i="7"/>
  <c r="L664" i="7"/>
  <c r="K665" i="7"/>
  <c r="L665" i="7"/>
  <c r="K666" i="7"/>
  <c r="L666" i="7"/>
  <c r="K667" i="7"/>
  <c r="L667" i="7"/>
  <c r="K668" i="7"/>
  <c r="L668" i="7"/>
  <c r="K669" i="7"/>
  <c r="L669" i="7"/>
  <c r="K670" i="7"/>
  <c r="L670" i="7"/>
  <c r="K671" i="7"/>
  <c r="L671" i="7"/>
  <c r="K672" i="7"/>
  <c r="L672" i="7"/>
  <c r="K673" i="7"/>
  <c r="L673" i="7"/>
  <c r="K674" i="7"/>
  <c r="L674" i="7"/>
  <c r="K675" i="7"/>
  <c r="L675" i="7"/>
  <c r="K676" i="7"/>
  <c r="L676" i="7"/>
  <c r="K677" i="7"/>
  <c r="L677" i="7"/>
  <c r="K678" i="7"/>
  <c r="L678" i="7"/>
  <c r="K679" i="7"/>
  <c r="L679" i="7"/>
  <c r="K680" i="7"/>
  <c r="L680" i="7"/>
  <c r="K681" i="7"/>
  <c r="L681" i="7"/>
  <c r="K682" i="7"/>
  <c r="L682" i="7"/>
  <c r="K683" i="7"/>
  <c r="L683" i="7"/>
  <c r="K684" i="7"/>
  <c r="L684" i="7"/>
  <c r="K685" i="7"/>
  <c r="L685" i="7"/>
  <c r="K686" i="7"/>
  <c r="L686" i="7"/>
  <c r="K687" i="7"/>
  <c r="L687" i="7"/>
  <c r="K688" i="7"/>
  <c r="L688" i="7"/>
  <c r="K689" i="7"/>
  <c r="L689" i="7"/>
  <c r="K690" i="7"/>
  <c r="L690" i="7"/>
  <c r="K691" i="7"/>
  <c r="L691" i="7"/>
  <c r="K692" i="7"/>
  <c r="L692" i="7"/>
  <c r="K693" i="7"/>
  <c r="L693" i="7"/>
  <c r="K694" i="7"/>
  <c r="L694" i="7"/>
  <c r="K695" i="7"/>
  <c r="L695" i="7"/>
  <c r="K696" i="7"/>
  <c r="L696" i="7"/>
  <c r="K697" i="7"/>
  <c r="L697" i="7"/>
  <c r="K698" i="7"/>
  <c r="L698" i="7"/>
  <c r="K699" i="7"/>
  <c r="L699" i="7"/>
  <c r="K700" i="7"/>
  <c r="L700" i="7"/>
  <c r="K701" i="7"/>
  <c r="L701" i="7"/>
  <c r="K702" i="7"/>
  <c r="L702" i="7"/>
  <c r="K703" i="7"/>
  <c r="L703" i="7"/>
  <c r="K704" i="7"/>
  <c r="L704" i="7"/>
  <c r="K705" i="7"/>
  <c r="L705" i="7"/>
  <c r="K706" i="7"/>
  <c r="L706" i="7"/>
  <c r="K707" i="7"/>
  <c r="L707" i="7"/>
  <c r="K708" i="7"/>
  <c r="L708" i="7"/>
  <c r="K709" i="7"/>
  <c r="L709" i="7"/>
  <c r="K710" i="7"/>
  <c r="L710" i="7"/>
  <c r="K711" i="7"/>
  <c r="L711" i="7"/>
  <c r="K712" i="7"/>
  <c r="L712" i="7"/>
  <c r="K713" i="7"/>
  <c r="L713" i="7"/>
  <c r="K714" i="7"/>
  <c r="L714" i="7"/>
  <c r="K715" i="7"/>
  <c r="L715" i="7"/>
  <c r="K716" i="7"/>
  <c r="L716" i="7"/>
  <c r="K717" i="7"/>
  <c r="L717" i="7"/>
  <c r="K718" i="7"/>
  <c r="L718" i="7"/>
  <c r="K719" i="7"/>
  <c r="L719" i="7"/>
  <c r="K720" i="7"/>
  <c r="L720" i="7"/>
  <c r="K721" i="7"/>
  <c r="L721" i="7"/>
  <c r="K722" i="7"/>
  <c r="L722" i="7"/>
  <c r="K723" i="7"/>
  <c r="L723" i="7"/>
  <c r="K724" i="7"/>
  <c r="L724" i="7"/>
  <c r="K725" i="7"/>
  <c r="L725" i="7"/>
  <c r="K726" i="7"/>
  <c r="L726" i="7"/>
  <c r="K727" i="7"/>
  <c r="L727" i="7"/>
  <c r="K728" i="7"/>
  <c r="L728" i="7"/>
  <c r="K729" i="7"/>
  <c r="L729" i="7"/>
  <c r="K730" i="7"/>
  <c r="L730" i="7"/>
  <c r="K731" i="7"/>
  <c r="L731" i="7"/>
  <c r="K732" i="7"/>
  <c r="L732" i="7"/>
  <c r="K733" i="7"/>
  <c r="L733" i="7"/>
  <c r="K734" i="7"/>
  <c r="L734" i="7"/>
  <c r="K735" i="7"/>
  <c r="L735" i="7"/>
  <c r="K736" i="7"/>
  <c r="L736" i="7"/>
  <c r="K737" i="7"/>
  <c r="L737" i="7"/>
  <c r="K738" i="7"/>
  <c r="L738" i="7"/>
  <c r="K739" i="7"/>
  <c r="L739" i="7"/>
  <c r="K740" i="7"/>
  <c r="L740" i="7"/>
  <c r="K741" i="7"/>
  <c r="L741" i="7"/>
  <c r="K742" i="7"/>
  <c r="L742" i="7"/>
  <c r="K743" i="7"/>
  <c r="L743" i="7"/>
  <c r="K744" i="7"/>
  <c r="L744" i="7"/>
  <c r="K745" i="7"/>
  <c r="L745" i="7"/>
  <c r="K746" i="7"/>
  <c r="L746" i="7"/>
  <c r="K747" i="7"/>
  <c r="L747" i="7"/>
  <c r="K748" i="7"/>
  <c r="L748" i="7"/>
  <c r="K749" i="7"/>
  <c r="L749" i="7"/>
  <c r="K750" i="7"/>
  <c r="L750" i="7"/>
  <c r="K751" i="7"/>
  <c r="L751" i="7"/>
  <c r="K752" i="7"/>
  <c r="L752" i="7"/>
  <c r="K753" i="7"/>
  <c r="L753" i="7"/>
  <c r="K754" i="7"/>
  <c r="L754" i="7"/>
  <c r="K755" i="7"/>
  <c r="L755" i="7"/>
  <c r="K756" i="7"/>
  <c r="L756" i="7"/>
  <c r="K757" i="7"/>
  <c r="L757" i="7"/>
  <c r="K758" i="7"/>
  <c r="L758" i="7"/>
  <c r="K759" i="7"/>
  <c r="L759" i="7"/>
  <c r="K760" i="7"/>
  <c r="L760" i="7"/>
  <c r="K761" i="7"/>
  <c r="L761" i="7"/>
  <c r="K762" i="7"/>
  <c r="L762" i="7"/>
  <c r="K763" i="7"/>
  <c r="L763" i="7"/>
  <c r="K764" i="7"/>
  <c r="L764" i="7"/>
  <c r="K765" i="7"/>
  <c r="L765" i="7"/>
  <c r="K766" i="7"/>
  <c r="L766" i="7"/>
  <c r="K767" i="7"/>
  <c r="L767" i="7"/>
  <c r="K768" i="7"/>
  <c r="L768" i="7"/>
  <c r="K769" i="7"/>
  <c r="L769" i="7"/>
  <c r="K770" i="7"/>
  <c r="L770" i="7"/>
  <c r="K771" i="7"/>
  <c r="L771" i="7"/>
  <c r="K772" i="7"/>
  <c r="L772" i="7"/>
  <c r="K773" i="7"/>
  <c r="L773" i="7"/>
  <c r="K774" i="7"/>
  <c r="L774" i="7"/>
  <c r="K775" i="7"/>
  <c r="L775" i="7"/>
  <c r="K776" i="7"/>
  <c r="L776" i="7"/>
  <c r="K777" i="7"/>
  <c r="L777" i="7"/>
  <c r="K778" i="7"/>
  <c r="L778" i="7"/>
  <c r="K779" i="7"/>
  <c r="L779" i="7"/>
  <c r="K780" i="7"/>
  <c r="L780" i="7"/>
  <c r="K781" i="7"/>
  <c r="L781" i="7"/>
  <c r="K782" i="7"/>
  <c r="L782" i="7"/>
  <c r="K783" i="7"/>
  <c r="L783" i="7"/>
  <c r="K784" i="7"/>
  <c r="L784" i="7"/>
  <c r="K785" i="7"/>
  <c r="L785" i="7"/>
  <c r="K786" i="7"/>
  <c r="L786" i="7"/>
  <c r="K787" i="7"/>
  <c r="L787" i="7"/>
  <c r="K788" i="7"/>
  <c r="L788" i="7"/>
  <c r="K789" i="7"/>
  <c r="L789" i="7"/>
  <c r="K790" i="7"/>
  <c r="L790" i="7"/>
  <c r="K791" i="7"/>
  <c r="L791" i="7"/>
  <c r="K792" i="7"/>
  <c r="L792" i="7"/>
  <c r="K793" i="7"/>
  <c r="L793" i="7"/>
  <c r="K794" i="7"/>
  <c r="L794" i="7"/>
  <c r="K795" i="7"/>
  <c r="L795" i="7"/>
  <c r="K796" i="7"/>
  <c r="L796" i="7"/>
  <c r="K797" i="7"/>
  <c r="L797" i="7"/>
  <c r="K798" i="7"/>
  <c r="L798" i="7"/>
  <c r="K799" i="7"/>
  <c r="L799" i="7"/>
  <c r="K800" i="7"/>
  <c r="L800" i="7"/>
  <c r="K801" i="7"/>
  <c r="L801" i="7"/>
  <c r="K802" i="7"/>
  <c r="L802" i="7"/>
  <c r="K803" i="7"/>
  <c r="L803" i="7"/>
  <c r="K804" i="7"/>
  <c r="L804" i="7"/>
  <c r="K805" i="7"/>
  <c r="L805" i="7"/>
  <c r="K806" i="7"/>
  <c r="L806" i="7"/>
  <c r="K807" i="7"/>
  <c r="L807" i="7"/>
  <c r="K808" i="7"/>
  <c r="L808" i="7"/>
  <c r="K809" i="7"/>
  <c r="L809" i="7"/>
  <c r="K810" i="7"/>
  <c r="L810" i="7"/>
  <c r="K811" i="7"/>
  <c r="L811" i="7"/>
  <c r="K812" i="7"/>
  <c r="L812" i="7"/>
  <c r="K813" i="7"/>
  <c r="L813" i="7"/>
  <c r="K814" i="7"/>
  <c r="L814" i="7"/>
  <c r="K815" i="7"/>
  <c r="L815" i="7"/>
  <c r="K816" i="7"/>
  <c r="L816" i="7"/>
  <c r="K817" i="7"/>
  <c r="L817" i="7"/>
  <c r="K818" i="7"/>
  <c r="L818" i="7"/>
  <c r="K819" i="7"/>
  <c r="L819" i="7"/>
  <c r="K820" i="7"/>
  <c r="L820" i="7"/>
  <c r="K821" i="7"/>
  <c r="L821" i="7"/>
  <c r="K822" i="7"/>
  <c r="L822" i="7"/>
  <c r="K823" i="7"/>
  <c r="L823" i="7"/>
  <c r="K824" i="7"/>
  <c r="L824" i="7"/>
  <c r="K825" i="7"/>
  <c r="L825" i="7"/>
  <c r="K826" i="7"/>
  <c r="L826" i="7"/>
  <c r="K827" i="7"/>
  <c r="L827" i="7"/>
  <c r="K828" i="7"/>
  <c r="L828" i="7"/>
  <c r="K829" i="7"/>
  <c r="L829" i="7"/>
  <c r="K830" i="7"/>
  <c r="L830" i="7"/>
  <c r="K831" i="7"/>
  <c r="L831" i="7"/>
  <c r="K832" i="7"/>
  <c r="L832" i="7"/>
  <c r="K833" i="7"/>
  <c r="L833" i="7"/>
  <c r="K834" i="7"/>
  <c r="L834" i="7"/>
  <c r="K835" i="7"/>
  <c r="L835" i="7"/>
  <c r="K836" i="7"/>
  <c r="L836" i="7"/>
  <c r="K837" i="7"/>
  <c r="L837" i="7"/>
  <c r="K838" i="7"/>
  <c r="L838" i="7"/>
  <c r="K839" i="7"/>
  <c r="L839" i="7"/>
  <c r="K840" i="7"/>
  <c r="L840" i="7"/>
  <c r="K841" i="7"/>
  <c r="L841" i="7"/>
  <c r="K842" i="7"/>
  <c r="L842" i="7"/>
  <c r="K843" i="7"/>
  <c r="L843" i="7"/>
  <c r="K844" i="7"/>
  <c r="L844" i="7"/>
  <c r="K845" i="7"/>
  <c r="L845" i="7"/>
  <c r="K846" i="7"/>
  <c r="L846" i="7"/>
  <c r="K847" i="7"/>
  <c r="L847" i="7"/>
  <c r="K848" i="7"/>
  <c r="L848" i="7"/>
  <c r="K849" i="7"/>
  <c r="L849" i="7"/>
  <c r="K850" i="7"/>
  <c r="L850" i="7"/>
  <c r="K851" i="7"/>
  <c r="L851" i="7"/>
  <c r="K852" i="7"/>
  <c r="L852" i="7"/>
  <c r="K853" i="7"/>
  <c r="L853" i="7"/>
  <c r="K854" i="7"/>
  <c r="L854" i="7"/>
  <c r="K855" i="7"/>
  <c r="L855" i="7"/>
  <c r="K856" i="7"/>
  <c r="L856" i="7"/>
  <c r="K857" i="7"/>
  <c r="L857" i="7"/>
  <c r="K858" i="7"/>
  <c r="L858" i="7"/>
  <c r="K859" i="7"/>
  <c r="L859" i="7"/>
  <c r="K860" i="7"/>
  <c r="L860" i="7"/>
  <c r="K861" i="7"/>
  <c r="L861" i="7"/>
  <c r="K862" i="7"/>
  <c r="L862" i="7"/>
  <c r="K863" i="7"/>
  <c r="L863" i="7"/>
  <c r="K864" i="7"/>
  <c r="L864" i="7"/>
  <c r="K865" i="7"/>
  <c r="L865" i="7"/>
  <c r="K866" i="7"/>
  <c r="L866" i="7"/>
  <c r="K867" i="7"/>
  <c r="L867" i="7"/>
  <c r="K868" i="7"/>
  <c r="L868" i="7"/>
  <c r="K869" i="7"/>
  <c r="L869" i="7"/>
  <c r="K870" i="7"/>
  <c r="L870" i="7"/>
  <c r="K871" i="7"/>
  <c r="L871" i="7"/>
  <c r="K872" i="7"/>
  <c r="L872" i="7"/>
  <c r="K873" i="7"/>
  <c r="L873" i="7"/>
  <c r="K874" i="7"/>
  <c r="L874" i="7"/>
  <c r="K875" i="7"/>
  <c r="L875" i="7"/>
  <c r="K876" i="7"/>
  <c r="L876" i="7"/>
  <c r="K877" i="7"/>
  <c r="L877" i="7"/>
  <c r="K878" i="7"/>
  <c r="L878" i="7"/>
  <c r="K879" i="7"/>
  <c r="L879" i="7"/>
  <c r="K880" i="7"/>
  <c r="L880" i="7"/>
  <c r="K881" i="7"/>
  <c r="L881" i="7"/>
  <c r="K882" i="7"/>
  <c r="L882" i="7"/>
  <c r="K883" i="7"/>
  <c r="L883" i="7"/>
  <c r="K884" i="7"/>
  <c r="L884" i="7"/>
  <c r="K885" i="7"/>
  <c r="L885" i="7"/>
  <c r="K886" i="7"/>
  <c r="L886" i="7"/>
  <c r="K887" i="7"/>
  <c r="L887" i="7"/>
  <c r="K888" i="7"/>
  <c r="L888" i="7"/>
  <c r="K889" i="7"/>
  <c r="L889" i="7"/>
  <c r="K890" i="7"/>
  <c r="L890" i="7"/>
  <c r="K891" i="7"/>
  <c r="L891" i="7"/>
  <c r="K892" i="7"/>
  <c r="L892" i="7"/>
  <c r="K893" i="7"/>
  <c r="L893" i="7"/>
  <c r="K894" i="7"/>
  <c r="L894" i="7"/>
  <c r="K895" i="7"/>
  <c r="L895" i="7"/>
  <c r="K896" i="7"/>
  <c r="L896" i="7"/>
  <c r="K897" i="7"/>
  <c r="L897" i="7"/>
  <c r="K898" i="7"/>
  <c r="L898" i="7"/>
  <c r="K899" i="7"/>
  <c r="L899" i="7"/>
  <c r="K900" i="7"/>
  <c r="L900" i="7"/>
  <c r="K901" i="7"/>
  <c r="L901" i="7"/>
  <c r="K902" i="7"/>
  <c r="L902" i="7"/>
  <c r="K903" i="7"/>
  <c r="L903" i="7"/>
  <c r="K904" i="7"/>
  <c r="L904" i="7"/>
  <c r="K905" i="7"/>
  <c r="L905" i="7"/>
  <c r="K906" i="7"/>
  <c r="L906" i="7"/>
  <c r="K907" i="7"/>
  <c r="L907" i="7"/>
  <c r="K908" i="7"/>
  <c r="L908" i="7"/>
  <c r="K909" i="7"/>
  <c r="L909" i="7"/>
  <c r="K910" i="7"/>
  <c r="L910" i="7"/>
  <c r="K911" i="7"/>
  <c r="L911" i="7"/>
  <c r="K912" i="7"/>
  <c r="L912" i="7"/>
  <c r="K913" i="7"/>
  <c r="L913" i="7"/>
  <c r="K914" i="7"/>
  <c r="L914" i="7"/>
  <c r="K915" i="7"/>
  <c r="L915" i="7"/>
  <c r="K916" i="7"/>
  <c r="L916" i="7"/>
  <c r="K917" i="7"/>
  <c r="L917" i="7"/>
  <c r="K918" i="7"/>
  <c r="L918" i="7"/>
  <c r="K919" i="7"/>
  <c r="L919" i="7"/>
  <c r="K920" i="7"/>
  <c r="L920" i="7"/>
  <c r="K921" i="7"/>
  <c r="L921" i="7"/>
  <c r="K922" i="7"/>
  <c r="L922" i="7"/>
  <c r="K923" i="7"/>
  <c r="L923" i="7"/>
  <c r="K924" i="7"/>
  <c r="L924" i="7"/>
  <c r="K925" i="7"/>
  <c r="L925" i="7"/>
  <c r="K926" i="7"/>
  <c r="L926" i="7"/>
  <c r="K927" i="7"/>
  <c r="L927" i="7"/>
  <c r="K928" i="7"/>
  <c r="L928" i="7"/>
  <c r="K929" i="7"/>
  <c r="L929" i="7"/>
  <c r="K930" i="7"/>
  <c r="L930" i="7"/>
  <c r="K931" i="7"/>
  <c r="L931" i="7"/>
  <c r="K932" i="7"/>
  <c r="L932" i="7"/>
  <c r="K933" i="7"/>
  <c r="L933" i="7"/>
  <c r="K934" i="7"/>
  <c r="L934" i="7"/>
  <c r="K935" i="7"/>
  <c r="L935" i="7"/>
  <c r="K936" i="7"/>
  <c r="L936" i="7"/>
  <c r="K937" i="7"/>
  <c r="L937" i="7"/>
  <c r="K938" i="7"/>
  <c r="L938" i="7"/>
  <c r="K939" i="7"/>
  <c r="L939" i="7"/>
  <c r="K940" i="7"/>
  <c r="L940" i="7"/>
  <c r="K941" i="7"/>
  <c r="L941" i="7"/>
  <c r="K942" i="7"/>
  <c r="L942" i="7"/>
  <c r="K943" i="7"/>
  <c r="L943" i="7"/>
  <c r="K944" i="7"/>
  <c r="L944" i="7"/>
  <c r="K945" i="7"/>
  <c r="L945" i="7"/>
  <c r="K946" i="7"/>
  <c r="L946" i="7"/>
  <c r="K947" i="7"/>
  <c r="L947" i="7"/>
  <c r="K948" i="7"/>
  <c r="L948" i="7"/>
  <c r="K949" i="7"/>
  <c r="L949" i="7"/>
  <c r="K950" i="7"/>
  <c r="L950" i="7"/>
  <c r="K951" i="7"/>
  <c r="L951" i="7"/>
  <c r="K952" i="7"/>
  <c r="L952" i="7"/>
  <c r="K953" i="7"/>
  <c r="L953" i="7"/>
  <c r="K954" i="7"/>
  <c r="L954" i="7"/>
  <c r="K955" i="7"/>
  <c r="L955" i="7"/>
  <c r="K956" i="7"/>
  <c r="L956" i="7"/>
  <c r="K957" i="7"/>
  <c r="L957" i="7"/>
  <c r="K958" i="7"/>
  <c r="L958" i="7"/>
  <c r="K959" i="7"/>
  <c r="L959" i="7"/>
  <c r="K960" i="7"/>
  <c r="L960" i="7"/>
  <c r="K961" i="7"/>
  <c r="L961" i="7"/>
  <c r="K962" i="7"/>
  <c r="L962" i="7"/>
  <c r="K963" i="7"/>
  <c r="L963" i="7"/>
  <c r="K964" i="7"/>
  <c r="L964" i="7"/>
  <c r="K965" i="7"/>
  <c r="L965" i="7"/>
  <c r="K966" i="7"/>
  <c r="L966" i="7"/>
  <c r="K967" i="7"/>
  <c r="L967" i="7"/>
  <c r="K968" i="7"/>
  <c r="L968" i="7"/>
  <c r="K969" i="7"/>
  <c r="L969" i="7"/>
  <c r="K970" i="7"/>
  <c r="L970" i="7"/>
  <c r="K971" i="7"/>
  <c r="L971" i="7"/>
  <c r="K972" i="7"/>
  <c r="L972" i="7"/>
  <c r="K973" i="7"/>
  <c r="L973" i="7"/>
  <c r="K974" i="7"/>
  <c r="L974" i="7"/>
  <c r="K975" i="7"/>
  <c r="L975" i="7"/>
  <c r="K976" i="7"/>
  <c r="L976" i="7"/>
  <c r="K977" i="7"/>
  <c r="L977" i="7"/>
  <c r="K978" i="7"/>
  <c r="L978" i="7"/>
  <c r="K979" i="7"/>
  <c r="L979" i="7"/>
  <c r="K980" i="7"/>
  <c r="L980" i="7"/>
  <c r="K981" i="7"/>
  <c r="L981" i="7"/>
  <c r="K982" i="7"/>
  <c r="L982" i="7"/>
  <c r="K983" i="7"/>
  <c r="L983" i="7"/>
  <c r="K984" i="7"/>
  <c r="L984" i="7"/>
  <c r="K985" i="7"/>
  <c r="L985" i="7"/>
  <c r="K986" i="7"/>
  <c r="L986" i="7"/>
  <c r="K987" i="7"/>
  <c r="L987" i="7"/>
  <c r="K988" i="7"/>
  <c r="L988" i="7"/>
  <c r="K989" i="7"/>
  <c r="L989" i="7"/>
  <c r="K990" i="7"/>
  <c r="L990" i="7"/>
  <c r="K991" i="7"/>
  <c r="L991" i="7"/>
  <c r="K992" i="7"/>
  <c r="L992" i="7"/>
  <c r="K993" i="7"/>
  <c r="L993" i="7"/>
  <c r="K994" i="7"/>
  <c r="L994" i="7"/>
  <c r="K995" i="7"/>
  <c r="L995" i="7"/>
  <c r="K996" i="7"/>
  <c r="L996" i="7"/>
  <c r="K997" i="7"/>
  <c r="L997" i="7"/>
  <c r="K998" i="7"/>
  <c r="L998" i="7"/>
  <c r="K999" i="7"/>
  <c r="L999" i="7"/>
  <c r="K1000" i="7"/>
  <c r="L1000" i="7"/>
  <c r="K1001" i="7"/>
  <c r="L1001" i="7"/>
  <c r="K1002" i="7"/>
  <c r="L1002" i="7"/>
  <c r="K1003" i="7"/>
  <c r="L1003" i="7"/>
  <c r="L4" i="7"/>
  <c r="D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G958" i="7"/>
  <c r="H958" i="7"/>
  <c r="G959" i="7"/>
  <c r="H959" i="7"/>
  <c r="G960" i="7"/>
  <c r="H960" i="7"/>
  <c r="G961" i="7"/>
  <c r="H961" i="7"/>
  <c r="G962" i="7"/>
  <c r="H962" i="7"/>
  <c r="G963" i="7"/>
  <c r="H963" i="7"/>
  <c r="G964" i="7"/>
  <c r="H964" i="7"/>
  <c r="G965" i="7"/>
  <c r="H965" i="7"/>
  <c r="G966" i="7"/>
  <c r="H966" i="7"/>
  <c r="G967" i="7"/>
  <c r="H967" i="7"/>
  <c r="G968" i="7"/>
  <c r="H968" i="7"/>
  <c r="G969" i="7"/>
  <c r="H969" i="7"/>
  <c r="G970" i="7"/>
  <c r="H970" i="7"/>
  <c r="G971" i="7"/>
  <c r="H971" i="7"/>
  <c r="G972" i="7"/>
  <c r="H972" i="7"/>
  <c r="G973" i="7"/>
  <c r="H973" i="7"/>
  <c r="G974" i="7"/>
  <c r="H974" i="7"/>
  <c r="G975" i="7"/>
  <c r="H975" i="7"/>
  <c r="G976" i="7"/>
  <c r="H976" i="7"/>
  <c r="G977" i="7"/>
  <c r="H977" i="7"/>
  <c r="G978" i="7"/>
  <c r="H978" i="7"/>
  <c r="G979" i="7"/>
  <c r="H979" i="7"/>
  <c r="G980" i="7"/>
  <c r="H980" i="7"/>
  <c r="G981" i="7"/>
  <c r="H981" i="7"/>
  <c r="G982" i="7"/>
  <c r="H982" i="7"/>
  <c r="G983" i="7"/>
  <c r="H983" i="7"/>
  <c r="G984" i="7"/>
  <c r="H984" i="7"/>
  <c r="G985" i="7"/>
  <c r="H985" i="7"/>
  <c r="G986" i="7"/>
  <c r="H986" i="7"/>
  <c r="G987" i="7"/>
  <c r="H987" i="7"/>
  <c r="G988" i="7"/>
  <c r="H988" i="7"/>
  <c r="G989" i="7"/>
  <c r="H989" i="7"/>
  <c r="G990" i="7"/>
  <c r="H990" i="7"/>
  <c r="G991" i="7"/>
  <c r="H991" i="7"/>
  <c r="G992" i="7"/>
  <c r="H992" i="7"/>
  <c r="G993" i="7"/>
  <c r="H993" i="7"/>
  <c r="G994" i="7"/>
  <c r="H994" i="7"/>
  <c r="G995" i="7"/>
  <c r="H995" i="7"/>
  <c r="G996" i="7"/>
  <c r="H996" i="7"/>
  <c r="G997" i="7"/>
  <c r="H997" i="7"/>
  <c r="G998" i="7"/>
  <c r="H998" i="7"/>
  <c r="G999" i="7"/>
  <c r="H999" i="7"/>
  <c r="G1000" i="7"/>
  <c r="H1000" i="7"/>
  <c r="G1001" i="7"/>
  <c r="H1001" i="7"/>
  <c r="G1002" i="7"/>
  <c r="H1002" i="7"/>
  <c r="G1003" i="7"/>
  <c r="H1003" i="7"/>
  <c r="G5" i="7"/>
  <c r="H5" i="7"/>
  <c r="H4" i="7"/>
  <c r="K4" i="7"/>
  <c r="G4" i="7"/>
  <c r="C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C958" i="7"/>
  <c r="D958" i="7"/>
  <c r="C959" i="7"/>
  <c r="D959" i="7"/>
  <c r="C960" i="7"/>
  <c r="D960" i="7"/>
  <c r="C961" i="7"/>
  <c r="D961" i="7"/>
  <c r="C962" i="7"/>
  <c r="D962" i="7"/>
  <c r="C963" i="7"/>
  <c r="D963" i="7"/>
  <c r="C964" i="7"/>
  <c r="D964" i="7"/>
  <c r="C965" i="7"/>
  <c r="D965" i="7"/>
  <c r="C966" i="7"/>
  <c r="D966" i="7"/>
  <c r="C967" i="7"/>
  <c r="D967" i="7"/>
  <c r="C968" i="7"/>
  <c r="D968" i="7"/>
  <c r="C969" i="7"/>
  <c r="D969" i="7"/>
  <c r="C970" i="7"/>
  <c r="D970" i="7"/>
  <c r="C971" i="7"/>
  <c r="D971" i="7"/>
  <c r="C972" i="7"/>
  <c r="D972" i="7"/>
  <c r="C973" i="7"/>
  <c r="D973" i="7"/>
  <c r="C974" i="7"/>
  <c r="D974" i="7"/>
  <c r="C975" i="7"/>
  <c r="D975" i="7"/>
  <c r="C976" i="7"/>
  <c r="D976" i="7"/>
  <c r="C977" i="7"/>
  <c r="D977" i="7"/>
  <c r="C978" i="7"/>
  <c r="D978" i="7"/>
  <c r="C979" i="7"/>
  <c r="D979" i="7"/>
  <c r="C980" i="7"/>
  <c r="D980" i="7"/>
  <c r="C981" i="7"/>
  <c r="D981" i="7"/>
  <c r="C982" i="7"/>
  <c r="D982" i="7"/>
  <c r="C983" i="7"/>
  <c r="D983" i="7"/>
  <c r="C984" i="7"/>
  <c r="D984" i="7"/>
  <c r="C985" i="7"/>
  <c r="D985" i="7"/>
  <c r="C986" i="7"/>
  <c r="D986" i="7"/>
  <c r="C987" i="7"/>
  <c r="D987" i="7"/>
  <c r="C988" i="7"/>
  <c r="D988" i="7"/>
  <c r="C989" i="7"/>
  <c r="D989" i="7"/>
  <c r="C990" i="7"/>
  <c r="D990" i="7"/>
  <c r="C991" i="7"/>
  <c r="D991" i="7"/>
  <c r="C992" i="7"/>
  <c r="D992" i="7"/>
  <c r="C993" i="7"/>
  <c r="D993" i="7"/>
  <c r="C994" i="7"/>
  <c r="D994" i="7"/>
  <c r="C995" i="7"/>
  <c r="D995" i="7"/>
  <c r="C996" i="7"/>
  <c r="D996" i="7"/>
  <c r="C997" i="7"/>
  <c r="D997" i="7"/>
  <c r="C998" i="7"/>
  <c r="D998" i="7"/>
  <c r="C999" i="7"/>
  <c r="D999" i="7"/>
  <c r="C1000" i="7"/>
  <c r="D1000" i="7"/>
  <c r="C1001" i="7"/>
  <c r="D1001" i="7"/>
  <c r="C1002" i="7"/>
  <c r="D1002" i="7"/>
  <c r="C1003" i="7"/>
  <c r="D1003" i="7"/>
  <c r="Y4" i="7" l="1"/>
  <c r="Z4" i="7"/>
  <c r="AA4" i="7"/>
  <c r="W4" i="7"/>
  <c r="V4" i="7"/>
  <c r="X4" i="7"/>
  <c r="U4" i="7" l="1"/>
  <c r="S5" i="7" s="1"/>
  <c r="T4" i="7"/>
  <c r="P5" i="7" s="1"/>
  <c r="B3" i="8" s="1"/>
  <c r="R5" i="7" l="1"/>
  <c r="Q5" i="7"/>
  <c r="AE5" i="7" s="1"/>
  <c r="AA5" i="7" s="1"/>
  <c r="AD5" i="7" l="1"/>
  <c r="Y5" i="7" s="1"/>
  <c r="AC5" i="7"/>
  <c r="V5" i="7" s="1"/>
  <c r="C3" i="8"/>
  <c r="Z5" i="7"/>
  <c r="X5" i="7" l="1"/>
  <c r="T5" i="7" s="1"/>
  <c r="W5" i="7"/>
  <c r="U5" i="7" s="1"/>
  <c r="S6" i="7" s="1"/>
  <c r="P6" i="7" l="1"/>
  <c r="R6" i="7"/>
  <c r="Q6" i="7"/>
  <c r="AE6" i="7" l="1"/>
  <c r="AA6" i="7" s="1"/>
  <c r="AD6" i="7"/>
  <c r="Y6" i="7" s="1"/>
  <c r="AC6" i="7"/>
  <c r="W6" i="7" s="1"/>
  <c r="Z6" i="7" l="1"/>
  <c r="X6" i="7"/>
  <c r="V6" i="7"/>
  <c r="U6" i="7"/>
  <c r="S7" i="7" s="1"/>
  <c r="T6" i="7" l="1"/>
  <c r="P7" i="7" s="1"/>
  <c r="Q7" i="7"/>
  <c r="R7" i="7" l="1"/>
  <c r="AD7" i="7"/>
  <c r="X7" i="7" s="1"/>
  <c r="AC7" i="7"/>
  <c r="V7" i="7" s="1"/>
  <c r="AE7" i="7"/>
  <c r="Y7" i="7" l="1"/>
  <c r="W7" i="7"/>
  <c r="Z7" i="7"/>
  <c r="T7" i="7" s="1"/>
  <c r="AA7" i="7"/>
  <c r="R8" i="7" l="1"/>
  <c r="P8" i="7"/>
  <c r="U7" i="7"/>
  <c r="Q8" i="7" s="1"/>
  <c r="S8" i="7" l="1"/>
  <c r="AD8" i="7"/>
  <c r="Y8" i="7" s="1"/>
  <c r="AE8" i="7"/>
  <c r="AA8" i="7" s="1"/>
  <c r="AC8" i="7"/>
  <c r="W8" i="7" s="1"/>
  <c r="V8" i="7" l="1"/>
  <c r="Z8" i="7"/>
  <c r="X8" i="7"/>
  <c r="U8" i="7"/>
  <c r="T8" i="7" l="1"/>
  <c r="P9" i="7" s="1"/>
  <c r="Q9" i="7"/>
  <c r="S9" i="7"/>
  <c r="R9" i="7" l="1"/>
  <c r="AE9" i="7"/>
  <c r="Z9" i="7" s="1"/>
  <c r="AC9" i="7"/>
  <c r="V9" i="7" s="1"/>
  <c r="AD9" i="7"/>
  <c r="X9" i="7" s="1"/>
  <c r="T9" i="7" l="1"/>
  <c r="AA9" i="7"/>
  <c r="Y9" i="7"/>
  <c r="W9" i="7"/>
  <c r="U9" i="7" l="1"/>
  <c r="S10" i="7" s="1"/>
  <c r="P10" i="7"/>
  <c r="R10" i="7"/>
  <c r="Q10" i="7" l="1"/>
  <c r="AD10" i="7" l="1"/>
  <c r="X10" i="7" s="1"/>
  <c r="AC10" i="7"/>
  <c r="V10" i="7" s="1"/>
  <c r="AE10" i="7"/>
  <c r="Z10" i="7" s="1"/>
  <c r="T10" i="7" l="1"/>
  <c r="R11" i="7" s="1"/>
  <c r="Y10" i="7"/>
  <c r="W10" i="7"/>
  <c r="AA10" i="7"/>
  <c r="U10" i="7" l="1"/>
  <c r="S11" i="7" s="1"/>
  <c r="P11" i="7"/>
  <c r="Q11" i="7" l="1"/>
  <c r="AC11" i="7" l="1"/>
  <c r="V11" i="7" s="1"/>
  <c r="AE11" i="7"/>
  <c r="Z11" i="7" s="1"/>
  <c r="AD11" i="7"/>
  <c r="X11" i="7" s="1"/>
  <c r="T11" i="7" l="1"/>
  <c r="R12" i="7" s="1"/>
  <c r="W11" i="7"/>
  <c r="Y11" i="7"/>
  <c r="AA11" i="7"/>
  <c r="P12" i="7" l="1"/>
  <c r="U11" i="7"/>
  <c r="S12" i="7" l="1"/>
  <c r="Q12" i="7"/>
  <c r="AC12" i="7" l="1"/>
  <c r="V12" i="7" s="1"/>
  <c r="AE12" i="7"/>
  <c r="Z12" i="7" s="1"/>
  <c r="AD12" i="7"/>
  <c r="X12" i="7" s="1"/>
  <c r="T12" i="7" l="1"/>
  <c r="W12" i="7"/>
  <c r="Y12" i="7"/>
  <c r="AA12" i="7"/>
  <c r="P13" i="7" l="1"/>
  <c r="R13" i="7"/>
  <c r="U12" i="7"/>
  <c r="S13" i="7" l="1"/>
  <c r="Q13" i="7"/>
  <c r="AC13" i="7" l="1"/>
  <c r="V13" i="7" s="1"/>
  <c r="AE13" i="7"/>
  <c r="Z13" i="7" s="1"/>
  <c r="AD13" i="7"/>
  <c r="X13" i="7" s="1"/>
  <c r="T13" i="7" l="1"/>
  <c r="W13" i="7"/>
  <c r="Y13" i="7"/>
  <c r="AA13" i="7"/>
  <c r="P14" i="7" l="1"/>
  <c r="R14" i="7"/>
  <c r="U13" i="7"/>
  <c r="S14" i="7" l="1"/>
  <c r="Q14" i="7"/>
  <c r="AE14" i="7" s="1"/>
  <c r="Z14" i="7" s="1"/>
  <c r="AC14" i="7" l="1"/>
  <c r="V14" i="7" s="1"/>
  <c r="AD14" i="7"/>
  <c r="X14" i="7" s="1"/>
  <c r="AA14" i="7"/>
  <c r="T14" i="7" l="1"/>
  <c r="R15" i="7" s="1"/>
  <c r="W14" i="7"/>
  <c r="Y14" i="7"/>
  <c r="P15" i="7" l="1"/>
  <c r="U14" i="7"/>
  <c r="S15" i="7" s="1"/>
  <c r="Q15" i="7" l="1"/>
  <c r="AC15" i="7" s="1"/>
  <c r="V15" i="7" s="1"/>
  <c r="AE15" i="7" l="1"/>
  <c r="Z15" i="7" s="1"/>
  <c r="AD15" i="7"/>
  <c r="X15" i="7" s="1"/>
  <c r="W15" i="7"/>
  <c r="Y15" i="7" l="1"/>
  <c r="AA15" i="7"/>
  <c r="T15" i="7"/>
  <c r="R16" i="7" s="1"/>
  <c r="P16" i="7" l="1"/>
  <c r="U15" i="7"/>
  <c r="S16" i="7" s="1"/>
  <c r="Q16" i="7" l="1"/>
  <c r="AE16" i="7" s="1"/>
  <c r="Z16" i="7" s="1"/>
  <c r="AC16" i="7" l="1"/>
  <c r="V16" i="7" s="1"/>
  <c r="AD16" i="7"/>
  <c r="X16" i="7" s="1"/>
  <c r="AA16" i="7"/>
  <c r="Y16" i="7" l="1"/>
  <c r="T16" i="7"/>
  <c r="R17" i="7" s="1"/>
  <c r="W16" i="7"/>
  <c r="U16" i="7" l="1"/>
  <c r="Q17" i="7" s="1"/>
  <c r="P17" i="7"/>
  <c r="AE17" i="7" l="1"/>
  <c r="Z17" i="7" s="1"/>
  <c r="S17" i="7"/>
  <c r="AC17" i="7"/>
  <c r="V17" i="7" s="1"/>
  <c r="AD17" i="7"/>
  <c r="X17" i="7" s="1"/>
  <c r="AA17" i="7" l="1"/>
  <c r="Y17" i="7"/>
  <c r="T17" i="7"/>
  <c r="P18" i="7" s="1"/>
  <c r="W17" i="7"/>
  <c r="U17" i="7" l="1"/>
  <c r="S18" i="7" s="1"/>
  <c r="R18" i="7"/>
  <c r="Q18" i="7" l="1"/>
  <c r="AD18" i="7" s="1"/>
  <c r="X18" i="7" s="1"/>
  <c r="AC18" i="7" l="1"/>
  <c r="V18" i="7" s="1"/>
  <c r="Y18" i="7"/>
  <c r="AE18" i="7"/>
  <c r="Z18" i="7" s="1"/>
  <c r="W18" i="7" l="1"/>
  <c r="T18" i="7"/>
  <c r="R19" i="7" s="1"/>
  <c r="AA18" i="7"/>
  <c r="P19" i="7" l="1"/>
  <c r="U18" i="7"/>
  <c r="S19" i="7" s="1"/>
  <c r="Q19" i="7" l="1"/>
  <c r="AC19" i="7" s="1"/>
  <c r="V19" i="7" s="1"/>
  <c r="W19" i="7" l="1"/>
  <c r="AE19" i="7"/>
  <c r="Z19" i="7" s="1"/>
  <c r="AD19" i="7"/>
  <c r="X19" i="7" s="1"/>
  <c r="T19" i="7" l="1"/>
  <c r="R20" i="7" s="1"/>
  <c r="AA19" i="7"/>
  <c r="Y19" i="7"/>
  <c r="P20" i="7" l="1"/>
  <c r="U19" i="7"/>
  <c r="S20" i="7" s="1"/>
  <c r="Q20" i="7" l="1"/>
  <c r="AE20" i="7" s="1"/>
  <c r="Z20" i="7" s="1"/>
  <c r="AD20" i="7" l="1"/>
  <c r="X20" i="7" s="1"/>
  <c r="AC20" i="7"/>
  <c r="V20" i="7" s="1"/>
  <c r="AA20" i="7"/>
  <c r="Y20" i="7" l="1"/>
  <c r="T20" i="7"/>
  <c r="P21" i="7" s="1"/>
  <c r="W20" i="7"/>
  <c r="U20" i="7" s="1"/>
  <c r="S21" i="7" s="1"/>
  <c r="R21" i="7" l="1"/>
  <c r="Q21" i="7"/>
  <c r="AD21" i="7" s="1"/>
  <c r="X21" i="7" s="1"/>
  <c r="Y21" i="7" l="1"/>
  <c r="AE21" i="7"/>
  <c r="Z21" i="7" s="1"/>
  <c r="AC21" i="7"/>
  <c r="V21" i="7" s="1"/>
  <c r="T21" i="7" l="1"/>
  <c r="R22" i="7" s="1"/>
  <c r="AA21" i="7"/>
  <c r="W21" i="7"/>
  <c r="P22" i="7" l="1"/>
  <c r="U21" i="7"/>
  <c r="Q22" i="7" s="1"/>
  <c r="AE22" i="7" l="1"/>
  <c r="AA22" i="7" s="1"/>
  <c r="AD22" i="7"/>
  <c r="X22" i="7" s="1"/>
  <c r="AC22" i="7"/>
  <c r="W22" i="7" s="1"/>
  <c r="S22" i="7"/>
  <c r="Z22" i="7" l="1"/>
  <c r="V22" i="7"/>
  <c r="Y22" i="7"/>
  <c r="U22" i="7" s="1"/>
  <c r="S23" i="7" s="1"/>
  <c r="T22" i="7" l="1"/>
  <c r="R23" i="7" s="1"/>
  <c r="Q23" i="7"/>
  <c r="P23" i="7" l="1"/>
  <c r="AD23" i="7" s="1"/>
  <c r="Y23" i="7" s="1"/>
  <c r="AE23" i="7" l="1"/>
  <c r="AA23" i="7" s="1"/>
  <c r="AC23" i="7"/>
  <c r="V23" i="7" s="1"/>
  <c r="X23" i="7"/>
  <c r="Z23" i="7"/>
  <c r="W23" i="7" l="1"/>
  <c r="U23" i="7" s="1"/>
  <c r="S24" i="7" s="1"/>
  <c r="T23" i="7"/>
  <c r="P24" i="7" s="1"/>
  <c r="R24" i="7" l="1"/>
  <c r="Q24" i="7"/>
  <c r="AC24" i="7" s="1"/>
  <c r="W24" i="7" s="1"/>
  <c r="AD24" i="7" l="1"/>
  <c r="Y24" i="7" s="1"/>
  <c r="AE24" i="7"/>
  <c r="AA24" i="7" s="1"/>
  <c r="U24" i="7" s="1"/>
  <c r="V24" i="7"/>
  <c r="X24" i="7"/>
  <c r="S25" i="7" l="1"/>
  <c r="Q25" i="7"/>
  <c r="Z24" i="7"/>
  <c r="T24" i="7" s="1"/>
  <c r="R25" i="7" l="1"/>
  <c r="P25" i="7"/>
  <c r="AC25" i="7" s="1"/>
  <c r="W25" i="7" s="1"/>
  <c r="AD25" i="7"/>
  <c r="Y25" i="7" s="1"/>
  <c r="AE25" i="7"/>
  <c r="AA25" i="7" s="1"/>
  <c r="V25" i="7" l="1"/>
  <c r="X25" i="7"/>
  <c r="Z25" i="7"/>
  <c r="U25" i="7"/>
  <c r="Q26" i="7" s="1"/>
  <c r="T25" i="7" l="1"/>
  <c r="R26" i="7" s="1"/>
  <c r="S26" i="7"/>
  <c r="P26" i="7" l="1"/>
  <c r="AC26" i="7" s="1"/>
  <c r="V26" i="7" s="1"/>
  <c r="AE26" i="7"/>
  <c r="Z26" i="7" s="1"/>
  <c r="AD26" i="7"/>
  <c r="X26" i="7" s="1"/>
  <c r="W26" i="7" l="1"/>
  <c r="T26" i="7"/>
  <c r="R27" i="7" s="1"/>
  <c r="AA26" i="7"/>
  <c r="Y26" i="7"/>
  <c r="P27" i="7" l="1"/>
  <c r="U26" i="7"/>
  <c r="S27" i="7" s="1"/>
  <c r="Q27" i="7" l="1"/>
  <c r="AE27" i="7" s="1"/>
  <c r="AA27" i="7" s="1"/>
  <c r="AD27" i="7" l="1"/>
  <c r="X27" i="7" s="1"/>
  <c r="AC27" i="7"/>
  <c r="V27" i="7" s="1"/>
  <c r="Z27" i="7"/>
  <c r="W27" i="7" l="1"/>
  <c r="T27" i="7"/>
  <c r="Y27" i="7"/>
  <c r="U27" i="7" l="1"/>
  <c r="S28" i="7" s="1"/>
  <c r="Q28" i="7"/>
  <c r="P28" i="7"/>
  <c r="R28" i="7"/>
  <c r="AD28" i="7" l="1"/>
  <c r="X28" i="7" s="1"/>
  <c r="AE28" i="7"/>
  <c r="AA28" i="7" s="1"/>
  <c r="AC28" i="7"/>
  <c r="W28" i="7" s="1"/>
  <c r="Y28" i="7" l="1"/>
  <c r="U28" i="7" s="1"/>
  <c r="Z28" i="7"/>
  <c r="V28" i="7"/>
  <c r="S29" i="7" l="1"/>
  <c r="Q29" i="7"/>
  <c r="T28" i="7"/>
  <c r="P29" i="7" s="1"/>
  <c r="AD29" i="7" l="1"/>
  <c r="Y29" i="7" s="1"/>
  <c r="AE29" i="7"/>
  <c r="AA29" i="7" s="1"/>
  <c r="AC29" i="7"/>
  <c r="W29" i="7" s="1"/>
  <c r="R29" i="7"/>
  <c r="X29" i="7"/>
  <c r="Z29" i="7" l="1"/>
  <c r="U29" i="7"/>
  <c r="S30" i="7" s="1"/>
  <c r="V29" i="7"/>
  <c r="T29" i="7" l="1"/>
  <c r="R30" i="7" s="1"/>
  <c r="Q30" i="7"/>
  <c r="P30" i="7" l="1"/>
  <c r="AE30" i="7" s="1"/>
  <c r="AA30" i="7" s="1"/>
  <c r="AD30" i="7" l="1"/>
  <c r="Y30" i="7" s="1"/>
  <c r="AC30" i="7"/>
  <c r="V30" i="7" s="1"/>
  <c r="Z30" i="7"/>
  <c r="W30" i="7"/>
  <c r="U30" i="7" s="1"/>
  <c r="X30" i="7"/>
  <c r="T30" i="7" s="1"/>
  <c r="R31" i="7" s="1"/>
  <c r="S31" i="7" l="1"/>
  <c r="Q31" i="7"/>
  <c r="P31" i="7"/>
  <c r="AD31" i="7" l="1"/>
  <c r="Y31" i="7" s="1"/>
  <c r="AC31" i="7"/>
  <c r="V31" i="7" s="1"/>
  <c r="AE31" i="7"/>
  <c r="Z31" i="7" s="1"/>
  <c r="X31" i="7" l="1"/>
  <c r="T31" i="7" s="1"/>
  <c r="W31" i="7"/>
  <c r="AA31" i="7"/>
  <c r="U31" i="7" l="1"/>
  <c r="S32" i="7" s="1"/>
  <c r="R32" i="7"/>
  <c r="P32" i="7"/>
  <c r="Q32" i="7" l="1"/>
  <c r="AE32" i="7" s="1"/>
  <c r="AA32" i="7" s="1"/>
  <c r="AD32" i="7" l="1"/>
  <c r="Y32" i="7" s="1"/>
  <c r="AC32" i="7"/>
  <c r="W32" i="7" s="1"/>
  <c r="Z32" i="7"/>
  <c r="X32" i="7" l="1"/>
  <c r="U32" i="7"/>
  <c r="Q33" i="7" s="1"/>
  <c r="V32" i="7"/>
  <c r="S33" i="7"/>
  <c r="T32" i="7" l="1"/>
  <c r="R33" i="7" s="1"/>
  <c r="P33" i="7" l="1"/>
  <c r="AD33" i="7"/>
  <c r="AC33" i="7"/>
  <c r="W33" i="7" s="1"/>
  <c r="AE33" i="7"/>
  <c r="AA33" i="7" s="1"/>
  <c r="V33" i="7" l="1"/>
  <c r="Z33" i="7"/>
  <c r="X33" i="7"/>
  <c r="Y33" i="7"/>
  <c r="U33" i="7" s="1"/>
  <c r="T33" i="7" l="1"/>
  <c r="P34" i="7" s="1"/>
  <c r="Q34" i="7"/>
  <c r="S34" i="7"/>
  <c r="R34" i="7" l="1"/>
  <c r="AD34" i="7"/>
  <c r="Y34" i="7" s="1"/>
  <c r="AE34" i="7"/>
  <c r="Z34" i="7" s="1"/>
  <c r="AC34" i="7"/>
  <c r="V34" i="7" s="1"/>
  <c r="AA34" i="7" l="1"/>
  <c r="W34" i="7"/>
  <c r="X34" i="7"/>
  <c r="T34" i="7" s="1"/>
  <c r="U34" i="7" l="1"/>
  <c r="Q35" i="7" s="1"/>
  <c r="P35" i="7"/>
  <c r="R35" i="7"/>
  <c r="S35" i="7" l="1"/>
  <c r="AE35" i="7"/>
  <c r="AA35" i="7" s="1"/>
  <c r="AD35" i="7"/>
  <c r="Y35" i="7" s="1"/>
  <c r="AC35" i="7"/>
  <c r="W35" i="7" s="1"/>
  <c r="Z35" i="7" l="1"/>
  <c r="X35" i="7"/>
  <c r="U35" i="7"/>
  <c r="Q36" i="7" s="1"/>
  <c r="V35" i="7"/>
  <c r="T35" i="7" l="1"/>
  <c r="P36" i="7" s="1"/>
  <c r="S36" i="7"/>
  <c r="R36" i="7" l="1"/>
  <c r="AE36" i="7"/>
  <c r="AA36" i="7" s="1"/>
  <c r="AC36" i="7"/>
  <c r="W36" i="7" s="1"/>
  <c r="AD36" i="7"/>
  <c r="Y36" i="7" s="1"/>
  <c r="X36" i="7" l="1"/>
  <c r="Z36" i="7"/>
  <c r="U36" i="7"/>
  <c r="Q37" i="7" s="1"/>
  <c r="V36" i="7"/>
  <c r="S37" i="7" l="1"/>
  <c r="T36" i="7"/>
  <c r="R37" i="7" s="1"/>
  <c r="P37" i="7" l="1"/>
  <c r="AE37" i="7" s="1"/>
  <c r="AD37" i="7" l="1"/>
  <c r="Y37" i="7" s="1"/>
  <c r="AC37" i="7"/>
  <c r="W37" i="7" s="1"/>
  <c r="AA37" i="7"/>
  <c r="Z37" i="7"/>
  <c r="X37" i="7" l="1"/>
  <c r="U37" i="7"/>
  <c r="S38" i="7" s="1"/>
  <c r="V37" i="7"/>
  <c r="Q38" i="7" l="1"/>
  <c r="T37" i="7"/>
  <c r="R38" i="7" s="1"/>
  <c r="P38" i="7" l="1"/>
  <c r="AC38" i="7" s="1"/>
  <c r="W38" i="7" s="1"/>
  <c r="AE38" i="7" l="1"/>
  <c r="AA38" i="7" s="1"/>
  <c r="V38" i="7"/>
  <c r="AD38" i="7"/>
  <c r="Y38" i="7" s="1"/>
  <c r="U38" i="7" l="1"/>
  <c r="S39" i="7" s="1"/>
  <c r="Z38" i="7"/>
  <c r="X38" i="7"/>
  <c r="Q39" i="7" l="1"/>
  <c r="T38" i="7"/>
  <c r="R39" i="7" s="1"/>
  <c r="P39" i="7" l="1"/>
  <c r="AC39" i="7" s="1"/>
  <c r="W39" i="7" s="1"/>
  <c r="V39" i="7" l="1"/>
  <c r="AD39" i="7"/>
  <c r="Y39" i="7" s="1"/>
  <c r="AE39" i="7"/>
  <c r="Z39" i="7" s="1"/>
  <c r="AA39" i="7" l="1"/>
  <c r="U39" i="7" s="1"/>
  <c r="S40" i="7" s="1"/>
  <c r="X39" i="7"/>
  <c r="T39" i="7" s="1"/>
  <c r="Q40" i="7" l="1"/>
  <c r="R40" i="7"/>
  <c r="P40" i="7"/>
  <c r="AD40" i="7" l="1"/>
  <c r="X40" i="7" s="1"/>
  <c r="AE40" i="7"/>
  <c r="AA40" i="7" s="1"/>
  <c r="AC40" i="7"/>
  <c r="W40" i="7" s="1"/>
  <c r="Y40" i="7" l="1"/>
  <c r="V40" i="7"/>
  <c r="Z40" i="7"/>
  <c r="U40" i="7"/>
  <c r="S41" i="7" s="1"/>
  <c r="Q41" i="7" l="1"/>
  <c r="T40" i="7"/>
  <c r="P41" i="7" s="1"/>
  <c r="R41" i="7" l="1"/>
  <c r="AE41" i="7"/>
  <c r="AC41" i="7"/>
  <c r="AD41" i="7"/>
  <c r="X41" i="7" l="1"/>
  <c r="Y41" i="7"/>
  <c r="V41" i="7"/>
  <c r="W41" i="7"/>
  <c r="Z41" i="7"/>
  <c r="AA41" i="7"/>
  <c r="T41" i="7" l="1"/>
  <c r="P42" i="7" s="1"/>
  <c r="U41" i="7"/>
  <c r="S42" i="7" s="1"/>
  <c r="Q42" i="7" l="1"/>
  <c r="AD42" i="7" s="1"/>
  <c r="Y42" i="7" s="1"/>
  <c r="R42" i="7"/>
  <c r="AE42" i="7" l="1"/>
  <c r="AA42" i="7" s="1"/>
  <c r="AC42" i="7"/>
  <c r="W42" i="7" s="1"/>
  <c r="X42" i="7"/>
  <c r="Z42" i="7" l="1"/>
  <c r="U42" i="7"/>
  <c r="Q43" i="7" s="1"/>
  <c r="V42" i="7"/>
  <c r="S43" i="7" l="1"/>
  <c r="T42" i="7"/>
  <c r="P43" i="7" s="1"/>
  <c r="AC43" i="7" s="1"/>
  <c r="W43" i="7" s="1"/>
  <c r="R43" i="7" l="1"/>
  <c r="V43" i="7"/>
  <c r="AE43" i="7"/>
  <c r="AA43" i="7" s="1"/>
  <c r="AD43" i="7"/>
  <c r="X43" i="7" s="1"/>
  <c r="Z43" i="7" l="1"/>
  <c r="T43" i="7" s="1"/>
  <c r="R44" i="7" s="1"/>
  <c r="Y43" i="7"/>
  <c r="U43" i="7" s="1"/>
  <c r="Q44" i="7" s="1"/>
  <c r="P44" i="7" l="1"/>
  <c r="AE44" i="7" s="1"/>
  <c r="AA44" i="7" s="1"/>
  <c r="S44" i="7"/>
  <c r="AC44" i="7" l="1"/>
  <c r="W44" i="7" s="1"/>
  <c r="AD44" i="7"/>
  <c r="Y44" i="7" s="1"/>
  <c r="Z44" i="7"/>
  <c r="V44" i="7" l="1"/>
  <c r="U44" i="7"/>
  <c r="Q45" i="7" s="1"/>
  <c r="X44" i="7"/>
  <c r="S45" i="7"/>
  <c r="T44" i="7" l="1"/>
  <c r="R45" i="7" s="1"/>
  <c r="P45" i="7" l="1"/>
  <c r="AD45" i="7" s="1"/>
  <c r="Y45" i="7" s="1"/>
  <c r="X45" i="7" l="1"/>
  <c r="AE45" i="7"/>
  <c r="AA45" i="7" s="1"/>
  <c r="AC45" i="7"/>
  <c r="W45" i="7" s="1"/>
  <c r="U45" i="7" l="1"/>
  <c r="S46" i="7" s="1"/>
  <c r="V45" i="7"/>
  <c r="Z45" i="7"/>
  <c r="Q46" i="7" l="1"/>
  <c r="T45" i="7"/>
  <c r="R46" i="7" s="1"/>
  <c r="P46" i="7" l="1"/>
  <c r="AD46" i="7" s="1"/>
  <c r="Y46" i="7" s="1"/>
  <c r="AE46" i="7" l="1"/>
  <c r="AA46" i="7" s="1"/>
  <c r="AC46" i="7"/>
  <c r="W46" i="7" s="1"/>
  <c r="U46" i="7" s="1"/>
  <c r="X46" i="7"/>
  <c r="Q47" i="7" l="1"/>
  <c r="S47" i="7"/>
  <c r="Z46" i="7"/>
  <c r="V46" i="7"/>
  <c r="T46" i="7" l="1"/>
  <c r="P47" i="7" l="1"/>
  <c r="R47" i="7"/>
  <c r="AE47" i="7" l="1"/>
  <c r="AA47" i="7" s="1"/>
  <c r="AD47" i="7"/>
  <c r="Y47" i="7" s="1"/>
  <c r="AC47" i="7"/>
  <c r="W47" i="7" s="1"/>
  <c r="Z47" i="7"/>
  <c r="X47" i="7" l="1"/>
  <c r="U47" i="7"/>
  <c r="S48" i="7" s="1"/>
  <c r="Q48" i="7"/>
  <c r="V47" i="7"/>
  <c r="T47" i="7" s="1"/>
  <c r="R48" i="7" l="1"/>
  <c r="P48" i="7"/>
  <c r="AD48" i="7" l="1"/>
  <c r="Y48" i="7" s="1"/>
  <c r="AC48" i="7"/>
  <c r="AE48" i="7"/>
  <c r="X48" i="7" l="1"/>
  <c r="AA48" i="7"/>
  <c r="Z48" i="7"/>
  <c r="W48" i="7"/>
  <c r="U48" i="7" s="1"/>
  <c r="V48" i="7"/>
  <c r="T48" i="7" s="1"/>
  <c r="R49" i="7" s="1"/>
  <c r="P49" i="7" l="1"/>
  <c r="Q49" i="7"/>
  <c r="AD49" i="7" s="1"/>
  <c r="S49" i="7"/>
  <c r="AE49" i="7"/>
  <c r="AA49" i="7" s="1"/>
  <c r="AC49" i="7"/>
  <c r="W49" i="7" s="1"/>
  <c r="Y49" i="7" l="1"/>
  <c r="U49" i="7" s="1"/>
  <c r="S50" i="7" s="1"/>
  <c r="X49" i="7"/>
  <c r="Z49" i="7"/>
  <c r="V49" i="7"/>
  <c r="Q50" i="7" l="1"/>
  <c r="T49" i="7"/>
  <c r="P50" i="7" s="1"/>
  <c r="R50" i="7" l="1"/>
  <c r="AE50" i="7"/>
  <c r="AA50" i="7" s="1"/>
  <c r="AC50" i="7"/>
  <c r="W50" i="7" s="1"/>
  <c r="AD50" i="7"/>
  <c r="Y50" i="7" s="1"/>
  <c r="V50" i="7" l="1"/>
  <c r="Z50" i="7"/>
  <c r="U50" i="7"/>
  <c r="Q51" i="7" s="1"/>
  <c r="X50" i="7"/>
  <c r="T50" i="7" s="1"/>
  <c r="P51" i="7" s="1"/>
  <c r="S51" i="7"/>
  <c r="R51" i="7" l="1"/>
  <c r="AD51" i="7"/>
  <c r="Y51" i="7" s="1"/>
  <c r="AE51" i="7"/>
  <c r="AA51" i="7" s="1"/>
  <c r="AC51" i="7"/>
  <c r="W51" i="7" s="1"/>
  <c r="X51" i="7" l="1"/>
  <c r="V51" i="7"/>
  <c r="Z51" i="7"/>
  <c r="U51" i="7"/>
  <c r="T51" i="7" l="1"/>
  <c r="P52" i="7" s="1"/>
  <c r="S52" i="7"/>
  <c r="Q52" i="7"/>
  <c r="R52" i="7" l="1"/>
  <c r="AC52" i="7"/>
  <c r="AE52" i="7"/>
  <c r="Z52" i="7" s="1"/>
  <c r="AD52" i="7"/>
  <c r="X52" i="7" s="1"/>
  <c r="W52" i="7" l="1"/>
  <c r="V52" i="7"/>
  <c r="T52" i="7" s="1"/>
  <c r="AA52" i="7"/>
  <c r="Y52" i="7"/>
  <c r="U52" i="7" l="1"/>
  <c r="Q53" i="7" s="1"/>
  <c r="P53" i="7"/>
  <c r="R53" i="7"/>
  <c r="S53" i="7" l="1"/>
  <c r="AD53" i="7"/>
  <c r="Y53" i="7" s="1"/>
  <c r="AE53" i="7"/>
  <c r="Z53" i="7" s="1"/>
  <c r="AC53" i="7"/>
  <c r="V53" i="7" s="1"/>
  <c r="AA53" i="7" l="1"/>
  <c r="X53" i="7"/>
  <c r="T53" i="7" s="1"/>
  <c r="W53" i="7"/>
  <c r="U53" i="7" l="1"/>
  <c r="S54" i="7" s="1"/>
  <c r="R54" i="7"/>
  <c r="P54" i="7"/>
  <c r="Q54" i="7" l="1"/>
  <c r="AC54" i="7" s="1"/>
  <c r="V54" i="7" s="1"/>
  <c r="AD54" i="7" l="1"/>
  <c r="X54" i="7" s="1"/>
  <c r="AE54" i="7"/>
  <c r="Z54" i="7" s="1"/>
  <c r="W54" i="7"/>
  <c r="Y54" i="7" l="1"/>
  <c r="T54" i="7"/>
  <c r="R55" i="7" s="1"/>
  <c r="AA54" i="7"/>
  <c r="P55" i="7" l="1"/>
  <c r="U54" i="7"/>
  <c r="S55" i="7" s="1"/>
  <c r="Q55" i="7" l="1"/>
  <c r="AE55" i="7" s="1"/>
  <c r="Z55" i="7" s="1"/>
  <c r="AC55" i="7" l="1"/>
  <c r="V55" i="7" s="1"/>
  <c r="AD55" i="7"/>
  <c r="X55" i="7" s="1"/>
  <c r="AA55" i="7"/>
  <c r="W55" i="7" l="1"/>
  <c r="T55" i="7"/>
  <c r="P56" i="7" s="1"/>
  <c r="Y55" i="7"/>
  <c r="U55" i="7" l="1"/>
  <c r="S56" i="7" s="1"/>
  <c r="R56" i="7"/>
  <c r="Q56" i="7" l="1"/>
  <c r="AE56" i="7" s="1"/>
  <c r="Z56" i="7" s="1"/>
  <c r="AA56" i="7" l="1"/>
  <c r="AC56" i="7"/>
  <c r="V56" i="7" s="1"/>
  <c r="AD56" i="7"/>
  <c r="X56" i="7" s="1"/>
  <c r="T56" i="7" l="1"/>
  <c r="R57" i="7" s="1"/>
  <c r="Y56" i="7"/>
  <c r="W56" i="7"/>
  <c r="P57" i="7"/>
  <c r="U56" i="7" l="1"/>
  <c r="S57" i="7" s="1"/>
  <c r="Q57" i="7" l="1"/>
  <c r="AD57" i="7" s="1"/>
  <c r="Y57" i="7" s="1"/>
  <c r="AC57" i="7" l="1"/>
  <c r="W57" i="7" s="1"/>
  <c r="X57" i="7"/>
  <c r="AE57" i="7"/>
  <c r="AA57" i="7" s="1"/>
  <c r="V57" i="7"/>
  <c r="U57" i="7" l="1"/>
  <c r="Q58" i="7" s="1"/>
  <c r="Z57" i="7"/>
  <c r="T57" i="7" s="1"/>
  <c r="S58" i="7" l="1"/>
  <c r="R58" i="7"/>
  <c r="P58" i="7"/>
  <c r="AD58" i="7" s="1"/>
  <c r="X58" i="7" s="1"/>
  <c r="AC58" i="7"/>
  <c r="V58" i="7" s="1"/>
  <c r="AE58" i="7"/>
  <c r="AA58" i="7" s="1"/>
  <c r="Y58" i="7" l="1"/>
  <c r="W58" i="7"/>
  <c r="Z58" i="7"/>
  <c r="T58" i="7" s="1"/>
  <c r="R59" i="7" s="1"/>
  <c r="U58" i="7" l="1"/>
  <c r="Q59" i="7" s="1"/>
  <c r="S59" i="7"/>
  <c r="P59" i="7"/>
  <c r="AC59" i="7" s="1"/>
  <c r="AD59" i="7" l="1"/>
  <c r="Y59" i="7" s="1"/>
  <c r="AE59" i="7"/>
  <c r="Z59" i="7" s="1"/>
  <c r="V59" i="7"/>
  <c r="W59" i="7"/>
  <c r="X59" i="7" l="1"/>
  <c r="T59" i="7" s="1"/>
  <c r="P60" i="7" s="1"/>
  <c r="AA59" i="7"/>
  <c r="U59" i="7" s="1"/>
  <c r="S60" i="7" s="1"/>
  <c r="Q60" i="7" l="1"/>
  <c r="AC60" i="7" s="1"/>
  <c r="W60" i="7" s="1"/>
  <c r="R60" i="7"/>
  <c r="AD60" i="7" l="1"/>
  <c r="Y60" i="7" s="1"/>
  <c r="AE60" i="7"/>
  <c r="AA60" i="7" s="1"/>
  <c r="V60" i="7"/>
  <c r="X60" i="7" l="1"/>
  <c r="U60" i="7"/>
  <c r="Q61" i="7" s="1"/>
  <c r="Z60" i="7"/>
  <c r="S61" i="7" l="1"/>
  <c r="T60" i="7"/>
  <c r="R61" i="7" s="1"/>
  <c r="P61" i="7" l="1"/>
  <c r="AE61" i="7" s="1"/>
  <c r="AA61" i="7" s="1"/>
  <c r="AC61" i="7" l="1"/>
  <c r="W61" i="7" s="1"/>
  <c r="Z61" i="7"/>
  <c r="AD61" i="7"/>
  <c r="Y61" i="7" s="1"/>
  <c r="U61" i="7" l="1"/>
  <c r="Q62" i="7" s="1"/>
  <c r="V61" i="7"/>
  <c r="X61" i="7"/>
  <c r="S62" i="7" l="1"/>
  <c r="T61" i="7"/>
  <c r="R62" i="7" s="1"/>
  <c r="P62" i="7" l="1"/>
  <c r="AC62" i="7" s="1"/>
  <c r="V62" i="7" s="1"/>
  <c r="AE62" i="7" l="1"/>
  <c r="AA62" i="7" s="1"/>
  <c r="AD62" i="7"/>
  <c r="Y62" i="7" s="1"/>
  <c r="W62" i="7"/>
  <c r="Z62" i="7" l="1"/>
  <c r="U62" i="7"/>
  <c r="S63" i="7" s="1"/>
  <c r="X62" i="7"/>
  <c r="T62" i="7" s="1"/>
  <c r="P63" i="7" s="1"/>
  <c r="Q63" i="7"/>
  <c r="AC63" i="7" l="1"/>
  <c r="W63" i="7" s="1"/>
  <c r="AE63" i="7"/>
  <c r="AA63" i="7" s="1"/>
  <c r="R63" i="7"/>
  <c r="AD63" i="7"/>
  <c r="Y63" i="7" s="1"/>
  <c r="V63" i="7" l="1"/>
  <c r="Z63" i="7"/>
  <c r="U63" i="7"/>
  <c r="S64" i="7" s="1"/>
  <c r="X63" i="7"/>
  <c r="Q64" i="7" l="1"/>
  <c r="T63" i="7"/>
  <c r="R64" i="7" s="1"/>
  <c r="P64" i="7" l="1"/>
  <c r="AC64" i="7" s="1"/>
  <c r="V64" i="7" s="1"/>
  <c r="AD64" i="7" l="1"/>
  <c r="X64" i="7" s="1"/>
  <c r="W64" i="7"/>
  <c r="AE64" i="7"/>
  <c r="Z64" i="7" s="1"/>
  <c r="T64" i="7" l="1"/>
  <c r="R65" i="7" s="1"/>
  <c r="Y64" i="7"/>
  <c r="P65" i="7"/>
  <c r="AA64" i="7"/>
  <c r="U64" i="7" l="1"/>
  <c r="Q65" i="7" s="1"/>
  <c r="S65" i="7" l="1"/>
  <c r="AE65" i="7"/>
  <c r="AC65" i="7"/>
  <c r="AD65" i="7"/>
  <c r="X65" i="7" l="1"/>
  <c r="Y65" i="7"/>
  <c r="V65" i="7"/>
  <c r="W65" i="7"/>
  <c r="Z65" i="7"/>
  <c r="AA65" i="7"/>
  <c r="U65" i="7" l="1"/>
  <c r="T65" i="7"/>
  <c r="P66" i="7" l="1"/>
  <c r="R66" i="7"/>
  <c r="S66" i="7"/>
  <c r="Q66" i="7"/>
  <c r="AC66" i="7" l="1"/>
  <c r="W66" i="7" s="1"/>
  <c r="AD66" i="7"/>
  <c r="AE66" i="7"/>
  <c r="V66" i="7" l="1"/>
  <c r="AA66" i="7"/>
  <c r="Z66" i="7"/>
  <c r="Y66" i="7"/>
  <c r="X66" i="7"/>
  <c r="U66" i="7" l="1"/>
  <c r="S67" i="7" s="1"/>
  <c r="T66" i="7"/>
  <c r="Q67" i="7" l="1"/>
  <c r="R67" i="7"/>
  <c r="P67" i="7"/>
  <c r="AC67" i="7" l="1"/>
  <c r="W67" i="7" s="1"/>
  <c r="AD67" i="7"/>
  <c r="Y67" i="7" s="1"/>
  <c r="AE67" i="7"/>
  <c r="AA67" i="7" s="1"/>
  <c r="X67" i="7" l="1"/>
  <c r="V67" i="7"/>
  <c r="Z67" i="7"/>
  <c r="U67" i="7"/>
  <c r="T67" i="7" l="1"/>
  <c r="P68" i="7" s="1"/>
  <c r="Q68" i="7"/>
  <c r="S68" i="7"/>
  <c r="R68" i="7" l="1"/>
  <c r="AE68" i="7"/>
  <c r="AA68" i="7" s="1"/>
  <c r="AD68" i="7"/>
  <c r="X68" i="7" s="1"/>
  <c r="AC68" i="7"/>
  <c r="V68" i="7" s="1"/>
  <c r="Z68" i="7" l="1"/>
  <c r="T68" i="7" s="1"/>
  <c r="P69" i="7" s="1"/>
  <c r="Y68" i="7"/>
  <c r="W68" i="7"/>
  <c r="U68" i="7" l="1"/>
  <c r="Q69" i="7" s="1"/>
  <c r="R69" i="7"/>
  <c r="AD69" i="7" l="1"/>
  <c r="Y69" i="7" s="1"/>
  <c r="AC69" i="7"/>
  <c r="W69" i="7" s="1"/>
  <c r="AE69" i="7"/>
  <c r="AA69" i="7" s="1"/>
  <c r="S69" i="7"/>
  <c r="Z69" i="7" l="1"/>
  <c r="V69" i="7"/>
  <c r="X69" i="7"/>
  <c r="U69" i="7"/>
  <c r="T69" i="7" l="1"/>
  <c r="R70" i="7" s="1"/>
  <c r="S70" i="7"/>
  <c r="Q70" i="7"/>
  <c r="P70" i="7" l="1"/>
  <c r="AE70" i="7" s="1"/>
  <c r="Z70" i="7" s="1"/>
  <c r="AC70" i="7" l="1"/>
  <c r="V70" i="7" s="1"/>
  <c r="AD70" i="7"/>
  <c r="X70" i="7" s="1"/>
  <c r="T70" i="7" s="1"/>
  <c r="W70" i="7"/>
  <c r="AA70" i="7"/>
  <c r="Y70" i="7" l="1"/>
  <c r="U70" i="7" s="1"/>
  <c r="Q71" i="7" s="1"/>
  <c r="P71" i="7"/>
  <c r="R71" i="7"/>
  <c r="S71" i="7" l="1"/>
  <c r="AE71" i="7"/>
  <c r="AD71" i="7"/>
  <c r="AC71" i="7"/>
  <c r="X71" i="7" l="1"/>
  <c r="Y71" i="7"/>
  <c r="V71" i="7"/>
  <c r="W71" i="7"/>
  <c r="Z71" i="7"/>
  <c r="AA71" i="7"/>
  <c r="U71" i="7" l="1"/>
  <c r="T71" i="7"/>
  <c r="R72" i="7" l="1"/>
  <c r="P72" i="7"/>
  <c r="S72" i="7"/>
  <c r="Q72" i="7"/>
  <c r="AD72" i="7" l="1"/>
  <c r="X72" i="7" s="1"/>
  <c r="AE72" i="7"/>
  <c r="AC72" i="7"/>
  <c r="V72" i="7" s="1"/>
  <c r="Y72" i="7" l="1"/>
  <c r="W72" i="7"/>
  <c r="Z72" i="7"/>
  <c r="T72" i="7" s="1"/>
  <c r="AA72" i="7"/>
  <c r="R73" i="7" l="1"/>
  <c r="P73" i="7"/>
  <c r="U72" i="7"/>
  <c r="S73" i="7" l="1"/>
  <c r="Q73" i="7"/>
  <c r="AC73" i="7" l="1"/>
  <c r="V73" i="7" s="1"/>
  <c r="AE73" i="7"/>
  <c r="AD73" i="7"/>
  <c r="X73" i="7" l="1"/>
  <c r="Y73" i="7"/>
  <c r="Z73" i="7"/>
  <c r="AA73" i="7"/>
  <c r="W73" i="7"/>
  <c r="T73" i="7" l="1"/>
  <c r="P74" i="7" s="1"/>
  <c r="U73" i="7"/>
  <c r="Q74" i="7" s="1"/>
  <c r="R74" i="7"/>
  <c r="S74" i="7" l="1"/>
  <c r="AE74" i="7"/>
  <c r="AC74" i="7"/>
  <c r="AD74" i="7"/>
  <c r="X74" i="7" l="1"/>
  <c r="Y74" i="7"/>
  <c r="V74" i="7"/>
  <c r="W74" i="7"/>
  <c r="Z74" i="7"/>
  <c r="AA74" i="7"/>
  <c r="T74" i="7" l="1"/>
  <c r="U74" i="7"/>
  <c r="Q75" i="7" l="1"/>
  <c r="S75" i="7"/>
  <c r="P75" i="7"/>
  <c r="R75" i="7"/>
  <c r="AE75" i="7" l="1"/>
  <c r="Z75" i="7" s="1"/>
  <c r="AC75" i="7"/>
  <c r="V75" i="7" s="1"/>
  <c r="AD75" i="7"/>
  <c r="X75" i="7" s="1"/>
  <c r="AA75" i="7" l="1"/>
  <c r="W75" i="7"/>
  <c r="Y75" i="7"/>
  <c r="T75" i="7"/>
  <c r="U75" i="7" l="1"/>
  <c r="S76" i="7" s="1"/>
  <c r="P76" i="7"/>
  <c r="R76" i="7"/>
  <c r="Q76" i="7" l="1"/>
  <c r="AE76" i="7" s="1"/>
  <c r="Z76" i="7" s="1"/>
  <c r="AC76" i="7" l="1"/>
  <c r="V76" i="7" s="1"/>
  <c r="AD76" i="7"/>
  <c r="X76" i="7" s="1"/>
  <c r="AA76" i="7"/>
  <c r="T76" i="7" l="1"/>
  <c r="R77" i="7" s="1"/>
  <c r="Y76" i="7"/>
  <c r="W76" i="7"/>
  <c r="P77" i="7"/>
  <c r="U76" i="7" l="1"/>
  <c r="Q77" i="7" s="1"/>
  <c r="S77" i="7" l="1"/>
  <c r="AE77" i="7"/>
  <c r="Z77" i="7" s="1"/>
  <c r="AD77" i="7"/>
  <c r="X77" i="7" s="1"/>
  <c r="AC77" i="7"/>
  <c r="V77" i="7" s="1"/>
  <c r="T77" i="7" l="1"/>
  <c r="P78" i="7" s="1"/>
  <c r="W77" i="7"/>
  <c r="AA77" i="7"/>
  <c r="Y77" i="7"/>
  <c r="R78" i="7" l="1"/>
  <c r="U77" i="7"/>
  <c r="S78" i="7" l="1"/>
  <c r="Q78" i="7"/>
  <c r="AE78" i="7" l="1"/>
  <c r="Z78" i="7" s="1"/>
  <c r="AD78" i="7"/>
  <c r="X78" i="7" s="1"/>
  <c r="AC78" i="7"/>
  <c r="V78" i="7" s="1"/>
  <c r="T78" i="7" l="1"/>
  <c r="R79" i="7" s="1"/>
  <c r="Y78" i="7"/>
  <c r="W78" i="7"/>
  <c r="AA78" i="7"/>
  <c r="P79" i="7" l="1"/>
  <c r="U78" i="7"/>
  <c r="Q79" i="7" l="1"/>
  <c r="S79" i="7"/>
  <c r="AD79" i="7" l="1"/>
  <c r="AE79" i="7"/>
  <c r="AC79" i="7"/>
  <c r="AA79" i="7" l="1"/>
  <c r="Z79" i="7"/>
  <c r="W79" i="7"/>
  <c r="V79" i="7"/>
  <c r="Y79" i="7"/>
  <c r="X79" i="7"/>
  <c r="U79" i="7" l="1"/>
  <c r="S80" i="7" s="1"/>
  <c r="T79" i="7"/>
  <c r="Q80" i="7" l="1"/>
  <c r="P80" i="7"/>
  <c r="R80" i="7"/>
  <c r="AE80" i="7" l="1"/>
  <c r="AA80" i="7" s="1"/>
  <c r="AD80" i="7"/>
  <c r="AC80" i="7"/>
  <c r="Z80" i="7" l="1"/>
  <c r="V80" i="7"/>
  <c r="W80" i="7"/>
  <c r="X80" i="7"/>
  <c r="Y80" i="7"/>
  <c r="T80" i="7" l="1"/>
  <c r="R81" i="7" s="1"/>
  <c r="U80" i="7"/>
  <c r="P81" i="7" l="1"/>
  <c r="Q81" i="7"/>
  <c r="S81" i="7"/>
  <c r="AD81" i="7" l="1"/>
  <c r="Y81" i="7" s="1"/>
  <c r="AE81" i="7"/>
  <c r="AA81" i="7" s="1"/>
  <c r="AC81" i="7"/>
  <c r="X81" i="7" l="1"/>
  <c r="Z81" i="7"/>
  <c r="W81" i="7"/>
  <c r="U81" i="7" s="1"/>
  <c r="V81" i="7"/>
  <c r="T81" i="7" l="1"/>
  <c r="R82" i="7" s="1"/>
  <c r="P82" i="7"/>
  <c r="S82" i="7"/>
  <c r="Q82" i="7"/>
  <c r="AC82" i="7" l="1"/>
  <c r="V82" i="7" s="1"/>
  <c r="AD82" i="7"/>
  <c r="X82" i="7" s="1"/>
  <c r="AE82" i="7"/>
  <c r="Z82" i="7" s="1"/>
  <c r="AA82" i="7" l="1"/>
  <c r="Y82" i="7"/>
  <c r="T82" i="7"/>
  <c r="W82" i="7"/>
  <c r="U82" i="7" l="1"/>
  <c r="Q83" i="7" s="1"/>
  <c r="R83" i="7"/>
  <c r="P83" i="7"/>
  <c r="S83" i="7" l="1"/>
  <c r="AC83" i="7"/>
  <c r="V83" i="7" s="1"/>
  <c r="AE83" i="7"/>
  <c r="Z83" i="7" s="1"/>
  <c r="AD83" i="7"/>
  <c r="X83" i="7" s="1"/>
  <c r="W83" i="7" l="1"/>
  <c r="T83" i="7"/>
  <c r="Y83" i="7"/>
  <c r="AA83" i="7"/>
  <c r="R84" i="7" l="1"/>
  <c r="P84" i="7"/>
  <c r="U83" i="7"/>
  <c r="S84" i="7" l="1"/>
  <c r="Q84" i="7"/>
  <c r="AD84" i="7" s="1"/>
  <c r="Y84" i="7" l="1"/>
  <c r="X84" i="7"/>
  <c r="AC84" i="7"/>
  <c r="AE84" i="7"/>
  <c r="AA84" i="7" l="1"/>
  <c r="Z84" i="7"/>
  <c r="W84" i="7"/>
  <c r="V84" i="7"/>
  <c r="T84" i="7" l="1"/>
  <c r="U84" i="7"/>
  <c r="Q85" i="7" s="1"/>
  <c r="R85" i="7"/>
  <c r="P85" i="7"/>
  <c r="S85" i="7" l="1"/>
  <c r="AD85" i="7"/>
  <c r="X85" i="7" s="1"/>
  <c r="AC85" i="7"/>
  <c r="V85" i="7" s="1"/>
  <c r="AE85" i="7"/>
  <c r="AA85" i="7" s="1"/>
  <c r="W85" i="7" l="1"/>
  <c r="Y85" i="7"/>
  <c r="Z85" i="7"/>
  <c r="T85" i="7" s="1"/>
  <c r="U85" i="7" l="1"/>
  <c r="S86" i="7" s="1"/>
  <c r="P86" i="7"/>
  <c r="R86" i="7"/>
  <c r="Q86" i="7" l="1"/>
  <c r="AD86" i="7" s="1"/>
  <c r="Y86" i="7" s="1"/>
  <c r="AE86" i="7" l="1"/>
  <c r="AA86" i="7" s="1"/>
  <c r="AC86" i="7"/>
  <c r="W86" i="7" s="1"/>
  <c r="X86" i="7"/>
  <c r="U86" i="7" l="1"/>
  <c r="S87" i="7" s="1"/>
  <c r="Z86" i="7"/>
  <c r="V86" i="7"/>
  <c r="Q87" i="7"/>
  <c r="T86" i="7" l="1"/>
  <c r="R87" i="7" s="1"/>
  <c r="P87" i="7"/>
  <c r="AE87" i="7" s="1"/>
  <c r="Z87" i="7" s="1"/>
  <c r="AD87" i="7" l="1"/>
  <c r="X87" i="7" s="1"/>
  <c r="AA87" i="7"/>
  <c r="AC87" i="7"/>
  <c r="Y87" i="7" l="1"/>
  <c r="W87" i="7"/>
  <c r="V87" i="7"/>
  <c r="T87" i="7" s="1"/>
  <c r="U87" i="7" l="1"/>
  <c r="S88" i="7" s="1"/>
  <c r="R88" i="7"/>
  <c r="P88" i="7"/>
  <c r="Q88" i="7" l="1"/>
  <c r="AC88" i="7" s="1"/>
  <c r="V88" i="7" s="1"/>
  <c r="AD88" i="7"/>
  <c r="X88" i="7" s="1"/>
  <c r="AE88" i="7"/>
  <c r="Z88" i="7" s="1"/>
  <c r="W88" i="7" l="1"/>
  <c r="AA88" i="7"/>
  <c r="Y88" i="7"/>
  <c r="T88" i="7"/>
  <c r="R89" i="7" s="1"/>
  <c r="P89" i="7" l="1"/>
  <c r="U88" i="7"/>
  <c r="Q89" i="7" s="1"/>
  <c r="AD89" i="7" l="1"/>
  <c r="Y89" i="7" s="1"/>
  <c r="AC89" i="7"/>
  <c r="W89" i="7" s="1"/>
  <c r="S89" i="7"/>
  <c r="AE89" i="7"/>
  <c r="Z89" i="7" s="1"/>
  <c r="V89" i="7" l="1"/>
  <c r="X89" i="7"/>
  <c r="T89" i="7" s="1"/>
  <c r="R90" i="7" s="1"/>
  <c r="AA89" i="7"/>
  <c r="U89" i="7" s="1"/>
  <c r="S90" i="7" s="1"/>
  <c r="Q90" i="7" l="1"/>
  <c r="P90" i="7"/>
  <c r="AC90" i="7" s="1"/>
  <c r="V90" i="7" s="1"/>
  <c r="AD90" i="7" l="1"/>
  <c r="X90" i="7" s="1"/>
  <c r="AE90" i="7"/>
  <c r="AA90" i="7" s="1"/>
  <c r="W90" i="7"/>
  <c r="Y90" i="7" l="1"/>
  <c r="U90" i="7" s="1"/>
  <c r="S91" i="7" s="1"/>
  <c r="Z90" i="7"/>
  <c r="T90" i="7" s="1"/>
  <c r="R91" i="7" l="1"/>
  <c r="P91" i="7"/>
  <c r="Q91" i="7"/>
  <c r="AD91" i="7" l="1"/>
  <c r="Y91" i="7" s="1"/>
  <c r="AE91" i="7"/>
  <c r="AA91" i="7" s="1"/>
  <c r="AC91" i="7"/>
  <c r="W91" i="7" s="1"/>
  <c r="X91" i="7"/>
  <c r="Z91" i="7" l="1"/>
  <c r="U91" i="7"/>
  <c r="V91" i="7"/>
  <c r="S92" i="7"/>
  <c r="Q92" i="7"/>
  <c r="T91" i="7" l="1"/>
  <c r="R92" i="7"/>
  <c r="P92" i="7"/>
  <c r="AD92" i="7" s="1"/>
  <c r="Y92" i="7" s="1"/>
  <c r="AE92" i="7" l="1"/>
  <c r="AA92" i="7" s="1"/>
  <c r="AC92" i="7"/>
  <c r="W92" i="7" s="1"/>
  <c r="X92" i="7"/>
  <c r="Z92" i="7"/>
  <c r="U92" i="7" l="1"/>
  <c r="V92" i="7"/>
  <c r="T92" i="7" s="1"/>
  <c r="R93" i="7" s="1"/>
  <c r="S93" i="7"/>
  <c r="Q93" i="7"/>
  <c r="P93" i="7" l="1"/>
  <c r="AD93" i="7" s="1"/>
  <c r="Y93" i="7" s="1"/>
  <c r="AC93" i="7" l="1"/>
  <c r="W93" i="7" s="1"/>
  <c r="AE93" i="7"/>
  <c r="AA93" i="7" s="1"/>
  <c r="X93" i="7"/>
  <c r="V93" i="7" l="1"/>
  <c r="Z93" i="7"/>
  <c r="U93" i="7"/>
  <c r="S94" i="7" s="1"/>
  <c r="Q94" i="7" l="1"/>
  <c r="T93" i="7"/>
  <c r="R94" i="7" s="1"/>
  <c r="P94" i="7" l="1"/>
  <c r="AD94" i="7" s="1"/>
  <c r="Y94" i="7" s="1"/>
  <c r="AC94" i="7"/>
  <c r="W94" i="7" s="1"/>
  <c r="AE94" i="7" l="1"/>
  <c r="X94" i="7"/>
  <c r="V94" i="7"/>
  <c r="AA94" i="7" l="1"/>
  <c r="U94" i="7" s="1"/>
  <c r="Z94" i="7"/>
  <c r="T94" i="7" s="1"/>
  <c r="R95" i="7" l="1"/>
  <c r="P95" i="7"/>
  <c r="S95" i="7"/>
  <c r="Q95" i="7"/>
  <c r="AE95" i="7" s="1"/>
  <c r="AA95" i="7" s="1"/>
  <c r="AD95" i="7" l="1"/>
  <c r="Y95" i="7" s="1"/>
  <c r="AC95" i="7"/>
  <c r="Z95" i="7"/>
  <c r="X95" i="7"/>
  <c r="W95" i="7" l="1"/>
  <c r="U95" i="7" s="1"/>
  <c r="S96" i="7" s="1"/>
  <c r="V95" i="7"/>
  <c r="T95" i="7" s="1"/>
  <c r="P96" i="7" s="1"/>
  <c r="Q96" i="7" l="1"/>
  <c r="AE96" i="7" s="1"/>
  <c r="AA96" i="7" s="1"/>
  <c r="R96" i="7"/>
  <c r="AC96" i="7"/>
  <c r="AD96" i="7"/>
  <c r="Z96" i="7" l="1"/>
  <c r="Y96" i="7"/>
  <c r="X96" i="7"/>
  <c r="W96" i="7"/>
  <c r="V96" i="7"/>
  <c r="U96" i="7" l="1"/>
  <c r="Q97" i="7" s="1"/>
  <c r="T96" i="7"/>
  <c r="S97" i="7" l="1"/>
  <c r="R97" i="7"/>
  <c r="P97" i="7"/>
  <c r="AD97" i="7" l="1"/>
  <c r="Y97" i="7" s="1"/>
  <c r="AC97" i="7"/>
  <c r="W97" i="7" s="1"/>
  <c r="AE97" i="7"/>
  <c r="X97" i="7" l="1"/>
  <c r="AA97" i="7"/>
  <c r="U97" i="7" s="1"/>
  <c r="Z97" i="7"/>
  <c r="V97" i="7"/>
  <c r="T97" i="7" l="1"/>
  <c r="R98" i="7" s="1"/>
  <c r="S98" i="7"/>
  <c r="Q98" i="7"/>
  <c r="P98" i="7" l="1"/>
  <c r="AC98" i="7" s="1"/>
  <c r="AE98" i="7" l="1"/>
  <c r="AA98" i="7" s="1"/>
  <c r="AD98" i="7"/>
  <c r="X98" i="7" s="1"/>
  <c r="W98" i="7"/>
  <c r="V98" i="7"/>
  <c r="Y98" i="7" l="1"/>
  <c r="Z98" i="7"/>
  <c r="T98" i="7" s="1"/>
  <c r="U98" i="7"/>
  <c r="Q99" i="7" l="1"/>
  <c r="S99" i="7"/>
  <c r="R99" i="7"/>
  <c r="P99" i="7"/>
  <c r="AE99" i="7" l="1"/>
  <c r="AA99" i="7" s="1"/>
  <c r="AC99" i="7"/>
  <c r="V99" i="7" s="1"/>
  <c r="AD99" i="7"/>
  <c r="Y99" i="7" s="1"/>
  <c r="W99" i="7" l="1"/>
  <c r="U99" i="7" s="1"/>
  <c r="Z99" i="7"/>
  <c r="X99" i="7"/>
  <c r="T99" i="7" l="1"/>
  <c r="R100" i="7" s="1"/>
  <c r="P100" i="7"/>
  <c r="Q100" i="7"/>
  <c r="S100" i="7"/>
  <c r="AC100" i="7" l="1"/>
  <c r="W100" i="7" s="1"/>
  <c r="AE100" i="7"/>
  <c r="AA100" i="7" s="1"/>
  <c r="AD100" i="7"/>
  <c r="Y100" i="7" s="1"/>
  <c r="U100" i="7" l="1"/>
  <c r="X100" i="7"/>
  <c r="Z100" i="7"/>
  <c r="V100" i="7"/>
  <c r="T100" i="7" l="1"/>
  <c r="R101" i="7" s="1"/>
  <c r="Q101" i="7"/>
  <c r="S101" i="7"/>
  <c r="P101" i="7" l="1"/>
  <c r="AD101" i="7" s="1"/>
  <c r="Y101" i="7" s="1"/>
  <c r="AE101" i="7" l="1"/>
  <c r="AA101" i="7" s="1"/>
  <c r="AC101" i="7"/>
  <c r="W101" i="7" s="1"/>
  <c r="X101" i="7"/>
  <c r="Z101" i="7"/>
  <c r="V101" i="7" l="1"/>
  <c r="U101" i="7"/>
  <c r="T101" i="7"/>
  <c r="P102" i="7" s="1"/>
  <c r="S102" i="7"/>
  <c r="Q102" i="7"/>
  <c r="R102" i="7" l="1"/>
  <c r="AD102" i="7"/>
  <c r="Y102" i="7" s="1"/>
  <c r="AE102" i="7"/>
  <c r="AA102" i="7" s="1"/>
  <c r="AC102" i="7"/>
  <c r="V102" i="7" s="1"/>
  <c r="W102" i="7" l="1"/>
  <c r="U102" i="7" s="1"/>
  <c r="Q103" i="7" s="1"/>
  <c r="Z102" i="7"/>
  <c r="X102" i="7"/>
  <c r="T102" i="7" l="1"/>
  <c r="R103" i="7" s="1"/>
  <c r="S103" i="7"/>
  <c r="P103" i="7" l="1"/>
  <c r="AC103" i="7" s="1"/>
  <c r="W103" i="7" s="1"/>
  <c r="AD103" i="7"/>
  <c r="Y103" i="7" s="1"/>
  <c r="AE103" i="7"/>
  <c r="AA103" i="7" s="1"/>
  <c r="V103" i="7"/>
  <c r="X103" i="7" l="1"/>
  <c r="U103" i="7"/>
  <c r="Z103" i="7"/>
  <c r="T103" i="7" s="1"/>
  <c r="R104" i="7" s="1"/>
  <c r="S104" i="7"/>
  <c r="Q104" i="7"/>
  <c r="P104" i="7" l="1"/>
  <c r="AD104" i="7" s="1"/>
  <c r="Y104" i="7" s="1"/>
  <c r="AC104" i="7" l="1"/>
  <c r="W104" i="7" s="1"/>
  <c r="AE104" i="7"/>
  <c r="AA104" i="7" s="1"/>
  <c r="X104" i="7"/>
  <c r="Z104" i="7" l="1"/>
  <c r="V104" i="7"/>
  <c r="T104" i="7" s="1"/>
  <c r="U104" i="7"/>
  <c r="R105" i="7" l="1"/>
  <c r="P105" i="7"/>
  <c r="S105" i="7"/>
  <c r="Q105" i="7"/>
  <c r="AC105" i="7" l="1"/>
  <c r="AD105" i="7"/>
  <c r="Y105" i="7" s="1"/>
  <c r="W105" i="7"/>
  <c r="V105" i="7"/>
  <c r="AE105" i="7"/>
  <c r="X105" i="7" l="1"/>
  <c r="AA105" i="7"/>
  <c r="U105" i="7" s="1"/>
  <c r="Z105" i="7"/>
  <c r="T105" i="7" s="1"/>
  <c r="R106" i="7" l="1"/>
  <c r="P106" i="7"/>
  <c r="S106" i="7"/>
  <c r="Q106" i="7"/>
  <c r="AC106" i="7" l="1"/>
  <c r="W106" i="7" s="1"/>
  <c r="AD106" i="7"/>
  <c r="AE106" i="7"/>
  <c r="V106" i="7" l="1"/>
  <c r="AA106" i="7"/>
  <c r="Z106" i="7"/>
  <c r="Y106" i="7"/>
  <c r="U106" i="7" s="1"/>
  <c r="X106" i="7"/>
  <c r="S107" i="7" l="1"/>
  <c r="Q107" i="7"/>
  <c r="T106" i="7"/>
  <c r="R107" i="7" l="1"/>
  <c r="P107" i="7"/>
  <c r="AD107" i="7" l="1"/>
  <c r="Y107" i="7" s="1"/>
  <c r="AC107" i="7"/>
  <c r="AE107" i="7"/>
  <c r="X107" i="7" l="1"/>
  <c r="AA107" i="7"/>
  <c r="Z107" i="7"/>
  <c r="V107" i="7"/>
  <c r="W107" i="7"/>
  <c r="T107" i="7" l="1"/>
  <c r="U107" i="7"/>
  <c r="S108" i="7" l="1"/>
  <c r="Q108" i="7"/>
  <c r="R108" i="7"/>
  <c r="P108" i="7"/>
  <c r="AE108" i="7" l="1"/>
  <c r="AA108" i="7" s="1"/>
  <c r="AD108" i="7"/>
  <c r="X108" i="7" s="1"/>
  <c r="AC108" i="7"/>
  <c r="V108" i="7" s="1"/>
  <c r="Z108" i="7" l="1"/>
  <c r="W108" i="7"/>
  <c r="Y108" i="7"/>
  <c r="T108" i="7"/>
  <c r="R109" i="7" s="1"/>
  <c r="P109" i="7" l="1"/>
  <c r="U108" i="7"/>
  <c r="S109" i="7" s="1"/>
  <c r="Q109" i="7"/>
  <c r="AD109" i="7" l="1"/>
  <c r="AC109" i="7"/>
  <c r="W109" i="7" s="1"/>
  <c r="AE109" i="7"/>
  <c r="Y109" i="7"/>
  <c r="X109" i="7"/>
  <c r="V109" i="7"/>
  <c r="AA109" i="7" l="1"/>
  <c r="U109" i="7" s="1"/>
  <c r="Z109" i="7"/>
  <c r="T109" i="7" s="1"/>
  <c r="R110" i="7" l="1"/>
  <c r="P110" i="7"/>
  <c r="S110" i="7"/>
  <c r="Q110" i="7"/>
  <c r="AC110" i="7" s="1"/>
  <c r="V110" i="7" s="1"/>
  <c r="AD110" i="7" l="1"/>
  <c r="Y110" i="7" s="1"/>
  <c r="W110" i="7"/>
  <c r="AE110" i="7"/>
  <c r="X110" i="7"/>
  <c r="Z110" i="7" l="1"/>
  <c r="T110" i="7" s="1"/>
  <c r="AA110" i="7"/>
  <c r="U110" i="7" s="1"/>
  <c r="S111" i="7" s="1"/>
  <c r="P111" i="7" l="1"/>
  <c r="R111" i="7"/>
  <c r="Q111" i="7"/>
  <c r="AD111" i="7" s="1"/>
  <c r="X111" i="7" s="1"/>
  <c r="Y111" i="7" l="1"/>
  <c r="AC111" i="7"/>
  <c r="V111" i="7" s="1"/>
  <c r="AE111" i="7"/>
  <c r="Z111" i="7" s="1"/>
  <c r="W111" i="7" l="1"/>
  <c r="T111" i="7"/>
  <c r="R112" i="7" s="1"/>
  <c r="AA111" i="7"/>
  <c r="U111" i="7" l="1"/>
  <c r="P112" i="7"/>
  <c r="Q112" i="7"/>
  <c r="S112" i="7"/>
  <c r="AD112" i="7" l="1"/>
  <c r="AE112" i="7"/>
  <c r="AC112" i="7"/>
  <c r="V112" i="7" l="1"/>
  <c r="W112" i="7"/>
  <c r="Z112" i="7"/>
  <c r="AA112" i="7"/>
  <c r="X112" i="7"/>
  <c r="Y112" i="7"/>
  <c r="U112" i="7" l="1"/>
  <c r="T112" i="7"/>
  <c r="R113" i="7" l="1"/>
  <c r="P113" i="7"/>
  <c r="S113" i="7"/>
  <c r="Q113" i="7"/>
  <c r="AE113" i="7" l="1"/>
  <c r="Z113" i="7" s="1"/>
  <c r="AD113" i="7"/>
  <c r="X113" i="7" s="1"/>
  <c r="AC113" i="7"/>
  <c r="W113" i="7" s="1"/>
  <c r="AA113" i="7" l="1"/>
  <c r="Y113" i="7"/>
  <c r="V113" i="7"/>
  <c r="T113" i="7" s="1"/>
  <c r="U113" i="7" l="1"/>
  <c r="Q114" i="7"/>
  <c r="S114" i="7"/>
  <c r="P114" i="7"/>
  <c r="R114" i="7"/>
  <c r="AD114" i="7" l="1"/>
  <c r="Y114" i="7" s="1"/>
  <c r="AC114" i="7"/>
  <c r="W114" i="7" s="1"/>
  <c r="AE114" i="7"/>
  <c r="AA114" i="7" s="1"/>
  <c r="U114" i="7" l="1"/>
  <c r="Q115" i="7" s="1"/>
  <c r="V114" i="7"/>
  <c r="Z114" i="7"/>
  <c r="X114" i="7"/>
  <c r="S115" i="7" l="1"/>
  <c r="T114" i="7"/>
  <c r="P115" i="7" l="1"/>
  <c r="R115" i="7"/>
  <c r="AE115" i="7" l="1"/>
  <c r="AD115" i="7"/>
  <c r="AC115" i="7"/>
  <c r="W115" i="7" l="1"/>
  <c r="V115" i="7"/>
  <c r="Y115" i="7"/>
  <c r="X115" i="7"/>
  <c r="AA115" i="7"/>
  <c r="Z115" i="7"/>
  <c r="T115" i="7" l="1"/>
  <c r="U115" i="7"/>
  <c r="S116" i="7" l="1"/>
  <c r="Q116" i="7"/>
  <c r="R116" i="7"/>
  <c r="P116" i="7"/>
  <c r="AD116" i="7" l="1"/>
  <c r="X116" i="7" s="1"/>
  <c r="AE116" i="7"/>
  <c r="Z116" i="7" s="1"/>
  <c r="AC116" i="7"/>
  <c r="V116" i="7" s="1"/>
  <c r="Y116" i="7"/>
  <c r="W116" i="7" l="1"/>
  <c r="AA116" i="7"/>
  <c r="U116" i="7" s="1"/>
  <c r="T116" i="7"/>
  <c r="P117" i="7" l="1"/>
  <c r="R117" i="7"/>
  <c r="Q117" i="7"/>
  <c r="S117" i="7"/>
  <c r="AC117" i="7" l="1"/>
  <c r="V117" i="7" s="1"/>
  <c r="AE117" i="7"/>
  <c r="Z117" i="7" s="1"/>
  <c r="AD117" i="7"/>
  <c r="X117" i="7" s="1"/>
  <c r="W117" i="7" l="1"/>
  <c r="T117" i="7"/>
  <c r="Y117" i="7"/>
  <c r="AA117" i="7"/>
  <c r="P118" i="7" l="1"/>
  <c r="R118" i="7"/>
  <c r="U117" i="7"/>
  <c r="Q118" i="7" l="1"/>
  <c r="S118" i="7"/>
  <c r="AE118" i="7" l="1"/>
  <c r="AD118" i="7"/>
  <c r="AC118" i="7"/>
  <c r="V118" i="7" l="1"/>
  <c r="W118" i="7"/>
  <c r="X118" i="7"/>
  <c r="Y118" i="7"/>
  <c r="Z118" i="7"/>
  <c r="AA118" i="7"/>
  <c r="U118" i="7" l="1"/>
  <c r="T118" i="7"/>
  <c r="R119" i="7" l="1"/>
  <c r="P119" i="7"/>
  <c r="Q119" i="7"/>
  <c r="S119" i="7"/>
  <c r="AE119" i="7" l="1"/>
  <c r="Z119" i="7" s="1"/>
  <c r="AD119" i="7"/>
  <c r="X119" i="7" s="1"/>
  <c r="AC119" i="7"/>
  <c r="V119" i="7" s="1"/>
  <c r="T119" i="7" l="1"/>
  <c r="P120" i="7" s="1"/>
  <c r="W119" i="7"/>
  <c r="AA119" i="7"/>
  <c r="Y119" i="7"/>
  <c r="R120" i="7" l="1"/>
  <c r="U119" i="7"/>
  <c r="S120" i="7" l="1"/>
  <c r="Q120" i="7"/>
  <c r="AE120" i="7" l="1"/>
  <c r="Z120" i="7" s="1"/>
  <c r="AD120" i="7"/>
  <c r="X120" i="7" s="1"/>
  <c r="AC120" i="7"/>
  <c r="V120" i="7" s="1"/>
  <c r="AA120" i="7"/>
  <c r="Y120" i="7" l="1"/>
  <c r="T120" i="7"/>
  <c r="R121" i="7" s="1"/>
  <c r="P121" i="7"/>
  <c r="W120" i="7"/>
  <c r="U120" i="7" s="1"/>
  <c r="S121" i="7" l="1"/>
  <c r="Q121" i="7"/>
  <c r="AE121" i="7" s="1"/>
  <c r="Z121" i="7" s="1"/>
  <c r="AC121" i="7" l="1"/>
  <c r="V121" i="7" s="1"/>
  <c r="AD121" i="7"/>
  <c r="Y121" i="7" s="1"/>
  <c r="AA121" i="7"/>
  <c r="W121" i="7"/>
  <c r="X121" i="7" l="1"/>
  <c r="T121" i="7" s="1"/>
  <c r="P122" i="7" s="1"/>
  <c r="U121" i="7"/>
  <c r="Q122" i="7"/>
  <c r="S122" i="7"/>
  <c r="R122" i="7"/>
  <c r="AD122" i="7" l="1"/>
  <c r="AE122" i="7"/>
  <c r="AC122" i="7"/>
  <c r="V122" i="7" l="1"/>
  <c r="W122" i="7"/>
  <c r="Z122" i="7"/>
  <c r="AA122" i="7"/>
  <c r="X122" i="7"/>
  <c r="Y122" i="7"/>
  <c r="U122" i="7" l="1"/>
  <c r="T122" i="7"/>
  <c r="R123" i="7" l="1"/>
  <c r="P123" i="7"/>
  <c r="S123" i="7"/>
  <c r="Q123" i="7"/>
  <c r="AC123" i="7" l="1"/>
  <c r="V123" i="7" s="1"/>
  <c r="AE123" i="7"/>
  <c r="Z123" i="7" s="1"/>
  <c r="AD123" i="7"/>
  <c r="X123" i="7" s="1"/>
  <c r="W123" i="7" l="1"/>
  <c r="AA123" i="7"/>
  <c r="T123" i="7"/>
  <c r="Y123" i="7"/>
  <c r="P124" i="7" l="1"/>
  <c r="R124" i="7"/>
  <c r="U123" i="7"/>
  <c r="S124" i="7" l="1"/>
  <c r="Q124" i="7"/>
  <c r="AC124" i="7" s="1"/>
  <c r="V124" i="7" s="1"/>
  <c r="AD124" i="7" l="1"/>
  <c r="X124" i="7" s="1"/>
  <c r="AE124" i="7"/>
  <c r="W124" i="7"/>
  <c r="Y124" i="7" l="1"/>
  <c r="AA124" i="7"/>
  <c r="U124" i="7" s="1"/>
  <c r="Z124" i="7"/>
  <c r="T124" i="7" s="1"/>
  <c r="Q125" i="7" l="1"/>
  <c r="S125" i="7"/>
  <c r="R125" i="7"/>
  <c r="P125" i="7"/>
  <c r="AC125" i="7" l="1"/>
  <c r="W125" i="7" s="1"/>
  <c r="AE125" i="7"/>
  <c r="Z125" i="7" s="1"/>
  <c r="AD125" i="7"/>
  <c r="X125" i="7" s="1"/>
  <c r="AA125" i="7" l="1"/>
  <c r="Y125" i="7"/>
  <c r="U125" i="7" s="1"/>
  <c r="V125" i="7"/>
  <c r="T125" i="7" s="1"/>
  <c r="S126" i="7" l="1"/>
  <c r="Q126" i="7"/>
  <c r="P126" i="7"/>
  <c r="R126" i="7"/>
  <c r="AC126" i="7" l="1"/>
  <c r="V126" i="7" s="1"/>
  <c r="AE126" i="7"/>
  <c r="Z126" i="7" s="1"/>
  <c r="AD126" i="7"/>
  <c r="Y126" i="7" s="1"/>
  <c r="AA126" i="7" l="1"/>
  <c r="W126" i="7"/>
  <c r="X126" i="7"/>
  <c r="T126" i="7" s="1"/>
  <c r="U126" i="7" l="1"/>
  <c r="R127" i="7"/>
  <c r="P127" i="7"/>
  <c r="Q127" i="7"/>
  <c r="S127" i="7"/>
  <c r="AC127" i="7" l="1"/>
  <c r="W127" i="7" s="1"/>
  <c r="AE127" i="7"/>
  <c r="AA127" i="7" s="1"/>
  <c r="AD127" i="7"/>
  <c r="Y127" i="7" s="1"/>
  <c r="V127" i="7" l="1"/>
  <c r="Z127" i="7"/>
  <c r="X127" i="7"/>
  <c r="U127" i="7"/>
  <c r="T127" i="7" l="1"/>
  <c r="R128" i="7" s="1"/>
  <c r="S128" i="7"/>
  <c r="Q128" i="7"/>
  <c r="P128" i="7" l="1"/>
  <c r="AE128" i="7" s="1"/>
  <c r="Z128" i="7" s="1"/>
  <c r="AD128" i="7" l="1"/>
  <c r="Y128" i="7" s="1"/>
  <c r="AC128" i="7"/>
  <c r="V128" i="7" s="1"/>
  <c r="AA128" i="7"/>
  <c r="W128" i="7" l="1"/>
  <c r="X128" i="7"/>
  <c r="T128" i="7" s="1"/>
  <c r="U128" i="7"/>
  <c r="P129" i="7"/>
  <c r="R129" i="7"/>
  <c r="S129" i="7" l="1"/>
  <c r="Q129" i="7"/>
  <c r="AC129" i="7" l="1"/>
  <c r="V129" i="7" s="1"/>
  <c r="AD129" i="7"/>
  <c r="X129" i="7" s="1"/>
  <c r="AE129" i="7"/>
  <c r="AA129" i="7" l="1"/>
  <c r="Z129" i="7"/>
  <c r="T129" i="7" s="1"/>
  <c r="Y129" i="7"/>
  <c r="W129" i="7"/>
  <c r="U129" i="7" l="1"/>
  <c r="S130" i="7" s="1"/>
  <c r="Q130" i="7"/>
  <c r="R130" i="7"/>
  <c r="P130" i="7"/>
  <c r="AC130" i="7" l="1"/>
  <c r="W130" i="7" s="1"/>
  <c r="AE130" i="7"/>
  <c r="AA130" i="7" s="1"/>
  <c r="AD130" i="7"/>
  <c r="Y130" i="7" s="1"/>
  <c r="V130" i="7" l="1"/>
  <c r="X130" i="7"/>
  <c r="Z130" i="7"/>
  <c r="U130" i="7"/>
  <c r="Q131" i="7" s="1"/>
  <c r="S131" i="7" l="1"/>
  <c r="T130" i="7"/>
  <c r="R131" i="7" s="1"/>
  <c r="P131" i="7" l="1"/>
  <c r="AD131" i="7" s="1"/>
  <c r="AC131" i="7"/>
  <c r="W131" i="7" s="1"/>
  <c r="AE131" i="7"/>
  <c r="AA131" i="7" s="1"/>
  <c r="X131" i="7"/>
  <c r="Y131" i="7"/>
  <c r="V131" i="7"/>
  <c r="Z131" i="7" l="1"/>
  <c r="T131" i="7" s="1"/>
  <c r="R132" i="7" s="1"/>
  <c r="U131" i="7"/>
  <c r="P132" i="7" l="1"/>
  <c r="S132" i="7"/>
  <c r="Q132" i="7"/>
  <c r="AD132" i="7" l="1"/>
  <c r="X132" i="7" s="1"/>
  <c r="AE132" i="7"/>
  <c r="Z132" i="7" s="1"/>
  <c r="AC132" i="7"/>
  <c r="V132" i="7" s="1"/>
  <c r="Y132" i="7"/>
  <c r="W132" i="7" l="1"/>
  <c r="AA132" i="7"/>
  <c r="U132" i="7" s="1"/>
  <c r="T132" i="7"/>
  <c r="Q133" i="7" l="1"/>
  <c r="S133" i="7"/>
  <c r="P133" i="7"/>
  <c r="R133" i="7"/>
  <c r="AE133" i="7" l="1"/>
  <c r="AD133" i="7"/>
  <c r="AC133" i="7"/>
  <c r="Y133" i="7" l="1"/>
  <c r="X133" i="7"/>
  <c r="V133" i="7"/>
  <c r="W133" i="7"/>
  <c r="Z133" i="7"/>
  <c r="AA133" i="7"/>
  <c r="U133" i="7" l="1"/>
  <c r="Q134" i="7"/>
  <c r="S134" i="7"/>
  <c r="T133" i="7"/>
  <c r="R134" i="7" l="1"/>
  <c r="P134" i="7"/>
  <c r="AC134" i="7" l="1"/>
  <c r="W134" i="7" s="1"/>
  <c r="AE134" i="7"/>
  <c r="AA134" i="7" s="1"/>
  <c r="AD134" i="7"/>
  <c r="V134" i="7" l="1"/>
  <c r="Z134" i="7"/>
  <c r="X134" i="7"/>
  <c r="Y134" i="7"/>
  <c r="U134" i="7" s="1"/>
  <c r="T134" i="7" l="1"/>
  <c r="R135" i="7" s="1"/>
  <c r="P135" i="7"/>
  <c r="S135" i="7"/>
  <c r="Q135" i="7"/>
  <c r="AC135" i="7" l="1"/>
  <c r="W135" i="7" s="1"/>
  <c r="AD135" i="7"/>
  <c r="X135" i="7" s="1"/>
  <c r="AE135" i="7"/>
  <c r="Z135" i="7" s="1"/>
  <c r="V135" i="7" l="1"/>
  <c r="Y135" i="7"/>
  <c r="AA135" i="7"/>
  <c r="T135" i="7"/>
  <c r="U135" i="7" l="1"/>
  <c r="Q136" i="7"/>
  <c r="S136" i="7"/>
  <c r="P136" i="7"/>
  <c r="R136" i="7"/>
  <c r="AE136" i="7" l="1"/>
  <c r="AC136" i="7"/>
  <c r="AD136" i="7"/>
  <c r="X136" i="7" l="1"/>
  <c r="Y136" i="7"/>
  <c r="W136" i="7"/>
  <c r="V136" i="7"/>
  <c r="AA136" i="7"/>
  <c r="Z136" i="7"/>
  <c r="U136" i="7" l="1"/>
  <c r="T136" i="7"/>
  <c r="R137" i="7" l="1"/>
  <c r="P137" i="7"/>
  <c r="Q137" i="7"/>
  <c r="S137" i="7"/>
  <c r="AE137" i="7" l="1"/>
  <c r="Z137" i="7" s="1"/>
  <c r="AD137" i="7"/>
  <c r="Y137" i="7" s="1"/>
  <c r="AC137" i="7"/>
  <c r="W137" i="7" s="1"/>
  <c r="X137" i="7" l="1"/>
  <c r="AA137" i="7"/>
  <c r="U137" i="7" s="1"/>
  <c r="V137" i="7"/>
  <c r="T137" i="7" l="1"/>
  <c r="P138" i="7"/>
  <c r="R138" i="7"/>
  <c r="S138" i="7"/>
  <c r="Q138" i="7"/>
  <c r="AE138" i="7" l="1"/>
  <c r="AA138" i="7" s="1"/>
  <c r="AC138" i="7"/>
  <c r="W138" i="7" s="1"/>
  <c r="AD138" i="7"/>
  <c r="Y138" i="7" s="1"/>
  <c r="Z138" i="7"/>
  <c r="U138" i="7" l="1"/>
  <c r="S139" i="7" s="1"/>
  <c r="Q139" i="7"/>
  <c r="X138" i="7"/>
  <c r="V138" i="7"/>
  <c r="T138" i="7" l="1"/>
  <c r="R139" i="7" l="1"/>
  <c r="P139" i="7"/>
  <c r="AC139" i="7" l="1"/>
  <c r="W139" i="7" s="1"/>
  <c r="AE139" i="7"/>
  <c r="AA139" i="7" s="1"/>
  <c r="AD139" i="7"/>
  <c r="Y139" i="7" s="1"/>
  <c r="V139" i="7" l="1"/>
  <c r="Z139" i="7"/>
  <c r="X139" i="7"/>
  <c r="U139" i="7"/>
  <c r="T139" i="7" l="1"/>
  <c r="S140" i="7"/>
  <c r="Q140" i="7"/>
  <c r="P140" i="7"/>
  <c r="R140" i="7"/>
  <c r="AE140" i="7" l="1"/>
  <c r="Z140" i="7" s="1"/>
  <c r="AC140" i="7"/>
  <c r="V140" i="7" s="1"/>
  <c r="AD140" i="7"/>
  <c r="X140" i="7" s="1"/>
  <c r="AA140" i="7" l="1"/>
  <c r="W140" i="7"/>
  <c r="T140" i="7"/>
  <c r="Y140" i="7"/>
  <c r="U140" i="7" l="1"/>
  <c r="Q141" i="7"/>
  <c r="S141" i="7"/>
  <c r="R141" i="7"/>
  <c r="P141" i="7"/>
  <c r="AE141" i="7" l="1"/>
  <c r="Z141" i="7" s="1"/>
  <c r="AD141" i="7"/>
  <c r="X141" i="7" s="1"/>
  <c r="AC141" i="7"/>
  <c r="V141" i="7" s="1"/>
  <c r="AA141" i="7" l="1"/>
  <c r="W141" i="7"/>
  <c r="T141" i="7"/>
  <c r="Y141" i="7"/>
  <c r="R142" i="7" l="1"/>
  <c r="P142" i="7"/>
  <c r="U141" i="7"/>
  <c r="S142" i="7" l="1"/>
  <c r="Q142" i="7"/>
  <c r="AD142" i="7" l="1"/>
  <c r="X142" i="7" s="1"/>
  <c r="AE142" i="7"/>
  <c r="Z142" i="7" s="1"/>
  <c r="AC142" i="7"/>
  <c r="V142" i="7" s="1"/>
  <c r="AA142" i="7" l="1"/>
  <c r="W142" i="7"/>
  <c r="T142" i="7"/>
  <c r="Y142" i="7"/>
  <c r="U142" i="7" l="1"/>
  <c r="P143" i="7"/>
  <c r="R143" i="7"/>
  <c r="S143" i="7" l="1"/>
  <c r="Q143" i="7"/>
  <c r="AE143" i="7" l="1"/>
  <c r="Z143" i="7" s="1"/>
  <c r="AC143" i="7"/>
  <c r="V143" i="7" s="1"/>
  <c r="AD143" i="7"/>
  <c r="X143" i="7" s="1"/>
  <c r="T143" i="7" l="1"/>
  <c r="Y143" i="7"/>
  <c r="W143" i="7"/>
  <c r="AA143" i="7"/>
  <c r="U143" i="7" l="1"/>
  <c r="Q144" i="7" s="1"/>
  <c r="R144" i="7"/>
  <c r="P144" i="7"/>
  <c r="S144" i="7" l="1"/>
  <c r="AE144" i="7"/>
  <c r="Z144" i="7" s="1"/>
  <c r="AD144" i="7"/>
  <c r="X144" i="7" s="1"/>
  <c r="AC144" i="7"/>
  <c r="V144" i="7" s="1"/>
  <c r="T144" i="7" l="1"/>
  <c r="R145" i="7" s="1"/>
  <c r="P145" i="7"/>
  <c r="AA144" i="7"/>
  <c r="Y144" i="7"/>
  <c r="W144" i="7"/>
  <c r="U144" i="7" l="1"/>
  <c r="S145" i="7" l="1"/>
  <c r="Q145" i="7"/>
  <c r="AE145" i="7" l="1"/>
  <c r="Z145" i="7" s="1"/>
  <c r="AD145" i="7"/>
  <c r="X145" i="7" s="1"/>
  <c r="AC145" i="7"/>
  <c r="V145" i="7" s="1"/>
  <c r="T145" i="7" l="1"/>
  <c r="AA145" i="7"/>
  <c r="W145" i="7"/>
  <c r="Y145" i="7"/>
  <c r="U145" i="7" l="1"/>
  <c r="P146" i="7"/>
  <c r="R146" i="7"/>
  <c r="Q146" i="7"/>
  <c r="S146" i="7"/>
  <c r="AE146" i="7" l="1"/>
  <c r="AA146" i="7" s="1"/>
  <c r="AC146" i="7"/>
  <c r="W146" i="7" s="1"/>
  <c r="AD146" i="7"/>
  <c r="X146" i="7" s="1"/>
  <c r="Z146" i="7" l="1"/>
  <c r="Y146" i="7"/>
  <c r="U146" i="7" s="1"/>
  <c r="V146" i="7"/>
  <c r="T146" i="7" s="1"/>
  <c r="S147" i="7" l="1"/>
  <c r="Q147" i="7"/>
  <c r="R147" i="7"/>
  <c r="P147" i="7"/>
  <c r="AC147" i="7" l="1"/>
  <c r="W147" i="7" s="1"/>
  <c r="AE147" i="7"/>
  <c r="Z147" i="7" s="1"/>
  <c r="AD147" i="7"/>
  <c r="X147" i="7" s="1"/>
  <c r="Y147" i="7" l="1"/>
  <c r="AA147" i="7"/>
  <c r="V147" i="7"/>
  <c r="T147" i="7" s="1"/>
  <c r="U147" i="7" l="1"/>
  <c r="S148" i="7" s="1"/>
  <c r="R148" i="7"/>
  <c r="P148" i="7"/>
  <c r="Q148" i="7" l="1"/>
  <c r="AC148" i="7" s="1"/>
  <c r="AD148" i="7"/>
  <c r="Y148" i="7" s="1"/>
  <c r="AE148" i="7"/>
  <c r="AA148" i="7" s="1"/>
  <c r="W148" i="7" l="1"/>
  <c r="U148" i="7" s="1"/>
  <c r="V148" i="7"/>
  <c r="X148" i="7"/>
  <c r="Z148" i="7"/>
  <c r="T148" i="7" s="1"/>
  <c r="R149" i="7" l="1"/>
  <c r="P149" i="7"/>
  <c r="S149" i="7"/>
  <c r="Q149" i="7"/>
  <c r="AD149" i="7" l="1"/>
  <c r="Y149" i="7" s="1"/>
  <c r="AE149" i="7"/>
  <c r="AA149" i="7" s="1"/>
  <c r="AC149" i="7"/>
  <c r="W149" i="7" s="1"/>
  <c r="X149" i="7"/>
  <c r="Z149" i="7"/>
  <c r="V149" i="7" l="1"/>
  <c r="T149" i="7" s="1"/>
  <c r="U149" i="7"/>
  <c r="Q150" i="7" s="1"/>
  <c r="S150" i="7" l="1"/>
  <c r="P150" i="7"/>
  <c r="R150" i="7"/>
  <c r="AE150" i="7" l="1"/>
  <c r="AA150" i="7" s="1"/>
  <c r="AC150" i="7"/>
  <c r="W150" i="7" s="1"/>
  <c r="AD150" i="7"/>
  <c r="Y150" i="7" s="1"/>
  <c r="U150" i="7" l="1"/>
  <c r="Q151" i="7" s="1"/>
  <c r="V150" i="7"/>
  <c r="Z150" i="7"/>
  <c r="X150" i="7"/>
  <c r="S151" i="7" l="1"/>
  <c r="T150" i="7"/>
  <c r="P151" i="7"/>
  <c r="R151" i="7"/>
  <c r="AD151" i="7" l="1"/>
  <c r="Y151" i="7" s="1"/>
  <c r="AC151" i="7"/>
  <c r="W151" i="7" s="1"/>
  <c r="AE151" i="7"/>
  <c r="AA151" i="7" s="1"/>
  <c r="X151" i="7"/>
  <c r="Z151" i="7" l="1"/>
  <c r="U151" i="7"/>
  <c r="V151" i="7"/>
  <c r="T151" i="7" s="1"/>
  <c r="S152" i="7"/>
  <c r="Q152" i="7"/>
  <c r="R152" i="7" l="1"/>
  <c r="P152" i="7"/>
  <c r="AE152" i="7" l="1"/>
  <c r="AA152" i="7" s="1"/>
  <c r="AD152" i="7"/>
  <c r="Y152" i="7" s="1"/>
  <c r="AC152" i="7"/>
  <c r="W152" i="7" s="1"/>
  <c r="Z152" i="7" l="1"/>
  <c r="U152" i="7"/>
  <c r="S153" i="7" s="1"/>
  <c r="X152" i="7"/>
  <c r="V152" i="7"/>
  <c r="Q153" i="7"/>
  <c r="T152" i="7" l="1"/>
  <c r="P153" i="7" s="1"/>
  <c r="AC153" i="7" s="1"/>
  <c r="W153" i="7" l="1"/>
  <c r="V153" i="7"/>
  <c r="R153" i="7"/>
  <c r="AE153" i="7"/>
  <c r="AD153" i="7"/>
  <c r="Y153" i="7" s="1"/>
  <c r="AA153" i="7" l="1"/>
  <c r="U153" i="7" s="1"/>
  <c r="Z153" i="7"/>
  <c r="X153" i="7"/>
  <c r="T153" i="7" l="1"/>
  <c r="P154" i="7" s="1"/>
  <c r="R154" i="7"/>
  <c r="S154" i="7"/>
  <c r="Q154" i="7"/>
  <c r="AE154" i="7" s="1"/>
  <c r="Z154" i="7" s="1"/>
  <c r="AA154" i="7" l="1"/>
  <c r="AD154" i="7"/>
  <c r="AC154" i="7"/>
  <c r="V154" i="7" l="1"/>
  <c r="W154" i="7"/>
  <c r="Y154" i="7"/>
  <c r="X154" i="7"/>
  <c r="T154" i="7" l="1"/>
  <c r="R155" i="7" s="1"/>
  <c r="P155" i="7"/>
  <c r="U154" i="7"/>
  <c r="Q155" i="7" l="1"/>
  <c r="AE155" i="7" s="1"/>
  <c r="Z155" i="7" s="1"/>
  <c r="S155" i="7"/>
  <c r="AC155" i="7" l="1"/>
  <c r="V155" i="7" s="1"/>
  <c r="AD155" i="7"/>
  <c r="Y155" i="7" s="1"/>
  <c r="AA155" i="7"/>
  <c r="X155" i="7" l="1"/>
  <c r="T155" i="7" s="1"/>
  <c r="W155" i="7"/>
  <c r="U155" i="7" s="1"/>
  <c r="R156" i="7" l="1"/>
  <c r="P156" i="7"/>
  <c r="Q156" i="7"/>
  <c r="S156" i="7"/>
  <c r="AC156" i="7"/>
  <c r="AE156" i="7"/>
  <c r="AD156" i="7"/>
  <c r="X156" i="7" s="1"/>
  <c r="W156" i="7" l="1"/>
  <c r="V156" i="7"/>
  <c r="AA156" i="7"/>
  <c r="Z156" i="7"/>
  <c r="Y156" i="7"/>
  <c r="U156" i="7" s="1"/>
  <c r="S157" i="7" l="1"/>
  <c r="Q157" i="7"/>
  <c r="T156" i="7"/>
  <c r="R157" i="7" l="1"/>
  <c r="P157" i="7"/>
  <c r="AE157" i="7" l="1"/>
  <c r="AA157" i="7" s="1"/>
  <c r="AD157" i="7"/>
  <c r="Z157" i="7"/>
  <c r="AC157" i="7"/>
  <c r="Y157" i="7" l="1"/>
  <c r="X157" i="7"/>
  <c r="W157" i="7"/>
  <c r="U157" i="7" s="1"/>
  <c r="V157" i="7"/>
  <c r="T157" i="7" l="1"/>
  <c r="R158" i="7"/>
  <c r="P158" i="7"/>
  <c r="S158" i="7"/>
  <c r="Q158" i="7"/>
  <c r="AD158" i="7" l="1"/>
  <c r="X158" i="7" s="1"/>
  <c r="AC158" i="7"/>
  <c r="AE158" i="7"/>
  <c r="Y158" i="7"/>
  <c r="Z158" i="7" l="1"/>
  <c r="AA158" i="7"/>
  <c r="V158" i="7"/>
  <c r="W158" i="7"/>
  <c r="U158" i="7" s="1"/>
  <c r="T158" i="7" l="1"/>
  <c r="S159" i="7"/>
  <c r="Q159" i="7"/>
  <c r="R159" i="7"/>
  <c r="P159" i="7"/>
  <c r="AE159" i="7" l="1"/>
  <c r="AA159" i="7" s="1"/>
  <c r="AD159" i="7"/>
  <c r="AC159" i="7"/>
  <c r="V159" i="7" s="1"/>
  <c r="Z159" i="7" l="1"/>
  <c r="W159" i="7"/>
  <c r="Y159" i="7"/>
  <c r="U159" i="7" s="1"/>
  <c r="X159" i="7"/>
  <c r="T159" i="7" l="1"/>
  <c r="Q160" i="7"/>
  <c r="S160" i="7"/>
  <c r="R160" i="7"/>
  <c r="P160" i="7"/>
  <c r="AC160" i="7" l="1"/>
  <c r="W160" i="7" s="1"/>
  <c r="AD160" i="7"/>
  <c r="AE160" i="7"/>
  <c r="V160" i="7" l="1"/>
  <c r="AA160" i="7"/>
  <c r="Z160" i="7"/>
  <c r="Y160" i="7"/>
  <c r="X160" i="7"/>
  <c r="U160" i="7" l="1"/>
  <c r="S161" i="7" s="1"/>
  <c r="T160" i="7"/>
  <c r="Q161" i="7" l="1"/>
  <c r="P161" i="7"/>
  <c r="R161" i="7"/>
  <c r="AC161" i="7" l="1"/>
  <c r="W161" i="7" s="1"/>
  <c r="AE161" i="7"/>
  <c r="AA161" i="7" s="1"/>
  <c r="AD161" i="7"/>
  <c r="Y161" i="7" s="1"/>
  <c r="V161" i="7" l="1"/>
  <c r="Z161" i="7"/>
  <c r="X161" i="7"/>
  <c r="U161" i="7"/>
  <c r="T161" i="7" l="1"/>
  <c r="S162" i="7"/>
  <c r="Q162" i="7"/>
  <c r="R162" i="7"/>
  <c r="P162" i="7"/>
  <c r="AC162" i="7" l="1"/>
  <c r="W162" i="7" s="1"/>
  <c r="AE162" i="7"/>
  <c r="Z162" i="7" s="1"/>
  <c r="AD162" i="7"/>
  <c r="X162" i="7" s="1"/>
  <c r="AA162" i="7" l="1"/>
  <c r="Y162" i="7"/>
  <c r="V162" i="7"/>
  <c r="T162" i="7" s="1"/>
  <c r="U162" i="7" l="1"/>
  <c r="Q163" i="7"/>
  <c r="S163" i="7"/>
  <c r="P163" i="7"/>
  <c r="R163" i="7"/>
  <c r="AE163" i="7" l="1"/>
  <c r="AC163" i="7"/>
  <c r="AD163" i="7"/>
  <c r="W163" i="7" l="1"/>
  <c r="V163" i="7"/>
  <c r="X163" i="7"/>
  <c r="Y163" i="7"/>
  <c r="AA163" i="7"/>
  <c r="Z163" i="7"/>
  <c r="T163" i="7" l="1"/>
  <c r="U163" i="7"/>
  <c r="Q164" i="7" l="1"/>
  <c r="S164" i="7"/>
  <c r="P164" i="7"/>
  <c r="R164" i="7"/>
  <c r="AC164" i="7" l="1"/>
  <c r="AE164" i="7"/>
  <c r="AD164" i="7"/>
  <c r="X164" i="7" l="1"/>
  <c r="Y164" i="7"/>
  <c r="Z164" i="7"/>
  <c r="AA164" i="7"/>
  <c r="V164" i="7"/>
  <c r="W164" i="7"/>
  <c r="U164" i="7" l="1"/>
  <c r="Q165" i="7" s="1"/>
  <c r="T164" i="7"/>
  <c r="S165" i="7"/>
  <c r="P165" i="7" l="1"/>
  <c r="R165" i="7"/>
  <c r="AD165" i="7" l="1"/>
  <c r="AE165" i="7"/>
  <c r="AC165" i="7"/>
  <c r="Z165" i="7" l="1"/>
  <c r="AA165" i="7"/>
  <c r="V165" i="7"/>
  <c r="W165" i="7"/>
  <c r="Y165" i="7"/>
  <c r="X165" i="7"/>
  <c r="U165" i="7" l="1"/>
  <c r="T165" i="7"/>
  <c r="S166" i="7" l="1"/>
  <c r="Q166" i="7"/>
  <c r="P166" i="7"/>
  <c r="R166" i="7"/>
  <c r="AD166" i="7" l="1"/>
  <c r="AC166" i="7"/>
  <c r="AE166" i="7"/>
  <c r="W166" i="7" l="1"/>
  <c r="V166" i="7"/>
  <c r="AA166" i="7"/>
  <c r="Z166" i="7"/>
  <c r="Y166" i="7"/>
  <c r="X166" i="7"/>
  <c r="T166" i="7" l="1"/>
  <c r="U166" i="7"/>
  <c r="Q167" i="7" l="1"/>
  <c r="S167" i="7"/>
  <c r="P167" i="7"/>
  <c r="R167" i="7"/>
  <c r="AC167" i="7" l="1"/>
  <c r="W167" i="7" s="1"/>
  <c r="AD167" i="7"/>
  <c r="Y167" i="7" s="1"/>
  <c r="AE167" i="7"/>
  <c r="AA167" i="7" s="1"/>
  <c r="V167" i="7"/>
  <c r="X167" i="7" l="1"/>
  <c r="Z167" i="7"/>
  <c r="T167" i="7" s="1"/>
  <c r="U167" i="7"/>
  <c r="S168" i="7" l="1"/>
  <c r="Q168" i="7"/>
  <c r="R168" i="7"/>
  <c r="P168" i="7"/>
  <c r="AC168" i="7" l="1"/>
  <c r="W168" i="7" s="1"/>
  <c r="AD168" i="7"/>
  <c r="Y168" i="7" s="1"/>
  <c r="AE168" i="7"/>
  <c r="V168" i="7" l="1"/>
  <c r="Z168" i="7"/>
  <c r="AA168" i="7"/>
  <c r="U168" i="7" s="1"/>
  <c r="X168" i="7"/>
  <c r="T168" i="7" l="1"/>
  <c r="R169" i="7" s="1"/>
  <c r="Q169" i="7"/>
  <c r="S169" i="7"/>
  <c r="P169" i="7"/>
  <c r="AD169" i="7" l="1"/>
  <c r="Y169" i="7" s="1"/>
  <c r="AC169" i="7"/>
  <c r="AE169" i="7"/>
  <c r="X169" i="7" l="1"/>
  <c r="AA169" i="7"/>
  <c r="Z169" i="7"/>
  <c r="W169" i="7"/>
  <c r="V169" i="7"/>
  <c r="T169" i="7" s="1"/>
  <c r="R170" i="7" s="1"/>
  <c r="U169" i="7" l="1"/>
  <c r="S170" i="7" s="1"/>
  <c r="P170" i="7"/>
  <c r="Q170" i="7" l="1"/>
  <c r="AC170" i="7" s="1"/>
  <c r="AE170" i="7"/>
  <c r="AA170" i="7" s="1"/>
  <c r="AD170" i="7"/>
  <c r="Y170" i="7" s="1"/>
  <c r="W170" i="7"/>
  <c r="V170" i="7"/>
  <c r="X170" i="7"/>
  <c r="Z170" i="7" l="1"/>
  <c r="T170" i="7" s="1"/>
  <c r="P171" i="7" s="1"/>
  <c r="U170" i="7"/>
  <c r="S171" i="7" s="1"/>
  <c r="Q171" i="7" l="1"/>
  <c r="R171" i="7"/>
  <c r="AC171" i="7"/>
  <c r="W171" i="7" s="1"/>
  <c r="AD171" i="7"/>
  <c r="Y171" i="7" s="1"/>
  <c r="AE171" i="7"/>
  <c r="AA171" i="7" s="1"/>
  <c r="U171" i="7" l="1"/>
  <c r="V171" i="7"/>
  <c r="X171" i="7"/>
  <c r="Q172" i="7"/>
  <c r="S172" i="7"/>
  <c r="Z171" i="7"/>
  <c r="T171" i="7" l="1"/>
  <c r="R172" i="7" s="1"/>
  <c r="P172" i="7" l="1"/>
  <c r="AE172" i="7" s="1"/>
  <c r="AA172" i="7" s="1"/>
  <c r="AC172" i="7" l="1"/>
  <c r="W172" i="7" s="1"/>
  <c r="Z172" i="7"/>
  <c r="AD172" i="7"/>
  <c r="Y172" i="7" s="1"/>
  <c r="U172" i="7" s="1"/>
  <c r="V172" i="7"/>
  <c r="X172" i="7" l="1"/>
  <c r="S173" i="7"/>
  <c r="Q173" i="7"/>
  <c r="T172" i="7"/>
  <c r="R173" i="7" s="1"/>
  <c r="P173" i="7" l="1"/>
  <c r="AD173" i="7" s="1"/>
  <c r="Y173" i="7" s="1"/>
  <c r="AC173" i="7" l="1"/>
  <c r="W173" i="7" s="1"/>
  <c r="X173" i="7"/>
  <c r="AE173" i="7"/>
  <c r="AA173" i="7" s="1"/>
  <c r="U173" i="7" s="1"/>
  <c r="V173" i="7"/>
  <c r="S174" i="7" l="1"/>
  <c r="Q174" i="7"/>
  <c r="Z173" i="7"/>
  <c r="T173" i="7" s="1"/>
  <c r="R174" i="7" s="1"/>
  <c r="P174" i="7" l="1"/>
  <c r="AE174" i="7" s="1"/>
  <c r="Z174" i="7" s="1"/>
  <c r="AD174" i="7" l="1"/>
  <c r="Y174" i="7" s="1"/>
  <c r="AA174" i="7"/>
  <c r="AC174" i="7"/>
  <c r="W174" i="7" s="1"/>
  <c r="X174" i="7" l="1"/>
  <c r="U174" i="7"/>
  <c r="S175" i="7" s="1"/>
  <c r="V174" i="7"/>
  <c r="T174" i="7" l="1"/>
  <c r="R175" i="7" s="1"/>
  <c r="Q175" i="7"/>
  <c r="P175" i="7" l="1"/>
  <c r="AC175" i="7" s="1"/>
  <c r="AE175" i="7"/>
  <c r="AD175" i="7"/>
  <c r="W175" i="7" l="1"/>
  <c r="V175" i="7"/>
  <c r="X175" i="7"/>
  <c r="Y175" i="7"/>
  <c r="AA175" i="7"/>
  <c r="Z175" i="7"/>
  <c r="U175" i="7" l="1"/>
  <c r="T175" i="7"/>
  <c r="R176" i="7" l="1"/>
  <c r="P176" i="7"/>
  <c r="S176" i="7"/>
  <c r="Q176" i="7"/>
  <c r="AD176" i="7" l="1"/>
  <c r="X176" i="7" s="1"/>
  <c r="AC176" i="7"/>
  <c r="W176" i="7" s="1"/>
  <c r="AE176" i="7"/>
  <c r="AA176" i="7" s="1"/>
  <c r="V176" i="7" l="1"/>
  <c r="Z176" i="7"/>
  <c r="Y176" i="7"/>
  <c r="U176" i="7" s="1"/>
  <c r="T176" i="7" l="1"/>
  <c r="S177" i="7"/>
  <c r="Q177" i="7"/>
  <c r="R177" i="7"/>
  <c r="P177" i="7"/>
  <c r="AC177" i="7" l="1"/>
  <c r="W177" i="7" s="1"/>
  <c r="AE177" i="7"/>
  <c r="AA177" i="7" s="1"/>
  <c r="AD177" i="7"/>
  <c r="Y177" i="7" s="1"/>
  <c r="V177" i="7" l="1"/>
  <c r="Z177" i="7"/>
  <c r="X177" i="7"/>
  <c r="U177" i="7"/>
  <c r="T177" i="7" l="1"/>
  <c r="R178" i="7" s="1"/>
  <c r="Q178" i="7"/>
  <c r="S178" i="7"/>
  <c r="P178" i="7" l="1"/>
  <c r="AC178" i="7" s="1"/>
  <c r="AD178" i="7" l="1"/>
  <c r="X178" i="7" s="1"/>
  <c r="AE178" i="7"/>
  <c r="Z178" i="7" s="1"/>
  <c r="V178" i="7"/>
  <c r="W178" i="7"/>
  <c r="Y178" i="7" l="1"/>
  <c r="AA178" i="7"/>
  <c r="T178" i="7"/>
  <c r="U178" i="7" l="1"/>
  <c r="S179" i="7" s="1"/>
  <c r="Q179" i="7"/>
  <c r="R179" i="7"/>
  <c r="P179" i="7"/>
  <c r="AE179" i="7" l="1"/>
  <c r="AA179" i="7" s="1"/>
  <c r="AC179" i="7"/>
  <c r="AD179" i="7"/>
  <c r="Z179" i="7" l="1"/>
  <c r="Y179" i="7"/>
  <c r="X179" i="7"/>
  <c r="W179" i="7"/>
  <c r="V179" i="7"/>
  <c r="U179" i="7" l="1"/>
  <c r="S180" i="7" s="1"/>
  <c r="T179" i="7"/>
  <c r="P180" i="7" s="1"/>
  <c r="Q180" i="7" l="1"/>
  <c r="AC180" i="7" s="1"/>
  <c r="R180" i="7"/>
  <c r="AE180" i="7" l="1"/>
  <c r="Z180" i="7" s="1"/>
  <c r="AD180" i="7"/>
  <c r="Y180" i="7" s="1"/>
  <c r="X180" i="7"/>
  <c r="W180" i="7"/>
  <c r="V180" i="7"/>
  <c r="AA180" i="7" l="1"/>
  <c r="U180" i="7" s="1"/>
  <c r="Q181" i="7" s="1"/>
  <c r="T180" i="7"/>
  <c r="P181" i="7" s="1"/>
  <c r="S181" i="7" l="1"/>
  <c r="AD181" i="7"/>
  <c r="Y181" i="7" s="1"/>
  <c r="R181" i="7"/>
  <c r="AE181" i="7"/>
  <c r="AA181" i="7" s="1"/>
  <c r="AC181" i="7"/>
  <c r="X181" i="7" l="1"/>
  <c r="Z181" i="7"/>
  <c r="W181" i="7"/>
  <c r="U181" i="7" s="1"/>
  <c r="V181" i="7"/>
  <c r="T181" i="7" l="1"/>
  <c r="R182" i="7" s="1"/>
  <c r="S182" i="7"/>
  <c r="Q182" i="7"/>
  <c r="P182" i="7" l="1"/>
  <c r="AC182" i="7" s="1"/>
  <c r="AD182" i="7"/>
  <c r="Y182" i="7" s="1"/>
  <c r="AE182" i="7" l="1"/>
  <c r="AA182" i="7" s="1"/>
  <c r="W182" i="7"/>
  <c r="V182" i="7"/>
  <c r="X182" i="7"/>
  <c r="Z182" i="7" l="1"/>
  <c r="T182" i="7" s="1"/>
  <c r="R183" i="7" s="1"/>
  <c r="U182" i="7"/>
  <c r="S183" i="7" s="1"/>
  <c r="Q183" i="7"/>
  <c r="P183" i="7" l="1"/>
  <c r="AD183" i="7" s="1"/>
  <c r="Y183" i="7" s="1"/>
  <c r="X183" i="7" l="1"/>
  <c r="AC183" i="7"/>
  <c r="W183" i="7" s="1"/>
  <c r="AE183" i="7"/>
  <c r="Z183" i="7" s="1"/>
  <c r="AA183" i="7" l="1"/>
  <c r="U183" i="7" s="1"/>
  <c r="V183" i="7"/>
  <c r="T183" i="7" s="1"/>
  <c r="R184" i="7" s="1"/>
  <c r="Q184" i="7" l="1"/>
  <c r="S184" i="7"/>
  <c r="P184" i="7"/>
  <c r="AD184" i="7" s="1"/>
  <c r="AC184" i="7" l="1"/>
  <c r="V184" i="7" s="1"/>
  <c r="AE184" i="7"/>
  <c r="Z184" i="7" s="1"/>
  <c r="X184" i="7"/>
  <c r="Y184" i="7"/>
  <c r="W184" i="7" l="1"/>
  <c r="AA184" i="7"/>
  <c r="T184" i="7"/>
  <c r="U184" i="7" l="1"/>
  <c r="S185" i="7" s="1"/>
  <c r="R185" i="7"/>
  <c r="P185" i="7"/>
  <c r="Q185" i="7" l="1"/>
  <c r="AE185" i="7" s="1"/>
  <c r="AD185" i="7" l="1"/>
  <c r="X185" i="7" s="1"/>
  <c r="AC185" i="7"/>
  <c r="W185" i="7" s="1"/>
  <c r="Z185" i="7"/>
  <c r="AA185" i="7"/>
  <c r="V185" i="7" l="1"/>
  <c r="T185" i="7" s="1"/>
  <c r="R186" i="7" s="1"/>
  <c r="Y185" i="7"/>
  <c r="U185" i="7" s="1"/>
  <c r="Q186" i="7" s="1"/>
  <c r="P186" i="7" l="1"/>
  <c r="AE186" i="7" s="1"/>
  <c r="Z186" i="7" s="1"/>
  <c r="S186" i="7"/>
  <c r="AD186" i="7" l="1"/>
  <c r="X186" i="7" s="1"/>
  <c r="AC186" i="7"/>
  <c r="V186" i="7" s="1"/>
  <c r="AA186" i="7"/>
  <c r="T186" i="7" l="1"/>
  <c r="R187" i="7" s="1"/>
  <c r="Y186" i="7"/>
  <c r="W186" i="7"/>
  <c r="P187" i="7" l="1"/>
  <c r="U186" i="7"/>
  <c r="Q187" i="7" s="1"/>
  <c r="AD187" i="7" l="1"/>
  <c r="X187" i="7" s="1"/>
  <c r="S187" i="7"/>
  <c r="AE187" i="7"/>
  <c r="Z187" i="7" s="1"/>
  <c r="AC187" i="7"/>
  <c r="V187" i="7" s="1"/>
  <c r="Y187" i="7" l="1"/>
  <c r="T187" i="7"/>
  <c r="R188" i="7" s="1"/>
  <c r="W187" i="7"/>
  <c r="AA187" i="7"/>
  <c r="P188" i="7" l="1"/>
  <c r="U187" i="7"/>
  <c r="S188" i="7" s="1"/>
  <c r="Q188" i="7" l="1"/>
  <c r="AC188" i="7" s="1"/>
  <c r="V188" i="7" s="1"/>
  <c r="AD188" i="7" l="1"/>
  <c r="X188" i="7" s="1"/>
  <c r="AE188" i="7"/>
  <c r="Z188" i="7" s="1"/>
  <c r="W188" i="7"/>
  <c r="AA188" i="7" l="1"/>
  <c r="Y188" i="7"/>
  <c r="T188" i="7"/>
  <c r="P189" i="7" s="1"/>
  <c r="U188" i="7" l="1"/>
  <c r="S189" i="7" s="1"/>
  <c r="R189" i="7"/>
  <c r="Q189" i="7" l="1"/>
  <c r="AE189" i="7" s="1"/>
  <c r="Z189" i="7" s="1"/>
  <c r="AD189" i="7" l="1"/>
  <c r="X189" i="7" s="1"/>
  <c r="AC189" i="7"/>
  <c r="V189" i="7" s="1"/>
  <c r="AA189" i="7"/>
  <c r="Y189" i="7" l="1"/>
  <c r="W189" i="7"/>
  <c r="U189" i="7" s="1"/>
  <c r="Q190" i="7" s="1"/>
  <c r="T189" i="7"/>
  <c r="R190" i="7" s="1"/>
  <c r="P190" i="7" l="1"/>
  <c r="AE190" i="7" s="1"/>
  <c r="Z190" i="7" s="1"/>
  <c r="S190" i="7"/>
  <c r="AD190" i="7"/>
  <c r="X190" i="7" s="1"/>
  <c r="AC190" i="7"/>
  <c r="V190" i="7" s="1"/>
  <c r="AA190" i="7" l="1"/>
  <c r="T190" i="7"/>
  <c r="R191" i="7" s="1"/>
  <c r="Y190" i="7"/>
  <c r="W190" i="7"/>
  <c r="P191" i="7" l="1"/>
  <c r="U190" i="7"/>
  <c r="Q191" i="7" s="1"/>
  <c r="S191" i="7" l="1"/>
  <c r="AC191" i="7"/>
  <c r="V191" i="7" s="1"/>
  <c r="AD191" i="7"/>
  <c r="X191" i="7" s="1"/>
  <c r="AE191" i="7"/>
  <c r="Z191" i="7" s="1"/>
  <c r="T191" i="7" l="1"/>
  <c r="Y191" i="7"/>
  <c r="W191" i="7"/>
  <c r="AA191" i="7"/>
  <c r="U191" i="7" l="1"/>
  <c r="R192" i="7"/>
  <c r="P192" i="7"/>
  <c r="S192" i="7" l="1"/>
  <c r="Q192" i="7"/>
  <c r="AC192" i="7" l="1"/>
  <c r="AE192" i="7"/>
  <c r="Z192" i="7" s="1"/>
  <c r="AD192" i="7"/>
  <c r="Y192" i="7" l="1"/>
  <c r="X192" i="7"/>
  <c r="W192" i="7"/>
  <c r="V192" i="7"/>
  <c r="AA192" i="7"/>
  <c r="T192" i="7" l="1"/>
  <c r="R193" i="7" s="1"/>
  <c r="U192" i="7"/>
  <c r="Q193" i="7" s="1"/>
  <c r="P193" i="7" l="1"/>
  <c r="AD193" i="7" s="1"/>
  <c r="Y193" i="7" s="1"/>
  <c r="S193" i="7"/>
  <c r="AE193" i="7" l="1"/>
  <c r="AA193" i="7" s="1"/>
  <c r="AC193" i="7"/>
  <c r="W193" i="7" s="1"/>
  <c r="X193" i="7"/>
  <c r="U193" i="7" l="1"/>
  <c r="S194" i="7" s="1"/>
  <c r="Z193" i="7"/>
  <c r="V193" i="7"/>
  <c r="Q194" i="7"/>
  <c r="T193" i="7" l="1"/>
  <c r="R194" i="7" s="1"/>
  <c r="P194" i="7" l="1"/>
  <c r="AC194" i="7" s="1"/>
  <c r="W194" i="7" s="1"/>
  <c r="V194" i="7" l="1"/>
  <c r="AD194" i="7"/>
  <c r="Y194" i="7" s="1"/>
  <c r="AE194" i="7"/>
  <c r="AA194" i="7" s="1"/>
  <c r="Z194" i="7" l="1"/>
  <c r="X194" i="7"/>
  <c r="U194" i="7"/>
  <c r="T194" i="7" l="1"/>
  <c r="R195" i="7" s="1"/>
  <c r="Q195" i="7"/>
  <c r="S195" i="7"/>
  <c r="P195" i="7" l="1"/>
  <c r="AC195" i="7" s="1"/>
  <c r="V195" i="7" s="1"/>
  <c r="AD195" i="7"/>
  <c r="X195" i="7" s="1"/>
  <c r="AE195" i="7"/>
  <c r="Z195" i="7" s="1"/>
  <c r="T195" i="7" l="1"/>
  <c r="P196" i="7" s="1"/>
  <c r="W195" i="7"/>
  <c r="Y195" i="7"/>
  <c r="AA195" i="7"/>
  <c r="R196" i="7" l="1"/>
  <c r="U195" i="7"/>
  <c r="Q196" i="7" s="1"/>
  <c r="AC196" i="7" s="1"/>
  <c r="V196" i="7" s="1"/>
  <c r="AE196" i="7" l="1"/>
  <c r="Z196" i="7" s="1"/>
  <c r="W196" i="7"/>
  <c r="AD196" i="7"/>
  <c r="X196" i="7" s="1"/>
  <c r="S196" i="7"/>
  <c r="T196" i="7" l="1"/>
  <c r="R197" i="7" s="1"/>
  <c r="AA196" i="7"/>
  <c r="Y196" i="7"/>
  <c r="P197" i="7" l="1"/>
  <c r="U196" i="7"/>
  <c r="S197" i="7" s="1"/>
  <c r="Q197" i="7" l="1"/>
  <c r="AD197" i="7" s="1"/>
  <c r="X197" i="7" s="1"/>
  <c r="Y197" i="7" l="1"/>
  <c r="AE197" i="7"/>
  <c r="Z197" i="7" s="1"/>
  <c r="AC197" i="7"/>
  <c r="V197" i="7" s="1"/>
  <c r="AA197" i="7" l="1"/>
  <c r="W197" i="7"/>
  <c r="T197" i="7"/>
  <c r="P198" i="7" s="1"/>
  <c r="U197" i="7" l="1"/>
  <c r="S198" i="7" s="1"/>
  <c r="R198" i="7"/>
  <c r="Q198" i="7"/>
  <c r="AD198" i="7" s="1"/>
  <c r="X198" i="7" s="1"/>
  <c r="AE198" i="7" l="1"/>
  <c r="Z198" i="7" s="1"/>
  <c r="Y198" i="7"/>
  <c r="AC198" i="7"/>
  <c r="V198" i="7" s="1"/>
  <c r="T198" i="7" s="1"/>
  <c r="R199" i="7" l="1"/>
  <c r="P199" i="7"/>
  <c r="AA198" i="7"/>
  <c r="W198" i="7"/>
  <c r="U198" i="7" s="1"/>
  <c r="S199" i="7" s="1"/>
  <c r="Q199" i="7" l="1"/>
  <c r="AD199" i="7" s="1"/>
  <c r="X199" i="7" s="1"/>
  <c r="Y199" i="7" l="1"/>
  <c r="AE199" i="7"/>
  <c r="Z199" i="7" s="1"/>
  <c r="AC199" i="7"/>
  <c r="V199" i="7" s="1"/>
  <c r="AA199" i="7" l="1"/>
  <c r="T199" i="7"/>
  <c r="R200" i="7" s="1"/>
  <c r="W199" i="7"/>
  <c r="P200" i="7"/>
  <c r="U199" i="7" l="1"/>
  <c r="Q200" i="7" s="1"/>
  <c r="AD200" i="7"/>
  <c r="X200" i="7" s="1"/>
  <c r="S200" i="7"/>
  <c r="AC200" i="7"/>
  <c r="V200" i="7" s="1"/>
  <c r="AE200" i="7"/>
  <c r="Z200" i="7" s="1"/>
  <c r="Y200" i="7" l="1"/>
  <c r="W200" i="7"/>
  <c r="T200" i="7"/>
  <c r="P201" i="7" s="1"/>
  <c r="AA200" i="7"/>
  <c r="R201" i="7"/>
  <c r="U200" i="7" l="1"/>
  <c r="S201" i="7" s="1"/>
  <c r="Q201" i="7"/>
  <c r="AD201" i="7" s="1"/>
  <c r="X201" i="7" s="1"/>
  <c r="AC201" i="7" l="1"/>
  <c r="V201" i="7" s="1"/>
  <c r="AE201" i="7"/>
  <c r="Z201" i="7" s="1"/>
  <c r="Y201" i="7"/>
  <c r="T201" i="7" l="1"/>
  <c r="R202" i="7" s="1"/>
  <c r="W201" i="7"/>
  <c r="AA201" i="7"/>
  <c r="U201" i="7" l="1"/>
  <c r="Q202" i="7" s="1"/>
  <c r="P202" i="7"/>
  <c r="AE202" i="7" l="1"/>
  <c r="AA202" i="7" s="1"/>
  <c r="AD202" i="7"/>
  <c r="X202" i="7" s="1"/>
  <c r="S202" i="7"/>
  <c r="AC202" i="7"/>
  <c r="V202" i="7" s="1"/>
  <c r="Z202" i="7"/>
  <c r="Y202" i="7" l="1"/>
  <c r="T202" i="7"/>
  <c r="W202" i="7"/>
  <c r="U202" i="7" s="1"/>
  <c r="Q203" i="7" s="1"/>
  <c r="R203" i="7"/>
  <c r="P203" i="7"/>
  <c r="S203" i="7" l="1"/>
  <c r="AC203" i="7"/>
  <c r="W203" i="7" s="1"/>
  <c r="AD203" i="7"/>
  <c r="Y203" i="7" s="1"/>
  <c r="AE203" i="7"/>
  <c r="AA203" i="7" s="1"/>
  <c r="V203" i="7" l="1"/>
  <c r="Z203" i="7"/>
  <c r="X203" i="7"/>
  <c r="U203" i="7"/>
  <c r="T203" i="7" l="1"/>
  <c r="P204" i="7" s="1"/>
  <c r="S204" i="7"/>
  <c r="Q204" i="7"/>
  <c r="R204" i="7" l="1"/>
  <c r="AE204" i="7"/>
  <c r="AA204" i="7" s="1"/>
  <c r="AC204" i="7"/>
  <c r="W204" i="7" s="1"/>
  <c r="AD204" i="7"/>
  <c r="Y204" i="7" s="1"/>
  <c r="V204" i="7" l="1"/>
  <c r="X204" i="7"/>
  <c r="U204" i="7"/>
  <c r="S205" i="7" s="1"/>
  <c r="Z204" i="7"/>
  <c r="Q205" i="7" l="1"/>
  <c r="T204" i="7"/>
  <c r="R205" i="7" s="1"/>
  <c r="P205" i="7" l="1"/>
  <c r="AC205" i="7" s="1"/>
  <c r="W205" i="7" s="1"/>
  <c r="AE205" i="7" l="1"/>
  <c r="AA205" i="7" s="1"/>
  <c r="AD205" i="7"/>
  <c r="Y205" i="7" s="1"/>
  <c r="V205" i="7"/>
  <c r="X205" i="7" l="1"/>
  <c r="U205" i="7"/>
  <c r="S206" i="7" s="1"/>
  <c r="Z205" i="7"/>
  <c r="T205" i="7" l="1"/>
  <c r="R206" i="7" s="1"/>
  <c r="Q206" i="7"/>
  <c r="P206" i="7" l="1"/>
  <c r="AC206" i="7" s="1"/>
  <c r="W206" i="7" s="1"/>
  <c r="AD206" i="7" l="1"/>
  <c r="Y206" i="7" s="1"/>
  <c r="AE206" i="7"/>
  <c r="AA206" i="7" s="1"/>
  <c r="V206" i="7"/>
  <c r="X206" i="7" l="1"/>
  <c r="Z206" i="7"/>
  <c r="U206" i="7"/>
  <c r="Q207" i="7" s="1"/>
  <c r="S207" i="7" l="1"/>
  <c r="T206" i="7"/>
  <c r="R207" i="7" s="1"/>
  <c r="P207" i="7" l="1"/>
  <c r="AE207" i="7" s="1"/>
  <c r="AA207" i="7" s="1"/>
  <c r="AD207" i="7" l="1"/>
  <c r="Y207" i="7" s="1"/>
  <c r="Z207" i="7"/>
  <c r="AC207" i="7"/>
  <c r="W207" i="7" s="1"/>
  <c r="U207" i="7" s="1"/>
  <c r="S208" i="7" s="1"/>
  <c r="X207" i="7"/>
  <c r="V207" i="7" l="1"/>
  <c r="T207" i="7" s="1"/>
  <c r="R208" i="7" s="1"/>
  <c r="Q208" i="7"/>
  <c r="P208" i="7" l="1"/>
  <c r="AD208" i="7" s="1"/>
  <c r="Y208" i="7" s="1"/>
  <c r="AC208" i="7"/>
  <c r="W208" i="7" s="1"/>
  <c r="AE208" i="7"/>
  <c r="AA208" i="7" s="1"/>
  <c r="X208" i="7" l="1"/>
  <c r="Z208" i="7"/>
  <c r="V208" i="7"/>
  <c r="U208" i="7"/>
  <c r="S209" i="7" s="1"/>
  <c r="Q209" i="7" l="1"/>
  <c r="T208" i="7"/>
  <c r="P209" i="7" s="1"/>
  <c r="AD209" i="7" l="1"/>
  <c r="Y209" i="7" s="1"/>
  <c r="AE209" i="7"/>
  <c r="AA209" i="7" s="1"/>
  <c r="AC209" i="7"/>
  <c r="V209" i="7" s="1"/>
  <c r="R209" i="7"/>
  <c r="Z209" i="7" l="1"/>
  <c r="X209" i="7"/>
  <c r="W209" i="7"/>
  <c r="U209" i="7" s="1"/>
  <c r="T209" i="7" l="1"/>
  <c r="R210" i="7" s="1"/>
  <c r="S210" i="7"/>
  <c r="Q210" i="7"/>
  <c r="P210" i="7" l="1"/>
  <c r="AC210" i="7" s="1"/>
  <c r="V210" i="7" s="1"/>
  <c r="AE210" i="7" l="1"/>
  <c r="Z210" i="7" s="1"/>
  <c r="AD210" i="7"/>
  <c r="X210" i="7" s="1"/>
  <c r="W210" i="7"/>
  <c r="AA210" i="7" l="1"/>
  <c r="T210" i="7"/>
  <c r="R211" i="7" s="1"/>
  <c r="Y210" i="7"/>
  <c r="U210" i="7" s="1"/>
  <c r="S211" i="7" s="1"/>
  <c r="P211" i="7"/>
  <c r="Q211" i="7" l="1"/>
  <c r="AE211" i="7" s="1"/>
  <c r="Z211" i="7" s="1"/>
  <c r="AC211" i="7" l="1"/>
  <c r="V211" i="7" s="1"/>
  <c r="AD211" i="7"/>
  <c r="X211" i="7" s="1"/>
  <c r="AA211" i="7"/>
  <c r="W211" i="7" l="1"/>
  <c r="T211" i="7"/>
  <c r="P212" i="7" s="1"/>
  <c r="Y211" i="7"/>
  <c r="R212" i="7" l="1"/>
  <c r="U211" i="7"/>
  <c r="S212" i="7" s="1"/>
  <c r="Q212" i="7" l="1"/>
  <c r="AC212" i="7" s="1"/>
  <c r="V212" i="7" s="1"/>
  <c r="AD212" i="7" l="1"/>
  <c r="X212" i="7" s="1"/>
  <c r="W212" i="7"/>
  <c r="AE212" i="7"/>
  <c r="Z212" i="7" s="1"/>
  <c r="Y212" i="7" l="1"/>
  <c r="AA212" i="7"/>
  <c r="U212" i="7" s="1"/>
  <c r="S213" i="7" s="1"/>
  <c r="T212" i="7"/>
  <c r="R213" i="7" s="1"/>
  <c r="P213" i="7" l="1"/>
  <c r="Q213" i="7"/>
  <c r="AC213" i="7" l="1"/>
  <c r="V213" i="7" s="1"/>
  <c r="AD213" i="7"/>
  <c r="X213" i="7" s="1"/>
  <c r="AE213" i="7"/>
  <c r="AA213" i="7" s="1"/>
  <c r="W213" i="7"/>
  <c r="Y213" i="7" l="1"/>
  <c r="U213" i="7" s="1"/>
  <c r="S214" i="7" s="1"/>
  <c r="Z213" i="7"/>
  <c r="T213" i="7" s="1"/>
  <c r="P214" i="7" s="1"/>
  <c r="Q214" i="7" l="1"/>
  <c r="AC214" i="7" s="1"/>
  <c r="W214" i="7" s="1"/>
  <c r="R214" i="7"/>
  <c r="AD214" i="7"/>
  <c r="Y214" i="7" s="1"/>
  <c r="X214" i="7" l="1"/>
  <c r="AE214" i="7"/>
  <c r="AA214" i="7" s="1"/>
  <c r="U214" i="7" s="1"/>
  <c r="S215" i="7" s="1"/>
  <c r="V214" i="7"/>
  <c r="Z214" i="7" l="1"/>
  <c r="T214" i="7" s="1"/>
  <c r="Q215" i="7"/>
  <c r="R215" i="7" l="1"/>
  <c r="P215" i="7"/>
  <c r="AE215" i="7" s="1"/>
  <c r="AA215" i="7" s="1"/>
  <c r="AC215" i="7" l="1"/>
  <c r="W215" i="7" s="1"/>
  <c r="AD215" i="7"/>
  <c r="Y215" i="7" s="1"/>
  <c r="U215" i="7" s="1"/>
  <c r="S216" i="7" s="1"/>
  <c r="Z215" i="7"/>
  <c r="X215" i="7"/>
  <c r="V215" i="7" l="1"/>
  <c r="Q216" i="7"/>
  <c r="T215" i="7"/>
  <c r="P216" i="7" l="1"/>
  <c r="R216" i="7"/>
  <c r="AC216" i="7" l="1"/>
  <c r="W216" i="7" s="1"/>
  <c r="AD216" i="7"/>
  <c r="Y216" i="7" s="1"/>
  <c r="AE216" i="7"/>
  <c r="AA216" i="7" s="1"/>
  <c r="V216" i="7" l="1"/>
  <c r="X216" i="7"/>
  <c r="Z216" i="7"/>
  <c r="U216" i="7"/>
  <c r="T216" i="7" l="1"/>
  <c r="R217" i="7" s="1"/>
  <c r="S217" i="7"/>
  <c r="Q217" i="7"/>
  <c r="P217" i="7" l="1"/>
  <c r="AC217" i="7" s="1"/>
  <c r="W217" i="7" s="1"/>
  <c r="AD217" i="7" l="1"/>
  <c r="Y217" i="7" s="1"/>
  <c r="AE217" i="7"/>
  <c r="AA217" i="7" s="1"/>
  <c r="V217" i="7"/>
  <c r="X217" i="7" l="1"/>
  <c r="U217" i="7"/>
  <c r="S218" i="7" s="1"/>
  <c r="Z217" i="7"/>
  <c r="Q218" i="7" l="1"/>
  <c r="T217" i="7"/>
  <c r="P218" i="7" s="1"/>
  <c r="R218" i="7" l="1"/>
  <c r="AE218" i="7"/>
  <c r="AA218" i="7" s="1"/>
  <c r="AC218" i="7"/>
  <c r="W218" i="7" s="1"/>
  <c r="AD218" i="7"/>
  <c r="Y218" i="7" s="1"/>
  <c r="Z218" i="7" l="1"/>
  <c r="V218" i="7"/>
  <c r="X218" i="7"/>
  <c r="U218" i="7"/>
  <c r="T218" i="7" l="1"/>
  <c r="R219" i="7" s="1"/>
  <c r="S219" i="7"/>
  <c r="Q219" i="7"/>
  <c r="P219" i="7" l="1"/>
  <c r="AD219" i="7" s="1"/>
  <c r="X219" i="7" s="1"/>
  <c r="AE219" i="7" l="1"/>
  <c r="AA219" i="7" s="1"/>
  <c r="AC219" i="7"/>
  <c r="W219" i="7" s="1"/>
  <c r="Y219" i="7"/>
  <c r="V219" i="7" l="1"/>
  <c r="Z219" i="7"/>
  <c r="U219" i="7"/>
  <c r="S220" i="7" s="1"/>
  <c r="Q220" i="7" l="1"/>
  <c r="T219" i="7"/>
  <c r="P220" i="7" s="1"/>
  <c r="AD220" i="7" s="1"/>
  <c r="Y220" i="7" s="1"/>
  <c r="R220" i="7" l="1"/>
  <c r="AC220" i="7"/>
  <c r="W220" i="7" s="1"/>
  <c r="AE220" i="7"/>
  <c r="AA220" i="7" s="1"/>
  <c r="U220" i="7" s="1"/>
  <c r="X220" i="7"/>
  <c r="Z220" i="7" l="1"/>
  <c r="V220" i="7"/>
  <c r="T220" i="7" s="1"/>
  <c r="P221" i="7" s="1"/>
  <c r="Q221" i="7"/>
  <c r="S221" i="7"/>
  <c r="R221" i="7" l="1"/>
  <c r="AD221" i="7"/>
  <c r="Y221" i="7" s="1"/>
  <c r="AE221" i="7"/>
  <c r="AA221" i="7" s="1"/>
  <c r="AC221" i="7"/>
  <c r="W221" i="7" s="1"/>
  <c r="V221" i="7" l="1"/>
  <c r="Z221" i="7"/>
  <c r="U221" i="7"/>
  <c r="X221" i="7"/>
  <c r="T221" i="7" l="1"/>
  <c r="R222" i="7" s="1"/>
  <c r="S222" i="7"/>
  <c r="Q222" i="7"/>
  <c r="P222" i="7" l="1"/>
  <c r="AD222" i="7" s="1"/>
  <c r="Y222" i="7" s="1"/>
  <c r="AC222" i="7" l="1"/>
  <c r="W222" i="7" s="1"/>
  <c r="AE222" i="7"/>
  <c r="AA222" i="7" s="1"/>
  <c r="X222" i="7"/>
  <c r="V222" i="7" l="1"/>
  <c r="Z222" i="7"/>
  <c r="U222" i="7"/>
  <c r="S223" i="7" s="1"/>
  <c r="Q223" i="7" l="1"/>
  <c r="T222" i="7"/>
  <c r="R223" i="7" s="1"/>
  <c r="P223" i="7" l="1"/>
  <c r="AE223" i="7" s="1"/>
  <c r="AA223" i="7" s="1"/>
  <c r="AD223" i="7" l="1"/>
  <c r="X223" i="7" s="1"/>
  <c r="AC223" i="7"/>
  <c r="W223" i="7" s="1"/>
  <c r="Z223" i="7"/>
  <c r="Y223" i="7" l="1"/>
  <c r="U223" i="7" s="1"/>
  <c r="V223" i="7"/>
  <c r="T223" i="7" s="1"/>
  <c r="Q224" i="7" l="1"/>
  <c r="S224" i="7"/>
  <c r="P224" i="7"/>
  <c r="R224" i="7"/>
  <c r="AC224" i="7" l="1"/>
  <c r="W224" i="7" s="1"/>
  <c r="AE224" i="7"/>
  <c r="AA224" i="7" s="1"/>
  <c r="AD224" i="7"/>
  <c r="Y224" i="7" s="1"/>
  <c r="V224" i="7" l="1"/>
  <c r="Z224" i="7"/>
  <c r="X224" i="7"/>
  <c r="U224" i="7"/>
  <c r="T224" i="7" l="1"/>
  <c r="R225" i="7" s="1"/>
  <c r="S225" i="7"/>
  <c r="Q225" i="7"/>
  <c r="P225" i="7" l="1"/>
  <c r="AE225" i="7" s="1"/>
  <c r="AA225" i="7" s="1"/>
  <c r="AC225" i="7" l="1"/>
  <c r="W225" i="7" s="1"/>
  <c r="AD225" i="7"/>
  <c r="Y225" i="7" s="1"/>
  <c r="Z225" i="7"/>
  <c r="V225" i="7" l="1"/>
  <c r="X225" i="7"/>
  <c r="U225" i="7"/>
  <c r="S226" i="7" s="1"/>
  <c r="T225" i="7" l="1"/>
  <c r="Q226" i="7"/>
  <c r="R226" i="7"/>
  <c r="P226" i="7"/>
  <c r="AC226" i="7" l="1"/>
  <c r="W226" i="7" s="1"/>
  <c r="AE226" i="7"/>
  <c r="AD226" i="7"/>
  <c r="Y226" i="7" s="1"/>
  <c r="V226" i="7" l="1"/>
  <c r="X226" i="7"/>
  <c r="Z226" i="7"/>
  <c r="AA226" i="7"/>
  <c r="U226" i="7" s="1"/>
  <c r="T226" i="7" l="1"/>
  <c r="R227" i="7" s="1"/>
  <c r="S227" i="7"/>
  <c r="Q227" i="7"/>
  <c r="P227" i="7" l="1"/>
  <c r="AD227" i="7" s="1"/>
  <c r="X227" i="7" s="1"/>
  <c r="AE227" i="7" l="1"/>
  <c r="Z227" i="7" s="1"/>
  <c r="AC227" i="7"/>
  <c r="V227" i="7" s="1"/>
  <c r="Y227" i="7"/>
  <c r="T227" i="7" l="1"/>
  <c r="P228" i="7" s="1"/>
  <c r="AA227" i="7"/>
  <c r="W227" i="7"/>
  <c r="R228" i="7"/>
  <c r="U227" i="7" l="1"/>
  <c r="S228" i="7" s="1"/>
  <c r="Q228" i="7" l="1"/>
  <c r="AC228" i="7" s="1"/>
  <c r="V228" i="7" s="1"/>
  <c r="AD228" i="7"/>
  <c r="X228" i="7" s="1"/>
  <c r="AE228" i="7"/>
  <c r="Z228" i="7" s="1"/>
  <c r="W228" i="7"/>
  <c r="T228" i="7" l="1"/>
  <c r="R229" i="7" s="1"/>
  <c r="Y228" i="7"/>
  <c r="AA228" i="7"/>
  <c r="U228" i="7" l="1"/>
  <c r="S229" i="7" s="1"/>
  <c r="P229" i="7"/>
  <c r="Q229" i="7" l="1"/>
  <c r="AE229" i="7" s="1"/>
  <c r="AA229" i="7" s="1"/>
  <c r="AD229" i="7"/>
  <c r="Y229" i="7" s="1"/>
  <c r="Z229" i="7" l="1"/>
  <c r="AC229" i="7"/>
  <c r="V229" i="7" s="1"/>
  <c r="X229" i="7"/>
  <c r="T229" i="7" l="1"/>
  <c r="R230" i="7" s="1"/>
  <c r="W229" i="7"/>
  <c r="U229" i="7" s="1"/>
  <c r="S230" i="7" s="1"/>
  <c r="P230" i="7"/>
  <c r="Q230" i="7" l="1"/>
  <c r="AD230" i="7" s="1"/>
  <c r="AC230" i="7"/>
  <c r="W230" i="7" s="1"/>
  <c r="AE230" i="7" l="1"/>
  <c r="Z230" i="7" s="1"/>
  <c r="X230" i="7"/>
  <c r="Y230" i="7"/>
  <c r="AA230" i="7"/>
  <c r="U230" i="7" s="1"/>
  <c r="V230" i="7"/>
  <c r="T230" i="7" s="1"/>
  <c r="R231" i="7" s="1"/>
  <c r="S231" i="7" l="1"/>
  <c r="Q231" i="7"/>
  <c r="P231" i="7"/>
  <c r="AC231" i="7" l="1"/>
  <c r="V231" i="7" s="1"/>
  <c r="AE231" i="7"/>
  <c r="Z231" i="7" s="1"/>
  <c r="AD231" i="7"/>
  <c r="X231" i="7" s="1"/>
  <c r="W231" i="7" l="1"/>
  <c r="AA231" i="7"/>
  <c r="Y231" i="7"/>
  <c r="T231" i="7"/>
  <c r="U231" i="7" l="1"/>
  <c r="Q232" i="7" s="1"/>
  <c r="P232" i="7"/>
  <c r="R232" i="7"/>
  <c r="S232" i="7" l="1"/>
  <c r="AE232" i="7"/>
  <c r="AC232" i="7"/>
  <c r="AD232" i="7"/>
  <c r="X232" i="7" l="1"/>
  <c r="Y232" i="7"/>
  <c r="V232" i="7"/>
  <c r="W232" i="7"/>
  <c r="Z232" i="7"/>
  <c r="AA232" i="7"/>
  <c r="U232" i="7" l="1"/>
  <c r="S233" i="7" s="1"/>
  <c r="T232" i="7"/>
  <c r="Q233" i="7" l="1"/>
  <c r="R233" i="7"/>
  <c r="P233" i="7"/>
  <c r="AC233" i="7" l="1"/>
  <c r="AD233" i="7"/>
  <c r="AE233" i="7"/>
  <c r="AA233" i="7" s="1"/>
  <c r="Z233" i="7" l="1"/>
  <c r="X233" i="7"/>
  <c r="Y233" i="7"/>
  <c r="V233" i="7"/>
  <c r="W233" i="7"/>
  <c r="T233" i="7" l="1"/>
  <c r="P234" i="7" s="1"/>
  <c r="U233" i="7"/>
  <c r="R234" i="7" l="1"/>
  <c r="S234" i="7"/>
  <c r="Q234" i="7"/>
  <c r="AD234" i="7" s="1"/>
  <c r="X234" i="7" s="1"/>
  <c r="AC234" i="7" l="1"/>
  <c r="V234" i="7" s="1"/>
  <c r="AE234" i="7"/>
  <c r="Z234" i="7" s="1"/>
  <c r="Y234" i="7"/>
  <c r="W234" i="7" l="1"/>
  <c r="T234" i="7"/>
  <c r="R235" i="7" s="1"/>
  <c r="AA234" i="7"/>
  <c r="U234" i="7" l="1"/>
  <c r="Q235" i="7" s="1"/>
  <c r="P235" i="7"/>
  <c r="S235" i="7" l="1"/>
  <c r="AC235" i="7"/>
  <c r="V235" i="7" s="1"/>
  <c r="AD235" i="7"/>
  <c r="X235" i="7" s="1"/>
  <c r="AE235" i="7"/>
  <c r="Z235" i="7" s="1"/>
  <c r="AA235" i="7" l="1"/>
  <c r="Y235" i="7"/>
  <c r="W235" i="7"/>
  <c r="T235" i="7"/>
  <c r="P236" i="7" l="1"/>
  <c r="R236" i="7"/>
  <c r="U235" i="7"/>
  <c r="S236" i="7" l="1"/>
  <c r="Q236" i="7"/>
  <c r="AE236" i="7" s="1"/>
  <c r="Z236" i="7" s="1"/>
  <c r="AC236" i="7" l="1"/>
  <c r="V236" i="7" s="1"/>
  <c r="AA236" i="7"/>
  <c r="AD236" i="7"/>
  <c r="X236" i="7" s="1"/>
  <c r="T236" i="7" l="1"/>
  <c r="R237" i="7" s="1"/>
  <c r="W236" i="7"/>
  <c r="Y236" i="7"/>
  <c r="P237" i="7" l="1"/>
  <c r="U236" i="7"/>
  <c r="S237" i="7" s="1"/>
  <c r="Q237" i="7" l="1"/>
  <c r="AC237" i="7" s="1"/>
  <c r="V237" i="7" s="1"/>
  <c r="AE237" i="7" l="1"/>
  <c r="Z237" i="7" s="1"/>
  <c r="AD237" i="7"/>
  <c r="X237" i="7" s="1"/>
  <c r="W237" i="7"/>
  <c r="T237" i="7" l="1"/>
  <c r="P238" i="7" s="1"/>
  <c r="AA237" i="7"/>
  <c r="Y237" i="7"/>
  <c r="R238" i="7" l="1"/>
  <c r="U237" i="7"/>
  <c r="S238" i="7" s="1"/>
  <c r="Q238" i="7" l="1"/>
  <c r="AD238" i="7" s="1"/>
  <c r="X238" i="7" s="1"/>
  <c r="AC238" i="7"/>
  <c r="V238" i="7" s="1"/>
  <c r="AE238" i="7"/>
  <c r="Z238" i="7" s="1"/>
  <c r="Y238" i="7"/>
  <c r="T238" i="7" l="1"/>
  <c r="R239" i="7" s="1"/>
  <c r="W238" i="7"/>
  <c r="AA238" i="7"/>
  <c r="P239" i="7" l="1"/>
  <c r="U238" i="7"/>
  <c r="S239" i="7" s="1"/>
  <c r="Q239" i="7" l="1"/>
  <c r="AD239" i="7" s="1"/>
  <c r="X239" i="7" s="1"/>
  <c r="AC239" i="7"/>
  <c r="V239" i="7" s="1"/>
  <c r="AE239" i="7" l="1"/>
  <c r="Z239" i="7" s="1"/>
  <c r="Y239" i="7"/>
  <c r="AA239" i="7"/>
  <c r="T239" i="7"/>
  <c r="R240" i="7" s="1"/>
  <c r="W239" i="7"/>
  <c r="U239" i="7" l="1"/>
  <c r="S240" i="7" s="1"/>
  <c r="P240" i="7"/>
  <c r="Q240" i="7" l="1"/>
  <c r="AC240" i="7" s="1"/>
  <c r="V240" i="7" s="1"/>
  <c r="AE240" i="7" l="1"/>
  <c r="Z240" i="7" s="1"/>
  <c r="AD240" i="7"/>
  <c r="X240" i="7" s="1"/>
  <c r="W240" i="7"/>
  <c r="AA240" i="7"/>
  <c r="T240" i="7" l="1"/>
  <c r="R241" i="7" s="1"/>
  <c r="Y240" i="7"/>
  <c r="U240" i="7" s="1"/>
  <c r="S241" i="7" s="1"/>
  <c r="P241" i="7" l="1"/>
  <c r="Q241" i="7"/>
  <c r="AC241" i="7" s="1"/>
  <c r="V241" i="7" s="1"/>
  <c r="W241" i="7" l="1"/>
  <c r="AE241" i="7"/>
  <c r="Z241" i="7" s="1"/>
  <c r="AD241" i="7"/>
  <c r="X241" i="7" s="1"/>
  <c r="Y241" i="7" l="1"/>
  <c r="T241" i="7"/>
  <c r="P242" i="7" s="1"/>
  <c r="AA241" i="7"/>
  <c r="R242" i="7" l="1"/>
  <c r="U241" i="7"/>
  <c r="S242" i="7" s="1"/>
  <c r="Q242" i="7" l="1"/>
  <c r="AC242" i="7" s="1"/>
  <c r="W242" i="7" s="1"/>
  <c r="AE242" i="7"/>
  <c r="AA242" i="7" s="1"/>
  <c r="V242" i="7" l="1"/>
  <c r="AD242" i="7"/>
  <c r="Y242" i="7" s="1"/>
  <c r="U242" i="7" s="1"/>
  <c r="Q243" i="7" s="1"/>
  <c r="Z242" i="7"/>
  <c r="X242" i="7" l="1"/>
  <c r="T242" i="7" s="1"/>
  <c r="S243" i="7"/>
  <c r="R243" i="7" l="1"/>
  <c r="P243" i="7"/>
  <c r="AC243" i="7" s="1"/>
  <c r="V243" i="7" s="1"/>
  <c r="AD243" i="7"/>
  <c r="Y243" i="7" s="1"/>
  <c r="AE243" i="7"/>
  <c r="AA243" i="7" s="1"/>
  <c r="W243" i="7" l="1"/>
  <c r="U243" i="7" s="1"/>
  <c r="S244" i="7" s="1"/>
  <c r="Z243" i="7"/>
  <c r="X243" i="7"/>
  <c r="T243" i="7" l="1"/>
  <c r="R244" i="7" s="1"/>
  <c r="Q244" i="7"/>
  <c r="P244" i="7"/>
  <c r="AD244" i="7" s="1"/>
  <c r="X244" i="7" s="1"/>
  <c r="AC244" i="7" l="1"/>
  <c r="V244" i="7" s="1"/>
  <c r="AE244" i="7"/>
  <c r="Z244" i="7" s="1"/>
  <c r="Y244" i="7"/>
  <c r="T244" i="7" l="1"/>
  <c r="P245" i="7" s="1"/>
  <c r="W244" i="7"/>
  <c r="AA244" i="7"/>
  <c r="R245" i="7"/>
  <c r="U244" i="7" l="1"/>
  <c r="S245" i="7" s="1"/>
  <c r="Q245" i="7" l="1"/>
  <c r="AD245" i="7" s="1"/>
  <c r="X245" i="7" s="1"/>
  <c r="AC245" i="7" l="1"/>
  <c r="AE245" i="7"/>
  <c r="Y245" i="7"/>
  <c r="Z245" i="7" l="1"/>
  <c r="AA245" i="7"/>
  <c r="W245" i="7"/>
  <c r="V245" i="7"/>
  <c r="T245" i="7" l="1"/>
  <c r="U245" i="7"/>
  <c r="S246" i="7" s="1"/>
  <c r="Q246" i="7" l="1"/>
  <c r="R246" i="7"/>
  <c r="P246" i="7"/>
  <c r="AC246" i="7" l="1"/>
  <c r="AE246" i="7"/>
  <c r="AD246" i="7"/>
  <c r="Z246" i="7" l="1"/>
  <c r="AA246" i="7"/>
  <c r="X246" i="7"/>
  <c r="Y246" i="7"/>
  <c r="V246" i="7"/>
  <c r="W246" i="7"/>
  <c r="U246" i="7" l="1"/>
  <c r="S247" i="7" s="1"/>
  <c r="Q247" i="7"/>
  <c r="T246" i="7"/>
  <c r="P247" i="7" l="1"/>
  <c r="R247" i="7"/>
  <c r="AE247" i="7" l="1"/>
  <c r="AD247" i="7"/>
  <c r="AC247" i="7"/>
  <c r="V247" i="7" l="1"/>
  <c r="W247" i="7"/>
  <c r="X247" i="7"/>
  <c r="Y247" i="7"/>
  <c r="Z247" i="7"/>
  <c r="AA247" i="7"/>
  <c r="T247" i="7" l="1"/>
  <c r="R248" i="7" s="1"/>
  <c r="U247" i="7"/>
  <c r="P248" i="7" l="1"/>
  <c r="S248" i="7"/>
  <c r="Q248" i="7"/>
  <c r="AD248" i="7" l="1"/>
  <c r="AC248" i="7"/>
  <c r="AE248" i="7"/>
  <c r="V248" i="7" l="1"/>
  <c r="W248" i="7"/>
  <c r="AA248" i="7"/>
  <c r="Z248" i="7"/>
  <c r="Y248" i="7"/>
  <c r="X248" i="7"/>
  <c r="T248" i="7" l="1"/>
  <c r="U248" i="7"/>
  <c r="S249" i="7" l="1"/>
  <c r="Q249" i="7"/>
  <c r="R249" i="7"/>
  <c r="P249" i="7"/>
  <c r="AC249" i="7" l="1"/>
  <c r="V249" i="7" s="1"/>
  <c r="AE249" i="7"/>
  <c r="AA249" i="7" s="1"/>
  <c r="AD249" i="7"/>
  <c r="X249" i="7" s="1"/>
  <c r="W249" i="7" l="1"/>
  <c r="Y249" i="7"/>
  <c r="U249" i="7" s="1"/>
  <c r="Z249" i="7"/>
  <c r="T249" i="7" s="1"/>
  <c r="P250" i="7" l="1"/>
  <c r="R250" i="7"/>
  <c r="Q250" i="7"/>
  <c r="S250" i="7"/>
  <c r="AE250" i="7" l="1"/>
  <c r="AA250" i="7" s="1"/>
  <c r="AC250" i="7"/>
  <c r="W250" i="7" s="1"/>
  <c r="AD250" i="7"/>
  <c r="X250" i="7" s="1"/>
  <c r="Z250" i="7"/>
  <c r="V250" i="7" l="1"/>
  <c r="T250" i="7" s="1"/>
  <c r="P251" i="7" s="1"/>
  <c r="Y250" i="7"/>
  <c r="U250" i="7" s="1"/>
  <c r="R251" i="7" l="1"/>
  <c r="S251" i="7"/>
  <c r="Q251" i="7"/>
  <c r="AD251" i="7" s="1"/>
  <c r="Y251" i="7" l="1"/>
  <c r="X251" i="7"/>
  <c r="AC251" i="7"/>
  <c r="AE251" i="7"/>
  <c r="W251" i="7" l="1"/>
  <c r="V251" i="7"/>
  <c r="AA251" i="7"/>
  <c r="Z251" i="7"/>
  <c r="T251" i="7" l="1"/>
  <c r="U251" i="7"/>
  <c r="S252" i="7" l="1"/>
  <c r="Q252" i="7"/>
  <c r="R252" i="7"/>
  <c r="P252" i="7"/>
  <c r="AC252" i="7" l="1"/>
  <c r="W252" i="7" s="1"/>
  <c r="AE252" i="7"/>
  <c r="AA252" i="7" s="1"/>
  <c r="AD252" i="7"/>
  <c r="Y252" i="7" s="1"/>
  <c r="V252" i="7" l="1"/>
  <c r="X252" i="7"/>
  <c r="Z252" i="7"/>
  <c r="U252" i="7"/>
  <c r="T252" i="7" l="1"/>
  <c r="R253" i="7" s="1"/>
  <c r="S253" i="7"/>
  <c r="Q253" i="7"/>
  <c r="P253" i="7"/>
  <c r="AC253" i="7" l="1"/>
  <c r="W253" i="7" s="1"/>
  <c r="AD253" i="7"/>
  <c r="AE253" i="7"/>
  <c r="AA253" i="7" l="1"/>
  <c r="Z253" i="7"/>
  <c r="Y253" i="7"/>
  <c r="U253" i="7" s="1"/>
  <c r="X253" i="7"/>
  <c r="V253" i="7"/>
  <c r="T253" i="7" l="1"/>
  <c r="P254" i="7" s="1"/>
  <c r="S254" i="7"/>
  <c r="Q254" i="7"/>
  <c r="R254" i="7"/>
  <c r="AC254" i="7" l="1"/>
  <c r="W254" i="7" s="1"/>
  <c r="AE254" i="7"/>
  <c r="AD254" i="7"/>
  <c r="V254" i="7" l="1"/>
  <c r="AA254" i="7"/>
  <c r="Z254" i="7"/>
  <c r="Y254" i="7"/>
  <c r="X254" i="7"/>
  <c r="U254" i="7" l="1"/>
  <c r="Q255" i="7" s="1"/>
  <c r="T254" i="7"/>
  <c r="R255" i="7" s="1"/>
  <c r="S255" i="7" l="1"/>
  <c r="P255" i="7"/>
  <c r="AC255" i="7" s="1"/>
  <c r="W255" i="7" s="1"/>
  <c r="AD255" i="7"/>
  <c r="Y255" i="7" s="1"/>
  <c r="V255" i="7" l="1"/>
  <c r="AE255" i="7"/>
  <c r="Z255" i="7" s="1"/>
  <c r="X255" i="7"/>
  <c r="T255" i="7" l="1"/>
  <c r="R256" i="7" s="1"/>
  <c r="AA255" i="7"/>
  <c r="U255" i="7" s="1"/>
  <c r="S256" i="7" s="1"/>
  <c r="P256" i="7" l="1"/>
  <c r="Q256" i="7"/>
  <c r="AC256" i="7" s="1"/>
  <c r="W256" i="7" s="1"/>
  <c r="AD256" i="7"/>
  <c r="Y256" i="7" s="1"/>
  <c r="AE256" i="7"/>
  <c r="AA256" i="7" s="1"/>
  <c r="V256" i="7" l="1"/>
  <c r="U256" i="7"/>
  <c r="Q257" i="7" s="1"/>
  <c r="X256" i="7"/>
  <c r="Z256" i="7"/>
  <c r="T256" i="7" l="1"/>
  <c r="P257" i="7"/>
  <c r="R257" i="7"/>
  <c r="S257" i="7"/>
  <c r="AC257" i="7" l="1"/>
  <c r="AD257" i="7"/>
  <c r="AE257" i="7"/>
  <c r="Y257" i="7" l="1"/>
  <c r="X257" i="7"/>
  <c r="AA257" i="7"/>
  <c r="Z257" i="7"/>
  <c r="W257" i="7"/>
  <c r="V257" i="7"/>
  <c r="T257" i="7" l="1"/>
  <c r="U257" i="7"/>
  <c r="R258" i="7"/>
  <c r="P258" i="7"/>
  <c r="Q258" i="7"/>
  <c r="S258" i="7"/>
  <c r="AD258" i="7" l="1"/>
  <c r="X258" i="7" s="1"/>
  <c r="AE258" i="7"/>
  <c r="AC258" i="7"/>
  <c r="V258" i="7" l="1"/>
  <c r="W258" i="7"/>
  <c r="AA258" i="7"/>
  <c r="Z258" i="7"/>
  <c r="T258" i="7" s="1"/>
  <c r="Y258" i="7"/>
  <c r="R259" i="7" l="1"/>
  <c r="P259" i="7"/>
  <c r="U258" i="7"/>
  <c r="S259" i="7" l="1"/>
  <c r="Q259" i="7"/>
  <c r="AC259" i="7" s="1"/>
  <c r="V259" i="7" s="1"/>
  <c r="AE259" i="7" l="1"/>
  <c r="Z259" i="7" s="1"/>
  <c r="AD259" i="7"/>
  <c r="X259" i="7" s="1"/>
  <c r="T259" i="7" s="1"/>
  <c r="W259" i="7"/>
  <c r="AA259" i="7"/>
  <c r="Y259" i="7" l="1"/>
  <c r="U259" i="7" s="1"/>
  <c r="P260" i="7"/>
  <c r="R260" i="7"/>
  <c r="Q260" i="7" l="1"/>
  <c r="S260" i="7"/>
  <c r="AD260" i="7" l="1"/>
  <c r="X260" i="7" s="1"/>
  <c r="AC260" i="7"/>
  <c r="V260" i="7" s="1"/>
  <c r="AE260" i="7"/>
  <c r="Z260" i="7" s="1"/>
  <c r="T260" i="7" l="1"/>
  <c r="W260" i="7"/>
  <c r="AA260" i="7"/>
  <c r="Y260" i="7"/>
  <c r="U260" i="7" l="1"/>
  <c r="P261" i="7"/>
  <c r="R261" i="7"/>
  <c r="S261" i="7" l="1"/>
  <c r="Q261" i="7"/>
  <c r="AE261" i="7" l="1"/>
  <c r="Z261" i="7" s="1"/>
  <c r="AC261" i="7"/>
  <c r="V261" i="7" s="1"/>
  <c r="AD261" i="7"/>
  <c r="X261" i="7" s="1"/>
  <c r="T261" i="7" l="1"/>
  <c r="R262" i="7" s="1"/>
  <c r="W261" i="7"/>
  <c r="Y261" i="7"/>
  <c r="AA261" i="7"/>
  <c r="P262" i="7" l="1"/>
  <c r="U261" i="7"/>
  <c r="S262" i="7" l="1"/>
  <c r="Q262" i="7"/>
  <c r="AC262" i="7" l="1"/>
  <c r="V262" i="7" s="1"/>
  <c r="AE262" i="7"/>
  <c r="Z262" i="7" s="1"/>
  <c r="AD262" i="7"/>
  <c r="X262" i="7" s="1"/>
  <c r="AA262" i="7" l="1"/>
  <c r="Y262" i="7"/>
  <c r="W262" i="7"/>
  <c r="T262" i="7"/>
  <c r="U262" i="7" l="1"/>
  <c r="S263" i="7" s="1"/>
  <c r="P263" i="7"/>
  <c r="R263" i="7"/>
  <c r="Q263" i="7"/>
  <c r="AE263" i="7" s="1"/>
  <c r="AA263" i="7" s="1"/>
  <c r="AC263" i="7" l="1"/>
  <c r="W263" i="7" s="1"/>
  <c r="Z263" i="7"/>
  <c r="AD263" i="7"/>
  <c r="Y263" i="7" s="1"/>
  <c r="U263" i="7" l="1"/>
  <c r="Q264" i="7" s="1"/>
  <c r="V263" i="7"/>
  <c r="X263" i="7"/>
  <c r="S264" i="7"/>
  <c r="T263" i="7" l="1"/>
  <c r="P264" i="7" s="1"/>
  <c r="R264" i="7"/>
  <c r="AE264" i="7" l="1"/>
  <c r="AC264" i="7"/>
  <c r="AD264" i="7"/>
  <c r="Y264" i="7" s="1"/>
  <c r="X264" i="7" l="1"/>
  <c r="V264" i="7"/>
  <c r="W264" i="7"/>
  <c r="Z264" i="7"/>
  <c r="AA264" i="7"/>
  <c r="U264" i="7" l="1"/>
  <c r="S265" i="7" s="1"/>
  <c r="T264" i="7"/>
  <c r="Q265" i="7" l="1"/>
  <c r="P265" i="7"/>
  <c r="AC265" i="7" s="1"/>
  <c r="V265" i="7" s="1"/>
  <c r="R265" i="7"/>
  <c r="W265" i="7" l="1"/>
  <c r="AD265" i="7"/>
  <c r="Y265" i="7" s="1"/>
  <c r="AE265" i="7"/>
  <c r="Z265" i="7" l="1"/>
  <c r="AA265" i="7"/>
  <c r="U265" i="7" s="1"/>
  <c r="X265" i="7"/>
  <c r="S266" i="7" l="1"/>
  <c r="Q266" i="7"/>
  <c r="T265" i="7"/>
  <c r="R266" i="7" l="1"/>
  <c r="P266" i="7"/>
  <c r="AE266" i="7" l="1"/>
  <c r="AC266" i="7"/>
  <c r="AD266" i="7"/>
  <c r="Y266" i="7" s="1"/>
  <c r="X266" i="7" l="1"/>
  <c r="V266" i="7"/>
  <c r="W266" i="7"/>
  <c r="Z266" i="7"/>
  <c r="AA266" i="7"/>
  <c r="U266" i="7" l="1"/>
  <c r="T266" i="7"/>
  <c r="R267" i="7" l="1"/>
  <c r="P267" i="7"/>
  <c r="Q267" i="7"/>
  <c r="S267" i="7"/>
  <c r="AC267" i="7" l="1"/>
  <c r="V267" i="7" s="1"/>
  <c r="AD267" i="7"/>
  <c r="X267" i="7" s="1"/>
  <c r="AE267" i="7"/>
  <c r="Z267" i="7" s="1"/>
  <c r="T267" i="7" l="1"/>
  <c r="Y267" i="7"/>
  <c r="AA267" i="7"/>
  <c r="W267" i="7"/>
  <c r="U267" i="7" l="1"/>
  <c r="P268" i="7"/>
  <c r="R268" i="7"/>
  <c r="Q268" i="7" l="1"/>
  <c r="AD268" i="7" s="1"/>
  <c r="X268" i="7" s="1"/>
  <c r="S268" i="7"/>
  <c r="AC268" i="7" l="1"/>
  <c r="V268" i="7" s="1"/>
  <c r="Y268" i="7"/>
  <c r="AE268" i="7"/>
  <c r="Z268" i="7" s="1"/>
  <c r="W268" i="7" l="1"/>
  <c r="AA268" i="7"/>
  <c r="T268" i="7"/>
  <c r="U268" i="7" l="1"/>
  <c r="S269" i="7"/>
  <c r="Q269" i="7"/>
  <c r="R269" i="7"/>
  <c r="P269" i="7"/>
  <c r="AD269" i="7" l="1"/>
  <c r="X269" i="7" s="1"/>
  <c r="AE269" i="7"/>
  <c r="Z269" i="7" s="1"/>
  <c r="AC269" i="7"/>
  <c r="V269" i="7" s="1"/>
  <c r="Y269" i="7" l="1"/>
  <c r="T269" i="7"/>
  <c r="W269" i="7"/>
  <c r="AA269" i="7"/>
  <c r="U269" i="7" l="1"/>
  <c r="R270" i="7"/>
  <c r="P270" i="7"/>
  <c r="Q270" i="7" l="1"/>
  <c r="S270" i="7"/>
  <c r="AD270" i="7" l="1"/>
  <c r="X270" i="7" s="1"/>
  <c r="AC270" i="7"/>
  <c r="V270" i="7" s="1"/>
  <c r="AE270" i="7"/>
  <c r="Z270" i="7" s="1"/>
  <c r="T270" i="7" l="1"/>
  <c r="AA270" i="7"/>
  <c r="Y270" i="7"/>
  <c r="W270" i="7"/>
  <c r="U270" i="7" l="1"/>
  <c r="S271" i="7" s="1"/>
  <c r="Q271" i="7"/>
  <c r="P271" i="7"/>
  <c r="R271" i="7"/>
  <c r="AE271" i="7" l="1"/>
  <c r="Z271" i="7" s="1"/>
  <c r="AD271" i="7"/>
  <c r="X271" i="7" s="1"/>
  <c r="AC271" i="7"/>
  <c r="V271" i="7" s="1"/>
  <c r="AA271" i="7" l="1"/>
  <c r="Y271" i="7"/>
  <c r="T271" i="7"/>
  <c r="P272" i="7"/>
  <c r="R272" i="7"/>
  <c r="W271" i="7"/>
  <c r="U271" i="7" l="1"/>
  <c r="S272" i="7" s="1"/>
  <c r="Q272" i="7"/>
  <c r="AD272" i="7" s="1"/>
  <c r="AC272" i="7" l="1"/>
  <c r="V272" i="7" s="1"/>
  <c r="Y272" i="7"/>
  <c r="X272" i="7"/>
  <c r="AE272" i="7"/>
  <c r="Z272" i="7" s="1"/>
  <c r="T272" i="7" s="1"/>
  <c r="W272" i="7"/>
  <c r="P273" i="7" l="1"/>
  <c r="R273" i="7"/>
  <c r="AA272" i="7"/>
  <c r="U272" i="7" s="1"/>
  <c r="S273" i="7" l="1"/>
  <c r="Q273" i="7"/>
  <c r="AE273" i="7" s="1"/>
  <c r="Z273" i="7" s="1"/>
  <c r="AC273" i="7"/>
  <c r="V273" i="7" s="1"/>
  <c r="AD273" i="7" l="1"/>
  <c r="X273" i="7" s="1"/>
  <c r="T273" i="7" s="1"/>
  <c r="W273" i="7"/>
  <c r="AA273" i="7"/>
  <c r="Y273" i="7" l="1"/>
  <c r="U273" i="7" s="1"/>
  <c r="R274" i="7"/>
  <c r="P274" i="7"/>
  <c r="S274" i="7" l="1"/>
  <c r="Q274" i="7"/>
  <c r="AD274" i="7" s="1"/>
  <c r="X274" i="7" s="1"/>
  <c r="AE274" i="7" l="1"/>
  <c r="Z274" i="7" s="1"/>
  <c r="AC274" i="7"/>
  <c r="V274" i="7" s="1"/>
  <c r="T274" i="7" s="1"/>
  <c r="Y274" i="7"/>
  <c r="AA274" i="7"/>
  <c r="W274" i="7" l="1"/>
  <c r="U274" i="7" s="1"/>
  <c r="R275" i="7"/>
  <c r="P275" i="7"/>
  <c r="S275" i="7" l="1"/>
  <c r="Q275" i="7"/>
  <c r="AD275" i="7" s="1"/>
  <c r="X275" i="7" s="1"/>
  <c r="AE275" i="7"/>
  <c r="Z275" i="7" s="1"/>
  <c r="AC275" i="7" l="1"/>
  <c r="V275" i="7" s="1"/>
  <c r="T275" i="7" s="1"/>
  <c r="Y275" i="7"/>
  <c r="AA275" i="7"/>
  <c r="W275" i="7"/>
  <c r="U275" i="7" l="1"/>
  <c r="P276" i="7"/>
  <c r="R276" i="7"/>
  <c r="S276" i="7"/>
  <c r="Q276" i="7"/>
  <c r="AE276" i="7" l="1"/>
  <c r="AA276" i="7" s="1"/>
  <c r="AC276" i="7"/>
  <c r="W276" i="7" s="1"/>
  <c r="AD276" i="7"/>
  <c r="X276" i="7" s="1"/>
  <c r="Z276" i="7" l="1"/>
  <c r="V276" i="7"/>
  <c r="Y276" i="7"/>
  <c r="U276" i="7" s="1"/>
  <c r="T276" i="7" l="1"/>
  <c r="S277" i="7"/>
  <c r="Q277" i="7"/>
  <c r="R277" i="7"/>
  <c r="P277" i="7"/>
  <c r="AE277" i="7" l="1"/>
  <c r="AA277" i="7" s="1"/>
  <c r="AC277" i="7"/>
  <c r="W277" i="7" s="1"/>
  <c r="AD277" i="7"/>
  <c r="Y277" i="7" s="1"/>
  <c r="V277" i="7" l="1"/>
  <c r="Z277" i="7"/>
  <c r="X277" i="7"/>
  <c r="U277" i="7"/>
  <c r="T277" i="7" l="1"/>
  <c r="R278" i="7"/>
  <c r="P278" i="7"/>
  <c r="S278" i="7"/>
  <c r="Q278" i="7"/>
  <c r="AE278" i="7" l="1"/>
  <c r="AA278" i="7" s="1"/>
  <c r="AC278" i="7"/>
  <c r="W278" i="7" s="1"/>
  <c r="AD278" i="7"/>
  <c r="Y278" i="7" s="1"/>
  <c r="U278" i="7" l="1"/>
  <c r="S279" i="7" s="1"/>
  <c r="V278" i="7"/>
  <c r="Z278" i="7"/>
  <c r="X278" i="7"/>
  <c r="Q279" i="7" l="1"/>
  <c r="T278" i="7"/>
  <c r="R279" i="7" l="1"/>
  <c r="P279" i="7"/>
  <c r="AD279" i="7" l="1"/>
  <c r="Y279" i="7" s="1"/>
  <c r="AC279" i="7"/>
  <c r="W279" i="7" s="1"/>
  <c r="AE279" i="7"/>
  <c r="AA279" i="7" s="1"/>
  <c r="X279" i="7"/>
  <c r="V279" i="7" l="1"/>
  <c r="Z279" i="7"/>
  <c r="T279" i="7" s="1"/>
  <c r="U279" i="7"/>
  <c r="P280" i="7" l="1"/>
  <c r="R280" i="7"/>
  <c r="Q280" i="7"/>
  <c r="S280" i="7"/>
  <c r="AC280" i="7" l="1"/>
  <c r="W280" i="7" s="1"/>
  <c r="AD280" i="7"/>
  <c r="Y280" i="7" s="1"/>
  <c r="AE280" i="7"/>
  <c r="AA280" i="7" s="1"/>
  <c r="V280" i="7" l="1"/>
  <c r="X280" i="7"/>
  <c r="Z280" i="7"/>
  <c r="U280" i="7"/>
  <c r="T280" i="7" l="1"/>
  <c r="R281" i="7" s="1"/>
  <c r="Q281" i="7"/>
  <c r="S281" i="7"/>
  <c r="P281" i="7" l="1"/>
  <c r="AE281" i="7" s="1"/>
  <c r="AA281" i="7" s="1"/>
  <c r="AC281" i="7" l="1"/>
  <c r="W281" i="7" s="1"/>
  <c r="AD281" i="7"/>
  <c r="Y281" i="7" s="1"/>
  <c r="Z281" i="7"/>
  <c r="V281" i="7"/>
  <c r="U281" i="7" l="1"/>
  <c r="S282" i="7"/>
  <c r="Q282" i="7"/>
  <c r="X281" i="7"/>
  <c r="T281" i="7" s="1"/>
  <c r="R282" i="7" l="1"/>
  <c r="P282" i="7"/>
  <c r="AD282" i="7" s="1"/>
  <c r="AC282" i="7"/>
  <c r="W282" i="7" s="1"/>
  <c r="AE282" i="7"/>
  <c r="AA282" i="7" s="1"/>
  <c r="Y282" i="7" l="1"/>
  <c r="X282" i="7"/>
  <c r="V282" i="7"/>
  <c r="Z282" i="7"/>
  <c r="U282" i="7"/>
  <c r="T282" i="7" l="1"/>
  <c r="S283" i="7"/>
  <c r="Q283" i="7"/>
  <c r="P283" i="7"/>
  <c r="R283" i="7"/>
  <c r="AE283" i="7" l="1"/>
  <c r="Z283" i="7" s="1"/>
  <c r="AD283" i="7"/>
  <c r="Y283" i="7" s="1"/>
  <c r="AC283" i="7"/>
  <c r="W283" i="7" s="1"/>
  <c r="AA283" i="7" l="1"/>
  <c r="U283" i="7" s="1"/>
  <c r="X283" i="7"/>
  <c r="V283" i="7"/>
  <c r="Q284" i="7" l="1"/>
  <c r="S284" i="7"/>
  <c r="T283" i="7"/>
  <c r="R284" i="7" s="1"/>
  <c r="P284" i="7" l="1"/>
  <c r="AD284" i="7" s="1"/>
  <c r="Y284" i="7" s="1"/>
  <c r="AE284" i="7"/>
  <c r="AC284" i="7"/>
  <c r="X284" i="7" l="1"/>
  <c r="V284" i="7"/>
  <c r="W284" i="7"/>
  <c r="Z284" i="7"/>
  <c r="AA284" i="7"/>
  <c r="U284" i="7" l="1"/>
  <c r="T284" i="7"/>
  <c r="R285" i="7" l="1"/>
  <c r="P285" i="7"/>
  <c r="S285" i="7"/>
  <c r="Q285" i="7"/>
  <c r="AD285" i="7" l="1"/>
  <c r="Y285" i="7" s="1"/>
  <c r="AE285" i="7"/>
  <c r="AA285" i="7" s="1"/>
  <c r="AC285" i="7"/>
  <c r="W285" i="7" s="1"/>
  <c r="X285" i="7" l="1"/>
  <c r="Z285" i="7"/>
  <c r="V285" i="7"/>
  <c r="U285" i="7"/>
  <c r="Q286" i="7" s="1"/>
  <c r="T285" i="7" l="1"/>
  <c r="S286" i="7"/>
  <c r="P286" i="7"/>
  <c r="R286" i="7"/>
  <c r="AD286" i="7" l="1"/>
  <c r="Y286" i="7" s="1"/>
  <c r="AE286" i="7"/>
  <c r="AA286" i="7" s="1"/>
  <c r="AC286" i="7"/>
  <c r="W286" i="7" s="1"/>
  <c r="X286" i="7" l="1"/>
  <c r="U286" i="7"/>
  <c r="Z286" i="7"/>
  <c r="V286" i="7"/>
  <c r="S287" i="7"/>
  <c r="Q287" i="7"/>
  <c r="T286" i="7" l="1"/>
  <c r="R287" i="7"/>
  <c r="P287" i="7"/>
  <c r="AD287" i="7" s="1"/>
  <c r="AC287" i="7" l="1"/>
  <c r="V287" i="7" s="1"/>
  <c r="AE287" i="7"/>
  <c r="Z287" i="7" s="1"/>
  <c r="Y287" i="7"/>
  <c r="X287" i="7"/>
  <c r="AA287" i="7"/>
  <c r="W287" i="7"/>
  <c r="T287" i="7" l="1"/>
  <c r="R288" i="7" s="1"/>
  <c r="U287" i="7"/>
  <c r="P288" i="7"/>
  <c r="S288" i="7" l="1"/>
  <c r="Q288" i="7"/>
  <c r="AD288" i="7" l="1"/>
  <c r="X288" i="7" s="1"/>
  <c r="AC288" i="7"/>
  <c r="V288" i="7" s="1"/>
  <c r="AE288" i="7"/>
  <c r="Z288" i="7" s="1"/>
  <c r="T288" i="7" l="1"/>
  <c r="AA288" i="7"/>
  <c r="Y288" i="7"/>
  <c r="W288" i="7"/>
  <c r="U288" i="7" l="1"/>
  <c r="Q289" i="7" s="1"/>
  <c r="R289" i="7"/>
  <c r="P289" i="7"/>
  <c r="S289" i="7" l="1"/>
  <c r="AC289" i="7"/>
  <c r="V289" i="7" s="1"/>
  <c r="AD289" i="7"/>
  <c r="X289" i="7" s="1"/>
  <c r="AE289" i="7"/>
  <c r="Z289" i="7" s="1"/>
  <c r="W289" i="7" l="1"/>
  <c r="Y289" i="7"/>
  <c r="AA289" i="7"/>
  <c r="T289" i="7"/>
  <c r="U289" i="7" l="1"/>
  <c r="Q290" i="7"/>
  <c r="S290" i="7"/>
  <c r="R290" i="7"/>
  <c r="P290" i="7"/>
  <c r="AC290" i="7" l="1"/>
  <c r="V290" i="7" s="1"/>
  <c r="AD290" i="7"/>
  <c r="Y290" i="7" s="1"/>
  <c r="AE290" i="7"/>
  <c r="AA290" i="7" s="1"/>
  <c r="W290" i="7" l="1"/>
  <c r="U290" i="7" s="1"/>
  <c r="Z290" i="7"/>
  <c r="X290" i="7"/>
  <c r="T290" i="7" l="1"/>
  <c r="P291" i="7" s="1"/>
  <c r="Q291" i="7"/>
  <c r="S291" i="7"/>
  <c r="R291" i="7" l="1"/>
  <c r="AC291" i="7"/>
  <c r="W291" i="7" s="1"/>
  <c r="AD291" i="7"/>
  <c r="Y291" i="7" s="1"/>
  <c r="AE291" i="7"/>
  <c r="AA291" i="7" s="1"/>
  <c r="U291" i="7" l="1"/>
  <c r="S292" i="7" s="1"/>
  <c r="X291" i="7"/>
  <c r="Z291" i="7"/>
  <c r="V291" i="7"/>
  <c r="Q292" i="7" l="1"/>
  <c r="T291" i="7"/>
  <c r="R292" i="7" s="1"/>
  <c r="P292" i="7" l="1"/>
  <c r="AD292" i="7" s="1"/>
  <c r="Y292" i="7" s="1"/>
  <c r="AC292" i="7"/>
  <c r="W292" i="7" s="1"/>
  <c r="AE292" i="7" l="1"/>
  <c r="AA292" i="7" s="1"/>
  <c r="U292" i="7" s="1"/>
  <c r="V292" i="7"/>
  <c r="X292" i="7"/>
  <c r="Z292" i="7" l="1"/>
  <c r="S293" i="7"/>
  <c r="Q293" i="7"/>
  <c r="T292" i="7"/>
  <c r="R293" i="7" l="1"/>
  <c r="P293" i="7"/>
  <c r="AD293" i="7" l="1"/>
  <c r="Y293" i="7" s="1"/>
  <c r="AC293" i="7"/>
  <c r="W293" i="7" s="1"/>
  <c r="AE293" i="7"/>
  <c r="AA293" i="7" s="1"/>
  <c r="X293" i="7"/>
  <c r="U293" i="7" l="1"/>
  <c r="Z293" i="7"/>
  <c r="V293" i="7"/>
  <c r="Q294" i="7"/>
  <c r="S294" i="7"/>
  <c r="T293" i="7" l="1"/>
  <c r="R294" i="7" s="1"/>
  <c r="P294" i="7"/>
  <c r="AD294" i="7" l="1"/>
  <c r="Y294" i="7" s="1"/>
  <c r="AE294" i="7"/>
  <c r="AA294" i="7" s="1"/>
  <c r="AC294" i="7"/>
  <c r="W294" i="7" s="1"/>
  <c r="V294" i="7" l="1"/>
  <c r="Z294" i="7"/>
  <c r="U294" i="7"/>
  <c r="X294" i="7"/>
  <c r="T294" i="7" l="1"/>
  <c r="R295" i="7" s="1"/>
  <c r="P295" i="7"/>
  <c r="Q295" i="7"/>
  <c r="S295" i="7"/>
  <c r="AD295" i="7" l="1"/>
  <c r="Y295" i="7" s="1"/>
  <c r="AE295" i="7"/>
  <c r="AA295" i="7" s="1"/>
  <c r="AC295" i="7"/>
  <c r="W295" i="7" s="1"/>
  <c r="Z295" i="7" l="1"/>
  <c r="U295" i="7"/>
  <c r="Q296" i="7" s="1"/>
  <c r="V295" i="7"/>
  <c r="X295" i="7"/>
  <c r="T295" i="7" l="1"/>
  <c r="S296" i="7"/>
  <c r="P296" i="7"/>
  <c r="R296" i="7"/>
  <c r="AE296" i="7" l="1"/>
  <c r="AA296" i="7" s="1"/>
  <c r="AD296" i="7"/>
  <c r="Y296" i="7" s="1"/>
  <c r="AC296" i="7"/>
  <c r="W296" i="7" s="1"/>
  <c r="Z296" i="7" l="1"/>
  <c r="V296" i="7"/>
  <c r="X296" i="7"/>
  <c r="T296" i="7" s="1"/>
  <c r="U296" i="7"/>
  <c r="R297" i="7" l="1"/>
  <c r="P297" i="7"/>
  <c r="Q297" i="7"/>
  <c r="S297" i="7"/>
  <c r="AC297" i="7" l="1"/>
  <c r="W297" i="7" s="1"/>
  <c r="AD297" i="7"/>
  <c r="Y297" i="7" s="1"/>
  <c r="AE297" i="7"/>
  <c r="AA297" i="7" s="1"/>
  <c r="V297" i="7" l="1"/>
  <c r="X297" i="7"/>
  <c r="Z297" i="7"/>
  <c r="U297" i="7"/>
  <c r="T297" i="7" l="1"/>
  <c r="R298" i="7"/>
  <c r="P298" i="7"/>
  <c r="Q298" i="7"/>
  <c r="S298" i="7"/>
  <c r="AC298" i="7" l="1"/>
  <c r="V298" i="7" s="1"/>
  <c r="AE298" i="7"/>
  <c r="Z298" i="7" s="1"/>
  <c r="AD298" i="7"/>
  <c r="X298" i="7" s="1"/>
  <c r="AA298" i="7" l="1"/>
  <c r="W298" i="7"/>
  <c r="Y298" i="7"/>
  <c r="T298" i="7"/>
  <c r="U298" i="7" l="1"/>
  <c r="Q299" i="7"/>
  <c r="S299" i="7"/>
  <c r="P299" i="7"/>
  <c r="R299" i="7"/>
  <c r="AE299" i="7" l="1"/>
  <c r="AC299" i="7"/>
  <c r="AD299" i="7"/>
  <c r="X299" i="7" l="1"/>
  <c r="Y299" i="7"/>
  <c r="V299" i="7"/>
  <c r="W299" i="7"/>
  <c r="Z299" i="7"/>
  <c r="AA299" i="7"/>
  <c r="U299" i="7" l="1"/>
  <c r="S300" i="7" s="1"/>
  <c r="T299" i="7"/>
  <c r="Q300" i="7" l="1"/>
  <c r="P300" i="7"/>
  <c r="R300" i="7"/>
  <c r="AD300" i="7" l="1"/>
  <c r="X300" i="7" s="1"/>
  <c r="Y300" i="7"/>
  <c r="AC300" i="7"/>
  <c r="AE300" i="7"/>
  <c r="V300" i="7" l="1"/>
  <c r="W300" i="7"/>
  <c r="Z300" i="7"/>
  <c r="AA300" i="7"/>
  <c r="U300" i="7" l="1"/>
  <c r="T300" i="7"/>
  <c r="R301" i="7" l="1"/>
  <c r="P301" i="7"/>
  <c r="S301" i="7"/>
  <c r="Q301" i="7"/>
  <c r="AE301" i="7" l="1"/>
  <c r="AA301" i="7" s="1"/>
  <c r="AD301" i="7"/>
  <c r="X301" i="7" s="1"/>
  <c r="AC301" i="7"/>
  <c r="W301" i="7" s="1"/>
  <c r="Z301" i="7" l="1"/>
  <c r="V301" i="7"/>
  <c r="Y301" i="7"/>
  <c r="U301" i="7" s="1"/>
  <c r="T301" i="7" l="1"/>
  <c r="S302" i="7"/>
  <c r="Q302" i="7"/>
  <c r="P302" i="7"/>
  <c r="R302" i="7"/>
  <c r="AD302" i="7" l="1"/>
  <c r="Y302" i="7" s="1"/>
  <c r="AE302" i="7"/>
  <c r="Z302" i="7" s="1"/>
  <c r="AC302" i="7"/>
  <c r="W302" i="7" s="1"/>
  <c r="AA302" i="7" l="1"/>
  <c r="U302" i="7" s="1"/>
  <c r="X302" i="7"/>
  <c r="V302" i="7"/>
  <c r="T302" i="7" l="1"/>
  <c r="S303" i="7"/>
  <c r="Q303" i="7"/>
  <c r="P303" i="7"/>
  <c r="R303" i="7"/>
  <c r="AC303" i="7" l="1"/>
  <c r="W303" i="7" s="1"/>
  <c r="AE303" i="7"/>
  <c r="AA303" i="7" s="1"/>
  <c r="AD303" i="7"/>
  <c r="Y303" i="7" s="1"/>
  <c r="V303" i="7" l="1"/>
  <c r="X303" i="7"/>
  <c r="Z303" i="7"/>
  <c r="U303" i="7"/>
  <c r="T303" i="7" l="1"/>
  <c r="P304" i="7" s="1"/>
  <c r="S304" i="7"/>
  <c r="Q304" i="7"/>
  <c r="R304" i="7" l="1"/>
  <c r="AE304" i="7"/>
  <c r="Z304" i="7" s="1"/>
  <c r="AD304" i="7"/>
  <c r="X304" i="7" s="1"/>
  <c r="AC304" i="7"/>
  <c r="V304" i="7" s="1"/>
  <c r="AA304" i="7"/>
  <c r="Y304" i="7" l="1"/>
  <c r="T304" i="7"/>
  <c r="W304" i="7"/>
  <c r="P305" i="7"/>
  <c r="R305" i="7"/>
  <c r="U304" i="7" l="1"/>
  <c r="Q305" i="7"/>
  <c r="S305" i="7"/>
  <c r="AE305" i="7" l="1"/>
  <c r="Z305" i="7" s="1"/>
  <c r="AC305" i="7"/>
  <c r="V305" i="7" s="1"/>
  <c r="AD305" i="7"/>
  <c r="X305" i="7" s="1"/>
  <c r="AA305" i="7" l="1"/>
  <c r="W305" i="7"/>
  <c r="Y305" i="7"/>
  <c r="T305" i="7"/>
  <c r="U305" i="7" l="1"/>
  <c r="R306" i="7"/>
  <c r="P306" i="7"/>
  <c r="S306" i="7" l="1"/>
  <c r="Q306" i="7"/>
  <c r="AE306" i="7" s="1"/>
  <c r="AC306" i="7" l="1"/>
  <c r="W306" i="7" s="1"/>
  <c r="AD306" i="7"/>
  <c r="X306" i="7" s="1"/>
  <c r="Z306" i="7"/>
  <c r="AA306" i="7"/>
  <c r="Y306" i="7" l="1"/>
  <c r="V306" i="7"/>
  <c r="T306" i="7" s="1"/>
  <c r="U306" i="7"/>
  <c r="Q307" i="7" l="1"/>
  <c r="S307" i="7"/>
  <c r="R307" i="7"/>
  <c r="P307" i="7"/>
  <c r="AD307" i="7" l="1"/>
  <c r="X307" i="7" s="1"/>
  <c r="AC307" i="7"/>
  <c r="V307" i="7" s="1"/>
  <c r="AE307" i="7"/>
  <c r="Z307" i="7" s="1"/>
  <c r="Y307" i="7" l="1"/>
  <c r="W307" i="7"/>
  <c r="AA307" i="7"/>
  <c r="T307" i="7"/>
  <c r="U307" i="7" l="1"/>
  <c r="S308" i="7" s="1"/>
  <c r="R308" i="7"/>
  <c r="P308" i="7"/>
  <c r="Q308" i="7" l="1"/>
  <c r="AE308" i="7"/>
  <c r="AA308" i="7" s="1"/>
  <c r="AD308" i="7"/>
  <c r="AC308" i="7"/>
  <c r="Z308" i="7" l="1"/>
  <c r="W308" i="7"/>
  <c r="V308" i="7"/>
  <c r="Y308" i="7"/>
  <c r="X308" i="7"/>
  <c r="T308" i="7" l="1"/>
  <c r="U308" i="7"/>
  <c r="Q309" i="7" l="1"/>
  <c r="S309" i="7"/>
  <c r="R309" i="7"/>
  <c r="P309" i="7"/>
  <c r="AE309" i="7" l="1"/>
  <c r="AA309" i="7" s="1"/>
  <c r="AD309" i="7"/>
  <c r="AC309" i="7"/>
  <c r="Z309" i="7" l="1"/>
  <c r="W309" i="7"/>
  <c r="V309" i="7"/>
  <c r="Y309" i="7"/>
  <c r="X309" i="7"/>
  <c r="T309" i="7" l="1"/>
  <c r="U309" i="7"/>
  <c r="S310" i="7" l="1"/>
  <c r="Q310" i="7"/>
  <c r="P310" i="7"/>
  <c r="R310" i="7"/>
  <c r="AE310" i="7" l="1"/>
  <c r="Z310" i="7" s="1"/>
  <c r="AC310" i="7"/>
  <c r="W310" i="7" s="1"/>
  <c r="AD310" i="7"/>
  <c r="Y310" i="7" s="1"/>
  <c r="AA310" i="7" l="1"/>
  <c r="U310" i="7" s="1"/>
  <c r="Q311" i="7" s="1"/>
  <c r="V310" i="7"/>
  <c r="X310" i="7"/>
  <c r="S311" i="7" l="1"/>
  <c r="T310" i="7"/>
  <c r="R311" i="7"/>
  <c r="P311" i="7"/>
  <c r="AE311" i="7" l="1"/>
  <c r="AD311" i="7"/>
  <c r="AC311" i="7"/>
  <c r="W311" i="7" l="1"/>
  <c r="V311" i="7"/>
  <c r="Y311" i="7"/>
  <c r="X311" i="7"/>
  <c r="AA311" i="7"/>
  <c r="Z311" i="7"/>
  <c r="T311" i="7" l="1"/>
  <c r="U311" i="7"/>
  <c r="S312" i="7" l="1"/>
  <c r="Q312" i="7"/>
  <c r="R312" i="7"/>
  <c r="P312" i="7"/>
  <c r="AD312" i="7" l="1"/>
  <c r="AE312" i="7"/>
  <c r="AC312" i="7"/>
  <c r="W312" i="7" l="1"/>
  <c r="V312" i="7"/>
  <c r="AA312" i="7"/>
  <c r="Z312" i="7"/>
  <c r="Y312" i="7"/>
  <c r="X312" i="7"/>
  <c r="T312" i="7" l="1"/>
  <c r="U312" i="7"/>
  <c r="S313" i="7" l="1"/>
  <c r="Q313" i="7"/>
  <c r="R313" i="7"/>
  <c r="P313" i="7"/>
  <c r="AE313" i="7" l="1"/>
  <c r="AA313" i="7" s="1"/>
  <c r="AD313" i="7"/>
  <c r="AC313" i="7"/>
  <c r="W313" i="7" l="1"/>
  <c r="V313" i="7"/>
  <c r="Y313" i="7"/>
  <c r="X313" i="7"/>
  <c r="Z313" i="7"/>
  <c r="T313" i="7" l="1"/>
  <c r="U313" i="7"/>
  <c r="S314" i="7" l="1"/>
  <c r="Q314" i="7"/>
  <c r="R314" i="7"/>
  <c r="P314" i="7"/>
  <c r="AE314" i="7" l="1"/>
  <c r="AA314" i="7" s="1"/>
  <c r="AC314" i="7"/>
  <c r="W314" i="7" s="1"/>
  <c r="AD314" i="7"/>
  <c r="Y314" i="7" s="1"/>
  <c r="V314" i="7" l="1"/>
  <c r="X314" i="7"/>
  <c r="Z314" i="7"/>
  <c r="U314" i="7"/>
  <c r="T314" i="7" l="1"/>
  <c r="R315" i="7" s="1"/>
  <c r="P315" i="7"/>
  <c r="Q315" i="7"/>
  <c r="S315" i="7"/>
  <c r="AD315" i="7" l="1"/>
  <c r="Y315" i="7" s="1"/>
  <c r="AE315" i="7"/>
  <c r="AA315" i="7" s="1"/>
  <c r="AC315" i="7"/>
  <c r="W315" i="7" s="1"/>
  <c r="U315" i="7" l="1"/>
  <c r="S316" i="7" s="1"/>
  <c r="Z315" i="7"/>
  <c r="V315" i="7"/>
  <c r="X315" i="7"/>
  <c r="Q316" i="7"/>
  <c r="T315" i="7" l="1"/>
  <c r="R316" i="7" s="1"/>
  <c r="P316" i="7" l="1"/>
  <c r="AC316" i="7" s="1"/>
  <c r="W316" i="7" s="1"/>
  <c r="V316" i="7" l="1"/>
  <c r="AD316" i="7"/>
  <c r="AE316" i="7"/>
  <c r="AA316" i="7" l="1"/>
  <c r="Z316" i="7"/>
  <c r="Y316" i="7"/>
  <c r="U316" i="7" s="1"/>
  <c r="Q317" i="7" s="1"/>
  <c r="X316" i="7"/>
  <c r="T316" i="7" s="1"/>
  <c r="S317" i="7" l="1"/>
  <c r="P317" i="7"/>
  <c r="AE317" i="7" s="1"/>
  <c r="R317" i="7"/>
  <c r="AC317" i="7"/>
  <c r="V317" i="7" s="1"/>
  <c r="AD317" i="7" l="1"/>
  <c r="X317" i="7" s="1"/>
  <c r="Z317" i="7"/>
  <c r="AA317" i="7"/>
  <c r="W317" i="7"/>
  <c r="Y317" i="7" l="1"/>
  <c r="U317" i="7"/>
  <c r="S318" i="7" s="1"/>
  <c r="T317" i="7"/>
  <c r="R318" i="7" s="1"/>
  <c r="Q318" i="7" l="1"/>
  <c r="P318" i="7"/>
  <c r="AD318" i="7" s="1"/>
  <c r="Y318" i="7" s="1"/>
  <c r="AC318" i="7"/>
  <c r="V318" i="7" s="1"/>
  <c r="X318" i="7" l="1"/>
  <c r="AE318" i="7"/>
  <c r="Z318" i="7" s="1"/>
  <c r="T318" i="7" s="1"/>
  <c r="W318" i="7"/>
  <c r="R319" i="7" l="1"/>
  <c r="P319" i="7"/>
  <c r="AA318" i="7"/>
  <c r="U318" i="7" s="1"/>
  <c r="S319" i="7" s="1"/>
  <c r="Q319" i="7" l="1"/>
  <c r="AE319" i="7" l="1"/>
  <c r="AC319" i="7"/>
  <c r="AD319" i="7"/>
  <c r="X319" i="7" l="1"/>
  <c r="Y319" i="7"/>
  <c r="V319" i="7"/>
  <c r="W319" i="7"/>
  <c r="Z319" i="7"/>
  <c r="AA319" i="7"/>
  <c r="T319" i="7" l="1"/>
  <c r="P320" i="7" s="1"/>
  <c r="R320" i="7"/>
  <c r="U319" i="7"/>
  <c r="S320" i="7" l="1"/>
  <c r="Q320" i="7"/>
  <c r="AC320" i="7" l="1"/>
  <c r="V320" i="7" s="1"/>
  <c r="AD320" i="7"/>
  <c r="X320" i="7" s="1"/>
  <c r="AE320" i="7"/>
  <c r="Z320" i="7" s="1"/>
  <c r="AA320" i="7" l="1"/>
  <c r="Y320" i="7"/>
  <c r="T320" i="7"/>
  <c r="W320" i="7"/>
  <c r="U320" i="7" l="1"/>
  <c r="R321" i="7"/>
  <c r="P321" i="7"/>
  <c r="S321" i="7" l="1"/>
  <c r="Q321" i="7"/>
  <c r="AC321" i="7" l="1"/>
  <c r="V321" i="7" s="1"/>
  <c r="AD321" i="7"/>
  <c r="AE321" i="7"/>
  <c r="X321" i="7" l="1"/>
  <c r="Y321" i="7"/>
  <c r="Z321" i="7"/>
  <c r="AA321" i="7"/>
  <c r="W321" i="7"/>
  <c r="U321" i="7" l="1"/>
  <c r="T321" i="7"/>
  <c r="S322" i="7"/>
  <c r="Q322" i="7"/>
  <c r="R322" i="7"/>
  <c r="P322" i="7"/>
  <c r="AC322" i="7" l="1"/>
  <c r="AD322" i="7"/>
  <c r="AE322" i="7"/>
  <c r="Z322" i="7" s="1"/>
  <c r="X322" i="7" l="1"/>
  <c r="Y322" i="7"/>
  <c r="AA322" i="7"/>
  <c r="V322" i="7"/>
  <c r="T322" i="7" s="1"/>
  <c r="W322" i="7"/>
  <c r="U322" i="7" s="1"/>
  <c r="S323" i="7" s="1"/>
  <c r="Q323" i="7" l="1"/>
  <c r="R323" i="7"/>
  <c r="P323" i="7"/>
  <c r="AC323" i="7" l="1"/>
  <c r="AD323" i="7"/>
  <c r="AE323" i="7"/>
  <c r="Z323" i="7" l="1"/>
  <c r="AA323" i="7"/>
  <c r="X323" i="7"/>
  <c r="Y323" i="7"/>
  <c r="V323" i="7"/>
  <c r="W323" i="7"/>
  <c r="U323" i="7" l="1"/>
  <c r="T323" i="7"/>
  <c r="P324" i="7"/>
  <c r="R324" i="7"/>
  <c r="Q324" i="7"/>
  <c r="S324" i="7"/>
  <c r="AC324" i="7" l="1"/>
  <c r="V324" i="7" s="1"/>
  <c r="AE324" i="7"/>
  <c r="AD324" i="7"/>
  <c r="AA324" i="7" l="1"/>
  <c r="Z324" i="7"/>
  <c r="X324" i="7"/>
  <c r="Y324" i="7"/>
  <c r="W324" i="7"/>
  <c r="U324" i="7" l="1"/>
  <c r="S325" i="7" s="1"/>
  <c r="T324" i="7"/>
  <c r="Q325" i="7"/>
  <c r="R325" i="7" l="1"/>
  <c r="P325" i="7"/>
  <c r="AE325" i="7" l="1"/>
  <c r="AD325" i="7"/>
  <c r="AC325" i="7"/>
  <c r="W325" i="7" s="1"/>
  <c r="X325" i="7" l="1"/>
  <c r="Y325" i="7"/>
  <c r="V325" i="7"/>
  <c r="Z325" i="7"/>
  <c r="AA325" i="7"/>
  <c r="U325" i="7" s="1"/>
  <c r="S326" i="7" l="1"/>
  <c r="Q326" i="7"/>
  <c r="T325" i="7"/>
  <c r="R326" i="7" l="1"/>
  <c r="P326" i="7"/>
  <c r="AD326" i="7" l="1"/>
  <c r="Y326" i="7" s="1"/>
  <c r="AC326" i="7"/>
  <c r="W326" i="7" s="1"/>
  <c r="AE326" i="7"/>
  <c r="AA326" i="7" s="1"/>
  <c r="X326" i="7" l="1"/>
  <c r="Z326" i="7"/>
  <c r="V326" i="7"/>
  <c r="U326" i="7"/>
  <c r="T326" i="7" l="1"/>
  <c r="R327" i="7" s="1"/>
  <c r="Q327" i="7"/>
  <c r="S327" i="7"/>
  <c r="P327" i="7"/>
  <c r="AC327" i="7" l="1"/>
  <c r="V327" i="7" s="1"/>
  <c r="AE327" i="7"/>
  <c r="AA327" i="7" s="1"/>
  <c r="AD327" i="7"/>
  <c r="X327" i="7" s="1"/>
  <c r="W327" i="7" l="1"/>
  <c r="Z327" i="7"/>
  <c r="T327" i="7" s="1"/>
  <c r="Y327" i="7"/>
  <c r="U327" i="7" s="1"/>
  <c r="Q328" i="7" l="1"/>
  <c r="S328" i="7"/>
  <c r="R328" i="7"/>
  <c r="P328" i="7"/>
  <c r="AE328" i="7" l="1"/>
  <c r="AD328" i="7"/>
  <c r="AC328" i="7"/>
  <c r="V328" i="7" s="1"/>
  <c r="Z328" i="7"/>
  <c r="X328" i="7"/>
  <c r="AA328" i="7"/>
  <c r="W328" i="7"/>
  <c r="Y328" i="7"/>
  <c r="T328" i="7" l="1"/>
  <c r="U328" i="7"/>
  <c r="S329" i="7" s="1"/>
  <c r="Q329" i="7"/>
  <c r="R329" i="7"/>
  <c r="P329" i="7"/>
  <c r="AE329" i="7" s="1"/>
  <c r="AA329" i="7" s="1"/>
  <c r="AC329" i="7" l="1"/>
  <c r="W329" i="7" s="1"/>
  <c r="AD329" i="7"/>
  <c r="Z329" i="7"/>
  <c r="V329" i="7"/>
  <c r="Y329" i="7" l="1"/>
  <c r="U329" i="7" s="1"/>
  <c r="Q330" i="7" s="1"/>
  <c r="X329" i="7"/>
  <c r="T329" i="7" s="1"/>
  <c r="P330" i="7" s="1"/>
  <c r="S330" i="7" l="1"/>
  <c r="AD330" i="7"/>
  <c r="Y330" i="7" s="1"/>
  <c r="R330" i="7"/>
  <c r="AC330" i="7"/>
  <c r="W330" i="7" s="1"/>
  <c r="AE330" i="7"/>
  <c r="AA330" i="7" s="1"/>
  <c r="X330" i="7"/>
  <c r="V330" i="7" l="1"/>
  <c r="U330" i="7"/>
  <c r="S331" i="7"/>
  <c r="Q331" i="7"/>
  <c r="Z330" i="7"/>
  <c r="T330" i="7" l="1"/>
  <c r="R331" i="7" s="1"/>
  <c r="P331" i="7"/>
  <c r="AE331" i="7" s="1"/>
  <c r="Z331" i="7" s="1"/>
  <c r="AC331" i="7" l="1"/>
  <c r="W331" i="7" s="1"/>
  <c r="AA331" i="7"/>
  <c r="AD331" i="7"/>
  <c r="X331" i="7" s="1"/>
  <c r="V331" i="7" l="1"/>
  <c r="T331" i="7" s="1"/>
  <c r="R332" i="7" s="1"/>
  <c r="Y331" i="7"/>
  <c r="U331" i="7" s="1"/>
  <c r="P332" i="7" l="1"/>
  <c r="S332" i="7"/>
  <c r="Q332" i="7"/>
  <c r="AD332" i="7" s="1"/>
  <c r="AC332" i="7" l="1"/>
  <c r="V332" i="7" s="1"/>
  <c r="AE332" i="7"/>
  <c r="AA332" i="7" s="1"/>
  <c r="Y332" i="7"/>
  <c r="X332" i="7"/>
  <c r="W332" i="7"/>
  <c r="Z332" i="7"/>
  <c r="T332" i="7" l="1"/>
  <c r="R333" i="7" s="1"/>
  <c r="U332" i="7"/>
  <c r="P333" i="7" l="1"/>
  <c r="S333" i="7"/>
  <c r="Q333" i="7"/>
  <c r="AC333" i="7" l="1"/>
  <c r="V333" i="7" s="1"/>
  <c r="AD333" i="7"/>
  <c r="X333" i="7" s="1"/>
  <c r="AE333" i="7"/>
  <c r="Z333" i="7" s="1"/>
  <c r="AA333" i="7" l="1"/>
  <c r="T333" i="7"/>
  <c r="W333" i="7"/>
  <c r="Y333" i="7"/>
  <c r="U333" i="7" l="1"/>
  <c r="R334" i="7"/>
  <c r="P334" i="7"/>
  <c r="S334" i="7" l="1"/>
  <c r="Q334" i="7"/>
  <c r="AD334" i="7" l="1"/>
  <c r="AC334" i="7"/>
  <c r="AE334" i="7"/>
  <c r="AA334" i="7" l="1"/>
  <c r="Z334" i="7"/>
  <c r="W334" i="7"/>
  <c r="V334" i="7"/>
  <c r="Y334" i="7"/>
  <c r="X334" i="7"/>
  <c r="T334" i="7" l="1"/>
  <c r="P335" i="7" s="1"/>
  <c r="U334" i="7"/>
  <c r="R335" i="7" l="1"/>
  <c r="Q335" i="7"/>
  <c r="AE335" i="7" s="1"/>
  <c r="AA335" i="7" s="1"/>
  <c r="S335" i="7"/>
  <c r="AD335" i="7" l="1"/>
  <c r="Y335" i="7" s="1"/>
  <c r="AC335" i="7"/>
  <c r="V335" i="7" s="1"/>
  <c r="Z335" i="7"/>
  <c r="X335" i="7" l="1"/>
  <c r="T335" i="7" s="1"/>
  <c r="W335" i="7"/>
  <c r="U335" i="7" s="1"/>
  <c r="S336" i="7" s="1"/>
  <c r="R336" i="7" l="1"/>
  <c r="P336" i="7"/>
  <c r="Q336" i="7"/>
  <c r="AD336" i="7" l="1"/>
  <c r="Y336" i="7" s="1"/>
  <c r="AC336" i="7"/>
  <c r="W336" i="7" s="1"/>
  <c r="AE336" i="7"/>
  <c r="AA336" i="7" s="1"/>
  <c r="X336" i="7" l="1"/>
  <c r="V336" i="7"/>
  <c r="Z336" i="7"/>
  <c r="U336" i="7"/>
  <c r="T336" i="7" l="1"/>
  <c r="R337" i="7" s="1"/>
  <c r="S337" i="7"/>
  <c r="Q337" i="7"/>
  <c r="P337" i="7" l="1"/>
  <c r="AC337" i="7" s="1"/>
  <c r="V337" i="7" s="1"/>
  <c r="AE337" i="7" l="1"/>
  <c r="AA337" i="7" s="1"/>
  <c r="AD337" i="7"/>
  <c r="Y337" i="7" s="1"/>
  <c r="W337" i="7"/>
  <c r="Z337" i="7" l="1"/>
  <c r="X337" i="7"/>
  <c r="T337" i="7" s="1"/>
  <c r="R338" i="7" s="1"/>
  <c r="U337" i="7"/>
  <c r="S338" i="7" s="1"/>
  <c r="Q338" i="7"/>
  <c r="P338" i="7" l="1"/>
  <c r="AC338" i="7" s="1"/>
  <c r="AD338" i="7" l="1"/>
  <c r="X338" i="7" s="1"/>
  <c r="AE338" i="7"/>
  <c r="Z338" i="7" s="1"/>
  <c r="V338" i="7"/>
  <c r="W338" i="7"/>
  <c r="Y338" i="7" l="1"/>
  <c r="AA338" i="7"/>
  <c r="T338" i="7"/>
  <c r="U338" i="7" l="1"/>
  <c r="S339" i="7" s="1"/>
  <c r="Q339" i="7"/>
  <c r="P339" i="7"/>
  <c r="R339" i="7"/>
  <c r="AC339" i="7" l="1"/>
  <c r="V339" i="7" s="1"/>
  <c r="AE339" i="7"/>
  <c r="AD339" i="7"/>
  <c r="W339" i="7" l="1"/>
  <c r="Z339" i="7"/>
  <c r="AA339" i="7"/>
  <c r="X339" i="7"/>
  <c r="T339" i="7" s="1"/>
  <c r="Y339" i="7"/>
  <c r="U339" i="7" l="1"/>
  <c r="Q340" i="7" s="1"/>
  <c r="R340" i="7"/>
  <c r="P340" i="7"/>
  <c r="S340" i="7" l="1"/>
  <c r="AD340" i="7"/>
  <c r="X340" i="7" s="1"/>
  <c r="AE340" i="7"/>
  <c r="Z340" i="7" s="1"/>
  <c r="AC340" i="7"/>
  <c r="V340" i="7" s="1"/>
  <c r="W340" i="7" l="1"/>
  <c r="AA340" i="7"/>
  <c r="Y340" i="7"/>
  <c r="T340" i="7"/>
  <c r="U340" i="7" l="1"/>
  <c r="S341" i="7" s="1"/>
  <c r="P341" i="7"/>
  <c r="R341" i="7"/>
  <c r="Q341" i="7" l="1"/>
  <c r="AC341" i="7" s="1"/>
  <c r="V341" i="7" s="1"/>
  <c r="AE341" i="7" l="1"/>
  <c r="Z341" i="7" s="1"/>
  <c r="AD341" i="7"/>
  <c r="X341" i="7" s="1"/>
  <c r="W341" i="7"/>
  <c r="AA341" i="7" l="1"/>
  <c r="T341" i="7"/>
  <c r="R342" i="7" s="1"/>
  <c r="Y341" i="7"/>
  <c r="P342" i="7"/>
  <c r="U341" i="7" l="1"/>
  <c r="S342" i="7" s="1"/>
  <c r="Q342" i="7"/>
  <c r="AD342" i="7" s="1"/>
  <c r="Y342" i="7" s="1"/>
  <c r="AC342" i="7" l="1"/>
  <c r="V342" i="7" s="1"/>
  <c r="AE342" i="7"/>
  <c r="AA342" i="7" s="1"/>
  <c r="X342" i="7"/>
  <c r="W342" i="7" l="1"/>
  <c r="U342" i="7" s="1"/>
  <c r="S343" i="7" s="1"/>
  <c r="Z342" i="7"/>
  <c r="T342" i="7" s="1"/>
  <c r="R343" i="7" s="1"/>
  <c r="Q343" i="7" l="1"/>
  <c r="P343" i="7"/>
  <c r="AC343" i="7" s="1"/>
  <c r="W343" i="7" s="1"/>
  <c r="AE343" i="7" l="1"/>
  <c r="AA343" i="7" s="1"/>
  <c r="AD343" i="7"/>
  <c r="Y343" i="7" s="1"/>
  <c r="V343" i="7"/>
  <c r="Z343" i="7" l="1"/>
  <c r="U343" i="7"/>
  <c r="X343" i="7"/>
  <c r="T343" i="7" s="1"/>
  <c r="R344" i="7" s="1"/>
  <c r="S344" i="7"/>
  <c r="Q344" i="7"/>
  <c r="P344" i="7" l="1"/>
  <c r="AD344" i="7" s="1"/>
  <c r="Y344" i="7" s="1"/>
  <c r="AC344" i="7" l="1"/>
  <c r="W344" i="7" s="1"/>
  <c r="AE344" i="7"/>
  <c r="AA344" i="7" s="1"/>
  <c r="X344" i="7"/>
  <c r="U344" i="7" l="1"/>
  <c r="Q345" i="7" s="1"/>
  <c r="V344" i="7"/>
  <c r="Z344" i="7"/>
  <c r="S345" i="7" l="1"/>
  <c r="T344" i="7"/>
  <c r="R345" i="7" l="1"/>
  <c r="P345" i="7"/>
  <c r="AE345" i="7" l="1"/>
  <c r="AA345" i="7" s="1"/>
  <c r="AD345" i="7"/>
  <c r="AC345" i="7"/>
  <c r="W345" i="7" l="1"/>
  <c r="V345" i="7"/>
  <c r="X345" i="7"/>
  <c r="Y345" i="7"/>
  <c r="Z345" i="7"/>
  <c r="T345" i="7" l="1"/>
  <c r="U345" i="7"/>
  <c r="Q346" i="7" l="1"/>
  <c r="S346" i="7"/>
  <c r="P346" i="7"/>
  <c r="R346" i="7"/>
  <c r="AD346" i="7" l="1"/>
  <c r="AE346" i="7"/>
  <c r="AC346" i="7"/>
  <c r="V346" i="7" l="1"/>
  <c r="W346" i="7"/>
  <c r="AA346" i="7"/>
  <c r="Z346" i="7"/>
  <c r="X346" i="7"/>
  <c r="Y346" i="7"/>
  <c r="U346" i="7" l="1"/>
  <c r="T346" i="7"/>
  <c r="R347" i="7" l="1"/>
  <c r="P347" i="7"/>
  <c r="S347" i="7"/>
  <c r="Q347" i="7"/>
  <c r="AE347" i="7" l="1"/>
  <c r="Z347" i="7" s="1"/>
  <c r="AC347" i="7"/>
  <c r="V347" i="7" s="1"/>
  <c r="AD347" i="7"/>
  <c r="X347" i="7" s="1"/>
  <c r="AA347" i="7" l="1"/>
  <c r="W347" i="7"/>
  <c r="Y347" i="7"/>
  <c r="T347" i="7"/>
  <c r="R348" i="7" l="1"/>
  <c r="P348" i="7"/>
  <c r="U347" i="7"/>
  <c r="Q348" i="7" l="1"/>
  <c r="AD348" i="7" s="1"/>
  <c r="X348" i="7" s="1"/>
  <c r="S348" i="7"/>
  <c r="AE348" i="7" l="1"/>
  <c r="Z348" i="7" s="1"/>
  <c r="AC348" i="7"/>
  <c r="V348" i="7" s="1"/>
  <c r="Y348" i="7"/>
  <c r="T348" i="7" l="1"/>
  <c r="R349" i="7" s="1"/>
  <c r="W348" i="7"/>
  <c r="AA348" i="7"/>
  <c r="P349" i="7"/>
  <c r="U348" i="7" l="1"/>
  <c r="S349" i="7" s="1"/>
  <c r="Q349" i="7"/>
  <c r="AD349" i="7" s="1"/>
  <c r="Y349" i="7" l="1"/>
  <c r="X349" i="7"/>
  <c r="AC349" i="7"/>
  <c r="W349" i="7" s="1"/>
  <c r="AE349" i="7"/>
  <c r="Z349" i="7" s="1"/>
  <c r="V349" i="7" l="1"/>
  <c r="T349" i="7" s="1"/>
  <c r="AA349" i="7"/>
  <c r="U349" i="7" s="1"/>
  <c r="S350" i="7" s="1"/>
  <c r="R350" i="7" l="1"/>
  <c r="P350" i="7"/>
  <c r="Q350" i="7"/>
  <c r="AE350" i="7" l="1"/>
  <c r="AC350" i="7"/>
  <c r="V350" i="7" s="1"/>
  <c r="AD350" i="7"/>
  <c r="Y350" i="7" s="1"/>
  <c r="Z350" i="7"/>
  <c r="AA350" i="7"/>
  <c r="W350" i="7" l="1"/>
  <c r="U350" i="7" s="1"/>
  <c r="X350" i="7"/>
  <c r="T350" i="7" s="1"/>
  <c r="R351" i="7" l="1"/>
  <c r="P351" i="7"/>
  <c r="S351" i="7"/>
  <c r="Q351" i="7"/>
  <c r="AD351" i="7" l="1"/>
  <c r="Y351" i="7" s="1"/>
  <c r="AE351" i="7"/>
  <c r="Z351" i="7" s="1"/>
  <c r="AC351" i="7"/>
  <c r="V351" i="7" s="1"/>
  <c r="AA351" i="7" l="1"/>
  <c r="X351" i="7"/>
  <c r="T351" i="7" s="1"/>
  <c r="W351" i="7"/>
  <c r="U351" i="7" l="1"/>
  <c r="S352" i="7" s="1"/>
  <c r="R352" i="7"/>
  <c r="P352" i="7"/>
  <c r="Q352" i="7" l="1"/>
  <c r="AE352" i="7" s="1"/>
  <c r="Z352" i="7" s="1"/>
  <c r="AD352" i="7" l="1"/>
  <c r="X352" i="7" s="1"/>
  <c r="AC352" i="7"/>
  <c r="W352" i="7" s="1"/>
  <c r="AA352" i="7"/>
  <c r="Y352" i="7"/>
  <c r="V352" i="7" l="1"/>
  <c r="T352" i="7" s="1"/>
  <c r="P353" i="7" s="1"/>
  <c r="U352" i="7"/>
  <c r="S353" i="7" s="1"/>
  <c r="Q353" i="7" l="1"/>
  <c r="R353" i="7"/>
  <c r="AE353" i="7"/>
  <c r="AD353" i="7"/>
  <c r="AC353" i="7"/>
  <c r="V353" i="7" l="1"/>
  <c r="W353" i="7"/>
  <c r="Y353" i="7"/>
  <c r="X353" i="7"/>
  <c r="Z353" i="7"/>
  <c r="AA353" i="7"/>
  <c r="U353" i="7" l="1"/>
  <c r="T353" i="7"/>
  <c r="R354" i="7" l="1"/>
  <c r="P354" i="7"/>
  <c r="Q354" i="7"/>
  <c r="S354" i="7"/>
  <c r="AC354" i="7" l="1"/>
  <c r="AE354" i="7"/>
  <c r="AD354" i="7"/>
  <c r="X354" i="7" l="1"/>
  <c r="Y354" i="7"/>
  <c r="Z354" i="7"/>
  <c r="AA354" i="7"/>
  <c r="W354" i="7"/>
  <c r="V354" i="7"/>
  <c r="T354" i="7" l="1"/>
  <c r="R355" i="7" s="1"/>
  <c r="U354" i="7"/>
  <c r="S355" i="7" s="1"/>
  <c r="P355" i="7" l="1"/>
  <c r="Q355" i="7"/>
  <c r="AE355" i="7" l="1"/>
  <c r="AA355" i="7" s="1"/>
  <c r="AD355" i="7"/>
  <c r="X355" i="7" s="1"/>
  <c r="AC355" i="7"/>
  <c r="V355" i="7" s="1"/>
  <c r="Z355" i="7" l="1"/>
  <c r="W355" i="7"/>
  <c r="Y355" i="7"/>
  <c r="T355" i="7"/>
  <c r="R356" i="7" s="1"/>
  <c r="P356" i="7" l="1"/>
  <c r="U355" i="7"/>
  <c r="S356" i="7" s="1"/>
  <c r="Q356" i="7"/>
  <c r="AE356" i="7" l="1"/>
  <c r="AC356" i="7"/>
  <c r="AD356" i="7"/>
  <c r="X356" i="7" l="1"/>
  <c r="Y356" i="7"/>
  <c r="V356" i="7"/>
  <c r="W356" i="7"/>
  <c r="Z356" i="7"/>
  <c r="AA356" i="7"/>
  <c r="U356" i="7" l="1"/>
  <c r="T356" i="7"/>
  <c r="R357" i="7" l="1"/>
  <c r="P357" i="7"/>
  <c r="S357" i="7"/>
  <c r="Q357" i="7"/>
  <c r="AE357" i="7" l="1"/>
  <c r="AD357" i="7"/>
  <c r="AC357" i="7"/>
  <c r="X357" i="7" l="1"/>
  <c r="Y357" i="7"/>
  <c r="W357" i="7"/>
  <c r="V357" i="7"/>
  <c r="Z357" i="7"/>
  <c r="AA357" i="7"/>
  <c r="T357" i="7" l="1"/>
  <c r="U357" i="7"/>
  <c r="Q358" i="7" l="1"/>
  <c r="S358" i="7"/>
  <c r="P358" i="7"/>
  <c r="R358" i="7"/>
  <c r="AE358" i="7" l="1"/>
  <c r="AD358" i="7"/>
  <c r="AC358" i="7"/>
  <c r="V358" i="7" s="1"/>
  <c r="W358" i="7" l="1"/>
  <c r="X358" i="7"/>
  <c r="Y358" i="7"/>
  <c r="Z358" i="7"/>
  <c r="AA358" i="7"/>
  <c r="T358" i="7" l="1"/>
  <c r="P359" i="7" s="1"/>
  <c r="U358" i="7"/>
  <c r="R359" i="7" l="1"/>
  <c r="S359" i="7"/>
  <c r="Q359" i="7"/>
  <c r="AE359" i="7" s="1"/>
  <c r="Z359" i="7" s="1"/>
  <c r="AC359" i="7" l="1"/>
  <c r="V359" i="7" s="1"/>
  <c r="AD359" i="7"/>
  <c r="X359" i="7" s="1"/>
  <c r="AA359" i="7"/>
  <c r="W359" i="7" l="1"/>
  <c r="T359" i="7"/>
  <c r="R360" i="7" s="1"/>
  <c r="Y359" i="7"/>
  <c r="U359" i="7" s="1"/>
  <c r="P360" i="7"/>
  <c r="S360" i="7" l="1"/>
  <c r="Q360" i="7"/>
  <c r="AE360" i="7"/>
  <c r="AC360" i="7"/>
  <c r="AD360" i="7"/>
  <c r="Y360" i="7" l="1"/>
  <c r="X360" i="7"/>
  <c r="W360" i="7"/>
  <c r="V360" i="7"/>
  <c r="AA360" i="7"/>
  <c r="Z360" i="7"/>
  <c r="T360" i="7" l="1"/>
  <c r="U360" i="7"/>
  <c r="S361" i="7" l="1"/>
  <c r="Q361" i="7"/>
  <c r="R361" i="7"/>
  <c r="P361" i="7"/>
  <c r="AD361" i="7" l="1"/>
  <c r="X361" i="7" s="1"/>
  <c r="AE361" i="7"/>
  <c r="Z361" i="7" s="1"/>
  <c r="AC361" i="7"/>
  <c r="V361" i="7" s="1"/>
  <c r="Y361" i="7" l="1"/>
  <c r="AA361" i="7"/>
  <c r="W361" i="7"/>
  <c r="T361" i="7"/>
  <c r="U361" i="7" l="1"/>
  <c r="S362" i="7"/>
  <c r="Q362" i="7"/>
  <c r="R362" i="7"/>
  <c r="P362" i="7"/>
  <c r="AE362" i="7" l="1"/>
  <c r="AD362" i="7"/>
  <c r="AC362" i="7"/>
  <c r="Y362" i="7" l="1"/>
  <c r="X362" i="7"/>
  <c r="W362" i="7"/>
  <c r="V362" i="7"/>
  <c r="AA362" i="7"/>
  <c r="Z362" i="7"/>
  <c r="T362" i="7" l="1"/>
  <c r="R363" i="7" s="1"/>
  <c r="P363" i="7"/>
  <c r="U362" i="7"/>
  <c r="S363" i="7" l="1"/>
  <c r="Q363" i="7"/>
  <c r="AC363" i="7" s="1"/>
  <c r="W363" i="7" l="1"/>
  <c r="V363" i="7"/>
  <c r="AE363" i="7"/>
  <c r="AD363" i="7"/>
  <c r="Y363" i="7" l="1"/>
  <c r="X363" i="7"/>
  <c r="AA363" i="7"/>
  <c r="Z363" i="7"/>
  <c r="U363" i="7" l="1"/>
  <c r="S364" i="7" s="1"/>
  <c r="T363" i="7"/>
  <c r="Q364" i="7" l="1"/>
  <c r="R364" i="7"/>
  <c r="P364" i="7"/>
  <c r="AC364" i="7" l="1"/>
  <c r="W364" i="7" s="1"/>
  <c r="AE364" i="7"/>
  <c r="AA364" i="7" s="1"/>
  <c r="AD364" i="7"/>
  <c r="Y364" i="7" s="1"/>
  <c r="V364" i="7" l="1"/>
  <c r="Z364" i="7"/>
  <c r="X364" i="7"/>
  <c r="U364" i="7"/>
  <c r="T364" i="7" l="1"/>
  <c r="R365" i="7" s="1"/>
  <c r="P365" i="7"/>
  <c r="Q365" i="7"/>
  <c r="S365" i="7"/>
  <c r="AD365" i="7" l="1"/>
  <c r="Y365" i="7" s="1"/>
  <c r="AC365" i="7"/>
  <c r="W365" i="7" s="1"/>
  <c r="AE365" i="7"/>
  <c r="AA365" i="7" s="1"/>
  <c r="V365" i="7" l="1"/>
  <c r="X365" i="7"/>
  <c r="Z365" i="7"/>
  <c r="U365" i="7"/>
  <c r="T365" i="7" l="1"/>
  <c r="R366" i="7" s="1"/>
  <c r="P366" i="7"/>
  <c r="Q366" i="7"/>
  <c r="S366" i="7"/>
  <c r="AE366" i="7" l="1"/>
  <c r="Z366" i="7" s="1"/>
  <c r="AC366" i="7"/>
  <c r="AD366" i="7"/>
  <c r="AA366" i="7" l="1"/>
  <c r="Y366" i="7"/>
  <c r="X366" i="7"/>
  <c r="W366" i="7"/>
  <c r="V366" i="7"/>
  <c r="U366" i="7" l="1"/>
  <c r="S367" i="7" s="1"/>
  <c r="T366" i="7"/>
  <c r="Q367" i="7" l="1"/>
  <c r="R367" i="7"/>
  <c r="P367" i="7"/>
  <c r="AD367" i="7" l="1"/>
  <c r="AC367" i="7"/>
  <c r="AE367" i="7"/>
  <c r="V367" i="7" l="1"/>
  <c r="W367" i="7"/>
  <c r="Z367" i="7"/>
  <c r="AA367" i="7"/>
  <c r="X367" i="7"/>
  <c r="Y367" i="7"/>
  <c r="U367" i="7" l="1"/>
  <c r="T367" i="7"/>
  <c r="P368" i="7" l="1"/>
  <c r="R368" i="7"/>
  <c r="S368" i="7"/>
  <c r="Q368" i="7"/>
  <c r="AC368" i="7" l="1"/>
  <c r="W368" i="7" s="1"/>
  <c r="AE368" i="7"/>
  <c r="AA368" i="7" s="1"/>
  <c r="AD368" i="7"/>
  <c r="Y368" i="7" s="1"/>
  <c r="V368" i="7" l="1"/>
  <c r="Z368" i="7"/>
  <c r="X368" i="7"/>
  <c r="U368" i="7"/>
  <c r="T368" i="7" l="1"/>
  <c r="R369" i="7" s="1"/>
  <c r="S369" i="7"/>
  <c r="Q369" i="7"/>
  <c r="P369" i="7" l="1"/>
  <c r="AD369" i="7" s="1"/>
  <c r="AE369" i="7"/>
  <c r="AC369" i="7"/>
  <c r="Y369" i="7" l="1"/>
  <c r="X369" i="7"/>
  <c r="W369" i="7"/>
  <c r="V369" i="7"/>
  <c r="AA369" i="7"/>
  <c r="Z369" i="7"/>
  <c r="T369" i="7" l="1"/>
  <c r="U369" i="7"/>
  <c r="Q370" i="7" l="1"/>
  <c r="S370" i="7"/>
  <c r="R370" i="7"/>
  <c r="P370" i="7"/>
  <c r="AE370" i="7" l="1"/>
  <c r="AA370" i="7" s="1"/>
  <c r="AC370" i="7"/>
  <c r="W370" i="7" s="1"/>
  <c r="AD370" i="7"/>
  <c r="Y370" i="7" s="1"/>
  <c r="Z370" i="7" l="1"/>
  <c r="V370" i="7"/>
  <c r="U370" i="7"/>
  <c r="X370" i="7"/>
  <c r="T370" i="7" l="1"/>
  <c r="P371" i="7"/>
  <c r="R371" i="7"/>
  <c r="Q371" i="7"/>
  <c r="S371" i="7"/>
  <c r="AD371" i="7" l="1"/>
  <c r="AC371" i="7"/>
  <c r="AE371" i="7"/>
  <c r="AA371" i="7" l="1"/>
  <c r="Z371" i="7"/>
  <c r="W371" i="7"/>
  <c r="V371" i="7"/>
  <c r="X371" i="7"/>
  <c r="Y371" i="7"/>
  <c r="T371" i="7" l="1"/>
  <c r="U371" i="7"/>
  <c r="Q372" i="7" l="1"/>
  <c r="S372" i="7"/>
  <c r="R372" i="7"/>
  <c r="P372" i="7"/>
  <c r="AC372" i="7" l="1"/>
  <c r="V372" i="7" s="1"/>
  <c r="AD372" i="7"/>
  <c r="X372" i="7" s="1"/>
  <c r="AE372" i="7"/>
  <c r="Z372" i="7" s="1"/>
  <c r="W372" i="7"/>
  <c r="AA372" i="7" l="1"/>
  <c r="Y372" i="7"/>
  <c r="T372" i="7"/>
  <c r="U372" i="7" l="1"/>
  <c r="S373" i="7" s="1"/>
  <c r="R373" i="7"/>
  <c r="P373" i="7"/>
  <c r="Q373" i="7" l="1"/>
  <c r="AE373" i="7" s="1"/>
  <c r="AA373" i="7" s="1"/>
  <c r="AD373" i="7" l="1"/>
  <c r="AC373" i="7"/>
  <c r="W373" i="7" s="1"/>
  <c r="Z373" i="7"/>
  <c r="X373" i="7"/>
  <c r="Y373" i="7"/>
  <c r="U373" i="7" s="1"/>
  <c r="V373" i="7" l="1"/>
  <c r="Q374" i="7"/>
  <c r="S374" i="7"/>
  <c r="T373" i="7"/>
  <c r="R374" i="7" l="1"/>
  <c r="P374" i="7"/>
  <c r="AC374" i="7" l="1"/>
  <c r="W374" i="7" s="1"/>
  <c r="AD374" i="7"/>
  <c r="Y374" i="7" s="1"/>
  <c r="AE374" i="7"/>
  <c r="AA374" i="7" s="1"/>
  <c r="V374" i="7" l="1"/>
  <c r="X374" i="7"/>
  <c r="Z374" i="7"/>
  <c r="U374" i="7"/>
  <c r="T374" i="7" l="1"/>
  <c r="P375" i="7"/>
  <c r="R375" i="7"/>
  <c r="S375" i="7"/>
  <c r="Q375" i="7"/>
  <c r="AD375" i="7" l="1"/>
  <c r="X375" i="7" s="1"/>
  <c r="AE375" i="7"/>
  <c r="Z375" i="7" s="1"/>
  <c r="AC375" i="7"/>
  <c r="V375" i="7" s="1"/>
  <c r="Y375" i="7"/>
  <c r="AA375" i="7" l="1"/>
  <c r="T375" i="7"/>
  <c r="P376" i="7" s="1"/>
  <c r="W375" i="7"/>
  <c r="U375" i="7" s="1"/>
  <c r="Q376" i="7" s="1"/>
  <c r="R376" i="7" l="1"/>
  <c r="S376" i="7"/>
  <c r="AC376" i="7"/>
  <c r="AE376" i="7"/>
  <c r="AD376" i="7"/>
  <c r="AA376" i="7" l="1"/>
  <c r="Z376" i="7"/>
  <c r="Y376" i="7"/>
  <c r="X376" i="7"/>
  <c r="W376" i="7"/>
  <c r="V376" i="7"/>
  <c r="T376" i="7" s="1"/>
  <c r="P377" i="7" s="1"/>
  <c r="U376" i="7" l="1"/>
  <c r="S377" i="7"/>
  <c r="Q377" i="7"/>
  <c r="AC377" i="7" s="1"/>
  <c r="R377" i="7"/>
  <c r="AE377" i="7" l="1"/>
  <c r="AA377" i="7" s="1"/>
  <c r="W377" i="7"/>
  <c r="V377" i="7"/>
  <c r="Z377" i="7"/>
  <c r="AD377" i="7"/>
  <c r="Y377" i="7" l="1"/>
  <c r="U377" i="7" s="1"/>
  <c r="X377" i="7"/>
  <c r="T377" i="7" s="1"/>
  <c r="R378" i="7" s="1"/>
  <c r="P378" i="7" l="1"/>
  <c r="Q378" i="7"/>
  <c r="S378" i="7"/>
  <c r="AC378" i="7" l="1"/>
  <c r="V378" i="7" s="1"/>
  <c r="AD378" i="7"/>
  <c r="X378" i="7" s="1"/>
  <c r="AE378" i="7"/>
  <c r="W378" i="7"/>
  <c r="Y378" i="7" l="1"/>
  <c r="Z378" i="7"/>
  <c r="T378" i="7" s="1"/>
  <c r="AA378" i="7"/>
  <c r="U378" i="7" s="1"/>
  <c r="Q379" i="7" l="1"/>
  <c r="S379" i="7"/>
  <c r="R379" i="7"/>
  <c r="P379" i="7"/>
  <c r="AE379" i="7" s="1"/>
  <c r="AC379" i="7" l="1"/>
  <c r="V379" i="7" s="1"/>
  <c r="AA379" i="7"/>
  <c r="Z379" i="7"/>
  <c r="AD379" i="7"/>
  <c r="W379" i="7" l="1"/>
  <c r="Y379" i="7"/>
  <c r="X379" i="7"/>
  <c r="T379" i="7" s="1"/>
  <c r="R380" i="7" s="1"/>
  <c r="P380" i="7" l="1"/>
  <c r="U379" i="7"/>
  <c r="S380" i="7" l="1"/>
  <c r="Q380" i="7"/>
  <c r="AE380" i="7" l="1"/>
  <c r="AC380" i="7"/>
  <c r="AD380" i="7"/>
  <c r="Y380" i="7" l="1"/>
  <c r="X380" i="7"/>
  <c r="W380" i="7"/>
  <c r="V380" i="7"/>
  <c r="AA380" i="7"/>
  <c r="Z380" i="7"/>
  <c r="T380" i="7" l="1"/>
  <c r="R381" i="7" s="1"/>
  <c r="U380" i="7"/>
  <c r="P381" i="7" l="1"/>
  <c r="Q381" i="7"/>
  <c r="S381" i="7"/>
  <c r="AC381" i="7" l="1"/>
  <c r="V381" i="7" s="1"/>
  <c r="AE381" i="7"/>
  <c r="Z381" i="7" s="1"/>
  <c r="AD381" i="7"/>
  <c r="X381" i="7" s="1"/>
  <c r="T381" i="7" l="1"/>
  <c r="P382" i="7" s="1"/>
  <c r="W381" i="7"/>
  <c r="Y381" i="7"/>
  <c r="AA381" i="7"/>
  <c r="R382" i="7" l="1"/>
  <c r="U381" i="7"/>
  <c r="S382" i="7" l="1"/>
  <c r="Q382" i="7"/>
  <c r="AD382" i="7" l="1"/>
  <c r="X382" i="7" s="1"/>
  <c r="AE382" i="7"/>
  <c r="Z382" i="7" s="1"/>
  <c r="AC382" i="7"/>
  <c r="V382" i="7" s="1"/>
  <c r="Y382" i="7"/>
  <c r="T382" i="7" l="1"/>
  <c r="R383" i="7" s="1"/>
  <c r="AA382" i="7"/>
  <c r="W382" i="7"/>
  <c r="P383" i="7" l="1"/>
  <c r="U382" i="7"/>
  <c r="S383" i="7" s="1"/>
  <c r="Q383" i="7" l="1"/>
  <c r="AD383" i="7" s="1"/>
  <c r="X383" i="7" s="1"/>
  <c r="AE383" i="7" l="1"/>
  <c r="Z383" i="7" s="1"/>
  <c r="AC383" i="7"/>
  <c r="V383" i="7" s="1"/>
  <c r="T383" i="7" s="1"/>
  <c r="Y383" i="7"/>
  <c r="AA383" i="7"/>
  <c r="W383" i="7" l="1"/>
  <c r="U383" i="7" s="1"/>
  <c r="P384" i="7"/>
  <c r="R384" i="7"/>
  <c r="S384" i="7" l="1"/>
  <c r="Q384" i="7"/>
  <c r="AC384" i="7" s="1"/>
  <c r="V384" i="7" s="1"/>
  <c r="W384" i="7" l="1"/>
  <c r="AE384" i="7"/>
  <c r="Z384" i="7" s="1"/>
  <c r="AD384" i="7"/>
  <c r="X384" i="7" s="1"/>
  <c r="T384" i="7" l="1"/>
  <c r="R385" i="7" s="1"/>
  <c r="P385" i="7"/>
  <c r="AA384" i="7"/>
  <c r="Y384" i="7"/>
  <c r="U384" i="7" l="1"/>
  <c r="S385" i="7" s="1"/>
  <c r="Q385" i="7" l="1"/>
  <c r="AC385" i="7" s="1"/>
  <c r="V385" i="7" s="1"/>
  <c r="AE385" i="7"/>
  <c r="Z385" i="7" s="1"/>
  <c r="AA385" i="7" l="1"/>
  <c r="W385" i="7"/>
  <c r="AD385" i="7"/>
  <c r="X385" i="7" s="1"/>
  <c r="T385" i="7" s="1"/>
  <c r="R386" i="7" l="1"/>
  <c r="P386" i="7"/>
  <c r="Y385" i="7"/>
  <c r="U385" i="7" s="1"/>
  <c r="Q386" i="7" s="1"/>
  <c r="S386" i="7" l="1"/>
  <c r="AE386" i="7"/>
  <c r="Z386" i="7" s="1"/>
  <c r="AC386" i="7"/>
  <c r="V386" i="7" s="1"/>
  <c r="AD386" i="7"/>
  <c r="X386" i="7" s="1"/>
  <c r="AA386" i="7" l="1"/>
  <c r="T386" i="7"/>
  <c r="W386" i="7"/>
  <c r="Y386" i="7"/>
  <c r="U386" i="7" l="1"/>
  <c r="S387" i="7" s="1"/>
  <c r="R387" i="7"/>
  <c r="P387" i="7"/>
  <c r="Q387" i="7" l="1"/>
  <c r="AD387" i="7" s="1"/>
  <c r="AC387" i="7" l="1"/>
  <c r="W387" i="7" s="1"/>
  <c r="AE387" i="7"/>
  <c r="AA387" i="7" s="1"/>
  <c r="Y387" i="7"/>
  <c r="X387" i="7"/>
  <c r="Z387" i="7" l="1"/>
  <c r="V387" i="7"/>
  <c r="U387" i="7"/>
  <c r="Q388" i="7" s="1"/>
  <c r="T387" i="7"/>
  <c r="P388" i="7" s="1"/>
  <c r="S388" i="7" l="1"/>
  <c r="R388" i="7"/>
  <c r="AE388" i="7"/>
  <c r="AC388" i="7"/>
  <c r="AD388" i="7"/>
  <c r="X388" i="7" l="1"/>
  <c r="Y388" i="7"/>
  <c r="W388" i="7"/>
  <c r="V388" i="7"/>
  <c r="Z388" i="7"/>
  <c r="AA388" i="7"/>
  <c r="U388" i="7" l="1"/>
  <c r="T388" i="7"/>
  <c r="Q389" i="7" l="1"/>
  <c r="S389" i="7"/>
  <c r="R389" i="7"/>
  <c r="P389" i="7"/>
  <c r="AD389" i="7" l="1"/>
  <c r="AC389" i="7"/>
  <c r="AE389" i="7"/>
  <c r="Z389" i="7" l="1"/>
  <c r="AA389" i="7"/>
  <c r="V389" i="7"/>
  <c r="W389" i="7"/>
  <c r="X389" i="7"/>
  <c r="Y389" i="7"/>
  <c r="U389" i="7" l="1"/>
  <c r="T389" i="7"/>
  <c r="P390" i="7" l="1"/>
  <c r="R390" i="7"/>
  <c r="S390" i="7"/>
  <c r="Q390" i="7"/>
  <c r="AC390" i="7" l="1"/>
  <c r="W390" i="7" s="1"/>
  <c r="AE390" i="7"/>
  <c r="AA390" i="7" s="1"/>
  <c r="AD390" i="7"/>
  <c r="Y390" i="7" s="1"/>
  <c r="X390" i="7" l="1"/>
  <c r="Z390" i="7"/>
  <c r="V390" i="7"/>
  <c r="U390" i="7"/>
  <c r="T390" i="7" l="1"/>
  <c r="P391" i="7" s="1"/>
  <c r="Q391" i="7"/>
  <c r="S391" i="7"/>
  <c r="R391" i="7" l="1"/>
  <c r="AC391" i="7"/>
  <c r="W391" i="7" s="1"/>
  <c r="AE391" i="7"/>
  <c r="AD391" i="7"/>
  <c r="Y391" i="7" s="1"/>
  <c r="X391" i="7" l="1"/>
  <c r="V391" i="7"/>
  <c r="AA391" i="7"/>
  <c r="U391" i="7" s="1"/>
  <c r="Z391" i="7"/>
  <c r="T391" i="7" l="1"/>
  <c r="Q392" i="7"/>
  <c r="S392" i="7"/>
  <c r="P392" i="7"/>
  <c r="R392" i="7"/>
  <c r="AE392" i="7" l="1"/>
  <c r="AA392" i="7" s="1"/>
  <c r="AC392" i="7"/>
  <c r="W392" i="7" s="1"/>
  <c r="AD392" i="7"/>
  <c r="Y392" i="7" s="1"/>
  <c r="U392" i="7" l="1"/>
  <c r="S393" i="7" s="1"/>
  <c r="Z392" i="7"/>
  <c r="V392" i="7"/>
  <c r="X392" i="7"/>
  <c r="Q393" i="7"/>
  <c r="T392" i="7" l="1"/>
  <c r="R393" i="7" s="1"/>
  <c r="P393" i="7" l="1"/>
  <c r="AC393" i="7" s="1"/>
  <c r="AD393" i="7" l="1"/>
  <c r="AE393" i="7"/>
  <c r="Z393" i="7" s="1"/>
  <c r="V393" i="7"/>
  <c r="W393" i="7"/>
  <c r="X393" i="7"/>
  <c r="Y393" i="7"/>
  <c r="AA393" i="7" l="1"/>
  <c r="U393" i="7" s="1"/>
  <c r="T393" i="7"/>
  <c r="R394" i="7" l="1"/>
  <c r="P394" i="7"/>
  <c r="S394" i="7"/>
  <c r="Q394" i="7"/>
  <c r="AC394" i="7" l="1"/>
  <c r="V394" i="7" s="1"/>
  <c r="AD394" i="7"/>
  <c r="X394" i="7" s="1"/>
  <c r="AE394" i="7"/>
  <c r="Z394" i="7" s="1"/>
  <c r="T394" i="7" l="1"/>
  <c r="R395" i="7" s="1"/>
  <c r="AA394" i="7"/>
  <c r="Y394" i="7"/>
  <c r="W394" i="7"/>
  <c r="P395" i="7" l="1"/>
  <c r="U394" i="7"/>
  <c r="S395" i="7" l="1"/>
  <c r="Q395" i="7"/>
  <c r="AD395" i="7" l="1"/>
  <c r="X395" i="7" s="1"/>
  <c r="AE395" i="7"/>
  <c r="Z395" i="7" s="1"/>
  <c r="AC395" i="7"/>
  <c r="V395" i="7" s="1"/>
  <c r="Y395" i="7" l="1"/>
  <c r="AA395" i="7"/>
  <c r="W395" i="7"/>
  <c r="T395" i="7"/>
  <c r="U395" i="7" l="1"/>
  <c r="R396" i="7"/>
  <c r="P396" i="7"/>
  <c r="S396" i="7"/>
  <c r="Q396" i="7"/>
  <c r="AC396" i="7" l="1"/>
  <c r="V396" i="7" s="1"/>
  <c r="AE396" i="7"/>
  <c r="Z396" i="7" s="1"/>
  <c r="AD396" i="7"/>
  <c r="X396" i="7" s="1"/>
  <c r="W396" i="7" l="1"/>
  <c r="T396" i="7"/>
  <c r="AA396" i="7"/>
  <c r="Y396" i="7"/>
  <c r="R397" i="7" l="1"/>
  <c r="P397" i="7"/>
  <c r="U396" i="7"/>
  <c r="Q397" i="7" l="1"/>
  <c r="AE397" i="7" s="1"/>
  <c r="Z397" i="7" s="1"/>
  <c r="S397" i="7"/>
  <c r="AD397" i="7" l="1"/>
  <c r="X397" i="7" s="1"/>
  <c r="AC397" i="7"/>
  <c r="V397" i="7" s="1"/>
  <c r="T397" i="7" s="1"/>
  <c r="AA397" i="7"/>
  <c r="Y397" i="7" l="1"/>
  <c r="W397" i="7"/>
  <c r="R398" i="7"/>
  <c r="P398" i="7"/>
  <c r="U397" i="7" l="1"/>
  <c r="S398" i="7"/>
  <c r="Q398" i="7"/>
  <c r="AC398" i="7" l="1"/>
  <c r="V398" i="7" s="1"/>
  <c r="AE398" i="7"/>
  <c r="Z398" i="7" s="1"/>
  <c r="AD398" i="7"/>
  <c r="X398" i="7" s="1"/>
  <c r="T398" i="7" l="1"/>
  <c r="W398" i="7"/>
  <c r="P399" i="7"/>
  <c r="R399" i="7"/>
  <c r="AA398" i="7"/>
  <c r="Y398" i="7"/>
  <c r="U398" i="7" l="1"/>
  <c r="Q399" i="7" s="1"/>
  <c r="AE399" i="7" l="1"/>
  <c r="Z399" i="7" s="1"/>
  <c r="AC399" i="7"/>
  <c r="V399" i="7" s="1"/>
  <c r="AD399" i="7"/>
  <c r="X399" i="7" s="1"/>
  <c r="S399" i="7"/>
  <c r="W399" i="7"/>
  <c r="AA399" i="7"/>
  <c r="T399" i="7" l="1"/>
  <c r="R400" i="7"/>
  <c r="P400" i="7"/>
  <c r="Y399" i="7"/>
  <c r="U399" i="7" s="1"/>
  <c r="S400" i="7" s="1"/>
  <c r="Q400" i="7" l="1"/>
  <c r="AE400" i="7" l="1"/>
  <c r="Z400" i="7" s="1"/>
  <c r="AC400" i="7"/>
  <c r="V400" i="7" s="1"/>
  <c r="AD400" i="7"/>
  <c r="X400" i="7" s="1"/>
  <c r="AA400" i="7" l="1"/>
  <c r="W400" i="7"/>
  <c r="T400" i="7"/>
  <c r="Y400" i="7"/>
  <c r="U400" i="7" l="1"/>
  <c r="Q401" i="7" s="1"/>
  <c r="S401" i="7"/>
  <c r="P401" i="7"/>
  <c r="R401" i="7"/>
  <c r="AD401" i="7" l="1"/>
  <c r="X401" i="7" s="1"/>
  <c r="AC401" i="7"/>
  <c r="V401" i="7" s="1"/>
  <c r="AE401" i="7"/>
  <c r="Z401" i="7" s="1"/>
  <c r="AA401" i="7" l="1"/>
  <c r="W401" i="7"/>
  <c r="Y401" i="7"/>
  <c r="T401" i="7"/>
  <c r="U401" i="7" l="1"/>
  <c r="S402" i="7"/>
  <c r="Q402" i="7"/>
  <c r="R402" i="7"/>
  <c r="P402" i="7"/>
  <c r="AE402" i="7" l="1"/>
  <c r="Z402" i="7" s="1"/>
  <c r="AD402" i="7"/>
  <c r="X402" i="7" s="1"/>
  <c r="AC402" i="7"/>
  <c r="V402" i="7" s="1"/>
  <c r="Y402" i="7" l="1"/>
  <c r="T402" i="7"/>
  <c r="P403" i="7" s="1"/>
  <c r="AA402" i="7"/>
  <c r="W402" i="7"/>
  <c r="R403" i="7"/>
  <c r="U402" i="7" l="1"/>
  <c r="S403" i="7" s="1"/>
  <c r="Q403" i="7" l="1"/>
  <c r="AC403" i="7" s="1"/>
  <c r="V403" i="7" s="1"/>
  <c r="AD403" i="7" l="1"/>
  <c r="X403" i="7" s="1"/>
  <c r="AE403" i="7"/>
  <c r="Z403" i="7" s="1"/>
  <c r="W403" i="7"/>
  <c r="Y403" i="7"/>
  <c r="AA403" i="7" l="1"/>
  <c r="U403" i="7" s="1"/>
  <c r="T403" i="7"/>
  <c r="R404" i="7" s="1"/>
  <c r="P404" i="7" l="1"/>
  <c r="S404" i="7"/>
  <c r="Q404" i="7"/>
  <c r="AE404" i="7" l="1"/>
  <c r="Z404" i="7" s="1"/>
  <c r="AC404" i="7"/>
  <c r="V404" i="7" s="1"/>
  <c r="AD404" i="7"/>
  <c r="X404" i="7" s="1"/>
  <c r="T404" i="7" l="1"/>
  <c r="R405" i="7" s="1"/>
  <c r="AA404" i="7"/>
  <c r="W404" i="7"/>
  <c r="Y404" i="7"/>
  <c r="P405" i="7" l="1"/>
  <c r="U404" i="7"/>
  <c r="S405" i="7" l="1"/>
  <c r="Q405" i="7"/>
  <c r="AC405" i="7" l="1"/>
  <c r="V405" i="7" s="1"/>
  <c r="AD405" i="7"/>
  <c r="X405" i="7" s="1"/>
  <c r="AE405" i="7"/>
  <c r="Z405" i="7" s="1"/>
  <c r="W405" i="7" l="1"/>
  <c r="AA405" i="7"/>
  <c r="Y405" i="7"/>
  <c r="T405" i="7"/>
  <c r="R406" i="7" l="1"/>
  <c r="P406" i="7"/>
  <c r="U405" i="7"/>
  <c r="Q406" i="7" l="1"/>
  <c r="AC406" i="7" s="1"/>
  <c r="V406" i="7" s="1"/>
  <c r="S406" i="7"/>
  <c r="AE406" i="7" l="1"/>
  <c r="Z406" i="7" s="1"/>
  <c r="AD406" i="7"/>
  <c r="X406" i="7" s="1"/>
  <c r="T406" i="7" s="1"/>
  <c r="W406" i="7"/>
  <c r="AA406" i="7"/>
  <c r="Y406" i="7" l="1"/>
  <c r="U406" i="7" s="1"/>
  <c r="P407" i="7"/>
  <c r="R407" i="7"/>
  <c r="S407" i="7" l="1"/>
  <c r="Q407" i="7"/>
  <c r="AE407" i="7" s="1"/>
  <c r="AA407" i="7" s="1"/>
  <c r="AC407" i="7"/>
  <c r="V407" i="7" s="1"/>
  <c r="AD407" i="7" l="1"/>
  <c r="X407" i="7" s="1"/>
  <c r="Z407" i="7"/>
  <c r="W407" i="7"/>
  <c r="Y407" i="7" l="1"/>
  <c r="T407" i="7"/>
  <c r="U407" i="7"/>
  <c r="R408" i="7"/>
  <c r="P408" i="7"/>
  <c r="S408" i="7"/>
  <c r="Q408" i="7"/>
  <c r="AC408" i="7" l="1"/>
  <c r="W408" i="7" s="1"/>
  <c r="AD408" i="7"/>
  <c r="Y408" i="7" s="1"/>
  <c r="AE408" i="7"/>
  <c r="Z408" i="7" s="1"/>
  <c r="V408" i="7" l="1"/>
  <c r="AA408" i="7"/>
  <c r="U408" i="7" s="1"/>
  <c r="X408" i="7"/>
  <c r="T408" i="7" l="1"/>
  <c r="R409" i="7" s="1"/>
  <c r="P409" i="7"/>
  <c r="S409" i="7"/>
  <c r="Q409" i="7"/>
  <c r="AE409" i="7" l="1"/>
  <c r="AA409" i="7" s="1"/>
  <c r="AC409" i="7"/>
  <c r="W409" i="7" s="1"/>
  <c r="AD409" i="7"/>
  <c r="X409" i="7" s="1"/>
  <c r="V409" i="7" l="1"/>
  <c r="Z409" i="7"/>
  <c r="Y409" i="7"/>
  <c r="U409" i="7" s="1"/>
  <c r="T409" i="7" l="1"/>
  <c r="Q410" i="7"/>
  <c r="S410" i="7"/>
  <c r="R410" i="7"/>
  <c r="P410" i="7"/>
  <c r="AC410" i="7" l="1"/>
  <c r="V410" i="7" s="1"/>
  <c r="AD410" i="7"/>
  <c r="Y410" i="7" s="1"/>
  <c r="AE410" i="7"/>
  <c r="Z410" i="7" s="1"/>
  <c r="W410" i="7"/>
  <c r="AA410" i="7" l="1"/>
  <c r="U410" i="7" s="1"/>
  <c r="X410" i="7"/>
  <c r="T410" i="7" s="1"/>
  <c r="S411" i="7" l="1"/>
  <c r="Q411" i="7"/>
  <c r="R411" i="7"/>
  <c r="P411" i="7"/>
  <c r="AE411" i="7" l="1"/>
  <c r="AA411" i="7" s="1"/>
  <c r="AC411" i="7"/>
  <c r="W411" i="7" s="1"/>
  <c r="AD411" i="7"/>
  <c r="Y411" i="7" s="1"/>
  <c r="V411" i="7" l="1"/>
  <c r="Z411" i="7"/>
  <c r="X411" i="7"/>
  <c r="U411" i="7"/>
  <c r="T411" i="7" l="1"/>
  <c r="P412" i="7"/>
  <c r="R412" i="7"/>
  <c r="S412" i="7"/>
  <c r="Q412" i="7"/>
  <c r="AC412" i="7" l="1"/>
  <c r="W412" i="7" s="1"/>
  <c r="AD412" i="7"/>
  <c r="Y412" i="7" s="1"/>
  <c r="AE412" i="7"/>
  <c r="AA412" i="7" s="1"/>
  <c r="V412" i="7" l="1"/>
  <c r="Z412" i="7"/>
  <c r="U412" i="7"/>
  <c r="S413" i="7" s="1"/>
  <c r="X412" i="7"/>
  <c r="T412" i="7" l="1"/>
  <c r="Q413" i="7"/>
  <c r="R413" i="7"/>
  <c r="P413" i="7"/>
  <c r="AD413" i="7" l="1"/>
  <c r="AE413" i="7"/>
  <c r="AA413" i="7" s="1"/>
  <c r="AC413" i="7"/>
  <c r="W413" i="7" s="1"/>
  <c r="Z413" i="7" l="1"/>
  <c r="V413" i="7"/>
  <c r="X413" i="7"/>
  <c r="Y413" i="7"/>
  <c r="U413" i="7" s="1"/>
  <c r="S414" i="7" l="1"/>
  <c r="Q414" i="7"/>
  <c r="T413" i="7"/>
  <c r="R414" i="7" l="1"/>
  <c r="P414" i="7"/>
  <c r="AD414" i="7" l="1"/>
  <c r="Y414" i="7" s="1"/>
  <c r="AE414" i="7"/>
  <c r="AA414" i="7" s="1"/>
  <c r="AC414" i="7"/>
  <c r="W414" i="7" s="1"/>
  <c r="X414" i="7" l="1"/>
  <c r="Z414" i="7"/>
  <c r="U414" i="7"/>
  <c r="S415" i="7" s="1"/>
  <c r="V414" i="7"/>
  <c r="T414" i="7" s="1"/>
  <c r="Q415" i="7" l="1"/>
  <c r="R415" i="7"/>
  <c r="P415" i="7"/>
  <c r="AD415" i="7" l="1"/>
  <c r="Y415" i="7" s="1"/>
  <c r="AC415" i="7"/>
  <c r="W415" i="7" s="1"/>
  <c r="AE415" i="7"/>
  <c r="AA415" i="7" s="1"/>
  <c r="V415" i="7" l="1"/>
  <c r="Z415" i="7"/>
  <c r="X415" i="7"/>
  <c r="U415" i="7"/>
  <c r="T415" i="7" l="1"/>
  <c r="P416" i="7" s="1"/>
  <c r="S416" i="7"/>
  <c r="Q416" i="7"/>
  <c r="R416" i="7" l="1"/>
  <c r="AD416" i="7"/>
  <c r="Y416" i="7" s="1"/>
  <c r="AE416" i="7"/>
  <c r="AA416" i="7" s="1"/>
  <c r="AC416" i="7"/>
  <c r="W416" i="7" s="1"/>
  <c r="Z416" i="7" l="1"/>
  <c r="U416" i="7"/>
  <c r="Q417" i="7" s="1"/>
  <c r="X416" i="7"/>
  <c r="V416" i="7"/>
  <c r="S417" i="7"/>
  <c r="T416" i="7" l="1"/>
  <c r="R417" i="7" l="1"/>
  <c r="P417" i="7"/>
  <c r="AD417" i="7" l="1"/>
  <c r="Y417" i="7" s="1"/>
  <c r="AE417" i="7"/>
  <c r="AA417" i="7" s="1"/>
  <c r="AC417" i="7"/>
  <c r="W417" i="7" s="1"/>
  <c r="X417" i="7"/>
  <c r="U417" i="7" l="1"/>
  <c r="Q418" i="7" s="1"/>
  <c r="Z417" i="7"/>
  <c r="V417" i="7"/>
  <c r="S418" i="7" l="1"/>
  <c r="T417" i="7"/>
  <c r="P418" i="7" s="1"/>
  <c r="R418" i="7" l="1"/>
  <c r="AD418" i="7"/>
  <c r="AE418" i="7"/>
  <c r="AC418" i="7"/>
  <c r="V418" i="7" l="1"/>
  <c r="W418" i="7"/>
  <c r="AA418" i="7"/>
  <c r="Z418" i="7"/>
  <c r="Y418" i="7"/>
  <c r="X418" i="7"/>
  <c r="U418" i="7" l="1"/>
  <c r="T418" i="7"/>
  <c r="P419" i="7" l="1"/>
  <c r="R419" i="7"/>
  <c r="S419" i="7"/>
  <c r="Q419" i="7"/>
  <c r="AD419" i="7" l="1"/>
  <c r="Y419" i="7" s="1"/>
  <c r="AC419" i="7"/>
  <c r="W419" i="7" s="1"/>
  <c r="AE419" i="7"/>
  <c r="AA419" i="7" s="1"/>
  <c r="U419" i="7" l="1"/>
  <c r="Q420" i="7" s="1"/>
  <c r="Z419" i="7"/>
  <c r="X419" i="7"/>
  <c r="V419" i="7"/>
  <c r="S420" i="7" l="1"/>
  <c r="T419" i="7"/>
  <c r="P420" i="7" s="1"/>
  <c r="AE420" i="7" s="1"/>
  <c r="AA420" i="7" s="1"/>
  <c r="R420" i="7"/>
  <c r="AD420" i="7"/>
  <c r="X420" i="7" s="1"/>
  <c r="AC420" i="7" l="1"/>
  <c r="V420" i="7" s="1"/>
  <c r="Z420" i="7"/>
  <c r="Y420" i="7"/>
  <c r="W420" i="7" l="1"/>
  <c r="U420" i="7" s="1"/>
  <c r="T420" i="7"/>
  <c r="P421" i="7" s="1"/>
  <c r="R421" i="7" l="1"/>
  <c r="Q421" i="7"/>
  <c r="S421" i="7"/>
  <c r="AE421" i="7" l="1"/>
  <c r="AD421" i="7"/>
  <c r="AC421" i="7"/>
  <c r="W421" i="7" l="1"/>
  <c r="V421" i="7"/>
  <c r="Y421" i="7"/>
  <c r="X421" i="7"/>
  <c r="AA421" i="7"/>
  <c r="Z421" i="7"/>
  <c r="T421" i="7" l="1"/>
  <c r="U421" i="7"/>
  <c r="Q422" i="7" l="1"/>
  <c r="S422" i="7"/>
  <c r="P422" i="7"/>
  <c r="R422" i="7"/>
  <c r="AC422" i="7" l="1"/>
  <c r="W422" i="7" s="1"/>
  <c r="AE422" i="7"/>
  <c r="AA422" i="7" s="1"/>
  <c r="AD422" i="7"/>
  <c r="Y422" i="7" s="1"/>
  <c r="V422" i="7" l="1"/>
  <c r="X422" i="7"/>
  <c r="U422" i="7"/>
  <c r="Z422" i="7"/>
  <c r="T422" i="7" l="1"/>
  <c r="R423" i="7" s="1"/>
  <c r="S423" i="7"/>
  <c r="Q423" i="7"/>
  <c r="P423" i="7" l="1"/>
  <c r="AE423" i="7"/>
  <c r="AC423" i="7"/>
  <c r="AD423" i="7"/>
  <c r="Y423" i="7" l="1"/>
  <c r="X423" i="7"/>
  <c r="W423" i="7"/>
  <c r="V423" i="7"/>
  <c r="AA423" i="7"/>
  <c r="Z423" i="7"/>
  <c r="T423" i="7" l="1"/>
  <c r="U423" i="7"/>
  <c r="S424" i="7" l="1"/>
  <c r="Q424" i="7"/>
  <c r="P424" i="7"/>
  <c r="R424" i="7"/>
  <c r="AE424" i="7" l="1"/>
  <c r="AC424" i="7"/>
  <c r="AD424" i="7"/>
  <c r="Y424" i="7" l="1"/>
  <c r="X424" i="7"/>
  <c r="W424" i="7"/>
  <c r="V424" i="7"/>
  <c r="AA424" i="7"/>
  <c r="Z424" i="7"/>
  <c r="T424" i="7" l="1"/>
  <c r="R425" i="7" s="1"/>
  <c r="U424" i="7"/>
  <c r="P425" i="7" l="1"/>
  <c r="Q425" i="7"/>
  <c r="S425" i="7"/>
  <c r="AD425" i="7" l="1"/>
  <c r="AE425" i="7"/>
  <c r="AC425" i="7"/>
  <c r="AA425" i="7" l="1"/>
  <c r="Z425" i="7"/>
  <c r="W425" i="7"/>
  <c r="V425" i="7"/>
  <c r="Y425" i="7"/>
  <c r="X425" i="7"/>
  <c r="T425" i="7" l="1"/>
  <c r="U425" i="7"/>
  <c r="S426" i="7" l="1"/>
  <c r="Q426" i="7"/>
  <c r="R426" i="7"/>
  <c r="P426" i="7"/>
  <c r="AE426" i="7" l="1"/>
  <c r="AC426" i="7"/>
  <c r="AD426" i="7"/>
  <c r="Y426" i="7" l="1"/>
  <c r="X426" i="7"/>
  <c r="W426" i="7"/>
  <c r="V426" i="7"/>
  <c r="AA426" i="7"/>
  <c r="Z426" i="7"/>
  <c r="T426" i="7" l="1"/>
  <c r="U426" i="7"/>
  <c r="S427" i="7" l="1"/>
  <c r="Q427" i="7"/>
  <c r="R427" i="7"/>
  <c r="P427" i="7"/>
  <c r="AD427" i="7" l="1"/>
  <c r="Y427" i="7" s="1"/>
  <c r="AC427" i="7"/>
  <c r="AE427" i="7"/>
  <c r="X427" i="7"/>
  <c r="AA427" i="7" l="1"/>
  <c r="Z427" i="7"/>
  <c r="W427" i="7"/>
  <c r="V427" i="7"/>
  <c r="T427" i="7" l="1"/>
  <c r="P428" i="7" s="1"/>
  <c r="U427" i="7"/>
  <c r="S428" i="7" s="1"/>
  <c r="R428" i="7"/>
  <c r="Q428" i="7"/>
  <c r="AD428" i="7" l="1"/>
  <c r="AE428" i="7"/>
  <c r="AC428" i="7"/>
  <c r="AA428" i="7" l="1"/>
  <c r="Z428" i="7"/>
  <c r="W428" i="7"/>
  <c r="V428" i="7"/>
  <c r="Y428" i="7"/>
  <c r="X428" i="7"/>
  <c r="T428" i="7" l="1"/>
  <c r="U428" i="7"/>
  <c r="S429" i="7" l="1"/>
  <c r="Q429" i="7"/>
  <c r="R429" i="7"/>
  <c r="P429" i="7"/>
  <c r="AD429" i="7" l="1"/>
  <c r="Y429" i="7" s="1"/>
  <c r="AC429" i="7"/>
  <c r="W429" i="7" s="1"/>
  <c r="AE429" i="7"/>
  <c r="X429" i="7" l="1"/>
  <c r="V429" i="7"/>
  <c r="AA429" i="7"/>
  <c r="U429" i="7" s="1"/>
  <c r="Z429" i="7"/>
  <c r="T429" i="7" l="1"/>
  <c r="S430" i="7"/>
  <c r="Q430" i="7"/>
  <c r="R430" i="7" l="1"/>
  <c r="P430" i="7"/>
  <c r="AE430" i="7" l="1"/>
  <c r="AA430" i="7" s="1"/>
  <c r="AC430" i="7"/>
  <c r="W430" i="7" s="1"/>
  <c r="AD430" i="7"/>
  <c r="Y430" i="7" s="1"/>
  <c r="X430" i="7" l="1"/>
  <c r="U430" i="7"/>
  <c r="Z430" i="7"/>
  <c r="V430" i="7"/>
  <c r="T430" i="7" l="1"/>
  <c r="R431" i="7" s="1"/>
  <c r="P431" i="7"/>
  <c r="S431" i="7"/>
  <c r="Q431" i="7"/>
  <c r="AE431" i="7" l="1"/>
  <c r="Z431" i="7" s="1"/>
  <c r="AD431" i="7"/>
  <c r="X431" i="7" s="1"/>
  <c r="AC431" i="7"/>
  <c r="V431" i="7" s="1"/>
  <c r="AA431" i="7" l="1"/>
  <c r="W431" i="7"/>
  <c r="Y431" i="7"/>
  <c r="T431" i="7"/>
  <c r="R432" i="7" s="1"/>
  <c r="U431" i="7" l="1"/>
  <c r="P432" i="7"/>
  <c r="Q432" i="7"/>
  <c r="S432" i="7"/>
  <c r="AD432" i="7" l="1"/>
  <c r="X432" i="7" s="1"/>
  <c r="AE432" i="7"/>
  <c r="Z432" i="7" s="1"/>
  <c r="AC432" i="7"/>
  <c r="V432" i="7" s="1"/>
  <c r="T432" i="7" l="1"/>
  <c r="P433" i="7" s="1"/>
  <c r="Y432" i="7"/>
  <c r="W432" i="7"/>
  <c r="AA432" i="7"/>
  <c r="R433" i="7" l="1"/>
  <c r="U432" i="7"/>
  <c r="S433" i="7" s="1"/>
  <c r="Q433" i="7" l="1"/>
  <c r="AC433" i="7" s="1"/>
  <c r="V433" i="7" s="1"/>
  <c r="AE433" i="7" l="1"/>
  <c r="Z433" i="7" s="1"/>
  <c r="W433" i="7"/>
  <c r="AD433" i="7"/>
  <c r="Y433" i="7" s="1"/>
  <c r="AA433" i="7" l="1"/>
  <c r="U433" i="7" s="1"/>
  <c r="S434" i="7" s="1"/>
  <c r="X433" i="7"/>
  <c r="T433" i="7" s="1"/>
  <c r="R434" i="7" s="1"/>
  <c r="Q434" i="7" l="1"/>
  <c r="P434" i="7"/>
  <c r="AD434" i="7" l="1"/>
  <c r="Y434" i="7" s="1"/>
  <c r="AE434" i="7"/>
  <c r="AA434" i="7" s="1"/>
  <c r="AC434" i="7"/>
  <c r="W434" i="7" s="1"/>
  <c r="X434" i="7" l="1"/>
  <c r="Z434" i="7"/>
  <c r="V434" i="7"/>
  <c r="U434" i="7"/>
  <c r="Q435" i="7" s="1"/>
  <c r="T434" i="7" l="1"/>
  <c r="P435" i="7" s="1"/>
  <c r="AD435" i="7" s="1"/>
  <c r="Y435" i="7" s="1"/>
  <c r="S435" i="7"/>
  <c r="AC435" i="7" l="1"/>
  <c r="W435" i="7" s="1"/>
  <c r="AE435" i="7"/>
  <c r="AA435" i="7" s="1"/>
  <c r="R435" i="7"/>
  <c r="X435" i="7"/>
  <c r="Z435" i="7" l="1"/>
  <c r="U435" i="7"/>
  <c r="Q436" i="7" s="1"/>
  <c r="V435" i="7"/>
  <c r="S436" i="7" l="1"/>
  <c r="T435" i="7"/>
  <c r="R436" i="7" s="1"/>
  <c r="P436" i="7"/>
  <c r="AC436" i="7" s="1"/>
  <c r="W436" i="7" s="1"/>
  <c r="AE436" i="7" l="1"/>
  <c r="AA436" i="7" s="1"/>
  <c r="AD436" i="7"/>
  <c r="Y436" i="7" s="1"/>
  <c r="V436" i="7"/>
  <c r="X436" i="7" l="1"/>
  <c r="Z436" i="7"/>
  <c r="U436" i="7"/>
  <c r="Q437" i="7" s="1"/>
  <c r="T436" i="7" l="1"/>
  <c r="R437" i="7" s="1"/>
  <c r="S437" i="7"/>
  <c r="P437" i="7" l="1"/>
  <c r="AD437" i="7" s="1"/>
  <c r="Y437" i="7" s="1"/>
  <c r="AE437" i="7" l="1"/>
  <c r="AA437" i="7" s="1"/>
  <c r="AC437" i="7"/>
  <c r="W437" i="7" s="1"/>
  <c r="X437" i="7"/>
  <c r="U437" i="7" l="1"/>
  <c r="Q438" i="7" s="1"/>
  <c r="V437" i="7"/>
  <c r="Z437" i="7"/>
  <c r="S438" i="7" l="1"/>
  <c r="T437" i="7"/>
  <c r="P438" i="7" s="1"/>
  <c r="R438" i="7" l="1"/>
  <c r="AE438" i="7"/>
  <c r="AA438" i="7" s="1"/>
  <c r="AD438" i="7"/>
  <c r="Y438" i="7" s="1"/>
  <c r="AC438" i="7"/>
  <c r="W438" i="7" s="1"/>
  <c r="U438" i="7" l="1"/>
  <c r="S439" i="7" s="1"/>
  <c r="X438" i="7"/>
  <c r="Z438" i="7"/>
  <c r="V438" i="7"/>
  <c r="Q439" i="7" l="1"/>
  <c r="T438" i="7"/>
  <c r="R439" i="7" s="1"/>
  <c r="P439" i="7" l="1"/>
  <c r="AD439" i="7" s="1"/>
  <c r="Y439" i="7" s="1"/>
  <c r="AE439" i="7" l="1"/>
  <c r="AA439" i="7" s="1"/>
  <c r="AC439" i="7"/>
  <c r="W439" i="7" s="1"/>
  <c r="X439" i="7"/>
  <c r="V439" i="7" l="1"/>
  <c r="Z439" i="7"/>
  <c r="U439" i="7"/>
  <c r="Q440" i="7" s="1"/>
  <c r="S440" i="7" l="1"/>
  <c r="T439" i="7"/>
  <c r="R440" i="7" s="1"/>
  <c r="P440" i="7" l="1"/>
  <c r="AE440" i="7" s="1"/>
  <c r="AA440" i="7" s="1"/>
  <c r="AD440" i="7" l="1"/>
  <c r="Y440" i="7" s="1"/>
  <c r="Z440" i="7"/>
  <c r="AC440" i="7"/>
  <c r="W440" i="7" s="1"/>
  <c r="X440" i="7" l="1"/>
  <c r="U440" i="7"/>
  <c r="S441" i="7" s="1"/>
  <c r="V440" i="7"/>
  <c r="T440" i="7" l="1"/>
  <c r="R441" i="7" s="1"/>
  <c r="Q441" i="7"/>
  <c r="P441" i="7" l="1"/>
  <c r="AE441" i="7" s="1"/>
  <c r="Z441" i="7" s="1"/>
  <c r="AD441" i="7" l="1"/>
  <c r="Y441" i="7" s="1"/>
  <c r="AC441" i="7"/>
  <c r="W441" i="7" s="1"/>
  <c r="AA441" i="7"/>
  <c r="X441" i="7"/>
  <c r="V441" i="7" l="1"/>
  <c r="T441" i="7" s="1"/>
  <c r="U441" i="7"/>
  <c r="Q442" i="7" s="1"/>
  <c r="S442" i="7"/>
  <c r="R442" i="7" l="1"/>
  <c r="P442" i="7"/>
  <c r="AD442" i="7"/>
  <c r="Y442" i="7" s="1"/>
  <c r="AC442" i="7"/>
  <c r="AE442" i="7"/>
  <c r="X442" i="7" l="1"/>
  <c r="Z442" i="7"/>
  <c r="AA442" i="7"/>
  <c r="V442" i="7"/>
  <c r="W442" i="7"/>
  <c r="U442" i="7" l="1"/>
  <c r="T442" i="7"/>
  <c r="P443" i="7" l="1"/>
  <c r="R443" i="7"/>
  <c r="S443" i="7"/>
  <c r="Q443" i="7"/>
  <c r="AC443" i="7" l="1"/>
  <c r="V443" i="7" s="1"/>
  <c r="AD443" i="7"/>
  <c r="Y443" i="7" s="1"/>
  <c r="AE443" i="7"/>
  <c r="AA443" i="7" s="1"/>
  <c r="X443" i="7" l="1"/>
  <c r="W443" i="7"/>
  <c r="U443" i="7" s="1"/>
  <c r="Z443" i="7"/>
  <c r="Q444" i="7" l="1"/>
  <c r="S444" i="7"/>
  <c r="T443" i="7"/>
  <c r="P444" i="7" l="1"/>
  <c r="R444" i="7"/>
  <c r="AE444" i="7" l="1"/>
  <c r="AC444" i="7"/>
  <c r="W444" i="7" s="1"/>
  <c r="AD444" i="7"/>
  <c r="Y444" i="7" s="1"/>
  <c r="X444" i="7" l="1"/>
  <c r="V444" i="7"/>
  <c r="Z444" i="7"/>
  <c r="AA444" i="7"/>
  <c r="U444" i="7" s="1"/>
  <c r="S445" i="7" l="1"/>
  <c r="Q445" i="7"/>
  <c r="T444" i="7"/>
  <c r="R445" i="7" l="1"/>
  <c r="P445" i="7"/>
  <c r="AC445" i="7" l="1"/>
  <c r="AE445" i="7"/>
  <c r="AD445" i="7"/>
  <c r="X445" i="7" l="1"/>
  <c r="Y445" i="7"/>
  <c r="Z445" i="7"/>
  <c r="AA445" i="7"/>
  <c r="V445" i="7"/>
  <c r="W445" i="7"/>
  <c r="T445" i="7" l="1"/>
  <c r="R446" i="7" s="1"/>
  <c r="U445" i="7"/>
  <c r="P446" i="7" l="1"/>
  <c r="Q446" i="7"/>
  <c r="S446" i="7"/>
  <c r="AC446" i="7" l="1"/>
  <c r="W446" i="7" s="1"/>
  <c r="AD446" i="7"/>
  <c r="Y446" i="7" s="1"/>
  <c r="AE446" i="7"/>
  <c r="V446" i="7" l="1"/>
  <c r="X446" i="7"/>
  <c r="AA446" i="7"/>
  <c r="U446" i="7" s="1"/>
  <c r="Z446" i="7"/>
  <c r="T446" i="7" l="1"/>
  <c r="R447" i="7" s="1"/>
  <c r="S447" i="7"/>
  <c r="Q447" i="7"/>
  <c r="P447" i="7" l="1"/>
  <c r="AE447" i="7" s="1"/>
  <c r="AA447" i="7" s="1"/>
  <c r="AC447" i="7" l="1"/>
  <c r="W447" i="7" s="1"/>
  <c r="AD447" i="7"/>
  <c r="Y447" i="7" s="1"/>
  <c r="Z447" i="7"/>
  <c r="U447" i="7" l="1"/>
  <c r="S448" i="7" s="1"/>
  <c r="V447" i="7"/>
  <c r="X447" i="7"/>
  <c r="Q448" i="7" l="1"/>
  <c r="T447" i="7"/>
  <c r="P448" i="7" s="1"/>
  <c r="R448" i="7" l="1"/>
  <c r="AD448" i="7"/>
  <c r="Y448" i="7" s="1"/>
  <c r="AC448" i="7"/>
  <c r="W448" i="7" s="1"/>
  <c r="AE448" i="7"/>
  <c r="AA448" i="7" s="1"/>
  <c r="U448" i="7" l="1"/>
  <c r="Q449" i="7" s="1"/>
  <c r="X448" i="7"/>
  <c r="V448" i="7"/>
  <c r="Z448" i="7"/>
  <c r="S449" i="7" l="1"/>
  <c r="T448" i="7"/>
  <c r="R449" i="7" l="1"/>
  <c r="P449" i="7"/>
  <c r="AD449" i="7" l="1"/>
  <c r="Y449" i="7" s="1"/>
  <c r="AC449" i="7"/>
  <c r="W449" i="7" s="1"/>
  <c r="AE449" i="7"/>
  <c r="AA449" i="7" s="1"/>
  <c r="X449" i="7" l="1"/>
  <c r="V449" i="7"/>
  <c r="Z449" i="7"/>
  <c r="U449" i="7"/>
  <c r="S450" i="7" l="1"/>
  <c r="Q450" i="7"/>
  <c r="T449" i="7"/>
  <c r="P450" i="7" l="1"/>
  <c r="R450" i="7"/>
  <c r="AD450" i="7" l="1"/>
  <c r="AC450" i="7"/>
  <c r="AE450" i="7"/>
  <c r="V450" i="7" l="1"/>
  <c r="W450" i="7"/>
  <c r="X450" i="7"/>
  <c r="Y450" i="7"/>
  <c r="Z450" i="7"/>
  <c r="AA450" i="7"/>
  <c r="U450" i="7" l="1"/>
  <c r="T450" i="7"/>
  <c r="R451" i="7" l="1"/>
  <c r="P451" i="7"/>
  <c r="Q451" i="7"/>
  <c r="S451" i="7"/>
  <c r="AC451" i="7" l="1"/>
  <c r="W451" i="7" s="1"/>
  <c r="AE451" i="7"/>
  <c r="AA451" i="7" s="1"/>
  <c r="AD451" i="7"/>
  <c r="Y451" i="7" s="1"/>
  <c r="X451" i="7" l="1"/>
  <c r="U451" i="7"/>
  <c r="Q452" i="7" s="1"/>
  <c r="V451" i="7"/>
  <c r="Z451" i="7"/>
  <c r="T451" i="7" l="1"/>
  <c r="R452" i="7" s="1"/>
  <c r="S452" i="7"/>
  <c r="P452" i="7" l="1"/>
  <c r="AC452" i="7" s="1"/>
  <c r="W452" i="7" s="1"/>
  <c r="AD452" i="7" l="1"/>
  <c r="Y452" i="7" s="1"/>
  <c r="AE452" i="7"/>
  <c r="Z452" i="7" s="1"/>
  <c r="V452" i="7"/>
  <c r="AA452" i="7" l="1"/>
  <c r="U452" i="7" s="1"/>
  <c r="X452" i="7"/>
  <c r="T452" i="7" s="1"/>
  <c r="S453" i="7" l="1"/>
  <c r="Q453" i="7"/>
  <c r="P453" i="7"/>
  <c r="R453" i="7"/>
  <c r="AD453" i="7" l="1"/>
  <c r="Y453" i="7" s="1"/>
  <c r="AC453" i="7"/>
  <c r="W453" i="7" s="1"/>
  <c r="AE453" i="7"/>
  <c r="AA453" i="7" s="1"/>
  <c r="Z453" i="7" l="1"/>
  <c r="X453" i="7"/>
  <c r="V453" i="7"/>
  <c r="U453" i="7"/>
  <c r="Q454" i="7" l="1"/>
  <c r="S454" i="7"/>
  <c r="T453" i="7"/>
  <c r="R454" i="7" l="1"/>
  <c r="P454" i="7"/>
  <c r="AD454" i="7" l="1"/>
  <c r="Y454" i="7" s="1"/>
  <c r="AE454" i="7"/>
  <c r="AA454" i="7" s="1"/>
  <c r="AC454" i="7"/>
  <c r="W454" i="7" s="1"/>
  <c r="U454" i="7" l="1"/>
  <c r="S455" i="7" s="1"/>
  <c r="Z454" i="7"/>
  <c r="V454" i="7"/>
  <c r="X454" i="7"/>
  <c r="Q455" i="7" l="1"/>
  <c r="T454" i="7"/>
  <c r="P455" i="7" s="1"/>
  <c r="R455" i="7" l="1"/>
  <c r="AC455" i="7"/>
  <c r="W455" i="7" s="1"/>
  <c r="AD455" i="7"/>
  <c r="Y455" i="7" s="1"/>
  <c r="AE455" i="7"/>
  <c r="AA455" i="7" s="1"/>
  <c r="X455" i="7" l="1"/>
  <c r="V455" i="7"/>
  <c r="Z455" i="7"/>
  <c r="U455" i="7"/>
  <c r="Q456" i="7" l="1"/>
  <c r="S456" i="7"/>
  <c r="T455" i="7"/>
  <c r="R456" i="7" l="1"/>
  <c r="P456" i="7"/>
  <c r="AC456" i="7" l="1"/>
  <c r="W456" i="7" s="1"/>
  <c r="AD456" i="7"/>
  <c r="Y456" i="7" s="1"/>
  <c r="AE456" i="7"/>
  <c r="AA456" i="7" s="1"/>
  <c r="Z456" i="7" l="1"/>
  <c r="V456" i="7"/>
  <c r="X456" i="7"/>
  <c r="U456" i="7"/>
  <c r="S457" i="7" l="1"/>
  <c r="Q457" i="7"/>
  <c r="T456" i="7"/>
  <c r="R457" i="7" l="1"/>
  <c r="P457" i="7"/>
  <c r="AC457" i="7" l="1"/>
  <c r="W457" i="7" s="1"/>
  <c r="AD457" i="7"/>
  <c r="Y457" i="7" s="1"/>
  <c r="AE457" i="7"/>
  <c r="AA457" i="7" s="1"/>
  <c r="Z457" i="7" l="1"/>
  <c r="X457" i="7"/>
  <c r="V457" i="7"/>
  <c r="U457" i="7"/>
  <c r="Q458" i="7" l="1"/>
  <c r="S458" i="7"/>
  <c r="T457" i="7"/>
  <c r="R458" i="7" l="1"/>
  <c r="P458" i="7"/>
  <c r="AE458" i="7" l="1"/>
  <c r="AA458" i="7" s="1"/>
  <c r="AD458" i="7"/>
  <c r="Y458" i="7" s="1"/>
  <c r="AC458" i="7"/>
  <c r="W458" i="7" s="1"/>
  <c r="U458" i="7" l="1"/>
  <c r="Q459" i="7" s="1"/>
  <c r="Z458" i="7"/>
  <c r="V458" i="7"/>
  <c r="X458" i="7"/>
  <c r="S459" i="7" l="1"/>
  <c r="T458" i="7"/>
  <c r="R459" i="7" l="1"/>
  <c r="P459" i="7"/>
  <c r="AD459" i="7" l="1"/>
  <c r="Y459" i="7" s="1"/>
  <c r="AE459" i="7"/>
  <c r="AA459" i="7" s="1"/>
  <c r="AC459" i="7"/>
  <c r="Z459" i="7" l="1"/>
  <c r="V459" i="7"/>
  <c r="W459" i="7"/>
  <c r="U459" i="7" s="1"/>
  <c r="X459" i="7"/>
  <c r="Q460" i="7" l="1"/>
  <c r="S460" i="7"/>
  <c r="T459" i="7"/>
  <c r="P460" i="7" l="1"/>
  <c r="R460" i="7"/>
  <c r="AC460" i="7" l="1"/>
  <c r="AD460" i="7"/>
  <c r="AE460" i="7"/>
  <c r="Z460" i="7" l="1"/>
  <c r="AA460" i="7"/>
  <c r="X460" i="7"/>
  <c r="Y460" i="7"/>
  <c r="V460" i="7"/>
  <c r="W460" i="7"/>
  <c r="T460" i="7" l="1"/>
  <c r="R461" i="7" s="1"/>
  <c r="U460" i="7"/>
  <c r="P461" i="7" l="1"/>
  <c r="S461" i="7"/>
  <c r="Q461" i="7"/>
  <c r="AE461" i="7" l="1"/>
  <c r="Z461" i="7" s="1"/>
  <c r="AD461" i="7"/>
  <c r="X461" i="7" s="1"/>
  <c r="AC461" i="7"/>
  <c r="V461" i="7" s="1"/>
  <c r="T461" i="7" l="1"/>
  <c r="Y461" i="7"/>
  <c r="W461" i="7"/>
  <c r="AA461" i="7"/>
  <c r="U461" i="7" l="1"/>
  <c r="R462" i="7"/>
  <c r="P462" i="7"/>
  <c r="S462" i="7" l="1"/>
  <c r="Q462" i="7"/>
  <c r="AE462" i="7" l="1"/>
  <c r="Z462" i="7" s="1"/>
  <c r="AC462" i="7"/>
  <c r="V462" i="7" s="1"/>
  <c r="AD462" i="7"/>
  <c r="X462" i="7" s="1"/>
  <c r="T462" i="7" l="1"/>
  <c r="AA462" i="7"/>
  <c r="W462" i="7"/>
  <c r="Y462" i="7"/>
  <c r="U462" i="7" l="1"/>
  <c r="R463" i="7"/>
  <c r="P463" i="7"/>
  <c r="Q463" i="7" l="1"/>
  <c r="S463" i="7"/>
  <c r="AE463" i="7" l="1"/>
  <c r="Z463" i="7" s="1"/>
  <c r="AC463" i="7"/>
  <c r="V463" i="7" s="1"/>
  <c r="AD463" i="7"/>
  <c r="X463" i="7" s="1"/>
  <c r="T463" i="7" l="1"/>
  <c r="W463" i="7"/>
  <c r="Y463" i="7"/>
  <c r="AA463" i="7"/>
  <c r="U463" i="7" l="1"/>
  <c r="P464" i="7"/>
  <c r="R464" i="7"/>
  <c r="S464" i="7" l="1"/>
  <c r="Q464" i="7"/>
  <c r="AE464" i="7" l="1"/>
  <c r="Z464" i="7" s="1"/>
  <c r="AC464" i="7"/>
  <c r="V464" i="7" s="1"/>
  <c r="AD464" i="7"/>
  <c r="X464" i="7" s="1"/>
  <c r="T464" i="7" l="1"/>
  <c r="AA464" i="7"/>
  <c r="Y464" i="7"/>
  <c r="W464" i="7"/>
  <c r="U464" i="7" l="1"/>
  <c r="Q465" i="7" s="1"/>
  <c r="R465" i="7"/>
  <c r="P465" i="7"/>
  <c r="S465" i="7" l="1"/>
  <c r="AD465" i="7"/>
  <c r="X465" i="7" s="1"/>
  <c r="AE465" i="7"/>
  <c r="Z465" i="7" s="1"/>
  <c r="AC465" i="7"/>
  <c r="V465" i="7" s="1"/>
  <c r="T465" i="7" l="1"/>
  <c r="P466" i="7" s="1"/>
  <c r="AA465" i="7"/>
  <c r="W465" i="7"/>
  <c r="Y465" i="7"/>
  <c r="R466" i="7" l="1"/>
  <c r="U465" i="7"/>
  <c r="S466" i="7" l="1"/>
  <c r="Q466" i="7"/>
  <c r="AE466" i="7" l="1"/>
  <c r="Z466" i="7" s="1"/>
  <c r="AC466" i="7"/>
  <c r="V466" i="7" s="1"/>
  <c r="AD466" i="7"/>
  <c r="Y466" i="7" l="1"/>
  <c r="X466" i="7"/>
  <c r="T466" i="7" s="1"/>
  <c r="W466" i="7"/>
  <c r="AA466" i="7"/>
  <c r="U466" i="7" l="1"/>
  <c r="S467" i="7" s="1"/>
  <c r="R467" i="7"/>
  <c r="P467" i="7"/>
  <c r="Q467" i="7" l="1"/>
  <c r="AE467" i="7" s="1"/>
  <c r="Z467" i="7" s="1"/>
  <c r="AD467" i="7" l="1"/>
  <c r="Y467" i="7" s="1"/>
  <c r="AC467" i="7"/>
  <c r="V467" i="7" s="1"/>
  <c r="AA467" i="7"/>
  <c r="X467" i="7" l="1"/>
  <c r="T467" i="7" s="1"/>
  <c r="P468" i="7" s="1"/>
  <c r="W467" i="7"/>
  <c r="U467" i="7" s="1"/>
  <c r="Q468" i="7" s="1"/>
  <c r="R468" i="7" l="1"/>
  <c r="S468" i="7"/>
  <c r="AE468" i="7"/>
  <c r="AA468" i="7" s="1"/>
  <c r="AD468" i="7"/>
  <c r="X468" i="7" s="1"/>
  <c r="AC468" i="7"/>
  <c r="W468" i="7" s="1"/>
  <c r="V468" i="7" l="1"/>
  <c r="Z468" i="7"/>
  <c r="Y468" i="7"/>
  <c r="U468" i="7" s="1"/>
  <c r="T468" i="7" l="1"/>
  <c r="R469" i="7" s="1"/>
  <c r="Q469" i="7"/>
  <c r="S469" i="7"/>
  <c r="P469" i="7" l="1"/>
  <c r="AE469" i="7" s="1"/>
  <c r="AA469" i="7" s="1"/>
  <c r="AD469" i="7" l="1"/>
  <c r="Y469" i="7" s="1"/>
  <c r="AC469" i="7"/>
  <c r="W469" i="7" s="1"/>
  <c r="Z469" i="7"/>
  <c r="X469" i="7" l="1"/>
  <c r="U469" i="7"/>
  <c r="S470" i="7" s="1"/>
  <c r="V469" i="7"/>
  <c r="Q470" i="7" l="1"/>
  <c r="T469" i="7"/>
  <c r="R470" i="7" s="1"/>
  <c r="P470" i="7" l="1"/>
  <c r="AE470" i="7" s="1"/>
  <c r="AA470" i="7" s="1"/>
  <c r="AD470" i="7" l="1"/>
  <c r="Y470" i="7" s="1"/>
  <c r="AC470" i="7"/>
  <c r="W470" i="7" s="1"/>
  <c r="Z470" i="7"/>
  <c r="U470" i="7" l="1"/>
  <c r="S471" i="7" s="1"/>
  <c r="X470" i="7"/>
  <c r="V470" i="7"/>
  <c r="Q471" i="7" l="1"/>
  <c r="T470" i="7"/>
  <c r="R471" i="7" s="1"/>
  <c r="P471" i="7" l="1"/>
  <c r="AD471" i="7" s="1"/>
  <c r="Y471" i="7" s="1"/>
  <c r="AE471" i="7" l="1"/>
  <c r="AA471" i="7" s="1"/>
  <c r="AC471" i="7"/>
  <c r="W471" i="7" s="1"/>
  <c r="X471" i="7"/>
  <c r="U471" i="7" l="1"/>
  <c r="Z471" i="7"/>
  <c r="V471" i="7"/>
  <c r="Q472" i="7"/>
  <c r="S472" i="7"/>
  <c r="T471" i="7" l="1"/>
  <c r="R472" i="7"/>
  <c r="P472" i="7"/>
  <c r="AE472" i="7" l="1"/>
  <c r="AA472" i="7" s="1"/>
  <c r="AD472" i="7"/>
  <c r="Y472" i="7" s="1"/>
  <c r="AC472" i="7"/>
  <c r="W472" i="7" s="1"/>
  <c r="U472" i="7" l="1"/>
  <c r="S473" i="7" s="1"/>
  <c r="Z472" i="7"/>
  <c r="V472" i="7"/>
  <c r="X472" i="7"/>
  <c r="Q473" i="7" l="1"/>
  <c r="T472" i="7"/>
  <c r="P473" i="7" l="1"/>
  <c r="R473" i="7"/>
  <c r="AC473" i="7" l="1"/>
  <c r="AD473" i="7"/>
  <c r="AE473" i="7"/>
  <c r="Z473" i="7" l="1"/>
  <c r="AA473" i="7"/>
  <c r="V473" i="7"/>
  <c r="W473" i="7"/>
  <c r="X473" i="7"/>
  <c r="Y473" i="7"/>
  <c r="U473" i="7" l="1"/>
  <c r="T473" i="7"/>
  <c r="R474" i="7" l="1"/>
  <c r="P474" i="7"/>
  <c r="S474" i="7"/>
  <c r="Q474" i="7"/>
  <c r="AD474" i="7" l="1"/>
  <c r="X474" i="7" s="1"/>
  <c r="AC474" i="7"/>
  <c r="V474" i="7" s="1"/>
  <c r="AE474" i="7"/>
  <c r="Z474" i="7" s="1"/>
  <c r="T474" i="7" l="1"/>
  <c r="Y474" i="7"/>
  <c r="AA474" i="7"/>
  <c r="W474" i="7"/>
  <c r="U474" i="7" l="1"/>
  <c r="S475" i="7" s="1"/>
  <c r="P475" i="7"/>
  <c r="R475" i="7"/>
  <c r="Q475" i="7" l="1"/>
  <c r="AE475" i="7" s="1"/>
  <c r="Z475" i="7" s="1"/>
  <c r="AD475" i="7" l="1"/>
  <c r="X475" i="7" s="1"/>
  <c r="AC475" i="7"/>
  <c r="V475" i="7" s="1"/>
  <c r="AA475" i="7"/>
  <c r="Y475" i="7" l="1"/>
  <c r="T475" i="7"/>
  <c r="R476" i="7" s="1"/>
  <c r="W475" i="7"/>
  <c r="U475" i="7" l="1"/>
  <c r="S476" i="7" s="1"/>
  <c r="P476" i="7"/>
  <c r="Q476" i="7" l="1"/>
  <c r="AC476" i="7" s="1"/>
  <c r="AD476" i="7" l="1"/>
  <c r="Y476" i="7" s="1"/>
  <c r="AE476" i="7"/>
  <c r="AA476" i="7" s="1"/>
  <c r="W476" i="7"/>
  <c r="V476" i="7"/>
  <c r="X476" i="7" l="1"/>
  <c r="Z476" i="7"/>
  <c r="U476" i="7"/>
  <c r="T476" i="7" l="1"/>
  <c r="R477" i="7" s="1"/>
  <c r="P477" i="7"/>
  <c r="Q477" i="7"/>
  <c r="S477" i="7"/>
  <c r="AE477" i="7" l="1"/>
  <c r="AA477" i="7" s="1"/>
  <c r="AC477" i="7"/>
  <c r="W477" i="7" s="1"/>
  <c r="AD477" i="7"/>
  <c r="Y477" i="7" s="1"/>
  <c r="V477" i="7" l="1"/>
  <c r="X477" i="7"/>
  <c r="Z477" i="7"/>
  <c r="U477" i="7"/>
  <c r="Q478" i="7" l="1"/>
  <c r="S478" i="7"/>
  <c r="T477" i="7"/>
  <c r="R478" i="7" l="1"/>
  <c r="P478" i="7"/>
  <c r="AD478" i="7" l="1"/>
  <c r="Y478" i="7" s="1"/>
  <c r="AE478" i="7"/>
  <c r="AA478" i="7" s="1"/>
  <c r="AC478" i="7"/>
  <c r="W478" i="7" s="1"/>
  <c r="U478" i="7" l="1"/>
  <c r="Z478" i="7"/>
  <c r="V478" i="7"/>
  <c r="X478" i="7"/>
  <c r="T478" i="7" l="1"/>
  <c r="S479" i="7"/>
  <c r="Q479" i="7"/>
  <c r="P479" i="7" l="1"/>
  <c r="R479" i="7"/>
  <c r="AD479" i="7" l="1"/>
  <c r="Y479" i="7" s="1"/>
  <c r="AC479" i="7"/>
  <c r="W479" i="7" s="1"/>
  <c r="AE479" i="7"/>
  <c r="AA479" i="7" s="1"/>
  <c r="U479" i="7" l="1"/>
  <c r="Q480" i="7" s="1"/>
  <c r="Z479" i="7"/>
  <c r="V479" i="7"/>
  <c r="X479" i="7"/>
  <c r="S480" i="7" l="1"/>
  <c r="T479" i="7"/>
  <c r="R480" i="7" l="1"/>
  <c r="P480" i="7"/>
  <c r="AD480" i="7" l="1"/>
  <c r="Y480" i="7" s="1"/>
  <c r="AC480" i="7"/>
  <c r="W480" i="7" s="1"/>
  <c r="AE480" i="7"/>
  <c r="AA480" i="7" s="1"/>
  <c r="U480" i="7" l="1"/>
  <c r="S481" i="7" s="1"/>
  <c r="Z480" i="7"/>
  <c r="X480" i="7"/>
  <c r="V480" i="7"/>
  <c r="T480" i="7" l="1"/>
  <c r="R481" i="7" s="1"/>
  <c r="Q481" i="7"/>
  <c r="P481" i="7" l="1"/>
  <c r="AC481" i="7" s="1"/>
  <c r="W481" i="7" s="1"/>
  <c r="AE481" i="7" l="1"/>
  <c r="AA481" i="7" s="1"/>
  <c r="AD481" i="7"/>
  <c r="Y481" i="7" s="1"/>
  <c r="U481" i="7" s="1"/>
  <c r="V481" i="7"/>
  <c r="Z481" i="7"/>
  <c r="X481" i="7" l="1"/>
  <c r="T481" i="7" s="1"/>
  <c r="Q482" i="7"/>
  <c r="S482" i="7"/>
  <c r="R482" i="7" l="1"/>
  <c r="P482" i="7"/>
  <c r="AC482" i="7" l="1"/>
  <c r="AD482" i="7"/>
  <c r="AE482" i="7"/>
  <c r="Z482" i="7" l="1"/>
  <c r="AA482" i="7"/>
  <c r="X482" i="7"/>
  <c r="Y482" i="7"/>
  <c r="V482" i="7"/>
  <c r="W482" i="7"/>
  <c r="T482" i="7" l="1"/>
  <c r="U482" i="7"/>
  <c r="S483" i="7" l="1"/>
  <c r="Q483" i="7"/>
  <c r="P483" i="7"/>
  <c r="R483" i="7"/>
  <c r="AD483" i="7" l="1"/>
  <c r="X483" i="7" s="1"/>
  <c r="AE483" i="7"/>
  <c r="Z483" i="7" s="1"/>
  <c r="AC483" i="7"/>
  <c r="V483" i="7" s="1"/>
  <c r="Y483" i="7" l="1"/>
  <c r="W483" i="7"/>
  <c r="AA483" i="7"/>
  <c r="T483" i="7"/>
  <c r="R484" i="7" l="1"/>
  <c r="P484" i="7"/>
  <c r="U483" i="7"/>
  <c r="S484" i="7" l="1"/>
  <c r="Q484" i="7"/>
  <c r="AD484" i="7" s="1"/>
  <c r="X484" i="7" s="1"/>
  <c r="AE484" i="7" l="1"/>
  <c r="Z484" i="7" s="1"/>
  <c r="AC484" i="7"/>
  <c r="V484" i="7" s="1"/>
  <c r="Y484" i="7"/>
  <c r="T484" i="7" l="1"/>
  <c r="P485" i="7" s="1"/>
  <c r="AA484" i="7"/>
  <c r="W484" i="7"/>
  <c r="R485" i="7" l="1"/>
  <c r="U484" i="7"/>
  <c r="Q485" i="7" s="1"/>
  <c r="AD485" i="7" s="1"/>
  <c r="X485" i="7" s="1"/>
  <c r="S485" i="7" l="1"/>
  <c r="Y485" i="7"/>
  <c r="AE485" i="7"/>
  <c r="Z485" i="7" s="1"/>
  <c r="AC485" i="7"/>
  <c r="V485" i="7" s="1"/>
  <c r="T485" i="7" l="1"/>
  <c r="AA485" i="7"/>
  <c r="W485" i="7"/>
  <c r="U485" i="7" l="1"/>
  <c r="Q486" i="7" s="1"/>
  <c r="R486" i="7"/>
  <c r="P486" i="7"/>
  <c r="S486" i="7" l="1"/>
  <c r="AD486" i="7"/>
  <c r="X486" i="7" s="1"/>
  <c r="AE486" i="7"/>
  <c r="Z486" i="7" s="1"/>
  <c r="AC486" i="7"/>
  <c r="V486" i="7" s="1"/>
  <c r="Y486" i="7" l="1"/>
  <c r="AA486" i="7"/>
  <c r="W486" i="7"/>
  <c r="T486" i="7"/>
  <c r="U486" i="7" l="1"/>
  <c r="P487" i="7"/>
  <c r="R487" i="7"/>
  <c r="Q487" i="7" l="1"/>
  <c r="S487" i="7"/>
  <c r="AD487" i="7" l="1"/>
  <c r="X487" i="7" s="1"/>
  <c r="AC487" i="7"/>
  <c r="V487" i="7" s="1"/>
  <c r="AE487" i="7"/>
  <c r="Z487" i="7" s="1"/>
  <c r="T487" i="7" l="1"/>
  <c r="W487" i="7"/>
  <c r="AA487" i="7"/>
  <c r="Y487" i="7"/>
  <c r="U487" i="7" l="1"/>
  <c r="R488" i="7"/>
  <c r="P488" i="7"/>
  <c r="S488" i="7" l="1"/>
  <c r="Q488" i="7"/>
  <c r="AD488" i="7" l="1"/>
  <c r="X488" i="7" s="1"/>
  <c r="AE488" i="7"/>
  <c r="Z488" i="7" s="1"/>
  <c r="AC488" i="7"/>
  <c r="V488" i="7" s="1"/>
  <c r="T488" i="7" l="1"/>
  <c r="AA488" i="7"/>
  <c r="W488" i="7"/>
  <c r="Y488" i="7"/>
  <c r="U488" i="7" l="1"/>
  <c r="R489" i="7"/>
  <c r="P489" i="7"/>
  <c r="Q489" i="7" l="1"/>
  <c r="AE489" i="7" s="1"/>
  <c r="Z489" i="7" s="1"/>
  <c r="S489" i="7"/>
  <c r="AC489" i="7" l="1"/>
  <c r="V489" i="7" s="1"/>
  <c r="AA489" i="7"/>
  <c r="AD489" i="7"/>
  <c r="X489" i="7" s="1"/>
  <c r="T489" i="7" l="1"/>
  <c r="P490" i="7" s="1"/>
  <c r="W489" i="7"/>
  <c r="Y489" i="7"/>
  <c r="R490" i="7" l="1"/>
  <c r="U489" i="7"/>
  <c r="Q490" i="7" l="1"/>
  <c r="S490" i="7"/>
  <c r="AE490" i="7" l="1"/>
  <c r="Z490" i="7" s="1"/>
  <c r="AC490" i="7"/>
  <c r="V490" i="7" s="1"/>
  <c r="AD490" i="7"/>
  <c r="X490" i="7" s="1"/>
  <c r="W490" i="7" l="1"/>
  <c r="T490" i="7"/>
  <c r="Y490" i="7"/>
  <c r="AA490" i="7"/>
  <c r="U490" i="7" l="1"/>
  <c r="Q491" i="7" s="1"/>
  <c r="P491" i="7"/>
  <c r="R491" i="7"/>
  <c r="S491" i="7" l="1"/>
  <c r="AE491" i="7"/>
  <c r="Z491" i="7" s="1"/>
  <c r="AD491" i="7"/>
  <c r="X491" i="7" s="1"/>
  <c r="AC491" i="7"/>
  <c r="W491" i="7" s="1"/>
  <c r="Y491" i="7" l="1"/>
  <c r="AA491" i="7"/>
  <c r="V491" i="7"/>
  <c r="T491" i="7" s="1"/>
  <c r="U491" i="7" l="1"/>
  <c r="S492" i="7" s="1"/>
  <c r="R492" i="7"/>
  <c r="P492" i="7"/>
  <c r="Q492" i="7" l="1"/>
  <c r="AD492" i="7" s="1"/>
  <c r="X492" i="7" s="1"/>
  <c r="AE492" i="7" l="1"/>
  <c r="Z492" i="7" s="1"/>
  <c r="AC492" i="7"/>
  <c r="V492" i="7" s="1"/>
  <c r="Y492" i="7"/>
  <c r="AA492" i="7" l="1"/>
  <c r="T492" i="7"/>
  <c r="R493" i="7" s="1"/>
  <c r="W492" i="7"/>
  <c r="U492" i="7" l="1"/>
  <c r="Q493" i="7" s="1"/>
  <c r="P493" i="7"/>
  <c r="S493" i="7" l="1"/>
  <c r="AC493" i="7"/>
  <c r="W493" i="7" s="1"/>
  <c r="AD493" i="7"/>
  <c r="Y493" i="7" s="1"/>
  <c r="AE493" i="7"/>
  <c r="AA493" i="7" s="1"/>
  <c r="U493" i="7" l="1"/>
  <c r="S494" i="7" s="1"/>
  <c r="X493" i="7"/>
  <c r="V493" i="7"/>
  <c r="Z493" i="7"/>
  <c r="Q494" i="7" l="1"/>
  <c r="T493" i="7"/>
  <c r="P494" i="7" s="1"/>
  <c r="R494" i="7" l="1"/>
  <c r="AC494" i="7"/>
  <c r="W494" i="7" s="1"/>
  <c r="AD494" i="7"/>
  <c r="Y494" i="7" s="1"/>
  <c r="AE494" i="7"/>
  <c r="AA494" i="7" s="1"/>
  <c r="X494" i="7" l="1"/>
  <c r="Z494" i="7"/>
  <c r="U494" i="7"/>
  <c r="S495" i="7" s="1"/>
  <c r="V494" i="7"/>
  <c r="Q495" i="7" l="1"/>
  <c r="T494" i="7"/>
  <c r="R495" i="7" s="1"/>
  <c r="P495" i="7" l="1"/>
  <c r="AE495" i="7" s="1"/>
  <c r="AA495" i="7" s="1"/>
  <c r="Z495" i="7" l="1"/>
  <c r="AC495" i="7"/>
  <c r="W495" i="7" s="1"/>
  <c r="AD495" i="7"/>
  <c r="Y495" i="7" s="1"/>
  <c r="U495" i="7" l="1"/>
  <c r="S496" i="7" s="1"/>
  <c r="V495" i="7"/>
  <c r="X495" i="7"/>
  <c r="Q496" i="7"/>
  <c r="T495" i="7" l="1"/>
  <c r="P496" i="7" s="1"/>
  <c r="AD496" i="7" s="1"/>
  <c r="Y496" i="7" s="1"/>
  <c r="AC496" i="7" l="1"/>
  <c r="W496" i="7" s="1"/>
  <c r="AE496" i="7"/>
  <c r="AA496" i="7" s="1"/>
  <c r="X496" i="7"/>
  <c r="R496" i="7"/>
  <c r="V496" i="7" l="1"/>
  <c r="U496" i="7"/>
  <c r="Q497" i="7" s="1"/>
  <c r="Z496" i="7"/>
  <c r="S497" i="7"/>
  <c r="T496" i="7" l="1"/>
  <c r="R497" i="7" s="1"/>
  <c r="P497" i="7"/>
  <c r="AC497" i="7" s="1"/>
  <c r="W497" i="7" s="1"/>
  <c r="V497" i="7" l="1"/>
  <c r="AE497" i="7"/>
  <c r="AA497" i="7" s="1"/>
  <c r="AD497" i="7"/>
  <c r="Y497" i="7" s="1"/>
  <c r="Z497" i="7" l="1"/>
  <c r="U497" i="7"/>
  <c r="S498" i="7" s="1"/>
  <c r="X497" i="7"/>
  <c r="Q498" i="7" l="1"/>
  <c r="T497" i="7"/>
  <c r="R498" i="7" s="1"/>
  <c r="P498" i="7"/>
  <c r="AC498" i="7" l="1"/>
  <c r="W498" i="7" s="1"/>
  <c r="AD498" i="7"/>
  <c r="X498" i="7" s="1"/>
  <c r="AE498" i="7"/>
  <c r="Z498" i="7" s="1"/>
  <c r="V498" i="7" l="1"/>
  <c r="T498" i="7" s="1"/>
  <c r="R499" i="7" s="1"/>
  <c r="AA498" i="7"/>
  <c r="Y498" i="7"/>
  <c r="P499" i="7" l="1"/>
  <c r="U498" i="7"/>
  <c r="Q499" i="7" s="1"/>
  <c r="AC499" i="7" l="1"/>
  <c r="W499" i="7" s="1"/>
  <c r="S499" i="7"/>
  <c r="AE499" i="7"/>
  <c r="AA499" i="7" s="1"/>
  <c r="AD499" i="7"/>
  <c r="Y499" i="7" s="1"/>
  <c r="V499" i="7"/>
  <c r="U499" i="7" l="1"/>
  <c r="Q500" i="7" s="1"/>
  <c r="Z499" i="7"/>
  <c r="X499" i="7"/>
  <c r="S500" i="7"/>
  <c r="T499" i="7" l="1"/>
  <c r="P500" i="7" s="1"/>
  <c r="AD500" i="7" s="1"/>
  <c r="X500" i="7" s="1"/>
  <c r="R500" i="7" l="1"/>
  <c r="AC500" i="7"/>
  <c r="V500" i="7" s="1"/>
  <c r="Y500" i="7"/>
  <c r="AE500" i="7"/>
  <c r="Z500" i="7" s="1"/>
  <c r="T500" i="7" s="1"/>
  <c r="R501" i="7" s="1"/>
  <c r="W500" i="7" l="1"/>
  <c r="AA500" i="7"/>
  <c r="P501" i="7"/>
  <c r="U500" i="7" l="1"/>
  <c r="S501" i="7" s="1"/>
  <c r="Q501" i="7"/>
  <c r="AD501" i="7" s="1"/>
  <c r="X501" i="7" s="1"/>
  <c r="AC501" i="7" l="1"/>
  <c r="W501" i="7" s="1"/>
  <c r="Y501" i="7"/>
  <c r="AE501" i="7"/>
  <c r="Z501" i="7" s="1"/>
  <c r="V501" i="7" l="1"/>
  <c r="T501" i="7" s="1"/>
  <c r="R502" i="7" s="1"/>
  <c r="AA501" i="7"/>
  <c r="U501" i="7" s="1"/>
  <c r="S502" i="7" s="1"/>
  <c r="P502" i="7" l="1"/>
  <c r="Q502" i="7"/>
  <c r="AD502" i="7" l="1"/>
  <c r="X502" i="7" s="1"/>
  <c r="AC502" i="7"/>
  <c r="V502" i="7" s="1"/>
  <c r="AE502" i="7"/>
  <c r="AA502" i="7" s="1"/>
  <c r="Y502" i="7" l="1"/>
  <c r="W502" i="7"/>
  <c r="Z502" i="7"/>
  <c r="T502" i="7" s="1"/>
  <c r="U502" i="7" l="1"/>
  <c r="S503" i="7" s="1"/>
  <c r="P503" i="7"/>
  <c r="R503" i="7"/>
  <c r="Q503" i="7" l="1"/>
  <c r="AE503" i="7" s="1"/>
  <c r="AD503" i="7" l="1"/>
  <c r="Y503" i="7" s="1"/>
  <c r="AC503" i="7"/>
  <c r="V503" i="7" s="1"/>
  <c r="Z503" i="7"/>
  <c r="AA503" i="7"/>
  <c r="X503" i="7"/>
  <c r="T503" i="7" l="1"/>
  <c r="R504" i="7" s="1"/>
  <c r="W503" i="7"/>
  <c r="U503" i="7" s="1"/>
  <c r="P504" i="7"/>
  <c r="Q504" i="7" l="1"/>
  <c r="AD504" i="7" s="1"/>
  <c r="S504" i="7"/>
  <c r="AC504" i="7"/>
  <c r="V504" i="7" s="1"/>
  <c r="AE504" i="7"/>
  <c r="Z504" i="7" s="1"/>
  <c r="X504" i="7" l="1"/>
  <c r="Y504" i="7"/>
  <c r="W504" i="7"/>
  <c r="T504" i="7"/>
  <c r="R505" i="7" s="1"/>
  <c r="AA504" i="7"/>
  <c r="U504" i="7" s="1"/>
  <c r="S505" i="7" s="1"/>
  <c r="P505" i="7" l="1"/>
  <c r="Q505" i="7"/>
  <c r="AC505" i="7" l="1"/>
  <c r="V505" i="7" s="1"/>
  <c r="AD505" i="7"/>
  <c r="X505" i="7" s="1"/>
  <c r="AE505" i="7"/>
  <c r="Z505" i="7" s="1"/>
  <c r="W505" i="7" l="1"/>
  <c r="T505" i="7"/>
  <c r="R506" i="7" s="1"/>
  <c r="Y505" i="7"/>
  <c r="AA505" i="7"/>
  <c r="P506" i="7"/>
  <c r="U505" i="7" l="1"/>
  <c r="S506" i="7" s="1"/>
  <c r="Q506" i="7" l="1"/>
  <c r="AC506" i="7" s="1"/>
  <c r="V506" i="7" s="1"/>
  <c r="AD506" i="7" l="1"/>
  <c r="X506" i="7" s="1"/>
  <c r="AE506" i="7"/>
  <c r="Z506" i="7" s="1"/>
  <c r="W506" i="7"/>
  <c r="Y506" i="7" l="1"/>
  <c r="AA506" i="7"/>
  <c r="U506" i="7" s="1"/>
  <c r="S507" i="7" s="1"/>
  <c r="T506" i="7"/>
  <c r="R507" i="7" s="1"/>
  <c r="P507" i="7" l="1"/>
  <c r="Q507" i="7"/>
  <c r="AE507" i="7" s="1"/>
  <c r="AD507" i="7" l="1"/>
  <c r="X507" i="7" s="1"/>
  <c r="Z507" i="7"/>
  <c r="AA507" i="7"/>
  <c r="AC507" i="7"/>
  <c r="V507" i="7" s="1"/>
  <c r="T507" i="7" l="1"/>
  <c r="R508" i="7" s="1"/>
  <c r="Y507" i="7"/>
  <c r="W507" i="7"/>
  <c r="P508" i="7" l="1"/>
  <c r="U507" i="7"/>
  <c r="S508" i="7" s="1"/>
  <c r="Q508" i="7" l="1"/>
  <c r="AD508" i="7" s="1"/>
  <c r="X508" i="7" s="1"/>
  <c r="AC508" i="7" l="1"/>
  <c r="V508" i="7" s="1"/>
  <c r="AE508" i="7"/>
  <c r="Z508" i="7" s="1"/>
  <c r="Y508" i="7"/>
  <c r="T508" i="7" l="1"/>
  <c r="P509" i="7" s="1"/>
  <c r="W508" i="7"/>
  <c r="AA508" i="7"/>
  <c r="R509" i="7" l="1"/>
  <c r="U508" i="7"/>
  <c r="S509" i="7" s="1"/>
  <c r="Q509" i="7" l="1"/>
  <c r="AD509" i="7" s="1"/>
  <c r="AC509" i="7" l="1"/>
  <c r="V509" i="7" s="1"/>
  <c r="AE509" i="7"/>
  <c r="AA509" i="7" s="1"/>
  <c r="Y509" i="7"/>
  <c r="X509" i="7"/>
  <c r="W509" i="7" l="1"/>
  <c r="U509" i="7" s="1"/>
  <c r="Z509" i="7"/>
  <c r="T509" i="7" s="1"/>
  <c r="R510" i="7" l="1"/>
  <c r="P510" i="7"/>
  <c r="Q510" i="7"/>
  <c r="S510" i="7"/>
  <c r="AC510" i="7" l="1"/>
  <c r="W510" i="7" s="1"/>
  <c r="AE510" i="7"/>
  <c r="AA510" i="7" s="1"/>
  <c r="AD510" i="7"/>
  <c r="Y510" i="7" s="1"/>
  <c r="Z510" i="7" l="1"/>
  <c r="X510" i="7"/>
  <c r="V510" i="7"/>
  <c r="U510" i="7"/>
  <c r="S511" i="7" l="1"/>
  <c r="Q511" i="7"/>
  <c r="T510" i="7"/>
  <c r="P511" i="7" l="1"/>
  <c r="R511" i="7"/>
  <c r="AD511" i="7" l="1"/>
  <c r="Y511" i="7" s="1"/>
  <c r="AC511" i="7"/>
  <c r="W511" i="7" s="1"/>
  <c r="AE511" i="7"/>
  <c r="AA511" i="7" s="1"/>
  <c r="V511" i="7" l="1"/>
  <c r="Z511" i="7"/>
  <c r="U511" i="7"/>
  <c r="X511" i="7"/>
  <c r="T511" i="7" l="1"/>
  <c r="R512" i="7" s="1"/>
  <c r="S512" i="7"/>
  <c r="Q512" i="7"/>
  <c r="P512" i="7" l="1"/>
  <c r="AE512" i="7" s="1"/>
  <c r="AA512" i="7" s="1"/>
  <c r="AC512" i="7" l="1"/>
  <c r="W512" i="7" s="1"/>
  <c r="AD512" i="7"/>
  <c r="Y512" i="7" s="1"/>
  <c r="Z512" i="7"/>
  <c r="V512" i="7" l="1"/>
  <c r="U512" i="7"/>
  <c r="S513" i="7" s="1"/>
  <c r="X512" i="7"/>
  <c r="T512" i="7" l="1"/>
  <c r="P513" i="7" s="1"/>
  <c r="Q513" i="7"/>
  <c r="R513" i="7" l="1"/>
  <c r="AC513" i="7"/>
  <c r="V513" i="7" s="1"/>
  <c r="AD513" i="7"/>
  <c r="X513" i="7" s="1"/>
  <c r="AE513" i="7"/>
  <c r="Z513" i="7" s="1"/>
  <c r="Y513" i="7" l="1"/>
  <c r="W513" i="7"/>
  <c r="AA513" i="7"/>
  <c r="T513" i="7"/>
  <c r="P514" i="7" s="1"/>
  <c r="R514" i="7" l="1"/>
  <c r="U513" i="7"/>
  <c r="S514" i="7" s="1"/>
  <c r="Q514" i="7" l="1"/>
  <c r="AC514" i="7" s="1"/>
  <c r="V514" i="7" s="1"/>
  <c r="AD514" i="7" l="1"/>
  <c r="X514" i="7" s="1"/>
  <c r="AE514" i="7"/>
  <c r="Z514" i="7" s="1"/>
  <c r="W514" i="7"/>
  <c r="Y514" i="7" l="1"/>
  <c r="T514" i="7"/>
  <c r="R515" i="7" s="1"/>
  <c r="AA514" i="7"/>
  <c r="P515" i="7" l="1"/>
  <c r="U514" i="7"/>
  <c r="S515" i="7" s="1"/>
  <c r="Q515" i="7" l="1"/>
  <c r="AE515" i="7" s="1"/>
  <c r="Z515" i="7" s="1"/>
  <c r="AA515" i="7" l="1"/>
  <c r="AD515" i="7"/>
  <c r="X515" i="7" s="1"/>
  <c r="AC515" i="7"/>
  <c r="V515" i="7" s="1"/>
  <c r="T515" i="7" s="1"/>
  <c r="R516" i="7" s="1"/>
  <c r="Y515" i="7"/>
  <c r="W515" i="7" l="1"/>
  <c r="U515" i="7" s="1"/>
  <c r="Q516" i="7" s="1"/>
  <c r="P516" i="7"/>
  <c r="AE516" i="7" l="1"/>
  <c r="AA516" i="7" s="1"/>
  <c r="S516" i="7"/>
  <c r="AD516" i="7"/>
  <c r="Y516" i="7" s="1"/>
  <c r="AC516" i="7"/>
  <c r="W516" i="7" s="1"/>
  <c r="Z516" i="7"/>
  <c r="U516" i="7" l="1"/>
  <c r="Q517" i="7" s="1"/>
  <c r="V516" i="7"/>
  <c r="X516" i="7"/>
  <c r="S517" i="7" l="1"/>
  <c r="T516" i="7"/>
  <c r="R517" i="7" s="1"/>
  <c r="P517" i="7" l="1"/>
  <c r="AE517" i="7" s="1"/>
  <c r="Z517" i="7" s="1"/>
  <c r="AD517" i="7"/>
  <c r="X517" i="7" s="1"/>
  <c r="AC517" i="7"/>
  <c r="V517" i="7" s="1"/>
  <c r="AA517" i="7" l="1"/>
  <c r="Y517" i="7"/>
  <c r="T517" i="7"/>
  <c r="R518" i="7" s="1"/>
  <c r="W517" i="7"/>
  <c r="P518" i="7"/>
  <c r="U517" i="7" l="1"/>
  <c r="Q518" i="7" s="1"/>
  <c r="AE518" i="7" s="1"/>
  <c r="Z518" i="7" s="1"/>
  <c r="AD518" i="7" l="1"/>
  <c r="X518" i="7" s="1"/>
  <c r="AC518" i="7"/>
  <c r="V518" i="7" s="1"/>
  <c r="S518" i="7"/>
  <c r="AA518" i="7"/>
  <c r="T518" i="7" l="1"/>
  <c r="R519" i="7" s="1"/>
  <c r="Y518" i="7"/>
  <c r="W518" i="7"/>
  <c r="P519" i="7"/>
  <c r="U518" i="7" l="1"/>
  <c r="S519" i="7"/>
  <c r="Q519" i="7"/>
  <c r="AE519" i="7" l="1"/>
  <c r="Z519" i="7" s="1"/>
  <c r="AC519" i="7"/>
  <c r="V519" i="7" s="1"/>
  <c r="AD519" i="7"/>
  <c r="X519" i="7" s="1"/>
  <c r="AA519" i="7" l="1"/>
  <c r="W519" i="7"/>
  <c r="Y519" i="7"/>
  <c r="T519" i="7"/>
  <c r="R520" i="7" l="1"/>
  <c r="P520" i="7"/>
  <c r="U519" i="7"/>
  <c r="S520" i="7" l="1"/>
  <c r="Q520" i="7"/>
  <c r="AE520" i="7" s="1"/>
  <c r="Z520" i="7" s="1"/>
  <c r="AC520" i="7" l="1"/>
  <c r="V520" i="7" s="1"/>
  <c r="AD520" i="7"/>
  <c r="X520" i="7" s="1"/>
  <c r="AA520" i="7"/>
  <c r="W520" i="7" l="1"/>
  <c r="Y520" i="7"/>
  <c r="T520" i="7"/>
  <c r="R521" i="7" s="1"/>
  <c r="U520" i="7" l="1"/>
  <c r="S521" i="7" s="1"/>
  <c r="P521" i="7"/>
  <c r="Q521" i="7" l="1"/>
  <c r="AD521" i="7" l="1"/>
  <c r="Y521" i="7" s="1"/>
  <c r="AE521" i="7"/>
  <c r="AA521" i="7" s="1"/>
  <c r="AC521" i="7"/>
  <c r="V521" i="7" s="1"/>
  <c r="X521" i="7" l="1"/>
  <c r="Z521" i="7"/>
  <c r="W521" i="7"/>
  <c r="U521" i="7" s="1"/>
  <c r="Q522" i="7" s="1"/>
  <c r="T521" i="7" l="1"/>
  <c r="P522" i="7" s="1"/>
  <c r="AD522" i="7" s="1"/>
  <c r="Y522" i="7" s="1"/>
  <c r="S522" i="7"/>
  <c r="AE522" i="7" l="1"/>
  <c r="AA522" i="7" s="1"/>
  <c r="AC522" i="7"/>
  <c r="W522" i="7" s="1"/>
  <c r="R522" i="7"/>
  <c r="X522" i="7"/>
  <c r="U522" i="7" l="1"/>
  <c r="S523" i="7" s="1"/>
  <c r="V522" i="7"/>
  <c r="Z522" i="7"/>
  <c r="Q523" i="7" l="1"/>
  <c r="T522" i="7"/>
  <c r="R523" i="7" s="1"/>
  <c r="P523" i="7" l="1"/>
  <c r="AC523" i="7" s="1"/>
  <c r="V523" i="7" s="1"/>
  <c r="AD523" i="7" l="1"/>
  <c r="X523" i="7" s="1"/>
  <c r="AE523" i="7"/>
  <c r="Z523" i="7" s="1"/>
  <c r="W523" i="7"/>
  <c r="Y523" i="7" l="1"/>
  <c r="AA523" i="7"/>
  <c r="T523" i="7"/>
  <c r="R524" i="7" s="1"/>
  <c r="U523" i="7" l="1"/>
  <c r="S524" i="7" s="1"/>
  <c r="P524" i="7"/>
  <c r="Q524" i="7"/>
  <c r="AE524" i="7" l="1"/>
  <c r="Z524" i="7" s="1"/>
  <c r="AD524" i="7"/>
  <c r="Y524" i="7" s="1"/>
  <c r="AC524" i="7"/>
  <c r="V524" i="7" s="1"/>
  <c r="AA524" i="7" l="1"/>
  <c r="X524" i="7"/>
  <c r="T524" i="7" s="1"/>
  <c r="R525" i="7" s="1"/>
  <c r="W524" i="7"/>
  <c r="U524" i="7" l="1"/>
  <c r="S525" i="7" s="1"/>
  <c r="P525" i="7"/>
  <c r="Q525" i="7" l="1"/>
  <c r="AE525" i="7" s="1"/>
  <c r="Z525" i="7" s="1"/>
  <c r="AC525" i="7" l="1"/>
  <c r="V525" i="7" s="1"/>
  <c r="AD525" i="7"/>
  <c r="X525" i="7" s="1"/>
  <c r="AA525" i="7"/>
  <c r="T525" i="7" l="1"/>
  <c r="R526" i="7" s="1"/>
  <c r="W525" i="7"/>
  <c r="Y525" i="7"/>
  <c r="U525" i="7" l="1"/>
  <c r="S526" i="7" s="1"/>
  <c r="P526" i="7"/>
  <c r="Q526" i="7"/>
  <c r="AC526" i="7" l="1"/>
  <c r="V526" i="7" s="1"/>
  <c r="AD526" i="7"/>
  <c r="Y526" i="7" s="1"/>
  <c r="AE526" i="7"/>
  <c r="Z526" i="7" s="1"/>
  <c r="W526" i="7" l="1"/>
  <c r="X526" i="7"/>
  <c r="T526" i="7" s="1"/>
  <c r="R527" i="7" s="1"/>
  <c r="AA526" i="7"/>
  <c r="U526" i="7" s="1"/>
  <c r="S527" i="7" s="1"/>
  <c r="P527" i="7" l="1"/>
  <c r="Q527" i="7"/>
  <c r="AD527" i="7" l="1"/>
  <c r="Y527" i="7" s="1"/>
  <c r="AE527" i="7"/>
  <c r="AA527" i="7" s="1"/>
  <c r="AC527" i="7"/>
  <c r="W527" i="7" s="1"/>
  <c r="U527" i="7" l="1"/>
  <c r="S528" i="7" s="1"/>
  <c r="X527" i="7"/>
  <c r="Z527" i="7"/>
  <c r="V527" i="7"/>
  <c r="Q528" i="7" l="1"/>
  <c r="T527" i="7"/>
  <c r="R528" i="7" s="1"/>
  <c r="P528" i="7" l="1"/>
  <c r="AE528" i="7" s="1"/>
  <c r="AA528" i="7" s="1"/>
  <c r="AC528" i="7" l="1"/>
  <c r="W528" i="7" s="1"/>
  <c r="AD528" i="7"/>
  <c r="Y528" i="7" s="1"/>
  <c r="U528" i="7" s="1"/>
  <c r="Q529" i="7" s="1"/>
  <c r="Z528" i="7"/>
  <c r="X528" i="7"/>
  <c r="V528" i="7"/>
  <c r="T528" i="7" l="1"/>
  <c r="S529" i="7"/>
  <c r="R529" i="7"/>
  <c r="P529" i="7"/>
  <c r="AE529" i="7" s="1"/>
  <c r="Z529" i="7" s="1"/>
  <c r="AA529" i="7" l="1"/>
  <c r="AD529" i="7"/>
  <c r="X529" i="7" s="1"/>
  <c r="AC529" i="7"/>
  <c r="V529" i="7" s="1"/>
  <c r="T529" i="7" l="1"/>
  <c r="R530" i="7" s="1"/>
  <c r="Y529" i="7"/>
  <c r="W529" i="7"/>
  <c r="P530" i="7" l="1"/>
  <c r="U529" i="7"/>
  <c r="Q530" i="7" s="1"/>
  <c r="AD530" i="7" l="1"/>
  <c r="X530" i="7" s="1"/>
  <c r="S530" i="7"/>
  <c r="AE530" i="7"/>
  <c r="Z530" i="7" s="1"/>
  <c r="AC530" i="7"/>
  <c r="V530" i="7" s="1"/>
  <c r="Y530" i="7" l="1"/>
  <c r="W530" i="7"/>
  <c r="T530" i="7"/>
  <c r="R531" i="7" s="1"/>
  <c r="AA530" i="7"/>
  <c r="P531" i="7" l="1"/>
  <c r="U530" i="7"/>
  <c r="S531" i="7" s="1"/>
  <c r="Q531" i="7" l="1"/>
  <c r="AD531" i="7" s="1"/>
  <c r="X531" i="7" s="1"/>
  <c r="AC531" i="7" l="1"/>
  <c r="V531" i="7" s="1"/>
  <c r="Y531" i="7"/>
  <c r="AE531" i="7"/>
  <c r="Z531" i="7" s="1"/>
  <c r="W531" i="7" l="1"/>
  <c r="T531" i="7"/>
  <c r="P532" i="7" s="1"/>
  <c r="AA531" i="7"/>
  <c r="U531" i="7" s="1"/>
  <c r="Q532" i="7" s="1"/>
  <c r="R532" i="7" l="1"/>
  <c r="S532" i="7"/>
  <c r="AC532" i="7"/>
  <c r="V532" i="7" s="1"/>
  <c r="AD532" i="7"/>
  <c r="X532" i="7" s="1"/>
  <c r="AE532" i="7"/>
  <c r="Z532" i="7" s="1"/>
  <c r="T532" i="7" l="1"/>
  <c r="AA532" i="7"/>
  <c r="W532" i="7"/>
  <c r="Y532" i="7"/>
  <c r="U532" i="7" l="1"/>
  <c r="R533" i="7"/>
  <c r="P533" i="7"/>
  <c r="Q533" i="7" l="1"/>
  <c r="S533" i="7"/>
  <c r="AD533" i="7" l="1"/>
  <c r="AE533" i="7"/>
  <c r="AC533" i="7"/>
  <c r="W533" i="7" l="1"/>
  <c r="V533" i="7"/>
  <c r="AA533" i="7"/>
  <c r="Z533" i="7"/>
  <c r="Y533" i="7"/>
  <c r="X533" i="7"/>
  <c r="T533" i="7" l="1"/>
  <c r="U533" i="7"/>
  <c r="Q534" i="7" l="1"/>
  <c r="S534" i="7"/>
  <c r="R534" i="7"/>
  <c r="P534" i="7"/>
  <c r="AD534" i="7" l="1"/>
  <c r="X534" i="7" s="1"/>
  <c r="AE534" i="7"/>
  <c r="AA534" i="7" s="1"/>
  <c r="AC534" i="7"/>
  <c r="V534" i="7" s="1"/>
  <c r="Y534" i="7" l="1"/>
  <c r="Z534" i="7"/>
  <c r="T534" i="7" s="1"/>
  <c r="W534" i="7"/>
  <c r="U534" i="7" l="1"/>
  <c r="S535" i="7" s="1"/>
  <c r="P535" i="7"/>
  <c r="R535" i="7"/>
  <c r="Q535" i="7" l="1"/>
  <c r="AC535" i="7" s="1"/>
  <c r="V535" i="7" s="1"/>
  <c r="AD535" i="7" l="1"/>
  <c r="X535" i="7" s="1"/>
  <c r="AE535" i="7"/>
  <c r="Z535" i="7" s="1"/>
  <c r="W535" i="7"/>
  <c r="Y535" i="7" l="1"/>
  <c r="AA535" i="7"/>
  <c r="T535" i="7"/>
  <c r="U535" i="7" l="1"/>
  <c r="S536" i="7" s="1"/>
  <c r="P536" i="7"/>
  <c r="R536" i="7"/>
  <c r="Q536" i="7" l="1"/>
  <c r="AE536" i="7" s="1"/>
  <c r="AC536" i="7" l="1"/>
  <c r="W536" i="7" s="1"/>
  <c r="AD536" i="7"/>
  <c r="X536" i="7" s="1"/>
  <c r="Z536" i="7"/>
  <c r="AA536" i="7"/>
  <c r="V536" i="7" l="1"/>
  <c r="T536" i="7" s="1"/>
  <c r="Y536" i="7"/>
  <c r="U536" i="7" s="1"/>
  <c r="Q537" i="7" l="1"/>
  <c r="S537" i="7"/>
  <c r="R537" i="7"/>
  <c r="P537" i="7"/>
  <c r="AC537" i="7" l="1"/>
  <c r="V537" i="7" s="1"/>
  <c r="AE537" i="7"/>
  <c r="Z537" i="7" s="1"/>
  <c r="AD537" i="7"/>
  <c r="X537" i="7" s="1"/>
  <c r="W537" i="7" l="1"/>
  <c r="AA537" i="7"/>
  <c r="Y537" i="7"/>
  <c r="T537" i="7"/>
  <c r="U537" i="7" l="1"/>
  <c r="S538" i="7" s="1"/>
  <c r="P538" i="7"/>
  <c r="R538" i="7"/>
  <c r="Q538" i="7" l="1"/>
  <c r="AD538" i="7" s="1"/>
  <c r="X538" i="7" s="1"/>
  <c r="AE538" i="7" l="1"/>
  <c r="Z538" i="7" s="1"/>
  <c r="AC538" i="7"/>
  <c r="V538" i="7" s="1"/>
  <c r="Y538" i="7"/>
  <c r="AA538" i="7" l="1"/>
  <c r="T538" i="7"/>
  <c r="R539" i="7" s="1"/>
  <c r="W538" i="7"/>
  <c r="P539" i="7" l="1"/>
  <c r="U538" i="7"/>
  <c r="Q539" i="7" s="1"/>
  <c r="S539" i="7" l="1"/>
  <c r="AE539" i="7"/>
  <c r="Z539" i="7" s="1"/>
  <c r="AC539" i="7"/>
  <c r="V539" i="7" s="1"/>
  <c r="AD539" i="7"/>
  <c r="X539" i="7" s="1"/>
  <c r="T539" i="7" l="1"/>
  <c r="Y539" i="7"/>
  <c r="W539" i="7"/>
  <c r="AA539" i="7"/>
  <c r="U539" i="7" l="1"/>
  <c r="R540" i="7"/>
  <c r="P540" i="7"/>
  <c r="S540" i="7" l="1"/>
  <c r="Q540" i="7"/>
  <c r="AE540" i="7" s="1"/>
  <c r="AA540" i="7" l="1"/>
  <c r="Z540" i="7"/>
  <c r="AD540" i="7"/>
  <c r="AC540" i="7"/>
  <c r="W540" i="7" l="1"/>
  <c r="V540" i="7"/>
  <c r="Y540" i="7"/>
  <c r="X540" i="7"/>
  <c r="T540" i="7" l="1"/>
  <c r="U540" i="7"/>
  <c r="Q541" i="7" l="1"/>
  <c r="S541" i="7"/>
  <c r="R541" i="7"/>
  <c r="P541" i="7"/>
  <c r="AD541" i="7" l="1"/>
  <c r="Y541" i="7" s="1"/>
  <c r="AE541" i="7"/>
  <c r="AA541" i="7" s="1"/>
  <c r="AC541" i="7"/>
  <c r="W541" i="7" s="1"/>
  <c r="X541" i="7" l="1"/>
  <c r="V541" i="7"/>
  <c r="Z541" i="7"/>
  <c r="U541" i="7"/>
  <c r="Q542" i="7" l="1"/>
  <c r="S542" i="7"/>
  <c r="T541" i="7"/>
  <c r="R542" i="7" l="1"/>
  <c r="P542" i="7"/>
  <c r="AD542" i="7" l="1"/>
  <c r="Y542" i="7" s="1"/>
  <c r="AE542" i="7"/>
  <c r="AA542" i="7" s="1"/>
  <c r="AC542" i="7"/>
  <c r="W542" i="7" s="1"/>
  <c r="X542" i="7" l="1"/>
  <c r="U542" i="7"/>
  <c r="Q543" i="7" s="1"/>
  <c r="V542" i="7"/>
  <c r="Z542" i="7"/>
  <c r="S543" i="7" l="1"/>
  <c r="T542" i="7"/>
  <c r="R543" i="7" s="1"/>
  <c r="P543" i="7" l="1"/>
  <c r="AE543" i="7" s="1"/>
  <c r="AC543" i="7" l="1"/>
  <c r="W543" i="7" s="1"/>
  <c r="AD543" i="7"/>
  <c r="Y543" i="7" s="1"/>
  <c r="V543" i="7"/>
  <c r="AA543" i="7"/>
  <c r="Z543" i="7"/>
  <c r="X543" i="7" l="1"/>
  <c r="T543" i="7" s="1"/>
  <c r="U543" i="7"/>
  <c r="S544" i="7" s="1"/>
  <c r="Q544" i="7" l="1"/>
  <c r="P544" i="7"/>
  <c r="R544" i="7"/>
  <c r="AD544" i="7" l="1"/>
  <c r="Y544" i="7" s="1"/>
  <c r="AE544" i="7"/>
  <c r="AA544" i="7" s="1"/>
  <c r="AC544" i="7"/>
  <c r="W544" i="7" s="1"/>
  <c r="X544" i="7" l="1"/>
  <c r="Z544" i="7"/>
  <c r="V544" i="7"/>
  <c r="U544" i="7"/>
  <c r="T544" i="7" l="1"/>
  <c r="R545" i="7" s="1"/>
  <c r="S545" i="7"/>
  <c r="Q545" i="7"/>
  <c r="P545" i="7" l="1"/>
  <c r="AC545" i="7" s="1"/>
  <c r="W545" i="7" s="1"/>
  <c r="AD545" i="7" l="1"/>
  <c r="Y545" i="7" s="1"/>
  <c r="V545" i="7"/>
  <c r="AE545" i="7"/>
  <c r="AA545" i="7" s="1"/>
  <c r="X545" i="7" l="1"/>
  <c r="U545" i="7"/>
  <c r="Q546" i="7" s="1"/>
  <c r="Z545" i="7"/>
  <c r="S546" i="7" l="1"/>
  <c r="T545" i="7"/>
  <c r="R546" i="7" s="1"/>
  <c r="P546" i="7" l="1"/>
  <c r="AC546" i="7" s="1"/>
  <c r="V546" i="7" s="1"/>
  <c r="AE546" i="7" l="1"/>
  <c r="AA546" i="7" s="1"/>
  <c r="W546" i="7"/>
  <c r="AD546" i="7"/>
  <c r="Y546" i="7" s="1"/>
  <c r="Z546" i="7"/>
  <c r="X546" i="7" l="1"/>
  <c r="T546" i="7" s="1"/>
  <c r="U546" i="7"/>
  <c r="S547" i="7" s="1"/>
  <c r="Q547" i="7" l="1"/>
  <c r="R547" i="7"/>
  <c r="P547" i="7"/>
  <c r="AC547" i="7" l="1"/>
  <c r="W547" i="7" s="1"/>
  <c r="AE547" i="7"/>
  <c r="AA547" i="7" s="1"/>
  <c r="AD547" i="7"/>
  <c r="Y547" i="7" s="1"/>
  <c r="V547" i="7" l="1"/>
  <c r="U547" i="7"/>
  <c r="Z547" i="7"/>
  <c r="S548" i="7"/>
  <c r="Q548" i="7"/>
  <c r="X547" i="7"/>
  <c r="T547" i="7" s="1"/>
  <c r="R548" i="7" l="1"/>
  <c r="P548" i="7"/>
  <c r="AD548" i="7" s="1"/>
  <c r="Y548" i="7" s="1"/>
  <c r="AE548" i="7" l="1"/>
  <c r="AA548" i="7" s="1"/>
  <c r="X548" i="7"/>
  <c r="AC548" i="7"/>
  <c r="W548" i="7" s="1"/>
  <c r="U548" i="7" l="1"/>
  <c r="S549" i="7" s="1"/>
  <c r="Z548" i="7"/>
  <c r="V548" i="7"/>
  <c r="Q549" i="7" l="1"/>
  <c r="T548" i="7"/>
  <c r="R549" i="7" s="1"/>
  <c r="P549" i="7" l="1"/>
  <c r="AC549" i="7" s="1"/>
  <c r="W549" i="7" s="1"/>
  <c r="V549" i="7" l="1"/>
  <c r="AE549" i="7"/>
  <c r="AA549" i="7" s="1"/>
  <c r="AD549" i="7"/>
  <c r="Y549" i="7" s="1"/>
  <c r="U549" i="7" l="1"/>
  <c r="Z549" i="7"/>
  <c r="X549" i="7"/>
  <c r="S550" i="7"/>
  <c r="Q550" i="7"/>
  <c r="T549" i="7" l="1"/>
  <c r="R550" i="7" s="1"/>
  <c r="P550" i="7"/>
  <c r="AE550" i="7" s="1"/>
  <c r="AC550" i="7" l="1"/>
  <c r="W550" i="7" s="1"/>
  <c r="AD550" i="7"/>
  <c r="X550" i="7" s="1"/>
  <c r="AA550" i="7"/>
  <c r="Z550" i="7"/>
  <c r="V550" i="7" l="1"/>
  <c r="T550" i="7" s="1"/>
  <c r="Y550" i="7"/>
  <c r="U550" i="7" s="1"/>
  <c r="Q551" i="7" s="1"/>
  <c r="R551" i="7" l="1"/>
  <c r="P551" i="7"/>
  <c r="AD551" i="7" s="1"/>
  <c r="Y551" i="7" s="1"/>
  <c r="S551" i="7"/>
  <c r="AE551" i="7" l="1"/>
  <c r="AA551" i="7" s="1"/>
  <c r="AC551" i="7"/>
  <c r="W551" i="7" s="1"/>
  <c r="X551" i="7"/>
  <c r="Z551" i="7" l="1"/>
  <c r="U551" i="7"/>
  <c r="Q552" i="7" s="1"/>
  <c r="V551" i="7"/>
  <c r="T551" i="7" s="1"/>
  <c r="P552" i="7" s="1"/>
  <c r="S552" i="7" l="1"/>
  <c r="AE552" i="7"/>
  <c r="AA552" i="7" s="1"/>
  <c r="R552" i="7"/>
  <c r="AD552" i="7"/>
  <c r="Y552" i="7" s="1"/>
  <c r="AC552" i="7"/>
  <c r="V552" i="7" s="1"/>
  <c r="Z552" i="7" l="1"/>
  <c r="X552" i="7"/>
  <c r="W552" i="7"/>
  <c r="U552" i="7" s="1"/>
  <c r="T552" i="7" l="1"/>
  <c r="S553" i="7"/>
  <c r="Q553" i="7"/>
  <c r="P553" i="7"/>
  <c r="R553" i="7"/>
  <c r="AD553" i="7" l="1"/>
  <c r="AE553" i="7"/>
  <c r="AC553" i="7"/>
  <c r="W553" i="7" l="1"/>
  <c r="V553" i="7"/>
  <c r="AA553" i="7"/>
  <c r="Z553" i="7"/>
  <c r="Y553" i="7"/>
  <c r="X553" i="7"/>
  <c r="T553" i="7" l="1"/>
  <c r="U553" i="7"/>
  <c r="R554" i="7" l="1"/>
  <c r="P554" i="7"/>
  <c r="S554" i="7"/>
  <c r="Q554" i="7"/>
  <c r="AE554" i="7" l="1"/>
  <c r="AC554" i="7"/>
  <c r="AD554" i="7"/>
  <c r="Y554" i="7" l="1"/>
  <c r="X554" i="7"/>
  <c r="W554" i="7"/>
  <c r="V554" i="7"/>
  <c r="AA554" i="7"/>
  <c r="Z554" i="7"/>
  <c r="T554" i="7" l="1"/>
  <c r="R555" i="7" s="1"/>
  <c r="U554" i="7"/>
  <c r="P555" i="7" l="1"/>
  <c r="Q555" i="7"/>
  <c r="S555" i="7"/>
  <c r="AC555" i="7" l="1"/>
  <c r="AD555" i="7"/>
  <c r="AE555" i="7"/>
  <c r="AA555" i="7" l="1"/>
  <c r="Z555" i="7"/>
  <c r="Y555" i="7"/>
  <c r="X555" i="7"/>
  <c r="W555" i="7"/>
  <c r="V555" i="7"/>
  <c r="T555" i="7" l="1"/>
  <c r="R556" i="7" s="1"/>
  <c r="U555" i="7"/>
  <c r="Q556" i="7" s="1"/>
  <c r="S556" i="7" l="1"/>
  <c r="P556" i="7"/>
  <c r="AE556" i="7" s="1"/>
  <c r="AD556" i="7" l="1"/>
  <c r="Y556" i="7" s="1"/>
  <c r="AC556" i="7"/>
  <c r="W556" i="7" s="1"/>
  <c r="AA556" i="7"/>
  <c r="Z556" i="7"/>
  <c r="X556" i="7" l="1"/>
  <c r="V556" i="7"/>
  <c r="U556" i="7"/>
  <c r="T556" i="7" l="1"/>
  <c r="R557" i="7" s="1"/>
  <c r="S557" i="7"/>
  <c r="Q557" i="7"/>
  <c r="P557" i="7" l="1"/>
  <c r="AD557" i="7" s="1"/>
  <c r="AE557" i="7" l="1"/>
  <c r="AA557" i="7" s="1"/>
  <c r="AC557" i="7"/>
  <c r="Y557" i="7"/>
  <c r="X557" i="7"/>
  <c r="W557" i="7"/>
  <c r="V557" i="7"/>
  <c r="Z557" i="7" l="1"/>
  <c r="T557" i="7" s="1"/>
  <c r="R558" i="7" s="1"/>
  <c r="U557" i="7"/>
  <c r="Q558" i="7" s="1"/>
  <c r="S558" i="7" l="1"/>
  <c r="P558" i="7"/>
  <c r="AE558" i="7" s="1"/>
  <c r="AA558" i="7" s="1"/>
  <c r="AD558" i="7" l="1"/>
  <c r="Y558" i="7" s="1"/>
  <c r="AC558" i="7"/>
  <c r="W558" i="7" s="1"/>
  <c r="Z558" i="7"/>
  <c r="U558" i="7" l="1"/>
  <c r="S559" i="7" s="1"/>
  <c r="X558" i="7"/>
  <c r="V558" i="7"/>
  <c r="Q559" i="7" l="1"/>
  <c r="T558" i="7"/>
  <c r="R559" i="7" s="1"/>
  <c r="P559" i="7" l="1"/>
  <c r="AC559" i="7" s="1"/>
  <c r="W559" i="7" s="1"/>
  <c r="AE559" i="7" l="1"/>
  <c r="AA559" i="7" s="1"/>
  <c r="V559" i="7"/>
  <c r="AD559" i="7"/>
  <c r="Y559" i="7" s="1"/>
  <c r="U559" i="7" l="1"/>
  <c r="Q560" i="7" s="1"/>
  <c r="Z559" i="7"/>
  <c r="X559" i="7"/>
  <c r="S560" i="7"/>
  <c r="T559" i="7" l="1"/>
  <c r="R560" i="7" s="1"/>
  <c r="P560" i="7"/>
  <c r="AC560" i="7" s="1"/>
  <c r="W560" i="7" s="1"/>
  <c r="AD560" i="7" l="1"/>
  <c r="Y560" i="7" s="1"/>
  <c r="V560" i="7"/>
  <c r="AE560" i="7"/>
  <c r="AA560" i="7" s="1"/>
  <c r="X560" i="7" l="1"/>
  <c r="U560" i="7"/>
  <c r="S561" i="7" s="1"/>
  <c r="Z560" i="7"/>
  <c r="Q561" i="7" l="1"/>
  <c r="T560" i="7"/>
  <c r="R561" i="7" s="1"/>
  <c r="P561" i="7" l="1"/>
  <c r="AC561" i="7" s="1"/>
  <c r="V561" i="7" s="1"/>
  <c r="W561" i="7" l="1"/>
  <c r="AD561" i="7"/>
  <c r="X561" i="7" s="1"/>
  <c r="AE561" i="7"/>
  <c r="AA561" i="7" s="1"/>
  <c r="Y561" i="7" l="1"/>
  <c r="U561" i="7" s="1"/>
  <c r="Z561" i="7"/>
  <c r="T561" i="7" s="1"/>
  <c r="R562" i="7" s="1"/>
  <c r="S562" i="7" l="1"/>
  <c r="Q562" i="7"/>
  <c r="P562" i="7"/>
  <c r="AE562" i="7" l="1"/>
  <c r="AA562" i="7" s="1"/>
  <c r="AD562" i="7"/>
  <c r="Y562" i="7" s="1"/>
  <c r="AC562" i="7"/>
  <c r="V562" i="7" s="1"/>
  <c r="Z562" i="7" l="1"/>
  <c r="X562" i="7"/>
  <c r="W562" i="7"/>
  <c r="U562" i="7" s="1"/>
  <c r="Q563" i="7" s="1"/>
  <c r="T562" i="7" l="1"/>
  <c r="P563" i="7" s="1"/>
  <c r="S563" i="7"/>
  <c r="AC563" i="7" l="1"/>
  <c r="AE563" i="7"/>
  <c r="AA563" i="7" s="1"/>
  <c r="AD563" i="7"/>
  <c r="Y563" i="7" s="1"/>
  <c r="R563" i="7"/>
  <c r="W563" i="7"/>
  <c r="V563" i="7"/>
  <c r="Z563" i="7" l="1"/>
  <c r="U563" i="7"/>
  <c r="S564" i="7" s="1"/>
  <c r="X563" i="7"/>
  <c r="T563" i="7" s="1"/>
  <c r="Q564" i="7"/>
  <c r="P564" i="7" l="1"/>
  <c r="R564" i="7"/>
  <c r="AC564" i="7"/>
  <c r="W564" i="7" s="1"/>
  <c r="AD564" i="7"/>
  <c r="Y564" i="7" s="1"/>
  <c r="AE564" i="7"/>
  <c r="AA564" i="7" s="1"/>
  <c r="V564" i="7" l="1"/>
  <c r="X564" i="7"/>
  <c r="U564" i="7"/>
  <c r="Z564" i="7"/>
  <c r="Q565" i="7"/>
  <c r="S565" i="7"/>
  <c r="T564" i="7" l="1"/>
  <c r="R565" i="7" s="1"/>
  <c r="P565" i="7"/>
  <c r="AC565" i="7" s="1"/>
  <c r="W565" i="7" s="1"/>
  <c r="AD565" i="7" l="1"/>
  <c r="Y565" i="7" s="1"/>
  <c r="AE565" i="7"/>
  <c r="AA565" i="7" s="1"/>
  <c r="V565" i="7"/>
  <c r="U565" i="7" l="1"/>
  <c r="X565" i="7"/>
  <c r="Z565" i="7"/>
  <c r="S566" i="7"/>
  <c r="Q566" i="7"/>
  <c r="T565" i="7" l="1"/>
  <c r="R566" i="7" s="1"/>
  <c r="P566" i="7" l="1"/>
  <c r="AC566" i="7" s="1"/>
  <c r="W566" i="7" s="1"/>
  <c r="AD566" i="7"/>
  <c r="Y566" i="7" s="1"/>
  <c r="AE566" i="7"/>
  <c r="AA566" i="7" s="1"/>
  <c r="V566" i="7"/>
  <c r="U566" i="7" l="1"/>
  <c r="S567" i="7" s="1"/>
  <c r="Z566" i="7"/>
  <c r="X566" i="7"/>
  <c r="Q567" i="7" l="1"/>
  <c r="T566" i="7"/>
  <c r="R567" i="7" s="1"/>
  <c r="P567" i="7" l="1"/>
  <c r="AC567" i="7" s="1"/>
  <c r="W567" i="7" s="1"/>
  <c r="V567" i="7" l="1"/>
  <c r="AD567" i="7"/>
  <c r="Y567" i="7" s="1"/>
  <c r="AE567" i="7"/>
  <c r="X567" i="7" l="1"/>
  <c r="AA567" i="7"/>
  <c r="U567" i="7" s="1"/>
  <c r="Z567" i="7"/>
  <c r="T567" i="7" l="1"/>
  <c r="P568" i="7" s="1"/>
  <c r="S568" i="7"/>
  <c r="Q568" i="7"/>
  <c r="R568" i="7" l="1"/>
  <c r="AD568" i="7"/>
  <c r="Y568" i="7" s="1"/>
  <c r="AE568" i="7"/>
  <c r="AC568" i="7"/>
  <c r="X568" i="7" l="1"/>
  <c r="AA568" i="7"/>
  <c r="Z568" i="7"/>
  <c r="W568" i="7"/>
  <c r="V568" i="7"/>
  <c r="U568" i="7" l="1"/>
  <c r="S569" i="7" s="1"/>
  <c r="T568" i="7"/>
  <c r="Q569" i="7" l="1"/>
  <c r="R569" i="7"/>
  <c r="P569" i="7"/>
  <c r="AE569" i="7" l="1"/>
  <c r="AD569" i="7"/>
  <c r="AC569" i="7"/>
  <c r="W569" i="7" s="1"/>
  <c r="V569" i="7" l="1"/>
  <c r="X569" i="7"/>
  <c r="Y569" i="7"/>
  <c r="Z569" i="7"/>
  <c r="AA569" i="7"/>
  <c r="U569" i="7" l="1"/>
  <c r="Q570" i="7" s="1"/>
  <c r="T569" i="7"/>
  <c r="P570" i="7" s="1"/>
  <c r="R570" i="7" l="1"/>
  <c r="S570" i="7"/>
  <c r="AE570" i="7"/>
  <c r="AA570" i="7" s="1"/>
  <c r="AD570" i="7"/>
  <c r="Y570" i="7" s="1"/>
  <c r="AC570" i="7"/>
  <c r="W570" i="7" s="1"/>
  <c r="Z570" i="7" l="1"/>
  <c r="U570" i="7"/>
  <c r="V570" i="7"/>
  <c r="X570" i="7"/>
  <c r="T570" i="7" l="1"/>
  <c r="R571" i="7" s="1"/>
  <c r="Q571" i="7"/>
  <c r="S571" i="7"/>
  <c r="P571" i="7" l="1"/>
  <c r="AD571" i="7" s="1"/>
  <c r="Y571" i="7" s="1"/>
  <c r="AE571" i="7" l="1"/>
  <c r="AA571" i="7" s="1"/>
  <c r="AC571" i="7"/>
  <c r="W571" i="7" s="1"/>
  <c r="X571" i="7"/>
  <c r="U571" i="7" l="1"/>
  <c r="Q572" i="7" s="1"/>
  <c r="V571" i="7"/>
  <c r="Z571" i="7"/>
  <c r="T571" i="7" l="1"/>
  <c r="S572" i="7"/>
  <c r="R572" i="7"/>
  <c r="P572" i="7"/>
  <c r="AC572" i="7" l="1"/>
  <c r="W572" i="7" s="1"/>
  <c r="AD572" i="7"/>
  <c r="Y572" i="7" s="1"/>
  <c r="AE572" i="7"/>
  <c r="AA572" i="7" s="1"/>
  <c r="Z572" i="7" l="1"/>
  <c r="V572" i="7"/>
  <c r="U572" i="7"/>
  <c r="X572" i="7"/>
  <c r="S573" i="7" l="1"/>
  <c r="Q573" i="7"/>
  <c r="T572" i="7"/>
  <c r="P573" i="7" l="1"/>
  <c r="R573" i="7"/>
  <c r="AE573" i="7" l="1"/>
  <c r="AA573" i="7" s="1"/>
  <c r="AC573" i="7"/>
  <c r="W573" i="7" s="1"/>
  <c r="AD573" i="7"/>
  <c r="Y573" i="7" s="1"/>
  <c r="Z573" i="7" l="1"/>
  <c r="V573" i="7"/>
  <c r="U573" i="7"/>
  <c r="X573" i="7"/>
  <c r="T573" i="7" l="1"/>
  <c r="R574" i="7"/>
  <c r="P574" i="7"/>
  <c r="Q574" i="7"/>
  <c r="S574" i="7"/>
  <c r="AE574" i="7" l="1"/>
  <c r="Z574" i="7" s="1"/>
  <c r="AC574" i="7"/>
  <c r="V574" i="7" s="1"/>
  <c r="AD574" i="7"/>
  <c r="X574" i="7" l="1"/>
  <c r="T574" i="7" s="1"/>
  <c r="Y574" i="7"/>
  <c r="W574" i="7"/>
  <c r="AA574" i="7"/>
  <c r="U574" i="7" l="1"/>
  <c r="P575" i="7"/>
  <c r="R575" i="7"/>
  <c r="S575" i="7" l="1"/>
  <c r="Q575" i="7"/>
  <c r="AC575" i="7" l="1"/>
  <c r="V575" i="7" s="1"/>
  <c r="AD575" i="7"/>
  <c r="X575" i="7" s="1"/>
  <c r="AE575" i="7"/>
  <c r="Z575" i="7" s="1"/>
  <c r="Y575" i="7" l="1"/>
  <c r="T575" i="7"/>
  <c r="W575" i="7"/>
  <c r="AA575" i="7"/>
  <c r="U575" i="7" l="1"/>
  <c r="Q576" i="7" s="1"/>
  <c r="P576" i="7"/>
  <c r="R576" i="7"/>
  <c r="S576" i="7" l="1"/>
  <c r="AD576" i="7"/>
  <c r="X576" i="7" s="1"/>
  <c r="AC576" i="7"/>
  <c r="W576" i="7" s="1"/>
  <c r="AE576" i="7"/>
  <c r="AA576" i="7" s="1"/>
  <c r="Y576" i="7" l="1"/>
  <c r="U576" i="7" s="1"/>
  <c r="Z576" i="7"/>
  <c r="V576" i="7"/>
  <c r="T576" i="7" l="1"/>
  <c r="R577" i="7" s="1"/>
  <c r="S577" i="7"/>
  <c r="Q577" i="7"/>
  <c r="P577" i="7" l="1"/>
  <c r="AC577" i="7" s="1"/>
  <c r="W577" i="7" s="1"/>
  <c r="V577" i="7" l="1"/>
  <c r="AD577" i="7"/>
  <c r="Y577" i="7" s="1"/>
  <c r="AE577" i="7"/>
  <c r="Z577" i="7" s="1"/>
  <c r="X577" i="7"/>
  <c r="T577" i="7" s="1"/>
  <c r="AA577" i="7" l="1"/>
  <c r="U577" i="7" s="1"/>
  <c r="P578" i="7"/>
  <c r="R578" i="7"/>
  <c r="S578" i="7"/>
  <c r="Q578" i="7"/>
  <c r="AE578" i="7" l="1"/>
  <c r="AA578" i="7" s="1"/>
  <c r="AC578" i="7"/>
  <c r="W578" i="7" s="1"/>
  <c r="AD578" i="7"/>
  <c r="X578" i="7" s="1"/>
  <c r="V578" i="7" l="1"/>
  <c r="Z578" i="7"/>
  <c r="Y578" i="7"/>
  <c r="U578" i="7" s="1"/>
  <c r="Q579" i="7" s="1"/>
  <c r="T578" i="7" l="1"/>
  <c r="P579" i="7" s="1"/>
  <c r="AE579" i="7" s="1"/>
  <c r="AA579" i="7" s="1"/>
  <c r="S579" i="7"/>
  <c r="AC579" i="7" l="1"/>
  <c r="W579" i="7" s="1"/>
  <c r="AD579" i="7"/>
  <c r="Y579" i="7" s="1"/>
  <c r="R579" i="7"/>
  <c r="Z579" i="7"/>
  <c r="V579" i="7" l="1"/>
  <c r="X579" i="7"/>
  <c r="U579" i="7"/>
  <c r="T579" i="7" l="1"/>
  <c r="P580" i="7"/>
  <c r="R580" i="7"/>
  <c r="S580" i="7"/>
  <c r="Q580" i="7"/>
  <c r="AD580" i="7" l="1"/>
  <c r="AC580" i="7"/>
  <c r="AE580" i="7"/>
  <c r="AA580" i="7" l="1"/>
  <c r="Z580" i="7"/>
  <c r="W580" i="7"/>
  <c r="V580" i="7"/>
  <c r="Y580" i="7"/>
  <c r="X580" i="7"/>
  <c r="T580" i="7" l="1"/>
  <c r="P581" i="7" s="1"/>
  <c r="U580" i="7"/>
  <c r="R581" i="7" l="1"/>
  <c r="S581" i="7"/>
  <c r="Q581" i="7"/>
  <c r="AC581" i="7" l="1"/>
  <c r="AE581" i="7"/>
  <c r="AD581" i="7"/>
  <c r="X581" i="7" s="1"/>
  <c r="AA581" i="7" l="1"/>
  <c r="Z581" i="7"/>
  <c r="W581" i="7"/>
  <c r="V581" i="7"/>
  <c r="Y581" i="7"/>
  <c r="U581" i="7" l="1"/>
  <c r="Q582" i="7" s="1"/>
  <c r="T581" i="7"/>
  <c r="R582" i="7" s="1"/>
  <c r="S582" i="7" l="1"/>
  <c r="P582" i="7"/>
  <c r="AD582" i="7" s="1"/>
  <c r="Y582" i="7" l="1"/>
  <c r="X582" i="7"/>
  <c r="AE582" i="7"/>
  <c r="AA582" i="7" s="1"/>
  <c r="AC582" i="7"/>
  <c r="V582" i="7" s="1"/>
  <c r="Z582" i="7" l="1"/>
  <c r="T582" i="7" s="1"/>
  <c r="R583" i="7" s="1"/>
  <c r="W582" i="7"/>
  <c r="U582" i="7" s="1"/>
  <c r="S583" i="7" s="1"/>
  <c r="P583" i="7" l="1"/>
  <c r="Q583" i="7"/>
  <c r="AD583" i="7" l="1"/>
  <c r="X583" i="7" s="1"/>
  <c r="AC583" i="7"/>
  <c r="V583" i="7" s="1"/>
  <c r="AE583" i="7"/>
  <c r="Z583" i="7" s="1"/>
  <c r="W583" i="7" l="1"/>
  <c r="Y583" i="7"/>
  <c r="T583" i="7"/>
  <c r="R584" i="7" s="1"/>
  <c r="AA583" i="7"/>
  <c r="P584" i="7"/>
  <c r="U583" i="7" l="1"/>
  <c r="Q584" i="7" s="1"/>
  <c r="AE584" i="7" s="1"/>
  <c r="AC584" i="7" l="1"/>
  <c r="W584" i="7" s="1"/>
  <c r="AD584" i="7"/>
  <c r="X584" i="7" s="1"/>
  <c r="S584" i="7"/>
  <c r="AA584" i="7"/>
  <c r="Z584" i="7"/>
  <c r="Y584" i="7" l="1"/>
  <c r="V584" i="7"/>
  <c r="T584" i="7" s="1"/>
  <c r="P585" i="7" s="1"/>
  <c r="U584" i="7"/>
  <c r="R585" i="7" l="1"/>
  <c r="S585" i="7"/>
  <c r="Q585" i="7"/>
  <c r="AD585" i="7" s="1"/>
  <c r="Y585" i="7" s="1"/>
  <c r="X585" i="7" l="1"/>
  <c r="AC585" i="7"/>
  <c r="AE585" i="7"/>
  <c r="AA585" i="7" l="1"/>
  <c r="Z585" i="7"/>
  <c r="W585" i="7"/>
  <c r="U585" i="7" s="1"/>
  <c r="V585" i="7"/>
  <c r="T585" i="7" l="1"/>
  <c r="P586" i="7" s="1"/>
  <c r="Q586" i="7"/>
  <c r="S586" i="7"/>
  <c r="R586" i="7" l="1"/>
  <c r="AD586" i="7"/>
  <c r="Y586" i="7" s="1"/>
  <c r="AE586" i="7"/>
  <c r="AA586" i="7" s="1"/>
  <c r="AC586" i="7"/>
  <c r="W586" i="7" s="1"/>
  <c r="Z586" i="7" l="1"/>
  <c r="V586" i="7"/>
  <c r="X586" i="7"/>
  <c r="U586" i="7"/>
  <c r="T586" i="7" l="1"/>
  <c r="R587" i="7" s="1"/>
  <c r="S587" i="7"/>
  <c r="Q587" i="7"/>
  <c r="P587" i="7" l="1"/>
  <c r="AD587" i="7" s="1"/>
  <c r="AC587" i="7" l="1"/>
  <c r="W587" i="7" s="1"/>
  <c r="AE587" i="7"/>
  <c r="AA587" i="7" s="1"/>
  <c r="Y587" i="7"/>
  <c r="X587" i="7"/>
  <c r="V587" i="7" l="1"/>
  <c r="Z587" i="7"/>
  <c r="U587" i="7"/>
  <c r="T587" i="7" l="1"/>
  <c r="S588" i="7"/>
  <c r="Q588" i="7"/>
  <c r="R588" i="7"/>
  <c r="P588" i="7"/>
  <c r="AC588" i="7" l="1"/>
  <c r="W588" i="7" s="1"/>
  <c r="AD588" i="7"/>
  <c r="AE588" i="7"/>
  <c r="V588" i="7" l="1"/>
  <c r="X588" i="7"/>
  <c r="Y588" i="7"/>
  <c r="AA588" i="7"/>
  <c r="Z588" i="7"/>
  <c r="T588" i="7" l="1"/>
  <c r="R589" i="7" s="1"/>
  <c r="U588" i="7"/>
  <c r="P589" i="7" l="1"/>
  <c r="S589" i="7"/>
  <c r="Q589" i="7"/>
  <c r="AE589" i="7" l="1"/>
  <c r="AA589" i="7" s="1"/>
  <c r="AD589" i="7"/>
  <c r="X589" i="7" s="1"/>
  <c r="AC589" i="7"/>
  <c r="V589" i="7" s="1"/>
  <c r="Z589" i="7"/>
  <c r="Y589" i="7" l="1"/>
  <c r="W589" i="7"/>
  <c r="U589" i="7" s="1"/>
  <c r="Q590" i="7" s="1"/>
  <c r="T589" i="7"/>
  <c r="P590" i="7" s="1"/>
  <c r="R590" i="7" l="1"/>
  <c r="S590" i="7"/>
  <c r="AE590" i="7"/>
  <c r="AC590" i="7"/>
  <c r="AD590" i="7"/>
  <c r="Y590" i="7" l="1"/>
  <c r="X590" i="7"/>
  <c r="W590" i="7"/>
  <c r="V590" i="7"/>
  <c r="AA590" i="7"/>
  <c r="Z590" i="7"/>
  <c r="T590" i="7" l="1"/>
  <c r="U590" i="7"/>
  <c r="S591" i="7" l="1"/>
  <c r="Q591" i="7"/>
  <c r="P591" i="7"/>
  <c r="R591" i="7"/>
  <c r="AE591" i="7" l="1"/>
  <c r="AA591" i="7" s="1"/>
  <c r="AD591" i="7"/>
  <c r="Y591" i="7" s="1"/>
  <c r="AC591" i="7"/>
  <c r="W591" i="7" s="1"/>
  <c r="U591" i="7" l="1"/>
  <c r="X591" i="7"/>
  <c r="Z591" i="7"/>
  <c r="V591" i="7"/>
  <c r="Q592" i="7"/>
  <c r="S592" i="7"/>
  <c r="T591" i="7" l="1"/>
  <c r="R592" i="7" s="1"/>
  <c r="P592" i="7" l="1"/>
  <c r="AE592" i="7" s="1"/>
  <c r="AC592" i="7" l="1"/>
  <c r="AD592" i="7"/>
  <c r="V592" i="7"/>
  <c r="W592" i="7"/>
  <c r="X592" i="7"/>
  <c r="Y592" i="7"/>
  <c r="AA592" i="7"/>
  <c r="Z592" i="7"/>
  <c r="U592" i="7" l="1"/>
  <c r="T592" i="7"/>
  <c r="P593" i="7" l="1"/>
  <c r="R593" i="7"/>
  <c r="Q593" i="7"/>
  <c r="S593" i="7"/>
  <c r="AC593" i="7" l="1"/>
  <c r="AE593" i="7"/>
  <c r="AD593" i="7"/>
  <c r="AA593" i="7" l="1"/>
  <c r="Z593" i="7"/>
  <c r="Y593" i="7"/>
  <c r="X593" i="7"/>
  <c r="W593" i="7"/>
  <c r="V593" i="7"/>
  <c r="T593" i="7" l="1"/>
  <c r="R594" i="7" s="1"/>
  <c r="U593" i="7"/>
  <c r="S594" i="7" s="1"/>
  <c r="P594" i="7"/>
  <c r="Q594" i="7" l="1"/>
  <c r="AE594" i="7" s="1"/>
  <c r="AA594" i="7" s="1"/>
  <c r="Z594" i="7" l="1"/>
  <c r="AC594" i="7"/>
  <c r="AD594" i="7"/>
  <c r="V594" i="7" l="1"/>
  <c r="W594" i="7"/>
  <c r="Y594" i="7"/>
  <c r="X594" i="7"/>
  <c r="T594" i="7" s="1"/>
  <c r="U594" i="7" l="1"/>
  <c r="S595" i="7" s="1"/>
  <c r="R595" i="7"/>
  <c r="P595" i="7"/>
  <c r="Q595" i="7" l="1"/>
  <c r="AC595" i="7"/>
  <c r="W595" i="7" s="1"/>
  <c r="AE595" i="7"/>
  <c r="AD595" i="7"/>
  <c r="Y595" i="7" l="1"/>
  <c r="X595" i="7"/>
  <c r="V595" i="7"/>
  <c r="AA595" i="7"/>
  <c r="Z595" i="7"/>
  <c r="U595" i="7" l="1"/>
  <c r="Q596" i="7" s="1"/>
  <c r="T595" i="7"/>
  <c r="S596" i="7" l="1"/>
  <c r="P596" i="7"/>
  <c r="R596" i="7"/>
  <c r="AD596" i="7" l="1"/>
  <c r="Y596" i="7" s="1"/>
  <c r="AE596" i="7"/>
  <c r="AA596" i="7" s="1"/>
  <c r="AC596" i="7"/>
  <c r="W596" i="7" s="1"/>
  <c r="Z596" i="7" l="1"/>
  <c r="X596" i="7"/>
  <c r="U596" i="7"/>
  <c r="V596" i="7"/>
  <c r="T596" i="7" l="1"/>
  <c r="R597" i="7" s="1"/>
  <c r="S597" i="7"/>
  <c r="Q597" i="7"/>
  <c r="P597" i="7" l="1"/>
  <c r="AE597" i="7" s="1"/>
  <c r="AA597" i="7" s="1"/>
  <c r="AD597" i="7" l="1"/>
  <c r="Y597" i="7" s="1"/>
  <c r="AC597" i="7"/>
  <c r="W597" i="7" s="1"/>
  <c r="Z597" i="7"/>
  <c r="U597" i="7" l="1"/>
  <c r="Q598" i="7" s="1"/>
  <c r="X597" i="7"/>
  <c r="V597" i="7"/>
  <c r="T597" i="7" l="1"/>
  <c r="R598" i="7" s="1"/>
  <c r="S598" i="7"/>
  <c r="P598" i="7"/>
  <c r="AE598" i="7" l="1"/>
  <c r="AA598" i="7" s="1"/>
  <c r="AC598" i="7"/>
  <c r="W598" i="7" s="1"/>
  <c r="AD598" i="7"/>
  <c r="Y598" i="7" s="1"/>
  <c r="X598" i="7" l="1"/>
  <c r="V598" i="7"/>
  <c r="Z598" i="7"/>
  <c r="U598" i="7"/>
  <c r="T598" i="7" l="1"/>
  <c r="Q599" i="7"/>
  <c r="S599" i="7"/>
  <c r="R599" i="7"/>
  <c r="P599" i="7"/>
  <c r="AD599" i="7" l="1"/>
  <c r="X599" i="7" s="1"/>
  <c r="AC599" i="7"/>
  <c r="W599" i="7" s="1"/>
  <c r="AE599" i="7"/>
  <c r="Z599" i="7" s="1"/>
  <c r="Y599" i="7" l="1"/>
  <c r="V599" i="7"/>
  <c r="T599" i="7" s="1"/>
  <c r="AA599" i="7"/>
  <c r="U599" i="7" l="1"/>
  <c r="Q600" i="7" s="1"/>
  <c r="R600" i="7"/>
  <c r="P600" i="7"/>
  <c r="S600" i="7" l="1"/>
  <c r="AE600" i="7"/>
  <c r="AA600" i="7" s="1"/>
  <c r="AD600" i="7"/>
  <c r="X600" i="7" s="1"/>
  <c r="AC600" i="7"/>
  <c r="V600" i="7" s="1"/>
  <c r="Y600" i="7" l="1"/>
  <c r="W600" i="7"/>
  <c r="Z600" i="7"/>
  <c r="T600" i="7" s="1"/>
  <c r="U600" i="7" l="1"/>
  <c r="S601" i="7" s="1"/>
  <c r="R601" i="7"/>
  <c r="P601" i="7"/>
  <c r="Q601" i="7" l="1"/>
  <c r="AC601" i="7" s="1"/>
  <c r="AE601" i="7"/>
  <c r="AA601" i="7" s="1"/>
  <c r="AD601" i="7" l="1"/>
  <c r="Y601" i="7" s="1"/>
  <c r="W601" i="7"/>
  <c r="U601" i="7" s="1"/>
  <c r="V601" i="7"/>
  <c r="X601" i="7"/>
  <c r="Z601" i="7"/>
  <c r="T601" i="7" l="1"/>
  <c r="P602" i="7" s="1"/>
  <c r="Q602" i="7"/>
  <c r="S602" i="7"/>
  <c r="AE602" i="7" l="1"/>
  <c r="Z602" i="7" s="1"/>
  <c r="R602" i="7"/>
  <c r="AC602" i="7"/>
  <c r="V602" i="7" s="1"/>
  <c r="AD602" i="7"/>
  <c r="Y602" i="7" s="1"/>
  <c r="AA602" i="7" l="1"/>
  <c r="W602" i="7"/>
  <c r="X602" i="7"/>
  <c r="T602" i="7" s="1"/>
  <c r="R603" i="7" s="1"/>
  <c r="U602" i="7" l="1"/>
  <c r="S603" i="7" s="1"/>
  <c r="Q603" i="7"/>
  <c r="P603" i="7"/>
  <c r="AC603" i="7" l="1"/>
  <c r="W603" i="7" s="1"/>
  <c r="AD603" i="7"/>
  <c r="Y603" i="7" s="1"/>
  <c r="AE603" i="7"/>
  <c r="AA603" i="7" s="1"/>
  <c r="V603" i="7" l="1"/>
  <c r="Z603" i="7"/>
  <c r="U603" i="7"/>
  <c r="X603" i="7"/>
  <c r="T603" i="7" s="1"/>
  <c r="S604" i="7"/>
  <c r="Q604" i="7"/>
  <c r="R604" i="7" l="1"/>
  <c r="P604" i="7"/>
  <c r="AD604" i="7" s="1"/>
  <c r="AE604" i="7"/>
  <c r="AC604" i="7" l="1"/>
  <c r="AA604" i="7"/>
  <c r="Z604" i="7"/>
  <c r="W604" i="7"/>
  <c r="V604" i="7"/>
  <c r="Y604" i="7"/>
  <c r="X604" i="7"/>
  <c r="T604" i="7" l="1"/>
  <c r="U604" i="7"/>
  <c r="Q605" i="7" l="1"/>
  <c r="S605" i="7"/>
  <c r="R605" i="7"/>
  <c r="P605" i="7"/>
  <c r="AE605" i="7" l="1"/>
  <c r="Z605" i="7" s="1"/>
  <c r="AC605" i="7"/>
  <c r="V605" i="7" s="1"/>
  <c r="AD605" i="7"/>
  <c r="X605" i="7" s="1"/>
  <c r="Y605" i="7" l="1"/>
  <c r="AA605" i="7"/>
  <c r="W605" i="7"/>
  <c r="T605" i="7"/>
  <c r="P606" i="7" s="1"/>
  <c r="U605" i="7" l="1"/>
  <c r="Q606" i="7" s="1"/>
  <c r="R606" i="7"/>
  <c r="S606" i="7"/>
  <c r="AD606" i="7" l="1"/>
  <c r="AE606" i="7"/>
  <c r="AC606" i="7"/>
  <c r="W606" i="7" l="1"/>
  <c r="V606" i="7"/>
  <c r="AA606" i="7"/>
  <c r="Z606" i="7"/>
  <c r="Y606" i="7"/>
  <c r="X606" i="7"/>
  <c r="T606" i="7" l="1"/>
  <c r="U606" i="7"/>
  <c r="S607" i="7" l="1"/>
  <c r="Q607" i="7"/>
  <c r="R607" i="7"/>
  <c r="P607" i="7"/>
  <c r="AC607" i="7" l="1"/>
  <c r="AD607" i="7"/>
  <c r="AE607" i="7"/>
  <c r="AA607" i="7" l="1"/>
  <c r="Z607" i="7"/>
  <c r="Y607" i="7"/>
  <c r="X607" i="7"/>
  <c r="W607" i="7"/>
  <c r="V607" i="7"/>
  <c r="T607" i="7" l="1"/>
  <c r="R608" i="7" s="1"/>
  <c r="U607" i="7"/>
  <c r="P608" i="7" l="1"/>
  <c r="S608" i="7"/>
  <c r="Q608" i="7"/>
  <c r="AE608" i="7" l="1"/>
  <c r="AA608" i="7" s="1"/>
  <c r="AC608" i="7"/>
  <c r="AD608" i="7"/>
  <c r="Z608" i="7" l="1"/>
  <c r="Y608" i="7"/>
  <c r="X608" i="7"/>
  <c r="W608" i="7"/>
  <c r="V608" i="7"/>
  <c r="U608" i="7" l="1"/>
  <c r="Q609" i="7" s="1"/>
  <c r="T608" i="7"/>
  <c r="S609" i="7"/>
  <c r="R609" i="7" l="1"/>
  <c r="P609" i="7"/>
  <c r="AD609" i="7" l="1"/>
  <c r="Y609" i="7" s="1"/>
  <c r="AC609" i="7"/>
  <c r="W609" i="7" s="1"/>
  <c r="AE609" i="7"/>
  <c r="AA609" i="7" s="1"/>
  <c r="Z609" i="7" l="1"/>
  <c r="U609" i="7"/>
  <c r="V609" i="7"/>
  <c r="X609" i="7"/>
  <c r="S610" i="7"/>
  <c r="Q610" i="7"/>
  <c r="T609" i="7" l="1"/>
  <c r="P610" i="7" l="1"/>
  <c r="R610" i="7"/>
  <c r="AE610" i="7" l="1"/>
  <c r="AA610" i="7" s="1"/>
  <c r="AD610" i="7"/>
  <c r="Y610" i="7" s="1"/>
  <c r="AC610" i="7"/>
  <c r="W610" i="7" s="1"/>
  <c r="Z610" i="7" l="1"/>
  <c r="U610" i="7"/>
  <c r="V610" i="7"/>
  <c r="Q611" i="7"/>
  <c r="S611" i="7"/>
  <c r="X610" i="7"/>
  <c r="T610" i="7" s="1"/>
  <c r="P611" i="7" l="1"/>
  <c r="R611" i="7"/>
  <c r="AE611" i="7" l="1"/>
  <c r="AA611" i="7" s="1"/>
  <c r="AC611" i="7"/>
  <c r="W611" i="7" s="1"/>
  <c r="AD611" i="7"/>
  <c r="Y611" i="7" s="1"/>
  <c r="U611" i="7" l="1"/>
  <c r="Q612" i="7" s="1"/>
  <c r="X611" i="7"/>
  <c r="Z611" i="7"/>
  <c r="V611" i="7"/>
  <c r="S612" i="7"/>
  <c r="T611" i="7" l="1"/>
  <c r="R612" i="7" s="1"/>
  <c r="P612" i="7" l="1"/>
  <c r="AE612" i="7" s="1"/>
  <c r="AD612" i="7"/>
  <c r="Y612" i="7" s="1"/>
  <c r="AC612" i="7" l="1"/>
  <c r="W612" i="7" s="1"/>
  <c r="AA612" i="7"/>
  <c r="Z612" i="7"/>
  <c r="X612" i="7"/>
  <c r="V612" i="7" l="1"/>
  <c r="U612" i="7"/>
  <c r="T612" i="7"/>
  <c r="P613" i="7"/>
  <c r="R613" i="7"/>
  <c r="S613" i="7"/>
  <c r="Q613" i="7"/>
  <c r="AD613" i="7" l="1"/>
  <c r="Y613" i="7" s="1"/>
  <c r="AC613" i="7"/>
  <c r="W613" i="7" s="1"/>
  <c r="AE613" i="7"/>
  <c r="AA613" i="7" s="1"/>
  <c r="U613" i="7" l="1"/>
  <c r="V613" i="7"/>
  <c r="Z613" i="7"/>
  <c r="X613" i="7"/>
  <c r="S614" i="7"/>
  <c r="Q614" i="7"/>
  <c r="T613" i="7" l="1"/>
  <c r="P614" i="7" l="1"/>
  <c r="R614" i="7"/>
  <c r="AE614" i="7" l="1"/>
  <c r="AD614" i="7"/>
  <c r="Y614" i="7" s="1"/>
  <c r="AC614" i="7"/>
  <c r="X614" i="7" l="1"/>
  <c r="Z614" i="7"/>
  <c r="AA614" i="7"/>
  <c r="V614" i="7"/>
  <c r="W614" i="7"/>
  <c r="U614" i="7" l="1"/>
  <c r="Q615" i="7" s="1"/>
  <c r="T614" i="7"/>
  <c r="S615" i="7" l="1"/>
  <c r="R615" i="7"/>
  <c r="P615" i="7"/>
  <c r="AE615" i="7" l="1"/>
  <c r="AD615" i="7"/>
  <c r="Y615" i="7" s="1"/>
  <c r="AC615" i="7"/>
  <c r="W615" i="7" s="1"/>
  <c r="X615" i="7" l="1"/>
  <c r="V615" i="7"/>
  <c r="Z615" i="7"/>
  <c r="AA615" i="7"/>
  <c r="U615" i="7" s="1"/>
  <c r="T615" i="7" l="1"/>
  <c r="R616" i="7" s="1"/>
  <c r="S616" i="7"/>
  <c r="Q616" i="7"/>
  <c r="P616" i="7" l="1"/>
  <c r="AE616" i="7" s="1"/>
  <c r="Z616" i="7" s="1"/>
  <c r="AC616" i="7" l="1"/>
  <c r="W616" i="7" s="1"/>
  <c r="AD616" i="7"/>
  <c r="X616" i="7" s="1"/>
  <c r="AA616" i="7"/>
  <c r="V616" i="7" l="1"/>
  <c r="Y616" i="7"/>
  <c r="U616" i="7" s="1"/>
  <c r="S617" i="7" s="1"/>
  <c r="T616" i="7"/>
  <c r="R617" i="7" s="1"/>
  <c r="P617" i="7" l="1"/>
  <c r="Q617" i="7"/>
  <c r="AE617" i="7"/>
  <c r="AC617" i="7"/>
  <c r="V617" i="7" s="1"/>
  <c r="AD617" i="7"/>
  <c r="X617" i="7" s="1"/>
  <c r="Z617" i="7" l="1"/>
  <c r="T617" i="7" s="1"/>
  <c r="AA617" i="7"/>
  <c r="W617" i="7"/>
  <c r="Y617" i="7"/>
  <c r="U617" i="7" l="1"/>
  <c r="Q618" i="7" s="1"/>
  <c r="R618" i="7"/>
  <c r="P618" i="7"/>
  <c r="S618" i="7"/>
  <c r="AC618" i="7" l="1"/>
  <c r="AE618" i="7"/>
  <c r="AD618" i="7"/>
  <c r="Y618" i="7" l="1"/>
  <c r="X618" i="7"/>
  <c r="AA618" i="7"/>
  <c r="Z618" i="7"/>
  <c r="W618" i="7"/>
  <c r="V618" i="7"/>
  <c r="U618" i="7" l="1"/>
  <c r="S619" i="7" s="1"/>
  <c r="T618" i="7"/>
  <c r="R619" i="7" s="1"/>
  <c r="P619" i="7"/>
  <c r="Q619" i="7"/>
  <c r="AC619" i="7" l="1"/>
  <c r="AD619" i="7"/>
  <c r="AE619" i="7"/>
  <c r="AA619" i="7" l="1"/>
  <c r="Z619" i="7"/>
  <c r="Y619" i="7"/>
  <c r="X619" i="7"/>
  <c r="W619" i="7"/>
  <c r="V619" i="7"/>
  <c r="U619" i="7" l="1"/>
  <c r="S620" i="7" s="1"/>
  <c r="T619" i="7"/>
  <c r="R620" i="7" s="1"/>
  <c r="P620" i="7" l="1"/>
  <c r="Q620" i="7"/>
  <c r="AD620" i="7" s="1"/>
  <c r="Y620" i="7" l="1"/>
  <c r="X620" i="7"/>
  <c r="AC620" i="7"/>
  <c r="W620" i="7" s="1"/>
  <c r="AE620" i="7"/>
  <c r="V620" i="7" l="1"/>
  <c r="AA620" i="7"/>
  <c r="U620" i="7" s="1"/>
  <c r="Z620" i="7"/>
  <c r="T620" i="7" l="1"/>
  <c r="R621" i="7" s="1"/>
  <c r="S621" i="7"/>
  <c r="Q621" i="7"/>
  <c r="P621" i="7" l="1"/>
  <c r="AE621" i="7" s="1"/>
  <c r="AD621" i="7" l="1"/>
  <c r="Y621" i="7" s="1"/>
  <c r="AC621" i="7"/>
  <c r="X621" i="7"/>
  <c r="W621" i="7"/>
  <c r="V621" i="7"/>
  <c r="AA621" i="7"/>
  <c r="Z621" i="7"/>
  <c r="T621" i="7" l="1"/>
  <c r="R622" i="7" s="1"/>
  <c r="U621" i="7"/>
  <c r="P622" i="7" l="1"/>
  <c r="Q622" i="7"/>
  <c r="S622" i="7"/>
  <c r="AE622" i="7" l="1"/>
  <c r="AD622" i="7"/>
  <c r="AC622" i="7"/>
  <c r="V622" i="7" s="1"/>
  <c r="Y622" i="7" l="1"/>
  <c r="X622" i="7"/>
  <c r="Z622" i="7"/>
  <c r="AA622" i="7"/>
  <c r="W622" i="7"/>
  <c r="T622" i="7" l="1"/>
  <c r="U622" i="7"/>
  <c r="S623" i="7" l="1"/>
  <c r="Q623" i="7"/>
  <c r="P623" i="7"/>
  <c r="R623" i="7"/>
  <c r="AC623" i="7" l="1"/>
  <c r="AE623" i="7"/>
  <c r="AD623" i="7"/>
  <c r="Y623" i="7" l="1"/>
  <c r="X623" i="7"/>
  <c r="Z623" i="7"/>
  <c r="AA623" i="7"/>
  <c r="V623" i="7"/>
  <c r="W623" i="7"/>
  <c r="T623" i="7" l="1"/>
  <c r="P624" i="7" s="1"/>
  <c r="U623" i="7"/>
  <c r="S624" i="7" s="1"/>
  <c r="R624" i="7" l="1"/>
  <c r="Q624" i="7"/>
  <c r="AE624" i="7" l="1"/>
  <c r="Z624" i="7" s="1"/>
  <c r="AD624" i="7"/>
  <c r="AC624" i="7"/>
  <c r="V624" i="7" l="1"/>
  <c r="W624" i="7"/>
  <c r="X624" i="7"/>
  <c r="Y624" i="7"/>
  <c r="AA624" i="7"/>
  <c r="U624" i="7" l="1"/>
  <c r="T624" i="7"/>
  <c r="R625" i="7" l="1"/>
  <c r="P625" i="7"/>
  <c r="S625" i="7"/>
  <c r="Q625" i="7"/>
  <c r="AE625" i="7" l="1"/>
  <c r="AC625" i="7"/>
  <c r="AD625" i="7"/>
  <c r="X625" i="7" s="1"/>
  <c r="Y625" i="7" l="1"/>
  <c r="W625" i="7"/>
  <c r="V625" i="7"/>
  <c r="AA625" i="7"/>
  <c r="Z625" i="7"/>
  <c r="T625" i="7" l="1"/>
  <c r="U625" i="7"/>
  <c r="S626" i="7" l="1"/>
  <c r="Q626" i="7"/>
  <c r="P626" i="7"/>
  <c r="R626" i="7"/>
  <c r="AC626" i="7" l="1"/>
  <c r="V626" i="7" s="1"/>
  <c r="AD626" i="7"/>
  <c r="X626" i="7" s="1"/>
  <c r="AE626" i="7"/>
  <c r="Z626" i="7" s="1"/>
  <c r="Y626" i="7" l="1"/>
  <c r="W626" i="7"/>
  <c r="AA626" i="7"/>
  <c r="T626" i="7"/>
  <c r="P627" i="7"/>
  <c r="R627" i="7"/>
  <c r="U626" i="7" l="1"/>
  <c r="Q627" i="7"/>
  <c r="AE627" i="7" s="1"/>
  <c r="S627" i="7"/>
  <c r="AC627" i="7"/>
  <c r="AD627" i="7"/>
  <c r="AA627" i="7" l="1"/>
  <c r="Z627" i="7"/>
  <c r="X627" i="7"/>
  <c r="Y627" i="7"/>
  <c r="W627" i="7"/>
  <c r="V627" i="7"/>
  <c r="T627" i="7" l="1"/>
  <c r="R628" i="7" s="1"/>
  <c r="P628" i="7"/>
  <c r="U627" i="7"/>
  <c r="S628" i="7" l="1"/>
  <c r="Q628" i="7"/>
  <c r="AD628" i="7" l="1"/>
  <c r="AC628" i="7"/>
  <c r="AE628" i="7"/>
  <c r="Z628" i="7" l="1"/>
  <c r="AA628" i="7"/>
  <c r="V628" i="7"/>
  <c r="W628" i="7"/>
  <c r="X628" i="7"/>
  <c r="Y628" i="7"/>
  <c r="T628" i="7" l="1"/>
  <c r="U628" i="7"/>
  <c r="S629" i="7" l="1"/>
  <c r="Q629" i="7"/>
  <c r="R629" i="7"/>
  <c r="P629" i="7"/>
  <c r="AC629" i="7" l="1"/>
  <c r="V629" i="7" s="1"/>
  <c r="AD629" i="7"/>
  <c r="AE629" i="7"/>
  <c r="Z629" i="7" s="1"/>
  <c r="W629" i="7" l="1"/>
  <c r="AA629" i="7"/>
  <c r="X629" i="7"/>
  <c r="T629" i="7" s="1"/>
  <c r="Y629" i="7"/>
  <c r="U629" i="7" l="1"/>
  <c r="P630" i="7"/>
  <c r="R630" i="7"/>
  <c r="Q630" i="7"/>
  <c r="S630" i="7"/>
  <c r="AC630" i="7" l="1"/>
  <c r="AD630" i="7"/>
  <c r="AE630" i="7"/>
  <c r="Z630" i="7" l="1"/>
  <c r="AA630" i="7"/>
  <c r="X630" i="7"/>
  <c r="Y630" i="7"/>
  <c r="V630" i="7"/>
  <c r="W630" i="7"/>
  <c r="T630" i="7" l="1"/>
  <c r="U630" i="7"/>
  <c r="Q631" i="7" s="1"/>
  <c r="S631" i="7"/>
  <c r="R631" i="7"/>
  <c r="P631" i="7"/>
  <c r="AD631" i="7" l="1"/>
  <c r="AC631" i="7"/>
  <c r="AE631" i="7"/>
  <c r="V631" i="7" l="1"/>
  <c r="W631" i="7"/>
  <c r="Z631" i="7"/>
  <c r="AA631" i="7"/>
  <c r="X631" i="7"/>
  <c r="Y631" i="7"/>
  <c r="U631" i="7" l="1"/>
  <c r="T631" i="7"/>
  <c r="P632" i="7" l="1"/>
  <c r="R632" i="7"/>
  <c r="S632" i="7"/>
  <c r="Q632" i="7"/>
  <c r="AD632" i="7" l="1"/>
  <c r="X632" i="7" s="1"/>
  <c r="AC632" i="7"/>
  <c r="AE632" i="7"/>
  <c r="Y632" i="7" l="1"/>
  <c r="AA632" i="7"/>
  <c r="Z632" i="7"/>
  <c r="V632" i="7"/>
  <c r="W632" i="7"/>
  <c r="U632" i="7" l="1"/>
  <c r="T632" i="7"/>
  <c r="R633" i="7" s="1"/>
  <c r="S633" i="7"/>
  <c r="Q633" i="7"/>
  <c r="P633" i="7" l="1"/>
  <c r="AE633" i="7"/>
  <c r="AD633" i="7"/>
  <c r="AC633" i="7"/>
  <c r="X633" i="7" l="1"/>
  <c r="Y633" i="7"/>
  <c r="V633" i="7"/>
  <c r="W633" i="7"/>
  <c r="Z633" i="7"/>
  <c r="AA633" i="7"/>
  <c r="T633" i="7" l="1"/>
  <c r="U633" i="7"/>
  <c r="S634" i="7" l="1"/>
  <c r="Q634" i="7"/>
  <c r="R634" i="7"/>
  <c r="P634" i="7"/>
  <c r="AD634" i="7" l="1"/>
  <c r="X634" i="7" s="1"/>
  <c r="AC634" i="7"/>
  <c r="AE634" i="7"/>
  <c r="Z634" i="7" s="1"/>
  <c r="Y634" i="7"/>
  <c r="AA634" i="7" l="1"/>
  <c r="V634" i="7"/>
  <c r="T634" i="7" s="1"/>
  <c r="W634" i="7"/>
  <c r="U634" i="7" s="1"/>
  <c r="S635" i="7" l="1"/>
  <c r="Q635" i="7"/>
  <c r="P635" i="7"/>
  <c r="R635" i="7"/>
  <c r="AC635" i="7" l="1"/>
  <c r="V635" i="7" s="1"/>
  <c r="AD635" i="7"/>
  <c r="AE635" i="7"/>
  <c r="Z635" i="7" s="1"/>
  <c r="W635" i="7" l="1"/>
  <c r="AA635" i="7"/>
  <c r="X635" i="7"/>
  <c r="T635" i="7" s="1"/>
  <c r="Y635" i="7"/>
  <c r="U635" i="7" s="1"/>
  <c r="R636" i="7" l="1"/>
  <c r="P636" i="7"/>
  <c r="S636" i="7"/>
  <c r="Q636" i="7"/>
  <c r="AC636" i="7" l="1"/>
  <c r="AE636" i="7"/>
  <c r="AD636" i="7"/>
  <c r="Y636" i="7" l="1"/>
  <c r="X636" i="7"/>
  <c r="Z636" i="7"/>
  <c r="AA636" i="7"/>
  <c r="W636" i="7"/>
  <c r="V636" i="7"/>
  <c r="T636" i="7" s="1"/>
  <c r="R637" i="7" s="1"/>
  <c r="U636" i="7" l="1"/>
  <c r="Q637" i="7"/>
  <c r="S637" i="7"/>
  <c r="P637" i="7"/>
  <c r="AE637" i="7" l="1"/>
  <c r="AD637" i="7"/>
  <c r="Y637" i="7" s="1"/>
  <c r="AC637" i="7"/>
  <c r="V637" i="7" l="1"/>
  <c r="W637" i="7"/>
  <c r="AA637" i="7"/>
  <c r="Z637" i="7"/>
  <c r="X637" i="7"/>
  <c r="U637" i="7" l="1"/>
  <c r="T637" i="7"/>
  <c r="P638" i="7" l="1"/>
  <c r="R638" i="7"/>
  <c r="S638" i="7"/>
  <c r="Q638" i="7"/>
  <c r="AE638" i="7" l="1"/>
  <c r="Z638" i="7" s="1"/>
  <c r="AD638" i="7"/>
  <c r="Y638" i="7" s="1"/>
  <c r="AC638" i="7"/>
  <c r="W638" i="7" s="1"/>
  <c r="V638" i="7" l="1"/>
  <c r="X638" i="7"/>
  <c r="T638" i="7" s="1"/>
  <c r="AA638" i="7"/>
  <c r="U638" i="7" s="1"/>
  <c r="P639" i="7" l="1"/>
  <c r="R639" i="7"/>
  <c r="S639" i="7"/>
  <c r="Q639" i="7"/>
  <c r="AE639" i="7" s="1"/>
  <c r="AD639" i="7" l="1"/>
  <c r="Y639" i="7" s="1"/>
  <c r="AC639" i="7"/>
  <c r="W639" i="7" s="1"/>
  <c r="AA639" i="7"/>
  <c r="Z639" i="7"/>
  <c r="V639" i="7" l="1"/>
  <c r="X639" i="7"/>
  <c r="U639" i="7"/>
  <c r="T639" i="7" l="1"/>
  <c r="S640" i="7"/>
  <c r="Q640" i="7"/>
  <c r="P640" i="7"/>
  <c r="R640" i="7"/>
  <c r="AD640" i="7" l="1"/>
  <c r="X640" i="7" s="1"/>
  <c r="AE640" i="7"/>
  <c r="AA640" i="7" s="1"/>
  <c r="AC640" i="7"/>
  <c r="V640" i="7" s="1"/>
  <c r="Y640" i="7" l="1"/>
  <c r="W640" i="7"/>
  <c r="Z640" i="7"/>
  <c r="T640" i="7" s="1"/>
  <c r="U640" i="7" l="1"/>
  <c r="S641" i="7" s="1"/>
  <c r="Q641" i="7"/>
  <c r="R641" i="7"/>
  <c r="P641" i="7"/>
  <c r="AE641" i="7" l="1"/>
  <c r="AC641" i="7"/>
  <c r="AD641" i="7"/>
  <c r="Y641" i="7" l="1"/>
  <c r="X641" i="7"/>
  <c r="V641" i="7"/>
  <c r="W641" i="7"/>
  <c r="AA641" i="7"/>
  <c r="Z641" i="7"/>
  <c r="T641" i="7" l="1"/>
  <c r="P642" i="7" s="1"/>
  <c r="U641" i="7"/>
  <c r="Q642" i="7"/>
  <c r="S642" i="7"/>
  <c r="AE642" i="7" l="1"/>
  <c r="R642" i="7"/>
  <c r="Z642" i="7"/>
  <c r="AA642" i="7"/>
  <c r="AC642" i="7"/>
  <c r="V642" i="7" s="1"/>
  <c r="AD642" i="7"/>
  <c r="X642" i="7" l="1"/>
  <c r="T642" i="7" s="1"/>
  <c r="Y642" i="7"/>
  <c r="W642" i="7"/>
  <c r="U642" i="7" l="1"/>
  <c r="S643" i="7" s="1"/>
  <c r="R643" i="7"/>
  <c r="P643" i="7"/>
  <c r="Q643" i="7"/>
  <c r="AE643" i="7" s="1"/>
  <c r="AA643" i="7" s="1"/>
  <c r="AC643" i="7" l="1"/>
  <c r="W643" i="7" s="1"/>
  <c r="AD643" i="7"/>
  <c r="Y643" i="7" s="1"/>
  <c r="U643" i="7" s="1"/>
  <c r="S644" i="7" s="1"/>
  <c r="Z643" i="7"/>
  <c r="V643" i="7" l="1"/>
  <c r="X643" i="7"/>
  <c r="T643" i="7" s="1"/>
  <c r="Q644" i="7"/>
  <c r="P644" i="7" l="1"/>
  <c r="R644" i="7"/>
  <c r="AE644" i="7" l="1"/>
  <c r="AA644" i="7" s="1"/>
  <c r="AD644" i="7"/>
  <c r="Y644" i="7" s="1"/>
  <c r="AC644" i="7"/>
  <c r="W644" i="7" s="1"/>
  <c r="V644" i="7" l="1"/>
  <c r="Z644" i="7"/>
  <c r="X644" i="7"/>
  <c r="U644" i="7"/>
  <c r="T644" i="7" l="1"/>
  <c r="Q645" i="7"/>
  <c r="S645" i="7"/>
  <c r="R645" i="7" l="1"/>
  <c r="P645" i="7"/>
  <c r="AC645" i="7" s="1"/>
  <c r="AE645" i="7" l="1"/>
  <c r="AA645" i="7" s="1"/>
  <c r="AD645" i="7"/>
  <c r="W645" i="7"/>
  <c r="V645" i="7"/>
  <c r="Z645" i="7" l="1"/>
  <c r="Y645" i="7"/>
  <c r="U645" i="7" s="1"/>
  <c r="X645" i="7"/>
  <c r="T645" i="7" l="1"/>
  <c r="R646" i="7" s="1"/>
  <c r="P646" i="7"/>
  <c r="S646" i="7"/>
  <c r="Q646" i="7"/>
  <c r="AD646" i="7" l="1"/>
  <c r="AE646" i="7"/>
  <c r="AC646" i="7"/>
  <c r="AA646" i="7" l="1"/>
  <c r="Z646" i="7"/>
  <c r="V646" i="7"/>
  <c r="W646" i="7"/>
  <c r="X646" i="7"/>
  <c r="Y646" i="7"/>
  <c r="T646" i="7" l="1"/>
  <c r="U646" i="7"/>
  <c r="Q647" i="7" l="1"/>
  <c r="S647" i="7"/>
  <c r="R647" i="7"/>
  <c r="P647" i="7"/>
  <c r="AC647" i="7" l="1"/>
  <c r="AD647" i="7"/>
  <c r="AE647" i="7"/>
  <c r="Z647" i="7" s="1"/>
  <c r="AA647" i="7" l="1"/>
  <c r="X647" i="7"/>
  <c r="Y647" i="7"/>
  <c r="V647" i="7"/>
  <c r="W647" i="7"/>
  <c r="U647" i="7" l="1"/>
  <c r="S648" i="7" s="1"/>
  <c r="T647" i="7"/>
  <c r="Q648" i="7" l="1"/>
  <c r="R648" i="7"/>
  <c r="P648" i="7"/>
  <c r="AD648" i="7" l="1"/>
  <c r="AC648" i="7"/>
  <c r="AE648" i="7"/>
  <c r="V648" i="7" l="1"/>
  <c r="W648" i="7"/>
  <c r="Z648" i="7"/>
  <c r="AA648" i="7"/>
  <c r="X648" i="7"/>
  <c r="Y648" i="7"/>
  <c r="U648" i="7" l="1"/>
  <c r="T648" i="7"/>
  <c r="R649" i="7" l="1"/>
  <c r="P649" i="7"/>
  <c r="Q649" i="7"/>
  <c r="S649" i="7"/>
  <c r="AC649" i="7" l="1"/>
  <c r="V649" i="7" s="1"/>
  <c r="AD649" i="7"/>
  <c r="X649" i="7" s="1"/>
  <c r="AE649" i="7"/>
  <c r="Z649" i="7" s="1"/>
  <c r="T649" i="7" l="1"/>
  <c r="AA649" i="7"/>
  <c r="W649" i="7"/>
  <c r="Y649" i="7"/>
  <c r="U649" i="7" l="1"/>
  <c r="S650" i="7" s="1"/>
  <c r="P650" i="7"/>
  <c r="R650" i="7"/>
  <c r="Q650" i="7" l="1"/>
  <c r="AC650" i="7" s="1"/>
  <c r="V650" i="7" s="1"/>
  <c r="AE650" i="7" l="1"/>
  <c r="Z650" i="7" s="1"/>
  <c r="AD650" i="7"/>
  <c r="X650" i="7" s="1"/>
  <c r="W650" i="7"/>
  <c r="AA650" i="7"/>
  <c r="T650" i="7" l="1"/>
  <c r="Y650" i="7"/>
  <c r="U650" i="7" s="1"/>
  <c r="Q651" i="7" s="1"/>
  <c r="R651" i="7"/>
  <c r="P651" i="7"/>
  <c r="AC651" i="7" l="1"/>
  <c r="W651" i="7" s="1"/>
  <c r="S651" i="7"/>
  <c r="AE651" i="7"/>
  <c r="AA651" i="7" s="1"/>
  <c r="AD651" i="7"/>
  <c r="Y651" i="7" s="1"/>
  <c r="V651" i="7" l="1"/>
  <c r="U651" i="7"/>
  <c r="S652" i="7" s="1"/>
  <c r="Z651" i="7"/>
  <c r="X651" i="7"/>
  <c r="Q652" i="7" l="1"/>
  <c r="T651" i="7"/>
  <c r="R652" i="7" s="1"/>
  <c r="P652" i="7" l="1"/>
  <c r="AD652" i="7" s="1"/>
  <c r="Y652" i="7" s="1"/>
  <c r="AE652" i="7" l="1"/>
  <c r="AA652" i="7" s="1"/>
  <c r="AC652" i="7"/>
  <c r="W652" i="7" s="1"/>
  <c r="U652" i="7" s="1"/>
  <c r="S653" i="7" s="1"/>
  <c r="X652" i="7"/>
  <c r="Z652" i="7" l="1"/>
  <c r="V652" i="7"/>
  <c r="T652" i="7" s="1"/>
  <c r="P653" i="7" s="1"/>
  <c r="Q653" i="7"/>
  <c r="R653" i="7" l="1"/>
  <c r="AD653" i="7"/>
  <c r="Y653" i="7" s="1"/>
  <c r="AE653" i="7"/>
  <c r="AA653" i="7" s="1"/>
  <c r="AC653" i="7"/>
  <c r="W653" i="7" s="1"/>
  <c r="U653" i="7" l="1"/>
  <c r="S654" i="7" s="1"/>
  <c r="X653" i="7"/>
  <c r="Z653" i="7"/>
  <c r="V653" i="7"/>
  <c r="Q654" i="7"/>
  <c r="T653" i="7" l="1"/>
  <c r="P654" i="7" s="1"/>
  <c r="AD654" i="7" s="1"/>
  <c r="R654" i="7" l="1"/>
  <c r="AE654" i="7"/>
  <c r="AA654" i="7" s="1"/>
  <c r="AC654" i="7"/>
  <c r="W654" i="7" s="1"/>
  <c r="X654" i="7"/>
  <c r="Y654" i="7"/>
  <c r="V654" i="7" l="1"/>
  <c r="Z654" i="7"/>
  <c r="U654" i="7"/>
  <c r="T654" i="7" l="1"/>
  <c r="R655" i="7" s="1"/>
  <c r="P655" i="7"/>
  <c r="S655" i="7"/>
  <c r="Q655" i="7"/>
  <c r="AC655" i="7" l="1"/>
  <c r="V655" i="7" s="1"/>
  <c r="AE655" i="7"/>
  <c r="Z655" i="7" s="1"/>
  <c r="AD655" i="7"/>
  <c r="X655" i="7" s="1"/>
  <c r="W655" i="7"/>
  <c r="AA655" i="7" l="1"/>
  <c r="T655" i="7"/>
  <c r="Y655" i="7"/>
  <c r="R656" i="7"/>
  <c r="P656" i="7"/>
  <c r="U655" i="7" l="1"/>
  <c r="S656" i="7" s="1"/>
  <c r="Q656" i="7" l="1"/>
  <c r="AD656" i="7" s="1"/>
  <c r="X656" i="7" s="1"/>
  <c r="AE656" i="7"/>
  <c r="Z656" i="7" s="1"/>
  <c r="AC656" i="7"/>
  <c r="V656" i="7" s="1"/>
  <c r="Y656" i="7" l="1"/>
  <c r="T656" i="7"/>
  <c r="AA656" i="7"/>
  <c r="W656" i="7"/>
  <c r="U656" i="7" l="1"/>
  <c r="S657" i="7"/>
  <c r="Q657" i="7"/>
  <c r="P657" i="7"/>
  <c r="R657" i="7"/>
  <c r="AC657" i="7" l="1"/>
  <c r="AD657" i="7"/>
  <c r="AE657" i="7"/>
  <c r="X657" i="7" l="1"/>
  <c r="Y657" i="7"/>
  <c r="Z657" i="7"/>
  <c r="AA657" i="7"/>
  <c r="W657" i="7"/>
  <c r="V657" i="7"/>
  <c r="T657" i="7" l="1"/>
  <c r="P658" i="7" s="1"/>
  <c r="U657" i="7"/>
  <c r="S658" i="7" s="1"/>
  <c r="Q658" i="7" l="1"/>
  <c r="AD658" i="7" s="1"/>
  <c r="R658" i="7"/>
  <c r="AC658" i="7" l="1"/>
  <c r="V658" i="7" s="1"/>
  <c r="AE658" i="7"/>
  <c r="AA658" i="7" s="1"/>
  <c r="Y658" i="7"/>
  <c r="X658" i="7"/>
  <c r="W658" i="7" l="1"/>
  <c r="Z658" i="7"/>
  <c r="T658" i="7" s="1"/>
  <c r="U658" i="7"/>
  <c r="Q659" i="7" l="1"/>
  <c r="S659" i="7"/>
  <c r="R659" i="7"/>
  <c r="P659" i="7"/>
  <c r="AD659" i="7" l="1"/>
  <c r="AE659" i="7"/>
  <c r="AC659" i="7"/>
  <c r="AA659" i="7" l="1"/>
  <c r="Z659" i="7"/>
  <c r="W659" i="7"/>
  <c r="V659" i="7"/>
  <c r="Y659" i="7"/>
  <c r="X659" i="7"/>
  <c r="U659" i="7" l="1"/>
  <c r="T659" i="7"/>
  <c r="S660" i="7" l="1"/>
  <c r="Q660" i="7"/>
  <c r="P660" i="7"/>
  <c r="R660" i="7"/>
  <c r="AC660" i="7" l="1"/>
  <c r="W660" i="7" s="1"/>
  <c r="AE660" i="7"/>
  <c r="AA660" i="7" s="1"/>
  <c r="AD660" i="7"/>
  <c r="X660" i="7" s="1"/>
  <c r="V660" i="7" l="1"/>
  <c r="Y660" i="7"/>
  <c r="U660" i="7" s="1"/>
  <c r="Z660" i="7"/>
  <c r="T660" i="7" l="1"/>
  <c r="R661" i="7" s="1"/>
  <c r="S661" i="7"/>
  <c r="Q661" i="7"/>
  <c r="P661" i="7" l="1"/>
  <c r="AD661" i="7" s="1"/>
  <c r="X661" i="7" s="1"/>
  <c r="AE661" i="7"/>
  <c r="Z661" i="7" s="1"/>
  <c r="AC661" i="7"/>
  <c r="V661" i="7" s="1"/>
  <c r="Y661" i="7" l="1"/>
  <c r="AA661" i="7"/>
  <c r="W661" i="7"/>
  <c r="T661" i="7"/>
  <c r="P662" i="7" s="1"/>
  <c r="U661" i="7" l="1"/>
  <c r="Q662" i="7" s="1"/>
  <c r="R662" i="7"/>
  <c r="S662" i="7" l="1"/>
  <c r="AE662" i="7"/>
  <c r="Z662" i="7" s="1"/>
  <c r="AC662" i="7"/>
  <c r="AD662" i="7"/>
  <c r="X662" i="7" s="1"/>
  <c r="AA662" i="7" l="1"/>
  <c r="V662" i="7"/>
  <c r="T662" i="7" s="1"/>
  <c r="W662" i="7"/>
  <c r="Y662" i="7"/>
  <c r="U662" i="7" l="1"/>
  <c r="P663" i="7"/>
  <c r="R663" i="7"/>
  <c r="Q663" i="7" l="1"/>
  <c r="AC663" i="7" s="1"/>
  <c r="V663" i="7" s="1"/>
  <c r="S663" i="7"/>
  <c r="W663" i="7" l="1"/>
  <c r="AE663" i="7"/>
  <c r="Z663" i="7" s="1"/>
  <c r="AD663" i="7"/>
  <c r="X663" i="7" s="1"/>
  <c r="T663" i="7" l="1"/>
  <c r="Y663" i="7"/>
  <c r="AA663" i="7"/>
  <c r="U663" i="7" l="1"/>
  <c r="Q664" i="7" s="1"/>
  <c r="P664" i="7"/>
  <c r="R664" i="7"/>
  <c r="S664" i="7" l="1"/>
  <c r="AE664" i="7"/>
  <c r="AA664" i="7" s="1"/>
  <c r="AC664" i="7"/>
  <c r="W664" i="7" s="1"/>
  <c r="AD664" i="7"/>
  <c r="Y664" i="7" s="1"/>
  <c r="Z664" i="7" l="1"/>
  <c r="U664" i="7"/>
  <c r="X664" i="7"/>
  <c r="V664" i="7"/>
  <c r="T664" i="7" l="1"/>
  <c r="R665" i="7" s="1"/>
  <c r="S665" i="7"/>
  <c r="Q665" i="7"/>
  <c r="P665" i="7" l="1"/>
  <c r="AE665" i="7" s="1"/>
  <c r="AD665" i="7" l="1"/>
  <c r="Y665" i="7" s="1"/>
  <c r="AC665" i="7"/>
  <c r="V665" i="7" s="1"/>
  <c r="AA665" i="7"/>
  <c r="Z665" i="7"/>
  <c r="W665" i="7" l="1"/>
  <c r="U665" i="7" s="1"/>
  <c r="X665" i="7"/>
  <c r="T665" i="7" s="1"/>
  <c r="P666" i="7" l="1"/>
  <c r="R666" i="7"/>
  <c r="Q666" i="7"/>
  <c r="S666" i="7"/>
  <c r="AE666" i="7" l="1"/>
  <c r="AC666" i="7"/>
  <c r="AD666" i="7"/>
  <c r="Y666" i="7" l="1"/>
  <c r="X666" i="7"/>
  <c r="W666" i="7"/>
  <c r="V666" i="7"/>
  <c r="Z666" i="7"/>
  <c r="AA666" i="7"/>
  <c r="U666" i="7" l="1"/>
  <c r="T666" i="7"/>
  <c r="R667" i="7" l="1"/>
  <c r="P667" i="7"/>
  <c r="Q667" i="7"/>
  <c r="S667" i="7"/>
  <c r="AC667" i="7" l="1"/>
  <c r="AE667" i="7"/>
  <c r="Z667" i="7" s="1"/>
  <c r="AD667" i="7"/>
  <c r="Y667" i="7" l="1"/>
  <c r="X667" i="7"/>
  <c r="V667" i="7"/>
  <c r="W667" i="7"/>
  <c r="AA667" i="7"/>
  <c r="T667" i="7" l="1"/>
  <c r="P668" i="7" s="1"/>
  <c r="U667" i="7"/>
  <c r="S668" i="7" s="1"/>
  <c r="R668" i="7"/>
  <c r="Q668" i="7" l="1"/>
  <c r="AD668" i="7" s="1"/>
  <c r="X668" i="7" s="1"/>
  <c r="AE668" i="7" l="1"/>
  <c r="Z668" i="7" s="1"/>
  <c r="AC668" i="7"/>
  <c r="V668" i="7" s="1"/>
  <c r="Y668" i="7"/>
  <c r="T668" i="7" l="1"/>
  <c r="P669" i="7" s="1"/>
  <c r="AA668" i="7"/>
  <c r="W668" i="7"/>
  <c r="U668" i="7" l="1"/>
  <c r="R669" i="7"/>
  <c r="Q669" i="7"/>
  <c r="AE669" i="7" s="1"/>
  <c r="Z669" i="7" s="1"/>
  <c r="S669" i="7"/>
  <c r="AA669" i="7" l="1"/>
  <c r="AD669" i="7"/>
  <c r="X669" i="7" s="1"/>
  <c r="AC669" i="7"/>
  <c r="V669" i="7" s="1"/>
  <c r="T669" i="7" l="1"/>
  <c r="P670" i="7" s="1"/>
  <c r="Y669" i="7"/>
  <c r="W669" i="7"/>
  <c r="R670" i="7" l="1"/>
  <c r="U669" i="7"/>
  <c r="Q670" i="7" s="1"/>
  <c r="AD670" i="7" l="1"/>
  <c r="X670" i="7" s="1"/>
  <c r="AC670" i="7"/>
  <c r="V670" i="7" s="1"/>
  <c r="AE670" i="7"/>
  <c r="Z670" i="7" s="1"/>
  <c r="S670" i="7"/>
  <c r="Y670" i="7" l="1"/>
  <c r="AA670" i="7"/>
  <c r="W670" i="7"/>
  <c r="T670" i="7"/>
  <c r="P671" i="7" s="1"/>
  <c r="U670" i="7" l="1"/>
  <c r="S671" i="7" s="1"/>
  <c r="R671" i="7"/>
  <c r="Q671" i="7"/>
  <c r="AC671" i="7" l="1"/>
  <c r="AE671" i="7"/>
  <c r="AD671" i="7"/>
  <c r="X671" i="7" l="1"/>
  <c r="Y671" i="7"/>
  <c r="Z671" i="7"/>
  <c r="AA671" i="7"/>
  <c r="V671" i="7"/>
  <c r="W671" i="7"/>
  <c r="U671" i="7" l="1"/>
  <c r="Q672" i="7" s="1"/>
  <c r="T671" i="7"/>
  <c r="R672" i="7" s="1"/>
  <c r="P672" i="7" l="1"/>
  <c r="AD672" i="7" s="1"/>
  <c r="X672" i="7" s="1"/>
  <c r="S672" i="7"/>
  <c r="AE672" i="7" l="1"/>
  <c r="Z672" i="7" s="1"/>
  <c r="AC672" i="7"/>
  <c r="V672" i="7" s="1"/>
  <c r="Y672" i="7"/>
  <c r="AA672" i="7" l="1"/>
  <c r="T672" i="7"/>
  <c r="P673" i="7" s="1"/>
  <c r="W672" i="7"/>
  <c r="U672" i="7" l="1"/>
  <c r="Q673" i="7" s="1"/>
  <c r="AE673" i="7" s="1"/>
  <c r="Z673" i="7" s="1"/>
  <c r="R673" i="7"/>
  <c r="S673" i="7"/>
  <c r="AD673" i="7" l="1"/>
  <c r="X673" i="7" s="1"/>
  <c r="AC673" i="7"/>
  <c r="V673" i="7" s="1"/>
  <c r="T673" i="7" s="1"/>
  <c r="AA673" i="7"/>
  <c r="Y673" i="7" l="1"/>
  <c r="P674" i="7"/>
  <c r="R674" i="7"/>
  <c r="W673" i="7"/>
  <c r="U673" i="7" s="1"/>
  <c r="Q674" i="7" s="1"/>
  <c r="AE674" i="7" s="1"/>
  <c r="Z674" i="7" s="1"/>
  <c r="AD674" i="7" l="1"/>
  <c r="X674" i="7" s="1"/>
  <c r="AC674" i="7"/>
  <c r="V674" i="7" s="1"/>
  <c r="S674" i="7"/>
  <c r="AA674" i="7"/>
  <c r="Y674" i="7" l="1"/>
  <c r="W674" i="7"/>
  <c r="T674" i="7"/>
  <c r="P675" i="7" s="1"/>
  <c r="U674" i="7" l="1"/>
  <c r="R675" i="7"/>
  <c r="Q675" i="7"/>
  <c r="AE675" i="7" s="1"/>
  <c r="Z675" i="7" s="1"/>
  <c r="S675" i="7"/>
  <c r="AD675" i="7" l="1"/>
  <c r="X675" i="7" s="1"/>
  <c r="AA675" i="7"/>
  <c r="AC675" i="7"/>
  <c r="V675" i="7" s="1"/>
  <c r="T675" i="7" l="1"/>
  <c r="R676" i="7" s="1"/>
  <c r="Y675" i="7"/>
  <c r="W675" i="7"/>
  <c r="P676" i="7" l="1"/>
  <c r="U675" i="7"/>
  <c r="S676" i="7" s="1"/>
  <c r="Q676" i="7" l="1"/>
  <c r="AC676" i="7" s="1"/>
  <c r="V676" i="7" s="1"/>
  <c r="AD676" i="7" l="1"/>
  <c r="X676" i="7" s="1"/>
  <c r="AE676" i="7"/>
  <c r="Z676" i="7" s="1"/>
  <c r="W676" i="7"/>
  <c r="Y676" i="7" l="1"/>
  <c r="AA676" i="7"/>
  <c r="T676" i="7"/>
  <c r="P677" i="7" s="1"/>
  <c r="R677" i="7" l="1"/>
  <c r="U676" i="7"/>
  <c r="Q677" i="7" s="1"/>
  <c r="AE677" i="7" s="1"/>
  <c r="S677" i="7" l="1"/>
  <c r="AC677" i="7"/>
  <c r="AD677" i="7"/>
  <c r="Y677" i="7" s="1"/>
  <c r="W677" i="7"/>
  <c r="V677" i="7"/>
  <c r="AA677" i="7"/>
  <c r="Z677" i="7"/>
  <c r="X677" i="7" l="1"/>
  <c r="T677" i="7" s="1"/>
  <c r="U677" i="7"/>
  <c r="Q678" i="7" l="1"/>
  <c r="S678" i="7"/>
  <c r="R678" i="7"/>
  <c r="P678" i="7"/>
  <c r="AE678" i="7" l="1"/>
  <c r="AA678" i="7" s="1"/>
  <c r="AC678" i="7"/>
  <c r="V678" i="7" s="1"/>
  <c r="AD678" i="7"/>
  <c r="X678" i="7" s="1"/>
  <c r="W678" i="7" l="1"/>
  <c r="Y678" i="7"/>
  <c r="Z678" i="7"/>
  <c r="T678" i="7" s="1"/>
  <c r="U678" i="7" l="1"/>
  <c r="S679" i="7" s="1"/>
  <c r="R679" i="7"/>
  <c r="P679" i="7"/>
  <c r="Q679" i="7" l="1"/>
  <c r="AD679" i="7" s="1"/>
  <c r="X679" i="7" s="1"/>
  <c r="AC679" i="7" l="1"/>
  <c r="W679" i="7" s="1"/>
  <c r="AE679" i="7"/>
  <c r="Z679" i="7" s="1"/>
  <c r="Y679" i="7"/>
  <c r="V679" i="7" l="1"/>
  <c r="T679" i="7" s="1"/>
  <c r="AA679" i="7"/>
  <c r="U679" i="7" s="1"/>
  <c r="R680" i="7" l="1"/>
  <c r="P680" i="7"/>
  <c r="S680" i="7"/>
  <c r="Q680" i="7"/>
  <c r="AC680" i="7" l="1"/>
  <c r="AE680" i="7"/>
  <c r="AD680" i="7"/>
  <c r="Y680" i="7" l="1"/>
  <c r="X680" i="7"/>
  <c r="AA680" i="7"/>
  <c r="Z680" i="7"/>
  <c r="W680" i="7"/>
  <c r="V680" i="7"/>
  <c r="T680" i="7" l="1"/>
  <c r="R681" i="7" s="1"/>
  <c r="U680" i="7"/>
  <c r="P681" i="7" l="1"/>
  <c r="Q681" i="7"/>
  <c r="S681" i="7"/>
  <c r="AE681" i="7" l="1"/>
  <c r="AA681" i="7" s="1"/>
  <c r="AC681" i="7"/>
  <c r="W681" i="7" s="1"/>
  <c r="AD681" i="7"/>
  <c r="Y681" i="7" s="1"/>
  <c r="Z681" i="7" l="1"/>
  <c r="V681" i="7"/>
  <c r="X681" i="7"/>
  <c r="U681" i="7"/>
  <c r="S682" i="7" s="1"/>
  <c r="Q682" i="7" l="1"/>
  <c r="T681" i="7"/>
  <c r="P682" i="7" s="1"/>
  <c r="R682" i="7" l="1"/>
  <c r="AD682" i="7"/>
  <c r="Y682" i="7" s="1"/>
  <c r="AC682" i="7"/>
  <c r="W682" i="7" s="1"/>
  <c r="AE682" i="7"/>
  <c r="AA682" i="7" s="1"/>
  <c r="V682" i="7" l="1"/>
  <c r="X682" i="7"/>
  <c r="U682" i="7"/>
  <c r="Q683" i="7" s="1"/>
  <c r="Z682" i="7"/>
  <c r="T682" i="7" l="1"/>
  <c r="R683" i="7" s="1"/>
  <c r="S683" i="7"/>
  <c r="P683" i="7" l="1"/>
  <c r="AC683" i="7" s="1"/>
  <c r="V683" i="7" s="1"/>
  <c r="AD683" i="7" l="1"/>
  <c r="X683" i="7" s="1"/>
  <c r="AE683" i="7"/>
  <c r="Z683" i="7" s="1"/>
  <c r="T683" i="7" s="1"/>
  <c r="W683" i="7"/>
  <c r="Y683" i="7"/>
  <c r="AA683" i="7"/>
  <c r="P684" i="7" l="1"/>
  <c r="R684" i="7"/>
  <c r="U683" i="7"/>
  <c r="Q684" i="7" s="1"/>
  <c r="AC684" i="7" l="1"/>
  <c r="V684" i="7" s="1"/>
  <c r="AE684" i="7"/>
  <c r="Z684" i="7" s="1"/>
  <c r="AD684" i="7"/>
  <c r="X684" i="7" s="1"/>
  <c r="S684" i="7"/>
  <c r="AA684" i="7" l="1"/>
  <c r="W684" i="7"/>
  <c r="Y684" i="7"/>
  <c r="T684" i="7"/>
  <c r="P685" i="7" s="1"/>
  <c r="R685" i="7" l="1"/>
  <c r="U684" i="7"/>
  <c r="Q685" i="7" s="1"/>
  <c r="S685" i="7"/>
  <c r="AD685" i="7" l="1"/>
  <c r="X685" i="7" s="1"/>
  <c r="AC685" i="7"/>
  <c r="V685" i="7" s="1"/>
  <c r="AE685" i="7"/>
  <c r="Z685" i="7" s="1"/>
  <c r="T685" i="7" l="1"/>
  <c r="R686" i="7" s="1"/>
  <c r="AA685" i="7"/>
  <c r="W685" i="7"/>
  <c r="Y685" i="7"/>
  <c r="P686" i="7" l="1"/>
  <c r="U685" i="7"/>
  <c r="Q686" i="7" s="1"/>
  <c r="S686" i="7" l="1"/>
  <c r="AD686" i="7"/>
  <c r="AE686" i="7"/>
  <c r="AC686" i="7"/>
  <c r="W686" i="7" l="1"/>
  <c r="V686" i="7"/>
  <c r="Z686" i="7"/>
  <c r="AA686" i="7"/>
  <c r="Y686" i="7"/>
  <c r="X686" i="7"/>
  <c r="T686" i="7" l="1"/>
  <c r="U686" i="7"/>
  <c r="Q687" i="7" l="1"/>
  <c r="S687" i="7"/>
  <c r="R687" i="7"/>
  <c r="P687" i="7"/>
  <c r="AD687" i="7" l="1"/>
  <c r="Y687" i="7" s="1"/>
  <c r="AE687" i="7"/>
  <c r="AA687" i="7" s="1"/>
  <c r="AC687" i="7"/>
  <c r="Z687" i="7" l="1"/>
  <c r="X687" i="7"/>
  <c r="W687" i="7"/>
  <c r="U687" i="7" s="1"/>
  <c r="V687" i="7"/>
  <c r="T687" i="7" l="1"/>
  <c r="P688" i="7" s="1"/>
  <c r="Q688" i="7"/>
  <c r="S688" i="7"/>
  <c r="R688" i="7" l="1"/>
  <c r="AE688" i="7"/>
  <c r="AA688" i="7" s="1"/>
  <c r="AC688" i="7"/>
  <c r="W688" i="7" s="1"/>
  <c r="AD688" i="7"/>
  <c r="Y688" i="7" s="1"/>
  <c r="X688" i="7" l="1"/>
  <c r="V688" i="7"/>
  <c r="Z688" i="7"/>
  <c r="U688" i="7"/>
  <c r="T688" i="7" l="1"/>
  <c r="R689" i="7" s="1"/>
  <c r="S689" i="7"/>
  <c r="Q689" i="7"/>
  <c r="P689" i="7" l="1"/>
  <c r="AE689" i="7" s="1"/>
  <c r="AC689" i="7" l="1"/>
  <c r="W689" i="7" s="1"/>
  <c r="AD689" i="7"/>
  <c r="Y689" i="7" s="1"/>
  <c r="AA689" i="7"/>
  <c r="Z689" i="7"/>
  <c r="X689" i="7" l="1"/>
  <c r="V689" i="7"/>
  <c r="T689" i="7" s="1"/>
  <c r="U689" i="7"/>
  <c r="S690" i="7" l="1"/>
  <c r="Q690" i="7"/>
  <c r="R690" i="7"/>
  <c r="P690" i="7"/>
  <c r="AE690" i="7" l="1"/>
  <c r="AA690" i="7" s="1"/>
  <c r="AD690" i="7"/>
  <c r="Y690" i="7" s="1"/>
  <c r="AC690" i="7"/>
  <c r="W690" i="7" s="1"/>
  <c r="V690" i="7" l="1"/>
  <c r="X690" i="7"/>
  <c r="Z690" i="7"/>
  <c r="U690" i="7"/>
  <c r="T690" i="7" l="1"/>
  <c r="R691" i="7" s="1"/>
  <c r="Q691" i="7"/>
  <c r="S691" i="7"/>
  <c r="P691" i="7" l="1"/>
  <c r="AE691" i="7" s="1"/>
  <c r="AA691" i="7" s="1"/>
  <c r="AC691" i="7" l="1"/>
  <c r="W691" i="7" s="1"/>
  <c r="AD691" i="7"/>
  <c r="Y691" i="7" s="1"/>
  <c r="Z691" i="7"/>
  <c r="V691" i="7" l="1"/>
  <c r="U691" i="7"/>
  <c r="S692" i="7" s="1"/>
  <c r="X691" i="7"/>
  <c r="Q692" i="7"/>
  <c r="T691" i="7" l="1"/>
  <c r="P692" i="7" s="1"/>
  <c r="AC692" i="7" s="1"/>
  <c r="W692" i="7" s="1"/>
  <c r="AD692" i="7" l="1"/>
  <c r="Y692" i="7" s="1"/>
  <c r="V692" i="7"/>
  <c r="AE692" i="7"/>
  <c r="AA692" i="7" s="1"/>
  <c r="U692" i="7" s="1"/>
  <c r="Q693" i="7" s="1"/>
  <c r="R692" i="7"/>
  <c r="X692" i="7"/>
  <c r="Z692" i="7" l="1"/>
  <c r="S693" i="7"/>
  <c r="T692" i="7"/>
  <c r="R693" i="7" s="1"/>
  <c r="P693" i="7" l="1"/>
  <c r="AD693" i="7" s="1"/>
  <c r="Y693" i="7" s="1"/>
  <c r="AC693" i="7"/>
  <c r="W693" i="7" s="1"/>
  <c r="AE693" i="7"/>
  <c r="AA693" i="7" s="1"/>
  <c r="X693" i="7"/>
  <c r="V693" i="7" l="1"/>
  <c r="U693" i="7"/>
  <c r="S694" i="7" s="1"/>
  <c r="Z693" i="7"/>
  <c r="Q694" i="7" l="1"/>
  <c r="T693" i="7"/>
  <c r="P694" i="7" s="1"/>
  <c r="AC694" i="7" s="1"/>
  <c r="R694" i="7" l="1"/>
  <c r="AE694" i="7"/>
  <c r="AA694" i="7" s="1"/>
  <c r="AD694" i="7"/>
  <c r="Y694" i="7" s="1"/>
  <c r="W694" i="7"/>
  <c r="V694" i="7"/>
  <c r="Z694" i="7" l="1"/>
  <c r="X694" i="7"/>
  <c r="U694" i="7"/>
  <c r="T694" i="7"/>
  <c r="S695" i="7"/>
  <c r="Q695" i="7"/>
  <c r="R695" i="7"/>
  <c r="P695" i="7"/>
  <c r="AC695" i="7" l="1"/>
  <c r="W695" i="7" s="1"/>
  <c r="AE695" i="7"/>
  <c r="AD695" i="7"/>
  <c r="V695" i="7" l="1"/>
  <c r="Y695" i="7"/>
  <c r="X695" i="7"/>
  <c r="AA695" i="7"/>
  <c r="Z695" i="7"/>
  <c r="U695" i="7" l="1"/>
  <c r="S696" i="7" s="1"/>
  <c r="Q696" i="7"/>
  <c r="T695" i="7"/>
  <c r="P696" i="7" l="1"/>
  <c r="R696" i="7"/>
  <c r="AD696" i="7" l="1"/>
  <c r="Y696" i="7" s="1"/>
  <c r="AC696" i="7"/>
  <c r="W696" i="7" s="1"/>
  <c r="AE696" i="7"/>
  <c r="AA696" i="7" s="1"/>
  <c r="X696" i="7" l="1"/>
  <c r="U696" i="7"/>
  <c r="Z696" i="7"/>
  <c r="V696" i="7"/>
  <c r="T696" i="7" l="1"/>
  <c r="R697" i="7" s="1"/>
  <c r="P697" i="7"/>
  <c r="Q697" i="7"/>
  <c r="S697" i="7"/>
  <c r="AC697" i="7" l="1"/>
  <c r="AD697" i="7"/>
  <c r="AE697" i="7"/>
  <c r="AA697" i="7" l="1"/>
  <c r="Z697" i="7"/>
  <c r="Y697" i="7"/>
  <c r="X697" i="7"/>
  <c r="W697" i="7"/>
  <c r="V697" i="7"/>
  <c r="T697" i="7" l="1"/>
  <c r="R698" i="7" s="1"/>
  <c r="U697" i="7"/>
  <c r="S698" i="7" s="1"/>
  <c r="P698" i="7" l="1"/>
  <c r="Q698" i="7"/>
  <c r="AC698" i="7" s="1"/>
  <c r="AE698" i="7" l="1"/>
  <c r="AA698" i="7" s="1"/>
  <c r="AD698" i="7"/>
  <c r="Y698" i="7" s="1"/>
  <c r="W698" i="7"/>
  <c r="V698" i="7"/>
  <c r="X698" i="7" l="1"/>
  <c r="Z698" i="7"/>
  <c r="U698" i="7"/>
  <c r="Q699" i="7" s="1"/>
  <c r="T698" i="7" l="1"/>
  <c r="R699" i="7" s="1"/>
  <c r="S699" i="7"/>
  <c r="P699" i="7" l="1"/>
  <c r="AD699" i="7" s="1"/>
  <c r="AE699" i="7" l="1"/>
  <c r="AC699" i="7"/>
  <c r="W699" i="7" s="1"/>
  <c r="AA699" i="7"/>
  <c r="Z699" i="7"/>
  <c r="Y699" i="7"/>
  <c r="X699" i="7"/>
  <c r="V699" i="7" l="1"/>
  <c r="T699" i="7" s="1"/>
  <c r="U699" i="7"/>
  <c r="S700" i="7" l="1"/>
  <c r="Q700" i="7"/>
  <c r="P700" i="7"/>
  <c r="R700" i="7"/>
  <c r="AE700" i="7" l="1"/>
  <c r="AC700" i="7"/>
  <c r="W700" i="7" s="1"/>
  <c r="AD700" i="7"/>
  <c r="Y700" i="7" l="1"/>
  <c r="X700" i="7"/>
  <c r="AA700" i="7"/>
  <c r="Z700" i="7"/>
  <c r="V700" i="7"/>
  <c r="U700" i="7" l="1"/>
  <c r="Q701" i="7" s="1"/>
  <c r="S701" i="7"/>
  <c r="T700" i="7"/>
  <c r="R701" i="7" l="1"/>
  <c r="P701" i="7"/>
  <c r="AC701" i="7" l="1"/>
  <c r="W701" i="7" s="1"/>
  <c r="AD701" i="7"/>
  <c r="AE701" i="7"/>
  <c r="V701" i="7" l="1"/>
  <c r="Y701" i="7"/>
  <c r="X701" i="7"/>
  <c r="AA701" i="7"/>
  <c r="Z701" i="7"/>
  <c r="U701" i="7" l="1"/>
  <c r="S702" i="7" s="1"/>
  <c r="T701" i="7"/>
  <c r="Q702" i="7" l="1"/>
  <c r="R702" i="7"/>
  <c r="P702" i="7"/>
  <c r="AD702" i="7" l="1"/>
  <c r="Y702" i="7" s="1"/>
  <c r="AC702" i="7"/>
  <c r="W702" i="7" s="1"/>
  <c r="AE702" i="7"/>
  <c r="AA702" i="7" s="1"/>
  <c r="V702" i="7" l="1"/>
  <c r="X702" i="7"/>
  <c r="Z702" i="7"/>
  <c r="U702" i="7"/>
  <c r="T702" i="7" l="1"/>
  <c r="R703" i="7" s="1"/>
  <c r="P703" i="7"/>
  <c r="S703" i="7"/>
  <c r="Q703" i="7"/>
  <c r="AC703" i="7" l="1"/>
  <c r="AE703" i="7"/>
  <c r="AD703" i="7"/>
  <c r="Y703" i="7" l="1"/>
  <c r="X703" i="7"/>
  <c r="AA703" i="7"/>
  <c r="Z703" i="7"/>
  <c r="W703" i="7"/>
  <c r="V703" i="7"/>
  <c r="U703" i="7" l="1"/>
  <c r="Q704" i="7" s="1"/>
  <c r="T703" i="7"/>
  <c r="S704" i="7" l="1"/>
  <c r="R704" i="7"/>
  <c r="P704" i="7"/>
  <c r="AE704" i="7" l="1"/>
  <c r="AA704" i="7" s="1"/>
  <c r="AC704" i="7"/>
  <c r="W704" i="7" s="1"/>
  <c r="AD704" i="7"/>
  <c r="Y704" i="7" s="1"/>
  <c r="Z704" i="7" l="1"/>
  <c r="V704" i="7"/>
  <c r="X704" i="7"/>
  <c r="U704" i="7"/>
  <c r="T704" i="7" l="1"/>
  <c r="P705" i="7" s="1"/>
  <c r="Q705" i="7"/>
  <c r="S705" i="7"/>
  <c r="R705" i="7" l="1"/>
  <c r="AC705" i="7"/>
  <c r="AD705" i="7"/>
  <c r="AE705" i="7"/>
  <c r="AA705" i="7" l="1"/>
  <c r="Z705" i="7"/>
  <c r="Y705" i="7"/>
  <c r="X705" i="7"/>
  <c r="W705" i="7"/>
  <c r="V705" i="7"/>
  <c r="T705" i="7" l="1"/>
  <c r="U705" i="7"/>
  <c r="S706" i="7" l="1"/>
  <c r="Q706" i="7"/>
  <c r="R706" i="7"/>
  <c r="P706" i="7"/>
  <c r="AD706" i="7" l="1"/>
  <c r="X706" i="7" s="1"/>
  <c r="AE706" i="7"/>
  <c r="Z706" i="7" s="1"/>
  <c r="AC706" i="7"/>
  <c r="V706" i="7" s="1"/>
  <c r="T706" i="7" l="1"/>
  <c r="P707" i="7" s="1"/>
  <c r="W706" i="7"/>
  <c r="AA706" i="7"/>
  <c r="Y706" i="7"/>
  <c r="R707" i="7"/>
  <c r="U706" i="7" l="1"/>
  <c r="S707" i="7" s="1"/>
  <c r="Q707" i="7" l="1"/>
  <c r="AE707" i="7" s="1"/>
  <c r="Z707" i="7" s="1"/>
  <c r="AD707" i="7"/>
  <c r="Y707" i="7" s="1"/>
  <c r="AA707" i="7" l="1"/>
  <c r="AC707" i="7"/>
  <c r="V707" i="7" s="1"/>
  <c r="X707" i="7"/>
  <c r="T707" i="7" l="1"/>
  <c r="W707" i="7"/>
  <c r="U707" i="7" s="1"/>
  <c r="Q708" i="7" s="1"/>
  <c r="R708" i="7"/>
  <c r="P708" i="7"/>
  <c r="AC708" i="7" s="1"/>
  <c r="V708" i="7" s="1"/>
  <c r="S708" i="7" l="1"/>
  <c r="AD708" i="7"/>
  <c r="X708" i="7" s="1"/>
  <c r="AE708" i="7"/>
  <c r="Z708" i="7" s="1"/>
  <c r="T708" i="7" s="1"/>
  <c r="P709" i="7" s="1"/>
  <c r="W708" i="7"/>
  <c r="Y708" i="7"/>
  <c r="AA708" i="7" l="1"/>
  <c r="U708" i="7" s="1"/>
  <c r="R709" i="7"/>
  <c r="S709" i="7" l="1"/>
  <c r="Q709" i="7"/>
  <c r="AC709" i="7" l="1"/>
  <c r="V709" i="7" s="1"/>
  <c r="AE709" i="7"/>
  <c r="Z709" i="7" s="1"/>
  <c r="AD709" i="7"/>
  <c r="X709" i="7" s="1"/>
  <c r="AA709" i="7" l="1"/>
  <c r="W709" i="7"/>
  <c r="Y709" i="7"/>
  <c r="T709" i="7"/>
  <c r="R710" i="7" s="1"/>
  <c r="P710" i="7" l="1"/>
  <c r="U709" i="7"/>
  <c r="Q710" i="7" s="1"/>
  <c r="AE710" i="7" l="1"/>
  <c r="Z710" i="7" s="1"/>
  <c r="S710" i="7"/>
  <c r="AC710" i="7"/>
  <c r="V710" i="7" s="1"/>
  <c r="AD710" i="7"/>
  <c r="X710" i="7" s="1"/>
  <c r="AA710" i="7"/>
  <c r="Y710" i="7" l="1"/>
  <c r="W710" i="7"/>
  <c r="T710" i="7"/>
  <c r="P711" i="7" s="1"/>
  <c r="U710" i="7" l="1"/>
  <c r="S711" i="7" s="1"/>
  <c r="R711" i="7"/>
  <c r="Q711" i="7" l="1"/>
  <c r="AC711" i="7" s="1"/>
  <c r="V711" i="7" s="1"/>
  <c r="AE711" i="7"/>
  <c r="Z711" i="7" s="1"/>
  <c r="AD711" i="7"/>
  <c r="X711" i="7" s="1"/>
  <c r="T711" i="7" s="1"/>
  <c r="W711" i="7"/>
  <c r="AA711" i="7" l="1"/>
  <c r="Y711" i="7"/>
  <c r="R712" i="7"/>
  <c r="P712" i="7"/>
  <c r="U711" i="7" l="1"/>
  <c r="S712" i="7"/>
  <c r="Q712" i="7"/>
  <c r="AC712" i="7" s="1"/>
  <c r="V712" i="7" s="1"/>
  <c r="AD712" i="7" l="1"/>
  <c r="X712" i="7" s="1"/>
  <c r="AE712" i="7"/>
  <c r="Z712" i="7" s="1"/>
  <c r="W712" i="7"/>
  <c r="Y712" i="7" l="1"/>
  <c r="T712" i="7"/>
  <c r="P713" i="7" s="1"/>
  <c r="R713" i="7"/>
  <c r="AA712" i="7"/>
  <c r="U712" i="7" l="1"/>
  <c r="S713" i="7" s="1"/>
  <c r="Q713" i="7" l="1"/>
  <c r="AD713" i="7"/>
  <c r="X713" i="7" s="1"/>
  <c r="AE713" i="7"/>
  <c r="AC713" i="7"/>
  <c r="V713" i="7" s="1"/>
  <c r="Y713" i="7" l="1"/>
  <c r="W713" i="7"/>
  <c r="AA713" i="7"/>
  <c r="Z713" i="7"/>
  <c r="T713" i="7" s="1"/>
  <c r="R714" i="7" l="1"/>
  <c r="P714" i="7"/>
  <c r="U713" i="7"/>
  <c r="Q714" i="7" l="1"/>
  <c r="AC714" i="7" s="1"/>
  <c r="S714" i="7"/>
  <c r="W714" i="7" l="1"/>
  <c r="V714" i="7"/>
  <c r="AE714" i="7"/>
  <c r="AD714" i="7"/>
  <c r="Y714" i="7" l="1"/>
  <c r="X714" i="7"/>
  <c r="AA714" i="7"/>
  <c r="Z714" i="7"/>
  <c r="T714" i="7" l="1"/>
  <c r="P715" i="7" s="1"/>
  <c r="U714" i="7"/>
  <c r="S715" i="7" s="1"/>
  <c r="Q715" i="7" l="1"/>
  <c r="R715" i="7"/>
  <c r="AC715" i="7"/>
  <c r="W715" i="7" s="1"/>
  <c r="AE715" i="7"/>
  <c r="AA715" i="7" s="1"/>
  <c r="AD715" i="7"/>
  <c r="Y715" i="7" s="1"/>
  <c r="U715" i="7" l="1"/>
  <c r="S716" i="7" s="1"/>
  <c r="V715" i="7"/>
  <c r="Z715" i="7"/>
  <c r="X715" i="7"/>
  <c r="Q716" i="7" l="1"/>
  <c r="T715" i="7"/>
  <c r="R716" i="7" s="1"/>
  <c r="P716" i="7" l="1"/>
  <c r="AC716" i="7" l="1"/>
  <c r="AE716" i="7"/>
  <c r="AD716" i="7"/>
  <c r="Y716" i="7" l="1"/>
  <c r="X716" i="7"/>
  <c r="Z716" i="7"/>
  <c r="AA716" i="7"/>
  <c r="W716" i="7"/>
  <c r="V716" i="7"/>
  <c r="U716" i="7" l="1"/>
  <c r="T716" i="7"/>
  <c r="Q717" i="7" l="1"/>
  <c r="S717" i="7"/>
  <c r="R717" i="7"/>
  <c r="P717" i="7"/>
  <c r="AD717" i="7" l="1"/>
  <c r="Y717" i="7" s="1"/>
  <c r="AC717" i="7"/>
  <c r="W717" i="7" s="1"/>
  <c r="AE717" i="7"/>
  <c r="AA717" i="7" s="1"/>
  <c r="Z717" i="7" l="1"/>
  <c r="X717" i="7"/>
  <c r="V717" i="7"/>
  <c r="U717" i="7"/>
  <c r="T717" i="7" l="1"/>
  <c r="Q718" i="7"/>
  <c r="S718" i="7"/>
  <c r="P718" i="7"/>
  <c r="R718" i="7"/>
  <c r="AD718" i="7" l="1"/>
  <c r="Y718" i="7" s="1"/>
  <c r="AC718" i="7"/>
  <c r="W718" i="7" s="1"/>
  <c r="AE718" i="7"/>
  <c r="AA718" i="7" s="1"/>
  <c r="X718" i="7" l="1"/>
  <c r="V718" i="7"/>
  <c r="Z718" i="7"/>
  <c r="U718" i="7"/>
  <c r="T718" i="7" l="1"/>
  <c r="R719" i="7" s="1"/>
  <c r="S719" i="7"/>
  <c r="Q719" i="7"/>
  <c r="P719" i="7" l="1"/>
  <c r="AE719" i="7" s="1"/>
  <c r="AD719" i="7" l="1"/>
  <c r="X719" i="7" s="1"/>
  <c r="AC719" i="7"/>
  <c r="V719" i="7" s="1"/>
  <c r="AA719" i="7"/>
  <c r="Z719" i="7"/>
  <c r="Y719" i="7"/>
  <c r="W719" i="7" l="1"/>
  <c r="T719" i="7"/>
  <c r="U719" i="7"/>
  <c r="P720" i="7" l="1"/>
  <c r="R720" i="7"/>
  <c r="S720" i="7"/>
  <c r="Q720" i="7"/>
  <c r="AD720" i="7" l="1"/>
  <c r="Y720" i="7" s="1"/>
  <c r="AC720" i="7"/>
  <c r="W720" i="7" s="1"/>
  <c r="AE720" i="7"/>
  <c r="Z720" i="7" s="1"/>
  <c r="X720" i="7" l="1"/>
  <c r="V720" i="7"/>
  <c r="AA720" i="7"/>
  <c r="U720" i="7" s="1"/>
  <c r="T720" i="7" l="1"/>
  <c r="Q721" i="7"/>
  <c r="S721" i="7"/>
  <c r="R721" i="7"/>
  <c r="P721" i="7"/>
  <c r="AC721" i="7" l="1"/>
  <c r="W721" i="7" s="1"/>
  <c r="AD721" i="7"/>
  <c r="Y721" i="7" s="1"/>
  <c r="AE721" i="7"/>
  <c r="AA721" i="7" s="1"/>
  <c r="X721" i="7" l="1"/>
  <c r="U721" i="7"/>
  <c r="Z721" i="7"/>
  <c r="V721" i="7"/>
  <c r="T721" i="7" l="1"/>
  <c r="S722" i="7"/>
  <c r="Q722" i="7"/>
  <c r="P722" i="7" l="1"/>
  <c r="R722" i="7"/>
  <c r="AE722" i="7" l="1"/>
  <c r="AA722" i="7" s="1"/>
  <c r="AC722" i="7"/>
  <c r="W722" i="7" s="1"/>
  <c r="AD722" i="7"/>
  <c r="Y722" i="7" s="1"/>
  <c r="X722" i="7" l="1"/>
  <c r="V722" i="7"/>
  <c r="Z722" i="7"/>
  <c r="U722" i="7"/>
  <c r="S723" i="7" l="1"/>
  <c r="Q723" i="7"/>
  <c r="T722" i="7"/>
  <c r="R723" i="7" l="1"/>
  <c r="P723" i="7"/>
  <c r="AD723" i="7" l="1"/>
  <c r="Y723" i="7" s="1"/>
  <c r="AC723" i="7"/>
  <c r="W723" i="7" s="1"/>
  <c r="AE723" i="7"/>
  <c r="AA723" i="7" s="1"/>
  <c r="X723" i="7" l="1"/>
  <c r="Z723" i="7"/>
  <c r="V723" i="7"/>
  <c r="U723" i="7"/>
  <c r="T723" i="7" l="1"/>
  <c r="R724" i="7" s="1"/>
  <c r="Q724" i="7"/>
  <c r="S724" i="7"/>
  <c r="P724" i="7" l="1"/>
  <c r="AC724" i="7" s="1"/>
  <c r="V724" i="7" s="1"/>
  <c r="AE724" i="7" l="1"/>
  <c r="Z724" i="7" s="1"/>
  <c r="AD724" i="7"/>
  <c r="X724" i="7" s="1"/>
  <c r="W724" i="7"/>
  <c r="AA724" i="7" l="1"/>
  <c r="T724" i="7"/>
  <c r="R725" i="7" s="1"/>
  <c r="P725" i="7"/>
  <c r="Y724" i="7"/>
  <c r="U724" i="7" s="1"/>
  <c r="S725" i="7" l="1"/>
  <c r="Q725" i="7"/>
  <c r="AD725" i="7" s="1"/>
  <c r="Y725" i="7" s="1"/>
  <c r="AE725" i="7" l="1"/>
  <c r="Z725" i="7" s="1"/>
  <c r="X725" i="7"/>
  <c r="AC725" i="7"/>
  <c r="V725" i="7" s="1"/>
  <c r="AA725" i="7"/>
  <c r="T725" i="7" l="1"/>
  <c r="P726" i="7"/>
  <c r="R726" i="7"/>
  <c r="W725" i="7"/>
  <c r="U725" i="7" s="1"/>
  <c r="S726" i="7" s="1"/>
  <c r="Q726" i="7" l="1"/>
  <c r="AC726" i="7" s="1"/>
  <c r="V726" i="7" s="1"/>
  <c r="W726" i="7" l="1"/>
  <c r="AE726" i="7"/>
  <c r="AD726" i="7"/>
  <c r="X726" i="7" l="1"/>
  <c r="Y726" i="7"/>
  <c r="AA726" i="7"/>
  <c r="Z726" i="7"/>
  <c r="U726" i="7" l="1"/>
  <c r="T726" i="7"/>
  <c r="P727" i="7" l="1"/>
  <c r="R727" i="7"/>
  <c r="Q727" i="7"/>
  <c r="S727" i="7"/>
  <c r="AE727" i="7" l="1"/>
  <c r="Z727" i="7" s="1"/>
  <c r="AC727" i="7"/>
  <c r="AD727" i="7"/>
  <c r="W727" i="7" l="1"/>
  <c r="V727" i="7"/>
  <c r="X727" i="7"/>
  <c r="Y727" i="7"/>
  <c r="AA727" i="7"/>
  <c r="U727" i="7" l="1"/>
  <c r="T727" i="7"/>
  <c r="R728" i="7" l="1"/>
  <c r="P728" i="7"/>
  <c r="Q728" i="7"/>
  <c r="S728" i="7"/>
  <c r="AC728" i="7" l="1"/>
  <c r="W728" i="7" s="1"/>
  <c r="AE728" i="7"/>
  <c r="AA728" i="7" s="1"/>
  <c r="AD728" i="7"/>
  <c r="Y728" i="7" s="1"/>
  <c r="X728" i="7"/>
  <c r="V728" i="7" l="1"/>
  <c r="Z728" i="7"/>
  <c r="T728" i="7" s="1"/>
  <c r="U728" i="7"/>
  <c r="Q729" i="7" l="1"/>
  <c r="S729" i="7"/>
  <c r="P729" i="7"/>
  <c r="R729" i="7"/>
  <c r="AD729" i="7" l="1"/>
  <c r="X729" i="7" s="1"/>
  <c r="AC729" i="7"/>
  <c r="V729" i="7" s="1"/>
  <c r="AE729" i="7"/>
  <c r="Z729" i="7" s="1"/>
  <c r="Y729" i="7" l="1"/>
  <c r="AA729" i="7"/>
  <c r="W729" i="7"/>
  <c r="T729" i="7"/>
  <c r="U729" i="7" l="1"/>
  <c r="S730" i="7" s="1"/>
  <c r="Q730" i="7"/>
  <c r="R730" i="7"/>
  <c r="P730" i="7"/>
  <c r="AD730" i="7" s="1"/>
  <c r="X730" i="7" l="1"/>
  <c r="Y730" i="7"/>
  <c r="AC730" i="7"/>
  <c r="AE730" i="7"/>
  <c r="Z730" i="7" l="1"/>
  <c r="AA730" i="7"/>
  <c r="V730" i="7"/>
  <c r="T730" i="7" s="1"/>
  <c r="W730" i="7"/>
  <c r="U730" i="7" s="1"/>
  <c r="Q731" i="7" l="1"/>
  <c r="S731" i="7"/>
  <c r="R731" i="7"/>
  <c r="P731" i="7"/>
  <c r="AE731" i="7" l="1"/>
  <c r="AA731" i="7" s="1"/>
  <c r="AD731" i="7"/>
  <c r="AC731" i="7"/>
  <c r="Z731" i="7" l="1"/>
  <c r="W731" i="7"/>
  <c r="V731" i="7"/>
  <c r="Y731" i="7"/>
  <c r="U731" i="7" s="1"/>
  <c r="X731" i="7"/>
  <c r="T731" i="7" l="1"/>
  <c r="Q732" i="7"/>
  <c r="S732" i="7"/>
  <c r="R732" i="7" l="1"/>
  <c r="P732" i="7"/>
  <c r="AD732" i="7" l="1"/>
  <c r="Y732" i="7" s="1"/>
  <c r="AE732" i="7"/>
  <c r="AA732" i="7" s="1"/>
  <c r="AC732" i="7"/>
  <c r="W732" i="7" s="1"/>
  <c r="U732" i="7" l="1"/>
  <c r="Z732" i="7"/>
  <c r="V732" i="7"/>
  <c r="X732" i="7"/>
  <c r="Q733" i="7"/>
  <c r="S733" i="7"/>
  <c r="T732" i="7" l="1"/>
  <c r="R733" i="7" l="1"/>
  <c r="P733" i="7"/>
  <c r="AD733" i="7" l="1"/>
  <c r="Y733" i="7" s="1"/>
  <c r="AC733" i="7"/>
  <c r="W733" i="7" s="1"/>
  <c r="AE733" i="7"/>
  <c r="AA733" i="7" s="1"/>
  <c r="X733" i="7"/>
  <c r="V733" i="7"/>
  <c r="U733" i="7" l="1"/>
  <c r="Z733" i="7"/>
  <c r="T733" i="7" s="1"/>
  <c r="Q734" i="7"/>
  <c r="S734" i="7"/>
  <c r="P734" i="7" l="1"/>
  <c r="AD734" i="7" s="1"/>
  <c r="X734" i="7" s="1"/>
  <c r="R734" i="7"/>
  <c r="Y734" i="7" l="1"/>
  <c r="AC734" i="7"/>
  <c r="W734" i="7" s="1"/>
  <c r="AE734" i="7"/>
  <c r="AA734" i="7" s="1"/>
  <c r="V734" i="7" l="1"/>
  <c r="Z734" i="7"/>
  <c r="U734" i="7"/>
  <c r="Q735" i="7" s="1"/>
  <c r="S735" i="7" l="1"/>
  <c r="T734" i="7"/>
  <c r="R735" i="7" s="1"/>
  <c r="P735" i="7" l="1"/>
  <c r="AE735" i="7" s="1"/>
  <c r="AA735" i="7" s="1"/>
  <c r="AD735" i="7" l="1"/>
  <c r="Y735" i="7" s="1"/>
  <c r="AC735" i="7"/>
  <c r="W735" i="7" s="1"/>
  <c r="U735" i="7" s="1"/>
  <c r="Z735" i="7"/>
  <c r="X735" i="7" l="1"/>
  <c r="V735" i="7"/>
  <c r="Q736" i="7"/>
  <c r="S736" i="7"/>
  <c r="T735" i="7"/>
  <c r="R736" i="7" s="1"/>
  <c r="P736" i="7"/>
  <c r="AE736" i="7" l="1"/>
  <c r="AA736" i="7" s="1"/>
  <c r="AC736" i="7"/>
  <c r="W736" i="7" s="1"/>
  <c r="AD736" i="7"/>
  <c r="Y736" i="7" s="1"/>
  <c r="Z736" i="7" l="1"/>
  <c r="X736" i="7"/>
  <c r="U736" i="7"/>
  <c r="S737" i="7" s="1"/>
  <c r="V736" i="7"/>
  <c r="T736" i="7" s="1"/>
  <c r="Q737" i="7" l="1"/>
  <c r="R737" i="7"/>
  <c r="P737" i="7"/>
  <c r="AD737" i="7" l="1"/>
  <c r="Y737" i="7" s="1"/>
  <c r="AE737" i="7"/>
  <c r="AA737" i="7" s="1"/>
  <c r="AC737" i="7"/>
  <c r="W737" i="7" s="1"/>
  <c r="X737" i="7" l="1"/>
  <c r="V737" i="7"/>
  <c r="Z737" i="7"/>
  <c r="U737" i="7"/>
  <c r="Q738" i="7"/>
  <c r="S738" i="7"/>
  <c r="T737" i="7" l="1"/>
  <c r="P738" i="7"/>
  <c r="AE738" i="7" s="1"/>
  <c r="R738" i="7"/>
  <c r="AC738" i="7"/>
  <c r="AD738" i="7" l="1"/>
  <c r="Y738" i="7" s="1"/>
  <c r="X738" i="7"/>
  <c r="W738" i="7"/>
  <c r="V738" i="7"/>
  <c r="AA738" i="7"/>
  <c r="Z738" i="7"/>
  <c r="T738" i="7" l="1"/>
  <c r="U738" i="7"/>
  <c r="S739" i="7" l="1"/>
  <c r="Q739" i="7"/>
  <c r="P739" i="7"/>
  <c r="R739" i="7"/>
  <c r="AE739" i="7" l="1"/>
  <c r="AA739" i="7" s="1"/>
  <c r="AD739" i="7"/>
  <c r="Y739" i="7" s="1"/>
  <c r="AC739" i="7"/>
  <c r="W739" i="7" s="1"/>
  <c r="Z739" i="7"/>
  <c r="U739" i="7" l="1"/>
  <c r="Q740" i="7" s="1"/>
  <c r="V739" i="7"/>
  <c r="X739" i="7"/>
  <c r="S740" i="7" l="1"/>
  <c r="T739" i="7"/>
  <c r="R740" i="7" l="1"/>
  <c r="P740" i="7"/>
  <c r="AC740" i="7" l="1"/>
  <c r="W740" i="7" s="1"/>
  <c r="AD740" i="7"/>
  <c r="Y740" i="7" s="1"/>
  <c r="AE740" i="7"/>
  <c r="AA740" i="7" s="1"/>
  <c r="V740" i="7" l="1"/>
  <c r="X740" i="7"/>
  <c r="Z740" i="7"/>
  <c r="U740" i="7"/>
  <c r="T740" i="7" l="1"/>
  <c r="S741" i="7"/>
  <c r="Q741" i="7"/>
  <c r="P741" i="7"/>
  <c r="R741" i="7"/>
  <c r="AE741" i="7" l="1"/>
  <c r="AA741" i="7" s="1"/>
  <c r="AC741" i="7"/>
  <c r="W741" i="7" s="1"/>
  <c r="AD741" i="7"/>
  <c r="Y741" i="7" s="1"/>
  <c r="Z741" i="7"/>
  <c r="V741" i="7" l="1"/>
  <c r="X741" i="7"/>
  <c r="U741" i="7"/>
  <c r="T741" i="7" l="1"/>
  <c r="R742" i="7" s="1"/>
  <c r="Q742" i="7"/>
  <c r="S742" i="7"/>
  <c r="P742" i="7" l="1"/>
  <c r="AD742" i="7" s="1"/>
  <c r="Y742" i="7" s="1"/>
  <c r="X742" i="7" l="1"/>
  <c r="AC742" i="7"/>
  <c r="AE742" i="7"/>
  <c r="AA742" i="7" l="1"/>
  <c r="Z742" i="7"/>
  <c r="W742" i="7"/>
  <c r="U742" i="7" s="1"/>
  <c r="V742" i="7"/>
  <c r="T742" i="7" s="1"/>
  <c r="P743" i="7" s="1"/>
  <c r="R743" i="7" l="1"/>
  <c r="S743" i="7"/>
  <c r="Q743" i="7"/>
  <c r="AE743" i="7" s="1"/>
  <c r="AA743" i="7" s="1"/>
  <c r="AC743" i="7"/>
  <c r="W743" i="7" s="1"/>
  <c r="AD743" i="7"/>
  <c r="Y743" i="7" s="1"/>
  <c r="X743" i="7" l="1"/>
  <c r="V743" i="7"/>
  <c r="Z743" i="7"/>
  <c r="U743" i="7"/>
  <c r="T743" i="7" l="1"/>
  <c r="P744" i="7" s="1"/>
  <c r="Q744" i="7"/>
  <c r="S744" i="7"/>
  <c r="R744" i="7" l="1"/>
  <c r="AE744" i="7"/>
  <c r="AA744" i="7" s="1"/>
  <c r="AD744" i="7"/>
  <c r="Y744" i="7" s="1"/>
  <c r="AC744" i="7"/>
  <c r="W744" i="7" s="1"/>
  <c r="Z744" i="7"/>
  <c r="U744" i="7" l="1"/>
  <c r="Q745" i="7" s="1"/>
  <c r="X744" i="7"/>
  <c r="V744" i="7"/>
  <c r="S745" i="7"/>
  <c r="T744" i="7" l="1"/>
  <c r="R745" i="7" s="1"/>
  <c r="P745" i="7" l="1"/>
  <c r="AC745" i="7" s="1"/>
  <c r="W745" i="7" s="1"/>
  <c r="AE745" i="7" l="1"/>
  <c r="AA745" i="7" s="1"/>
  <c r="AD745" i="7"/>
  <c r="Y745" i="7" s="1"/>
  <c r="U745" i="7" s="1"/>
  <c r="Z745" i="7"/>
  <c r="V745" i="7"/>
  <c r="X745" i="7" l="1"/>
  <c r="T745" i="7" s="1"/>
  <c r="Q746" i="7"/>
  <c r="S746" i="7"/>
  <c r="R746" i="7" l="1"/>
  <c r="P746" i="7"/>
  <c r="AD746" i="7" l="1"/>
  <c r="Y746" i="7" s="1"/>
  <c r="AC746" i="7"/>
  <c r="AE746" i="7"/>
  <c r="X746" i="7" l="1"/>
  <c r="V746" i="7"/>
  <c r="W746" i="7"/>
  <c r="Z746" i="7"/>
  <c r="AA746" i="7"/>
  <c r="T746" i="7" l="1"/>
  <c r="R747" i="7"/>
  <c r="P747" i="7"/>
  <c r="U746" i="7"/>
  <c r="S747" i="7" l="1"/>
  <c r="Q747" i="7"/>
  <c r="AD747" i="7" s="1"/>
  <c r="AC747" i="7" l="1"/>
  <c r="W747" i="7" s="1"/>
  <c r="Y747" i="7"/>
  <c r="X747" i="7"/>
  <c r="AE747" i="7"/>
  <c r="Z747" i="7" s="1"/>
  <c r="V747" i="7" l="1"/>
  <c r="AA747" i="7"/>
  <c r="T747" i="7"/>
  <c r="R748" i="7" s="1"/>
  <c r="U747" i="7"/>
  <c r="S748" i="7" s="1"/>
  <c r="P748" i="7"/>
  <c r="Q748" i="7" l="1"/>
  <c r="AE748" i="7"/>
  <c r="Z748" i="7" s="1"/>
  <c r="AD748" i="7"/>
  <c r="X748" i="7" s="1"/>
  <c r="AC748" i="7"/>
  <c r="W748" i="7" s="1"/>
  <c r="AA748" i="7" l="1"/>
  <c r="Y748" i="7"/>
  <c r="V748" i="7"/>
  <c r="T748" i="7" s="1"/>
  <c r="U748" i="7" l="1"/>
  <c r="R749" i="7"/>
  <c r="P749" i="7"/>
  <c r="S749" i="7"/>
  <c r="Q749" i="7"/>
  <c r="AD749" i="7" l="1"/>
  <c r="X749" i="7" s="1"/>
  <c r="AC749" i="7"/>
  <c r="V749" i="7" s="1"/>
  <c r="AE749" i="7"/>
  <c r="Y749" i="7"/>
  <c r="AA749" i="7" l="1"/>
  <c r="Z749" i="7"/>
  <c r="T749" i="7" s="1"/>
  <c r="W749" i="7"/>
  <c r="U749" i="7" s="1"/>
  <c r="Q750" i="7" l="1"/>
  <c r="S750" i="7"/>
  <c r="P750" i="7"/>
  <c r="R750" i="7"/>
  <c r="AE750" i="7" l="1"/>
  <c r="AA750" i="7" s="1"/>
  <c r="AD750" i="7"/>
  <c r="Y750" i="7" s="1"/>
  <c r="AC750" i="7"/>
  <c r="V750" i="7" s="1"/>
  <c r="W750" i="7" l="1"/>
  <c r="X750" i="7"/>
  <c r="Z750" i="7"/>
  <c r="T750" i="7" s="1"/>
  <c r="U750" i="7"/>
  <c r="S751" i="7" s="1"/>
  <c r="Q751" i="7" l="1"/>
  <c r="P751" i="7"/>
  <c r="R751" i="7"/>
  <c r="AC751" i="7"/>
  <c r="W751" i="7" s="1"/>
  <c r="V751" i="7"/>
  <c r="AE751" i="7" l="1"/>
  <c r="AD751" i="7"/>
  <c r="Y751" i="7" l="1"/>
  <c r="X751" i="7"/>
  <c r="AA751" i="7"/>
  <c r="Z751" i="7"/>
  <c r="T751" i="7" l="1"/>
  <c r="U751" i="7"/>
  <c r="Q752" i="7" l="1"/>
  <c r="S752" i="7"/>
  <c r="P752" i="7"/>
  <c r="R752" i="7"/>
  <c r="AE752" i="7" l="1"/>
  <c r="AA752" i="7" s="1"/>
  <c r="AD752" i="7"/>
  <c r="Y752" i="7" s="1"/>
  <c r="AC752" i="7"/>
  <c r="Z752" i="7"/>
  <c r="X752" i="7"/>
  <c r="W752" i="7" l="1"/>
  <c r="U752" i="7" s="1"/>
  <c r="V752" i="7"/>
  <c r="T752" i="7" s="1"/>
  <c r="R753" i="7" s="1"/>
  <c r="P753" i="7" l="1"/>
  <c r="S753" i="7"/>
  <c r="Q753" i="7"/>
  <c r="AD753" i="7" s="1"/>
  <c r="Y753" i="7" s="1"/>
  <c r="AE753" i="7"/>
  <c r="AA753" i="7" s="1"/>
  <c r="AC753" i="7" l="1"/>
  <c r="X753" i="7"/>
  <c r="Z753" i="7"/>
  <c r="W753" i="7" l="1"/>
  <c r="U753" i="7" s="1"/>
  <c r="V753" i="7"/>
  <c r="T753" i="7" s="1"/>
  <c r="P754" i="7" l="1"/>
  <c r="R754" i="7"/>
  <c r="S754" i="7"/>
  <c r="Q754" i="7"/>
  <c r="AC754" i="7" l="1"/>
  <c r="AD754" i="7"/>
  <c r="AE754" i="7"/>
  <c r="X754" i="7" l="1"/>
  <c r="Y754" i="7"/>
  <c r="AA754" i="7"/>
  <c r="Z754" i="7"/>
  <c r="W754" i="7"/>
  <c r="V754" i="7"/>
  <c r="T754" i="7" s="1"/>
  <c r="U754" i="7" l="1"/>
  <c r="R755" i="7"/>
  <c r="P755" i="7"/>
  <c r="S755" i="7" l="1"/>
  <c r="Q755" i="7"/>
  <c r="AC755" i="7" s="1"/>
  <c r="W755" i="7" l="1"/>
  <c r="V755" i="7"/>
  <c r="AE755" i="7"/>
  <c r="Z755" i="7" s="1"/>
  <c r="AD755" i="7"/>
  <c r="X755" i="7" s="1"/>
  <c r="AA755" i="7" l="1"/>
  <c r="Y755" i="7"/>
  <c r="U755" i="7" s="1"/>
  <c r="T755" i="7"/>
  <c r="Q756" i="7" l="1"/>
  <c r="S756" i="7"/>
  <c r="R756" i="7"/>
  <c r="P756" i="7"/>
  <c r="AE756" i="7" l="1"/>
  <c r="AA756" i="7" s="1"/>
  <c r="AD756" i="7"/>
  <c r="Y756" i="7" s="1"/>
  <c r="AC756" i="7"/>
  <c r="W756" i="7" s="1"/>
  <c r="X756" i="7"/>
  <c r="U756" i="7" l="1"/>
  <c r="Z756" i="7"/>
  <c r="V756" i="7"/>
  <c r="T756" i="7" s="1"/>
  <c r="R757" i="7" l="1"/>
  <c r="P757" i="7"/>
  <c r="S757" i="7"/>
  <c r="Q757" i="7"/>
  <c r="AE757" i="7" l="1"/>
  <c r="AA757" i="7" s="1"/>
  <c r="AD757" i="7"/>
  <c r="Y757" i="7" s="1"/>
  <c r="AC757" i="7"/>
  <c r="Z757" i="7"/>
  <c r="X757" i="7"/>
  <c r="W757" i="7" l="1"/>
  <c r="U757" i="7" s="1"/>
  <c r="V757" i="7"/>
  <c r="T757" i="7" s="1"/>
  <c r="P758" i="7" l="1"/>
  <c r="R758" i="7"/>
  <c r="Q758" i="7"/>
  <c r="S758" i="7"/>
  <c r="AD758" i="7" l="1"/>
  <c r="Y758" i="7" s="1"/>
  <c r="AC758" i="7"/>
  <c r="W758" i="7" s="1"/>
  <c r="AE758" i="7"/>
  <c r="AA758" i="7" s="1"/>
  <c r="X758" i="7"/>
  <c r="V758" i="7"/>
  <c r="U758" i="7" l="1"/>
  <c r="Z758" i="7"/>
  <c r="T758" i="7" s="1"/>
  <c r="R759" i="7" l="1"/>
  <c r="P759" i="7"/>
  <c r="S759" i="7"/>
  <c r="Q759" i="7"/>
  <c r="AC759" i="7" l="1"/>
  <c r="AE759" i="7"/>
  <c r="AA759" i="7" s="1"/>
  <c r="AD759" i="7"/>
  <c r="Z759" i="7"/>
  <c r="Y759" i="7" l="1"/>
  <c r="X759" i="7"/>
  <c r="V759" i="7"/>
  <c r="W759" i="7"/>
  <c r="U759" i="7" s="1"/>
  <c r="T759" i="7" l="1"/>
  <c r="S760" i="7"/>
  <c r="Q760" i="7"/>
  <c r="P760" i="7"/>
  <c r="R760" i="7"/>
  <c r="AE760" i="7" l="1"/>
  <c r="AA760" i="7" s="1"/>
  <c r="AD760" i="7"/>
  <c r="Y760" i="7" s="1"/>
  <c r="Z760" i="7"/>
  <c r="AC760" i="7"/>
  <c r="V760" i="7" s="1"/>
  <c r="X760" i="7" l="1"/>
  <c r="T760" i="7" s="1"/>
  <c r="W760" i="7"/>
  <c r="U760" i="7" s="1"/>
  <c r="S761" i="7" l="1"/>
  <c r="Q761" i="7"/>
  <c r="R761" i="7"/>
  <c r="P761" i="7"/>
  <c r="AD761" i="7" l="1"/>
  <c r="X761" i="7" s="1"/>
  <c r="AE761" i="7"/>
  <c r="AC761" i="7"/>
  <c r="V761" i="7" l="1"/>
  <c r="W761" i="7"/>
  <c r="AA761" i="7"/>
  <c r="Z761" i="7"/>
  <c r="T761" i="7" s="1"/>
  <c r="Y761" i="7"/>
  <c r="U761" i="7" l="1"/>
  <c r="R762" i="7"/>
  <c r="P762" i="7"/>
  <c r="S762" i="7" l="1"/>
  <c r="Q762" i="7"/>
  <c r="AE762" i="7" s="1"/>
  <c r="AA762" i="7" l="1"/>
  <c r="Z762" i="7"/>
  <c r="AC762" i="7"/>
  <c r="AD762" i="7"/>
  <c r="W762" i="7" l="1"/>
  <c r="V762" i="7"/>
  <c r="Y762" i="7"/>
  <c r="X762" i="7"/>
  <c r="T762" i="7" l="1"/>
  <c r="U762" i="7"/>
  <c r="Q763" i="7" l="1"/>
  <c r="S763" i="7"/>
  <c r="R763" i="7"/>
  <c r="P763" i="7"/>
  <c r="AD763" i="7" l="1"/>
  <c r="X763" i="7" s="1"/>
  <c r="AC763" i="7"/>
  <c r="W763" i="7" s="1"/>
  <c r="AE763" i="7"/>
  <c r="AA763" i="7" s="1"/>
  <c r="Y763" i="7"/>
  <c r="V763" i="7" l="1"/>
  <c r="U763" i="7"/>
  <c r="S764" i="7" s="1"/>
  <c r="Q764" i="7"/>
  <c r="Z763" i="7"/>
  <c r="T763" i="7" s="1"/>
  <c r="R764" i="7" l="1"/>
  <c r="P764" i="7"/>
  <c r="AE764" i="7" l="1"/>
  <c r="AA764" i="7" s="1"/>
  <c r="AC764" i="7"/>
  <c r="W764" i="7" s="1"/>
  <c r="AD764" i="7"/>
  <c r="Y764" i="7" s="1"/>
  <c r="V764" i="7" l="1"/>
  <c r="Z764" i="7"/>
  <c r="X764" i="7"/>
  <c r="U764" i="7"/>
  <c r="T764" i="7" l="1"/>
  <c r="R765" i="7"/>
  <c r="P765" i="7"/>
  <c r="S765" i="7"/>
  <c r="Q765" i="7"/>
  <c r="AE765" i="7" l="1"/>
  <c r="Z765" i="7" s="1"/>
  <c r="AD765" i="7"/>
  <c r="AC765" i="7"/>
  <c r="V765" i="7" l="1"/>
  <c r="W765" i="7"/>
  <c r="X765" i="7"/>
  <c r="Y765" i="7"/>
  <c r="AA765" i="7"/>
  <c r="U765" i="7" l="1"/>
  <c r="T765" i="7"/>
  <c r="R766" i="7" l="1"/>
  <c r="P766" i="7"/>
  <c r="S766" i="7"/>
  <c r="Q766" i="7"/>
  <c r="AD766" i="7" l="1"/>
  <c r="X766" i="7" s="1"/>
  <c r="AC766" i="7"/>
  <c r="AE766" i="7"/>
  <c r="Z766" i="7" l="1"/>
  <c r="AA766" i="7"/>
  <c r="V766" i="7"/>
  <c r="T766" i="7" s="1"/>
  <c r="W766" i="7"/>
  <c r="Y766" i="7"/>
  <c r="U766" i="7" l="1"/>
  <c r="R767" i="7"/>
  <c r="P767" i="7"/>
  <c r="Q767" i="7" l="1"/>
  <c r="S767" i="7"/>
  <c r="AD767" i="7" l="1"/>
  <c r="X767" i="7" s="1"/>
  <c r="AC767" i="7"/>
  <c r="V767" i="7" s="1"/>
  <c r="AE767" i="7"/>
  <c r="Z767" i="7" s="1"/>
  <c r="T767" i="7" l="1"/>
  <c r="Y767" i="7"/>
  <c r="W767" i="7"/>
  <c r="AA767" i="7"/>
  <c r="U767" i="7" l="1"/>
  <c r="R768" i="7"/>
  <c r="P768" i="7"/>
  <c r="S768" i="7" l="1"/>
  <c r="Q768" i="7"/>
  <c r="AE768" i="7" s="1"/>
  <c r="AA768" i="7" l="1"/>
  <c r="Z768" i="7"/>
  <c r="AD768" i="7"/>
  <c r="AC768" i="7"/>
  <c r="Y768" i="7" l="1"/>
  <c r="X768" i="7"/>
  <c r="W768" i="7"/>
  <c r="U768" i="7" s="1"/>
  <c r="V768" i="7"/>
  <c r="T768" i="7" s="1"/>
  <c r="R769" i="7" l="1"/>
  <c r="P769" i="7"/>
  <c r="S769" i="7"/>
  <c r="Q769" i="7"/>
  <c r="AD769" i="7" l="1"/>
  <c r="Y769" i="7" s="1"/>
  <c r="AE769" i="7"/>
  <c r="AA769" i="7" s="1"/>
  <c r="AC769" i="7"/>
  <c r="W769" i="7" s="1"/>
  <c r="U769" i="7" s="1"/>
  <c r="Z769" i="7"/>
  <c r="X769" i="7"/>
  <c r="V769" i="7" l="1"/>
  <c r="T769" i="7" s="1"/>
  <c r="S770" i="7"/>
  <c r="Q770" i="7"/>
  <c r="P770" i="7" l="1"/>
  <c r="R770" i="7"/>
  <c r="AC770" i="7" l="1"/>
  <c r="W770" i="7" s="1"/>
  <c r="AD770" i="7"/>
  <c r="Y770" i="7" s="1"/>
  <c r="AE770" i="7"/>
  <c r="AA770" i="7" s="1"/>
  <c r="V770" i="7"/>
  <c r="X770" i="7"/>
  <c r="Z770" i="7"/>
  <c r="T770" i="7" l="1"/>
  <c r="U770" i="7"/>
  <c r="S771" i="7" l="1"/>
  <c r="Q771" i="7"/>
  <c r="R771" i="7"/>
  <c r="P771" i="7"/>
  <c r="AD771" i="7" l="1"/>
  <c r="Y771" i="7" s="1"/>
  <c r="AC771" i="7"/>
  <c r="W771" i="7" s="1"/>
  <c r="AE771" i="7"/>
  <c r="AA771" i="7" s="1"/>
  <c r="X771" i="7"/>
  <c r="V771" i="7" l="1"/>
  <c r="Z771" i="7"/>
  <c r="U771" i="7"/>
  <c r="T771" i="7" l="1"/>
  <c r="P772" i="7"/>
  <c r="R772" i="7"/>
  <c r="S772" i="7"/>
  <c r="Q772" i="7"/>
  <c r="AC772" i="7" l="1"/>
  <c r="AE772" i="7"/>
  <c r="AD772" i="7"/>
  <c r="Y772" i="7" l="1"/>
  <c r="X772" i="7"/>
  <c r="AA772" i="7"/>
  <c r="Z772" i="7"/>
  <c r="W772" i="7"/>
  <c r="U772" i="7" s="1"/>
  <c r="S773" i="7" s="1"/>
  <c r="V772" i="7"/>
  <c r="T772" i="7" s="1"/>
  <c r="R773" i="7" s="1"/>
  <c r="Q773" i="7" l="1"/>
  <c r="P773" i="7"/>
  <c r="AD773" i="7" s="1"/>
  <c r="X773" i="7" s="1"/>
  <c r="AE773" i="7"/>
  <c r="Z773" i="7" s="1"/>
  <c r="Y773" i="7"/>
  <c r="AC773" i="7" l="1"/>
  <c r="AA773" i="7"/>
  <c r="V773" i="7" l="1"/>
  <c r="T773" i="7" s="1"/>
  <c r="W773" i="7"/>
  <c r="U773" i="7" s="1"/>
  <c r="Q774" i="7" l="1"/>
  <c r="S774" i="7"/>
  <c r="P774" i="7"/>
  <c r="AC774" i="7" s="1"/>
  <c r="V774" i="7" s="1"/>
  <c r="R774" i="7"/>
  <c r="AD774" i="7"/>
  <c r="X774" i="7" s="1"/>
  <c r="W774" i="7"/>
  <c r="AE774" i="7" l="1"/>
  <c r="Y774" i="7"/>
  <c r="Z774" i="7" l="1"/>
  <c r="T774" i="7" s="1"/>
  <c r="AA774" i="7"/>
  <c r="U774" i="7" s="1"/>
  <c r="S775" i="7" s="1"/>
  <c r="Q775" i="7"/>
  <c r="R775" i="7" l="1"/>
  <c r="P775" i="7"/>
  <c r="AD775" i="7"/>
  <c r="X775" i="7" s="1"/>
  <c r="AE775" i="7"/>
  <c r="Z775" i="7" s="1"/>
  <c r="AC775" i="7"/>
  <c r="V775" i="7" s="1"/>
  <c r="T775" i="7" l="1"/>
  <c r="P776" i="7" s="1"/>
  <c r="Y775" i="7"/>
  <c r="AA775" i="7"/>
  <c r="W775" i="7"/>
  <c r="R776" i="7" l="1"/>
  <c r="U775" i="7"/>
  <c r="S776" i="7" s="1"/>
  <c r="Q776" i="7" l="1"/>
  <c r="AD776" i="7" l="1"/>
  <c r="X776" i="7" s="1"/>
  <c r="AE776" i="7"/>
  <c r="AC776" i="7"/>
  <c r="V776" i="7" s="1"/>
  <c r="W776" i="7" l="1"/>
  <c r="Y776" i="7"/>
  <c r="AA776" i="7"/>
  <c r="Z776" i="7"/>
  <c r="T776" i="7" s="1"/>
  <c r="R777" i="7" s="1"/>
  <c r="P777" i="7" l="1"/>
  <c r="U776" i="7"/>
  <c r="Q777" i="7" s="1"/>
  <c r="AD777" i="7" l="1"/>
  <c r="X777" i="7" s="1"/>
  <c r="AE777" i="7"/>
  <c r="AA777" i="7" s="1"/>
  <c r="AC777" i="7"/>
  <c r="W777" i="7" s="1"/>
  <c r="S777" i="7"/>
  <c r="Y777" i="7" l="1"/>
  <c r="U777" i="7" s="1"/>
  <c r="Z777" i="7"/>
  <c r="V777" i="7"/>
  <c r="Q778" i="7" l="1"/>
  <c r="S778" i="7"/>
  <c r="T777" i="7"/>
  <c r="R778" i="7" s="1"/>
  <c r="P778" i="7" l="1"/>
  <c r="AC778" i="7" s="1"/>
  <c r="V778" i="7" s="1"/>
  <c r="W778" i="7" l="1"/>
  <c r="AD778" i="7"/>
  <c r="AE778" i="7"/>
  <c r="AA778" i="7" s="1"/>
  <c r="Z778" i="7" l="1"/>
  <c r="Y778" i="7"/>
  <c r="U778" i="7" s="1"/>
  <c r="X778" i="7"/>
  <c r="S779" i="7" l="1"/>
  <c r="Q779" i="7"/>
  <c r="T778" i="7"/>
  <c r="P779" i="7" l="1"/>
  <c r="R779" i="7"/>
  <c r="AD779" i="7" l="1"/>
  <c r="Y779" i="7" s="1"/>
  <c r="AC779" i="7"/>
  <c r="W779" i="7" s="1"/>
  <c r="AE779" i="7"/>
  <c r="AA779" i="7" s="1"/>
  <c r="X779" i="7"/>
  <c r="V779" i="7" l="1"/>
  <c r="U779" i="7"/>
  <c r="Z779" i="7"/>
  <c r="T779" i="7" l="1"/>
  <c r="R780" i="7"/>
  <c r="P780" i="7"/>
  <c r="Q780" i="7"/>
  <c r="S780" i="7"/>
  <c r="AD780" i="7" l="1"/>
  <c r="X780" i="7" s="1"/>
  <c r="AE780" i="7"/>
  <c r="AA780" i="7" s="1"/>
  <c r="AC780" i="7"/>
  <c r="W780" i="7" s="1"/>
  <c r="Z780" i="7" l="1"/>
  <c r="V780" i="7"/>
  <c r="T780" i="7" s="1"/>
  <c r="Y780" i="7"/>
  <c r="U780" i="7" s="1"/>
  <c r="R781" i="7" l="1"/>
  <c r="P781" i="7"/>
  <c r="S781" i="7"/>
  <c r="Q781" i="7"/>
  <c r="AE781" i="7" l="1"/>
  <c r="AA781" i="7" s="1"/>
  <c r="AC781" i="7"/>
  <c r="W781" i="7" s="1"/>
  <c r="AD781" i="7"/>
  <c r="Y781" i="7" s="1"/>
  <c r="Z781" i="7" l="1"/>
  <c r="X781" i="7"/>
  <c r="U781" i="7"/>
  <c r="S782" i="7" s="1"/>
  <c r="V781" i="7"/>
  <c r="Q782" i="7" l="1"/>
  <c r="T781" i="7"/>
  <c r="P782" i="7"/>
  <c r="R782" i="7"/>
  <c r="AD782" i="7" l="1"/>
  <c r="Y782" i="7" s="1"/>
  <c r="AE782" i="7"/>
  <c r="AA782" i="7" s="1"/>
  <c r="AC782" i="7"/>
  <c r="W782" i="7" s="1"/>
  <c r="X782" i="7"/>
  <c r="Z782" i="7" l="1"/>
  <c r="U782" i="7"/>
  <c r="V782" i="7"/>
  <c r="T782" i="7" s="1"/>
  <c r="S783" i="7"/>
  <c r="Q783" i="7"/>
  <c r="R783" i="7" l="1"/>
  <c r="P783" i="7"/>
  <c r="AE783" i="7" l="1"/>
  <c r="AA783" i="7" s="1"/>
  <c r="AD783" i="7"/>
  <c r="Y783" i="7" s="1"/>
  <c r="AC783" i="7"/>
  <c r="W783" i="7" s="1"/>
  <c r="Z783" i="7"/>
  <c r="X783" i="7"/>
  <c r="V783" i="7" l="1"/>
  <c r="U783" i="7"/>
  <c r="T783" i="7"/>
  <c r="Q784" i="7"/>
  <c r="S784" i="7"/>
  <c r="R784" i="7" l="1"/>
  <c r="P784" i="7"/>
  <c r="AC784" i="7" l="1"/>
  <c r="W784" i="7" s="1"/>
  <c r="AE784" i="7"/>
  <c r="AA784" i="7" s="1"/>
  <c r="AD784" i="7"/>
  <c r="Y784" i="7" s="1"/>
  <c r="V784" i="7"/>
  <c r="X784" i="7" l="1"/>
  <c r="Z784" i="7"/>
  <c r="T784" i="7" s="1"/>
  <c r="U784" i="7"/>
  <c r="R785" i="7" l="1"/>
  <c r="P785" i="7"/>
  <c r="Q785" i="7"/>
  <c r="S785" i="7"/>
  <c r="AC785" i="7"/>
  <c r="W785" i="7" s="1"/>
  <c r="AE785" i="7"/>
  <c r="AA785" i="7" s="1"/>
  <c r="AD785" i="7"/>
  <c r="Y785" i="7" s="1"/>
  <c r="Z785" i="7" l="1"/>
  <c r="V785" i="7"/>
  <c r="X785" i="7"/>
  <c r="T785" i="7" s="1"/>
  <c r="U785" i="7"/>
  <c r="S786" i="7" s="1"/>
  <c r="Q786" i="7" l="1"/>
  <c r="R786" i="7"/>
  <c r="P786" i="7"/>
  <c r="AE786" i="7" l="1"/>
  <c r="AA786" i="7" s="1"/>
  <c r="AD786" i="7"/>
  <c r="AC786" i="7"/>
  <c r="W786" i="7" s="1"/>
  <c r="Z786" i="7"/>
  <c r="Y786" i="7" l="1"/>
  <c r="U786" i="7" s="1"/>
  <c r="X786" i="7"/>
  <c r="V786" i="7"/>
  <c r="T786" i="7" l="1"/>
  <c r="Q787" i="7"/>
  <c r="S787" i="7"/>
  <c r="R787" i="7"/>
  <c r="P787" i="7"/>
  <c r="AD787" i="7" l="1"/>
  <c r="Y787" i="7" s="1"/>
  <c r="AE787" i="7"/>
  <c r="AC787" i="7"/>
  <c r="X787" i="7" l="1"/>
  <c r="W787" i="7"/>
  <c r="V787" i="7"/>
  <c r="AA787" i="7"/>
  <c r="Z787" i="7"/>
  <c r="T787" i="7" l="1"/>
  <c r="U787" i="7"/>
  <c r="Q788" i="7" l="1"/>
  <c r="S788" i="7"/>
  <c r="R788" i="7"/>
  <c r="P788" i="7"/>
  <c r="AC788" i="7" l="1"/>
  <c r="W788" i="7" s="1"/>
  <c r="AE788" i="7"/>
  <c r="AA788" i="7" s="1"/>
  <c r="AD788" i="7"/>
  <c r="Y788" i="7" s="1"/>
  <c r="V788" i="7" l="1"/>
  <c r="X788" i="7"/>
  <c r="Z788" i="7"/>
  <c r="U788" i="7"/>
  <c r="Q789" i="7" s="1"/>
  <c r="S789" i="7"/>
  <c r="T788" i="7" l="1"/>
  <c r="P789" i="7" s="1"/>
  <c r="R789" i="7"/>
  <c r="AC789" i="7" l="1"/>
  <c r="W789" i="7" s="1"/>
  <c r="AE789" i="7"/>
  <c r="AD789" i="7"/>
  <c r="V789" i="7" l="1"/>
  <c r="Y789" i="7"/>
  <c r="X789" i="7"/>
  <c r="AA789" i="7"/>
  <c r="Z789" i="7"/>
  <c r="U789" i="7" l="1"/>
  <c r="S790" i="7" s="1"/>
  <c r="T789" i="7"/>
  <c r="Q790" i="7" l="1"/>
  <c r="R790" i="7"/>
  <c r="P790" i="7"/>
  <c r="AE790" i="7" l="1"/>
  <c r="AA790" i="7" s="1"/>
  <c r="AD790" i="7"/>
  <c r="Y790" i="7" s="1"/>
  <c r="AC790" i="7"/>
  <c r="W790" i="7" s="1"/>
  <c r="X790" i="7"/>
  <c r="Z790" i="7"/>
  <c r="U790" i="7" l="1"/>
  <c r="V790" i="7"/>
  <c r="T790" i="7" s="1"/>
  <c r="S791" i="7"/>
  <c r="Q791" i="7"/>
  <c r="R791" i="7" l="1"/>
  <c r="P791" i="7"/>
  <c r="AC791" i="7" l="1"/>
  <c r="W791" i="7" s="1"/>
  <c r="AD791" i="7"/>
  <c r="AE791" i="7"/>
  <c r="AA791" i="7" s="1"/>
  <c r="Z791" i="7" l="1"/>
  <c r="V791" i="7"/>
  <c r="X791" i="7"/>
  <c r="Y791" i="7"/>
  <c r="U791" i="7" s="1"/>
  <c r="T791" i="7" l="1"/>
  <c r="R792" i="7"/>
  <c r="P792" i="7"/>
  <c r="S792" i="7"/>
  <c r="Q792" i="7"/>
  <c r="AC792" i="7" l="1"/>
  <c r="W792" i="7" s="1"/>
  <c r="AE792" i="7"/>
  <c r="AA792" i="7" s="1"/>
  <c r="AD792" i="7"/>
  <c r="Y792" i="7" s="1"/>
  <c r="V792" i="7"/>
  <c r="Z792" i="7" l="1"/>
  <c r="X792" i="7"/>
  <c r="T792" i="7" s="1"/>
  <c r="U792" i="7"/>
  <c r="R793" i="7" l="1"/>
  <c r="P793" i="7"/>
  <c r="S793" i="7"/>
  <c r="Q793" i="7"/>
  <c r="AC793" i="7" s="1"/>
  <c r="AD793" i="7"/>
  <c r="AE793" i="7"/>
  <c r="AA793" i="7" l="1"/>
  <c r="Z793" i="7"/>
  <c r="W793" i="7"/>
  <c r="V793" i="7"/>
  <c r="Y793" i="7"/>
  <c r="X793" i="7"/>
  <c r="T793" i="7" l="1"/>
  <c r="U793" i="7"/>
  <c r="Q794" i="7" l="1"/>
  <c r="S794" i="7"/>
  <c r="R794" i="7"/>
  <c r="P794" i="7"/>
  <c r="AD794" i="7" l="1"/>
  <c r="Y794" i="7" s="1"/>
  <c r="AC794" i="7"/>
  <c r="AE794" i="7"/>
  <c r="X794" i="7" l="1"/>
  <c r="Z794" i="7"/>
  <c r="AA794" i="7"/>
  <c r="W794" i="7"/>
  <c r="V794" i="7"/>
  <c r="T794" i="7" l="1"/>
  <c r="P795" i="7" s="1"/>
  <c r="U794" i="7"/>
  <c r="S795" i="7"/>
  <c r="Q795" i="7"/>
  <c r="R795" i="7" l="1"/>
  <c r="AC795" i="7"/>
  <c r="AE795" i="7"/>
  <c r="AD795" i="7"/>
  <c r="Y795" i="7" s="1"/>
  <c r="V795" i="7" l="1"/>
  <c r="W795" i="7"/>
  <c r="AA795" i="7"/>
  <c r="Z795" i="7"/>
  <c r="X795" i="7"/>
  <c r="U795" i="7" l="1"/>
  <c r="T795" i="7"/>
  <c r="S796" i="7" l="1"/>
  <c r="Q796" i="7"/>
  <c r="R796" i="7"/>
  <c r="P796" i="7"/>
  <c r="AC796" i="7" l="1"/>
  <c r="AD796" i="7"/>
  <c r="AE796" i="7"/>
  <c r="Z796" i="7" l="1"/>
  <c r="AA796" i="7"/>
  <c r="X796" i="7"/>
  <c r="Y796" i="7"/>
  <c r="V796" i="7"/>
  <c r="T796" i="7" s="1"/>
  <c r="W796" i="7"/>
  <c r="U796" i="7" l="1"/>
  <c r="Q797" i="7" s="1"/>
  <c r="S797" i="7"/>
  <c r="R797" i="7"/>
  <c r="P797" i="7"/>
  <c r="AD797" i="7" s="1"/>
  <c r="X797" i="7" s="1"/>
  <c r="AE797" i="7" l="1"/>
  <c r="Z797" i="7" s="1"/>
  <c r="AC797" i="7"/>
  <c r="V797" i="7" s="1"/>
  <c r="AA797" i="7"/>
  <c r="Y797" i="7"/>
  <c r="T797" i="7" l="1"/>
  <c r="R798" i="7" s="1"/>
  <c r="W797" i="7"/>
  <c r="U797" i="7" s="1"/>
  <c r="S798" i="7" s="1"/>
  <c r="P798" i="7"/>
  <c r="Q798" i="7" l="1"/>
  <c r="AD798" i="7" s="1"/>
  <c r="X798" i="7" s="1"/>
  <c r="AE798" i="7" l="1"/>
  <c r="Z798" i="7" s="1"/>
  <c r="AC798" i="7"/>
  <c r="V798" i="7" s="1"/>
  <c r="Y798" i="7"/>
  <c r="T798" i="7" l="1"/>
  <c r="R799" i="7" s="1"/>
  <c r="AA798" i="7"/>
  <c r="W798" i="7"/>
  <c r="P799" i="7" l="1"/>
  <c r="U798" i="7"/>
  <c r="Q799" i="7" s="1"/>
  <c r="S799" i="7" l="1"/>
  <c r="AC799" i="7"/>
  <c r="W799" i="7" s="1"/>
  <c r="AE799" i="7"/>
  <c r="AA799" i="7" s="1"/>
  <c r="AD799" i="7"/>
  <c r="Y799" i="7" s="1"/>
  <c r="Z799" i="7" l="1"/>
  <c r="U799" i="7"/>
  <c r="V799" i="7"/>
  <c r="Q800" i="7"/>
  <c r="S800" i="7"/>
  <c r="X799" i="7"/>
  <c r="T799" i="7" s="1"/>
  <c r="R800" i="7" l="1"/>
  <c r="P800" i="7"/>
  <c r="AC800" i="7" s="1"/>
  <c r="W800" i="7" s="1"/>
  <c r="AD800" i="7" l="1"/>
  <c r="Y800" i="7" s="1"/>
  <c r="AE800" i="7"/>
  <c r="AA800" i="7" s="1"/>
  <c r="V800" i="7"/>
  <c r="U800" i="7" l="1"/>
  <c r="Q801" i="7" s="1"/>
  <c r="X800" i="7"/>
  <c r="Z800" i="7"/>
  <c r="S801" i="7"/>
  <c r="T800" i="7" l="1"/>
  <c r="R801" i="7" s="1"/>
  <c r="P801" i="7" l="1"/>
  <c r="AC801" i="7" s="1"/>
  <c r="W801" i="7" s="1"/>
  <c r="AD801" i="7"/>
  <c r="Y801" i="7" s="1"/>
  <c r="AE801" i="7"/>
  <c r="AA801" i="7" s="1"/>
  <c r="V801" i="7"/>
  <c r="X801" i="7" l="1"/>
  <c r="U801" i="7"/>
  <c r="S802" i="7" s="1"/>
  <c r="Z801" i="7"/>
  <c r="Q802" i="7"/>
  <c r="T801" i="7" l="1"/>
  <c r="P802" i="7" s="1"/>
  <c r="AC802" i="7" s="1"/>
  <c r="W802" i="7" s="1"/>
  <c r="AD802" i="7" l="1"/>
  <c r="Y802" i="7" s="1"/>
  <c r="AE802" i="7"/>
  <c r="AA802" i="7" s="1"/>
  <c r="R802" i="7"/>
  <c r="V802" i="7"/>
  <c r="U802" i="7" l="1"/>
  <c r="S803" i="7" s="1"/>
  <c r="X802" i="7"/>
  <c r="Z802" i="7"/>
  <c r="Q803" i="7"/>
  <c r="T802" i="7" l="1"/>
  <c r="R803" i="7" s="1"/>
  <c r="P803" i="7" l="1"/>
  <c r="AD803" i="7" s="1"/>
  <c r="Y803" i="7" s="1"/>
  <c r="AE803" i="7" l="1"/>
  <c r="AA803" i="7" s="1"/>
  <c r="AC803" i="7"/>
  <c r="W803" i="7" s="1"/>
  <c r="U803" i="7" s="1"/>
  <c r="X803" i="7"/>
  <c r="Z803" i="7"/>
  <c r="V803" i="7" l="1"/>
  <c r="T803" i="7" s="1"/>
  <c r="S804" i="7"/>
  <c r="Q804" i="7"/>
  <c r="R804" i="7" l="1"/>
  <c r="P804" i="7"/>
  <c r="AC804" i="7" l="1"/>
  <c r="W804" i="7" s="1"/>
  <c r="AE804" i="7"/>
  <c r="AA804" i="7" s="1"/>
  <c r="AD804" i="7"/>
  <c r="Y804" i="7" s="1"/>
  <c r="U804" i="7" l="1"/>
  <c r="Q805" i="7" s="1"/>
  <c r="V804" i="7"/>
  <c r="Z804" i="7"/>
  <c r="X804" i="7"/>
  <c r="S805" i="7" l="1"/>
  <c r="T804" i="7"/>
  <c r="R805" i="7" s="1"/>
  <c r="P805" i="7" l="1"/>
  <c r="AE805" i="7" s="1"/>
  <c r="AA805" i="7" s="1"/>
  <c r="AC805" i="7" l="1"/>
  <c r="W805" i="7" s="1"/>
  <c r="AD805" i="7"/>
  <c r="Y805" i="7" s="1"/>
  <c r="Z805" i="7"/>
  <c r="V805" i="7" l="1"/>
  <c r="U805" i="7"/>
  <c r="S806" i="7" s="1"/>
  <c r="X805" i="7"/>
  <c r="T805" i="7" l="1"/>
  <c r="Q806" i="7"/>
  <c r="R806" i="7"/>
  <c r="P806" i="7"/>
  <c r="AC806" i="7" l="1"/>
  <c r="W806" i="7" s="1"/>
  <c r="AE806" i="7"/>
  <c r="AA806" i="7" s="1"/>
  <c r="AD806" i="7"/>
  <c r="Y806" i="7" s="1"/>
  <c r="V806" i="7" l="1"/>
  <c r="Z806" i="7"/>
  <c r="X806" i="7"/>
  <c r="U806" i="7"/>
  <c r="T806" i="7" l="1"/>
  <c r="P807" i="7" s="1"/>
  <c r="Q807" i="7"/>
  <c r="S807" i="7"/>
  <c r="R807" i="7" l="1"/>
  <c r="AE807" i="7"/>
  <c r="AA807" i="7" s="1"/>
  <c r="AC807" i="7"/>
  <c r="W807" i="7" s="1"/>
  <c r="AD807" i="7"/>
  <c r="Y807" i="7" s="1"/>
  <c r="U807" i="7" l="1"/>
  <c r="S808" i="7" s="1"/>
  <c r="X807" i="7"/>
  <c r="Z807" i="7"/>
  <c r="V807" i="7"/>
  <c r="Q808" i="7" l="1"/>
  <c r="T807" i="7"/>
  <c r="R808" i="7" s="1"/>
  <c r="P808" i="7" l="1"/>
  <c r="AC808" i="7" s="1"/>
  <c r="W808" i="7" s="1"/>
  <c r="AE808" i="7" l="1"/>
  <c r="AA808" i="7" s="1"/>
  <c r="AD808" i="7"/>
  <c r="Y808" i="7" s="1"/>
  <c r="V808" i="7"/>
  <c r="U808" i="7" l="1"/>
  <c r="S809" i="7" s="1"/>
  <c r="X808" i="7"/>
  <c r="Z808" i="7"/>
  <c r="Q809" i="7" l="1"/>
  <c r="T808" i="7"/>
  <c r="R809" i="7" s="1"/>
  <c r="P809" i="7" l="1"/>
  <c r="AD809" i="7" s="1"/>
  <c r="Y809" i="7" s="1"/>
  <c r="AC809" i="7" l="1"/>
  <c r="W809" i="7" s="1"/>
  <c r="X809" i="7"/>
  <c r="AE809" i="7"/>
  <c r="AA809" i="7" s="1"/>
  <c r="V809" i="7"/>
  <c r="U809" i="7" l="1"/>
  <c r="Q810" i="7" s="1"/>
  <c r="Z809" i="7"/>
  <c r="T809" i="7" s="1"/>
  <c r="R810" i="7" l="1"/>
  <c r="P810" i="7"/>
  <c r="AD810" i="7" s="1"/>
  <c r="Y810" i="7" s="1"/>
  <c r="S810" i="7"/>
  <c r="X810" i="7" l="1"/>
  <c r="AE810" i="7"/>
  <c r="AA810" i="7" s="1"/>
  <c r="AC810" i="7"/>
  <c r="W810" i="7" s="1"/>
  <c r="U810" i="7" l="1"/>
  <c r="Q811" i="7" s="1"/>
  <c r="Z810" i="7"/>
  <c r="V810" i="7"/>
  <c r="S811" i="7" l="1"/>
  <c r="T810" i="7"/>
  <c r="R811" i="7" s="1"/>
  <c r="P811" i="7" l="1"/>
  <c r="AD811" i="7" s="1"/>
  <c r="Y811" i="7" s="1"/>
  <c r="X811" i="7" l="1"/>
  <c r="AE811" i="7"/>
  <c r="AA811" i="7" s="1"/>
  <c r="AC811" i="7"/>
  <c r="W811" i="7" s="1"/>
  <c r="U811" i="7" l="1"/>
  <c r="S812" i="7" s="1"/>
  <c r="Z811" i="7"/>
  <c r="V811" i="7"/>
  <c r="Q812" i="7" l="1"/>
  <c r="T811" i="7"/>
  <c r="R812" i="7" l="1"/>
  <c r="P812" i="7"/>
  <c r="AD812" i="7" l="1"/>
  <c r="Y812" i="7" s="1"/>
  <c r="AC812" i="7"/>
  <c r="AE812" i="7"/>
  <c r="X812" i="7" l="1"/>
  <c r="AA812" i="7"/>
  <c r="Z812" i="7"/>
  <c r="V812" i="7"/>
  <c r="W812" i="7"/>
  <c r="U812" i="7" s="1"/>
  <c r="T812" i="7" l="1"/>
  <c r="R813" i="7" s="1"/>
  <c r="Q813" i="7"/>
  <c r="S813" i="7"/>
  <c r="P813" i="7" l="1"/>
  <c r="AC813" i="7" s="1"/>
  <c r="AD813" i="7"/>
  <c r="AE813" i="7" l="1"/>
  <c r="AA813" i="7" s="1"/>
  <c r="Y813" i="7"/>
  <c r="X813" i="7"/>
  <c r="V813" i="7"/>
  <c r="W813" i="7"/>
  <c r="U813" i="7" s="1"/>
  <c r="S814" i="7" s="1"/>
  <c r="Z813" i="7"/>
  <c r="Q814" i="7" l="1"/>
  <c r="T813" i="7"/>
  <c r="R814" i="7" l="1"/>
  <c r="P814" i="7"/>
  <c r="AC814" i="7" s="1"/>
  <c r="W814" i="7" s="1"/>
  <c r="AD814" i="7" l="1"/>
  <c r="V814" i="7"/>
  <c r="AE814" i="7"/>
  <c r="AA814" i="7" l="1"/>
  <c r="Z814" i="7"/>
  <c r="Y814" i="7"/>
  <c r="X814" i="7"/>
  <c r="U814" i="7" l="1"/>
  <c r="T814" i="7"/>
  <c r="S815" i="7"/>
  <c r="Q815" i="7"/>
  <c r="R815" i="7"/>
  <c r="P815" i="7"/>
  <c r="AC815" i="7" l="1"/>
  <c r="AE815" i="7"/>
  <c r="AA815" i="7" s="1"/>
  <c r="AD815" i="7"/>
  <c r="Z815" i="7" l="1"/>
  <c r="Y815" i="7"/>
  <c r="X815" i="7"/>
  <c r="W815" i="7"/>
  <c r="V815" i="7"/>
  <c r="T815" i="7" s="1"/>
  <c r="P816" i="7" s="1"/>
  <c r="U815" i="7" l="1"/>
  <c r="R816" i="7"/>
  <c r="S816" i="7"/>
  <c r="Q816" i="7"/>
  <c r="AC816" i="7" s="1"/>
  <c r="AE816" i="7" l="1"/>
  <c r="AD816" i="7"/>
  <c r="Z816" i="7"/>
  <c r="AA816" i="7"/>
  <c r="X816" i="7"/>
  <c r="Y816" i="7"/>
  <c r="V816" i="7"/>
  <c r="W816" i="7"/>
  <c r="T816" i="7" l="1"/>
  <c r="P817" i="7" s="1"/>
  <c r="U816" i="7"/>
  <c r="R817" i="7" l="1"/>
  <c r="Q817" i="7"/>
  <c r="AD817" i="7" s="1"/>
  <c r="X817" i="7" s="1"/>
  <c r="S817" i="7"/>
  <c r="AC817" i="7" l="1"/>
  <c r="V817" i="7" s="1"/>
  <c r="AE817" i="7"/>
  <c r="Z817" i="7" s="1"/>
  <c r="Y817" i="7"/>
  <c r="AA817" i="7" l="1"/>
  <c r="T817" i="7"/>
  <c r="R818" i="7" s="1"/>
  <c r="W817" i="7"/>
  <c r="P818" i="7" l="1"/>
  <c r="U817" i="7"/>
  <c r="S818" i="7" s="1"/>
  <c r="Q818" i="7" l="1"/>
  <c r="AC818" i="7" s="1"/>
  <c r="AE818" i="7"/>
  <c r="AD818" i="7" l="1"/>
  <c r="X818" i="7" s="1"/>
  <c r="AA818" i="7"/>
  <c r="Z818" i="7"/>
  <c r="Y818" i="7"/>
  <c r="W818" i="7"/>
  <c r="V818" i="7"/>
  <c r="T818" i="7" l="1"/>
  <c r="P819" i="7" s="1"/>
  <c r="U818" i="7"/>
  <c r="R819" i="7" l="1"/>
  <c r="Q819" i="7"/>
  <c r="AC819" i="7" s="1"/>
  <c r="W819" i="7" s="1"/>
  <c r="S819" i="7"/>
  <c r="AE819" i="7" l="1"/>
  <c r="AA819" i="7" s="1"/>
  <c r="AD819" i="7"/>
  <c r="Y819" i="7" s="1"/>
  <c r="V819" i="7"/>
  <c r="Z819" i="7" l="1"/>
  <c r="U819" i="7"/>
  <c r="Q820" i="7" s="1"/>
  <c r="X819" i="7"/>
  <c r="S820" i="7" l="1"/>
  <c r="T819" i="7"/>
  <c r="P820" i="7" s="1"/>
  <c r="AC820" i="7" s="1"/>
  <c r="W820" i="7" s="1"/>
  <c r="R820" i="7" l="1"/>
  <c r="AE820" i="7"/>
  <c r="AA820" i="7" s="1"/>
  <c r="AD820" i="7"/>
  <c r="Y820" i="7" s="1"/>
  <c r="V820" i="7"/>
  <c r="Z820" i="7" l="1"/>
  <c r="U820" i="7"/>
  <c r="Q821" i="7" s="1"/>
  <c r="X820" i="7"/>
  <c r="S821" i="7" l="1"/>
  <c r="T820" i="7"/>
  <c r="P821" i="7" s="1"/>
  <c r="AD821" i="7" s="1"/>
  <c r="Y821" i="7" s="1"/>
  <c r="R821" i="7"/>
  <c r="AE821" i="7" l="1"/>
  <c r="AA821" i="7" s="1"/>
  <c r="AC821" i="7"/>
  <c r="W821" i="7" s="1"/>
  <c r="X821" i="7"/>
  <c r="U821" i="7" l="1"/>
  <c r="S822" i="7" s="1"/>
  <c r="Z821" i="7"/>
  <c r="V821" i="7"/>
  <c r="Q822" i="7" l="1"/>
  <c r="T821" i="7"/>
  <c r="R822" i="7" s="1"/>
  <c r="P822" i="7" l="1"/>
  <c r="AC822" i="7" s="1"/>
  <c r="W822" i="7" s="1"/>
  <c r="AE822" i="7" l="1"/>
  <c r="AA822" i="7" s="1"/>
  <c r="AD822" i="7"/>
  <c r="Y822" i="7" s="1"/>
  <c r="V822" i="7"/>
  <c r="U822" i="7" l="1"/>
  <c r="S823" i="7" s="1"/>
  <c r="Z822" i="7"/>
  <c r="X822" i="7"/>
  <c r="Q823" i="7" l="1"/>
  <c r="T822" i="7"/>
  <c r="P823" i="7" s="1"/>
  <c r="R823" i="7" l="1"/>
  <c r="AD823" i="7"/>
  <c r="Y823" i="7" s="1"/>
  <c r="AE823" i="7"/>
  <c r="AA823" i="7" s="1"/>
  <c r="AC823" i="7"/>
  <c r="W823" i="7" s="1"/>
  <c r="U823" i="7" l="1"/>
  <c r="S824" i="7" s="1"/>
  <c r="X823" i="7"/>
  <c r="Z823" i="7"/>
  <c r="V823" i="7"/>
  <c r="Q824" i="7" l="1"/>
  <c r="T823" i="7"/>
  <c r="P824" i="7" s="1"/>
  <c r="R824" i="7" l="1"/>
  <c r="AC824" i="7"/>
  <c r="AD824" i="7"/>
  <c r="AE824" i="7"/>
  <c r="X824" i="7" l="1"/>
  <c r="Y824" i="7"/>
  <c r="V824" i="7"/>
  <c r="W824" i="7"/>
  <c r="Z824" i="7"/>
  <c r="AA824" i="7"/>
  <c r="T824" i="7" l="1"/>
  <c r="R825" i="7" s="1"/>
  <c r="U824" i="7"/>
  <c r="P825" i="7" l="1"/>
  <c r="Q825" i="7"/>
  <c r="S825" i="7"/>
  <c r="AC825" i="7" l="1"/>
  <c r="V825" i="7" s="1"/>
  <c r="AD825" i="7"/>
  <c r="X825" i="7" s="1"/>
  <c r="AE825" i="7"/>
  <c r="Z825" i="7" s="1"/>
  <c r="W825" i="7" l="1"/>
  <c r="T825" i="7"/>
  <c r="AA825" i="7"/>
  <c r="Y825" i="7"/>
  <c r="R826" i="7" l="1"/>
  <c r="P826" i="7"/>
  <c r="U825" i="7"/>
  <c r="Q826" i="7" l="1"/>
  <c r="AC826" i="7" s="1"/>
  <c r="V826" i="7" s="1"/>
  <c r="S826" i="7"/>
  <c r="AE826" i="7" l="1"/>
  <c r="Z826" i="7" s="1"/>
  <c r="AD826" i="7"/>
  <c r="X826" i="7" s="1"/>
  <c r="W826" i="7"/>
  <c r="T826" i="7" l="1"/>
  <c r="R827" i="7" s="1"/>
  <c r="AA826" i="7"/>
  <c r="Y826" i="7"/>
  <c r="P827" i="7"/>
  <c r="U826" i="7" l="1"/>
  <c r="S827" i="7" s="1"/>
  <c r="Q827" i="7" l="1"/>
  <c r="AE827" i="7" s="1"/>
  <c r="AD827" i="7" l="1"/>
  <c r="Y827" i="7" s="1"/>
  <c r="AC827" i="7"/>
  <c r="V827" i="7" s="1"/>
  <c r="AA827" i="7"/>
  <c r="Z827" i="7"/>
  <c r="X827" i="7" l="1"/>
  <c r="T827" i="7" s="1"/>
  <c r="P828" i="7" s="1"/>
  <c r="W827" i="7"/>
  <c r="U827" i="7" s="1"/>
  <c r="R828" i="7" l="1"/>
  <c r="S828" i="7"/>
  <c r="Q828" i="7"/>
  <c r="AE828" i="7" l="1"/>
  <c r="AD828" i="7"/>
  <c r="AC828" i="7"/>
  <c r="AA828" i="7" l="1"/>
  <c r="Z828" i="7"/>
  <c r="Y828" i="7"/>
  <c r="X828" i="7"/>
  <c r="W828" i="7"/>
  <c r="V828" i="7"/>
  <c r="T828" i="7" l="1"/>
  <c r="P829" i="7" s="1"/>
  <c r="U828" i="7"/>
  <c r="R829" i="7" l="1"/>
  <c r="Q829" i="7"/>
  <c r="AE829" i="7" s="1"/>
  <c r="S829" i="7"/>
  <c r="AA829" i="7" l="1"/>
  <c r="Z829" i="7"/>
  <c r="AD829" i="7"/>
  <c r="AC829" i="7"/>
  <c r="W829" i="7" l="1"/>
  <c r="V829" i="7"/>
  <c r="Y829" i="7"/>
  <c r="X829" i="7"/>
  <c r="T829" i="7" l="1"/>
  <c r="U829" i="7"/>
  <c r="S830" i="7" l="1"/>
  <c r="Q830" i="7"/>
  <c r="R830" i="7"/>
  <c r="P830" i="7"/>
  <c r="AD830" i="7" l="1"/>
  <c r="Y830" i="7" s="1"/>
  <c r="AE830" i="7"/>
  <c r="AA830" i="7" s="1"/>
  <c r="AC830" i="7"/>
  <c r="W830" i="7" s="1"/>
  <c r="X830" i="7" l="1"/>
  <c r="U830" i="7"/>
  <c r="S831" i="7" s="1"/>
  <c r="Z830" i="7"/>
  <c r="V830" i="7"/>
  <c r="Q831" i="7" l="1"/>
  <c r="T830" i="7"/>
  <c r="R831" i="7" s="1"/>
  <c r="P831" i="7" l="1"/>
  <c r="AC831" i="7" s="1"/>
  <c r="W831" i="7" s="1"/>
  <c r="AD831" i="7" l="1"/>
  <c r="Y831" i="7" s="1"/>
  <c r="AE831" i="7"/>
  <c r="AA831" i="7" s="1"/>
  <c r="V831" i="7"/>
  <c r="U831" i="7" l="1"/>
  <c r="S832" i="7" s="1"/>
  <c r="X831" i="7"/>
  <c r="Z831" i="7"/>
  <c r="Q832" i="7" l="1"/>
  <c r="T831" i="7"/>
  <c r="P832" i="7" s="1"/>
  <c r="AD832" i="7" s="1"/>
  <c r="AE832" i="7" l="1"/>
  <c r="R832" i="7"/>
  <c r="AC832" i="7"/>
  <c r="V832" i="7" s="1"/>
  <c r="Y832" i="7"/>
  <c r="X832" i="7"/>
  <c r="AA832" i="7"/>
  <c r="Z832" i="7"/>
  <c r="W832" i="7" l="1"/>
  <c r="U832" i="7" s="1"/>
  <c r="T832" i="7"/>
  <c r="Q833" i="7" l="1"/>
  <c r="S833" i="7"/>
  <c r="P833" i="7"/>
  <c r="R833" i="7"/>
  <c r="AC833" i="7" l="1"/>
  <c r="V833" i="7" s="1"/>
  <c r="AE833" i="7"/>
  <c r="Z833" i="7" s="1"/>
  <c r="AD833" i="7"/>
  <c r="X833" i="7" s="1"/>
  <c r="W833" i="7" l="1"/>
  <c r="Y833" i="7"/>
  <c r="AA833" i="7"/>
  <c r="T833" i="7"/>
  <c r="R834" i="7" l="1"/>
  <c r="P834" i="7"/>
  <c r="U833" i="7"/>
  <c r="Q834" i="7" l="1"/>
  <c r="AD834" i="7" s="1"/>
  <c r="X834" i="7" s="1"/>
  <c r="S834" i="7"/>
  <c r="AE834" i="7" l="1"/>
  <c r="Z834" i="7" s="1"/>
  <c r="AC834" i="7"/>
  <c r="V834" i="7" s="1"/>
  <c r="Y834" i="7"/>
  <c r="AA834" i="7" l="1"/>
  <c r="T834" i="7"/>
  <c r="R835" i="7" s="1"/>
  <c r="W834" i="7"/>
  <c r="P835" i="7"/>
  <c r="U834" i="7" l="1"/>
  <c r="S835" i="7" s="1"/>
  <c r="Q835" i="7" l="1"/>
  <c r="AE835" i="7" s="1"/>
  <c r="Z835" i="7" s="1"/>
  <c r="AD835" i="7"/>
  <c r="X835" i="7" s="1"/>
  <c r="AC835" i="7" l="1"/>
  <c r="V835" i="7" s="1"/>
  <c r="T835" i="7" s="1"/>
  <c r="AA835" i="7"/>
  <c r="Y835" i="7"/>
  <c r="W835" i="7"/>
  <c r="U835" i="7" l="1"/>
  <c r="S836" i="7" s="1"/>
  <c r="R836" i="7"/>
  <c r="P836" i="7"/>
  <c r="Q836" i="7" l="1"/>
  <c r="AD836" i="7" s="1"/>
  <c r="Y836" i="7" s="1"/>
  <c r="AE836" i="7" l="1"/>
  <c r="AA836" i="7" s="1"/>
  <c r="AC836" i="7"/>
  <c r="W836" i="7" s="1"/>
  <c r="U836" i="7" s="1"/>
  <c r="X836" i="7"/>
  <c r="Z836" i="7" l="1"/>
  <c r="V836" i="7"/>
  <c r="Q837" i="7"/>
  <c r="S837" i="7"/>
  <c r="T836" i="7" l="1"/>
  <c r="P837" i="7" s="1"/>
  <c r="AC837" i="7" s="1"/>
  <c r="W837" i="7" s="1"/>
  <c r="AD837" i="7" l="1"/>
  <c r="Y837" i="7" s="1"/>
  <c r="AE837" i="7"/>
  <c r="AA837" i="7" s="1"/>
  <c r="R837" i="7"/>
  <c r="V837" i="7"/>
  <c r="X837" i="7" l="1"/>
  <c r="U837" i="7"/>
  <c r="Z837" i="7"/>
  <c r="S838" i="7"/>
  <c r="Q838" i="7"/>
  <c r="T837" i="7" l="1"/>
  <c r="R838" i="7" s="1"/>
  <c r="P838" i="7" l="1"/>
  <c r="AE838" i="7" s="1"/>
  <c r="AA838" i="7" s="1"/>
  <c r="AD838" i="7" l="1"/>
  <c r="Y838" i="7" s="1"/>
  <c r="AC838" i="7"/>
  <c r="W838" i="7" s="1"/>
  <c r="Z838" i="7"/>
  <c r="X838" i="7"/>
  <c r="U838" i="7" l="1"/>
  <c r="S839" i="7" s="1"/>
  <c r="V838" i="7"/>
  <c r="T838" i="7" s="1"/>
  <c r="R839" i="7" s="1"/>
  <c r="Q839" i="7" l="1"/>
  <c r="P839" i="7"/>
  <c r="AC839" i="7" s="1"/>
  <c r="W839" i="7" s="1"/>
  <c r="AD839" i="7" l="1"/>
  <c r="Y839" i="7" s="1"/>
  <c r="AE839" i="7"/>
  <c r="AA839" i="7" s="1"/>
  <c r="V839" i="7"/>
  <c r="X839" i="7" l="1"/>
  <c r="U839" i="7"/>
  <c r="S840" i="7" s="1"/>
  <c r="Z839" i="7"/>
  <c r="T839" i="7" s="1"/>
  <c r="P840" i="7" s="1"/>
  <c r="Q840" i="7" l="1"/>
  <c r="AE840" i="7" s="1"/>
  <c r="AA840" i="7" s="1"/>
  <c r="R840" i="7"/>
  <c r="AD840" i="7" l="1"/>
  <c r="Y840" i="7" s="1"/>
  <c r="AC840" i="7"/>
  <c r="W840" i="7" s="1"/>
  <c r="Z840" i="7"/>
  <c r="V840" i="7" l="1"/>
  <c r="U840" i="7"/>
  <c r="Q841" i="7" s="1"/>
  <c r="X840" i="7"/>
  <c r="S841" i="7" l="1"/>
  <c r="T840" i="7"/>
  <c r="P841" i="7"/>
  <c r="R841" i="7"/>
  <c r="AD841" i="7" l="1"/>
  <c r="Y841" i="7" s="1"/>
  <c r="AC841" i="7"/>
  <c r="W841" i="7" s="1"/>
  <c r="AE841" i="7"/>
  <c r="AA841" i="7" s="1"/>
  <c r="Z841" i="7" l="1"/>
  <c r="V841" i="7"/>
  <c r="X841" i="7"/>
  <c r="U841" i="7"/>
  <c r="S842" i="7" l="1"/>
  <c r="Q842" i="7"/>
  <c r="T841" i="7"/>
  <c r="R842" i="7" l="1"/>
  <c r="P842" i="7"/>
  <c r="AD842" i="7" l="1"/>
  <c r="Y842" i="7" s="1"/>
  <c r="AC842" i="7"/>
  <c r="W842" i="7" s="1"/>
  <c r="AE842" i="7"/>
  <c r="AA842" i="7" s="1"/>
  <c r="Z842" i="7" l="1"/>
  <c r="X842" i="7"/>
  <c r="U842" i="7"/>
  <c r="S843" i="7" s="1"/>
  <c r="V842" i="7"/>
  <c r="Q843" i="7"/>
  <c r="T842" i="7" l="1"/>
  <c r="P843" i="7" s="1"/>
  <c r="R843" i="7" l="1"/>
  <c r="AE843" i="7"/>
  <c r="AA843" i="7" s="1"/>
  <c r="AC843" i="7"/>
  <c r="W843" i="7" s="1"/>
  <c r="AD843" i="7"/>
  <c r="Y843" i="7" s="1"/>
  <c r="V843" i="7" l="1"/>
  <c r="X843" i="7"/>
  <c r="Z843" i="7"/>
  <c r="U843" i="7"/>
  <c r="T843" i="7" l="1"/>
  <c r="R844" i="7" s="1"/>
  <c r="S844" i="7"/>
  <c r="Q844" i="7"/>
  <c r="P844" i="7" l="1"/>
  <c r="AE844" i="7" s="1"/>
  <c r="AA844" i="7" s="1"/>
  <c r="AD844" i="7" l="1"/>
  <c r="Y844" i="7" s="1"/>
  <c r="AC844" i="7"/>
  <c r="W844" i="7" s="1"/>
  <c r="Z844" i="7"/>
  <c r="X844" i="7" l="1"/>
  <c r="V844" i="7"/>
  <c r="U844" i="7"/>
  <c r="S845" i="7" s="1"/>
  <c r="T844" i="7" l="1"/>
  <c r="P845" i="7" s="1"/>
  <c r="Q845" i="7"/>
  <c r="R845" i="7" l="1"/>
  <c r="AD845" i="7"/>
  <c r="Y845" i="7" s="1"/>
  <c r="AE845" i="7"/>
  <c r="AA845" i="7" s="1"/>
  <c r="AC845" i="7"/>
  <c r="W845" i="7" s="1"/>
  <c r="Z845" i="7" l="1"/>
  <c r="U845" i="7"/>
  <c r="S846" i="7" s="1"/>
  <c r="V845" i="7"/>
  <c r="X845" i="7"/>
  <c r="Q846" i="7" l="1"/>
  <c r="T845" i="7"/>
  <c r="R846" i="7" l="1"/>
  <c r="P846" i="7"/>
  <c r="AD846" i="7" l="1"/>
  <c r="Y846" i="7" s="1"/>
  <c r="AC846" i="7"/>
  <c r="W846" i="7" s="1"/>
  <c r="AE846" i="7"/>
  <c r="AA846" i="7" s="1"/>
  <c r="Z846" i="7" l="1"/>
  <c r="V846" i="7"/>
  <c r="X846" i="7"/>
  <c r="U846" i="7"/>
  <c r="T846" i="7" l="1"/>
  <c r="R847" i="7" s="1"/>
  <c r="Q847" i="7"/>
  <c r="S847" i="7"/>
  <c r="P847" i="7" l="1"/>
  <c r="AD847" i="7" s="1"/>
  <c r="X847" i="7" s="1"/>
  <c r="AC847" i="7" l="1"/>
  <c r="V847" i="7" s="1"/>
  <c r="AE847" i="7"/>
  <c r="Z847" i="7" s="1"/>
  <c r="Y847" i="7"/>
  <c r="T847" i="7" l="1"/>
  <c r="R848" i="7" s="1"/>
  <c r="AA847" i="7"/>
  <c r="W847" i="7"/>
  <c r="P848" i="7" l="1"/>
  <c r="U847" i="7"/>
  <c r="S848" i="7" s="1"/>
  <c r="Q848" i="7" l="1"/>
  <c r="AC848" i="7" s="1"/>
  <c r="V848" i="7" s="1"/>
  <c r="AD848" i="7"/>
  <c r="X848" i="7" s="1"/>
  <c r="W848" i="7"/>
  <c r="AE848" i="7"/>
  <c r="Z848" i="7" s="1"/>
  <c r="T848" i="7" l="1"/>
  <c r="P849" i="7" s="1"/>
  <c r="Y848" i="7"/>
  <c r="AA848" i="7"/>
  <c r="R849" i="7" l="1"/>
  <c r="U848" i="7"/>
  <c r="S849" i="7" s="1"/>
  <c r="Q849" i="7" l="1"/>
  <c r="AE849" i="7" s="1"/>
  <c r="AA849" i="7" s="1"/>
  <c r="AC849" i="7" l="1"/>
  <c r="W849" i="7" s="1"/>
  <c r="Z849" i="7"/>
  <c r="AD849" i="7"/>
  <c r="Y849" i="7" s="1"/>
  <c r="U849" i="7" s="1"/>
  <c r="S850" i="7" s="1"/>
  <c r="V849" i="7"/>
  <c r="X849" i="7" l="1"/>
  <c r="T849" i="7"/>
  <c r="P850" i="7" s="1"/>
  <c r="Q850" i="7"/>
  <c r="R850" i="7" l="1"/>
  <c r="AE850" i="7"/>
  <c r="AA850" i="7" s="1"/>
  <c r="AC850" i="7"/>
  <c r="W850" i="7" s="1"/>
  <c r="AD850" i="7"/>
  <c r="Y850" i="7" s="1"/>
  <c r="Z850" i="7" l="1"/>
  <c r="X850" i="7"/>
  <c r="U850" i="7"/>
  <c r="Q851" i="7" s="1"/>
  <c r="V850" i="7"/>
  <c r="T850" i="7" l="1"/>
  <c r="R851" i="7" s="1"/>
  <c r="P851" i="7"/>
  <c r="AC851" i="7" s="1"/>
  <c r="W851" i="7" s="1"/>
  <c r="S851" i="7"/>
  <c r="AD851" i="7" l="1"/>
  <c r="Y851" i="7" s="1"/>
  <c r="AE851" i="7"/>
  <c r="AA851" i="7" s="1"/>
  <c r="V851" i="7"/>
  <c r="U851" i="7" l="1"/>
  <c r="S852" i="7" s="1"/>
  <c r="X851" i="7"/>
  <c r="Z851" i="7"/>
  <c r="T851" i="7" s="1"/>
  <c r="P852" i="7" s="1"/>
  <c r="Q852" i="7" l="1"/>
  <c r="AE852" i="7" s="1"/>
  <c r="AC852" i="7"/>
  <c r="W852" i="7" s="1"/>
  <c r="R852" i="7"/>
  <c r="AD852" i="7" l="1"/>
  <c r="Y852" i="7" s="1"/>
  <c r="AA852" i="7"/>
  <c r="Z852" i="7"/>
  <c r="V852" i="7"/>
  <c r="X852" i="7" l="1"/>
  <c r="T852" i="7" s="1"/>
  <c r="R853" i="7" s="1"/>
  <c r="U852" i="7"/>
  <c r="Q853" i="7" s="1"/>
  <c r="S853" i="7" l="1"/>
  <c r="P853" i="7"/>
  <c r="AC853" i="7" s="1"/>
  <c r="AE853" i="7"/>
  <c r="AA853" i="7" s="1"/>
  <c r="V853" i="7"/>
  <c r="W853" i="7"/>
  <c r="AD853" i="7" l="1"/>
  <c r="X853" i="7" s="1"/>
  <c r="Z853" i="7"/>
  <c r="T853" i="7" l="1"/>
  <c r="R854" i="7" s="1"/>
  <c r="Y853" i="7"/>
  <c r="U853" i="7" s="1"/>
  <c r="P854" i="7"/>
  <c r="S854" i="7"/>
  <c r="Q854" i="7"/>
  <c r="AD854" i="7" l="1"/>
  <c r="X854" i="7" s="1"/>
  <c r="AC854" i="7"/>
  <c r="W854" i="7" s="1"/>
  <c r="AE854" i="7"/>
  <c r="AA854" i="7" s="1"/>
  <c r="Y854" i="7" l="1"/>
  <c r="U854" i="7" s="1"/>
  <c r="Q855" i="7" s="1"/>
  <c r="V854" i="7"/>
  <c r="Z854" i="7"/>
  <c r="T854" i="7" l="1"/>
  <c r="P855" i="7" s="1"/>
  <c r="AE855" i="7" s="1"/>
  <c r="AA855" i="7" s="1"/>
  <c r="S855" i="7"/>
  <c r="R855" i="7" l="1"/>
  <c r="AC855" i="7"/>
  <c r="W855" i="7" s="1"/>
  <c r="AD855" i="7"/>
  <c r="Y855" i="7" s="1"/>
  <c r="Z855" i="7"/>
  <c r="V855" i="7" l="1"/>
  <c r="U855" i="7"/>
  <c r="Q856" i="7" s="1"/>
  <c r="X855" i="7"/>
  <c r="T855" i="7" l="1"/>
  <c r="P856" i="7" s="1"/>
  <c r="AE856" i="7" s="1"/>
  <c r="AA856" i="7" s="1"/>
  <c r="S856" i="7"/>
  <c r="AC856" i="7" l="1"/>
  <c r="W856" i="7" s="1"/>
  <c r="AD856" i="7"/>
  <c r="Y856" i="7" s="1"/>
  <c r="R856" i="7"/>
  <c r="Z856" i="7"/>
  <c r="U856" i="7" l="1"/>
  <c r="S857" i="7" s="1"/>
  <c r="X856" i="7"/>
  <c r="V856" i="7"/>
  <c r="Q857" i="7"/>
  <c r="T856" i="7" l="1"/>
  <c r="R857" i="7" s="1"/>
  <c r="P857" i="7" l="1"/>
  <c r="AD857" i="7" s="1"/>
  <c r="Y857" i="7" s="1"/>
  <c r="X857" i="7" l="1"/>
  <c r="AC857" i="7"/>
  <c r="W857" i="7" s="1"/>
  <c r="AE857" i="7"/>
  <c r="AA857" i="7" s="1"/>
  <c r="U857" i="7" l="1"/>
  <c r="Q858" i="7" s="1"/>
  <c r="Z857" i="7"/>
  <c r="V857" i="7"/>
  <c r="S858" i="7"/>
  <c r="T857" i="7" l="1"/>
  <c r="R858" i="7" s="1"/>
  <c r="P858" i="7"/>
  <c r="AD858" i="7" s="1"/>
  <c r="Y858" i="7" s="1"/>
  <c r="AC858" i="7" l="1"/>
  <c r="W858" i="7" s="1"/>
  <c r="AE858" i="7"/>
  <c r="AA858" i="7" s="1"/>
  <c r="X858" i="7"/>
  <c r="V858" i="7" l="1"/>
  <c r="Z858" i="7"/>
  <c r="T858" i="7" s="1"/>
  <c r="U858" i="7"/>
  <c r="S859" i="7" s="1"/>
  <c r="Q859" i="7" l="1"/>
  <c r="R859" i="7"/>
  <c r="P859" i="7"/>
  <c r="AD859" i="7" l="1"/>
  <c r="Y859" i="7" s="1"/>
  <c r="AE859" i="7"/>
  <c r="AA859" i="7" s="1"/>
  <c r="AC859" i="7"/>
  <c r="W859" i="7" s="1"/>
  <c r="X859" i="7" l="1"/>
  <c r="V859" i="7"/>
  <c r="Z859" i="7"/>
  <c r="U859" i="7"/>
  <c r="S860" i="7" s="1"/>
  <c r="Q860" i="7" l="1"/>
  <c r="T859" i="7"/>
  <c r="R860" i="7" s="1"/>
  <c r="P860" i="7" l="1"/>
  <c r="AD860" i="7" s="1"/>
  <c r="Y860" i="7" s="1"/>
  <c r="AC860" i="7" l="1"/>
  <c r="W860" i="7" s="1"/>
  <c r="AE860" i="7"/>
  <c r="AA860" i="7" s="1"/>
  <c r="X860" i="7"/>
  <c r="V860" i="7" l="1"/>
  <c r="U860" i="7"/>
  <c r="Z860" i="7"/>
  <c r="S861" i="7"/>
  <c r="Q861" i="7"/>
  <c r="T860" i="7" l="1"/>
  <c r="R861" i="7" s="1"/>
  <c r="P861" i="7"/>
  <c r="AD861" i="7" s="1"/>
  <c r="Y861" i="7" s="1"/>
  <c r="AC861" i="7" l="1"/>
  <c r="W861" i="7" s="1"/>
  <c r="AE861" i="7"/>
  <c r="AA861" i="7" s="1"/>
  <c r="X861" i="7"/>
  <c r="U861" i="7" l="1"/>
  <c r="Q862" i="7" s="1"/>
  <c r="V861" i="7"/>
  <c r="Z861" i="7"/>
  <c r="S862" i="7"/>
  <c r="T861" i="7" l="1"/>
  <c r="R862" i="7" s="1"/>
  <c r="P862" i="7"/>
  <c r="AC862" i="7" s="1"/>
  <c r="W862" i="7" s="1"/>
  <c r="AD862" i="7" l="1"/>
  <c r="Y862" i="7" s="1"/>
  <c r="AE862" i="7"/>
  <c r="AA862" i="7" s="1"/>
  <c r="V862" i="7"/>
  <c r="X862" i="7" l="1"/>
  <c r="U862" i="7"/>
  <c r="Q863" i="7" s="1"/>
  <c r="Z862" i="7"/>
  <c r="S863" i="7" l="1"/>
  <c r="T862" i="7"/>
  <c r="R863" i="7" s="1"/>
  <c r="P863" i="7"/>
  <c r="AC863" i="7" s="1"/>
  <c r="W863" i="7" s="1"/>
  <c r="AE863" i="7" l="1"/>
  <c r="AA863" i="7" s="1"/>
  <c r="AD863" i="7"/>
  <c r="Y863" i="7" s="1"/>
  <c r="V863" i="7"/>
  <c r="U863" i="7" l="1"/>
  <c r="Q864" i="7" s="1"/>
  <c r="X863" i="7"/>
  <c r="Z863" i="7"/>
  <c r="S864" i="7" l="1"/>
  <c r="T863" i="7"/>
  <c r="R864" i="7" s="1"/>
  <c r="P864" i="7" l="1"/>
  <c r="AE864" i="7" s="1"/>
  <c r="AA864" i="7" s="1"/>
  <c r="AC864" i="7" l="1"/>
  <c r="W864" i="7" s="1"/>
  <c r="AD864" i="7"/>
  <c r="Y864" i="7" s="1"/>
  <c r="Z864" i="7"/>
  <c r="V864" i="7" l="1"/>
  <c r="U864" i="7"/>
  <c r="S865" i="7" s="1"/>
  <c r="X864" i="7"/>
  <c r="T864" i="7" l="1"/>
  <c r="P865" i="7" s="1"/>
  <c r="Q865" i="7"/>
  <c r="AE865" i="7" l="1"/>
  <c r="AA865" i="7" s="1"/>
  <c r="AC865" i="7"/>
  <c r="W865" i="7" s="1"/>
  <c r="AD865" i="7"/>
  <c r="Y865" i="7" s="1"/>
  <c r="R865" i="7"/>
  <c r="Z865" i="7"/>
  <c r="U865" i="7" l="1"/>
  <c r="V865" i="7"/>
  <c r="X865" i="7"/>
  <c r="T865" i="7" s="1"/>
  <c r="S866" i="7"/>
  <c r="Q866" i="7"/>
  <c r="R866" i="7" l="1"/>
  <c r="P866" i="7"/>
  <c r="AE866" i="7" l="1"/>
  <c r="AA866" i="7" s="1"/>
  <c r="AC866" i="7"/>
  <c r="W866" i="7" s="1"/>
  <c r="AD866" i="7"/>
  <c r="Y866" i="7" s="1"/>
  <c r="X866" i="7" l="1"/>
  <c r="V866" i="7"/>
  <c r="Z866" i="7"/>
  <c r="U866" i="7"/>
  <c r="T866" i="7" l="1"/>
  <c r="P867" i="7" s="1"/>
  <c r="S867" i="7"/>
  <c r="Q867" i="7"/>
  <c r="R867" i="7" l="1"/>
  <c r="AC867" i="7"/>
  <c r="W867" i="7" s="1"/>
  <c r="AD867" i="7"/>
  <c r="Y867" i="7" s="1"/>
  <c r="AE867" i="7"/>
  <c r="AA867" i="7" s="1"/>
  <c r="V867" i="7" l="1"/>
  <c r="X867" i="7"/>
  <c r="U867" i="7"/>
  <c r="Q868" i="7" s="1"/>
  <c r="Z867" i="7"/>
  <c r="T867" i="7" l="1"/>
  <c r="P868" i="7" s="1"/>
  <c r="S868" i="7"/>
  <c r="R868" i="7" l="1"/>
  <c r="AC868" i="7"/>
  <c r="W868" i="7" s="1"/>
  <c r="AE868" i="7"/>
  <c r="AA868" i="7" s="1"/>
  <c r="AD868" i="7"/>
  <c r="Y868" i="7" s="1"/>
  <c r="V868" i="7" l="1"/>
  <c r="Z868" i="7"/>
  <c r="X868" i="7"/>
  <c r="U868" i="7"/>
  <c r="T868" i="7" l="1"/>
  <c r="P869" i="7" s="1"/>
  <c r="Q869" i="7"/>
  <c r="S869" i="7"/>
  <c r="R869" i="7" l="1"/>
  <c r="AD869" i="7"/>
  <c r="Y869" i="7" s="1"/>
  <c r="AE869" i="7"/>
  <c r="AA869" i="7" s="1"/>
  <c r="AC869" i="7"/>
  <c r="W869" i="7" s="1"/>
  <c r="U869" i="7" l="1"/>
  <c r="S870" i="7" s="1"/>
  <c r="Z869" i="7"/>
  <c r="X869" i="7"/>
  <c r="V869" i="7"/>
  <c r="Q870" i="7" l="1"/>
  <c r="T869" i="7"/>
  <c r="R870" i="7" l="1"/>
  <c r="P870" i="7"/>
  <c r="AC870" i="7" l="1"/>
  <c r="W870" i="7" s="1"/>
  <c r="AD870" i="7"/>
  <c r="Y870" i="7" s="1"/>
  <c r="AE870" i="7"/>
  <c r="AA870" i="7" s="1"/>
  <c r="Z870" i="7" l="1"/>
  <c r="U870" i="7"/>
  <c r="S871" i="7" s="1"/>
  <c r="V870" i="7"/>
  <c r="X870" i="7"/>
  <c r="Q871" i="7" l="1"/>
  <c r="T870" i="7"/>
  <c r="R871" i="7" s="1"/>
  <c r="P871" i="7" l="1"/>
  <c r="AE871" i="7" s="1"/>
  <c r="AA871" i="7" s="1"/>
  <c r="AD871" i="7" l="1"/>
  <c r="Y871" i="7" s="1"/>
  <c r="AC871" i="7"/>
  <c r="W871" i="7" s="1"/>
  <c r="Z871" i="7"/>
  <c r="U871" i="7" l="1"/>
  <c r="S872" i="7" s="1"/>
  <c r="X871" i="7"/>
  <c r="V871" i="7"/>
  <c r="Q872" i="7" l="1"/>
  <c r="T871" i="7"/>
  <c r="R872" i="7" s="1"/>
  <c r="P872" i="7" l="1"/>
  <c r="AC872" i="7" s="1"/>
  <c r="W872" i="7" s="1"/>
  <c r="AE872" i="7"/>
  <c r="AA872" i="7" s="1"/>
  <c r="AD872" i="7"/>
  <c r="Y872" i="7" s="1"/>
  <c r="V872" i="7"/>
  <c r="X872" i="7" l="1"/>
  <c r="U872" i="7"/>
  <c r="S873" i="7" s="1"/>
  <c r="Z872" i="7"/>
  <c r="T872" i="7" l="1"/>
  <c r="P873" i="7" s="1"/>
  <c r="Q873" i="7"/>
  <c r="R873" i="7"/>
  <c r="AC873" i="7" l="1"/>
  <c r="W873" i="7" s="1"/>
  <c r="AE873" i="7"/>
  <c r="AA873" i="7" s="1"/>
  <c r="AD873" i="7"/>
  <c r="Y873" i="7" s="1"/>
  <c r="X873" i="7" l="1"/>
  <c r="Z873" i="7"/>
  <c r="V873" i="7"/>
  <c r="U873" i="7"/>
  <c r="T873" i="7" l="1"/>
  <c r="R874" i="7" s="1"/>
  <c r="S874" i="7"/>
  <c r="Q874" i="7"/>
  <c r="P874" i="7" l="1"/>
  <c r="AE874" i="7" s="1"/>
  <c r="AA874" i="7" s="1"/>
  <c r="AC874" i="7" l="1"/>
  <c r="W874" i="7" s="1"/>
  <c r="AD874" i="7"/>
  <c r="Y874" i="7" s="1"/>
  <c r="Z874" i="7"/>
  <c r="V874" i="7" l="1"/>
  <c r="U874" i="7"/>
  <c r="Q875" i="7" s="1"/>
  <c r="X874" i="7"/>
  <c r="S875" i="7"/>
  <c r="T874" i="7" l="1"/>
  <c r="R875" i="7" s="1"/>
  <c r="P875" i="7" l="1"/>
  <c r="AE875" i="7" s="1"/>
  <c r="AA875" i="7" s="1"/>
  <c r="AC875" i="7"/>
  <c r="V875" i="7" s="1"/>
  <c r="Z875" i="7" l="1"/>
  <c r="AD875" i="7"/>
  <c r="Y875" i="7" s="1"/>
  <c r="W875" i="7"/>
  <c r="U875" i="7" l="1"/>
  <c r="X875" i="7"/>
  <c r="T875" i="7" s="1"/>
  <c r="R876" i="7" s="1"/>
  <c r="S876" i="7"/>
  <c r="Q876" i="7"/>
  <c r="P876" i="7" l="1"/>
  <c r="AC876" i="7" s="1"/>
  <c r="W876" i="7" s="1"/>
  <c r="AD876" i="7"/>
  <c r="Y876" i="7" s="1"/>
  <c r="AE876" i="7"/>
  <c r="AA876" i="7" s="1"/>
  <c r="X876" i="7" l="1"/>
  <c r="V876" i="7"/>
  <c r="U876" i="7"/>
  <c r="S877" i="7" s="1"/>
  <c r="Z876" i="7"/>
  <c r="Q877" i="7" l="1"/>
  <c r="T876" i="7"/>
  <c r="R877" i="7" s="1"/>
  <c r="P877" i="7" l="1"/>
  <c r="AC877" i="7" s="1"/>
  <c r="W877" i="7" s="1"/>
  <c r="AE877" i="7" l="1"/>
  <c r="AA877" i="7" s="1"/>
  <c r="AD877" i="7"/>
  <c r="Y877" i="7" s="1"/>
  <c r="V877" i="7"/>
  <c r="U877" i="7" l="1"/>
  <c r="S878" i="7" s="1"/>
  <c r="Z877" i="7"/>
  <c r="X877" i="7"/>
  <c r="T877" i="7" l="1"/>
  <c r="Q878" i="7"/>
  <c r="P878" i="7"/>
  <c r="R878" i="7"/>
  <c r="AC878" i="7" l="1"/>
  <c r="AE878" i="7"/>
  <c r="AA878" i="7" s="1"/>
  <c r="AD878" i="7"/>
  <c r="Y878" i="7" s="1"/>
  <c r="X878" i="7" l="1"/>
  <c r="V878" i="7"/>
  <c r="W878" i="7"/>
  <c r="U878" i="7" s="1"/>
  <c r="Z878" i="7"/>
  <c r="T878" i="7" l="1"/>
  <c r="R879" i="7" s="1"/>
  <c r="Q879" i="7"/>
  <c r="S879" i="7"/>
  <c r="P879" i="7" l="1"/>
  <c r="AC879" i="7" s="1"/>
  <c r="W879" i="7" s="1"/>
  <c r="AD879" i="7" l="1"/>
  <c r="Y879" i="7" s="1"/>
  <c r="AE879" i="7"/>
  <c r="AA879" i="7" s="1"/>
  <c r="V879" i="7"/>
  <c r="X879" i="7" l="1"/>
  <c r="U879" i="7"/>
  <c r="Q880" i="7" s="1"/>
  <c r="Z879" i="7"/>
  <c r="S880" i="7" l="1"/>
  <c r="T879" i="7"/>
  <c r="P880" i="7" s="1"/>
  <c r="AC880" i="7" s="1"/>
  <c r="W880" i="7" s="1"/>
  <c r="AD880" i="7" l="1"/>
  <c r="Y880" i="7" s="1"/>
  <c r="AE880" i="7"/>
  <c r="AA880" i="7" s="1"/>
  <c r="R880" i="7"/>
  <c r="V880" i="7"/>
  <c r="U880" i="7" l="1"/>
  <c r="S881" i="7" s="1"/>
  <c r="X880" i="7"/>
  <c r="Z880" i="7"/>
  <c r="T880" i="7" l="1"/>
  <c r="R881" i="7" s="1"/>
  <c r="Q881" i="7"/>
  <c r="P881" i="7" l="1"/>
  <c r="AD881" i="7" s="1"/>
  <c r="Y881" i="7" s="1"/>
  <c r="AC881" i="7" l="1"/>
  <c r="W881" i="7" s="1"/>
  <c r="AE881" i="7"/>
  <c r="AA881" i="7" s="1"/>
  <c r="X881" i="7"/>
  <c r="V881" i="7"/>
  <c r="U881" i="7" l="1"/>
  <c r="Q882" i="7" s="1"/>
  <c r="Z881" i="7"/>
  <c r="T881" i="7" s="1"/>
  <c r="P882" i="7" s="1"/>
  <c r="S882" i="7" l="1"/>
  <c r="R882" i="7"/>
  <c r="AC882" i="7"/>
  <c r="W882" i="7" s="1"/>
  <c r="AD882" i="7"/>
  <c r="Y882" i="7" s="1"/>
  <c r="AE882" i="7"/>
  <c r="AA882" i="7" s="1"/>
  <c r="X882" i="7" l="1"/>
  <c r="Z882" i="7"/>
  <c r="V882" i="7"/>
  <c r="U882" i="7"/>
  <c r="T882" i="7" l="1"/>
  <c r="P883" i="7" s="1"/>
  <c r="S883" i="7"/>
  <c r="Q883" i="7"/>
  <c r="R883" i="7" l="1"/>
  <c r="AD883" i="7"/>
  <c r="Y883" i="7" s="1"/>
  <c r="AC883" i="7"/>
  <c r="W883" i="7" s="1"/>
  <c r="AE883" i="7"/>
  <c r="AA883" i="7" s="1"/>
  <c r="U883" i="7" l="1"/>
  <c r="S884" i="7" s="1"/>
  <c r="X883" i="7"/>
  <c r="Z883" i="7"/>
  <c r="V883" i="7"/>
  <c r="Q884" i="7" l="1"/>
  <c r="T883" i="7"/>
  <c r="R884" i="7" s="1"/>
  <c r="P884" i="7" l="1"/>
  <c r="AD884" i="7" s="1"/>
  <c r="Y884" i="7" s="1"/>
  <c r="AC884" i="7" l="1"/>
  <c r="W884" i="7" s="1"/>
  <c r="AE884" i="7"/>
  <c r="AA884" i="7" s="1"/>
  <c r="X884" i="7"/>
  <c r="V884" i="7" l="1"/>
  <c r="Z884" i="7"/>
  <c r="U884" i="7"/>
  <c r="S885" i="7" s="1"/>
  <c r="T884" i="7" l="1"/>
  <c r="P885" i="7" s="1"/>
  <c r="Q885" i="7"/>
  <c r="R885" i="7" l="1"/>
  <c r="AD885" i="7"/>
  <c r="Y885" i="7" s="1"/>
  <c r="AC885" i="7"/>
  <c r="W885" i="7" s="1"/>
  <c r="AE885" i="7"/>
  <c r="AA885" i="7" s="1"/>
  <c r="V885" i="7" l="1"/>
  <c r="Z885" i="7"/>
  <c r="X885" i="7"/>
  <c r="U885" i="7"/>
  <c r="Q886" i="7" l="1"/>
  <c r="S886" i="7"/>
  <c r="T885" i="7"/>
  <c r="R886" i="7" l="1"/>
  <c r="P886" i="7"/>
  <c r="AE886" i="7" l="1"/>
  <c r="AA886" i="7" s="1"/>
  <c r="AC886" i="7"/>
  <c r="W886" i="7" s="1"/>
  <c r="AD886" i="7"/>
  <c r="Y886" i="7" s="1"/>
  <c r="Z886" i="7" l="1"/>
  <c r="X886" i="7"/>
  <c r="V886" i="7"/>
  <c r="U886" i="7"/>
  <c r="T886" i="7" l="1"/>
  <c r="P887" i="7" s="1"/>
  <c r="S887" i="7"/>
  <c r="Q887" i="7"/>
  <c r="R887" i="7" l="1"/>
  <c r="AD887" i="7"/>
  <c r="Y887" i="7" s="1"/>
  <c r="AE887" i="7"/>
  <c r="AA887" i="7" s="1"/>
  <c r="AC887" i="7"/>
  <c r="W887" i="7" s="1"/>
  <c r="Z887" i="7" l="1"/>
  <c r="U887" i="7"/>
  <c r="Q888" i="7" s="1"/>
  <c r="X887" i="7"/>
  <c r="V887" i="7"/>
  <c r="S888" i="7" l="1"/>
  <c r="T887" i="7"/>
  <c r="P888" i="7" l="1"/>
  <c r="R888" i="7"/>
  <c r="AD888" i="7" l="1"/>
  <c r="AE888" i="7"/>
  <c r="AC888" i="7"/>
  <c r="V888" i="7" l="1"/>
  <c r="W888" i="7"/>
  <c r="Z888" i="7"/>
  <c r="AA888" i="7"/>
  <c r="X888" i="7"/>
  <c r="Y888" i="7"/>
  <c r="U888" i="7" l="1"/>
  <c r="T888" i="7"/>
  <c r="R889" i="7" l="1"/>
  <c r="P889" i="7"/>
  <c r="S889" i="7"/>
  <c r="Q889" i="7"/>
  <c r="AC889" i="7" l="1"/>
  <c r="V889" i="7" s="1"/>
  <c r="AD889" i="7"/>
  <c r="X889" i="7" s="1"/>
  <c r="AE889" i="7"/>
  <c r="Z889" i="7" s="1"/>
  <c r="T889" i="7" l="1"/>
  <c r="R890" i="7" s="1"/>
  <c r="AA889" i="7"/>
  <c r="Y889" i="7"/>
  <c r="W889" i="7"/>
  <c r="P890" i="7" l="1"/>
  <c r="U889" i="7"/>
  <c r="S890" i="7" s="1"/>
  <c r="Q890" i="7" l="1"/>
  <c r="AD890" i="7" s="1"/>
  <c r="X890" i="7" s="1"/>
  <c r="AE890" i="7" l="1"/>
  <c r="Z890" i="7" s="1"/>
  <c r="AC890" i="7"/>
  <c r="V890" i="7" s="1"/>
  <c r="T890" i="7" s="1"/>
  <c r="R891" i="7" s="1"/>
  <c r="Y890" i="7"/>
  <c r="AA890" i="7"/>
  <c r="W890" i="7" l="1"/>
  <c r="U890" i="7" s="1"/>
  <c r="S891" i="7" s="1"/>
  <c r="P891" i="7"/>
  <c r="Q891" i="7" l="1"/>
  <c r="AE891" i="7" s="1"/>
  <c r="Z891" i="7" s="1"/>
  <c r="AC891" i="7"/>
  <c r="V891" i="7" s="1"/>
  <c r="AD891" i="7" l="1"/>
  <c r="X891" i="7" s="1"/>
  <c r="T891" i="7" s="1"/>
  <c r="AA891" i="7"/>
  <c r="W891" i="7"/>
  <c r="Y891" i="7" l="1"/>
  <c r="U891" i="7" s="1"/>
  <c r="Q892" i="7" s="1"/>
  <c r="R892" i="7"/>
  <c r="P892" i="7"/>
  <c r="AC892" i="7" l="1"/>
  <c r="W892" i="7" s="1"/>
  <c r="S892" i="7"/>
  <c r="AD892" i="7"/>
  <c r="Y892" i="7" s="1"/>
  <c r="AE892" i="7"/>
  <c r="AA892" i="7" s="1"/>
  <c r="V892" i="7" l="1"/>
  <c r="U892" i="7"/>
  <c r="S893" i="7" s="1"/>
  <c r="X892" i="7"/>
  <c r="Z892" i="7"/>
  <c r="Q893" i="7" l="1"/>
  <c r="T892" i="7"/>
  <c r="P893" i="7" s="1"/>
  <c r="AC893" i="7" l="1"/>
  <c r="W893" i="7" s="1"/>
  <c r="AD893" i="7"/>
  <c r="Y893" i="7" s="1"/>
  <c r="R893" i="7"/>
  <c r="AE893" i="7"/>
  <c r="AA893" i="7" s="1"/>
  <c r="V893" i="7" l="1"/>
  <c r="U893" i="7"/>
  <c r="S894" i="7" s="1"/>
  <c r="X893" i="7"/>
  <c r="Z893" i="7"/>
  <c r="Q894" i="7" l="1"/>
  <c r="T893" i="7"/>
  <c r="R894" i="7" s="1"/>
  <c r="P894" i="7" l="1"/>
  <c r="AD894" i="7" s="1"/>
  <c r="AC894" i="7" l="1"/>
  <c r="V894" i="7" s="1"/>
  <c r="AE894" i="7"/>
  <c r="Z894" i="7" s="1"/>
  <c r="X894" i="7"/>
  <c r="Y894" i="7"/>
  <c r="AA894" i="7" l="1"/>
  <c r="W894" i="7"/>
  <c r="T894" i="7"/>
  <c r="U894" i="7" l="1"/>
  <c r="S895" i="7" s="1"/>
  <c r="R895" i="7"/>
  <c r="P895" i="7"/>
  <c r="Q895" i="7" l="1"/>
  <c r="AE895" i="7" s="1"/>
  <c r="Z895" i="7" s="1"/>
  <c r="AC895" i="7" l="1"/>
  <c r="V895" i="7" s="1"/>
  <c r="AD895" i="7"/>
  <c r="X895" i="7" s="1"/>
  <c r="AA895" i="7"/>
  <c r="T895" i="7" l="1"/>
  <c r="R896" i="7" s="1"/>
  <c r="W895" i="7"/>
  <c r="Y895" i="7"/>
  <c r="P896" i="7"/>
  <c r="U895" i="7" l="1"/>
  <c r="S896" i="7"/>
  <c r="Q896" i="7"/>
  <c r="AE896" i="7" l="1"/>
  <c r="Z896" i="7" s="1"/>
  <c r="AD896" i="7"/>
  <c r="X896" i="7" s="1"/>
  <c r="AC896" i="7"/>
  <c r="V896" i="7" s="1"/>
  <c r="T896" i="7" l="1"/>
  <c r="W896" i="7"/>
  <c r="Y896" i="7"/>
  <c r="AA896" i="7"/>
  <c r="U896" i="7" l="1"/>
  <c r="R897" i="7"/>
  <c r="P897" i="7"/>
  <c r="Q897" i="7" l="1"/>
  <c r="AD897" i="7" s="1"/>
  <c r="S897" i="7"/>
  <c r="Y897" i="7" l="1"/>
  <c r="X897" i="7"/>
  <c r="AE897" i="7"/>
  <c r="AC897" i="7"/>
  <c r="AA897" i="7" l="1"/>
  <c r="Z897" i="7"/>
  <c r="W897" i="7"/>
  <c r="V897" i="7"/>
  <c r="U897" i="7" l="1"/>
  <c r="S898" i="7" s="1"/>
  <c r="T897" i="7"/>
  <c r="Q898" i="7" l="1"/>
  <c r="P898" i="7"/>
  <c r="R898" i="7"/>
  <c r="AC898" i="7" l="1"/>
  <c r="W898" i="7" s="1"/>
  <c r="AE898" i="7"/>
  <c r="AA898" i="7" s="1"/>
  <c r="AD898" i="7"/>
  <c r="Y898" i="7" s="1"/>
  <c r="X898" i="7" l="1"/>
  <c r="U898" i="7"/>
  <c r="Z898" i="7"/>
  <c r="V898" i="7"/>
  <c r="T898" i="7" l="1"/>
  <c r="Q899" i="7"/>
  <c r="S899" i="7"/>
  <c r="R899" i="7" l="1"/>
  <c r="P899" i="7"/>
  <c r="AD899" i="7" l="1"/>
  <c r="Y899" i="7" s="1"/>
  <c r="AE899" i="7"/>
  <c r="AA899" i="7" s="1"/>
  <c r="AC899" i="7"/>
  <c r="W899" i="7" s="1"/>
  <c r="V899" i="7" l="1"/>
  <c r="Z899" i="7"/>
  <c r="X899" i="7"/>
  <c r="U899" i="7"/>
  <c r="S900" i="7" s="1"/>
  <c r="Q900" i="7" l="1"/>
  <c r="T899" i="7"/>
  <c r="P900" i="7" s="1"/>
  <c r="R900" i="7" l="1"/>
  <c r="AE900" i="7"/>
  <c r="AA900" i="7" s="1"/>
  <c r="AC900" i="7"/>
  <c r="W900" i="7" s="1"/>
  <c r="AD900" i="7"/>
  <c r="Y900" i="7" s="1"/>
  <c r="X900" i="7" l="1"/>
  <c r="Z900" i="7"/>
  <c r="V900" i="7"/>
  <c r="U900" i="7"/>
  <c r="S901" i="7" l="1"/>
  <c r="Q901" i="7"/>
  <c r="T900" i="7"/>
  <c r="R901" i="7" l="1"/>
  <c r="P901" i="7"/>
  <c r="AC901" i="7" l="1"/>
  <c r="W901" i="7" s="1"/>
  <c r="AE901" i="7"/>
  <c r="AA901" i="7" s="1"/>
  <c r="AD901" i="7"/>
  <c r="Y901" i="7" s="1"/>
  <c r="Z901" i="7" l="1"/>
  <c r="V901" i="7"/>
  <c r="X901" i="7"/>
  <c r="U901" i="7"/>
  <c r="Q902" i="7" l="1"/>
  <c r="S902" i="7"/>
  <c r="T901" i="7"/>
  <c r="R902" i="7" l="1"/>
  <c r="P902" i="7"/>
  <c r="AC902" i="7" l="1"/>
  <c r="W902" i="7" s="1"/>
  <c r="AE902" i="7"/>
  <c r="AA902" i="7" s="1"/>
  <c r="AD902" i="7"/>
  <c r="Y902" i="7" s="1"/>
  <c r="X902" i="7" l="1"/>
  <c r="Z902" i="7"/>
  <c r="V902" i="7"/>
  <c r="U902" i="7"/>
  <c r="T902" i="7" l="1"/>
  <c r="P903" i="7" s="1"/>
  <c r="S903" i="7"/>
  <c r="Q903" i="7"/>
  <c r="R903" i="7" l="1"/>
  <c r="AD903" i="7"/>
  <c r="Y903" i="7" s="1"/>
  <c r="AC903" i="7"/>
  <c r="W903" i="7" s="1"/>
  <c r="AE903" i="7"/>
  <c r="AA903" i="7" s="1"/>
  <c r="X903" i="7" l="1"/>
  <c r="Z903" i="7"/>
  <c r="V903" i="7"/>
  <c r="U903" i="7"/>
  <c r="S904" i="7" l="1"/>
  <c r="Q904" i="7"/>
  <c r="T903" i="7"/>
  <c r="R904" i="7" l="1"/>
  <c r="P904" i="7"/>
  <c r="AD904" i="7" l="1"/>
  <c r="Y904" i="7" s="1"/>
  <c r="AE904" i="7"/>
  <c r="AA904" i="7" s="1"/>
  <c r="AC904" i="7"/>
  <c r="W904" i="7" s="1"/>
  <c r="X904" i="7" l="1"/>
  <c r="U904" i="7"/>
  <c r="Q905" i="7" s="1"/>
  <c r="Z904" i="7"/>
  <c r="V904" i="7"/>
  <c r="S905" i="7" l="1"/>
  <c r="T904" i="7"/>
  <c r="R905" i="7" s="1"/>
  <c r="P905" i="7" l="1"/>
  <c r="AC905" i="7" s="1"/>
  <c r="W905" i="7" s="1"/>
  <c r="AE905" i="7" l="1"/>
  <c r="AA905" i="7" s="1"/>
  <c r="AD905" i="7"/>
  <c r="Y905" i="7" s="1"/>
  <c r="V905" i="7"/>
  <c r="U905" i="7" l="1"/>
  <c r="S906" i="7" s="1"/>
  <c r="Z905" i="7"/>
  <c r="X905" i="7"/>
  <c r="T905" i="7" s="1"/>
  <c r="R906" i="7" s="1"/>
  <c r="Q906" i="7"/>
  <c r="P906" i="7" l="1"/>
  <c r="AC906" i="7" s="1"/>
  <c r="W906" i="7" s="1"/>
  <c r="AD906" i="7" l="1"/>
  <c r="Y906" i="7" s="1"/>
  <c r="AE906" i="7"/>
  <c r="AA906" i="7" s="1"/>
  <c r="V906" i="7"/>
  <c r="X906" i="7"/>
  <c r="U906" i="7" l="1"/>
  <c r="Z906" i="7"/>
  <c r="T906" i="7" s="1"/>
  <c r="R907" i="7" s="1"/>
  <c r="Q907" i="7"/>
  <c r="S907" i="7"/>
  <c r="P907" i="7" l="1"/>
  <c r="AE907" i="7" s="1"/>
  <c r="AA907" i="7" s="1"/>
  <c r="AD907" i="7" l="1"/>
  <c r="Y907" i="7" s="1"/>
  <c r="AC907" i="7"/>
  <c r="W907" i="7" s="1"/>
  <c r="Z907" i="7"/>
  <c r="V907" i="7" l="1"/>
  <c r="U907" i="7"/>
  <c r="Q908" i="7" s="1"/>
  <c r="X907" i="7"/>
  <c r="T907" i="7" l="1"/>
  <c r="P908" i="7" s="1"/>
  <c r="AD908" i="7" s="1"/>
  <c r="X908" i="7" s="1"/>
  <c r="S908" i="7"/>
  <c r="AE908" i="7" l="1"/>
  <c r="Z908" i="7" s="1"/>
  <c r="AC908" i="7"/>
  <c r="V908" i="7" s="1"/>
  <c r="R908" i="7"/>
  <c r="Y908" i="7"/>
  <c r="AA908" i="7" l="1"/>
  <c r="T908" i="7"/>
  <c r="R909" i="7" s="1"/>
  <c r="W908" i="7"/>
  <c r="U908" i="7" l="1"/>
  <c r="S909" i="7" s="1"/>
  <c r="P909" i="7"/>
  <c r="Q909" i="7"/>
  <c r="AE909" i="7" s="1"/>
  <c r="Z909" i="7" s="1"/>
  <c r="AD909" i="7" l="1"/>
  <c r="X909" i="7" s="1"/>
  <c r="AC909" i="7"/>
  <c r="V909" i="7" s="1"/>
  <c r="AA909" i="7"/>
  <c r="W909" i="7" l="1"/>
  <c r="T909" i="7"/>
  <c r="R910" i="7" s="1"/>
  <c r="Y909" i="7"/>
  <c r="P910" i="7" l="1"/>
  <c r="U909" i="7"/>
  <c r="Q910" i="7" s="1"/>
  <c r="AD910" i="7" l="1"/>
  <c r="X910" i="7" s="1"/>
  <c r="S910" i="7"/>
  <c r="AC910" i="7"/>
  <c r="V910" i="7" s="1"/>
  <c r="AE910" i="7"/>
  <c r="Z910" i="7" s="1"/>
  <c r="Y910" i="7" l="1"/>
  <c r="T910" i="7"/>
  <c r="P911" i="7" s="1"/>
  <c r="W910" i="7"/>
  <c r="AA910" i="7"/>
  <c r="R911" i="7" l="1"/>
  <c r="U910" i="7"/>
  <c r="S911" i="7" s="1"/>
  <c r="Q911" i="7" l="1"/>
  <c r="AC911" i="7" s="1"/>
  <c r="V911" i="7" s="1"/>
  <c r="AD911" i="7" l="1"/>
  <c r="X911" i="7" s="1"/>
  <c r="AE911" i="7"/>
  <c r="Z911" i="7" s="1"/>
  <c r="W911" i="7"/>
  <c r="Y911" i="7" l="1"/>
  <c r="T911" i="7"/>
  <c r="R912" i="7" s="1"/>
  <c r="AA911" i="7"/>
  <c r="U911" i="7" l="1"/>
  <c r="S912" i="7" s="1"/>
  <c r="P912" i="7"/>
  <c r="Q912" i="7"/>
  <c r="AC912" i="7" l="1"/>
  <c r="V912" i="7" s="1"/>
  <c r="AE912" i="7"/>
  <c r="Z912" i="7" s="1"/>
  <c r="AD912" i="7"/>
  <c r="X912" i="7" s="1"/>
  <c r="T912" i="7" l="1"/>
  <c r="P913" i="7" s="1"/>
  <c r="Y912" i="7"/>
  <c r="W912" i="7"/>
  <c r="AA912" i="7"/>
  <c r="R913" i="7" l="1"/>
  <c r="U912" i="7"/>
  <c r="Q913" i="7" s="1"/>
  <c r="AC913" i="7" l="1"/>
  <c r="V913" i="7" s="1"/>
  <c r="AD913" i="7"/>
  <c r="X913" i="7" s="1"/>
  <c r="S913" i="7"/>
  <c r="AE913" i="7"/>
  <c r="Z913" i="7" s="1"/>
  <c r="Y913" i="7" l="1"/>
  <c r="W913" i="7"/>
  <c r="T913" i="7"/>
  <c r="P914" i="7" s="1"/>
  <c r="AA913" i="7"/>
  <c r="R914" i="7" l="1"/>
  <c r="U913" i="7"/>
  <c r="Q914" i="7" s="1"/>
  <c r="AC914" i="7" s="1"/>
  <c r="V914" i="7" s="1"/>
  <c r="S914" i="7" l="1"/>
  <c r="AD914" i="7"/>
  <c r="X914" i="7" s="1"/>
  <c r="AE914" i="7"/>
  <c r="Z914" i="7" s="1"/>
  <c r="W914" i="7"/>
  <c r="Y914" i="7" l="1"/>
  <c r="T914" i="7"/>
  <c r="P915" i="7" s="1"/>
  <c r="AA914" i="7"/>
  <c r="U914" i="7" l="1"/>
  <c r="S915" i="7" s="1"/>
  <c r="R915" i="7"/>
  <c r="Q915" i="7" l="1"/>
  <c r="AD915" i="7" s="1"/>
  <c r="X915" i="7" s="1"/>
  <c r="AE915" i="7" l="1"/>
  <c r="Z915" i="7" s="1"/>
  <c r="AC915" i="7"/>
  <c r="V915" i="7" s="1"/>
  <c r="T915" i="7" s="1"/>
  <c r="Y915" i="7"/>
  <c r="AA915" i="7"/>
  <c r="W915" i="7" l="1"/>
  <c r="U915" i="7" s="1"/>
  <c r="S916" i="7" s="1"/>
  <c r="P916" i="7"/>
  <c r="R916" i="7"/>
  <c r="Q916" i="7" l="1"/>
  <c r="AE916" i="7"/>
  <c r="Z916" i="7" s="1"/>
  <c r="AC916" i="7"/>
  <c r="V916" i="7" s="1"/>
  <c r="AD916" i="7"/>
  <c r="X916" i="7" s="1"/>
  <c r="AA916" i="7" l="1"/>
  <c r="Y916" i="7"/>
  <c r="W916" i="7"/>
  <c r="T916" i="7"/>
  <c r="U916" i="7" l="1"/>
  <c r="S917" i="7" s="1"/>
  <c r="R917" i="7"/>
  <c r="P917" i="7"/>
  <c r="Q917" i="7" l="1"/>
  <c r="AD917" i="7" s="1"/>
  <c r="X917" i="7" s="1"/>
  <c r="AC917" i="7" l="1"/>
  <c r="V917" i="7" s="1"/>
  <c r="AE917" i="7"/>
  <c r="Z917" i="7" s="1"/>
  <c r="Y917" i="7"/>
  <c r="T917" i="7" l="1"/>
  <c r="W917" i="7"/>
  <c r="AA917" i="7"/>
  <c r="R918" i="7"/>
  <c r="P918" i="7"/>
  <c r="U917" i="7" l="1"/>
  <c r="S918" i="7" s="1"/>
  <c r="Q918" i="7" l="1"/>
  <c r="AD918" i="7" s="1"/>
  <c r="Y918" i="7" s="1"/>
  <c r="X918" i="7" l="1"/>
  <c r="AE918" i="7"/>
  <c r="AA918" i="7" s="1"/>
  <c r="AC918" i="7"/>
  <c r="W918" i="7" s="1"/>
  <c r="Z918" i="7" l="1"/>
  <c r="V918" i="7"/>
  <c r="T918" i="7" s="1"/>
  <c r="U918" i="7"/>
  <c r="S919" i="7" s="1"/>
  <c r="Q919" i="7" l="1"/>
  <c r="P919" i="7"/>
  <c r="R919" i="7"/>
  <c r="AD919" i="7" l="1"/>
  <c r="Y919" i="7" s="1"/>
  <c r="AE919" i="7"/>
  <c r="AA919" i="7" s="1"/>
  <c r="AC919" i="7"/>
  <c r="W919" i="7" s="1"/>
  <c r="X919" i="7" l="1"/>
  <c r="U919" i="7"/>
  <c r="S920" i="7" s="1"/>
  <c r="Z919" i="7"/>
  <c r="V919" i="7"/>
  <c r="T919" i="7" l="1"/>
  <c r="R920" i="7" s="1"/>
  <c r="Q920" i="7"/>
  <c r="P920" i="7" l="1"/>
  <c r="AD920" i="7" s="1"/>
  <c r="X920" i="7" s="1"/>
  <c r="AE920" i="7" l="1"/>
  <c r="AA920" i="7" s="1"/>
  <c r="AC920" i="7"/>
  <c r="V920" i="7" s="1"/>
  <c r="Y920" i="7"/>
  <c r="Z920" i="7"/>
  <c r="W920" i="7" l="1"/>
  <c r="U920" i="7" s="1"/>
  <c r="T920" i="7"/>
  <c r="R921" i="7" s="1"/>
  <c r="P921" i="7" l="1"/>
  <c r="S921" i="7"/>
  <c r="Q921" i="7"/>
  <c r="AD921" i="7" s="1"/>
  <c r="X921" i="7" s="1"/>
  <c r="AE921" i="7" l="1"/>
  <c r="Z921" i="7" s="1"/>
  <c r="AC921" i="7"/>
  <c r="V921" i="7" s="1"/>
  <c r="T921" i="7" s="1"/>
  <c r="R922" i="7" s="1"/>
  <c r="Y921" i="7"/>
  <c r="AA921" i="7"/>
  <c r="W921" i="7" l="1"/>
  <c r="U921" i="7" s="1"/>
  <c r="P922" i="7"/>
  <c r="Q922" i="7" l="1"/>
  <c r="S922" i="7"/>
  <c r="AC922" i="7" l="1"/>
  <c r="V922" i="7" s="1"/>
  <c r="AE922" i="7"/>
  <c r="Z922" i="7" s="1"/>
  <c r="AD922" i="7"/>
  <c r="X922" i="7" s="1"/>
  <c r="T922" i="7" l="1"/>
  <c r="W922" i="7"/>
  <c r="AA922" i="7"/>
  <c r="Y922" i="7"/>
  <c r="U922" i="7" l="1"/>
  <c r="P923" i="7"/>
  <c r="R923" i="7"/>
  <c r="S923" i="7" l="1"/>
  <c r="Q923" i="7"/>
  <c r="AC923" i="7" l="1"/>
  <c r="AE923" i="7"/>
  <c r="Z923" i="7" s="1"/>
  <c r="AD923" i="7"/>
  <c r="Y923" i="7" l="1"/>
  <c r="X923" i="7"/>
  <c r="W923" i="7"/>
  <c r="V923" i="7"/>
  <c r="AA923" i="7"/>
  <c r="T923" i="7" l="1"/>
  <c r="R924" i="7" s="1"/>
  <c r="U923" i="7"/>
  <c r="S924" i="7" s="1"/>
  <c r="P924" i="7"/>
  <c r="Q924" i="7" l="1"/>
  <c r="AE924" i="7" s="1"/>
  <c r="AA924" i="7" s="1"/>
  <c r="AC924" i="7" l="1"/>
  <c r="W924" i="7" s="1"/>
  <c r="AD924" i="7"/>
  <c r="Y924" i="7" s="1"/>
  <c r="Z924" i="7"/>
  <c r="V924" i="7" l="1"/>
  <c r="U924" i="7"/>
  <c r="Q925" i="7" s="1"/>
  <c r="X924" i="7"/>
  <c r="T924" i="7" l="1"/>
  <c r="R925" i="7" s="1"/>
  <c r="S925" i="7"/>
  <c r="P925" i="7" l="1"/>
  <c r="AC925" i="7" s="1"/>
  <c r="W925" i="7" s="1"/>
  <c r="AE925" i="7" l="1"/>
  <c r="AA925" i="7" s="1"/>
  <c r="V925" i="7"/>
  <c r="AD925" i="7"/>
  <c r="Y925" i="7" s="1"/>
  <c r="U925" i="7" l="1"/>
  <c r="S926" i="7" s="1"/>
  <c r="Z925" i="7"/>
  <c r="X925" i="7"/>
  <c r="T925" i="7" s="1"/>
  <c r="R926" i="7" s="1"/>
  <c r="Q926" i="7"/>
  <c r="P926" i="7" l="1"/>
  <c r="AE926" i="7" s="1"/>
  <c r="AA926" i="7" s="1"/>
  <c r="Z926" i="7" l="1"/>
  <c r="AD926" i="7"/>
  <c r="Y926" i="7" s="1"/>
  <c r="AC926" i="7"/>
  <c r="W926" i="7" s="1"/>
  <c r="U926" i="7" l="1"/>
  <c r="S927" i="7" s="1"/>
  <c r="V926" i="7"/>
  <c r="X926" i="7"/>
  <c r="T926" i="7" s="1"/>
  <c r="R927" i="7" s="1"/>
  <c r="Q927" i="7"/>
  <c r="P927" i="7" l="1"/>
  <c r="AE927" i="7" s="1"/>
  <c r="AA927" i="7" s="1"/>
  <c r="AC927" i="7" l="1"/>
  <c r="W927" i="7" s="1"/>
  <c r="Z927" i="7"/>
  <c r="AD927" i="7"/>
  <c r="Y927" i="7" s="1"/>
  <c r="V927" i="7" l="1"/>
  <c r="U927" i="7"/>
  <c r="S928" i="7" s="1"/>
  <c r="X927" i="7"/>
  <c r="Q928" i="7" l="1"/>
  <c r="T927" i="7"/>
  <c r="R928" i="7" s="1"/>
  <c r="P928" i="7" l="1"/>
  <c r="AC928" i="7" s="1"/>
  <c r="V928" i="7" s="1"/>
  <c r="W928" i="7" l="1"/>
  <c r="AD928" i="7"/>
  <c r="Y928" i="7" s="1"/>
  <c r="AE928" i="7"/>
  <c r="AA928" i="7" s="1"/>
  <c r="X928" i="7" l="1"/>
  <c r="U928" i="7"/>
  <c r="S929" i="7" s="1"/>
  <c r="Z928" i="7"/>
  <c r="Q929" i="7"/>
  <c r="T928" i="7" l="1"/>
  <c r="P929" i="7"/>
  <c r="AD929" i="7" s="1"/>
  <c r="X929" i="7" s="1"/>
  <c r="R929" i="7"/>
  <c r="AE929" i="7"/>
  <c r="Z929" i="7" s="1"/>
  <c r="AC929" i="7"/>
  <c r="W929" i="7" s="1"/>
  <c r="Y929" i="7"/>
  <c r="AA929" i="7" l="1"/>
  <c r="V929" i="7"/>
  <c r="T929" i="7"/>
  <c r="R930" i="7" s="1"/>
  <c r="U929" i="7"/>
  <c r="S930" i="7" s="1"/>
  <c r="P930" i="7"/>
  <c r="Q930" i="7"/>
  <c r="AD930" i="7" l="1"/>
  <c r="Y930" i="7" s="1"/>
  <c r="AE930" i="7"/>
  <c r="AA930" i="7" s="1"/>
  <c r="AC930" i="7"/>
  <c r="W930" i="7" s="1"/>
  <c r="X930" i="7" l="1"/>
  <c r="U930" i="7"/>
  <c r="Q931" i="7" s="1"/>
  <c r="Z930" i="7"/>
  <c r="V930" i="7"/>
  <c r="T930" i="7" l="1"/>
  <c r="S931" i="7"/>
  <c r="P931" i="7"/>
  <c r="R931" i="7"/>
  <c r="AE931" i="7" l="1"/>
  <c r="AA931" i="7" s="1"/>
  <c r="AC931" i="7"/>
  <c r="W931" i="7" s="1"/>
  <c r="AD931" i="7"/>
  <c r="Y931" i="7" s="1"/>
  <c r="Z931" i="7" l="1"/>
  <c r="X931" i="7"/>
  <c r="V931" i="7"/>
  <c r="U931" i="7"/>
  <c r="T931" i="7" l="1"/>
  <c r="P932" i="7" s="1"/>
  <c r="Q932" i="7"/>
  <c r="S932" i="7"/>
  <c r="R932" i="7" l="1"/>
  <c r="AE932" i="7"/>
  <c r="AD932" i="7"/>
  <c r="AC932" i="7"/>
  <c r="V932" i="7" l="1"/>
  <c r="W932" i="7"/>
  <c r="X932" i="7"/>
  <c r="Y932" i="7"/>
  <c r="Z932" i="7"/>
  <c r="AA932" i="7"/>
  <c r="U932" i="7" l="1"/>
  <c r="T932" i="7"/>
  <c r="P933" i="7" l="1"/>
  <c r="R933" i="7"/>
  <c r="S933" i="7"/>
  <c r="Q933" i="7"/>
  <c r="AE933" i="7" l="1"/>
  <c r="AD933" i="7"/>
  <c r="AC933" i="7"/>
  <c r="V933" i="7" l="1"/>
  <c r="W933" i="7"/>
  <c r="X933" i="7"/>
  <c r="Y933" i="7"/>
  <c r="Z933" i="7"/>
  <c r="AA933" i="7"/>
  <c r="U933" i="7" l="1"/>
  <c r="T933" i="7"/>
  <c r="P934" i="7" l="1"/>
  <c r="R934" i="7"/>
  <c r="Q934" i="7"/>
  <c r="S934" i="7"/>
  <c r="AD934" i="7" l="1"/>
  <c r="AC934" i="7"/>
  <c r="AE934" i="7"/>
  <c r="Z934" i="7" l="1"/>
  <c r="AA934" i="7"/>
  <c r="V934" i="7"/>
  <c r="W934" i="7"/>
  <c r="X934" i="7"/>
  <c r="Y934" i="7"/>
  <c r="U934" i="7" l="1"/>
  <c r="T934" i="7"/>
  <c r="P935" i="7" l="1"/>
  <c r="R935" i="7"/>
  <c r="S935" i="7"/>
  <c r="Q935" i="7"/>
  <c r="AC935" i="7" l="1"/>
  <c r="AD935" i="7"/>
  <c r="AE935" i="7"/>
  <c r="Z935" i="7" l="1"/>
  <c r="AA935" i="7"/>
  <c r="X935" i="7"/>
  <c r="Y935" i="7"/>
  <c r="V935" i="7"/>
  <c r="W935" i="7"/>
  <c r="T935" i="7" l="1"/>
  <c r="R936" i="7" s="1"/>
  <c r="U935" i="7"/>
  <c r="P936" i="7" l="1"/>
  <c r="S936" i="7"/>
  <c r="Q936" i="7"/>
  <c r="AC936" i="7" l="1"/>
  <c r="V936" i="7" s="1"/>
  <c r="AD936" i="7"/>
  <c r="X936" i="7" s="1"/>
  <c r="AE936" i="7"/>
  <c r="Z936" i="7" s="1"/>
  <c r="W936" i="7" l="1"/>
  <c r="T936" i="7"/>
  <c r="R937" i="7" s="1"/>
  <c r="AA936" i="7"/>
  <c r="Y936" i="7"/>
  <c r="P937" i="7" l="1"/>
  <c r="U936" i="7"/>
  <c r="S937" i="7" s="1"/>
  <c r="Q937" i="7" l="1"/>
  <c r="AC937" i="7" s="1"/>
  <c r="AE937" i="7" l="1"/>
  <c r="Z937" i="7" s="1"/>
  <c r="AD937" i="7"/>
  <c r="Y937" i="7" s="1"/>
  <c r="W937" i="7"/>
  <c r="V937" i="7"/>
  <c r="X937" i="7" l="1"/>
  <c r="T937" i="7" s="1"/>
  <c r="P938" i="7" s="1"/>
  <c r="AA937" i="7"/>
  <c r="U937" i="7" s="1"/>
  <c r="R938" i="7" l="1"/>
  <c r="Q938" i="7"/>
  <c r="AC938" i="7" s="1"/>
  <c r="V938" i="7" s="1"/>
  <c r="S938" i="7"/>
  <c r="AE938" i="7" l="1"/>
  <c r="Z938" i="7" s="1"/>
  <c r="AD938" i="7"/>
  <c r="X938" i="7" s="1"/>
  <c r="T938" i="7" s="1"/>
  <c r="W938" i="7"/>
  <c r="AA938" i="7"/>
  <c r="Y938" i="7" l="1"/>
  <c r="U938" i="7" s="1"/>
  <c r="R939" i="7"/>
  <c r="P939" i="7"/>
  <c r="S939" i="7" l="1"/>
  <c r="Q939" i="7"/>
  <c r="AC939" i="7" l="1"/>
  <c r="V939" i="7" s="1"/>
  <c r="AD939" i="7"/>
  <c r="X939" i="7" s="1"/>
  <c r="AE939" i="7"/>
  <c r="Z939" i="7" s="1"/>
  <c r="T939" i="7" l="1"/>
  <c r="P940" i="7" s="1"/>
  <c r="Y939" i="7"/>
  <c r="AA939" i="7"/>
  <c r="W939" i="7"/>
  <c r="R940" i="7" l="1"/>
  <c r="U939" i="7"/>
  <c r="S940" i="7" l="1"/>
  <c r="Q940" i="7"/>
  <c r="AC940" i="7" l="1"/>
  <c r="V940" i="7" s="1"/>
  <c r="AE940" i="7"/>
  <c r="Z940" i="7" s="1"/>
  <c r="AD940" i="7"/>
  <c r="X940" i="7" s="1"/>
  <c r="AA940" i="7" l="1"/>
  <c r="W940" i="7"/>
  <c r="T940" i="7"/>
  <c r="Y940" i="7"/>
  <c r="R941" i="7" l="1"/>
  <c r="P941" i="7"/>
  <c r="U940" i="7"/>
  <c r="S941" i="7" l="1"/>
  <c r="Q941" i="7"/>
  <c r="AE941" i="7" s="1"/>
  <c r="Z941" i="7" s="1"/>
  <c r="AA941" i="7" l="1"/>
  <c r="AD941" i="7"/>
  <c r="X941" i="7" s="1"/>
  <c r="AC941" i="7"/>
  <c r="V941" i="7" s="1"/>
  <c r="T941" i="7" l="1"/>
  <c r="P942" i="7" s="1"/>
  <c r="W941" i="7"/>
  <c r="Y941" i="7"/>
  <c r="R942" i="7" l="1"/>
  <c r="U941" i="7"/>
  <c r="S942" i="7" l="1"/>
  <c r="Q942" i="7"/>
  <c r="AC942" i="7" l="1"/>
  <c r="V942" i="7" s="1"/>
  <c r="AE942" i="7"/>
  <c r="Z942" i="7" s="1"/>
  <c r="AD942" i="7"/>
  <c r="X942" i="7" s="1"/>
  <c r="T942" i="7" l="1"/>
  <c r="W942" i="7"/>
  <c r="Y942" i="7"/>
  <c r="AA942" i="7"/>
  <c r="U942" i="7" l="1"/>
  <c r="P943" i="7"/>
  <c r="R943" i="7"/>
  <c r="Q943" i="7" l="1"/>
  <c r="AE943" i="7" s="1"/>
  <c r="Z943" i="7" s="1"/>
  <c r="S943" i="7"/>
  <c r="AA943" i="7" l="1"/>
  <c r="AD943" i="7"/>
  <c r="X943" i="7" s="1"/>
  <c r="AC943" i="7"/>
  <c r="V943" i="7" s="1"/>
  <c r="T943" i="7" l="1"/>
  <c r="R944" i="7" s="1"/>
  <c r="W943" i="7"/>
  <c r="Y943" i="7"/>
  <c r="P944" i="7" l="1"/>
  <c r="U943" i="7"/>
  <c r="S944" i="7" l="1"/>
  <c r="Q944" i="7"/>
  <c r="AC944" i="7" l="1"/>
  <c r="V944" i="7" s="1"/>
  <c r="AD944" i="7"/>
  <c r="X944" i="7" s="1"/>
  <c r="AE944" i="7"/>
  <c r="Z944" i="7" s="1"/>
  <c r="T944" i="7" l="1"/>
  <c r="R945" i="7" s="1"/>
  <c r="AA944" i="7"/>
  <c r="W944" i="7"/>
  <c r="Y944" i="7"/>
  <c r="P945" i="7" l="1"/>
  <c r="U944" i="7"/>
  <c r="Q945" i="7" l="1"/>
  <c r="S945" i="7"/>
  <c r="AD945" i="7" l="1"/>
  <c r="X945" i="7" s="1"/>
  <c r="AC945" i="7"/>
  <c r="V945" i="7" s="1"/>
  <c r="AE945" i="7"/>
  <c r="Z945" i="7" s="1"/>
  <c r="T945" i="7" l="1"/>
  <c r="R946" i="7" s="1"/>
  <c r="Y945" i="7"/>
  <c r="AA945" i="7"/>
  <c r="W945" i="7"/>
  <c r="P946" i="7" l="1"/>
  <c r="U945" i="7"/>
  <c r="S946" i="7" l="1"/>
  <c r="Q946" i="7"/>
  <c r="AD946" i="7" l="1"/>
  <c r="X946" i="7" s="1"/>
  <c r="AC946" i="7"/>
  <c r="V946" i="7" s="1"/>
  <c r="AE946" i="7"/>
  <c r="Z946" i="7" s="1"/>
  <c r="AA946" i="7" l="1"/>
  <c r="T946" i="7"/>
  <c r="Y946" i="7"/>
  <c r="W946" i="7"/>
  <c r="U946" i="7" l="1"/>
  <c r="P947" i="7"/>
  <c r="R947" i="7"/>
  <c r="Q947" i="7" l="1"/>
  <c r="AC947" i="7" s="1"/>
  <c r="V947" i="7" s="1"/>
  <c r="S947" i="7"/>
  <c r="AE947" i="7" l="1"/>
  <c r="Z947" i="7" s="1"/>
  <c r="W947" i="7"/>
  <c r="AD947" i="7"/>
  <c r="X947" i="7" s="1"/>
  <c r="T947" i="7" l="1"/>
  <c r="P948" i="7" s="1"/>
  <c r="AA947" i="7"/>
  <c r="Y947" i="7"/>
  <c r="R948" i="7" l="1"/>
  <c r="U947" i="7"/>
  <c r="S948" i="7" s="1"/>
  <c r="Q948" i="7" l="1"/>
  <c r="AD948" i="7" s="1"/>
  <c r="X948" i="7" s="1"/>
  <c r="AE948" i="7" l="1"/>
  <c r="Z948" i="7" s="1"/>
  <c r="AC948" i="7"/>
  <c r="V948" i="7" s="1"/>
  <c r="T948" i="7" s="1"/>
  <c r="R949" i="7" s="1"/>
  <c r="Y948" i="7"/>
  <c r="AA948" i="7"/>
  <c r="W948" i="7" l="1"/>
  <c r="U948" i="7" s="1"/>
  <c r="Q949" i="7" s="1"/>
  <c r="P949" i="7"/>
  <c r="AE949" i="7" l="1"/>
  <c r="Z949" i="7" s="1"/>
  <c r="S949" i="7"/>
  <c r="AC949" i="7"/>
  <c r="V949" i="7" s="1"/>
  <c r="AD949" i="7"/>
  <c r="X949" i="7" s="1"/>
  <c r="AA949" i="7" l="1"/>
  <c r="W949" i="7"/>
  <c r="T949" i="7"/>
  <c r="Y949" i="7"/>
  <c r="R950" i="7"/>
  <c r="P950" i="7"/>
  <c r="U949" i="7" l="1"/>
  <c r="S950" i="7" s="1"/>
  <c r="Q950" i="7" l="1"/>
  <c r="AE950" i="7" s="1"/>
  <c r="Z950" i="7" s="1"/>
  <c r="AD950" i="7" l="1"/>
  <c r="X950" i="7" s="1"/>
  <c r="AC950" i="7"/>
  <c r="V950" i="7" s="1"/>
  <c r="AA950" i="7"/>
  <c r="Y950" i="7"/>
  <c r="T950" i="7" l="1"/>
  <c r="R951" i="7" s="1"/>
  <c r="W950" i="7"/>
  <c r="U950" i="7" s="1"/>
  <c r="Q951" i="7" s="1"/>
  <c r="P951" i="7"/>
  <c r="S951" i="7" l="1"/>
  <c r="AE951" i="7"/>
  <c r="Z951" i="7" s="1"/>
  <c r="AC951" i="7"/>
  <c r="V951" i="7" s="1"/>
  <c r="AD951" i="7"/>
  <c r="X951" i="7" s="1"/>
  <c r="AA951" i="7" l="1"/>
  <c r="Y951" i="7"/>
  <c r="T951" i="7"/>
  <c r="R952" i="7" s="1"/>
  <c r="W951" i="7"/>
  <c r="P952" i="7" l="1"/>
  <c r="U951" i="7"/>
  <c r="S952" i="7" s="1"/>
  <c r="Q952" i="7" l="1"/>
  <c r="AE952" i="7"/>
  <c r="AA952" i="7" s="1"/>
  <c r="AD952" i="7"/>
  <c r="Y952" i="7" s="1"/>
  <c r="AC952" i="7"/>
  <c r="W952" i="7" s="1"/>
  <c r="Z952" i="7" l="1"/>
  <c r="X952" i="7"/>
  <c r="U952" i="7"/>
  <c r="Q953" i="7" s="1"/>
  <c r="V952" i="7"/>
  <c r="T952" i="7" l="1"/>
  <c r="R953" i="7" s="1"/>
  <c r="S953" i="7"/>
  <c r="P953" i="7" l="1"/>
  <c r="AD953" i="7" s="1"/>
  <c r="Y953" i="7" s="1"/>
  <c r="X953" i="7" l="1"/>
  <c r="AE953" i="7"/>
  <c r="AA953" i="7" s="1"/>
  <c r="AC953" i="7"/>
  <c r="W953" i="7" s="1"/>
  <c r="U953" i="7" s="1"/>
  <c r="S954" i="7" s="1"/>
  <c r="Z953" i="7"/>
  <c r="V953" i="7" l="1"/>
  <c r="T953" i="7"/>
  <c r="P954" i="7" s="1"/>
  <c r="Q954" i="7"/>
  <c r="AE954" i="7" l="1"/>
  <c r="AA954" i="7" s="1"/>
  <c r="R954" i="7"/>
  <c r="AD954" i="7"/>
  <c r="X954" i="7" s="1"/>
  <c r="AC954" i="7"/>
  <c r="V954" i="7" s="1"/>
  <c r="Z954" i="7" l="1"/>
  <c r="T954" i="7" s="1"/>
  <c r="P955" i="7" s="1"/>
  <c r="W954" i="7"/>
  <c r="Y954" i="7"/>
  <c r="U954" i="7" l="1"/>
  <c r="S955" i="7" s="1"/>
  <c r="R955" i="7"/>
  <c r="Q955" i="7" l="1"/>
  <c r="AC955" i="7" s="1"/>
  <c r="V955" i="7" s="1"/>
  <c r="AE955" i="7" l="1"/>
  <c r="Z955" i="7" s="1"/>
  <c r="W955" i="7"/>
  <c r="AD955" i="7"/>
  <c r="X955" i="7" s="1"/>
  <c r="AA955" i="7" l="1"/>
  <c r="T955" i="7"/>
  <c r="Y955" i="7"/>
  <c r="U955" i="7" s="1"/>
  <c r="Q956" i="7" s="1"/>
  <c r="P956" i="7"/>
  <c r="R956" i="7"/>
  <c r="S956" i="7" l="1"/>
  <c r="AC956" i="7"/>
  <c r="W956" i="7" s="1"/>
  <c r="AE956" i="7"/>
  <c r="AA956" i="7" s="1"/>
  <c r="AD956" i="7"/>
  <c r="Y956" i="7" s="1"/>
  <c r="V956" i="7" l="1"/>
  <c r="Z956" i="7"/>
  <c r="X956" i="7"/>
  <c r="U956" i="7"/>
  <c r="T956" i="7" l="1"/>
  <c r="R957" i="7" s="1"/>
  <c r="Q957" i="7"/>
  <c r="S957" i="7"/>
  <c r="P957" i="7" l="1"/>
  <c r="AD957" i="7" s="1"/>
  <c r="X957" i="7" l="1"/>
  <c r="Y957" i="7"/>
  <c r="AE957" i="7"/>
  <c r="Z957" i="7" s="1"/>
  <c r="AC957" i="7"/>
  <c r="V957" i="7" s="1"/>
  <c r="W957" i="7" l="1"/>
  <c r="T957" i="7"/>
  <c r="R958" i="7" s="1"/>
  <c r="AA957" i="7"/>
  <c r="P958" i="7" l="1"/>
  <c r="U957" i="7"/>
  <c r="Q958" i="7" s="1"/>
  <c r="AE958" i="7" s="1"/>
  <c r="Z958" i="7" s="1"/>
  <c r="AD958" i="7" l="1"/>
  <c r="X958" i="7" s="1"/>
  <c r="AC958" i="7"/>
  <c r="W958" i="7" s="1"/>
  <c r="S958" i="7"/>
  <c r="AA958" i="7"/>
  <c r="V958" i="7" l="1"/>
  <c r="T958" i="7" s="1"/>
  <c r="R959" i="7" s="1"/>
  <c r="Y958" i="7"/>
  <c r="U958" i="7" s="1"/>
  <c r="P959" i="7" l="1"/>
  <c r="S959" i="7"/>
  <c r="Q959" i="7"/>
  <c r="AD959" i="7" l="1"/>
  <c r="X959" i="7" s="1"/>
  <c r="AE959" i="7"/>
  <c r="Z959" i="7" s="1"/>
  <c r="AC959" i="7"/>
  <c r="V959" i="7" s="1"/>
  <c r="Y959" i="7" l="1"/>
  <c r="T959" i="7"/>
  <c r="P960" i="7" s="1"/>
  <c r="AA959" i="7"/>
  <c r="W959" i="7"/>
  <c r="R960" i="7" l="1"/>
  <c r="U959" i="7"/>
  <c r="Q960" i="7" s="1"/>
  <c r="S960" i="7" l="1"/>
  <c r="AD960" i="7"/>
  <c r="AC960" i="7"/>
  <c r="AE960" i="7"/>
  <c r="Z960" i="7" l="1"/>
  <c r="AA960" i="7"/>
  <c r="V960" i="7"/>
  <c r="W960" i="7"/>
  <c r="X960" i="7"/>
  <c r="Y960" i="7"/>
  <c r="T960" i="7" l="1"/>
  <c r="U960" i="7"/>
  <c r="Q961" i="7" l="1"/>
  <c r="S961" i="7"/>
  <c r="P961" i="7"/>
  <c r="R961" i="7"/>
  <c r="AE961" i="7" l="1"/>
  <c r="Z961" i="7" s="1"/>
  <c r="AD961" i="7"/>
  <c r="AC961" i="7"/>
  <c r="V961" i="7" s="1"/>
  <c r="AA961" i="7" l="1"/>
  <c r="W961" i="7"/>
  <c r="X961" i="7"/>
  <c r="T961" i="7" s="1"/>
  <c r="Y961" i="7"/>
  <c r="U961" i="7" l="1"/>
  <c r="S962" i="7" s="1"/>
  <c r="R962" i="7"/>
  <c r="P962" i="7"/>
  <c r="Q962" i="7" l="1"/>
  <c r="AC962" i="7" s="1"/>
  <c r="W962" i="7" s="1"/>
  <c r="AE962" i="7" l="1"/>
  <c r="AA962" i="7" s="1"/>
  <c r="AD962" i="7"/>
  <c r="X962" i="7" s="1"/>
  <c r="Z962" i="7"/>
  <c r="V962" i="7"/>
  <c r="Y962" i="7" l="1"/>
  <c r="U962" i="7" s="1"/>
  <c r="S963" i="7" s="1"/>
  <c r="T962" i="7"/>
  <c r="R963" i="7" s="1"/>
  <c r="Q963" i="7" l="1"/>
  <c r="P963" i="7"/>
  <c r="AE963" i="7" l="1"/>
  <c r="Z963" i="7" s="1"/>
  <c r="AD963" i="7"/>
  <c r="Y963" i="7" s="1"/>
  <c r="AC963" i="7"/>
  <c r="V963" i="7" s="1"/>
  <c r="AA963" i="7"/>
  <c r="X963" i="7" l="1"/>
  <c r="T963" i="7" s="1"/>
  <c r="P964" i="7" s="1"/>
  <c r="W963" i="7"/>
  <c r="U963" i="7" s="1"/>
  <c r="S964" i="7" s="1"/>
  <c r="R964" i="7" l="1"/>
  <c r="Q964" i="7"/>
  <c r="AD964" i="7" s="1"/>
  <c r="X964" i="7" s="1"/>
  <c r="AE964" i="7" l="1"/>
  <c r="Z964" i="7" s="1"/>
  <c r="AC964" i="7"/>
  <c r="V964" i="7" s="1"/>
  <c r="Y964" i="7"/>
  <c r="T964" i="7" l="1"/>
  <c r="R965" i="7" s="1"/>
  <c r="W964" i="7"/>
  <c r="AA964" i="7"/>
  <c r="P965" i="7" l="1"/>
  <c r="U964" i="7"/>
  <c r="Q965" i="7" s="1"/>
  <c r="S965" i="7" l="1"/>
  <c r="AD965" i="7"/>
  <c r="AC965" i="7"/>
  <c r="V965" i="7" s="1"/>
  <c r="AE965" i="7"/>
  <c r="Z965" i="7" s="1"/>
  <c r="Y965" i="7" l="1"/>
  <c r="X965" i="7"/>
  <c r="T965" i="7" s="1"/>
  <c r="AA965" i="7"/>
  <c r="W965" i="7"/>
  <c r="U965" i="7" l="1"/>
  <c r="S966" i="7" s="1"/>
  <c r="R966" i="7"/>
  <c r="P966" i="7"/>
  <c r="Q966" i="7" l="1"/>
  <c r="AE966" i="7" s="1"/>
  <c r="Z966" i="7" s="1"/>
  <c r="AD966" i="7" l="1"/>
  <c r="X966" i="7" s="1"/>
  <c r="AC966" i="7"/>
  <c r="V966" i="7" s="1"/>
  <c r="AA966" i="7"/>
  <c r="T966" i="7" l="1"/>
  <c r="Y966" i="7"/>
  <c r="W966" i="7"/>
  <c r="R967" i="7"/>
  <c r="P967" i="7"/>
  <c r="U966" i="7" l="1"/>
  <c r="Q967" i="7" s="1"/>
  <c r="AE967" i="7" s="1"/>
  <c r="AA967" i="7" s="1"/>
  <c r="AD967" i="7" l="1"/>
  <c r="Y967" i="7" s="1"/>
  <c r="AC967" i="7"/>
  <c r="W967" i="7" s="1"/>
  <c r="U967" i="7" s="1"/>
  <c r="S967" i="7"/>
  <c r="Z967" i="7"/>
  <c r="X967" i="7"/>
  <c r="V967" i="7" l="1"/>
  <c r="T967" i="7" s="1"/>
  <c r="P968" i="7" s="1"/>
  <c r="Q968" i="7"/>
  <c r="S968" i="7"/>
  <c r="R968" i="7" l="1"/>
  <c r="AC968" i="7"/>
  <c r="W968" i="7" s="1"/>
  <c r="AE968" i="7"/>
  <c r="AA968" i="7" s="1"/>
  <c r="AD968" i="7"/>
  <c r="Y968" i="7" s="1"/>
  <c r="X968" i="7" l="1"/>
  <c r="V968" i="7"/>
  <c r="U968" i="7"/>
  <c r="Z968" i="7"/>
  <c r="S969" i="7" l="1"/>
  <c r="Q969" i="7"/>
  <c r="T968" i="7"/>
  <c r="R969" i="7" l="1"/>
  <c r="P969" i="7"/>
  <c r="AE969" i="7" s="1"/>
  <c r="AA969" i="7" s="1"/>
  <c r="AD969" i="7" l="1"/>
  <c r="Y969" i="7" s="1"/>
  <c r="AC969" i="7"/>
  <c r="W969" i="7" s="1"/>
  <c r="Z969" i="7"/>
  <c r="X969" i="7" l="1"/>
  <c r="U969" i="7"/>
  <c r="Q970" i="7" s="1"/>
  <c r="V969" i="7"/>
  <c r="S970" i="7" l="1"/>
  <c r="T969" i="7"/>
  <c r="R970" i="7" s="1"/>
  <c r="P970" i="7" l="1"/>
  <c r="AE970" i="7" s="1"/>
  <c r="AA970" i="7" s="1"/>
  <c r="AC970" i="7" l="1"/>
  <c r="W970" i="7" s="1"/>
  <c r="AD970" i="7"/>
  <c r="Y970" i="7" s="1"/>
  <c r="Z970" i="7"/>
  <c r="V970" i="7" l="1"/>
  <c r="X970" i="7"/>
  <c r="U970" i="7"/>
  <c r="S971" i="7" s="1"/>
  <c r="Q971" i="7" l="1"/>
  <c r="T970" i="7"/>
  <c r="R971" i="7" s="1"/>
  <c r="P971" i="7" l="1"/>
  <c r="AE971" i="7" s="1"/>
  <c r="AA971" i="7" s="1"/>
  <c r="Z971" i="7" l="1"/>
  <c r="AD971" i="7"/>
  <c r="Y971" i="7" s="1"/>
  <c r="AC971" i="7"/>
  <c r="W971" i="7" s="1"/>
  <c r="X971" i="7" l="1"/>
  <c r="U971" i="7"/>
  <c r="S972" i="7" s="1"/>
  <c r="V971" i="7"/>
  <c r="T971" i="7" s="1"/>
  <c r="Q972" i="7"/>
  <c r="R972" i="7" l="1"/>
  <c r="P972" i="7"/>
  <c r="AE972" i="7" s="1"/>
  <c r="AA972" i="7" s="1"/>
  <c r="AC972" i="7"/>
  <c r="W972" i="7" s="1"/>
  <c r="AD972" i="7" l="1"/>
  <c r="Y972" i="7" s="1"/>
  <c r="U972" i="7" s="1"/>
  <c r="Z972" i="7"/>
  <c r="X972" i="7"/>
  <c r="V972" i="7"/>
  <c r="S973" i="7" l="1"/>
  <c r="Q973" i="7"/>
  <c r="T972" i="7"/>
  <c r="R973" i="7" s="1"/>
  <c r="P973" i="7" l="1"/>
  <c r="AD973" i="7" s="1"/>
  <c r="AE973" i="7" l="1"/>
  <c r="Z973" i="7" s="1"/>
  <c r="AC973" i="7"/>
  <c r="W973" i="7" s="1"/>
  <c r="X973" i="7"/>
  <c r="Y973" i="7"/>
  <c r="AA973" i="7" l="1"/>
  <c r="U973" i="7" s="1"/>
  <c r="V973" i="7"/>
  <c r="T973" i="7" s="1"/>
  <c r="S974" i="7" l="1"/>
  <c r="Q974" i="7"/>
  <c r="R974" i="7"/>
  <c r="P974" i="7"/>
  <c r="AD974" i="7" l="1"/>
  <c r="X974" i="7" s="1"/>
  <c r="AE974" i="7"/>
  <c r="Z974" i="7" s="1"/>
  <c r="AC974" i="7"/>
  <c r="V974" i="7" s="1"/>
  <c r="Y974" i="7" l="1"/>
  <c r="W974" i="7"/>
  <c r="AA974" i="7"/>
  <c r="T974" i="7"/>
  <c r="R975" i="7" s="1"/>
  <c r="U974" i="7" l="1"/>
  <c r="Q975" i="7" s="1"/>
  <c r="P975" i="7"/>
  <c r="AE975" i="7" l="1"/>
  <c r="Z975" i="7" s="1"/>
  <c r="AD975" i="7"/>
  <c r="X975" i="7" s="1"/>
  <c r="AC975" i="7"/>
  <c r="V975" i="7" s="1"/>
  <c r="S975" i="7"/>
  <c r="Y975" i="7" l="1"/>
  <c r="AA975" i="7"/>
  <c r="W975" i="7"/>
  <c r="T975" i="7"/>
  <c r="P976" i="7" s="1"/>
  <c r="U975" i="7" l="1"/>
  <c r="S976" i="7" s="1"/>
  <c r="R976" i="7"/>
  <c r="Q976" i="7" l="1"/>
  <c r="AC976" i="7" s="1"/>
  <c r="V976" i="7" s="1"/>
  <c r="AD976" i="7"/>
  <c r="Y976" i="7" s="1"/>
  <c r="AE976" i="7" l="1"/>
  <c r="AA976" i="7" s="1"/>
  <c r="W976" i="7"/>
  <c r="X976" i="7"/>
  <c r="U976" i="7" l="1"/>
  <c r="S977" i="7" s="1"/>
  <c r="Z976" i="7"/>
  <c r="T976" i="7" s="1"/>
  <c r="Q977" i="7"/>
  <c r="P977" i="7" l="1"/>
  <c r="R977" i="7"/>
  <c r="AD977" i="7"/>
  <c r="Y977" i="7" s="1"/>
  <c r="AC977" i="7"/>
  <c r="W977" i="7" s="1"/>
  <c r="AE977" i="7"/>
  <c r="AA977" i="7" s="1"/>
  <c r="X977" i="7" l="1"/>
  <c r="Z977" i="7"/>
  <c r="U977" i="7"/>
  <c r="S978" i="7" s="1"/>
  <c r="V977" i="7"/>
  <c r="Q978" i="7"/>
  <c r="T977" i="7" l="1"/>
  <c r="R978" i="7"/>
  <c r="P978" i="7"/>
  <c r="AE978" i="7" l="1"/>
  <c r="AD978" i="7"/>
  <c r="AC978" i="7"/>
  <c r="V978" i="7" l="1"/>
  <c r="W978" i="7"/>
  <c r="X978" i="7"/>
  <c r="Y978" i="7"/>
  <c r="Z978" i="7"/>
  <c r="AA978" i="7"/>
  <c r="U978" i="7" l="1"/>
  <c r="T978" i="7"/>
  <c r="P979" i="7" l="1"/>
  <c r="R979" i="7"/>
  <c r="Q979" i="7"/>
  <c r="S979" i="7"/>
  <c r="AC979" i="7" l="1"/>
  <c r="W979" i="7" s="1"/>
  <c r="AE979" i="7"/>
  <c r="AA979" i="7" s="1"/>
  <c r="AD979" i="7"/>
  <c r="X979" i="7" s="1"/>
  <c r="V979" i="7" l="1"/>
  <c r="Z979" i="7"/>
  <c r="Y979" i="7"/>
  <c r="U979" i="7" s="1"/>
  <c r="T979" i="7" l="1"/>
  <c r="P980" i="7" s="1"/>
  <c r="S980" i="7"/>
  <c r="Q980" i="7"/>
  <c r="R980" i="7" l="1"/>
  <c r="AC980" i="7"/>
  <c r="V980" i="7" s="1"/>
  <c r="AD980" i="7"/>
  <c r="X980" i="7" s="1"/>
  <c r="AE980" i="7"/>
  <c r="Z980" i="7" s="1"/>
  <c r="Y980" i="7" l="1"/>
  <c r="W980" i="7"/>
  <c r="AA980" i="7"/>
  <c r="T980" i="7"/>
  <c r="U980" i="7" l="1"/>
  <c r="S981" i="7" s="1"/>
  <c r="R981" i="7"/>
  <c r="P981" i="7"/>
  <c r="Q981" i="7" l="1"/>
  <c r="AD981" i="7" s="1"/>
  <c r="X981" i="7" s="1"/>
  <c r="AC981" i="7" l="1"/>
  <c r="V981" i="7" s="1"/>
  <c r="AE981" i="7"/>
  <c r="Z981" i="7" s="1"/>
  <c r="Y981" i="7"/>
  <c r="T981" i="7" l="1"/>
  <c r="R982" i="7" s="1"/>
  <c r="AA981" i="7"/>
  <c r="W981" i="7"/>
  <c r="P982" i="7"/>
  <c r="U981" i="7" l="1"/>
  <c r="Q982" i="7" s="1"/>
  <c r="AD982" i="7" s="1"/>
  <c r="X982" i="7" s="1"/>
  <c r="S982" i="7" l="1"/>
  <c r="AE982" i="7"/>
  <c r="Z982" i="7" s="1"/>
  <c r="AC982" i="7"/>
  <c r="V982" i="7" s="1"/>
  <c r="Y982" i="7"/>
  <c r="T982" i="7" l="1"/>
  <c r="P983" i="7" s="1"/>
  <c r="AA982" i="7"/>
  <c r="W982" i="7"/>
  <c r="R983" i="7" l="1"/>
  <c r="U982" i="7"/>
  <c r="S983" i="7" s="1"/>
  <c r="Q983" i="7" l="1"/>
  <c r="AE983" i="7" s="1"/>
  <c r="Z983" i="7" s="1"/>
  <c r="AD983" i="7"/>
  <c r="X983" i="7" s="1"/>
  <c r="AC983" i="7"/>
  <c r="V983" i="7" s="1"/>
  <c r="AA983" i="7" l="1"/>
  <c r="T983" i="7"/>
  <c r="P984" i="7" s="1"/>
  <c r="Y983" i="7"/>
  <c r="R984" i="7"/>
  <c r="W983" i="7"/>
  <c r="U983" i="7" l="1"/>
  <c r="Q984" i="7" s="1"/>
  <c r="S984" i="7" l="1"/>
  <c r="AC984" i="7"/>
  <c r="AE984" i="7"/>
  <c r="AD984" i="7"/>
  <c r="X984" i="7" l="1"/>
  <c r="Y984" i="7"/>
  <c r="Z984" i="7"/>
  <c r="AA984" i="7"/>
  <c r="V984" i="7"/>
  <c r="W984" i="7"/>
  <c r="T984" i="7" l="1"/>
  <c r="R985" i="7" s="1"/>
  <c r="U984" i="7"/>
  <c r="P985" i="7" l="1"/>
  <c r="S985" i="7"/>
  <c r="Q985" i="7"/>
  <c r="AD985" i="7" l="1"/>
  <c r="X985" i="7" s="1"/>
  <c r="AE985" i="7"/>
  <c r="AC985" i="7"/>
  <c r="Z985" i="7" l="1"/>
  <c r="AA985" i="7"/>
  <c r="Y985" i="7"/>
  <c r="V985" i="7"/>
  <c r="T985" i="7" s="1"/>
  <c r="W985" i="7"/>
  <c r="U985" i="7" l="1"/>
  <c r="S986" i="7" s="1"/>
  <c r="Q986" i="7"/>
  <c r="R986" i="7"/>
  <c r="P986" i="7"/>
  <c r="AC986" i="7" l="1"/>
  <c r="V986" i="7" s="1"/>
  <c r="AD986" i="7"/>
  <c r="X986" i="7" s="1"/>
  <c r="AE986" i="7"/>
  <c r="Z986" i="7" s="1"/>
  <c r="T986" i="7" l="1"/>
  <c r="W986" i="7"/>
  <c r="Y986" i="7"/>
  <c r="AA986" i="7"/>
  <c r="R987" i="7"/>
  <c r="P987" i="7"/>
  <c r="U986" i="7" l="1"/>
  <c r="S987" i="7" s="1"/>
  <c r="Q987" i="7" l="1"/>
  <c r="AE987" i="7"/>
  <c r="Z987" i="7" s="1"/>
  <c r="AD987" i="7"/>
  <c r="AC987" i="7"/>
  <c r="AA987" i="7" l="1"/>
  <c r="X987" i="7"/>
  <c r="Y987" i="7"/>
  <c r="V987" i="7"/>
  <c r="W987" i="7"/>
  <c r="T987" i="7" l="1"/>
  <c r="P988" i="7" s="1"/>
  <c r="U987" i="7"/>
  <c r="S988" i="7" s="1"/>
  <c r="R988" i="7" l="1"/>
  <c r="Q988" i="7"/>
  <c r="AC988" i="7" s="1"/>
  <c r="AE988" i="7" l="1"/>
  <c r="Z988" i="7" s="1"/>
  <c r="AD988" i="7"/>
  <c r="X988" i="7" s="1"/>
  <c r="V988" i="7"/>
  <c r="W988" i="7"/>
  <c r="Y988" i="7" l="1"/>
  <c r="AA988" i="7"/>
  <c r="T988" i="7"/>
  <c r="P989" i="7" s="1"/>
  <c r="U988" i="7" l="1"/>
  <c r="S989" i="7" s="1"/>
  <c r="R989" i="7"/>
  <c r="Q989" i="7"/>
  <c r="AE989" i="7" s="1"/>
  <c r="AA989" i="7" s="1"/>
  <c r="Z989" i="7" l="1"/>
  <c r="AC989" i="7"/>
  <c r="W989" i="7" s="1"/>
  <c r="AD989" i="7"/>
  <c r="Y989" i="7" s="1"/>
  <c r="V989" i="7" l="1"/>
  <c r="U989" i="7"/>
  <c r="X989" i="7"/>
  <c r="T989" i="7" s="1"/>
  <c r="P990" i="7" s="1"/>
  <c r="Q990" i="7"/>
  <c r="S990" i="7"/>
  <c r="R990" i="7" l="1"/>
  <c r="AC990" i="7"/>
  <c r="AD990" i="7"/>
  <c r="AE990" i="7"/>
  <c r="AA990" i="7" l="1"/>
  <c r="Z990" i="7"/>
  <c r="Y990" i="7"/>
  <c r="X990" i="7"/>
  <c r="W990" i="7"/>
  <c r="V990" i="7"/>
  <c r="T990" i="7" l="1"/>
  <c r="R991" i="7" s="1"/>
  <c r="U990" i="7"/>
  <c r="Q991" i="7" s="1"/>
  <c r="S991" i="7" l="1"/>
  <c r="P991" i="7"/>
  <c r="AE991" i="7" s="1"/>
  <c r="AC991" i="7" l="1"/>
  <c r="V991" i="7" s="1"/>
  <c r="AD991" i="7"/>
  <c r="Y991" i="7" s="1"/>
  <c r="Z991" i="7"/>
  <c r="AA991" i="7"/>
  <c r="X991" i="7" l="1"/>
  <c r="T991" i="7" s="1"/>
  <c r="W991" i="7"/>
  <c r="U991" i="7" s="1"/>
  <c r="Q992" i="7" l="1"/>
  <c r="S992" i="7"/>
  <c r="R992" i="7"/>
  <c r="P992" i="7"/>
  <c r="AE992" i="7" l="1"/>
  <c r="AD992" i="7"/>
  <c r="AC992" i="7"/>
  <c r="V992" i="7" s="1"/>
  <c r="W992" i="7" l="1"/>
  <c r="X992" i="7"/>
  <c r="Y992" i="7"/>
  <c r="Z992" i="7"/>
  <c r="AA992" i="7"/>
  <c r="T992" i="7" l="1"/>
  <c r="P993" i="7" s="1"/>
  <c r="U992" i="7"/>
  <c r="R993" i="7" l="1"/>
  <c r="Q993" i="7"/>
  <c r="AE993" i="7" s="1"/>
  <c r="Z993" i="7" s="1"/>
  <c r="S993" i="7"/>
  <c r="AD993" i="7" l="1"/>
  <c r="Y993" i="7" s="1"/>
  <c r="AC993" i="7"/>
  <c r="V993" i="7" s="1"/>
  <c r="AA993" i="7"/>
  <c r="X993" i="7" l="1"/>
  <c r="T993" i="7" s="1"/>
  <c r="W993" i="7"/>
  <c r="U993" i="7" s="1"/>
  <c r="R994" i="7" l="1"/>
  <c r="P994" i="7"/>
  <c r="Q994" i="7"/>
  <c r="S994" i="7"/>
  <c r="AD994" i="7" l="1"/>
  <c r="Y994" i="7" s="1"/>
  <c r="AC994" i="7"/>
  <c r="V994" i="7" s="1"/>
  <c r="AE994" i="7"/>
  <c r="Z994" i="7" s="1"/>
  <c r="X994" i="7" l="1"/>
  <c r="T994" i="7" s="1"/>
  <c r="W994" i="7"/>
  <c r="AA994" i="7"/>
  <c r="U994" i="7" l="1"/>
  <c r="Q995" i="7"/>
  <c r="S995" i="7"/>
  <c r="R995" i="7"/>
  <c r="P995" i="7"/>
  <c r="AC995" i="7" l="1"/>
  <c r="AD995" i="7"/>
  <c r="AE995" i="7"/>
  <c r="Z995" i="7" l="1"/>
  <c r="AA995" i="7"/>
  <c r="X995" i="7"/>
  <c r="Y995" i="7"/>
  <c r="W995" i="7"/>
  <c r="V995" i="7"/>
  <c r="T995" i="7" l="1"/>
  <c r="U995" i="7"/>
  <c r="Q996" i="7" l="1"/>
  <c r="S996" i="7"/>
  <c r="R996" i="7"/>
  <c r="P996" i="7"/>
  <c r="AE996" i="7" l="1"/>
  <c r="Z996" i="7" s="1"/>
  <c r="AC996" i="7"/>
  <c r="V996" i="7" s="1"/>
  <c r="AD996" i="7"/>
  <c r="X996" i="7" s="1"/>
  <c r="W996" i="7" l="1"/>
  <c r="Y996" i="7"/>
  <c r="AA996" i="7"/>
  <c r="T996" i="7"/>
  <c r="U996" i="7" l="1"/>
  <c r="Q997" i="7" s="1"/>
  <c r="R997" i="7"/>
  <c r="P997" i="7"/>
  <c r="S997" i="7" l="1"/>
  <c r="AE997" i="7"/>
  <c r="AA997" i="7" s="1"/>
  <c r="AC997" i="7"/>
  <c r="AD997" i="7"/>
  <c r="Z997" i="7" l="1"/>
  <c r="W997" i="7"/>
  <c r="V997" i="7"/>
  <c r="Y997" i="7"/>
  <c r="X997" i="7"/>
  <c r="T997" i="7" l="1"/>
  <c r="R998" i="7" s="1"/>
  <c r="U997" i="7"/>
  <c r="P998" i="7" l="1"/>
  <c r="S998" i="7"/>
  <c r="Q998" i="7"/>
  <c r="AC998" i="7" l="1"/>
  <c r="W998" i="7" s="1"/>
  <c r="AD998" i="7"/>
  <c r="Y998" i="7" s="1"/>
  <c r="AE998" i="7"/>
  <c r="AA998" i="7" s="1"/>
  <c r="V998" i="7" l="1"/>
  <c r="X998" i="7"/>
  <c r="Z998" i="7"/>
  <c r="U998" i="7"/>
  <c r="S999" i="7" s="1"/>
  <c r="T998" i="7" l="1"/>
  <c r="P999" i="7" s="1"/>
  <c r="Q999" i="7"/>
  <c r="R999" i="7"/>
  <c r="AD999" i="7" l="1"/>
  <c r="X999" i="7" s="1"/>
  <c r="AE999" i="7"/>
  <c r="AA999" i="7" s="1"/>
  <c r="AC999" i="7"/>
  <c r="W999" i="7" s="1"/>
  <c r="Y999" i="7" l="1"/>
  <c r="V999" i="7"/>
  <c r="Z999" i="7"/>
  <c r="U999" i="7"/>
  <c r="T999" i="7" l="1"/>
  <c r="R1000" i="7" s="1"/>
  <c r="S1000" i="7"/>
  <c r="Q1000" i="7"/>
  <c r="P1000" i="7" l="1"/>
  <c r="AE1000" i="7" s="1"/>
  <c r="AA1000" i="7" s="1"/>
  <c r="AD1000" i="7" l="1"/>
  <c r="Y1000" i="7" s="1"/>
  <c r="AC1000" i="7"/>
  <c r="W1000" i="7" s="1"/>
  <c r="U1000" i="7" s="1"/>
  <c r="Q1001" i="7" s="1"/>
  <c r="X1000" i="7"/>
  <c r="Z1000" i="7"/>
  <c r="V1000" i="7" l="1"/>
  <c r="T1000" i="7" s="1"/>
  <c r="R1001" i="7" s="1"/>
  <c r="S1001" i="7"/>
  <c r="P1001" i="7" l="1"/>
  <c r="AE1001" i="7" s="1"/>
  <c r="AA1001" i="7" s="1"/>
  <c r="AD1001" i="7" l="1"/>
  <c r="Y1001" i="7" s="1"/>
  <c r="AC1001" i="7"/>
  <c r="W1001" i="7" s="1"/>
  <c r="Z1001" i="7"/>
  <c r="X1001" i="7" l="1"/>
  <c r="U1001" i="7"/>
  <c r="S1002" i="7" s="1"/>
  <c r="V1001" i="7"/>
  <c r="Q1002" i="7"/>
  <c r="T1001" i="7" l="1"/>
  <c r="P1002" i="7"/>
  <c r="R1002" i="7"/>
  <c r="AE1002" i="7" l="1"/>
  <c r="AA1002" i="7" s="1"/>
  <c r="AC1002" i="7"/>
  <c r="W1002" i="7" s="1"/>
  <c r="AD1002" i="7"/>
  <c r="Y1002" i="7" s="1"/>
  <c r="Z1002" i="7" l="1"/>
  <c r="U1002" i="7"/>
  <c r="S1003" i="7" s="1"/>
  <c r="X1002" i="7"/>
  <c r="V1002" i="7"/>
  <c r="Q1003" i="7" l="1"/>
  <c r="T1002" i="7"/>
  <c r="P1003" i="7" s="1"/>
  <c r="R1003" i="7" l="1"/>
  <c r="AE1003" i="7"/>
  <c r="AA1003" i="7" s="1"/>
  <c r="AD1003" i="7"/>
  <c r="Y1003" i="7" s="1"/>
  <c r="AC1003" i="7"/>
  <c r="W1003" i="7" s="1"/>
  <c r="X1003" i="7" l="1"/>
  <c r="Z1003" i="7"/>
  <c r="V1003" i="7"/>
  <c r="U1003" i="7"/>
  <c r="S1004" i="7" s="1"/>
  <c r="Q1004" i="7" l="1"/>
  <c r="T1003" i="7"/>
  <c r="P1004" i="7" s="1"/>
  <c r="B4" i="8" l="1"/>
  <c r="B5" i="8"/>
  <c r="B6" i="8"/>
  <c r="C4" i="8"/>
  <c r="C5" i="8"/>
  <c r="C6" i="8"/>
  <c r="AC1004" i="7"/>
  <c r="W1004" i="7" s="1"/>
  <c r="AD1004" i="7"/>
  <c r="Y1004" i="7" s="1"/>
  <c r="AE1004" i="7"/>
  <c r="Z1004" i="7" s="1"/>
  <c r="R1004" i="7"/>
  <c r="V1004" i="7" l="1"/>
  <c r="AA1004" i="7"/>
  <c r="U1004" i="7" s="1"/>
  <c r="X1004" i="7"/>
  <c r="T1004" i="7" l="1"/>
</calcChain>
</file>

<file path=xl/sharedStrings.xml><?xml version="1.0" encoding="utf-8"?>
<sst xmlns="http://schemas.openxmlformats.org/spreadsheetml/2006/main" count="127" uniqueCount="78">
  <si>
    <t>Paramètre généraux</t>
  </si>
  <si>
    <t>Base de temps</t>
  </si>
  <si>
    <t>Coefficient de friction</t>
  </si>
  <si>
    <t>Ratio de la constante d'Aarseth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</si>
  <si>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</si>
  <si>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</si>
  <si>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</si>
  <si>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</si>
  <si>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</si>
  <si>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</si>
  <si>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</si>
  <si>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</si>
  <si>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</si>
  <si>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</si>
  <si>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</si>
  <si>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</si>
  <si>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</si>
  <si>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</si>
  <si>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</si>
  <si>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</si>
  <si>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</si>
  <si>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</si>
  <si>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</si>
  <si>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</si>
  <si>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</si>
  <si>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</si>
  <si>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</si>
  <si>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</si>
  <si>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</si>
  <si>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</si>
  <si>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</si>
  <si>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</si>
  <si>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</si>
  <si>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</si>
  <si>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</si>
  <si>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</si>
  <si>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</si>
  <si>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</si>
  <si>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</si>
  <si>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</si>
  <si>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</si>
  <si>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</si>
  <si>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</si>
  <si>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</si>
  <si>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</si>
  <si>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</si>
  <si>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</si>
  <si>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</si>
  <si>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</si>
  <si>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</si>
  <si>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</si>
  <si>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</si>
  <si>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</si>
  <si>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</si>
  <si>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</si>
  <si>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</si>
  <si>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</si>
  <si>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</si>
  <si>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axj</t>
  </si>
  <si>
    <t>vxj</t>
  </si>
  <si>
    <t>vyj</t>
  </si>
  <si>
    <t>ayj</t>
  </si>
  <si>
    <t>ax1</t>
  </si>
  <si>
    <t>ax2</t>
  </si>
  <si>
    <t>ay1</t>
  </si>
  <si>
    <t>ay2</t>
  </si>
  <si>
    <t>ax3</t>
  </si>
  <si>
    <t>ay3</t>
  </si>
  <si>
    <t>distance 1</t>
  </si>
  <si>
    <t>distance 2</t>
  </si>
  <si>
    <t>distance 3</t>
  </si>
  <si>
    <t>(pxj)</t>
  </si>
  <si>
    <t>(pyj)</t>
  </si>
  <si>
    <t>Position initiale :</t>
  </si>
  <si>
    <t>Position finale :</t>
  </si>
  <si>
    <t>Position courante :</t>
  </si>
  <si>
    <t>Vaiseaux en mouvement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</si>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</sst>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9" fontId="0" fillId="0" borderId="0" xfId="1" applyFont="1"/>
    <xf numFmtId="0" fontId="6" fillId="7" borderId="2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3" xfId="0" applyFont="1" applyFill="1" applyBorder="1" applyAlignment="1">
      <alignment vertical="top"/>
    </xf>
    <xf numFmtId="0" fontId="0" fillId="11" borderId="2" xfId="0" applyFill="1" applyBorder="1" applyAlignment="1">
      <alignment vertical="center"/>
    </xf>
    <xf numFmtId="0" fontId="0" fillId="11" borderId="2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24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165" fontId="0" fillId="10" borderId="23" xfId="0" applyNumberForma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0" fillId="14" borderId="24" xfId="0" applyFill="1" applyBorder="1" applyAlignment="1">
      <alignment horizontal="center" vertical="center"/>
    </xf>
    <xf numFmtId="0" fontId="0" fillId="14" borderId="25" xfId="0" applyFill="1" applyBorder="1" applyAlignment="1">
      <alignment horizontal="center" vertical="center"/>
    </xf>
    <xf numFmtId="165" fontId="0" fillId="8" borderId="24" xfId="0" applyNumberForma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165" fontId="0" fillId="9" borderId="24" xfId="0" applyNumberFormat="1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165" fontId="0" fillId="15" borderId="23" xfId="0" applyNumberForma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0" fillId="5" borderId="8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2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9" xfId="0" applyFill="1" applyBorder="1"/>
    <xf numFmtId="0" fontId="0" fillId="6" borderId="4" xfId="0" applyFill="1" applyBorder="1" applyAlignment="1">
      <alignment horizontal="center" vertical="center"/>
    </xf>
    <xf numFmtId="0" fontId="0" fillId="8" borderId="2" xfId="0" applyFill="1" applyBorder="1"/>
    <xf numFmtId="0" fontId="0" fillId="8" borderId="1" xfId="0" applyFill="1" applyBorder="1"/>
    <xf numFmtId="0" fontId="0" fillId="8" borderId="2" xfId="0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8" borderId="19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11" xfId="0" applyFill="1" applyBorder="1"/>
    <xf numFmtId="0" fontId="0" fillId="8" borderId="4" xfId="0" applyFill="1" applyBorder="1" applyAlignment="1">
      <alignment horizontal="center" vertical="center"/>
    </xf>
    <xf numFmtId="0" fontId="0" fillId="9" borderId="2" xfId="0" applyFill="1" applyBorder="1"/>
    <xf numFmtId="0" fontId="0" fillId="9" borderId="1" xfId="0" applyFill="1" applyBorder="1"/>
    <xf numFmtId="0" fontId="0" fillId="9" borderId="2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22" xfId="0" applyFill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0" fillId="9" borderId="13" xfId="0" applyFill="1" applyBorder="1"/>
    <xf numFmtId="0" fontId="0" fillId="9" borderId="4" xfId="0" applyFill="1" applyBorder="1" applyAlignment="1">
      <alignment horizontal="center" vertical="center"/>
    </xf>
    <xf numFmtId="0" fontId="3" fillId="17" borderId="30" xfId="0" applyFont="1" applyFill="1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166" fontId="0" fillId="18" borderId="31" xfId="0" applyNumberFormat="1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65" fontId="0" fillId="18" borderId="31" xfId="0" applyNumberFormat="1" applyFill="1" applyBorder="1" applyAlignment="1">
      <alignment horizontal="center" vertical="center"/>
    </xf>
    <xf numFmtId="165" fontId="0" fillId="18" borderId="32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166" fontId="0" fillId="18" borderId="28" xfId="0" applyNumberFormat="1" applyFill="1" applyBorder="1" applyAlignment="1">
      <alignment horizontal="center" vertical="center"/>
    </xf>
    <xf numFmtId="165" fontId="0" fillId="18" borderId="28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0" fontId="3" fillId="19" borderId="36" xfId="0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38" xfId="0" applyFont="1" applyFill="1" applyBorder="1" applyAlignment="1">
      <alignment horizontal="center" vertical="center"/>
    </xf>
    <xf numFmtId="165" fontId="0" fillId="20" borderId="36" xfId="0" applyNumberFormat="1" applyFill="1" applyBorder="1" applyAlignment="1">
      <alignment horizontal="center" vertical="center"/>
    </xf>
    <xf numFmtId="165" fontId="0" fillId="20" borderId="37" xfId="0" applyNumberFormat="1" applyFill="1" applyBorder="1" applyAlignment="1">
      <alignment horizontal="center"/>
    </xf>
    <xf numFmtId="165" fontId="0" fillId="20" borderId="38" xfId="0" applyNumberFormat="1" applyFill="1" applyBorder="1" applyAlignment="1">
      <alignment horizontal="center"/>
    </xf>
    <xf numFmtId="165" fontId="0" fillId="0" borderId="3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20" borderId="33" xfId="0" applyNumberFormat="1" applyFill="1" applyBorder="1" applyAlignment="1">
      <alignment horizontal="center" vertical="center"/>
    </xf>
    <xf numFmtId="165" fontId="0" fillId="20" borderId="34" xfId="0" applyNumberFormat="1" applyFill="1" applyBorder="1" applyAlignment="1">
      <alignment horizontal="center"/>
    </xf>
    <xf numFmtId="165" fontId="0" fillId="20" borderId="35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9" borderId="14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9" borderId="4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4" fontId="0" fillId="6" borderId="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3" fillId="4" borderId="4" xfId="0" applyFont="1" applyFill="1" applyBorder="1" applyAlignment="1">
      <alignment horizontal="left" vertical="top"/>
    </xf>
    <xf numFmtId="0" fontId="3" fillId="4" borderId="6" xfId="0" applyFont="1" applyFill="1" applyBorder="1" applyAlignment="1">
      <alignment horizontal="left" vertical="top"/>
    </xf>
    <xf numFmtId="0" fontId="3" fillId="4" borderId="5" xfId="0" applyFont="1" applyFill="1" applyBorder="1" applyAlignment="1">
      <alignment horizontal="left" vertical="top"/>
    </xf>
    <xf numFmtId="1" fontId="0" fillId="6" borderId="4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3" fillId="16" borderId="4" xfId="0" applyFont="1" applyFill="1" applyBorder="1" applyAlignment="1">
      <alignment horizontal="left" vertical="top"/>
    </xf>
    <xf numFmtId="0" fontId="3" fillId="16" borderId="6" xfId="0" applyFont="1" applyFill="1" applyBorder="1" applyAlignment="1">
      <alignment horizontal="left" vertical="top"/>
    </xf>
    <xf numFmtId="0" fontId="3" fillId="16" borderId="5" xfId="0" applyFont="1" applyFill="1" applyBorder="1" applyAlignment="1">
      <alignment horizontal="left" vertical="top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57352823611351E-2"/>
          <c:y val="2.015562732189153E-2"/>
          <c:w val="0.86684197967189947"/>
          <c:h val="0.9400229403090727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41-4F26-83A6-B0E621B9DB1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F26-83A6-B0E621B9DB1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41-4F26-83A6-B0E621B9DB1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41-4F26-83A6-B0E621B9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503741136835505E-2"/>
          <c:y val="2.1045648342682813E-2"/>
          <c:w val="0.92676117866219099"/>
          <c:h val="0.96141631137174821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22225" cap="rnd">
              <a:solidFill>
                <a:schemeClr val="accent6">
                  <a:lumMod val="5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22225" cap="rnd">
              <a:solidFill>
                <a:schemeClr val="tx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4"/>
          <c:order val="4"/>
          <c:tx>
            <c:v>vaiseau</c:v>
          </c:tx>
          <c:spPr>
            <a:ln w="22225" cap="rnd">
              <a:solidFill>
                <a:srgbClr val="92D050"/>
              </a:solidFill>
              <a:tailEnd type="diamond" w="lg" len="lg"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rgbClr val="92D050"/>
                </a:solidFill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0FD2-4962-A235-19078BBF7315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sq" cmpd="sng">
                <a:solidFill>
                  <a:srgbClr val="92D050">
                    <a:alpha val="70000"/>
                  </a:srgbClr>
                </a:solidFill>
                <a:prstDash val="lgDashDotDot"/>
                <a:tailEnd type="diamond" w="lg" len="lg"/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13CD-412E-AEEC-4B83000A3BAB}"/>
              </c:ext>
            </c:extLst>
          </c:dPt>
          <c:xVal>
            <c:numRef>
              <c:f>'Graphique animé'!$B$4:$B$6</c:f>
              <c:numCache>
                <c:formatCode>General</c:formatCode>
                <c:ptCount val="3"/>
                <c:pt idx="0">
                  <c:v>77.300449362483619</c:v>
                </c:pt>
                <c:pt idx="1">
                  <c:v>83.415452214850461</c:v>
                </c:pt>
                <c:pt idx="2">
                  <c:v>-3.8887532495836012</c:v>
                </c:pt>
              </c:numCache>
            </c:numRef>
          </c:xVal>
          <c:yVal>
            <c:numRef>
              <c:f>'Graphique animé'!$C$4:$C$6</c:f>
              <c:numCache>
                <c:formatCode>General</c:formatCode>
                <c:ptCount val="3"/>
                <c:pt idx="0">
                  <c:v>-1630.2399030755005</c:v>
                </c:pt>
                <c:pt idx="1">
                  <c:v>-2961.3072506119138</c:v>
                </c:pt>
                <c:pt idx="2">
                  <c:v>-4785.4871702912706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CD-412E-AEEC-4B83000A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Conditions!$P$4:$P$1004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11.371270631609661</c:v>
                      </c:pt>
                      <c:pt idx="2">
                        <c:v>42.041615032516461</c:v>
                      </c:pt>
                      <c:pt idx="3">
                        <c:v>77.300449362483619</c:v>
                      </c:pt>
                      <c:pt idx="4">
                        <c:v>83.415452214850461</c:v>
                      </c:pt>
                      <c:pt idx="5">
                        <c:v>-3.8887532495836012</c:v>
                      </c:pt>
                      <c:pt idx="6">
                        <c:v>-309.20292681502349</c:v>
                      </c:pt>
                      <c:pt idx="7">
                        <c:v>-1118.7361549661705</c:v>
                      </c:pt>
                      <c:pt idx="8">
                        <c:v>-3539.4651619488031</c:v>
                      </c:pt>
                      <c:pt idx="9">
                        <c:v>-22870.803158596464</c:v>
                      </c:pt>
                      <c:pt idx="10">
                        <c:v>-57630.434392419425</c:v>
                      </c:pt>
                      <c:pt idx="11">
                        <c:v>-92119.722866973767</c:v>
                      </c:pt>
                      <c:pt idx="12">
                        <c:v>-126547.77499012373</c:v>
                      </c:pt>
                      <c:pt idx="13">
                        <c:v>-160952.02685959477</c:v>
                      </c:pt>
                      <c:pt idx="14">
                        <c:v>-195343.53444920256</c:v>
                      </c:pt>
                      <c:pt idx="15">
                        <c:v>-229727.07497386972</c:v>
                      </c:pt>
                      <c:pt idx="16">
                        <c:v>-264105.1565733531</c:v>
                      </c:pt>
                      <c:pt idx="17">
                        <c:v>-298479.26186066295</c:v>
                      </c:pt>
                      <c:pt idx="18">
                        <c:v>-332850.34082245664</c:v>
                      </c:pt>
                      <c:pt idx="19">
                        <c:v>-367219.03896703915</c:v>
                      </c:pt>
                      <c:pt idx="20">
                        <c:v>-401585.81500404369</c:v>
                      </c:pt>
                      <c:pt idx="21">
                        <c:v>-435951.00663282641</c:v>
                      </c:pt>
                      <c:pt idx="22">
                        <c:v>-470314.86969255138</c:v>
                      </c:pt>
                      <c:pt idx="23">
                        <c:v>-504677.60265552835</c:v>
                      </c:pt>
                      <c:pt idx="24">
                        <c:v>-539039.36259301193</c:v>
                      </c:pt>
                      <c:pt idx="25">
                        <c:v>-573400.27594578755</c:v>
                      </c:pt>
                      <c:pt idx="26">
                        <c:v>-607760.44600494683</c:v>
                      </c:pt>
                      <c:pt idx="27">
                        <c:v>-642119.95823964092</c:v>
                      </c:pt>
                      <c:pt idx="28">
                        <c:v>-676478.88417513436</c:v>
                      </c:pt>
                      <c:pt idx="29">
                        <c:v>-710837.28427020623</c:v>
                      </c:pt>
                      <c:pt idx="30">
                        <c:v>-745195.21008859877</c:v>
                      </c:pt>
                      <c:pt idx="31">
                        <c:v>-779552.70596267493</c:v>
                      </c:pt>
                      <c:pt idx="32">
                        <c:v>-813909.81028543727</c:v>
                      </c:pt>
                      <c:pt idx="33">
                        <c:v>-848266.55652628792</c:v>
                      </c:pt>
                      <c:pt idx="34">
                        <c:v>-882622.97403851512</c:v>
                      </c:pt>
                      <c:pt idx="35">
                        <c:v>-916979.0887077403</c:v>
                      </c:pt>
                      <c:pt idx="36">
                        <c:v>-951334.92347749497</c:v>
                      </c:pt>
                      <c:pt idx="37">
                        <c:v>-985690.49877884786</c:v>
                      </c:pt>
                      <c:pt idx="38">
                        <c:v>-1020045.8328843644</c:v>
                      </c:pt>
                      <c:pt idx="39">
                        <c:v>-1054400.9422018484</c:v>
                      </c:pt>
                      <c:pt idx="40">
                        <c:v>-1088755.8415197551</c:v>
                      </c:pt>
                      <c:pt idx="41">
                        <c:v>-1123110.5442135157</c:v>
                      </c:pt>
                      <c:pt idx="42">
                        <c:v>-1157465.0624200124</c:v>
                      </c:pt>
                      <c:pt idx="43">
                        <c:v>-1191819.4071859289</c:v>
                      </c:pt>
                      <c:pt idx="44">
                        <c:v>-1226173.5885945347</c:v>
                      </c:pt>
                      <c:pt idx="45">
                        <c:v>-1260527.6158745561</c:v>
                      </c:pt>
                      <c:pt idx="46">
                        <c:v>-1294881.4974940931</c:v>
                      </c:pt>
                      <c:pt idx="47">
                        <c:v>-1329235.2412419759</c:v>
                      </c:pt>
                      <c:pt idx="48">
                        <c:v>-1363588.8542985274</c:v>
                      </c:pt>
                      <c:pt idx="49">
                        <c:v>-1397942.3432973453</c:v>
                      </c:pt>
                      <c:pt idx="50">
                        <c:v>-1432295.7143794363</c:v>
                      </c:pt>
                      <c:pt idx="51">
                        <c:v>-1466648.9732408114</c:v>
                      </c:pt>
                      <c:pt idx="52">
                        <c:v>-1501002.1251744684</c:v>
                      </c:pt>
                      <c:pt idx="53">
                        <c:v>-1535355.175107538</c:v>
                      </c:pt>
                      <c:pt idx="54">
                        <c:v>-1569708.1276342445</c:v>
                      </c:pt>
                      <c:pt idx="55">
                        <c:v>-1604060.9870452385</c:v>
                      </c:pt>
                      <c:pt idx="56">
                        <c:v>-1638413.7573537668</c:v>
                      </c:pt>
                      <c:pt idx="57">
                        <c:v>-1672766.4423190826</c:v>
                      </c:pt>
                      <c:pt idx="58">
                        <c:v>-1707119.0454674368</c:v>
                      </c:pt>
                      <c:pt idx="59">
                        <c:v>-1741471.5701109441</c:v>
                      </c:pt>
                      <c:pt idx="60">
                        <c:v>-1775824.0193645791</c:v>
                      </c:pt>
                      <c:pt idx="61">
                        <c:v>-1810176.3961615169</c:v>
                      </c:pt>
                      <c:pt idx="62">
                        <c:v>-1844528.7032670111</c:v>
                      </c:pt>
                      <c:pt idx="63">
                        <c:v>-1878880.9432909715</c:v>
                      </c:pt>
                      <c:pt idx="64">
                        <c:v>-1913233.1186993872</c:v>
                      </c:pt>
                      <c:pt idx="65">
                        <c:v>-1947585.2318247175</c:v>
                      </c:pt>
                      <c:pt idx="66">
                        <c:v>-1981937.2848753612</c:v>
                      </c:pt>
                      <c:pt idx="67">
                        <c:v>-2016289.279944303</c:v>
                      </c:pt>
                      <c:pt idx="68">
                        <c:v>-2050641.2190170172</c:v>
                      </c:pt>
                      <c:pt idx="69">
                        <c:v>-2084993.1039787077</c:v>
                      </c:pt>
                      <c:pt idx="70">
                        <c:v>-2119344.9366209484</c:v>
                      </c:pt>
                      <c:pt idx="71">
                        <c:v>-2153696.7186477827</c:v>
                      </c:pt>
                      <c:pt idx="72">
                        <c:v>-2188048.4516813341</c:v>
                      </c:pt>
                      <c:pt idx="73">
                        <c:v>-2222400.137266974</c:v>
                      </c:pt>
                      <c:pt idx="74">
                        <c:v>-2256751.7768780896</c:v>
                      </c:pt>
                      <c:pt idx="75">
                        <c:v>-2291103.371920486</c:v>
                      </c:pt>
                      <c:pt idx="76">
                        <c:v>-2325454.9237364577</c:v>
                      </c:pt>
                      <c:pt idx="77">
                        <c:v>-2359806.4336085562</c:v>
                      </c:pt>
                      <c:pt idx="78">
                        <c:v>-2394157.9027630854</c:v>
                      </c:pt>
                      <c:pt idx="79">
                        <c:v>-2428509.3323733425</c:v>
                      </c:pt>
                      <c:pt idx="80">
                        <c:v>-2462860.7235626294</c:v>
                      </c:pt>
                      <c:pt idx="81">
                        <c:v>-2497212.0774070541</c:v>
                      </c:pt>
                      <c:pt idx="82">
                        <c:v>-2531563.3949381378</c:v>
                      </c:pt>
                      <c:pt idx="83">
                        <c:v>-2565914.6771452441</c:v>
                      </c:pt>
                      <c:pt idx="84">
                        <c:v>-2600265.924977846</c:v>
                      </c:pt>
                      <c:pt idx="85">
                        <c:v>-2634617.1393476413</c:v>
                      </c:pt>
                      <c:pt idx="86">
                        <c:v>-2668968.3211305309</c:v>
                      </c:pt>
                      <c:pt idx="87">
                        <c:v>-2703319.4711684692</c:v>
                      </c:pt>
                      <c:pt idx="88">
                        <c:v>-2737670.5902711945</c:v>
                      </c:pt>
                      <c:pt idx="89">
                        <c:v>-2772021.6792178527</c:v>
                      </c:pt>
                      <c:pt idx="90">
                        <c:v>-2806372.7387585198</c:v>
                      </c:pt>
                      <c:pt idx="91">
                        <c:v>-2840723.7696156292</c:v>
                      </c:pt>
                      <c:pt idx="92">
                        <c:v>-2875074.7724853144</c:v>
                      </c:pt>
                      <c:pt idx="93">
                        <c:v>-2909425.7480386696</c:v>
                      </c:pt>
                      <c:pt idx="94">
                        <c:v>-2943776.6969229369</c:v>
                      </c:pt>
                      <c:pt idx="95">
                        <c:v>-2978127.6197626237</c:v>
                      </c:pt>
                      <c:pt idx="96">
                        <c:v>-3012478.5171605535</c:v>
                      </c:pt>
                      <c:pt idx="97">
                        <c:v>-3046829.3896988607</c:v>
                      </c:pt>
                      <c:pt idx="98">
                        <c:v>-3081180.2379399254</c:v>
                      </c:pt>
                      <c:pt idx="99">
                        <c:v>-3115531.0624272563</c:v>
                      </c:pt>
                      <c:pt idx="100">
                        <c:v>-3149881.8636863274</c:v>
                      </c:pt>
                      <c:pt idx="101">
                        <c:v>-3184232.6422253656</c:v>
                      </c:pt>
                      <c:pt idx="102">
                        <c:v>-3218583.3985360996</c:v>
                      </c:pt>
                      <c:pt idx="103">
                        <c:v>-3252934.133094464</c:v>
                      </c:pt>
                      <c:pt idx="104">
                        <c:v>-3287284.8463612692</c:v>
                      </c:pt>
                      <c:pt idx="105">
                        <c:v>-3321635.5387828369</c:v>
                      </c:pt>
                      <c:pt idx="106">
                        <c:v>-3355986.2107915995</c:v>
                      </c:pt>
                      <c:pt idx="107">
                        <c:v>-3390336.8628066704</c:v>
                      </c:pt>
                      <c:pt idx="108">
                        <c:v>-3424687.4952343875</c:v>
                      </c:pt>
                      <c:pt idx="109">
                        <c:v>-3459038.1084688245</c:v>
                      </c:pt>
                      <c:pt idx="110">
                        <c:v>-3493388.7028922825</c:v>
                      </c:pt>
                      <c:pt idx="111">
                        <c:v>-3527739.278875751</c:v>
                      </c:pt>
                      <c:pt idx="112">
                        <c:v>-3562089.8367793523</c:v>
                      </c:pt>
                      <c:pt idx="113">
                        <c:v>-3596440.3769527613</c:v>
                      </c:pt>
                      <c:pt idx="114">
                        <c:v>-3630790.8997356049</c:v>
                      </c:pt>
                      <c:pt idx="115">
                        <c:v>-3665141.405457845</c:v>
                      </c:pt>
                      <c:pt idx="116">
                        <c:v>-3699491.8944401392</c:v>
                      </c:pt>
                      <c:pt idx="117">
                        <c:v>-3733842.3669941896</c:v>
                      </c:pt>
                      <c:pt idx="118">
                        <c:v>-3768192.8234230722</c:v>
                      </c:pt>
                      <c:pt idx="119">
                        <c:v>-3802543.2640215531</c:v>
                      </c:pt>
                      <c:pt idx="120">
                        <c:v>-3836893.6890763892</c:v>
                      </c:pt>
                      <c:pt idx="121">
                        <c:v>-3871244.098866615</c:v>
                      </c:pt>
                      <c:pt idx="122">
                        <c:v>-3905594.4936638181</c:v>
                      </c:pt>
                      <c:pt idx="123">
                        <c:v>-3939944.8737324015</c:v>
                      </c:pt>
                      <c:pt idx="124">
                        <c:v>-3974295.2393298359</c:v>
                      </c:pt>
                      <c:pt idx="125">
                        <c:v>-4008645.5907068979</c:v>
                      </c:pt>
                      <c:pt idx="126">
                        <c:v>-4042995.9281079024</c:v>
                      </c:pt>
                      <c:pt idx="127">
                        <c:v>-4077346.2517709215</c:v>
                      </c:pt>
                      <c:pt idx="128">
                        <c:v>-4111696.5619279947</c:v>
                      </c:pt>
                      <c:pt idx="129">
                        <c:v>-4146046.8588053323</c:v>
                      </c:pt>
                      <c:pt idx="130">
                        <c:v>-4180397.1426235088</c:v>
                      </c:pt>
                      <c:pt idx="131">
                        <c:v>-4214747.4135976471</c:v>
                      </c:pt>
                      <c:pt idx="132">
                        <c:v>-4249097.6719376007</c:v>
                      </c:pt>
                      <c:pt idx="133">
                        <c:v>-4283447.9178481176</c:v>
                      </c:pt>
                      <c:pt idx="134">
                        <c:v>-4317798.1515290113</c:v>
                      </c:pt>
                      <c:pt idx="135">
                        <c:v>-4352148.3731753156</c:v>
                      </c:pt>
                      <c:pt idx="136">
                        <c:v>-4386498.5829774337</c:v>
                      </c:pt>
                      <c:pt idx="137">
                        <c:v>-4420848.7811212866</c:v>
                      </c:pt>
                      <c:pt idx="138">
                        <c:v>-4455198.9677884523</c:v>
                      </c:pt>
                      <c:pt idx="139">
                        <c:v>-4489549.1431562994</c:v>
                      </c:pt>
                      <c:pt idx="140">
                        <c:v>-4523899.3073981144</c:v>
                      </c:pt>
                      <c:pt idx="141">
                        <c:v>-4558249.4606832284</c:v>
                      </c:pt>
                      <c:pt idx="142">
                        <c:v>-4592599.6031771386</c:v>
                      </c:pt>
                      <c:pt idx="143">
                        <c:v>-4626949.7350416165</c:v>
                      </c:pt>
                      <c:pt idx="144">
                        <c:v>-4661299.8564348258</c:v>
                      </c:pt>
                      <c:pt idx="145">
                        <c:v>-4695649.9675114257</c:v>
                      </c:pt>
                      <c:pt idx="146">
                        <c:v>-4730000.0684226723</c:v>
                      </c:pt>
                      <c:pt idx="147">
                        <c:v>-4764350.1593165211</c:v>
                      </c:pt>
                      <c:pt idx="148">
                        <c:v>-4798700.2403377211</c:v>
                      </c:pt>
                      <c:pt idx="149">
                        <c:v>-4833050.3116279049</c:v>
                      </c:pt>
                      <c:pt idx="150">
                        <c:v>-4867400.3733256785</c:v>
                      </c:pt>
                      <c:pt idx="151">
                        <c:v>-4901750.4255667105</c:v>
                      </c:pt>
                      <c:pt idx="152">
                        <c:v>-4936100.4684838075</c:v>
                      </c:pt>
                      <c:pt idx="153">
                        <c:v>-4970450.5022070017</c:v>
                      </c:pt>
                      <c:pt idx="154">
                        <c:v>-5004800.5268636206</c:v>
                      </c:pt>
                      <c:pt idx="155">
                        <c:v>-5039150.5425783666</c:v>
                      </c:pt>
                      <c:pt idx="156">
                        <c:v>-5073500.5494733872</c:v>
                      </c:pt>
                      <c:pt idx="157">
                        <c:v>-5107850.5476683434</c:v>
                      </c:pt>
                      <c:pt idx="158">
                        <c:v>-5142200.5372804767</c:v>
                      </c:pt>
                      <c:pt idx="159">
                        <c:v>-5176550.5184246758</c:v>
                      </c:pt>
                      <c:pt idx="160">
                        <c:v>-5210900.4912135368</c:v>
                      </c:pt>
                      <c:pt idx="161">
                        <c:v>-5245250.4557574252</c:v>
                      </c:pt>
                      <c:pt idx="162">
                        <c:v>-5279600.4121645344</c:v>
                      </c:pt>
                      <c:pt idx="163">
                        <c:v>-5313950.3605409423</c:v>
                      </c:pt>
                      <c:pt idx="164">
                        <c:v>-5348300.3009906653</c:v>
                      </c:pt>
                      <c:pt idx="165">
                        <c:v>-5382650.2336157113</c:v>
                      </c:pt>
                      <c:pt idx="166">
                        <c:v>-5417000.1585161332</c:v>
                      </c:pt>
                      <c:pt idx="167">
                        <c:v>-5451350.0757900756</c:v>
                      </c:pt>
                      <c:pt idx="168">
                        <c:v>-5485699.9855338251</c:v>
                      </c:pt>
                      <c:pt idx="169">
                        <c:v>-5520049.8878418561</c:v>
                      </c:pt>
                      <c:pt idx="170">
                        <c:v>-5554399.7828068761</c:v>
                      </c:pt>
                      <c:pt idx="171">
                        <c:v>-5588749.6705198698</c:v>
                      </c:pt>
                      <c:pt idx="172">
                        <c:v>-5623099.5510701407</c:v>
                      </c:pt>
                      <c:pt idx="173">
                        <c:v>-5657449.4245453533</c:v>
                      </c:pt>
                      <c:pt idx="174">
                        <c:v>-5691799.291031572</c:v>
                      </c:pt>
                      <c:pt idx="175">
                        <c:v>-5726149.1506133014</c:v>
                      </c:pt>
                      <c:pt idx="176">
                        <c:v>-5760499.0033735214</c:v>
                      </c:pt>
                      <c:pt idx="177">
                        <c:v>-5794848.8493937254</c:v>
                      </c:pt>
                      <c:pt idx="178">
                        <c:v>-5829198.6887539551</c:v>
                      </c:pt>
                      <c:pt idx="179">
                        <c:v>-5863548.5215328354</c:v>
                      </c:pt>
                      <c:pt idx="180">
                        <c:v>-5897898.3478076058</c:v>
                      </c:pt>
                      <c:pt idx="181">
                        <c:v>-5932248.1676541548</c:v>
                      </c:pt>
                      <c:pt idx="182">
                        <c:v>-5966597.9811470509</c:v>
                      </c:pt>
                      <c:pt idx="183">
                        <c:v>-6000947.7883595703</c:v>
                      </c:pt>
                      <c:pt idx="184">
                        <c:v>-6035297.5893637314</c:v>
                      </c:pt>
                      <c:pt idx="185">
                        <c:v>-6069647.3842303203</c:v>
                      </c:pt>
                      <c:pt idx="186">
                        <c:v>-6103997.173028918</c:v>
                      </c:pt>
                      <c:pt idx="187">
                        <c:v>-6138346.9558279291</c:v>
                      </c:pt>
                      <c:pt idx="188">
                        <c:v>-6172696.73269461</c:v>
                      </c:pt>
                      <c:pt idx="189">
                        <c:v>-6207046.5036950903</c:v>
                      </c:pt>
                      <c:pt idx="190">
                        <c:v>-6241396.2688944023</c:v>
                      </c:pt>
                      <c:pt idx="191">
                        <c:v>-6275746.0283565</c:v>
                      </c:pt>
                      <c:pt idx="192">
                        <c:v>-6310095.7821442876</c:v>
                      </c:pt>
                      <c:pt idx="193">
                        <c:v>-6344445.5303196386</c:v>
                      </c:pt>
                      <c:pt idx="194">
                        <c:v>-6378795.2729434222</c:v>
                      </c:pt>
                      <c:pt idx="195">
                        <c:v>-6413145.0100755207</c:v>
                      </c:pt>
                      <c:pt idx="196">
                        <c:v>-6447494.7417748552</c:v>
                      </c:pt>
                      <c:pt idx="197">
                        <c:v>-6481844.4680994004</c:v>
                      </c:pt>
                      <c:pt idx="198">
                        <c:v>-6516194.1891062101</c:v>
                      </c:pt>
                      <c:pt idx="199">
                        <c:v>-6550543.9048514338</c:v>
                      </c:pt>
                      <c:pt idx="200">
                        <c:v>-6584893.6153903361</c:v>
                      </c:pt>
                      <c:pt idx="201">
                        <c:v>-6619243.3207773166</c:v>
                      </c:pt>
                      <c:pt idx="202">
                        <c:v>-6653593.0210659252</c:v>
                      </c:pt>
                      <c:pt idx="203">
                        <c:v>-6687942.7163088825</c:v>
                      </c:pt>
                      <c:pt idx="204">
                        <c:v>-6722292.4065580936</c:v>
                      </c:pt>
                      <c:pt idx="205">
                        <c:v>-6756642.0918646688</c:v>
                      </c:pt>
                      <c:pt idx="206">
                        <c:v>-6790991.7722789375</c:v>
                      </c:pt>
                      <c:pt idx="207">
                        <c:v>-6825341.447850463</c:v>
                      </c:pt>
                      <c:pt idx="208">
                        <c:v>-6859691.1186280595</c:v>
                      </c:pt>
                      <c:pt idx="209">
                        <c:v>-6894040.7846598085</c:v>
                      </c:pt>
                      <c:pt idx="210">
                        <c:v>-6928390.4459930696</c:v>
                      </c:pt>
                      <c:pt idx="211">
                        <c:v>-6962740.1026744982</c:v>
                      </c:pt>
                      <c:pt idx="212">
                        <c:v>-6997089.7547500581</c:v>
                      </c:pt>
                      <c:pt idx="213">
                        <c:v>-7031439.4022650346</c:v>
                      </c:pt>
                      <c:pt idx="214">
                        <c:v>-7065789.0452640494</c:v>
                      </c:pt>
                      <c:pt idx="215">
                        <c:v>-7100138.6837910721</c:v>
                      </c:pt>
                      <c:pt idx="216">
                        <c:v>-7134488.3178894324</c:v>
                      </c:pt>
                      <c:pt idx="217">
                        <c:v>-7168837.9476018334</c:v>
                      </c:pt>
                      <c:pt idx="218">
                        <c:v>-7203187.5729703642</c:v>
                      </c:pt>
                      <c:pt idx="219">
                        <c:v>-7237537.1940365117</c:v>
                      </c:pt>
                      <c:pt idx="220">
                        <c:v>-7271886.8108411701</c:v>
                      </c:pt>
                      <c:pt idx="221">
                        <c:v>-7306236.4234246537</c:v>
                      </c:pt>
                      <c:pt idx="222">
                        <c:v>-7340586.0318267066</c:v>
                      </c:pt>
                      <c:pt idx="223">
                        <c:v>-7374935.6360865152</c:v>
                      </c:pt>
                      <c:pt idx="224">
                        <c:v>-7409285.2362427181</c:v>
                      </c:pt>
                      <c:pt idx="225">
                        <c:v>-7443634.8323334139</c:v>
                      </c:pt>
                      <c:pt idx="226">
                        <c:v>-7477984.424396175</c:v>
                      </c:pt>
                      <c:pt idx="227">
                        <c:v>-7512334.012468054</c:v>
                      </c:pt>
                      <c:pt idx="228">
                        <c:v>-7546683.596585595</c:v>
                      </c:pt>
                      <c:pt idx="229">
                        <c:v>-7581033.1767848423</c:v>
                      </c:pt>
                      <c:pt idx="230">
                        <c:v>-7615382.7531013507</c:v>
                      </c:pt>
                      <c:pt idx="231">
                        <c:v>-7649732.3255701922</c:v>
                      </c:pt>
                      <c:pt idx="232">
                        <c:v>-7684081.8942259653</c:v>
                      </c:pt>
                      <c:pt idx="233">
                        <c:v>-7718431.4591028048</c:v>
                      </c:pt>
                      <c:pt idx="234">
                        <c:v>-7752781.0202343892</c:v>
                      </c:pt>
                      <c:pt idx="235">
                        <c:v>-7787130.5776539482</c:v>
                      </c:pt>
                      <c:pt idx="236">
                        <c:v>-7821480.1313942717</c:v>
                      </c:pt>
                      <c:pt idx="237">
                        <c:v>-7855829.6814877158</c:v>
                      </c:pt>
                      <c:pt idx="238">
                        <c:v>-7890179.2279662136</c:v>
                      </c:pt>
                      <c:pt idx="239">
                        <c:v>-7924528.7708612802</c:v>
                      </c:pt>
                      <c:pt idx="240">
                        <c:v>-7958878.3102040179</c:v>
                      </c:pt>
                      <c:pt idx="241">
                        <c:v>-7993227.8460251298</c:v>
                      </c:pt>
                      <c:pt idx="242">
                        <c:v>-8027577.3783549191</c:v>
                      </c:pt>
                      <c:pt idx="243">
                        <c:v>-8061926.9072233019</c:v>
                      </c:pt>
                      <c:pt idx="244">
                        <c:v>-8096276.4326598104</c:v>
                      </c:pt>
                      <c:pt idx="245">
                        <c:v>-8130625.9546936005</c:v>
                      </c:pt>
                      <c:pt idx="246">
                        <c:v>-8164975.4733534576</c:v>
                      </c:pt>
                      <c:pt idx="247">
                        <c:v>-8199324.9886678047</c:v>
                      </c:pt>
                      <c:pt idx="248">
                        <c:v>-8233674.5006647063</c:v>
                      </c:pt>
                      <c:pt idx="249">
                        <c:v>-8268024.0093718758</c:v>
                      </c:pt>
                      <c:pt idx="250">
                        <c:v>-8302373.5148166791</c:v>
                      </c:pt>
                      <c:pt idx="251">
                        <c:v>-8336723.017026145</c:v>
                      </c:pt>
                      <c:pt idx="252">
                        <c:v>-8371072.5160269644</c:v>
                      </c:pt>
                      <c:pt idx="253">
                        <c:v>-8405422.0118455011</c:v>
                      </c:pt>
                      <c:pt idx="254">
                        <c:v>-8439771.5045077968</c:v>
                      </c:pt>
                      <c:pt idx="255">
                        <c:v>-8474120.9940395709</c:v>
                      </c:pt>
                      <c:pt idx="256">
                        <c:v>-8508470.4804662336</c:v>
                      </c:pt>
                      <c:pt idx="257">
                        <c:v>-8542819.9638128858</c:v>
                      </c:pt>
                      <c:pt idx="258">
                        <c:v>-8577169.4441043232</c:v>
                      </c:pt>
                      <c:pt idx="259">
                        <c:v>-8611518.921365045</c:v>
                      </c:pt>
                      <c:pt idx="260">
                        <c:v>-8645868.3956192583</c:v>
                      </c:pt>
                      <c:pt idx="261">
                        <c:v>-8680217.8668908775</c:v>
                      </c:pt>
                      <c:pt idx="262">
                        <c:v>-8714567.3352035377</c:v>
                      </c:pt>
                      <c:pt idx="263">
                        <c:v>-8748916.800580591</c:v>
                      </c:pt>
                      <c:pt idx="264">
                        <c:v>-8783266.2630451135</c:v>
                      </c:pt>
                      <c:pt idx="265">
                        <c:v>-8817615.7226199117</c:v>
                      </c:pt>
                      <c:pt idx="266">
                        <c:v>-8851965.1793275233</c:v>
                      </c:pt>
                      <c:pt idx="267">
                        <c:v>-8886314.6331902277</c:v>
                      </c:pt>
                      <c:pt idx="268">
                        <c:v>-8920664.084230043</c:v>
                      </c:pt>
                      <c:pt idx="269">
                        <c:v>-8955013.5324687306</c:v>
                      </c:pt>
                      <c:pt idx="270">
                        <c:v>-8989362.9779278059</c:v>
                      </c:pt>
                      <c:pt idx="271">
                        <c:v>-9023712.4206285346</c:v>
                      </c:pt>
                      <c:pt idx="272">
                        <c:v>-9058061.8605919369</c:v>
                      </c:pt>
                      <c:pt idx="273">
                        <c:v>-9092411.2978387978</c:v>
                      </c:pt>
                      <c:pt idx="274">
                        <c:v>-9126760.7323896661</c:v>
                      </c:pt>
                      <c:pt idx="275">
                        <c:v>-9161110.164264854</c:v>
                      </c:pt>
                      <c:pt idx="276">
                        <c:v>-9195459.593484452</c:v>
                      </c:pt>
                      <c:pt idx="277">
                        <c:v>-9229809.0200683177</c:v>
                      </c:pt>
                      <c:pt idx="278">
                        <c:v>-9264158.4440360907</c:v>
                      </c:pt>
                      <c:pt idx="279">
                        <c:v>-9298507.8654071931</c:v>
                      </c:pt>
                      <c:pt idx="280">
                        <c:v>-9332857.2842008304</c:v>
                      </c:pt>
                      <c:pt idx="281">
                        <c:v>-9367206.7004359942</c:v>
                      </c:pt>
                      <c:pt idx="282">
                        <c:v>-9401556.1141314674</c:v>
                      </c:pt>
                      <c:pt idx="283">
                        <c:v>-9435905.5253058299</c:v>
                      </c:pt>
                      <c:pt idx="284">
                        <c:v>-9470254.933977453</c:v>
                      </c:pt>
                      <c:pt idx="285">
                        <c:v>-9504604.3401645124</c:v>
                      </c:pt>
                      <c:pt idx="286">
                        <c:v>-9538953.7438849844</c:v>
                      </c:pt>
                      <c:pt idx="287">
                        <c:v>-9573303.1451566536</c:v>
                      </c:pt>
                      <c:pt idx="288">
                        <c:v>-9607652.5439971108</c:v>
                      </c:pt>
                      <c:pt idx="289">
                        <c:v>-9642001.9404237568</c:v>
                      </c:pt>
                      <c:pt idx="290">
                        <c:v>-9676351.3344538081</c:v>
                      </c:pt>
                      <c:pt idx="291">
                        <c:v>-9710700.7261042967</c:v>
                      </c:pt>
                      <c:pt idx="292">
                        <c:v>-9745050.115392074</c:v>
                      </c:pt>
                      <c:pt idx="293">
                        <c:v>-9779399.5023338124</c:v>
                      </c:pt>
                      <c:pt idx="294">
                        <c:v>-9813748.8869460113</c:v>
                      </c:pt>
                      <c:pt idx="295">
                        <c:v>-9848098.2692449931</c:v>
                      </c:pt>
                      <c:pt idx="296">
                        <c:v>-9882447.6492469106</c:v>
                      </c:pt>
                      <c:pt idx="297">
                        <c:v>-9916797.026967749</c:v>
                      </c:pt>
                      <c:pt idx="298">
                        <c:v>-9951146.4024233259</c:v>
                      </c:pt>
                      <c:pt idx="299">
                        <c:v>-9985495.7756292969</c:v>
                      </c:pt>
                      <c:pt idx="300">
                        <c:v>-10019845.146601152</c:v>
                      </c:pt>
                      <c:pt idx="301">
                        <c:v>-10054194.515354224</c:v>
                      </c:pt>
                      <c:pt idx="302">
                        <c:v>-10088543.881903689</c:v>
                      </c:pt>
                      <c:pt idx="303">
                        <c:v>-10122893.246264568</c:v>
                      </c:pt>
                      <c:pt idx="304">
                        <c:v>-10157242.608451728</c:v>
                      </c:pt>
                      <c:pt idx="305">
                        <c:v>-10191591.968479885</c:v>
                      </c:pt>
                      <c:pt idx="306">
                        <c:v>-10225941.326363606</c:v>
                      </c:pt>
                      <c:pt idx="307">
                        <c:v>-10260290.682117313</c:v>
                      </c:pt>
                      <c:pt idx="308">
                        <c:v>-10294640.03575528</c:v>
                      </c:pt>
                      <c:pt idx="309">
                        <c:v>-10328989.38729164</c:v>
                      </c:pt>
                      <c:pt idx="310">
                        <c:v>-10363338.736740382</c:v>
                      </c:pt>
                      <c:pt idx="311">
                        <c:v>-10397688.084115362</c:v>
                      </c:pt>
                      <c:pt idx="312">
                        <c:v>-10432037.429430293</c:v>
                      </c:pt>
                      <c:pt idx="313">
                        <c:v>-10466386.772698753</c:v>
                      </c:pt>
                      <c:pt idx="314">
                        <c:v>-10500736.113934189</c:v>
                      </c:pt>
                      <c:pt idx="315">
                        <c:v>-10535085.453149915</c:v>
                      </c:pt>
                      <c:pt idx="316">
                        <c:v>-10569434.79035911</c:v>
                      </c:pt>
                      <c:pt idx="317">
                        <c:v>-10603784.125574831</c:v>
                      </c:pt>
                      <c:pt idx="318">
                        <c:v>-10638133.458810003</c:v>
                      </c:pt>
                      <c:pt idx="319">
                        <c:v>-10672482.790077431</c:v>
                      </c:pt>
                      <c:pt idx="320">
                        <c:v>-10706832.119389791</c:v>
                      </c:pt>
                      <c:pt idx="321">
                        <c:v>-10741181.446759639</c:v>
                      </c:pt>
                      <c:pt idx="322">
                        <c:v>-10775530.772199411</c:v>
                      </c:pt>
                      <c:pt idx="323">
                        <c:v>-10809880.095721424</c:v>
                      </c:pt>
                      <c:pt idx="324">
                        <c:v>-10844229.417337874</c:v>
                      </c:pt>
                      <c:pt idx="325">
                        <c:v>-10878578.737060847</c:v>
                      </c:pt>
                      <c:pt idx="326">
                        <c:v>-10912928.054902311</c:v>
                      </c:pt>
                      <c:pt idx="327">
                        <c:v>-10947277.37087412</c:v>
                      </c:pt>
                      <c:pt idx="328">
                        <c:v>-10981626.684988016</c:v>
                      </c:pt>
                      <c:pt idx="329">
                        <c:v>-11015975.997255636</c:v>
                      </c:pt>
                      <c:pt idx="330">
                        <c:v>-11050325.307688503</c:v>
                      </c:pt>
                      <c:pt idx="331">
                        <c:v>-11084674.616298031</c:v>
                      </c:pt>
                      <c:pt idx="332">
                        <c:v>-11119023.923095534</c:v>
                      </c:pt>
                      <c:pt idx="333">
                        <c:v>-11153373.228092214</c:v>
                      </c:pt>
                      <c:pt idx="334">
                        <c:v>-11187722.531299176</c:v>
                      </c:pt>
                      <c:pt idx="335">
                        <c:v>-11222071.832727417</c:v>
                      </c:pt>
                      <c:pt idx="336">
                        <c:v>-11256421.132387837</c:v>
                      </c:pt>
                      <c:pt idx="337">
                        <c:v>-11290770.430291237</c:v>
                      </c:pt>
                      <c:pt idx="338">
                        <c:v>-11325119.726448314</c:v>
                      </c:pt>
                      <c:pt idx="339">
                        <c:v>-11359469.02086967</c:v>
                      </c:pt>
                      <c:pt idx="340">
                        <c:v>-11393818.313565811</c:v>
                      </c:pt>
                      <c:pt idx="341">
                        <c:v>-11428167.60454715</c:v>
                      </c:pt>
                      <c:pt idx="342">
                        <c:v>-11462516.893824004</c:v>
                      </c:pt>
                      <c:pt idx="343">
                        <c:v>-11496866.181406595</c:v>
                      </c:pt>
                      <c:pt idx="344">
                        <c:v>-11531215.467305059</c:v>
                      </c:pt>
                      <c:pt idx="345">
                        <c:v>-11565564.751529437</c:v>
                      </c:pt>
                      <c:pt idx="346">
                        <c:v>-11599914.034089679</c:v>
                      </c:pt>
                      <c:pt idx="347">
                        <c:v>-11634263.314995652</c:v>
                      </c:pt>
                      <c:pt idx="348">
                        <c:v>-11668612.594257131</c:v>
                      </c:pt>
                      <c:pt idx="349">
                        <c:v>-11702961.871883808</c:v>
                      </c:pt>
                      <c:pt idx="350">
                        <c:v>-11737311.147885285</c:v>
                      </c:pt>
                      <c:pt idx="351">
                        <c:v>-11771660.422271084</c:v>
                      </c:pt>
                      <c:pt idx="352">
                        <c:v>-11806009.695050642</c:v>
                      </c:pt>
                      <c:pt idx="353">
                        <c:v>-11840358.966233313</c:v>
                      </c:pt>
                      <c:pt idx="354">
                        <c:v>-11874708.23582837</c:v>
                      </c:pt>
                      <c:pt idx="355">
                        <c:v>-11909057.503845004</c:v>
                      </c:pt>
                      <c:pt idx="356">
                        <c:v>-11943406.770292332</c:v>
                      </c:pt>
                      <c:pt idx="357">
                        <c:v>-11977756.035179384</c:v>
                      </c:pt>
                      <c:pt idx="358">
                        <c:v>-12012105.298515117</c:v>
                      </c:pt>
                      <c:pt idx="359">
                        <c:v>-12046454.560308412</c:v>
                      </c:pt>
                      <c:pt idx="360">
                        <c:v>-12080803.820568072</c:v>
                      </c:pt>
                      <c:pt idx="361">
                        <c:v>-12115153.079302823</c:v>
                      </c:pt>
                      <c:pt idx="362">
                        <c:v>-12149502.336521324</c:v>
                      </c:pt>
                      <c:pt idx="363">
                        <c:v>-12183851.592232151</c:v>
                      </c:pt>
                      <c:pt idx="364">
                        <c:v>-12218200.846443813</c:v>
                      </c:pt>
                      <c:pt idx="365">
                        <c:v>-12252550.099164749</c:v>
                      </c:pt>
                      <c:pt idx="366">
                        <c:v>-12286899.35040332</c:v>
                      </c:pt>
                      <c:pt idx="367">
                        <c:v>-12321248.600167822</c:v>
                      </c:pt>
                      <c:pt idx="368">
                        <c:v>-12355597.848466482</c:v>
                      </c:pt>
                      <c:pt idx="369">
                        <c:v>-12389947.095307456</c:v>
                      </c:pt>
                      <c:pt idx="370">
                        <c:v>-12424296.340698833</c:v>
                      </c:pt>
                      <c:pt idx="371">
                        <c:v>-12458645.584648633</c:v>
                      </c:pt>
                      <c:pt idx="372">
                        <c:v>-12492994.827164814</c:v>
                      </c:pt>
                      <c:pt idx="373">
                        <c:v>-12527344.068255264</c:v>
                      </c:pt>
                      <c:pt idx="374">
                        <c:v>-12561693.30792781</c:v>
                      </c:pt>
                      <c:pt idx="375">
                        <c:v>-12596042.546190208</c:v>
                      </c:pt>
                      <c:pt idx="376">
                        <c:v>-12630391.783050159</c:v>
                      </c:pt>
                      <c:pt idx="377">
                        <c:v>-12664741.018515294</c:v>
                      </c:pt>
                      <c:pt idx="378">
                        <c:v>-12699090.252593188</c:v>
                      </c:pt>
                      <c:pt idx="379">
                        <c:v>-12733439.485291349</c:v>
                      </c:pt>
                      <c:pt idx="380">
                        <c:v>-12767788.716617228</c:v>
                      </c:pt>
                      <c:pt idx="381">
                        <c:v>-12802137.946578214</c:v>
                      </c:pt>
                      <c:pt idx="382">
                        <c:v>-12836487.175181637</c:v>
                      </c:pt>
                      <c:pt idx="383">
                        <c:v>-12870836.402434768</c:v>
                      </c:pt>
                      <c:pt idx="384">
                        <c:v>-12905185.628344819</c:v>
                      </c:pt>
                      <c:pt idx="385">
                        <c:v>-12939534.852918947</c:v>
                      </c:pt>
                      <c:pt idx="386">
                        <c:v>-12973884.076164249</c:v>
                      </c:pt>
                      <c:pt idx="387">
                        <c:v>-13008233.298087768</c:v>
                      </c:pt>
                      <c:pt idx="388">
                        <c:v>-13042582.518696487</c:v>
                      </c:pt>
                      <c:pt idx="389">
                        <c:v>-13076931.737997336</c:v>
                      </c:pt>
                      <c:pt idx="390">
                        <c:v>-13111280.955997195</c:v>
                      </c:pt>
                      <c:pt idx="391">
                        <c:v>-13145630.172702884</c:v>
                      </c:pt>
                      <c:pt idx="392">
                        <c:v>-13179979.388121173</c:v>
                      </c:pt>
                      <c:pt idx="393">
                        <c:v>-13214328.602258774</c:v>
                      </c:pt>
                      <c:pt idx="394">
                        <c:v>-13248677.815122351</c:v>
                      </c:pt>
                      <c:pt idx="395">
                        <c:v>-13283027.026718518</c:v>
                      </c:pt>
                      <c:pt idx="396">
                        <c:v>-13317376.237053832</c:v>
                      </c:pt>
                      <c:pt idx="397">
                        <c:v>-13351725.446134802</c:v>
                      </c:pt>
                      <c:pt idx="398">
                        <c:v>-13386074.653967887</c:v>
                      </c:pt>
                      <c:pt idx="399">
                        <c:v>-13420423.860559497</c:v>
                      </c:pt>
                      <c:pt idx="400">
                        <c:v>-13454773.065915991</c:v>
                      </c:pt>
                      <c:pt idx="401">
                        <c:v>-13489122.27004368</c:v>
                      </c:pt>
                      <c:pt idx="402">
                        <c:v>-13523471.472948829</c:v>
                      </c:pt>
                      <c:pt idx="403">
                        <c:v>-13557820.674637649</c:v>
                      </c:pt>
                      <c:pt idx="404">
                        <c:v>-13592169.875116311</c:v>
                      </c:pt>
                      <c:pt idx="405">
                        <c:v>-13626519.074390935</c:v>
                      </c:pt>
                      <c:pt idx="406">
                        <c:v>-13660868.272467593</c:v>
                      </c:pt>
                      <c:pt idx="407">
                        <c:v>-13695217.469352316</c:v>
                      </c:pt>
                      <c:pt idx="408">
                        <c:v>-13729566.66505109</c:v>
                      </c:pt>
                      <c:pt idx="409">
                        <c:v>-13763915.859569849</c:v>
                      </c:pt>
                      <c:pt idx="410">
                        <c:v>-13798265.052914489</c:v>
                      </c:pt>
                      <c:pt idx="411">
                        <c:v>-13832614.245090859</c:v>
                      </c:pt>
                      <c:pt idx="412">
                        <c:v>-13866963.436104765</c:v>
                      </c:pt>
                      <c:pt idx="413">
                        <c:v>-13901312.625961971</c:v>
                      </c:pt>
                      <c:pt idx="414">
                        <c:v>-13935661.814668197</c:v>
                      </c:pt>
                      <c:pt idx="415">
                        <c:v>-13970011.002229122</c:v>
                      </c:pt>
                      <c:pt idx="416">
                        <c:v>-14004360.188650381</c:v>
                      </c:pt>
                      <c:pt idx="417">
                        <c:v>-14038709.373937568</c:v>
                      </c:pt>
                      <c:pt idx="418">
                        <c:v>-14073058.558096236</c:v>
                      </c:pt>
                      <c:pt idx="419">
                        <c:v>-14107407.7411319</c:v>
                      </c:pt>
                      <c:pt idx="420">
                        <c:v>-14141756.923050031</c:v>
                      </c:pt>
                      <c:pt idx="421">
                        <c:v>-14176106.103856063</c:v>
                      </c:pt>
                      <c:pt idx="422">
                        <c:v>-14210455.283555388</c:v>
                      </c:pt>
                      <c:pt idx="423">
                        <c:v>-14244804.46215336</c:v>
                      </c:pt>
                      <c:pt idx="424">
                        <c:v>-14279153.639655294</c:v>
                      </c:pt>
                      <c:pt idx="425">
                        <c:v>-14313502.816066468</c:v>
                      </c:pt>
                      <c:pt idx="426">
                        <c:v>-14347851.991392119</c:v>
                      </c:pt>
                      <c:pt idx="427">
                        <c:v>-14382201.165637448</c:v>
                      </c:pt>
                      <c:pt idx="428">
                        <c:v>-14416550.338807622</c:v>
                      </c:pt>
                      <c:pt idx="429">
                        <c:v>-14450899.510907765</c:v>
                      </c:pt>
                      <c:pt idx="430">
                        <c:v>-14485248.681942968</c:v>
                      </c:pt>
                      <c:pt idx="431">
                        <c:v>-14519597.851918286</c:v>
                      </c:pt>
                      <c:pt idx="432">
                        <c:v>-14553947.020838736</c:v>
                      </c:pt>
                      <c:pt idx="433">
                        <c:v>-14588296.1887093</c:v>
                      </c:pt>
                      <c:pt idx="434">
                        <c:v>-14622645.355534926</c:v>
                      </c:pt>
                      <c:pt idx="435">
                        <c:v>-14656994.521320527</c:v>
                      </c:pt>
                      <c:pt idx="436">
                        <c:v>-14691343.686070982</c:v>
                      </c:pt>
                      <c:pt idx="437">
                        <c:v>-14725692.849791134</c:v>
                      </c:pt>
                      <c:pt idx="438">
                        <c:v>-14760042.012485791</c:v>
                      </c:pt>
                      <c:pt idx="439">
                        <c:v>-14794391.174159732</c:v>
                      </c:pt>
                      <c:pt idx="440">
                        <c:v>-14828740.334817698</c:v>
                      </c:pt>
                      <c:pt idx="441">
                        <c:v>-14863089.494464399</c:v>
                      </c:pt>
                      <c:pt idx="442">
                        <c:v>-14897438.653104514</c:v>
                      </c:pt>
                      <c:pt idx="443">
                        <c:v>-14931787.810742684</c:v>
                      </c:pt>
                      <c:pt idx="444">
                        <c:v>-14966136.967383524</c:v>
                      </c:pt>
                      <c:pt idx="445">
                        <c:v>-15000486.123031618</c:v>
                      </c:pt>
                      <c:pt idx="446">
                        <c:v>-15034835.277691511</c:v>
                      </c:pt>
                      <c:pt idx="447">
                        <c:v>-15069184.431367725</c:v>
                      </c:pt>
                      <c:pt idx="448">
                        <c:v>-15103533.584064744</c:v>
                      </c:pt>
                      <c:pt idx="449">
                        <c:v>-15137882.735787027</c:v>
                      </c:pt>
                      <c:pt idx="450">
                        <c:v>-15172231.886538999</c:v>
                      </c:pt>
                      <c:pt idx="451">
                        <c:v>-15206581.03632506</c:v>
                      </c:pt>
                      <c:pt idx="452">
                        <c:v>-15240930.185149573</c:v>
                      </c:pt>
                      <c:pt idx="453">
                        <c:v>-15275279.333016874</c:v>
                      </c:pt>
                      <c:pt idx="454">
                        <c:v>-15309628.479931273</c:v>
                      </c:pt>
                      <c:pt idx="455">
                        <c:v>-15343977.625897048</c:v>
                      </c:pt>
                      <c:pt idx="456">
                        <c:v>-15378326.770918449</c:v>
                      </c:pt>
                      <c:pt idx="457">
                        <c:v>-15412675.914999697</c:v>
                      </c:pt>
                      <c:pt idx="458">
                        <c:v>-15447025.058144987</c:v>
                      </c:pt>
                      <c:pt idx="459">
                        <c:v>-15481374.200358482</c:v>
                      </c:pt>
                      <c:pt idx="460">
                        <c:v>-15515723.341644321</c:v>
                      </c:pt>
                      <c:pt idx="461">
                        <c:v>-15550072.482006611</c:v>
                      </c:pt>
                      <c:pt idx="462">
                        <c:v>-15584421.621449439</c:v>
                      </c:pt>
                      <c:pt idx="463">
                        <c:v>-15618770.759976856</c:v>
                      </c:pt>
                      <c:pt idx="464">
                        <c:v>-15653119.897592895</c:v>
                      </c:pt>
                      <c:pt idx="465">
                        <c:v>-15687469.034301557</c:v>
                      </c:pt>
                      <c:pt idx="466">
                        <c:v>-15721818.170106819</c:v>
                      </c:pt>
                      <c:pt idx="467">
                        <c:v>-15756167.30501263</c:v>
                      </c:pt>
                      <c:pt idx="468">
                        <c:v>-15790516.439022915</c:v>
                      </c:pt>
                      <c:pt idx="469">
                        <c:v>-15824865.572141571</c:v>
                      </c:pt>
                      <c:pt idx="470">
                        <c:v>-15859214.704372471</c:v>
                      </c:pt>
                      <c:pt idx="471">
                        <c:v>-15893563.835719464</c:v>
                      </c:pt>
                      <c:pt idx="472">
                        <c:v>-15927912.966186374</c:v>
                      </c:pt>
                      <c:pt idx="473">
                        <c:v>-15962262.095776998</c:v>
                      </c:pt>
                      <c:pt idx="474">
                        <c:v>-15996611.224495109</c:v>
                      </c:pt>
                      <c:pt idx="475">
                        <c:v>-16030960.352344457</c:v>
                      </c:pt>
                      <c:pt idx="476">
                        <c:v>-16065309.479328768</c:v>
                      </c:pt>
                      <c:pt idx="477">
                        <c:v>-16099658.605451742</c:v>
                      </c:pt>
                      <c:pt idx="478">
                        <c:v>-16134007.730717057</c:v>
                      </c:pt>
                      <c:pt idx="479">
                        <c:v>-16168356.855128368</c:v>
                      </c:pt>
                      <c:pt idx="480">
                        <c:v>-16202705.978689305</c:v>
                      </c:pt>
                      <c:pt idx="481">
                        <c:v>-16237055.101403477</c:v>
                      </c:pt>
                      <c:pt idx="482">
                        <c:v>-16271404.223274468</c:v>
                      </c:pt>
                      <c:pt idx="483">
                        <c:v>-16305753.344305838</c:v>
                      </c:pt>
                      <c:pt idx="484">
                        <c:v>-16340102.464501128</c:v>
                      </c:pt>
                      <c:pt idx="485">
                        <c:v>-16374451.583863856</c:v>
                      </c:pt>
                      <c:pt idx="486">
                        <c:v>-16408800.702397518</c:v>
                      </c:pt>
                      <c:pt idx="487">
                        <c:v>-16443149.820105586</c:v>
                      </c:pt>
                      <c:pt idx="488">
                        <c:v>-16477498.936991511</c:v>
                      </c:pt>
                      <c:pt idx="489">
                        <c:v>-16511848.053058723</c:v>
                      </c:pt>
                      <c:pt idx="490">
                        <c:v>-16546197.168310629</c:v>
                      </c:pt>
                      <c:pt idx="491">
                        <c:v>-16580546.28275062</c:v>
                      </c:pt>
                      <c:pt idx="492">
                        <c:v>-16614895.396382056</c:v>
                      </c:pt>
                      <c:pt idx="493">
                        <c:v>-16649244.509208288</c:v>
                      </c:pt>
                      <c:pt idx="494">
                        <c:v>-16683593.621232636</c:v>
                      </c:pt>
                      <c:pt idx="495">
                        <c:v>-16717942.732458407</c:v>
                      </c:pt>
                      <c:pt idx="496">
                        <c:v>-16752291.842888884</c:v>
                      </c:pt>
                      <c:pt idx="497">
                        <c:v>-16786640.952527329</c:v>
                      </c:pt>
                      <c:pt idx="498">
                        <c:v>-16820990.061376989</c:v>
                      </c:pt>
                      <c:pt idx="499">
                        <c:v>-16855339.169441082</c:v>
                      </c:pt>
                      <c:pt idx="500">
                        <c:v>-16889688.276722815</c:v>
                      </c:pt>
                      <c:pt idx="501">
                        <c:v>-16924037.38322537</c:v>
                      </c:pt>
                      <c:pt idx="502">
                        <c:v>-16958386.48895191</c:v>
                      </c:pt>
                      <c:pt idx="503">
                        <c:v>-16992735.593905587</c:v>
                      </c:pt>
                      <c:pt idx="504">
                        <c:v>-17027084.698089521</c:v>
                      </c:pt>
                      <c:pt idx="505">
                        <c:v>-17061433.801506821</c:v>
                      </c:pt>
                      <c:pt idx="506">
                        <c:v>-17095782.904160578</c:v>
                      </c:pt>
                      <c:pt idx="507">
                        <c:v>-17130132.006053861</c:v>
                      </c:pt>
                      <c:pt idx="508">
                        <c:v>-17164481.107189722</c:v>
                      </c:pt>
                      <c:pt idx="509">
                        <c:v>-17198830.20757119</c:v>
                      </c:pt>
                      <c:pt idx="510">
                        <c:v>-17233179.307201285</c:v>
                      </c:pt>
                      <c:pt idx="511">
                        <c:v>-17267528.406083003</c:v>
                      </c:pt>
                      <c:pt idx="512">
                        <c:v>-17301877.504219323</c:v>
                      </c:pt>
                      <c:pt idx="513">
                        <c:v>-17336226.601613209</c:v>
                      </c:pt>
                      <c:pt idx="514">
                        <c:v>-17370575.698267598</c:v>
                      </c:pt>
                      <c:pt idx="515">
                        <c:v>-17404924.794185419</c:v>
                      </c:pt>
                      <c:pt idx="516">
                        <c:v>-17439273.889369585</c:v>
                      </c:pt>
                      <c:pt idx="517">
                        <c:v>-17473622.983822983</c:v>
                      </c:pt>
                      <c:pt idx="518">
                        <c:v>-17507972.077548489</c:v>
                      </c:pt>
                      <c:pt idx="519">
                        <c:v>-17542321.170548961</c:v>
                      </c:pt>
                      <c:pt idx="520">
                        <c:v>-17576670.26282724</c:v>
                      </c:pt>
                      <c:pt idx="521">
                        <c:v>-17611019.354386151</c:v>
                      </c:pt>
                      <c:pt idx="522">
                        <c:v>-17645368.445228502</c:v>
                      </c:pt>
                      <c:pt idx="523">
                        <c:v>-17679717.53535708</c:v>
                      </c:pt>
                      <c:pt idx="524">
                        <c:v>-17714066.624774668</c:v>
                      </c:pt>
                      <c:pt idx="525">
                        <c:v>-17748415.713484019</c:v>
                      </c:pt>
                      <c:pt idx="526">
                        <c:v>-17782764.801487874</c:v>
                      </c:pt>
                      <c:pt idx="527">
                        <c:v>-17817113.888788965</c:v>
                      </c:pt>
                      <c:pt idx="528">
                        <c:v>-17851462.975390002</c:v>
                      </c:pt>
                      <c:pt idx="529">
                        <c:v>-17885812.061293676</c:v>
                      </c:pt>
                      <c:pt idx="530">
                        <c:v>-17920161.146502674</c:v>
                      </c:pt>
                      <c:pt idx="531">
                        <c:v>-17954510.231019657</c:v>
                      </c:pt>
                      <c:pt idx="532">
                        <c:v>-17988859.314847272</c:v>
                      </c:pt>
                      <c:pt idx="533">
                        <c:v>-18023208.397988159</c:v>
                      </c:pt>
                      <c:pt idx="534">
                        <c:v>-18057557.48044493</c:v>
                      </c:pt>
                      <c:pt idx="535">
                        <c:v>-18091906.562220197</c:v>
                      </c:pt>
                      <c:pt idx="536">
                        <c:v>-18126255.643316541</c:v>
                      </c:pt>
                      <c:pt idx="537">
                        <c:v>-18160604.723736543</c:v>
                      </c:pt>
                      <c:pt idx="538">
                        <c:v>-18194953.803482756</c:v>
                      </c:pt>
                      <c:pt idx="539">
                        <c:v>-18229302.882557731</c:v>
                      </c:pt>
                      <c:pt idx="540">
                        <c:v>-18263651.960964002</c:v>
                      </c:pt>
                      <c:pt idx="541">
                        <c:v>-18298001.038704079</c:v>
                      </c:pt>
                      <c:pt idx="542">
                        <c:v>-18332350.115780469</c:v>
                      </c:pt>
                      <c:pt idx="543">
                        <c:v>-18366699.192195658</c:v>
                      </c:pt>
                      <c:pt idx="544">
                        <c:v>-18401048.267952118</c:v>
                      </c:pt>
                      <c:pt idx="545">
                        <c:v>-18435397.343052313</c:v>
                      </c:pt>
                      <c:pt idx="546">
                        <c:v>-18469746.417498689</c:v>
                      </c:pt>
                      <c:pt idx="547">
                        <c:v>-18504095.49129368</c:v>
                      </c:pt>
                      <c:pt idx="548">
                        <c:v>-18538444.564439703</c:v>
                      </c:pt>
                      <c:pt idx="549">
                        <c:v>-18572793.636939168</c:v>
                      </c:pt>
                      <c:pt idx="550">
                        <c:v>-18607142.708794463</c:v>
                      </c:pt>
                      <c:pt idx="551">
                        <c:v>-18641491.780007973</c:v>
                      </c:pt>
                      <c:pt idx="552">
                        <c:v>-18675840.850582063</c:v>
                      </c:pt>
                      <c:pt idx="553">
                        <c:v>-18710189.920519087</c:v>
                      </c:pt>
                      <c:pt idx="554">
                        <c:v>-18744538.989821382</c:v>
                      </c:pt>
                      <c:pt idx="555">
                        <c:v>-18778888.058491275</c:v>
                      </c:pt>
                      <c:pt idx="556">
                        <c:v>-18813237.126531083</c:v>
                      </c:pt>
                      <c:pt idx="557">
                        <c:v>-18847586.193943109</c:v>
                      </c:pt>
                      <c:pt idx="558">
                        <c:v>-18881935.260729641</c:v>
                      </c:pt>
                      <c:pt idx="559">
                        <c:v>-18916284.326892957</c:v>
                      </c:pt>
                      <c:pt idx="560">
                        <c:v>-18950633.39243532</c:v>
                      </c:pt>
                      <c:pt idx="561">
                        <c:v>-18984982.457358982</c:v>
                      </c:pt>
                      <c:pt idx="562">
                        <c:v>-19019331.521666184</c:v>
                      </c:pt>
                      <c:pt idx="563">
                        <c:v>-19053680.585359152</c:v>
                      </c:pt>
                      <c:pt idx="564">
                        <c:v>-19088029.648440108</c:v>
                      </c:pt>
                      <c:pt idx="565">
                        <c:v>-19122378.710911248</c:v>
                      </c:pt>
                      <c:pt idx="566">
                        <c:v>-19156727.772774767</c:v>
                      </c:pt>
                      <c:pt idx="567">
                        <c:v>-19191076.834032848</c:v>
                      </c:pt>
                      <c:pt idx="568">
                        <c:v>-19225425.894687656</c:v>
                      </c:pt>
                      <c:pt idx="569">
                        <c:v>-19259774.954741348</c:v>
                      </c:pt>
                      <c:pt idx="570">
                        <c:v>-19294124.014196068</c:v>
                      </c:pt>
                      <c:pt idx="571">
                        <c:v>-19328473.073053952</c:v>
                      </c:pt>
                      <c:pt idx="572">
                        <c:v>-19362822.131317124</c:v>
                      </c:pt>
                      <c:pt idx="573">
                        <c:v>-19397171.188987691</c:v>
                      </c:pt>
                      <c:pt idx="574">
                        <c:v>-19431520.246067759</c:v>
                      </c:pt>
                      <c:pt idx="575">
                        <c:v>-19465869.302559409</c:v>
                      </c:pt>
                      <c:pt idx="576">
                        <c:v>-19500218.358464722</c:v>
                      </c:pt>
                      <c:pt idx="577">
                        <c:v>-19534567.413785767</c:v>
                      </c:pt>
                      <c:pt idx="578">
                        <c:v>-19568916.468524594</c:v>
                      </c:pt>
                      <c:pt idx="579">
                        <c:v>-19603265.522683255</c:v>
                      </c:pt>
                      <c:pt idx="580">
                        <c:v>-19637614.576263778</c:v>
                      </c:pt>
                      <c:pt idx="581">
                        <c:v>-19671963.629268192</c:v>
                      </c:pt>
                      <c:pt idx="582">
                        <c:v>-19706312.681698505</c:v>
                      </c:pt>
                      <c:pt idx="583">
                        <c:v>-19740661.733556725</c:v>
                      </c:pt>
                      <c:pt idx="584">
                        <c:v>-19775010.784844838</c:v>
                      </c:pt>
                      <c:pt idx="585">
                        <c:v>-19809359.835564826</c:v>
                      </c:pt>
                      <c:pt idx="586">
                        <c:v>-19843708.885718662</c:v>
                      </c:pt>
                      <c:pt idx="587">
                        <c:v>-19878057.935308311</c:v>
                      </c:pt>
                      <c:pt idx="588">
                        <c:v>-19912406.984335717</c:v>
                      </c:pt>
                      <c:pt idx="589">
                        <c:v>-19946756.032802824</c:v>
                      </c:pt>
                      <c:pt idx="590">
                        <c:v>-19981105.080711562</c:v>
                      </c:pt>
                      <c:pt idx="591">
                        <c:v>-20015454.12806385</c:v>
                      </c:pt>
                      <c:pt idx="592">
                        <c:v>-20049803.174861602</c:v>
                      </c:pt>
                      <c:pt idx="593">
                        <c:v>-20084152.221106723</c:v>
                      </c:pt>
                      <c:pt idx="594">
                        <c:v>-20118501.266801096</c:v>
                      </c:pt>
                      <c:pt idx="595">
                        <c:v>-20152850.311946608</c:v>
                      </c:pt>
                      <c:pt idx="596">
                        <c:v>-20187199.356545124</c:v>
                      </c:pt>
                      <c:pt idx="597">
                        <c:v>-20221548.400598515</c:v>
                      </c:pt>
                      <c:pt idx="598">
                        <c:v>-20255897.444108628</c:v>
                      </c:pt>
                      <c:pt idx="599">
                        <c:v>-20290246.487077311</c:v>
                      </c:pt>
                      <c:pt idx="600">
                        <c:v>-20324595.529506393</c:v>
                      </c:pt>
                      <c:pt idx="601">
                        <c:v>-20358944.571397699</c:v>
                      </c:pt>
                      <c:pt idx="602">
                        <c:v>-20393293.612753045</c:v>
                      </c:pt>
                      <c:pt idx="603">
                        <c:v>-20427642.653574239</c:v>
                      </c:pt>
                      <c:pt idx="604">
                        <c:v>-20461991.693863083</c:v>
                      </c:pt>
                      <c:pt idx="605">
                        <c:v>-20496340.733621355</c:v>
                      </c:pt>
                      <c:pt idx="606">
                        <c:v>-20530689.772850841</c:v>
                      </c:pt>
                      <c:pt idx="607">
                        <c:v>-20565038.811553311</c:v>
                      </c:pt>
                      <c:pt idx="608">
                        <c:v>-20599387.849730525</c:v>
                      </c:pt>
                      <c:pt idx="609">
                        <c:v>-20633736.887384236</c:v>
                      </c:pt>
                      <c:pt idx="610">
                        <c:v>-20668085.924516186</c:v>
                      </c:pt>
                      <c:pt idx="611">
                        <c:v>-20702434.961128116</c:v>
                      </c:pt>
                      <c:pt idx="612">
                        <c:v>-20736783.997221746</c:v>
                      </c:pt>
                      <c:pt idx="613">
                        <c:v>-20771133.032798793</c:v>
                      </c:pt>
                      <c:pt idx="614">
                        <c:v>-20805482.067860972</c:v>
                      </c:pt>
                      <c:pt idx="615">
                        <c:v>-20839831.102409977</c:v>
                      </c:pt>
                      <c:pt idx="616">
                        <c:v>-20874180.136447508</c:v>
                      </c:pt>
                      <c:pt idx="617">
                        <c:v>-20908529.169975244</c:v>
                      </c:pt>
                      <c:pt idx="618">
                        <c:v>-20942878.202994864</c:v>
                      </c:pt>
                      <c:pt idx="619">
                        <c:v>-20977227.235508032</c:v>
                      </c:pt>
                      <c:pt idx="620">
                        <c:v>-21011576.267516408</c:v>
                      </c:pt>
                      <c:pt idx="621">
                        <c:v>-21045925.299021646</c:v>
                      </c:pt>
                      <c:pt idx="622">
                        <c:v>-21080274.330025386</c:v>
                      </c:pt>
                      <c:pt idx="623">
                        <c:v>-21114623.360529266</c:v>
                      </c:pt>
                      <c:pt idx="624">
                        <c:v>-21148972.390534911</c:v>
                      </c:pt>
                      <c:pt idx="625">
                        <c:v>-21183321.420043942</c:v>
                      </c:pt>
                      <c:pt idx="626">
                        <c:v>-21217670.44905797</c:v>
                      </c:pt>
                      <c:pt idx="627">
                        <c:v>-21252019.477578595</c:v>
                      </c:pt>
                      <c:pt idx="628">
                        <c:v>-21286368.505607419</c:v>
                      </c:pt>
                      <c:pt idx="629">
                        <c:v>-21320717.533146027</c:v>
                      </c:pt>
                      <c:pt idx="630">
                        <c:v>-21355066.560195997</c:v>
                      </c:pt>
                      <c:pt idx="631">
                        <c:v>-21389415.586758904</c:v>
                      </c:pt>
                      <c:pt idx="632">
                        <c:v>-21423764.612836309</c:v>
                      </c:pt>
                      <c:pt idx="633">
                        <c:v>-21458113.638429776</c:v>
                      </c:pt>
                      <c:pt idx="634">
                        <c:v>-21492462.663540848</c:v>
                      </c:pt>
                      <c:pt idx="635">
                        <c:v>-21526811.688171074</c:v>
                      </c:pt>
                      <c:pt idx="636">
                        <c:v>-21561160.712321986</c:v>
                      </c:pt>
                      <c:pt idx="637">
                        <c:v>-21595509.735995114</c:v>
                      </c:pt>
                      <c:pt idx="638">
                        <c:v>-21629858.759191979</c:v>
                      </c:pt>
                      <c:pt idx="639">
                        <c:v>-21664207.781914089</c:v>
                      </c:pt>
                      <c:pt idx="640">
                        <c:v>-21698556.804162953</c:v>
                      </c:pt>
                      <c:pt idx="641">
                        <c:v>-21732905.825940073</c:v>
                      </c:pt>
                      <c:pt idx="642">
                        <c:v>-21767254.847246934</c:v>
                      </c:pt>
                      <c:pt idx="643">
                        <c:v>-21801603.868085027</c:v>
                      </c:pt>
                      <c:pt idx="644">
                        <c:v>-21835952.888455831</c:v>
                      </c:pt>
                      <c:pt idx="645">
                        <c:v>-21870301.908360813</c:v>
                      </c:pt>
                      <c:pt idx="646">
                        <c:v>-21904650.927801438</c:v>
                      </c:pt>
                      <c:pt idx="647">
                        <c:v>-21938999.946779162</c:v>
                      </c:pt>
                      <c:pt idx="648">
                        <c:v>-21973348.965295434</c:v>
                      </c:pt>
                      <c:pt idx="649">
                        <c:v>-22007697.983351704</c:v>
                      </c:pt>
                      <c:pt idx="650">
                        <c:v>-22042047.000949401</c:v>
                      </c:pt>
                      <c:pt idx="651">
                        <c:v>-22076396.018089958</c:v>
                      </c:pt>
                      <c:pt idx="652">
                        <c:v>-22110745.034774799</c:v>
                      </c:pt>
                      <c:pt idx="653">
                        <c:v>-22145094.051005341</c:v>
                      </c:pt>
                      <c:pt idx="654">
                        <c:v>-22179443.066782989</c:v>
                      </c:pt>
                      <c:pt idx="655">
                        <c:v>-22213792.08210915</c:v>
                      </c:pt>
                      <c:pt idx="656">
                        <c:v>-22248141.096985221</c:v>
                      </c:pt>
                      <c:pt idx="657">
                        <c:v>-22282490.111412592</c:v>
                      </c:pt>
                      <c:pt idx="658">
                        <c:v>-22316839.125392649</c:v>
                      </c:pt>
                      <c:pt idx="659">
                        <c:v>-22351188.138926763</c:v>
                      </c:pt>
                      <c:pt idx="660">
                        <c:v>-22385537.152016312</c:v>
                      </c:pt>
                      <c:pt idx="661">
                        <c:v>-22419886.164662659</c:v>
                      </c:pt>
                      <c:pt idx="662">
                        <c:v>-22454235.176867165</c:v>
                      </c:pt>
                      <c:pt idx="663">
                        <c:v>-22488584.188631177</c:v>
                      </c:pt>
                      <c:pt idx="664">
                        <c:v>-22522933.199956045</c:v>
                      </c:pt>
                      <c:pt idx="665">
                        <c:v>-22557282.210843109</c:v>
                      </c:pt>
                      <c:pt idx="666">
                        <c:v>-22591631.221293699</c:v>
                      </c:pt>
                      <c:pt idx="667">
                        <c:v>-22625980.231309149</c:v>
                      </c:pt>
                      <c:pt idx="668">
                        <c:v>-22660329.240890779</c:v>
                      </c:pt>
                      <c:pt idx="669">
                        <c:v>-22694678.250039902</c:v>
                      </c:pt>
                      <c:pt idx="670">
                        <c:v>-22729027.25875783</c:v>
                      </c:pt>
                      <c:pt idx="671">
                        <c:v>-22763376.267045863</c:v>
                      </c:pt>
                      <c:pt idx="672">
                        <c:v>-22797725.274905302</c:v>
                      </c:pt>
                      <c:pt idx="673">
                        <c:v>-22832074.282337438</c:v>
                      </c:pt>
                      <c:pt idx="674">
                        <c:v>-22866423.289343558</c:v>
                      </c:pt>
                      <c:pt idx="675">
                        <c:v>-22900772.295924947</c:v>
                      </c:pt>
                      <c:pt idx="676">
                        <c:v>-22935121.30208287</c:v>
                      </c:pt>
                      <c:pt idx="677">
                        <c:v>-22969470.307818603</c:v>
                      </c:pt>
                      <c:pt idx="678">
                        <c:v>-23003819.313133411</c:v>
                      </c:pt>
                      <c:pt idx="679">
                        <c:v>-23038168.318028547</c:v>
                      </c:pt>
                      <c:pt idx="680">
                        <c:v>-23072517.322505265</c:v>
                      </c:pt>
                      <c:pt idx="681">
                        <c:v>-23106866.326564811</c:v>
                      </c:pt>
                      <c:pt idx="682">
                        <c:v>-23141215.330208424</c:v>
                      </c:pt>
                      <c:pt idx="683">
                        <c:v>-23175564.333437342</c:v>
                      </c:pt>
                      <c:pt idx="684">
                        <c:v>-23209913.336252794</c:v>
                      </c:pt>
                      <c:pt idx="685">
                        <c:v>-23244262.338656001</c:v>
                      </c:pt>
                      <c:pt idx="686">
                        <c:v>-23278611.340648185</c:v>
                      </c:pt>
                      <c:pt idx="687">
                        <c:v>-23312960.342230562</c:v>
                      </c:pt>
                      <c:pt idx="688">
                        <c:v>-23347309.343404334</c:v>
                      </c:pt>
                      <c:pt idx="689">
                        <c:v>-23381658.344170704</c:v>
                      </c:pt>
                      <c:pt idx="690">
                        <c:v>-23416007.344530877</c:v>
                      </c:pt>
                      <c:pt idx="691">
                        <c:v>-23450356.344486039</c:v>
                      </c:pt>
                      <c:pt idx="692">
                        <c:v>-23484705.344037376</c:v>
                      </c:pt>
                      <c:pt idx="693">
                        <c:v>-23519054.343186077</c:v>
                      </c:pt>
                      <c:pt idx="694">
                        <c:v>-23553403.341933314</c:v>
                      </c:pt>
                      <c:pt idx="695">
                        <c:v>-23587752.340280257</c:v>
                      </c:pt>
                      <c:pt idx="696">
                        <c:v>-23622101.338228073</c:v>
                      </c:pt>
                      <c:pt idx="697">
                        <c:v>-23656450.335777927</c:v>
                      </c:pt>
                      <c:pt idx="698">
                        <c:v>-23690799.332930971</c:v>
                      </c:pt>
                      <c:pt idx="699">
                        <c:v>-23725148.329688359</c:v>
                      </c:pt>
                      <c:pt idx="700">
                        <c:v>-23759497.326051231</c:v>
                      </c:pt>
                      <c:pt idx="701">
                        <c:v>-23793846.322020736</c:v>
                      </c:pt>
                      <c:pt idx="702">
                        <c:v>-23828195.317598004</c:v>
                      </c:pt>
                      <c:pt idx="703">
                        <c:v>-23862544.312784173</c:v>
                      </c:pt>
                      <c:pt idx="704">
                        <c:v>-23896893.307580363</c:v>
                      </c:pt>
                      <c:pt idx="705">
                        <c:v>-23931242.3019877</c:v>
                      </c:pt>
                      <c:pt idx="706">
                        <c:v>-23965591.296007298</c:v>
                      </c:pt>
                      <c:pt idx="707">
                        <c:v>-23999940.289640266</c:v>
                      </c:pt>
                      <c:pt idx="708">
                        <c:v>-24034289.28288772</c:v>
                      </c:pt>
                      <c:pt idx="709">
                        <c:v>-24068638.275750753</c:v>
                      </c:pt>
                      <c:pt idx="710">
                        <c:v>-24102987.268230468</c:v>
                      </c:pt>
                      <c:pt idx="711">
                        <c:v>-24137336.260327961</c:v>
                      </c:pt>
                      <c:pt idx="712">
                        <c:v>-24171685.252044313</c:v>
                      </c:pt>
                      <c:pt idx="713">
                        <c:v>-24206034.243380614</c:v>
                      </c:pt>
                      <c:pt idx="714">
                        <c:v>-24240383.234337937</c:v>
                      </c:pt>
                      <c:pt idx="715">
                        <c:v>-24274732.22491736</c:v>
                      </c:pt>
                      <c:pt idx="716">
                        <c:v>-24309081.21511995</c:v>
                      </c:pt>
                      <c:pt idx="717">
                        <c:v>-24343430.204946779</c:v>
                      </c:pt>
                      <c:pt idx="718">
                        <c:v>-24377779.194398902</c:v>
                      </c:pt>
                      <c:pt idx="719">
                        <c:v>-24412128.183477379</c:v>
                      </c:pt>
                      <c:pt idx="720">
                        <c:v>-24446477.172183257</c:v>
                      </c:pt>
                      <c:pt idx="721">
                        <c:v>-24480826.160517588</c:v>
                      </c:pt>
                      <c:pt idx="722">
                        <c:v>-24515175.14848141</c:v>
                      </c:pt>
                      <c:pt idx="723">
                        <c:v>-24549524.136075769</c:v>
                      </c:pt>
                      <c:pt idx="724">
                        <c:v>-24583873.123301692</c:v>
                      </c:pt>
                      <c:pt idx="725">
                        <c:v>-24618222.110160217</c:v>
                      </c:pt>
                      <c:pt idx="726">
                        <c:v>-24652571.096652362</c:v>
                      </c:pt>
                      <c:pt idx="727">
                        <c:v>-24686920.08277915</c:v>
                      </c:pt>
                      <c:pt idx="728">
                        <c:v>-24721269.068541601</c:v>
                      </c:pt>
                      <c:pt idx="729">
                        <c:v>-24755618.053940728</c:v>
                      </c:pt>
                      <c:pt idx="730">
                        <c:v>-24789967.038977537</c:v>
                      </c:pt>
                      <c:pt idx="731">
                        <c:v>-24824316.023653034</c:v>
                      </c:pt>
                      <c:pt idx="732">
                        <c:v>-24858665.007968221</c:v>
                      </c:pt>
                      <c:pt idx="733">
                        <c:v>-24893013.991924088</c:v>
                      </c:pt>
                      <c:pt idx="734">
                        <c:v>-24927362.975521632</c:v>
                      </c:pt>
                      <c:pt idx="735">
                        <c:v>-24961711.958761837</c:v>
                      </c:pt>
                      <c:pt idx="736">
                        <c:v>-24996060.941645693</c:v>
                      </c:pt>
                      <c:pt idx="737">
                        <c:v>-25030409.924174175</c:v>
                      </c:pt>
                      <c:pt idx="738">
                        <c:v>-25064758.906348262</c:v>
                      </c:pt>
                      <c:pt idx="739">
                        <c:v>-25099107.888168924</c:v>
                      </c:pt>
                      <c:pt idx="740">
                        <c:v>-25133456.869637128</c:v>
                      </c:pt>
                      <c:pt idx="741">
                        <c:v>-25167805.85075384</c:v>
                      </c:pt>
                      <c:pt idx="742">
                        <c:v>-25202154.831520014</c:v>
                      </c:pt>
                      <c:pt idx="743">
                        <c:v>-25236503.811936609</c:v>
                      </c:pt>
                      <c:pt idx="744">
                        <c:v>-25270852.792004582</c:v>
                      </c:pt>
                      <c:pt idx="745">
                        <c:v>-25305201.771724876</c:v>
                      </c:pt>
                      <c:pt idx="746">
                        <c:v>-25339550.751098435</c:v>
                      </c:pt>
                      <c:pt idx="747">
                        <c:v>-25373899.730126202</c:v>
                      </c:pt>
                      <c:pt idx="748">
                        <c:v>-25408248.708809115</c:v>
                      </c:pt>
                      <c:pt idx="749">
                        <c:v>-25442597.687148102</c:v>
                      </c:pt>
                      <c:pt idx="750">
                        <c:v>-25476946.665144093</c:v>
                      </c:pt>
                      <c:pt idx="751">
                        <c:v>-25511295.642798014</c:v>
                      </c:pt>
                      <c:pt idx="752">
                        <c:v>-25545644.620110791</c:v>
                      </c:pt>
                      <c:pt idx="753">
                        <c:v>-25579993.597083338</c:v>
                      </c:pt>
                      <c:pt idx="754">
                        <c:v>-25614342.573716566</c:v>
                      </c:pt>
                      <c:pt idx="755">
                        <c:v>-25648691.550011389</c:v>
                      </c:pt>
                      <c:pt idx="756">
                        <c:v>-25683040.525968712</c:v>
                      </c:pt>
                      <c:pt idx="757">
                        <c:v>-25717389.501589436</c:v>
                      </c:pt>
                      <c:pt idx="758">
                        <c:v>-25751738.476874467</c:v>
                      </c:pt>
                      <c:pt idx="759">
                        <c:v>-25786087.451824699</c:v>
                      </c:pt>
                      <c:pt idx="760">
                        <c:v>-25820436.426441018</c:v>
                      </c:pt>
                      <c:pt idx="761">
                        <c:v>-25854785.400724318</c:v>
                      </c:pt>
                      <c:pt idx="762">
                        <c:v>-25889134.374675486</c:v>
                      </c:pt>
                      <c:pt idx="763">
                        <c:v>-25923483.348295402</c:v>
                      </c:pt>
                      <c:pt idx="764">
                        <c:v>-25957832.321584944</c:v>
                      </c:pt>
                      <c:pt idx="765">
                        <c:v>-25992181.294544984</c:v>
                      </c:pt>
                      <c:pt idx="766">
                        <c:v>-26026530.267176397</c:v>
                      </c:pt>
                      <c:pt idx="767">
                        <c:v>-26060879.239480048</c:v>
                      </c:pt>
                      <c:pt idx="768">
                        <c:v>-26095228.211456802</c:v>
                      </c:pt>
                      <c:pt idx="769">
                        <c:v>-26129577.183107521</c:v>
                      </c:pt>
                      <c:pt idx="770">
                        <c:v>-26163926.15443306</c:v>
                      </c:pt>
                      <c:pt idx="771">
                        <c:v>-26198275.125434276</c:v>
                      </c:pt>
                      <c:pt idx="772">
                        <c:v>-26232624.096112017</c:v>
                      </c:pt>
                      <c:pt idx="773">
                        <c:v>-26266973.066467132</c:v>
                      </c:pt>
                      <c:pt idx="774">
                        <c:v>-26301322.036500469</c:v>
                      </c:pt>
                      <c:pt idx="775">
                        <c:v>-26335671.00621286</c:v>
                      </c:pt>
                      <c:pt idx="776">
                        <c:v>-26370019.975605153</c:v>
                      </c:pt>
                      <c:pt idx="777">
                        <c:v>-26404368.944678172</c:v>
                      </c:pt>
                      <c:pt idx="778">
                        <c:v>-26438717.913432755</c:v>
                      </c:pt>
                      <c:pt idx="779">
                        <c:v>-26473066.881869726</c:v>
                      </c:pt>
                      <c:pt idx="780">
                        <c:v>-26507415.849989913</c:v>
                      </c:pt>
                      <c:pt idx="781">
                        <c:v>-26541764.817794133</c:v>
                      </c:pt>
                      <c:pt idx="782">
                        <c:v>-26576113.785283208</c:v>
                      </c:pt>
                      <c:pt idx="783">
                        <c:v>-26610462.75245795</c:v>
                      </c:pt>
                      <c:pt idx="784">
                        <c:v>-26644811.719319172</c:v>
                      </c:pt>
                      <c:pt idx="785">
                        <c:v>-26679160.685867686</c:v>
                      </c:pt>
                      <c:pt idx="786">
                        <c:v>-26713509.652104292</c:v>
                      </c:pt>
                      <c:pt idx="787">
                        <c:v>-26747858.618029796</c:v>
                      </c:pt>
                      <c:pt idx="788">
                        <c:v>-26782207.583644994</c:v>
                      </c:pt>
                      <c:pt idx="789">
                        <c:v>-26816556.548950683</c:v>
                      </c:pt>
                      <c:pt idx="790">
                        <c:v>-26850905.513947658</c:v>
                      </c:pt>
                      <c:pt idx="791">
                        <c:v>-26885254.478636712</c:v>
                      </c:pt>
                      <c:pt idx="792">
                        <c:v>-26919603.443018626</c:v>
                      </c:pt>
                      <c:pt idx="793">
                        <c:v>-26953952.407094184</c:v>
                      </c:pt>
                      <c:pt idx="794">
                        <c:v>-26988301.370864172</c:v>
                      </c:pt>
                      <c:pt idx="795">
                        <c:v>-27022650.334329367</c:v>
                      </c:pt>
                      <c:pt idx="796">
                        <c:v>-27056999.297490541</c:v>
                      </c:pt>
                      <c:pt idx="797">
                        <c:v>-27091348.260348473</c:v>
                      </c:pt>
                      <c:pt idx="798">
                        <c:v>-27125697.222903926</c:v>
                      </c:pt>
                      <c:pt idx="799">
                        <c:v>-27160046.185157664</c:v>
                      </c:pt>
                      <c:pt idx="800">
                        <c:v>-27194395.147110458</c:v>
                      </c:pt>
                      <c:pt idx="801">
                        <c:v>-27228744.108763065</c:v>
                      </c:pt>
                      <c:pt idx="802">
                        <c:v>-27263093.070116241</c:v>
                      </c:pt>
                      <c:pt idx="803">
                        <c:v>-27297442.031170741</c:v>
                      </c:pt>
                      <c:pt idx="804">
                        <c:v>-27331790.991927322</c:v>
                      </c:pt>
                      <c:pt idx="805">
                        <c:v>-27366139.952386726</c:v>
                      </c:pt>
                      <c:pt idx="806">
                        <c:v>-27400488.912549704</c:v>
                      </c:pt>
                      <c:pt idx="807">
                        <c:v>-27434837.872416999</c:v>
                      </c:pt>
                      <c:pt idx="808">
                        <c:v>-27469186.831989352</c:v>
                      </c:pt>
                      <c:pt idx="809">
                        <c:v>-27503535.791267499</c:v>
                      </c:pt>
                      <c:pt idx="810">
                        <c:v>-27537884.750252172</c:v>
                      </c:pt>
                      <c:pt idx="811">
                        <c:v>-27572233.708944108</c:v>
                      </c:pt>
                      <c:pt idx="812">
                        <c:v>-27606582.667344037</c:v>
                      </c:pt>
                      <c:pt idx="813">
                        <c:v>-27640931.625452686</c:v>
                      </c:pt>
                      <c:pt idx="814">
                        <c:v>-27675280.583270777</c:v>
                      </c:pt>
                      <c:pt idx="815">
                        <c:v>-27709629.540799029</c:v>
                      </c:pt>
                      <c:pt idx="816">
                        <c:v>-27743978.498038169</c:v>
                      </c:pt>
                      <c:pt idx="817">
                        <c:v>-27778327.454988904</c:v>
                      </c:pt>
                      <c:pt idx="818">
                        <c:v>-27812676.411651954</c:v>
                      </c:pt>
                      <c:pt idx="819">
                        <c:v>-27847025.368028026</c:v>
                      </c:pt>
                      <c:pt idx="820">
                        <c:v>-27881374.324117832</c:v>
                      </c:pt>
                      <c:pt idx="821">
                        <c:v>-27915723.279922076</c:v>
                      </c:pt>
                      <c:pt idx="822">
                        <c:v>-27950072.235441457</c:v>
                      </c:pt>
                      <c:pt idx="823">
                        <c:v>-27984421.190676682</c:v>
                      </c:pt>
                      <c:pt idx="824">
                        <c:v>-28018770.145628445</c:v>
                      </c:pt>
                      <c:pt idx="825">
                        <c:v>-28053119.10029744</c:v>
                      </c:pt>
                      <c:pt idx="826">
                        <c:v>-28087468.054684363</c:v>
                      </c:pt>
                      <c:pt idx="827">
                        <c:v>-28121817.008789904</c:v>
                      </c:pt>
                      <c:pt idx="828">
                        <c:v>-28156165.962614749</c:v>
                      </c:pt>
                      <c:pt idx="829">
                        <c:v>-28190514.916159585</c:v>
                      </c:pt>
                      <c:pt idx="830">
                        <c:v>-28224863.869425092</c:v>
                      </c:pt>
                      <c:pt idx="831">
                        <c:v>-28259212.822411951</c:v>
                      </c:pt>
                      <c:pt idx="832">
                        <c:v>-28293561.775120839</c:v>
                      </c:pt>
                      <c:pt idx="833">
                        <c:v>-28327910.727552433</c:v>
                      </c:pt>
                      <c:pt idx="834">
                        <c:v>-28362259.679707401</c:v>
                      </c:pt>
                      <c:pt idx="835">
                        <c:v>-28396608.631586418</c:v>
                      </c:pt>
                      <c:pt idx="836">
                        <c:v>-28430957.583190154</c:v>
                      </c:pt>
                      <c:pt idx="837">
                        <c:v>-28465306.53451927</c:v>
                      </c:pt>
                      <c:pt idx="838">
                        <c:v>-28499655.485574432</c:v>
                      </c:pt>
                      <c:pt idx="839">
                        <c:v>-28534004.436356295</c:v>
                      </c:pt>
                      <c:pt idx="840">
                        <c:v>-28568353.386865523</c:v>
                      </c:pt>
                      <c:pt idx="841">
                        <c:v>-28602702.337102767</c:v>
                      </c:pt>
                      <c:pt idx="842">
                        <c:v>-28637051.287068687</c:v>
                      </c:pt>
                      <c:pt idx="843">
                        <c:v>-28671400.236763928</c:v>
                      </c:pt>
                      <c:pt idx="844">
                        <c:v>-28705749.186189141</c:v>
                      </c:pt>
                      <c:pt idx="845">
                        <c:v>-28740098.135344975</c:v>
                      </c:pt>
                      <c:pt idx="846">
                        <c:v>-28774447.08423207</c:v>
                      </c:pt>
                      <c:pt idx="847">
                        <c:v>-28808796.03285107</c:v>
                      </c:pt>
                      <c:pt idx="848">
                        <c:v>-28843144.981202617</c:v>
                      </c:pt>
                      <c:pt idx="849">
                        <c:v>-28877493.929287344</c:v>
                      </c:pt>
                      <c:pt idx="850">
                        <c:v>-28911842.877105884</c:v>
                      </c:pt>
                      <c:pt idx="851">
                        <c:v>-28946191.824658874</c:v>
                      </c:pt>
                      <c:pt idx="852">
                        <c:v>-28980540.771946944</c:v>
                      </c:pt>
                      <c:pt idx="853">
                        <c:v>-29014889.71897072</c:v>
                      </c:pt>
                      <c:pt idx="854">
                        <c:v>-29049238.66573083</c:v>
                      </c:pt>
                      <c:pt idx="855">
                        <c:v>-29083587.612227898</c:v>
                      </c:pt>
                      <c:pt idx="856">
                        <c:v>-29117936.558462545</c:v>
                      </c:pt>
                      <c:pt idx="857">
                        <c:v>-29152285.50443539</c:v>
                      </c:pt>
                      <c:pt idx="858">
                        <c:v>-29186634.450147051</c:v>
                      </c:pt>
                      <c:pt idx="859">
                        <c:v>-29220983.395598143</c:v>
                      </c:pt>
                      <c:pt idx="860">
                        <c:v>-29255332.340789277</c:v>
                      </c:pt>
                      <c:pt idx="861">
                        <c:v>-29289681.285721067</c:v>
                      </c:pt>
                      <c:pt idx="862">
                        <c:v>-29324030.230394121</c:v>
                      </c:pt>
                      <c:pt idx="863">
                        <c:v>-29358379.174809042</c:v>
                      </c:pt>
                      <c:pt idx="864">
                        <c:v>-29392728.118966434</c:v>
                      </c:pt>
                      <c:pt idx="865">
                        <c:v>-29427077.0628669</c:v>
                      </c:pt>
                      <c:pt idx="866">
                        <c:v>-29461426.006511044</c:v>
                      </c:pt>
                      <c:pt idx="867">
                        <c:v>-29495774.949899461</c:v>
                      </c:pt>
                      <c:pt idx="868">
                        <c:v>-29530123.893032745</c:v>
                      </c:pt>
                      <c:pt idx="869">
                        <c:v>-29564472.83591149</c:v>
                      </c:pt>
                      <c:pt idx="870">
                        <c:v>-29598821.778536294</c:v>
                      </c:pt>
                      <c:pt idx="871">
                        <c:v>-29633170.72090774</c:v>
                      </c:pt>
                      <c:pt idx="872">
                        <c:v>-29667519.663026415</c:v>
                      </c:pt>
                      <c:pt idx="873">
                        <c:v>-29701868.60489291</c:v>
                      </c:pt>
                      <c:pt idx="874">
                        <c:v>-29736217.546507802</c:v>
                      </c:pt>
                      <c:pt idx="875">
                        <c:v>-29770566.487871677</c:v>
                      </c:pt>
                      <c:pt idx="876">
                        <c:v>-29804915.428985111</c:v>
                      </c:pt>
                      <c:pt idx="877">
                        <c:v>-29839264.369848687</c:v>
                      </c:pt>
                      <c:pt idx="878">
                        <c:v>-29873613.310462974</c:v>
                      </c:pt>
                      <c:pt idx="879">
                        <c:v>-29907962.250828549</c:v>
                      </c:pt>
                      <c:pt idx="880">
                        <c:v>-29942311.190945983</c:v>
                      </c:pt>
                      <c:pt idx="881">
                        <c:v>-29976660.130815845</c:v>
                      </c:pt>
                      <c:pt idx="882">
                        <c:v>-30011009.070438705</c:v>
                      </c:pt>
                      <c:pt idx="883">
                        <c:v>-30045358.009815123</c:v>
                      </c:pt>
                      <c:pt idx="884">
                        <c:v>-30079706.948945668</c:v>
                      </c:pt>
                      <c:pt idx="885">
                        <c:v>-30114055.887830898</c:v>
                      </c:pt>
                      <c:pt idx="886">
                        <c:v>-30148404.826471377</c:v>
                      </c:pt>
                      <c:pt idx="887">
                        <c:v>-30182753.76486766</c:v>
                      </c:pt>
                      <c:pt idx="888">
                        <c:v>-30217102.703020304</c:v>
                      </c:pt>
                      <c:pt idx="889">
                        <c:v>-30251451.640929863</c:v>
                      </c:pt>
                      <c:pt idx="890">
                        <c:v>-30285800.57859689</c:v>
                      </c:pt>
                      <c:pt idx="891">
                        <c:v>-30320149.51602193</c:v>
                      </c:pt>
                      <c:pt idx="892">
                        <c:v>-30354498.453205537</c:v>
                      </c:pt>
                      <c:pt idx="893">
                        <c:v>-30388847.390148256</c:v>
                      </c:pt>
                      <c:pt idx="894">
                        <c:v>-30423196.326850634</c:v>
                      </c:pt>
                      <c:pt idx="895">
                        <c:v>-30457545.263313212</c:v>
                      </c:pt>
                      <c:pt idx="896">
                        <c:v>-30491894.199536528</c:v>
                      </c:pt>
                      <c:pt idx="897">
                        <c:v>-30526243.135521129</c:v>
                      </c:pt>
                      <c:pt idx="898">
                        <c:v>-30560592.071267545</c:v>
                      </c:pt>
                      <c:pt idx="899">
                        <c:v>-30594941.006776314</c:v>
                      </c:pt>
                      <c:pt idx="900">
                        <c:v>-30629289.942047972</c:v>
                      </c:pt>
                      <c:pt idx="901">
                        <c:v>-30663638.877083044</c:v>
                      </c:pt>
                      <c:pt idx="902">
                        <c:v>-30697987.811882067</c:v>
                      </c:pt>
                      <c:pt idx="903">
                        <c:v>-30732336.74644557</c:v>
                      </c:pt>
                      <c:pt idx="904">
                        <c:v>-30766685.680774078</c:v>
                      </c:pt>
                      <c:pt idx="905">
                        <c:v>-30801034.614868112</c:v>
                      </c:pt>
                      <c:pt idx="906">
                        <c:v>-30835383.548728198</c:v>
                      </c:pt>
                      <c:pt idx="907">
                        <c:v>-30869732.482354857</c:v>
                      </c:pt>
                      <c:pt idx="908">
                        <c:v>-30904081.415748611</c:v>
                      </c:pt>
                      <c:pt idx="909">
                        <c:v>-30938430.348909978</c:v>
                      </c:pt>
                      <c:pt idx="910">
                        <c:v>-30972779.281839471</c:v>
                      </c:pt>
                      <c:pt idx="911">
                        <c:v>-31007128.214537606</c:v>
                      </c:pt>
                      <c:pt idx="912">
                        <c:v>-31041477.147004895</c:v>
                      </c:pt>
                      <c:pt idx="913">
                        <c:v>-31075826.079241849</c:v>
                      </c:pt>
                      <c:pt idx="914">
                        <c:v>-31110175.01124898</c:v>
                      </c:pt>
                      <c:pt idx="915">
                        <c:v>-31144523.943026792</c:v>
                      </c:pt>
                      <c:pt idx="916">
                        <c:v>-31178872.87457579</c:v>
                      </c:pt>
                      <c:pt idx="917">
                        <c:v>-31213221.805896483</c:v>
                      </c:pt>
                      <c:pt idx="918">
                        <c:v>-31247570.736989371</c:v>
                      </c:pt>
                      <c:pt idx="919">
                        <c:v>-31281919.667854954</c:v>
                      </c:pt>
                      <c:pt idx="920">
                        <c:v>-31316268.598493733</c:v>
                      </c:pt>
                      <c:pt idx="921">
                        <c:v>-31350617.528906208</c:v>
                      </c:pt>
                      <c:pt idx="922">
                        <c:v>-31384966.45909287</c:v>
                      </c:pt>
                      <c:pt idx="923">
                        <c:v>-31419315.38905422</c:v>
                      </c:pt>
                      <c:pt idx="924">
                        <c:v>-31453664.318790745</c:v>
                      </c:pt>
                      <c:pt idx="925">
                        <c:v>-31488013.24830294</c:v>
                      </c:pt>
                      <c:pt idx="926">
                        <c:v>-31522362.17759129</c:v>
                      </c:pt>
                      <c:pt idx="927">
                        <c:v>-31556711.106656287</c:v>
                      </c:pt>
                      <c:pt idx="928">
                        <c:v>-31591060.035498414</c:v>
                      </c:pt>
                      <c:pt idx="929">
                        <c:v>-31625408.96411816</c:v>
                      </c:pt>
                      <c:pt idx="930">
                        <c:v>-31659757.892516002</c:v>
                      </c:pt>
                      <c:pt idx="931">
                        <c:v>-31694106.820692427</c:v>
                      </c:pt>
                      <c:pt idx="932">
                        <c:v>-31728455.748647913</c:v>
                      </c:pt>
                      <c:pt idx="933">
                        <c:v>-31762804.67638294</c:v>
                      </c:pt>
                      <c:pt idx="934">
                        <c:v>-31797153.603897985</c:v>
                      </c:pt>
                      <c:pt idx="935">
                        <c:v>-31831502.531193525</c:v>
                      </c:pt>
                      <c:pt idx="936">
                        <c:v>-31865851.458270032</c:v>
                      </c:pt>
                      <c:pt idx="937">
                        <c:v>-31900200.385127977</c:v>
                      </c:pt>
                      <c:pt idx="938">
                        <c:v>-31934549.311767831</c:v>
                      </c:pt>
                      <c:pt idx="939">
                        <c:v>-31968898.238190062</c:v>
                      </c:pt>
                      <c:pt idx="940">
                        <c:v>-32003247.164395142</c:v>
                      </c:pt>
                      <c:pt idx="941">
                        <c:v>-32037596.090383533</c:v>
                      </c:pt>
                      <c:pt idx="942">
                        <c:v>-32071945.016155701</c:v>
                      </c:pt>
                      <c:pt idx="943">
                        <c:v>-32106293.941712111</c:v>
                      </c:pt>
                      <c:pt idx="944">
                        <c:v>-32140642.867053226</c:v>
                      </c:pt>
                      <c:pt idx="945">
                        <c:v>-32174991.792179503</c:v>
                      </c:pt>
                      <c:pt idx="946">
                        <c:v>-32209340.7170914</c:v>
                      </c:pt>
                      <c:pt idx="947">
                        <c:v>-32243689.64178938</c:v>
                      </c:pt>
                      <c:pt idx="948">
                        <c:v>-32278038.566273894</c:v>
                      </c:pt>
                      <c:pt idx="949">
                        <c:v>-32312387.490545399</c:v>
                      </c:pt>
                      <c:pt idx="950">
                        <c:v>-32346736.414604343</c:v>
                      </c:pt>
                      <c:pt idx="951">
                        <c:v>-32381085.338451184</c:v>
                      </c:pt>
                      <c:pt idx="952">
                        <c:v>-32415434.262086369</c:v>
                      </c:pt>
                      <c:pt idx="953">
                        <c:v>-32449783.185510345</c:v>
                      </c:pt>
                      <c:pt idx="954">
                        <c:v>-32484132.108723562</c:v>
                      </c:pt>
                      <c:pt idx="955">
                        <c:v>-32518481.031726468</c:v>
                      </c:pt>
                      <c:pt idx="956">
                        <c:v>-32552829.954519507</c:v>
                      </c:pt>
                      <c:pt idx="957">
                        <c:v>-32587178.877103116</c:v>
                      </c:pt>
                      <c:pt idx="958">
                        <c:v>-32621527.799477741</c:v>
                      </c:pt>
                      <c:pt idx="959">
                        <c:v>-32655876.72164382</c:v>
                      </c:pt>
                      <c:pt idx="960">
                        <c:v>-32690225.643601798</c:v>
                      </c:pt>
                      <c:pt idx="961">
                        <c:v>-32724574.565352108</c:v>
                      </c:pt>
                      <c:pt idx="962">
                        <c:v>-32758923.486895185</c:v>
                      </c:pt>
                      <c:pt idx="963">
                        <c:v>-32793272.408231463</c:v>
                      </c:pt>
                      <c:pt idx="964">
                        <c:v>-32827621.329361375</c:v>
                      </c:pt>
                      <c:pt idx="965">
                        <c:v>-32861970.250285357</c:v>
                      </c:pt>
                      <c:pt idx="966">
                        <c:v>-32896319.171003841</c:v>
                      </c:pt>
                      <c:pt idx="967">
                        <c:v>-32930668.091517247</c:v>
                      </c:pt>
                      <c:pt idx="968">
                        <c:v>-32965017.011826012</c:v>
                      </c:pt>
                      <c:pt idx="969">
                        <c:v>-32999365.931930561</c:v>
                      </c:pt>
                      <c:pt idx="970">
                        <c:v>-33033714.851831317</c:v>
                      </c:pt>
                      <c:pt idx="971">
                        <c:v>-33068063.771528706</c:v>
                      </c:pt>
                      <c:pt idx="972">
                        <c:v>-33102412.691023149</c:v>
                      </c:pt>
                      <c:pt idx="973">
                        <c:v>-33136761.610315066</c:v>
                      </c:pt>
                      <c:pt idx="974">
                        <c:v>-33171110.529404879</c:v>
                      </c:pt>
                      <c:pt idx="975">
                        <c:v>-33205459.448293004</c:v>
                      </c:pt>
                      <c:pt idx="976">
                        <c:v>-33239808.366979863</c:v>
                      </c:pt>
                      <c:pt idx="977">
                        <c:v>-33274157.28546587</c:v>
                      </c:pt>
                      <c:pt idx="978">
                        <c:v>-33308506.203751441</c:v>
                      </c:pt>
                      <c:pt idx="979">
                        <c:v>-33342855.121836986</c:v>
                      </c:pt>
                      <c:pt idx="980">
                        <c:v>-33377204.039722919</c:v>
                      </c:pt>
                      <c:pt idx="981">
                        <c:v>-33411552.957409654</c:v>
                      </c:pt>
                      <c:pt idx="982">
                        <c:v>-33445901.874897595</c:v>
                      </c:pt>
                      <c:pt idx="983">
                        <c:v>-33480250.792187158</c:v>
                      </c:pt>
                      <c:pt idx="984">
                        <c:v>-33514599.709278744</c:v>
                      </c:pt>
                      <c:pt idx="985">
                        <c:v>-33548948.626172759</c:v>
                      </c:pt>
                      <c:pt idx="986">
                        <c:v>-33583297.542869613</c:v>
                      </c:pt>
                      <c:pt idx="987">
                        <c:v>-33617646.459369704</c:v>
                      </c:pt>
                      <c:pt idx="988">
                        <c:v>-33651995.375673436</c:v>
                      </c:pt>
                      <c:pt idx="989">
                        <c:v>-33686344.291781209</c:v>
                      </c:pt>
                      <c:pt idx="990">
                        <c:v>-33720693.207693428</c:v>
                      </c:pt>
                      <c:pt idx="991">
                        <c:v>-33755042.123410478</c:v>
                      </c:pt>
                      <c:pt idx="992">
                        <c:v>-33789391.03893277</c:v>
                      </c:pt>
                      <c:pt idx="993">
                        <c:v>-33823739.954260699</c:v>
                      </c:pt>
                      <c:pt idx="994">
                        <c:v>-33858088.869394653</c:v>
                      </c:pt>
                      <c:pt idx="995">
                        <c:v>-33892437.784335025</c:v>
                      </c:pt>
                      <c:pt idx="996">
                        <c:v>-33926786.699082218</c:v>
                      </c:pt>
                      <c:pt idx="997">
                        <c:v>-33961135.613636613</c:v>
                      </c:pt>
                      <c:pt idx="998">
                        <c:v>-33995484.527998604</c:v>
                      </c:pt>
                      <c:pt idx="999">
                        <c:v>-34029833.442168579</c:v>
                      </c:pt>
                      <c:pt idx="1000">
                        <c:v>-34064182.356146932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Conditions!$Q$4:$Q$1004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-177.9161831415428</c:v>
                      </c:pt>
                      <c:pt idx="2">
                        <c:v>-715.63929674893495</c:v>
                      </c:pt>
                      <c:pt idx="3">
                        <c:v>-1630.2399030755005</c:v>
                      </c:pt>
                      <c:pt idx="4">
                        <c:v>-2961.3072506119138</c:v>
                      </c:pt>
                      <c:pt idx="5">
                        <c:v>-4785.4871702912706</c:v>
                      </c:pt>
                      <c:pt idx="6">
                        <c:v>-7252.2819303592014</c:v>
                      </c:pt>
                      <c:pt idx="7">
                        <c:v>-10689.950655621962</c:v>
                      </c:pt>
                      <c:pt idx="8">
                        <c:v>-16097.142911481362</c:v>
                      </c:pt>
                      <c:pt idx="9">
                        <c:v>-11031.911727376026</c:v>
                      </c:pt>
                      <c:pt idx="10">
                        <c:v>5894.309533296966</c:v>
                      </c:pt>
                      <c:pt idx="11">
                        <c:v>22833.857838470034</c:v>
                      </c:pt>
                      <c:pt idx="12">
                        <c:v>39763.482927909943</c:v>
                      </c:pt>
                      <c:pt idx="13">
                        <c:v>56686.161355833632</c:v>
                      </c:pt>
                      <c:pt idx="14">
                        <c:v>73604.472298110137</c:v>
                      </c:pt>
                      <c:pt idx="15">
                        <c:v>90519.82182925519</c:v>
                      </c:pt>
                      <c:pt idx="16">
                        <c:v>107433.03734772817</c:v>
                      </c:pt>
                      <c:pt idx="17">
                        <c:v>124344.64360215281</c:v>
                      </c:pt>
                      <c:pt idx="18">
                        <c:v>141254.99352478315</c:v>
                      </c:pt>
                      <c:pt idx="19">
                        <c:v>158164.33563772269</c:v>
                      </c:pt>
                      <c:pt idx="20">
                        <c:v>175072.85145901507</c:v>
                      </c:pt>
                      <c:pt idx="21">
                        <c:v>191980.67756883334</c:v>
                      </c:pt>
                      <c:pt idx="22">
                        <c:v>208887.91929628426</c:v>
                      </c:pt>
                      <c:pt idx="23">
                        <c:v>225794.65956988517</c:v>
                      </c:pt>
                      <c:pt idx="24">
                        <c:v>242700.96484476927</c:v>
                      </c:pt>
                      <c:pt idx="25">
                        <c:v>259606.8891924549</c:v>
                      </c:pt>
                      <c:pt idx="26">
                        <c:v>276512.47719632031</c:v>
                      </c:pt>
                      <c:pt idx="27">
                        <c:v>293417.76604795764</c:v>
                      </c:pt>
                      <c:pt idx="28">
                        <c:v>310322.78709509311</c:v>
                      </c:pt>
                      <c:pt idx="29">
                        <c:v>327227.56700461556</c:v>
                      </c:pt>
                      <c:pt idx="30">
                        <c:v>344132.1286500764</c:v>
                      </c:pt>
                      <c:pt idx="31">
                        <c:v>361036.49179842323</c:v>
                      </c:pt>
                      <c:pt idx="32">
                        <c:v>377940.6736480933</c:v>
                      </c:pt>
                      <c:pt idx="33">
                        <c:v>394844.68925546273</c:v>
                      </c:pt>
                      <c:pt idx="34">
                        <c:v>411748.55187633494</c:v>
                      </c:pt>
                      <c:pt idx="35">
                        <c:v>428652.27324199845</c:v>
                      </c:pt>
                      <c:pt idx="36">
                        <c:v>445555.86378433969</c:v>
                      </c:pt>
                      <c:pt idx="37">
                        <c:v>462459.33282089018</c:v>
                      </c:pt>
                      <c:pt idx="38">
                        <c:v>479362.68870806973</c:v>
                      </c:pt>
                      <c:pt idx="39">
                        <c:v>496265.9389689659</c:v>
                      </c:pt>
                      <c:pt idx="40">
                        <c:v>513169.09040056326</c:v>
                      </c:pt>
                      <c:pt idx="41">
                        <c:v>530072.14916426502</c:v>
                      </c:pt>
                      <c:pt idx="42">
                        <c:v>546975.12086273544</c:v>
                      </c:pt>
                      <c:pt idx="43">
                        <c:v>563878.01060547121</c:v>
                      </c:pt>
                      <c:pt idx="44">
                        <c:v>580780.82306502853</c:v>
                      </c:pt>
                      <c:pt idx="45">
                        <c:v>597683.56252545991</c:v>
                      </c:pt>
                      <c:pt idx="46">
                        <c:v>614586.23292422004</c:v>
                      </c:pt>
                      <c:pt idx="47">
                        <c:v>631488.83788857062</c:v>
                      </c:pt>
                      <c:pt idx="48">
                        <c:v>648391.38076732785</c:v>
                      </c:pt>
                      <c:pt idx="49">
                        <c:v>665293.86465865013</c:v>
                      </c:pt>
                      <c:pt idx="50">
                        <c:v>682196.29243444314</c:v>
                      </c:pt>
                      <c:pt idx="51">
                        <c:v>699098.66676186642</c:v>
                      </c:pt>
                      <c:pt idx="52">
                        <c:v>716000.9901223433</c:v>
                      </c:pt>
                      <c:pt idx="53">
                        <c:v>732903.26482841501</c:v>
                      </c:pt>
                      <c:pt idx="54">
                        <c:v>749805.49303872534</c:v>
                      </c:pt>
                      <c:pt idx="55">
                        <c:v>766707.67677137966</c:v>
                      </c:pt>
                      <c:pt idx="56">
                        <c:v>783609.81791588501</c:v>
                      </c:pt>
                      <c:pt idx="57">
                        <c:v>800511.91824384884</c:v>
                      </c:pt>
                      <c:pt idx="58">
                        <c:v>817413.97941858775</c:v>
                      </c:pt>
                      <c:pt idx="59">
                        <c:v>834316.00300377677</c:v>
                      </c:pt>
                      <c:pt idx="60">
                        <c:v>851217.99047125224</c:v>
                      </c:pt>
                      <c:pt idx="61">
                        <c:v>868119.94320806547</c:v>
                      </c:pt>
                      <c:pt idx="62">
                        <c:v>885021.8625228717</c:v>
                      </c:pt>
                      <c:pt idx="63">
                        <c:v>901923.74965172936</c:v>
                      </c:pt>
                      <c:pt idx="64">
                        <c:v>918825.60576337168</c:v>
                      </c:pt>
                      <c:pt idx="65">
                        <c:v>935727.43196400872</c:v>
                      </c:pt>
                      <c:pt idx="66">
                        <c:v>952629.22930170933</c:v>
                      </c:pt>
                      <c:pt idx="67">
                        <c:v>969530.99877040507</c:v>
                      </c:pt>
                      <c:pt idx="68">
                        <c:v>986432.74131355574</c:v>
                      </c:pt>
                      <c:pt idx="69">
                        <c:v>1003334.4578275097</c:v>
                      </c:pt>
                      <c:pt idx="70">
                        <c:v>1020236.1491645892</c:v>
                      </c:pt>
                      <c:pt idx="71">
                        <c:v>1037137.8161359273</c:v>
                      </c:pt>
                      <c:pt idx="72">
                        <c:v>1054039.4595140794</c:v>
                      </c:pt>
                      <c:pt idx="73">
                        <c:v>1070941.0800354315</c:v>
                      </c:pt>
                      <c:pt idx="74">
                        <c:v>1087842.6784024239</c:v>
                      </c:pt>
                      <c:pt idx="75">
                        <c:v>1104744.2552856051</c:v>
                      </c:pt>
                      <c:pt idx="76">
                        <c:v>1121645.811325534</c:v>
                      </c:pt>
                      <c:pt idx="77">
                        <c:v>1138547.3471345427</c:v>
                      </c:pt>
                      <c:pt idx="78">
                        <c:v>1155448.8632983693</c:v>
                      </c:pt>
                      <c:pt idx="79">
                        <c:v>1172350.3603776777</c:v>
                      </c:pt>
                      <c:pt idx="80">
                        <c:v>1189251.8389094672</c:v>
                      </c:pt>
                      <c:pt idx="81">
                        <c:v>1206153.2994083869</c:v>
                      </c:pt>
                      <c:pt idx="82">
                        <c:v>1223054.7423679582</c:v>
                      </c:pt>
                      <c:pt idx="83">
                        <c:v>1239956.1682617159</c:v>
                      </c:pt>
                      <c:pt idx="84">
                        <c:v>1256857.5775442736</c:v>
                      </c:pt>
                      <c:pt idx="85">
                        <c:v>1273758.9706523174</c:v>
                      </c:pt>
                      <c:pt idx="86">
                        <c:v>1290660.3480055372</c:v>
                      </c:pt>
                      <c:pt idx="87">
                        <c:v>1307561.7100074971</c:v>
                      </c:pt>
                      <c:pt idx="88">
                        <c:v>1324463.0570464511</c:v>
                      </c:pt>
                      <c:pt idx="89">
                        <c:v>1341364.3894961081</c:v>
                      </c:pt>
                      <c:pt idx="90">
                        <c:v>1358265.7077163486</c:v>
                      </c:pt>
                      <c:pt idx="91">
                        <c:v>1375167.0120538999</c:v>
                      </c:pt>
                      <c:pt idx="92">
                        <c:v>1392068.3028429684</c:v>
                      </c:pt>
                      <c:pt idx="93">
                        <c:v>1408969.580405836</c:v>
                      </c:pt>
                      <c:pt idx="94">
                        <c:v>1425870.8450534202</c:v>
                      </c:pt>
                      <c:pt idx="95">
                        <c:v>1442772.0970858019</c:v>
                      </c:pt>
                      <c:pt idx="96">
                        <c:v>1459673.3367927244</c:v>
                      </c:pt>
                      <c:pt idx="97">
                        <c:v>1476574.5644540617</c:v>
                      </c:pt>
                      <c:pt idx="98">
                        <c:v>1493475.7803402622</c:v>
                      </c:pt>
                      <c:pt idx="99">
                        <c:v>1510376.9847127674</c:v>
                      </c:pt>
                      <c:pt idx="100">
                        <c:v>1527278.1778244069</c:v>
                      </c:pt>
                      <c:pt idx="101">
                        <c:v>1544179.3599197729</c:v>
                      </c:pt>
                      <c:pt idx="102">
                        <c:v>1561080.5312355743</c:v>
                      </c:pt>
                      <c:pt idx="103">
                        <c:v>1577981.6920009716</c:v>
                      </c:pt>
                      <c:pt idx="104">
                        <c:v>1594882.8424378948</c:v>
                      </c:pt>
                      <c:pt idx="105">
                        <c:v>1611783.9827613439</c:v>
                      </c:pt>
                      <c:pt idx="106">
                        <c:v>1628685.1131796751</c:v>
                      </c:pt>
                      <c:pt idx="107">
                        <c:v>1645586.2338948711</c:v>
                      </c:pt>
                      <c:pt idx="108">
                        <c:v>1662487.3451027991</c:v>
                      </c:pt>
                      <c:pt idx="109">
                        <c:v>1679388.4469934546</c:v>
                      </c:pt>
                      <c:pt idx="110">
                        <c:v>1696289.539751194</c:v>
                      </c:pt>
                      <c:pt idx="111">
                        <c:v>1713190.6235549557</c:v>
                      </c:pt>
                      <c:pt idx="112">
                        <c:v>1730091.6985784704</c:v>
                      </c:pt>
                      <c:pt idx="113">
                        <c:v>1746992.7649904608</c:v>
                      </c:pt>
                      <c:pt idx="114">
                        <c:v>1763893.8229548328</c:v>
                      </c:pt>
                      <c:pt idx="115">
                        <c:v>1780794.8726308567</c:v>
                      </c:pt>
                      <c:pt idx="116">
                        <c:v>1797695.9141733409</c:v>
                      </c:pt>
                      <c:pt idx="117">
                        <c:v>1814596.947732796</c:v>
                      </c:pt>
                      <c:pt idx="118">
                        <c:v>1831497.9734555937</c:v>
                      </c:pt>
                      <c:pt idx="119">
                        <c:v>1848398.9914841165</c:v>
                      </c:pt>
                      <c:pt idx="120">
                        <c:v>1865300.001956901</c:v>
                      </c:pt>
                      <c:pt idx="121">
                        <c:v>1882201.0050087762</c:v>
                      </c:pt>
                      <c:pt idx="122">
                        <c:v>1899102.0007709933</c:v>
                      </c:pt>
                      <c:pt idx="123">
                        <c:v>1916002.9893713524</c:v>
                      </c:pt>
                      <c:pt idx="124">
                        <c:v>1932903.9709343221</c:v>
                      </c:pt>
                      <c:pt idx="125">
                        <c:v>1949804.945581154</c:v>
                      </c:pt>
                      <c:pt idx="126">
                        <c:v>1966705.9134299923</c:v>
                      </c:pt>
                      <c:pt idx="127">
                        <c:v>1983606.8745959802</c:v>
                      </c:pt>
                      <c:pt idx="128">
                        <c:v>2000507.8291913597</c:v>
                      </c:pt>
                      <c:pt idx="129">
                        <c:v>2017408.7773255687</c:v>
                      </c:pt>
                      <c:pt idx="130">
                        <c:v>2034309.7191053333</c:v>
                      </c:pt>
                      <c:pt idx="131">
                        <c:v>2051210.6546347572</c:v>
                      </c:pt>
                      <c:pt idx="132">
                        <c:v>2068111.5840154064</c:v>
                      </c:pt>
                      <c:pt idx="133">
                        <c:v>2085012.5073463912</c:v>
                      </c:pt>
                      <c:pt idx="134">
                        <c:v>2101913.4247244447</c:v>
                      </c:pt>
                      <c:pt idx="135">
                        <c:v>2118814.3362439983</c:v>
                      </c:pt>
                      <c:pt idx="136">
                        <c:v>2135715.2419972545</c:v>
                      </c:pt>
                      <c:pt idx="137">
                        <c:v>2152616.1420742557</c:v>
                      </c:pt>
                      <c:pt idx="138">
                        <c:v>2169517.0365629517</c:v>
                      </c:pt>
                      <c:pt idx="139">
                        <c:v>2186417.9255492636</c:v>
                      </c:pt>
                      <c:pt idx="140">
                        <c:v>2203318.8091171463</c:v>
                      </c:pt>
                      <c:pt idx="141">
                        <c:v>2220219.6873486484</c:v>
                      </c:pt>
                      <c:pt idx="142">
                        <c:v>2237120.5603239676</c:v>
                      </c:pt>
                      <c:pt idx="143">
                        <c:v>2254021.4281215081</c:v>
                      </c:pt>
                      <c:pt idx="144">
                        <c:v>2270922.2908179322</c:v>
                      </c:pt>
                      <c:pt idx="145">
                        <c:v>2287823.1484882124</c:v>
                      </c:pt>
                      <c:pt idx="146">
                        <c:v>2304724.0012056804</c:v>
                      </c:pt>
                      <c:pt idx="147">
                        <c:v>2321624.8490420752</c:v>
                      </c:pt>
                      <c:pt idx="148">
                        <c:v>2338525.6920675873</c:v>
                      </c:pt>
                      <c:pt idx="149">
                        <c:v>2355426.5303509049</c:v>
                      </c:pt>
                      <c:pt idx="150">
                        <c:v>2372327.3639592552</c:v>
                      </c:pt>
                      <c:pt idx="151">
                        <c:v>2389228.1929584453</c:v>
                      </c:pt>
                      <c:pt idx="152">
                        <c:v>2406129.0174129033</c:v>
                      </c:pt>
                      <c:pt idx="153">
                        <c:v>2423029.8373857159</c:v>
                      </c:pt>
                      <c:pt idx="154">
                        <c:v>2439930.6529386644</c:v>
                      </c:pt>
                      <c:pt idx="155">
                        <c:v>2456831.4641322619</c:v>
                      </c:pt>
                      <c:pt idx="156">
                        <c:v>2473732.2710257871</c:v>
                      </c:pt>
                      <c:pt idx="157">
                        <c:v>2490633.0736773177</c:v>
                      </c:pt>
                      <c:pt idx="158">
                        <c:v>2507533.8721437627</c:v>
                      </c:pt>
                      <c:pt idx="159">
                        <c:v>2524434.6664808933</c:v>
                      </c:pt>
                      <c:pt idx="160">
                        <c:v>2541335.456743374</c:v>
                      </c:pt>
                      <c:pt idx="161">
                        <c:v>2558236.2429847899</c:v>
                      </c:pt>
                      <c:pt idx="162">
                        <c:v>2575137.0252576768</c:v>
                      </c:pt>
                      <c:pt idx="163">
                        <c:v>2592037.8036135468</c:v>
                      </c:pt>
                      <c:pt idx="164">
                        <c:v>2608938.5781029165</c:v>
                      </c:pt>
                      <c:pt idx="165">
                        <c:v>2625839.3487753305</c:v>
                      </c:pt>
                      <c:pt idx="166">
                        <c:v>2642740.1156793879</c:v>
                      </c:pt>
                      <c:pt idx="167">
                        <c:v>2659640.8788627656</c:v>
                      </c:pt>
                      <c:pt idx="168">
                        <c:v>2676541.6383722406</c:v>
                      </c:pt>
                      <c:pt idx="169">
                        <c:v>2693442.3942537135</c:v>
                      </c:pt>
                      <c:pt idx="170">
                        <c:v>2710343.1465522307</c:v>
                      </c:pt>
                      <c:pt idx="171">
                        <c:v>2727243.8953120043</c:v>
                      </c:pt>
                      <c:pt idx="172">
                        <c:v>2744144.6405764329</c:v>
                      </c:pt>
                      <c:pt idx="173">
                        <c:v>2761045.3823881214</c:v>
                      </c:pt>
                      <c:pt idx="174">
                        <c:v>2777946.1207889016</c:v>
                      </c:pt>
                      <c:pt idx="175">
                        <c:v>2794846.8558198484</c:v>
                      </c:pt>
                      <c:pt idx="176">
                        <c:v>2811747.5875212997</c:v>
                      </c:pt>
                      <c:pt idx="177">
                        <c:v>2828648.3159328741</c:v>
                      </c:pt>
                      <c:pt idx="178">
                        <c:v>2845549.0410934854</c:v>
                      </c:pt>
                      <c:pt idx="179">
                        <c:v>2862449.7630413631</c:v>
                      </c:pt>
                      <c:pt idx="180">
                        <c:v>2879350.481814065</c:v>
                      </c:pt>
                      <c:pt idx="181">
                        <c:v>2896251.1974484944</c:v>
                      </c:pt>
                      <c:pt idx="182">
                        <c:v>2913151.9099809155</c:v>
                      </c:pt>
                      <c:pt idx="183">
                        <c:v>2930052.6194469663</c:v>
                      </c:pt>
                      <c:pt idx="184">
                        <c:v>2946953.3258816758</c:v>
                      </c:pt>
                      <c:pt idx="185">
                        <c:v>2963854.0293194749</c:v>
                      </c:pt>
                      <c:pt idx="186">
                        <c:v>2980754.7297942112</c:v>
                      </c:pt>
                      <c:pt idx="187">
                        <c:v>2997655.4273391631</c:v>
                      </c:pt>
                      <c:pt idx="188">
                        <c:v>3014556.1219870504</c:v>
                      </c:pt>
                      <c:pt idx="189">
                        <c:v>3031456.8137700488</c:v>
                      </c:pt>
                      <c:pt idx="190">
                        <c:v>3048357.5027198</c:v>
                      </c:pt>
                      <c:pt idx="191">
                        <c:v>3065258.1888674251</c:v>
                      </c:pt>
                      <c:pt idx="192">
                        <c:v>3082158.8722435352</c:v>
                      </c:pt>
                      <c:pt idx="193">
                        <c:v>3099059.5528782415</c:v>
                      </c:pt>
                      <c:pt idx="194">
                        <c:v>3115960.2308011688</c:v>
                      </c:pt>
                      <c:pt idx="195">
                        <c:v>3132860.9060414624</c:v>
                      </c:pt>
                      <c:pt idx="196">
                        <c:v>3149761.578627802</c:v>
                      </c:pt>
                      <c:pt idx="197">
                        <c:v>3166662.2485884088</c:v>
                      </c:pt>
                      <c:pt idx="198">
                        <c:v>3183562.9159510559</c:v>
                      </c:pt>
                      <c:pt idx="199">
                        <c:v>3200463.5807430795</c:v>
                      </c:pt>
                      <c:pt idx="200">
                        <c:v>3217364.2429913851</c:v>
                      </c:pt>
                      <c:pt idx="201">
                        <c:v>3234264.9027224588</c:v>
                      </c:pt>
                      <c:pt idx="202">
                        <c:v>3251165.5599623751</c:v>
                      </c:pt>
                      <c:pt idx="203">
                        <c:v>3268066.2147368053</c:v>
                      </c:pt>
                      <c:pt idx="204">
                        <c:v>3284966.8670710255</c:v>
                      </c:pt>
                      <c:pt idx="205">
                        <c:v>3301867.5169899263</c:v>
                      </c:pt>
                      <c:pt idx="206">
                        <c:v>3318768.1645180183</c:v>
                      </c:pt>
                      <c:pt idx="207">
                        <c:v>3335668.8096794412</c:v>
                      </c:pt>
                      <c:pt idx="208">
                        <c:v>3352569.4524979708</c:v>
                      </c:pt>
                      <c:pt idx="209">
                        <c:v>3369470.0929970271</c:v>
                      </c:pt>
                      <c:pt idx="210">
                        <c:v>3386370.7311996794</c:v>
                      </c:pt>
                      <c:pt idx="211">
                        <c:v>3403271.3671286558</c:v>
                      </c:pt>
                      <c:pt idx="212">
                        <c:v>3420172.0008063475</c:v>
                      </c:pt>
                      <c:pt idx="213">
                        <c:v>3437072.6322548175</c:v>
                      </c:pt>
                      <c:pt idx="214">
                        <c:v>3453973.2614958058</c:v>
                      </c:pt>
                      <c:pt idx="215">
                        <c:v>3470873.8885507355</c:v>
                      </c:pt>
                      <c:pt idx="216">
                        <c:v>3487774.5134407203</c:v>
                      </c:pt>
                      <c:pt idx="217">
                        <c:v>3504675.1361865685</c:v>
                      </c:pt>
                      <c:pt idx="218">
                        <c:v>3521575.7568087899</c:v>
                      </c:pt>
                      <c:pt idx="219">
                        <c:v>3538476.3753276025</c:v>
                      </c:pt>
                      <c:pt idx="220">
                        <c:v>3555376.9917629352</c:v>
                      </c:pt>
                      <c:pt idx="221">
                        <c:v>3572277.6061344366</c:v>
                      </c:pt>
                      <c:pt idx="222">
                        <c:v>3589178.2184614777</c:v>
                      </c:pt>
                      <c:pt idx="223">
                        <c:v>3606078.8287631585</c:v>
                      </c:pt>
                      <c:pt idx="224">
                        <c:v>3622979.4370583124</c:v>
                      </c:pt>
                      <c:pt idx="225">
                        <c:v>3639880.0433655116</c:v>
                      </c:pt>
                      <c:pt idx="226">
                        <c:v>3656780.6477030707</c:v>
                      </c:pt>
                      <c:pt idx="227">
                        <c:v>3673681.250089054</c:v>
                      </c:pt>
                      <c:pt idx="228">
                        <c:v>3690581.8505412769</c:v>
                      </c:pt>
                      <c:pt idx="229">
                        <c:v>3707482.4490773128</c:v>
                      </c:pt>
                      <c:pt idx="230">
                        <c:v>3724383.0457144962</c:v>
                      </c:pt>
                      <c:pt idx="231">
                        <c:v>3741283.6404699273</c:v>
                      </c:pt>
                      <c:pt idx="232">
                        <c:v>3758184.2333604773</c:v>
                      </c:pt>
                      <c:pt idx="233">
                        <c:v>3775084.8244027905</c:v>
                      </c:pt>
                      <c:pt idx="234">
                        <c:v>3791985.4136132896</c:v>
                      </c:pt>
                      <c:pt idx="235">
                        <c:v>3808886.00100818</c:v>
                      </c:pt>
                      <c:pt idx="236">
                        <c:v>3825786.586603452</c:v>
                      </c:pt>
                      <c:pt idx="237">
                        <c:v>3842687.1704148864</c:v>
                      </c:pt>
                      <c:pt idx="238">
                        <c:v>3859587.7524580569</c:v>
                      </c:pt>
                      <c:pt idx="239">
                        <c:v>3876488.3327483339</c:v>
                      </c:pt>
                      <c:pt idx="240">
                        <c:v>3893388.9113008892</c:v>
                      </c:pt>
                      <c:pt idx="241">
                        <c:v>3910289.4881306975</c:v>
                      </c:pt>
                      <c:pt idx="242">
                        <c:v>3927190.0632525417</c:v>
                      </c:pt>
                      <c:pt idx="243">
                        <c:v>3944090.6366810142</c:v>
                      </c:pt>
                      <c:pt idx="244">
                        <c:v>3960991.2084305217</c:v>
                      </c:pt>
                      <c:pt idx="245">
                        <c:v>3977891.7785152877</c:v>
                      </c:pt>
                      <c:pt idx="246">
                        <c:v>3994792.3469493566</c:v>
                      </c:pt>
                      <c:pt idx="247">
                        <c:v>4011692.9137465945</c:v>
                      </c:pt>
                      <c:pt idx="248">
                        <c:v>4028593.4789206935</c:v>
                      </c:pt>
                      <c:pt idx="249">
                        <c:v>4045494.0424851757</c:v>
                      </c:pt>
                      <c:pt idx="250">
                        <c:v>4062394.6044533942</c:v>
                      </c:pt>
                      <c:pt idx="251">
                        <c:v>4079295.1648385371</c:v>
                      </c:pt>
                      <c:pt idx="252">
                        <c:v>4096195.7236536294</c:v>
                      </c:pt>
                      <c:pt idx="253">
                        <c:v>4113096.280911536</c:v>
                      </c:pt>
                      <c:pt idx="254">
                        <c:v>4129996.8366249641</c:v>
                      </c:pt>
                      <c:pt idx="255">
                        <c:v>4146897.3908064668</c:v>
                      </c:pt>
                      <c:pt idx="256">
                        <c:v>4163797.943468444</c:v>
                      </c:pt>
                      <c:pt idx="257">
                        <c:v>4180698.4946231456</c:v>
                      </c:pt>
                      <c:pt idx="258">
                        <c:v>4197599.0442826739</c:v>
                      </c:pt>
                      <c:pt idx="259">
                        <c:v>4214499.5924589876</c:v>
                      </c:pt>
                      <c:pt idx="260">
                        <c:v>4231400.1391639002</c:v>
                      </c:pt>
                      <c:pt idx="261">
                        <c:v>4248300.6844090866</c:v>
                      </c:pt>
                      <c:pt idx="262">
                        <c:v>4265201.2282060813</c:v>
                      </c:pt>
                      <c:pt idx="263">
                        <c:v>4282101.7705662847</c:v>
                      </c:pt>
                      <c:pt idx="264">
                        <c:v>4299002.3115009628</c:v>
                      </c:pt>
                      <c:pt idx="265">
                        <c:v>4315902.8510212479</c:v>
                      </c:pt>
                      <c:pt idx="266">
                        <c:v>4332803.3891381426</c:v>
                      </c:pt>
                      <c:pt idx="267">
                        <c:v>4349703.9258625237</c:v>
                      </c:pt>
                      <c:pt idx="268">
                        <c:v>4366604.4612051407</c:v>
                      </c:pt>
                      <c:pt idx="269">
                        <c:v>4383504.995176618</c:v>
                      </c:pt>
                      <c:pt idx="270">
                        <c:v>4400405.5277874609</c:v>
                      </c:pt>
                      <c:pt idx="271">
                        <c:v>4417306.059048051</c:v>
                      </c:pt>
                      <c:pt idx="272">
                        <c:v>4434206.5889686551</c:v>
                      </c:pt>
                      <c:pt idx="273">
                        <c:v>4451107.1175594199</c:v>
                      </c:pt>
                      <c:pt idx="274">
                        <c:v>4468007.6448303787</c:v>
                      </c:pt>
                      <c:pt idx="275">
                        <c:v>4484908.1707914528</c:v>
                      </c:pt>
                      <c:pt idx="276">
                        <c:v>4501808.6954524498</c:v>
                      </c:pt>
                      <c:pt idx="277">
                        <c:v>4518709.2188230697</c:v>
                      </c:pt>
                      <c:pt idx="278">
                        <c:v>4535609.7409129031</c:v>
                      </c:pt>
                      <c:pt idx="279">
                        <c:v>4552510.2617314355</c:v>
                      </c:pt>
                      <c:pt idx="280">
                        <c:v>4569410.7812880445</c:v>
                      </c:pt>
                      <c:pt idx="281">
                        <c:v>4586311.2995920079</c:v>
                      </c:pt>
                      <c:pt idx="282">
                        <c:v>4603211.8166524991</c:v>
                      </c:pt>
                      <c:pt idx="283">
                        <c:v>4620112.3324785922</c:v>
                      </c:pt>
                      <c:pt idx="284">
                        <c:v>4637012.8470792612</c:v>
                      </c:pt>
                      <c:pt idx="285">
                        <c:v>4653913.3604633836</c:v>
                      </c:pt>
                      <c:pt idx="286">
                        <c:v>4670813.8726397399</c:v>
                      </c:pt>
                      <c:pt idx="287">
                        <c:v>4687714.3836170174</c:v>
                      </c:pt>
                      <c:pt idx="288">
                        <c:v>4704614.8934038095</c:v>
                      </c:pt>
                      <c:pt idx="289">
                        <c:v>4721515.4020086164</c:v>
                      </c:pt>
                      <c:pt idx="290">
                        <c:v>4738415.9094398478</c:v>
                      </c:pt>
                      <c:pt idx="291">
                        <c:v>4755316.4157058261</c:v>
                      </c:pt>
                      <c:pt idx="292">
                        <c:v>4772216.9208147824</c:v>
                      </c:pt>
                      <c:pt idx="293">
                        <c:v>4789117.4247748628</c:v>
                      </c:pt>
                      <c:pt idx="294">
                        <c:v>4806017.9275941281</c:v>
                      </c:pt>
                      <c:pt idx="295">
                        <c:v>4822918.429280553</c:v>
                      </c:pt>
                      <c:pt idx="296">
                        <c:v>4839818.9298420288</c:v>
                      </c:pt>
                      <c:pt idx="297">
                        <c:v>4856719.4292863663</c:v>
                      </c:pt>
                      <c:pt idx="298">
                        <c:v>4873619.9276212947</c:v>
                      </c:pt>
                      <c:pt idx="299">
                        <c:v>4890520.424854463</c:v>
                      </c:pt>
                      <c:pt idx="300">
                        <c:v>4907420.9209934408</c:v>
                      </c:pt>
                      <c:pt idx="301">
                        <c:v>4924321.4160457198</c:v>
                      </c:pt>
                      <c:pt idx="302">
                        <c:v>4941221.9100187169</c:v>
                      </c:pt>
                      <c:pt idx="303">
                        <c:v>4958122.4029197711</c:v>
                      </c:pt>
                      <c:pt idx="304">
                        <c:v>4975022.8947561486</c:v>
                      </c:pt>
                      <c:pt idx="305">
                        <c:v>4991923.3855350409</c:v>
                      </c:pt>
                      <c:pt idx="306">
                        <c:v>5008823.8752635671</c:v>
                      </c:pt>
                      <c:pt idx="307">
                        <c:v>5025724.3639487745</c:v>
                      </c:pt>
                      <c:pt idx="308">
                        <c:v>5042624.8515976407</c:v>
                      </c:pt>
                      <c:pt idx="309">
                        <c:v>5059525.3382170713</c:v>
                      </c:pt>
                      <c:pt idx="310">
                        <c:v>5076425.823813905</c:v>
                      </c:pt>
                      <c:pt idx="311">
                        <c:v>5093326.3083949126</c:v>
                      </c:pt>
                      <c:pt idx="312">
                        <c:v>5110226.7919667969</c:v>
                      </c:pt>
                      <c:pt idx="313">
                        <c:v>5127127.2745361952</c:v>
                      </c:pt>
                      <c:pt idx="314">
                        <c:v>5144027.7561096791</c:v>
                      </c:pt>
                      <c:pt idx="315">
                        <c:v>5160928.2366937576</c:v>
                      </c:pt>
                      <c:pt idx="316">
                        <c:v>5177828.7162948726</c:v>
                      </c:pt>
                      <c:pt idx="317">
                        <c:v>5194729.1949194064</c:v>
                      </c:pt>
                      <c:pt idx="318">
                        <c:v>5211629.6725736773</c:v>
                      </c:pt>
                      <c:pt idx="319">
                        <c:v>5228530.1492639445</c:v>
                      </c:pt>
                      <c:pt idx="320">
                        <c:v>5245430.6249964051</c:v>
                      </c:pt>
                      <c:pt idx="321">
                        <c:v>5262331.0997771984</c:v>
                      </c:pt>
                      <c:pt idx="322">
                        <c:v>5279231.5736124022</c:v>
                      </c:pt>
                      <c:pt idx="323">
                        <c:v>5296132.0465080384</c:v>
                      </c:pt>
                      <c:pt idx="324">
                        <c:v>5313032.5184700713</c:v>
                      </c:pt>
                      <c:pt idx="325">
                        <c:v>5329932.9895044072</c:v>
                      </c:pt>
                      <c:pt idx="326">
                        <c:v>5346833.4596168986</c:v>
                      </c:pt>
                      <c:pt idx="327">
                        <c:v>5363733.9288133411</c:v>
                      </c:pt>
                      <c:pt idx="328">
                        <c:v>5380634.3970994772</c:v>
                      </c:pt>
                      <c:pt idx="329">
                        <c:v>5397534.8644809937</c:v>
                      </c:pt>
                      <c:pt idx="330">
                        <c:v>5414435.3309635259</c:v>
                      </c:pt>
                      <c:pt idx="331">
                        <c:v>5431335.7965526562</c:v>
                      </c:pt>
                      <c:pt idx="332">
                        <c:v>5448236.2612539148</c:v>
                      </c:pt>
                      <c:pt idx="333">
                        <c:v>5465136.7250727816</c:v>
                      </c:pt>
                      <c:pt idx="334">
                        <c:v>5482037.1880146852</c:v>
                      </c:pt>
                      <c:pt idx="335">
                        <c:v>5498937.650085004</c:v>
                      </c:pt>
                      <c:pt idx="336">
                        <c:v>5515838.1112890681</c:v>
                      </c:pt>
                      <c:pt idx="337">
                        <c:v>5532738.5716321571</c:v>
                      </c:pt>
                      <c:pt idx="338">
                        <c:v>5549639.031119504</c:v>
                      </c:pt>
                      <c:pt idx="339">
                        <c:v>5566539.4897562945</c:v>
                      </c:pt>
                      <c:pt idx="340">
                        <c:v>5583439.9475476658</c:v>
                      </c:pt>
                      <c:pt idx="341">
                        <c:v>5600340.4044987103</c:v>
                      </c:pt>
                      <c:pt idx="342">
                        <c:v>5617240.860614473</c:v>
                      </c:pt>
                      <c:pt idx="343">
                        <c:v>5634141.3158999542</c:v>
                      </c:pt>
                      <c:pt idx="344">
                        <c:v>5651041.7703601103</c:v>
                      </c:pt>
                      <c:pt idx="345">
                        <c:v>5667942.2239998523</c:v>
                      </c:pt>
                      <c:pt idx="346">
                        <c:v>5684842.6768240491</c:v>
                      </c:pt>
                      <c:pt idx="347">
                        <c:v>5701743.1288375231</c:v>
                      </c:pt>
                      <c:pt idx="348">
                        <c:v>5718643.5800450575</c:v>
                      </c:pt>
                      <c:pt idx="349">
                        <c:v>5735544.0304513928</c:v>
                      </c:pt>
                      <c:pt idx="350">
                        <c:v>5752444.4800612256</c:v>
                      </c:pt>
                      <c:pt idx="351">
                        <c:v>5769344.9288792126</c:v>
                      </c:pt>
                      <c:pt idx="352">
                        <c:v>5786245.3769099703</c:v>
                      </c:pt>
                      <c:pt idx="353">
                        <c:v>5803145.8241580743</c:v>
                      </c:pt>
                      <c:pt idx="354">
                        <c:v>5820046.2706280611</c:v>
                      </c:pt>
                      <c:pt idx="355">
                        <c:v>5836946.7163244262</c:v>
                      </c:pt>
                      <c:pt idx="356">
                        <c:v>5853847.1612516288</c:v>
                      </c:pt>
                      <c:pt idx="357">
                        <c:v>5870747.6054140879</c:v>
                      </c:pt>
                      <c:pt idx="358">
                        <c:v>5887648.0488161845</c:v>
                      </c:pt>
                      <c:pt idx="359">
                        <c:v>5904548.4914622633</c:v>
                      </c:pt>
                      <c:pt idx="360">
                        <c:v>5921448.9333566297</c:v>
                      </c:pt>
                      <c:pt idx="361">
                        <c:v>5938349.3745035557</c:v>
                      </c:pt>
                      <c:pt idx="362">
                        <c:v>5955249.8149072733</c:v>
                      </c:pt>
                      <c:pt idx="363">
                        <c:v>5972150.2545719808</c:v>
                      </c:pt>
                      <c:pt idx="364">
                        <c:v>5989050.6935018422</c:v>
                      </c:pt>
                      <c:pt idx="365">
                        <c:v>6005951.1317009833</c:v>
                      </c:pt>
                      <c:pt idx="366">
                        <c:v>6022851.5691734971</c:v>
                      </c:pt>
                      <c:pt idx="367">
                        <c:v>6039752.0059234425</c:v>
                      </c:pt>
                      <c:pt idx="368">
                        <c:v>6056652.4419548437</c:v>
                      </c:pt>
                      <c:pt idx="369">
                        <c:v>6073552.8772716913</c:v>
                      </c:pt>
                      <c:pt idx="370">
                        <c:v>6090453.3118779436</c:v>
                      </c:pt>
                      <c:pt idx="371">
                        <c:v>6107353.745777525</c:v>
                      </c:pt>
                      <c:pt idx="372">
                        <c:v>6124254.1789743295</c:v>
                      </c:pt>
                      <c:pt idx="373">
                        <c:v>6141154.6114722174</c:v>
                      </c:pt>
                      <c:pt idx="374">
                        <c:v>6158055.0432750164</c:v>
                      </c:pt>
                      <c:pt idx="375">
                        <c:v>6174955.4743865244</c:v>
                      </c:pt>
                      <c:pt idx="376">
                        <c:v>6191855.9048105078</c:v>
                      </c:pt>
                      <c:pt idx="377">
                        <c:v>6208756.334550702</c:v>
                      </c:pt>
                      <c:pt idx="378">
                        <c:v>6225656.7636108138</c:v>
                      </c:pt>
                      <c:pt idx="379">
                        <c:v>6242557.1919945171</c:v>
                      </c:pt>
                      <c:pt idx="380">
                        <c:v>6259457.6197054572</c:v>
                      </c:pt>
                      <c:pt idx="381">
                        <c:v>6276358.0467472514</c:v>
                      </c:pt>
                      <c:pt idx="382">
                        <c:v>6293258.4731234862</c:v>
                      </c:pt>
                      <c:pt idx="383">
                        <c:v>6310158.8988377191</c:v>
                      </c:pt>
                      <c:pt idx="384">
                        <c:v>6327059.3238934809</c:v>
                      </c:pt>
                      <c:pt idx="385">
                        <c:v>6343959.7482942734</c:v>
                      </c:pt>
                      <c:pt idx="386">
                        <c:v>6360860.1720435703</c:v>
                      </c:pt>
                      <c:pt idx="387">
                        <c:v>6377760.5951448185</c:v>
                      </c:pt>
                      <c:pt idx="388">
                        <c:v>6394661.017601436</c:v>
                      </c:pt>
                      <c:pt idx="389">
                        <c:v>6411561.4394168155</c:v>
                      </c:pt>
                      <c:pt idx="390">
                        <c:v>6428461.860594322</c:v>
                      </c:pt>
                      <c:pt idx="391">
                        <c:v>6445362.2811372951</c:v>
                      </c:pt>
                      <c:pt idx="392">
                        <c:v>6462262.7010490475</c:v>
                      </c:pt>
                      <c:pt idx="393">
                        <c:v>6479163.120332865</c:v>
                      </c:pt>
                      <c:pt idx="394">
                        <c:v>6496063.5389920091</c:v>
                      </c:pt>
                      <c:pt idx="395">
                        <c:v>6512963.957029717</c:v>
                      </c:pt>
                      <c:pt idx="396">
                        <c:v>6529864.3744491981</c:v>
                      </c:pt>
                      <c:pt idx="397">
                        <c:v>6546764.7912536394</c:v>
                      </c:pt>
                      <c:pt idx="398">
                        <c:v>6563665.2074462026</c:v>
                      </c:pt>
                      <c:pt idx="399">
                        <c:v>6580565.6230300236</c:v>
                      </c:pt>
                      <c:pt idx="400">
                        <c:v>6597466.0380082158</c:v>
                      </c:pt>
                      <c:pt idx="401">
                        <c:v>6614366.4523838693</c:v>
                      </c:pt>
                      <c:pt idx="402">
                        <c:v>6631266.86616005</c:v>
                      </c:pt>
                      <c:pt idx="403">
                        <c:v>6648167.2793397997</c:v>
                      </c:pt>
                      <c:pt idx="404">
                        <c:v>6665067.6919261375</c:v>
                      </c:pt>
                      <c:pt idx="405">
                        <c:v>6681968.1039220598</c:v>
                      </c:pt>
                      <c:pt idx="406">
                        <c:v>6698868.5153305409</c:v>
                      </c:pt>
                      <c:pt idx="407">
                        <c:v>6715768.9261545306</c:v>
                      </c:pt>
                      <c:pt idx="408">
                        <c:v>6732669.3363969596</c:v>
                      </c:pt>
                      <c:pt idx="409">
                        <c:v>6749569.7460607346</c:v>
                      </c:pt>
                      <c:pt idx="410">
                        <c:v>6766470.1551487409</c:v>
                      </c:pt>
                      <c:pt idx="411">
                        <c:v>6783370.5636638431</c:v>
                      </c:pt>
                      <c:pt idx="412">
                        <c:v>6800270.9716088837</c:v>
                      </c:pt>
                      <c:pt idx="413">
                        <c:v>6817171.3789866837</c:v>
                      </c:pt>
                      <c:pt idx="414">
                        <c:v>6834071.7858000444</c:v>
                      </c:pt>
                      <c:pt idx="415">
                        <c:v>6850972.192051745</c:v>
                      </c:pt>
                      <c:pt idx="416">
                        <c:v>6867872.597744545</c:v>
                      </c:pt>
                      <c:pt idx="417">
                        <c:v>6884773.0028811842</c:v>
                      </c:pt>
                      <c:pt idx="418">
                        <c:v>6901673.4074643804</c:v>
                      </c:pt>
                      <c:pt idx="419">
                        <c:v>6918573.8114968333</c:v>
                      </c:pt>
                      <c:pt idx="420">
                        <c:v>6935474.2149812225</c:v>
                      </c:pt>
                      <c:pt idx="421">
                        <c:v>6952374.6179202087</c:v>
                      </c:pt>
                      <c:pt idx="422">
                        <c:v>6969275.0203164322</c:v>
                      </c:pt>
                      <c:pt idx="423">
                        <c:v>6986175.4221725138</c:v>
                      </c:pt>
                      <c:pt idx="424">
                        <c:v>7003075.8234910564</c:v>
                      </c:pt>
                      <c:pt idx="425">
                        <c:v>7019976.2242746437</c:v>
                      </c:pt>
                      <c:pt idx="426">
                        <c:v>7036876.6245258404</c:v>
                      </c:pt>
                      <c:pt idx="427">
                        <c:v>7053777.0242471946</c:v>
                      </c:pt>
                      <c:pt idx="428">
                        <c:v>7070677.423441234</c:v>
                      </c:pt>
                      <c:pt idx="429">
                        <c:v>7087577.8221104695</c:v>
                      </c:pt>
                      <c:pt idx="430">
                        <c:v>7104478.220257394</c:v>
                      </c:pt>
                      <c:pt idx="431">
                        <c:v>7121378.6178844823</c:v>
                      </c:pt>
                      <c:pt idx="432">
                        <c:v>7138279.0149941901</c:v>
                      </c:pt>
                      <c:pt idx="433">
                        <c:v>7155179.4115889594</c:v>
                      </c:pt>
                      <c:pt idx="434">
                        <c:v>7172079.8076712126</c:v>
                      </c:pt>
                      <c:pt idx="435">
                        <c:v>7188980.2032433553</c:v>
                      </c:pt>
                      <c:pt idx="436">
                        <c:v>7205880.5983077763</c:v>
                      </c:pt>
                      <c:pt idx="437">
                        <c:v>7222780.9928668467</c:v>
                      </c:pt>
                      <c:pt idx="438">
                        <c:v>7239681.3869229229</c:v>
                      </c:pt>
                      <c:pt idx="439">
                        <c:v>7256581.7804783434</c:v>
                      </c:pt>
                      <c:pt idx="440">
                        <c:v>7273482.1735354317</c:v>
                      </c:pt>
                      <c:pt idx="441">
                        <c:v>7290382.566096494</c:v>
                      </c:pt>
                      <c:pt idx="442">
                        <c:v>7307282.9581638221</c:v>
                      </c:pt>
                      <c:pt idx="443">
                        <c:v>7324183.3497396894</c:v>
                      </c:pt>
                      <c:pt idx="444">
                        <c:v>7341083.7408263553</c:v>
                      </c:pt>
                      <c:pt idx="445">
                        <c:v>7357984.1314260643</c:v>
                      </c:pt>
                      <c:pt idx="446">
                        <c:v>7374884.5215410432</c:v>
                      </c:pt>
                      <c:pt idx="447">
                        <c:v>7391784.9111735057</c:v>
                      </c:pt>
                      <c:pt idx="448">
                        <c:v>7408685.3003256498</c:v>
                      </c:pt>
                      <c:pt idx="449">
                        <c:v>7425585.6889996585</c:v>
                      </c:pt>
                      <c:pt idx="450">
                        <c:v>7442486.0771976989</c:v>
                      </c:pt>
                      <c:pt idx="451">
                        <c:v>7459386.4649219252</c:v>
                      </c:pt>
                      <c:pt idx="452">
                        <c:v>7476286.8521744758</c:v>
                      </c:pt>
                      <c:pt idx="453">
                        <c:v>7493187.2389574749</c:v>
                      </c:pt>
                      <c:pt idx="454">
                        <c:v>7510087.6252730321</c:v>
                      </c:pt>
                      <c:pt idx="455">
                        <c:v>7526988.0111232437</c:v>
                      </c:pt>
                      <c:pt idx="456">
                        <c:v>7543888.3965101913</c:v>
                      </c:pt>
                      <c:pt idx="457">
                        <c:v>7560788.7814359423</c:v>
                      </c:pt>
                      <c:pt idx="458">
                        <c:v>7577689.1659025503</c:v>
                      </c:pt>
                      <c:pt idx="459">
                        <c:v>7594589.5499120569</c:v>
                      </c:pt>
                      <c:pt idx="460">
                        <c:v>7611489.9334664876</c:v>
                      </c:pt>
                      <c:pt idx="461">
                        <c:v>7628390.3165678568</c:v>
                      </c:pt>
                      <c:pt idx="462">
                        <c:v>7645290.6992181633</c:v>
                      </c:pt>
                      <c:pt idx="463">
                        <c:v>7662191.0814193944</c:v>
                      </c:pt>
                      <c:pt idx="464">
                        <c:v>7679091.4631735226</c:v>
                      </c:pt>
                      <c:pt idx="465">
                        <c:v>7695991.8444825094</c:v>
                      </c:pt>
                      <c:pt idx="466">
                        <c:v>7712892.2253483022</c:v>
                      </c:pt>
                      <c:pt idx="467">
                        <c:v>7729792.6057728371</c:v>
                      </c:pt>
                      <c:pt idx="468">
                        <c:v>7746692.9857580345</c:v>
                      </c:pt>
                      <c:pt idx="469">
                        <c:v>7763593.3653058056</c:v>
                      </c:pt>
                      <c:pt idx="470">
                        <c:v>7780493.7444180483</c:v>
                      </c:pt>
                      <c:pt idx="471">
                        <c:v>7797394.1230966458</c:v>
                      </c:pt>
                      <c:pt idx="472">
                        <c:v>7814294.5013434729</c:v>
                      </c:pt>
                      <c:pt idx="473">
                        <c:v>7831194.8791603893</c:v>
                      </c:pt>
                      <c:pt idx="474">
                        <c:v>7848095.2565492438</c:v>
                      </c:pt>
                      <c:pt idx="475">
                        <c:v>7864995.6335118739</c:v>
                      </c:pt>
                      <c:pt idx="476">
                        <c:v>7881896.0100501031</c:v>
                      </c:pt>
                      <c:pt idx="477">
                        <c:v>7898796.3861657465</c:v>
                      </c:pt>
                      <c:pt idx="478">
                        <c:v>7915696.7618606044</c:v>
                      </c:pt>
                      <c:pt idx="479">
                        <c:v>7932597.1371364677</c:v>
                      </c:pt>
                      <c:pt idx="480">
                        <c:v>7949497.5119951153</c:v>
                      </c:pt>
                      <c:pt idx="481">
                        <c:v>7966397.8864383148</c:v>
                      </c:pt>
                      <c:pt idx="482">
                        <c:v>7983298.2604678227</c:v>
                      </c:pt>
                      <c:pt idx="483">
                        <c:v>8000198.6340853842</c:v>
                      </c:pt>
                      <c:pt idx="484">
                        <c:v>8017099.0072927335</c:v>
                      </c:pt>
                      <c:pt idx="485">
                        <c:v>8033999.3800915936</c:v>
                      </c:pt>
                      <c:pt idx="486">
                        <c:v>8050899.7524836771</c:v>
                      </c:pt>
                      <c:pt idx="487">
                        <c:v>8067800.1244706847</c:v>
                      </c:pt>
                      <c:pt idx="488">
                        <c:v>8084700.4960543085</c:v>
                      </c:pt>
                      <c:pt idx="489">
                        <c:v>8101600.8672362296</c:v>
                      </c:pt>
                      <c:pt idx="490">
                        <c:v>8118501.2380181169</c:v>
                      </c:pt>
                      <c:pt idx="491">
                        <c:v>8135401.6084016301</c:v>
                      </c:pt>
                      <c:pt idx="492">
                        <c:v>8152301.9783884184</c:v>
                      </c:pt>
                      <c:pt idx="493">
                        <c:v>8169202.3479801221</c:v>
                      </c:pt>
                      <c:pt idx="494">
                        <c:v>8186102.717178368</c:v>
                      </c:pt>
                      <c:pt idx="495">
                        <c:v>8203003.0859847767</c:v>
                      </c:pt>
                      <c:pt idx="496">
                        <c:v>8219903.4544009566</c:v>
                      </c:pt>
                      <c:pt idx="497">
                        <c:v>8236803.8224285068</c:v>
                      </c:pt>
                      <c:pt idx="498">
                        <c:v>8253704.1900690161</c:v>
                      </c:pt>
                      <c:pt idx="499">
                        <c:v>8270604.5573240649</c:v>
                      </c:pt>
                      <c:pt idx="500">
                        <c:v>8287504.9241952216</c:v>
                      </c:pt>
                      <c:pt idx="501">
                        <c:v>8304405.2906840472</c:v>
                      </c:pt>
                      <c:pt idx="502">
                        <c:v>8321305.6567920931</c:v>
                      </c:pt>
                      <c:pt idx="503">
                        <c:v>8338206.0225208998</c:v>
                      </c:pt>
                      <c:pt idx="504">
                        <c:v>8355106.3878719993</c:v>
                      </c:pt>
                      <c:pt idx="505">
                        <c:v>8372006.7528469153</c:v>
                      </c:pt>
                      <c:pt idx="506">
                        <c:v>8388907.117447162</c:v>
                      </c:pt>
                      <c:pt idx="507">
                        <c:v>8405807.4816742409</c:v>
                      </c:pt>
                      <c:pt idx="508">
                        <c:v>8422707.8455296494</c:v>
                      </c:pt>
                      <c:pt idx="509">
                        <c:v>8439608.209014874</c:v>
                      </c:pt>
                      <c:pt idx="510">
                        <c:v>8456508.5721313916</c:v>
                      </c:pt>
                      <c:pt idx="511">
                        <c:v>8473408.934880672</c:v>
                      </c:pt>
                      <c:pt idx="512">
                        <c:v>8490309.2972641736</c:v>
                      </c:pt>
                      <c:pt idx="513">
                        <c:v>8507209.6592833474</c:v>
                      </c:pt>
                      <c:pt idx="514">
                        <c:v>8524110.020939637</c:v>
                      </c:pt>
                      <c:pt idx="515">
                        <c:v>8541010.3822344765</c:v>
                      </c:pt>
                      <c:pt idx="516">
                        <c:v>8557910.7431692909</c:v>
                      </c:pt>
                      <c:pt idx="517">
                        <c:v>8574811.1037454996</c:v>
                      </c:pt>
                      <c:pt idx="518">
                        <c:v>8591711.4639645088</c:v>
                      </c:pt>
                      <c:pt idx="519">
                        <c:v>8608611.8238277212</c:v>
                      </c:pt>
                      <c:pt idx="520">
                        <c:v>8625512.1833365262</c:v>
                      </c:pt>
                      <c:pt idx="521">
                        <c:v>8642412.5424923114</c:v>
                      </c:pt>
                      <c:pt idx="522">
                        <c:v>8659312.9012964498</c:v>
                      </c:pt>
                      <c:pt idx="523">
                        <c:v>8676213.2597503103</c:v>
                      </c:pt>
                      <c:pt idx="524">
                        <c:v>8693113.6178552546</c:v>
                      </c:pt>
                      <c:pt idx="525">
                        <c:v>8710013.9756126329</c:v>
                      </c:pt>
                      <c:pt idx="526">
                        <c:v>8726914.3330237921</c:v>
                      </c:pt>
                      <c:pt idx="527">
                        <c:v>8743814.6900900677</c:v>
                      </c:pt>
                      <c:pt idx="528">
                        <c:v>8760715.0468127858</c:v>
                      </c:pt>
                      <c:pt idx="529">
                        <c:v>8777615.4031932708</c:v>
                      </c:pt>
                      <c:pt idx="530">
                        <c:v>8794515.7592328358</c:v>
                      </c:pt>
                      <c:pt idx="531">
                        <c:v>8811416.1149327848</c:v>
                      </c:pt>
                      <c:pt idx="532">
                        <c:v>8828316.4702944178</c:v>
                      </c:pt>
                      <c:pt idx="533">
                        <c:v>8845216.8253190257</c:v>
                      </c:pt>
                      <c:pt idx="534">
                        <c:v>8862117.1800078917</c:v>
                      </c:pt>
                      <c:pt idx="535">
                        <c:v>8879017.5343622938</c:v>
                      </c:pt>
                      <c:pt idx="536">
                        <c:v>8895917.8883834984</c:v>
                      </c:pt>
                      <c:pt idx="537">
                        <c:v>8912818.2420727685</c:v>
                      </c:pt>
                      <c:pt idx="538">
                        <c:v>8929718.5954313613</c:v>
                      </c:pt>
                      <c:pt idx="539">
                        <c:v>8946618.9484605212</c:v>
                      </c:pt>
                      <c:pt idx="540">
                        <c:v>8963519.3011614904</c:v>
                      </c:pt>
                      <c:pt idx="541">
                        <c:v>8980419.653535502</c:v>
                      </c:pt>
                      <c:pt idx="542">
                        <c:v>8997320.0055837817</c:v>
                      </c:pt>
                      <c:pt idx="543">
                        <c:v>9014220.3573075514</c:v>
                      </c:pt>
                      <c:pt idx="544">
                        <c:v>9031120.7087080237</c:v>
                      </c:pt>
                      <c:pt idx="545">
                        <c:v>9048021.0597864036</c:v>
                      </c:pt>
                      <c:pt idx="546">
                        <c:v>9064921.4105438907</c:v>
                      </c:pt>
                      <c:pt idx="547">
                        <c:v>9081821.7609816771</c:v>
                      </c:pt>
                      <c:pt idx="548">
                        <c:v>9098722.1111009493</c:v>
                      </c:pt>
                      <c:pt idx="549">
                        <c:v>9115622.4609028883</c:v>
                      </c:pt>
                      <c:pt idx="550">
                        <c:v>9132522.8103886656</c:v>
                      </c:pt>
                      <c:pt idx="551">
                        <c:v>9149423.1595594473</c:v>
                      </c:pt>
                      <c:pt idx="552">
                        <c:v>9166323.5084163956</c:v>
                      </c:pt>
                      <c:pt idx="553">
                        <c:v>9183223.8569606636</c:v>
                      </c:pt>
                      <c:pt idx="554">
                        <c:v>9200124.2051933967</c:v>
                      </c:pt>
                      <c:pt idx="555">
                        <c:v>9217024.5531157367</c:v>
                      </c:pt>
                      <c:pt idx="556">
                        <c:v>9233924.900728818</c:v>
                      </c:pt>
                      <c:pt idx="557">
                        <c:v>9250825.2480337694</c:v>
                      </c:pt>
                      <c:pt idx="558">
                        <c:v>9267725.5950317141</c:v>
                      </c:pt>
                      <c:pt idx="559">
                        <c:v>9284625.9417237658</c:v>
                      </c:pt>
                      <c:pt idx="560">
                        <c:v>9301526.2881110385</c:v>
                      </c:pt>
                      <c:pt idx="561">
                        <c:v>9318426.634194633</c:v>
                      </c:pt>
                      <c:pt idx="562">
                        <c:v>9335326.9799756482</c:v>
                      </c:pt>
                      <c:pt idx="563">
                        <c:v>9352227.3254551776</c:v>
                      </c:pt>
                      <c:pt idx="564">
                        <c:v>9369127.670634307</c:v>
                      </c:pt>
                      <c:pt idx="565">
                        <c:v>9386028.0155141167</c:v>
                      </c:pt>
                      <c:pt idx="566">
                        <c:v>9402928.3600956798</c:v>
                      </c:pt>
                      <c:pt idx="567">
                        <c:v>9419828.7043800671</c:v>
                      </c:pt>
                      <c:pt idx="568">
                        <c:v>9436729.0483683404</c:v>
                      </c:pt>
                      <c:pt idx="569">
                        <c:v>9453629.3920615576</c:v>
                      </c:pt>
                      <c:pt idx="570">
                        <c:v>9470529.7354607712</c:v>
                      </c:pt>
                      <c:pt idx="571">
                        <c:v>9487430.0785670262</c:v>
                      </c:pt>
                      <c:pt idx="572">
                        <c:v>9504330.4213813636</c:v>
                      </c:pt>
                      <c:pt idx="573">
                        <c:v>9521230.7639048174</c:v>
                      </c:pt>
                      <c:pt idx="574">
                        <c:v>9538131.1061384194</c:v>
                      </c:pt>
                      <c:pt idx="575">
                        <c:v>9555031.4480831921</c:v>
                      </c:pt>
                      <c:pt idx="576">
                        <c:v>9571931.7897401545</c:v>
                      </c:pt>
                      <c:pt idx="577">
                        <c:v>9588832.1311103199</c:v>
                      </c:pt>
                      <c:pt idx="578">
                        <c:v>9605732.4721946958</c:v>
                      </c:pt>
                      <c:pt idx="579">
                        <c:v>9622632.8129942846</c:v>
                      </c:pt>
                      <c:pt idx="580">
                        <c:v>9639533.1535100825</c:v>
                      </c:pt>
                      <c:pt idx="581">
                        <c:v>9656433.4937430844</c:v>
                      </c:pt>
                      <c:pt idx="582">
                        <c:v>9673333.8336942755</c:v>
                      </c:pt>
                      <c:pt idx="583">
                        <c:v>9690234.1733646393</c:v>
                      </c:pt>
                      <c:pt idx="584">
                        <c:v>9707134.5127551518</c:v>
                      </c:pt>
                      <c:pt idx="585">
                        <c:v>9724034.8518667836</c:v>
                      </c:pt>
                      <c:pt idx="586">
                        <c:v>9740935.1907005012</c:v>
                      </c:pt>
                      <c:pt idx="587">
                        <c:v>9757835.5292572677</c:v>
                      </c:pt>
                      <c:pt idx="588">
                        <c:v>9774735.8675380368</c:v>
                      </c:pt>
                      <c:pt idx="589">
                        <c:v>9791636.2055437621</c:v>
                      </c:pt>
                      <c:pt idx="590">
                        <c:v>9808536.5432753898</c:v>
                      </c:pt>
                      <c:pt idx="591">
                        <c:v>9825436.8807338607</c:v>
                      </c:pt>
                      <c:pt idx="592">
                        <c:v>9842337.2179201134</c:v>
                      </c:pt>
                      <c:pt idx="593">
                        <c:v>9859237.5548350811</c:v>
                      </c:pt>
                      <c:pt idx="594">
                        <c:v>9876137.8914796878</c:v>
                      </c:pt>
                      <c:pt idx="595">
                        <c:v>9893038.2278548572</c:v>
                      </c:pt>
                      <c:pt idx="596">
                        <c:v>9909938.5639615096</c:v>
                      </c:pt>
                      <c:pt idx="597">
                        <c:v>9926838.8998005558</c:v>
                      </c:pt>
                      <c:pt idx="598">
                        <c:v>9943739.2353729047</c:v>
                      </c:pt>
                      <c:pt idx="599">
                        <c:v>9960639.5706794616</c:v>
                      </c:pt>
                      <c:pt idx="600">
                        <c:v>9977539.9057211224</c:v>
                      </c:pt>
                      <c:pt idx="601">
                        <c:v>9994440.2404987849</c:v>
                      </c:pt>
                      <c:pt idx="602">
                        <c:v>10011340.575013338</c:v>
                      </c:pt>
                      <c:pt idx="603">
                        <c:v>10028240.909265669</c:v>
                      </c:pt>
                      <c:pt idx="604">
                        <c:v>10045141.243256658</c:v>
                      </c:pt>
                      <c:pt idx="605">
                        <c:v>10062041.576987181</c:v>
                      </c:pt>
                      <c:pt idx="606">
                        <c:v>10078941.910458112</c:v>
                      </c:pt>
                      <c:pt idx="607">
                        <c:v>10095842.243670318</c:v>
                      </c:pt>
                      <c:pt idx="608">
                        <c:v>10112742.576624665</c:v>
                      </c:pt>
                      <c:pt idx="609">
                        <c:v>10129642.90932201</c:v>
                      </c:pt>
                      <c:pt idx="610">
                        <c:v>10146543.24176321</c:v>
                      </c:pt>
                      <c:pt idx="611">
                        <c:v>10163443.573949115</c:v>
                      </c:pt>
                      <c:pt idx="612">
                        <c:v>10180343.90588057</c:v>
                      </c:pt>
                      <c:pt idx="613">
                        <c:v>10197244.237558419</c:v>
                      </c:pt>
                      <c:pt idx="614">
                        <c:v>10214144.568983499</c:v>
                      </c:pt>
                      <c:pt idx="615">
                        <c:v>10231044.900156647</c:v>
                      </c:pt>
                      <c:pt idx="616">
                        <c:v>10247945.23107869</c:v>
                      </c:pt>
                      <c:pt idx="617">
                        <c:v>10264845.561750455</c:v>
                      </c:pt>
                      <c:pt idx="618">
                        <c:v>10281745.892172763</c:v>
                      </c:pt>
                      <c:pt idx="619">
                        <c:v>10298646.222346434</c:v>
                      </c:pt>
                      <c:pt idx="620">
                        <c:v>10315546.552272281</c:v>
                      </c:pt>
                      <c:pt idx="621">
                        <c:v>10332446.881951112</c:v>
                      </c:pt>
                      <c:pt idx="622">
                        <c:v>10349347.211383736</c:v>
                      </c:pt>
                      <c:pt idx="623">
                        <c:v>10366247.54057095</c:v>
                      </c:pt>
                      <c:pt idx="624">
                        <c:v>10383147.869513556</c:v>
                      </c:pt>
                      <c:pt idx="625">
                        <c:v>10400048.198212348</c:v>
                      </c:pt>
                      <c:pt idx="626">
                        <c:v>10416948.526668113</c:v>
                      </c:pt>
                      <c:pt idx="627">
                        <c:v>10433848.854881641</c:v>
                      </c:pt>
                      <c:pt idx="628">
                        <c:v>10450749.18285371</c:v>
                      </c:pt>
                      <c:pt idx="629">
                        <c:v>10467649.510585103</c:v>
                      </c:pt>
                      <c:pt idx="630">
                        <c:v>10484549.838076595</c:v>
                      </c:pt>
                      <c:pt idx="631">
                        <c:v>10501450.165328955</c:v>
                      </c:pt>
                      <c:pt idx="632">
                        <c:v>10518350.492342953</c:v>
                      </c:pt>
                      <c:pt idx="633">
                        <c:v>10535250.819119351</c:v>
                      </c:pt>
                      <c:pt idx="634">
                        <c:v>10552151.14565891</c:v>
                      </c:pt>
                      <c:pt idx="635">
                        <c:v>10569051.471962385</c:v>
                      </c:pt>
                      <c:pt idx="636">
                        <c:v>10585951.798030531</c:v>
                      </c:pt>
                      <c:pt idx="637">
                        <c:v>10602852.123864098</c:v>
                      </c:pt>
                      <c:pt idx="638">
                        <c:v>10619752.449463828</c:v>
                      </c:pt>
                      <c:pt idx="639">
                        <c:v>10636652.774830466</c:v>
                      </c:pt>
                      <c:pt idx="640">
                        <c:v>10653553.099964751</c:v>
                      </c:pt>
                      <c:pt idx="641">
                        <c:v>10670453.424867418</c:v>
                      </c:pt>
                      <c:pt idx="642">
                        <c:v>10687353.749539198</c:v>
                      </c:pt>
                      <c:pt idx="643">
                        <c:v>10704254.073980819</c:v>
                      </c:pt>
                      <c:pt idx="644">
                        <c:v>10721154.398193007</c:v>
                      </c:pt>
                      <c:pt idx="645">
                        <c:v>10738054.722176483</c:v>
                      </c:pt>
                      <c:pt idx="646">
                        <c:v>10754955.045931963</c:v>
                      </c:pt>
                      <c:pt idx="647">
                        <c:v>10771855.369460166</c:v>
                      </c:pt>
                      <c:pt idx="648">
                        <c:v>10788755.692761797</c:v>
                      </c:pt>
                      <c:pt idx="649">
                        <c:v>10805656.015837571</c:v>
                      </c:pt>
                      <c:pt idx="650">
                        <c:v>10822556.338688187</c:v>
                      </c:pt>
                      <c:pt idx="651">
                        <c:v>10839456.661314348</c:v>
                      </c:pt>
                      <c:pt idx="652">
                        <c:v>10856356.983716752</c:v>
                      </c:pt>
                      <c:pt idx="653">
                        <c:v>10873257.305896096</c:v>
                      </c:pt>
                      <c:pt idx="654">
                        <c:v>10890157.627853069</c:v>
                      </c:pt>
                      <c:pt idx="655">
                        <c:v>10907057.949588362</c:v>
                      </c:pt>
                      <c:pt idx="656">
                        <c:v>10923958.271102656</c:v>
                      </c:pt>
                      <c:pt idx="657">
                        <c:v>10940858.592396636</c:v>
                      </c:pt>
                      <c:pt idx="658">
                        <c:v>10957758.91347098</c:v>
                      </c:pt>
                      <c:pt idx="659">
                        <c:v>10974659.234326364</c:v>
                      </c:pt>
                      <c:pt idx="660">
                        <c:v>10991559.554963462</c:v>
                      </c:pt>
                      <c:pt idx="661">
                        <c:v>11008459.875382941</c:v>
                      </c:pt>
                      <c:pt idx="662">
                        <c:v>11025360.195585469</c:v>
                      </c:pt>
                      <c:pt idx="663">
                        <c:v>11042260.515571708</c:v>
                      </c:pt>
                      <c:pt idx="664">
                        <c:v>11059160.83534232</c:v>
                      </c:pt>
                      <c:pt idx="665">
                        <c:v>11076061.15489796</c:v>
                      </c:pt>
                      <c:pt idx="666">
                        <c:v>11092961.474239286</c:v>
                      </c:pt>
                      <c:pt idx="667">
                        <c:v>11109861.793366946</c:v>
                      </c:pt>
                      <c:pt idx="668">
                        <c:v>11126762.112281591</c:v>
                      </c:pt>
                      <c:pt idx="669">
                        <c:v>11143662.430983864</c:v>
                      </c:pt>
                      <c:pt idx="670">
                        <c:v>11160562.749474408</c:v>
                      </c:pt>
                      <c:pt idx="671">
                        <c:v>11177463.067753864</c:v>
                      </c:pt>
                      <c:pt idx="672">
                        <c:v>11194363.385822866</c:v>
                      </c:pt>
                      <c:pt idx="673">
                        <c:v>11211263.70368205</c:v>
                      </c:pt>
                      <c:pt idx="674">
                        <c:v>11228164.021332048</c:v>
                      </c:pt>
                      <c:pt idx="675">
                        <c:v>11245064.338773485</c:v>
                      </c:pt>
                      <c:pt idx="676">
                        <c:v>11261964.65600699</c:v>
                      </c:pt>
                      <c:pt idx="677">
                        <c:v>11278864.973033182</c:v>
                      </c:pt>
                      <c:pt idx="678">
                        <c:v>11295765.289852683</c:v>
                      </c:pt>
                      <c:pt idx="679">
                        <c:v>11312665.606466107</c:v>
                      </c:pt>
                      <c:pt idx="680">
                        <c:v>11329565.922874071</c:v>
                      </c:pt>
                      <c:pt idx="681">
                        <c:v>11346466.239077184</c:v>
                      </c:pt>
                      <c:pt idx="682">
                        <c:v>11363366.555076057</c:v>
                      </c:pt>
                      <c:pt idx="683">
                        <c:v>11380266.870871296</c:v>
                      </c:pt>
                      <c:pt idx="684">
                        <c:v>11397167.186463503</c:v>
                      </c:pt>
                      <c:pt idx="685">
                        <c:v>11414067.50185328</c:v>
                      </c:pt>
                      <c:pt idx="686">
                        <c:v>11430967.817041224</c:v>
                      </c:pt>
                      <c:pt idx="687">
                        <c:v>11447868.13202793</c:v>
                      </c:pt>
                      <c:pt idx="688">
                        <c:v>11464768.446813989</c:v>
                      </c:pt>
                      <c:pt idx="689">
                        <c:v>11481668.761399996</c:v>
                      </c:pt>
                      <c:pt idx="690">
                        <c:v>11498569.075786535</c:v>
                      </c:pt>
                      <c:pt idx="691">
                        <c:v>11515469.38997419</c:v>
                      </c:pt>
                      <c:pt idx="692">
                        <c:v>11532369.703963544</c:v>
                      </c:pt>
                      <c:pt idx="693">
                        <c:v>11549270.017755179</c:v>
                      </c:pt>
                      <c:pt idx="694">
                        <c:v>11566170.331349671</c:v>
                      </c:pt>
                      <c:pt idx="695">
                        <c:v>11583070.644747594</c:v>
                      </c:pt>
                      <c:pt idx="696">
                        <c:v>11599970.957949521</c:v>
                      </c:pt>
                      <c:pt idx="697">
                        <c:v>11616871.270956021</c:v>
                      </c:pt>
                      <c:pt idx="698">
                        <c:v>11633771.583767662</c:v>
                      </c:pt>
                      <c:pt idx="699">
                        <c:v>11650671.896385007</c:v>
                      </c:pt>
                      <c:pt idx="700">
                        <c:v>11667572.20880862</c:v>
                      </c:pt>
                      <c:pt idx="701">
                        <c:v>11684472.521039059</c:v>
                      </c:pt>
                      <c:pt idx="702">
                        <c:v>11701372.833076883</c:v>
                      </c:pt>
                      <c:pt idx="703">
                        <c:v>11718273.144922648</c:v>
                      </c:pt>
                      <c:pt idx="704">
                        <c:v>11735173.456576904</c:v>
                      </c:pt>
                      <c:pt idx="705">
                        <c:v>11752073.768040203</c:v>
                      </c:pt>
                      <c:pt idx="706">
                        <c:v>11768974.079313092</c:v>
                      </c:pt>
                      <c:pt idx="707">
                        <c:v>11785874.390396118</c:v>
                      </c:pt>
                      <c:pt idx="708">
                        <c:v>11802774.701289821</c:v>
                      </c:pt>
                      <c:pt idx="709">
                        <c:v>11819675.011994746</c:v>
                      </c:pt>
                      <c:pt idx="710">
                        <c:v>11836575.322511427</c:v>
                      </c:pt>
                      <c:pt idx="711">
                        <c:v>11853475.632840404</c:v>
                      </c:pt>
                      <c:pt idx="712">
                        <c:v>11870375.94298221</c:v>
                      </c:pt>
                      <c:pt idx="713">
                        <c:v>11887276.252937378</c:v>
                      </c:pt>
                      <c:pt idx="714">
                        <c:v>11904176.562706435</c:v>
                      </c:pt>
                      <c:pt idx="715">
                        <c:v>11921076.872289909</c:v>
                      </c:pt>
                      <c:pt idx="716">
                        <c:v>11937977.181688324</c:v>
                      </c:pt>
                      <c:pt idx="717">
                        <c:v>11954877.490902204</c:v>
                      </c:pt>
                      <c:pt idx="718">
                        <c:v>11971777.79993207</c:v>
                      </c:pt>
                      <c:pt idx="719">
                        <c:v>11988678.108778438</c:v>
                      </c:pt>
                      <c:pt idx="720">
                        <c:v>12005578.417441826</c:v>
                      </c:pt>
                      <c:pt idx="721">
                        <c:v>12022478.725922747</c:v>
                      </c:pt>
                      <c:pt idx="722">
                        <c:v>12039379.034221712</c:v>
                      </c:pt>
                      <c:pt idx="723">
                        <c:v>12056279.342339234</c:v>
                      </c:pt>
                      <c:pt idx="724">
                        <c:v>12073179.650275819</c:v>
                      </c:pt>
                      <c:pt idx="725">
                        <c:v>12090079.958031969</c:v>
                      </c:pt>
                      <c:pt idx="726">
                        <c:v>12106980.265608191</c:v>
                      </c:pt>
                      <c:pt idx="727">
                        <c:v>12123880.573004985</c:v>
                      </c:pt>
                      <c:pt idx="728">
                        <c:v>12140780.88022285</c:v>
                      </c:pt>
                      <c:pt idx="729">
                        <c:v>12157681.187262282</c:v>
                      </c:pt>
                      <c:pt idx="730">
                        <c:v>12174581.494123779</c:v>
                      </c:pt>
                      <c:pt idx="731">
                        <c:v>12191481.800807832</c:v>
                      </c:pt>
                      <c:pt idx="732">
                        <c:v>12208382.107314929</c:v>
                      </c:pt>
                      <c:pt idx="733">
                        <c:v>12225282.413645562</c:v>
                      </c:pt>
                      <c:pt idx="734">
                        <c:v>12242182.719800217</c:v>
                      </c:pt>
                      <c:pt idx="735">
                        <c:v>12259083.02577938</c:v>
                      </c:pt>
                      <c:pt idx="736">
                        <c:v>12275983.331583532</c:v>
                      </c:pt>
                      <c:pt idx="737">
                        <c:v>12292883.637213152</c:v>
                      </c:pt>
                      <c:pt idx="738">
                        <c:v>12309783.942668723</c:v>
                      </c:pt>
                      <c:pt idx="739">
                        <c:v>12326684.24795072</c:v>
                      </c:pt>
                      <c:pt idx="740">
                        <c:v>12343584.553059617</c:v>
                      </c:pt>
                      <c:pt idx="741">
                        <c:v>12360484.857995888</c:v>
                      </c:pt>
                      <c:pt idx="742">
                        <c:v>12377385.162760003</c:v>
                      </c:pt>
                      <c:pt idx="743">
                        <c:v>12394285.467352431</c:v>
                      </c:pt>
                      <c:pt idx="744">
                        <c:v>12411185.77177364</c:v>
                      </c:pt>
                      <c:pt idx="745">
                        <c:v>12428086.076024096</c:v>
                      </c:pt>
                      <c:pt idx="746">
                        <c:v>12444986.380104261</c:v>
                      </c:pt>
                      <c:pt idx="747">
                        <c:v>12461886.684014596</c:v>
                      </c:pt>
                      <c:pt idx="748">
                        <c:v>12478786.987755561</c:v>
                      </c:pt>
                      <c:pt idx="749">
                        <c:v>12495687.291327614</c:v>
                      </c:pt>
                      <c:pt idx="750">
                        <c:v>12512587.59473121</c:v>
                      </c:pt>
                      <c:pt idx="751">
                        <c:v>12529487.897966804</c:v>
                      </c:pt>
                      <c:pt idx="752">
                        <c:v>12546388.201034848</c:v>
                      </c:pt>
                      <c:pt idx="753">
                        <c:v>12563288.503935793</c:v>
                      </c:pt>
                      <c:pt idx="754">
                        <c:v>12580188.806670086</c:v>
                      </c:pt>
                      <c:pt idx="755">
                        <c:v>12597089.109238176</c:v>
                      </c:pt>
                      <c:pt idx="756">
                        <c:v>12613989.411640506</c:v>
                      </c:pt>
                      <c:pt idx="757">
                        <c:v>12630889.71387752</c:v>
                      </c:pt>
                      <c:pt idx="758">
                        <c:v>12647790.015949657</c:v>
                      </c:pt>
                      <c:pt idx="759">
                        <c:v>12664690.31785736</c:v>
                      </c:pt>
                      <c:pt idx="760">
                        <c:v>12681590.619601065</c:v>
                      </c:pt>
                      <c:pt idx="761">
                        <c:v>12698490.921181209</c:v>
                      </c:pt>
                      <c:pt idx="762">
                        <c:v>12715391.222598225</c:v>
                      </c:pt>
                      <c:pt idx="763">
                        <c:v>12732291.523852548</c:v>
                      </c:pt>
                      <c:pt idx="764">
                        <c:v>12749191.824944606</c:v>
                      </c:pt>
                      <c:pt idx="765">
                        <c:v>12766092.12587483</c:v>
                      </c:pt>
                      <c:pt idx="766">
                        <c:v>12782992.426643649</c:v>
                      </c:pt>
                      <c:pt idx="767">
                        <c:v>12799892.727251485</c:v>
                      </c:pt>
                      <c:pt idx="768">
                        <c:v>12816793.027698766</c:v>
                      </c:pt>
                      <c:pt idx="769">
                        <c:v>12833693.327985913</c:v>
                      </c:pt>
                      <c:pt idx="770">
                        <c:v>12850593.628113346</c:v>
                      </c:pt>
                      <c:pt idx="771">
                        <c:v>12867493.928081485</c:v>
                      </c:pt>
                      <c:pt idx="772">
                        <c:v>12884394.227890747</c:v>
                      </c:pt>
                      <c:pt idx="773">
                        <c:v>12901294.527541546</c:v>
                      </c:pt>
                      <c:pt idx="774">
                        <c:v>12918194.8270343</c:v>
                      </c:pt>
                      <c:pt idx="775">
                        <c:v>12935095.12636942</c:v>
                      </c:pt>
                      <c:pt idx="776">
                        <c:v>12951995.425547317</c:v>
                      </c:pt>
                      <c:pt idx="777">
                        <c:v>12968895.724568399</c:v>
                      </c:pt>
                      <c:pt idx="778">
                        <c:v>12985796.023433076</c:v>
                      </c:pt>
                      <c:pt idx="779">
                        <c:v>13002696.322141754</c:v>
                      </c:pt>
                      <c:pt idx="780">
                        <c:v>13019596.620694835</c:v>
                      </c:pt>
                      <c:pt idx="781">
                        <c:v>13036496.919092724</c:v>
                      </c:pt>
                      <c:pt idx="782">
                        <c:v>13053397.217335822</c:v>
                      </c:pt>
                      <c:pt idx="783">
                        <c:v>13070297.515424531</c:v>
                      </c:pt>
                      <c:pt idx="784">
                        <c:v>13087197.813359246</c:v>
                      </c:pt>
                      <c:pt idx="785">
                        <c:v>13104098.111140367</c:v>
                      </c:pt>
                      <c:pt idx="786">
                        <c:v>13120998.408768287</c:v>
                      </c:pt>
                      <c:pt idx="787">
                        <c:v>13137898.706243401</c:v>
                      </c:pt>
                      <c:pt idx="788">
                        <c:v>13154799.003566101</c:v>
                      </c:pt>
                      <c:pt idx="789">
                        <c:v>13171699.300736777</c:v>
                      </c:pt>
                      <c:pt idx="790">
                        <c:v>13188599.59775582</c:v>
                      </c:pt>
                      <c:pt idx="791">
                        <c:v>13205499.894623615</c:v>
                      </c:pt>
                      <c:pt idx="792">
                        <c:v>13222400.191340553</c:v>
                      </c:pt>
                      <c:pt idx="793">
                        <c:v>13239300.487907015</c:v>
                      </c:pt>
                      <c:pt idx="794">
                        <c:v>13256200.784323383</c:v>
                      </c:pt>
                      <c:pt idx="795">
                        <c:v>13273101.080590043</c:v>
                      </c:pt>
                      <c:pt idx="796">
                        <c:v>13290001.376707373</c:v>
                      </c:pt>
                      <c:pt idx="797">
                        <c:v>13306901.672675751</c:v>
                      </c:pt>
                      <c:pt idx="798">
                        <c:v>13323801.968495557</c:v>
                      </c:pt>
                      <c:pt idx="799">
                        <c:v>13340702.264167165</c:v>
                      </c:pt>
                      <c:pt idx="800">
                        <c:v>13357602.55969095</c:v>
                      </c:pt>
                      <c:pt idx="801">
                        <c:v>13374502.855067287</c:v>
                      </c:pt>
                      <c:pt idx="802">
                        <c:v>13391403.150296547</c:v>
                      </c:pt>
                      <c:pt idx="803">
                        <c:v>13408303.445379099</c:v>
                      </c:pt>
                      <c:pt idx="804">
                        <c:v>13425203.740315314</c:v>
                      </c:pt>
                      <c:pt idx="805">
                        <c:v>13442104.03510556</c:v>
                      </c:pt>
                      <c:pt idx="806">
                        <c:v>13459004.329750203</c:v>
                      </c:pt>
                      <c:pt idx="807">
                        <c:v>13475904.624249605</c:v>
                      </c:pt>
                      <c:pt idx="808">
                        <c:v>13492804.918604132</c:v>
                      </c:pt>
                      <c:pt idx="809">
                        <c:v>13509705.212814145</c:v>
                      </c:pt>
                      <c:pt idx="810">
                        <c:v>13526605.506880006</c:v>
                      </c:pt>
                      <c:pt idx="811">
                        <c:v>13543505.800802074</c:v>
                      </c:pt>
                      <c:pt idx="812">
                        <c:v>13560406.094580708</c:v>
                      </c:pt>
                      <c:pt idx="813">
                        <c:v>13577306.388216265</c:v>
                      </c:pt>
                      <c:pt idx="814">
                        <c:v>13594206.681709098</c:v>
                      </c:pt>
                      <c:pt idx="815">
                        <c:v>13611106.975059561</c:v>
                      </c:pt>
                      <c:pt idx="816">
                        <c:v>13628007.268268008</c:v>
                      </c:pt>
                      <c:pt idx="817">
                        <c:v>13644907.561334791</c:v>
                      </c:pt>
                      <c:pt idx="818">
                        <c:v>13661807.854260258</c:v>
                      </c:pt>
                      <c:pt idx="819">
                        <c:v>13678708.147044763</c:v>
                      </c:pt>
                      <c:pt idx="820">
                        <c:v>13695608.439688649</c:v>
                      </c:pt>
                      <c:pt idx="821">
                        <c:v>13712508.732192265</c:v>
                      </c:pt>
                      <c:pt idx="822">
                        <c:v>13729409.024555953</c:v>
                      </c:pt>
                      <c:pt idx="823">
                        <c:v>13746309.316780059</c:v>
                      </c:pt>
                      <c:pt idx="824">
                        <c:v>13763209.608864924</c:v>
                      </c:pt>
                      <c:pt idx="825">
                        <c:v>13780109.90081089</c:v>
                      </c:pt>
                      <c:pt idx="826">
                        <c:v>13797010.192618297</c:v>
                      </c:pt>
                      <c:pt idx="827">
                        <c:v>13813910.484287484</c:v>
                      </c:pt>
                      <c:pt idx="828">
                        <c:v>13830810.775818789</c:v>
                      </c:pt>
                      <c:pt idx="829">
                        <c:v>13847711.067212548</c:v>
                      </c:pt>
                      <c:pt idx="830">
                        <c:v>13864611.358469093</c:v>
                      </c:pt>
                      <c:pt idx="831">
                        <c:v>13881511.649588762</c:v>
                      </c:pt>
                      <c:pt idx="832">
                        <c:v>13898411.940571886</c:v>
                      </c:pt>
                      <c:pt idx="833">
                        <c:v>13915312.231418796</c:v>
                      </c:pt>
                      <c:pt idx="834">
                        <c:v>13932212.522129823</c:v>
                      </c:pt>
                      <c:pt idx="835">
                        <c:v>13949112.812705295</c:v>
                      </c:pt>
                      <c:pt idx="836">
                        <c:v>13966013.103145542</c:v>
                      </c:pt>
                      <c:pt idx="837">
                        <c:v>13982913.393450888</c:v>
                      </c:pt>
                      <c:pt idx="838">
                        <c:v>13999813.68362166</c:v>
                      </c:pt>
                      <c:pt idx="839">
                        <c:v>14016713.973658182</c:v>
                      </c:pt>
                      <c:pt idx="840">
                        <c:v>14033614.263560776</c:v>
                      </c:pt>
                      <c:pt idx="841">
                        <c:v>14050514.553329764</c:v>
                      </c:pt>
                      <c:pt idx="842">
                        <c:v>14067414.842965469</c:v>
                      </c:pt>
                      <c:pt idx="843">
                        <c:v>14084315.132468207</c:v>
                      </c:pt>
                      <c:pt idx="844">
                        <c:v>14101215.4218383</c:v>
                      </c:pt>
                      <c:pt idx="845">
                        <c:v>14118115.711076064</c:v>
                      </c:pt>
                      <c:pt idx="846">
                        <c:v>14135016.000181813</c:v>
                      </c:pt>
                      <c:pt idx="847">
                        <c:v>14151916.289155865</c:v>
                      </c:pt>
                      <c:pt idx="848">
                        <c:v>14168816.577998532</c:v>
                      </c:pt>
                      <c:pt idx="849">
                        <c:v>14185716.866710128</c:v>
                      </c:pt>
                      <c:pt idx="850">
                        <c:v>14202617.155290965</c:v>
                      </c:pt>
                      <c:pt idx="851">
                        <c:v>14219517.443741351</c:v>
                      </c:pt>
                      <c:pt idx="852">
                        <c:v>14236417.732061598</c:v>
                      </c:pt>
                      <c:pt idx="853">
                        <c:v>14253318.020252015</c:v>
                      </c:pt>
                      <c:pt idx="854">
                        <c:v>14270218.308312906</c:v>
                      </c:pt>
                      <c:pt idx="855">
                        <c:v>14287118.596244579</c:v>
                      </c:pt>
                      <c:pt idx="856">
                        <c:v>14304018.884047341</c:v>
                      </c:pt>
                      <c:pt idx="857">
                        <c:v>14320919.171721494</c:v>
                      </c:pt>
                      <c:pt idx="858">
                        <c:v>14337819.459267341</c:v>
                      </c:pt>
                      <c:pt idx="859">
                        <c:v>14354719.746685185</c:v>
                      </c:pt>
                      <c:pt idx="860">
                        <c:v>14371620.033975324</c:v>
                      </c:pt>
                      <c:pt idx="861">
                        <c:v>14388520.32113806</c:v>
                      </c:pt>
                      <c:pt idx="862">
                        <c:v>14405420.608173691</c:v>
                      </c:pt>
                      <c:pt idx="863">
                        <c:v>14422320.895082515</c:v>
                      </c:pt>
                      <c:pt idx="864">
                        <c:v>14439221.181864828</c:v>
                      </c:pt>
                      <c:pt idx="865">
                        <c:v>14456121.468520926</c:v>
                      </c:pt>
                      <c:pt idx="866">
                        <c:v>14473021.755051104</c:v>
                      </c:pt>
                      <c:pt idx="867">
                        <c:v>14489922.041455656</c:v>
                      </c:pt>
                      <c:pt idx="868">
                        <c:v>14506822.327734873</c:v>
                      </c:pt>
                      <c:pt idx="869">
                        <c:v>14523722.613889046</c:v>
                      </c:pt>
                      <c:pt idx="870">
                        <c:v>14540622.899918467</c:v>
                      </c:pt>
                      <c:pt idx="871">
                        <c:v>14557523.185823424</c:v>
                      </c:pt>
                      <c:pt idx="872">
                        <c:v>14574423.471604206</c:v>
                      </c:pt>
                      <c:pt idx="873">
                        <c:v>14591323.757261101</c:v>
                      </c:pt>
                      <c:pt idx="874">
                        <c:v>14608224.042794393</c:v>
                      </c:pt>
                      <c:pt idx="875">
                        <c:v>14625124.328204371</c:v>
                      </c:pt>
                      <c:pt idx="876">
                        <c:v>14642024.613491317</c:v>
                      </c:pt>
                      <c:pt idx="877">
                        <c:v>14658924.898655517</c:v>
                      </c:pt>
                      <c:pt idx="878">
                        <c:v>14675825.183697252</c:v>
                      </c:pt>
                      <c:pt idx="879">
                        <c:v>14692725.468616802</c:v>
                      </c:pt>
                      <c:pt idx="880">
                        <c:v>14709625.753414448</c:v>
                      </c:pt>
                      <c:pt idx="881">
                        <c:v>14726526.038090471</c:v>
                      </c:pt>
                      <c:pt idx="882">
                        <c:v>14743426.32264515</c:v>
                      </c:pt>
                      <c:pt idx="883">
                        <c:v>14760326.607078761</c:v>
                      </c:pt>
                      <c:pt idx="884">
                        <c:v>14777226.891391583</c:v>
                      </c:pt>
                      <c:pt idx="885">
                        <c:v>14794127.175583888</c:v>
                      </c:pt>
                      <c:pt idx="886">
                        <c:v>14811027.459655954</c:v>
                      </c:pt>
                      <c:pt idx="887">
                        <c:v>14827927.743608054</c:v>
                      </c:pt>
                      <c:pt idx="888">
                        <c:v>14844828.02744046</c:v>
                      </c:pt>
                      <c:pt idx="889">
                        <c:v>14861728.311153445</c:v>
                      </c:pt>
                      <c:pt idx="890">
                        <c:v>14878628.594747279</c:v>
                      </c:pt>
                      <c:pt idx="891">
                        <c:v>14895528.878222235</c:v>
                      </c:pt>
                      <c:pt idx="892">
                        <c:v>14912429.161578579</c:v>
                      </c:pt>
                      <c:pt idx="893">
                        <c:v>14929329.44481658</c:v>
                      </c:pt>
                      <c:pt idx="894">
                        <c:v>14946229.727936506</c:v>
                      </c:pt>
                      <c:pt idx="895">
                        <c:v>14963130.010938624</c:v>
                      </c:pt>
                      <c:pt idx="896">
                        <c:v>14980030.293823199</c:v>
                      </c:pt>
                      <c:pt idx="897">
                        <c:v>14996930.576590495</c:v>
                      </c:pt>
                      <c:pt idx="898">
                        <c:v>15013830.859240778</c:v>
                      </c:pt>
                      <c:pt idx="899">
                        <c:v>15030731.141774308</c:v>
                      </c:pt>
                      <c:pt idx="900">
                        <c:v>15047631.424191348</c:v>
                      </c:pt>
                      <c:pt idx="901">
                        <c:v>15064531.70649216</c:v>
                      </c:pt>
                      <c:pt idx="902">
                        <c:v>15081431.988677004</c:v>
                      </c:pt>
                      <c:pt idx="903">
                        <c:v>15098332.27074614</c:v>
                      </c:pt>
                      <c:pt idx="904">
                        <c:v>15115232.552699827</c:v>
                      </c:pt>
                      <c:pt idx="905">
                        <c:v>15132132.83453832</c:v>
                      </c:pt>
                      <c:pt idx="906">
                        <c:v>15149033.116261879</c:v>
                      </c:pt>
                      <c:pt idx="907">
                        <c:v>15165933.397870757</c:v>
                      </c:pt>
                      <c:pt idx="908">
                        <c:v>15182833.67936521</c:v>
                      </c:pt>
                      <c:pt idx="909">
                        <c:v>15199733.960745495</c:v>
                      </c:pt>
                      <c:pt idx="910">
                        <c:v>15216634.242011862</c:v>
                      </c:pt>
                      <c:pt idx="911">
                        <c:v>15233534.523164563</c:v>
                      </c:pt>
                      <c:pt idx="912">
                        <c:v>15250434.804203853</c:v>
                      </c:pt>
                      <c:pt idx="913">
                        <c:v>15267335.08512998</c:v>
                      </c:pt>
                      <c:pt idx="914">
                        <c:v>15284235.365943195</c:v>
                      </c:pt>
                      <c:pt idx="915">
                        <c:v>15301135.646643749</c:v>
                      </c:pt>
                      <c:pt idx="916">
                        <c:v>15318035.927231887</c:v>
                      </c:pt>
                      <c:pt idx="917">
                        <c:v>15334936.207707861</c:v>
                      </c:pt>
                      <c:pt idx="918">
                        <c:v>15351836.488071915</c:v>
                      </c:pt>
                      <c:pt idx="919">
                        <c:v>15368736.768324295</c:v>
                      </c:pt>
                      <c:pt idx="920">
                        <c:v>15385637.048465246</c:v>
                      </c:pt>
                      <c:pt idx="921">
                        <c:v>15402537.328495013</c:v>
                      </c:pt>
                      <c:pt idx="922">
                        <c:v>15419437.608413838</c:v>
                      </c:pt>
                      <c:pt idx="923">
                        <c:v>15436337.888221966</c:v>
                      </c:pt>
                      <c:pt idx="924">
                        <c:v>15453238.167919638</c:v>
                      </c:pt>
                      <c:pt idx="925">
                        <c:v>15470138.447507096</c:v>
                      </c:pt>
                      <c:pt idx="926">
                        <c:v>15487038.726984579</c:v>
                      </c:pt>
                      <c:pt idx="927">
                        <c:v>15503939.006352326</c:v>
                      </c:pt>
                      <c:pt idx="928">
                        <c:v>15520839.285610577</c:v>
                      </c:pt>
                      <c:pt idx="929">
                        <c:v>15537739.564759571</c:v>
                      </c:pt>
                      <c:pt idx="930">
                        <c:v>15554639.843799544</c:v>
                      </c:pt>
                      <c:pt idx="931">
                        <c:v>15571540.122730732</c:v>
                      </c:pt>
                      <c:pt idx="932">
                        <c:v>15588440.401553372</c:v>
                      </c:pt>
                      <c:pt idx="933">
                        <c:v>15605340.680267697</c:v>
                      </c:pt>
                      <c:pt idx="934">
                        <c:v>15622240.958873944</c:v>
                      </c:pt>
                      <c:pt idx="935">
                        <c:v>15639141.237372346</c:v>
                      </c:pt>
                      <c:pt idx="936">
                        <c:v>15656041.515763134</c:v>
                      </c:pt>
                      <c:pt idx="937">
                        <c:v>15672941.794046538</c:v>
                      </c:pt>
                      <c:pt idx="938">
                        <c:v>15689842.072222792</c:v>
                      </c:pt>
                      <c:pt idx="939">
                        <c:v>15706742.350292126</c:v>
                      </c:pt>
                      <c:pt idx="940">
                        <c:v>15723642.628254769</c:v>
                      </c:pt>
                      <c:pt idx="941">
                        <c:v>15740542.906110952</c:v>
                      </c:pt>
                      <c:pt idx="942">
                        <c:v>15757443.183860902</c:v>
                      </c:pt>
                      <c:pt idx="943">
                        <c:v>15774343.461504845</c:v>
                      </c:pt>
                      <c:pt idx="944">
                        <c:v>15791243.73904301</c:v>
                      </c:pt>
                      <c:pt idx="945">
                        <c:v>15808144.016475622</c:v>
                      </c:pt>
                      <c:pt idx="946">
                        <c:v>15825044.293802904</c:v>
                      </c:pt>
                      <c:pt idx="947">
                        <c:v>15841944.571025085</c:v>
                      </c:pt>
                      <c:pt idx="948">
                        <c:v>15858844.848142385</c:v>
                      </c:pt>
                      <c:pt idx="949">
                        <c:v>15875745.125155028</c:v>
                      </c:pt>
                      <c:pt idx="950">
                        <c:v>15892645.402063238</c:v>
                      </c:pt>
                      <c:pt idx="951">
                        <c:v>15909545.678867234</c:v>
                      </c:pt>
                      <c:pt idx="952">
                        <c:v>15926445.955567241</c:v>
                      </c:pt>
                      <c:pt idx="953">
                        <c:v>15943346.232163478</c:v>
                      </c:pt>
                      <c:pt idx="954">
                        <c:v>15960246.508656163</c:v>
                      </c:pt>
                      <c:pt idx="955">
                        <c:v>15977146.785045514</c:v>
                      </c:pt>
                      <c:pt idx="956">
                        <c:v>15994047.061331753</c:v>
                      </c:pt>
                      <c:pt idx="957">
                        <c:v>16010947.337515093</c:v>
                      </c:pt>
                      <c:pt idx="958">
                        <c:v>16027847.613595754</c:v>
                      </c:pt>
                      <c:pt idx="959">
                        <c:v>16044747.889573952</c:v>
                      </c:pt>
                      <c:pt idx="960">
                        <c:v>16061648.165449902</c:v>
                      </c:pt>
                      <c:pt idx="961">
                        <c:v>16078548.441223817</c:v>
                      </c:pt>
                      <c:pt idx="962">
                        <c:v>16095448.716895914</c:v>
                      </c:pt>
                      <c:pt idx="963">
                        <c:v>16112348.992466405</c:v>
                      </c:pt>
                      <c:pt idx="964">
                        <c:v>16129249.267935503</c:v>
                      </c:pt>
                      <c:pt idx="965">
                        <c:v>16146149.543303421</c:v>
                      </c:pt>
                      <c:pt idx="966">
                        <c:v>16163049.81857037</c:v>
                      </c:pt>
                      <c:pt idx="967">
                        <c:v>16179950.093736559</c:v>
                      </c:pt>
                      <c:pt idx="968">
                        <c:v>16196850.368802199</c:v>
                      </c:pt>
                      <c:pt idx="969">
                        <c:v>16213750.643767498</c:v>
                      </c:pt>
                      <c:pt idx="970">
                        <c:v>16230650.918632668</c:v>
                      </c:pt>
                      <c:pt idx="971">
                        <c:v>16247551.193397915</c:v>
                      </c:pt>
                      <c:pt idx="972">
                        <c:v>16264451.468063448</c:v>
                      </c:pt>
                      <c:pt idx="973">
                        <c:v>16281351.742629472</c:v>
                      </c:pt>
                      <c:pt idx="974">
                        <c:v>16298252.017096197</c:v>
                      </c:pt>
                      <c:pt idx="975">
                        <c:v>16315152.291463826</c:v>
                      </c:pt>
                      <c:pt idx="976">
                        <c:v>16332052.565732563</c:v>
                      </c:pt>
                      <c:pt idx="977">
                        <c:v>16348952.839902611</c:v>
                      </c:pt>
                      <c:pt idx="978">
                        <c:v>16365853.113974178</c:v>
                      </c:pt>
                      <c:pt idx="979">
                        <c:v>16382753.387947464</c:v>
                      </c:pt>
                      <c:pt idx="980">
                        <c:v>16399653.661822673</c:v>
                      </c:pt>
                      <c:pt idx="981">
                        <c:v>16416553.935600005</c:v>
                      </c:pt>
                      <c:pt idx="982">
                        <c:v>16433454.209279664</c:v>
                      </c:pt>
                      <c:pt idx="983">
                        <c:v>16450354.482861847</c:v>
                      </c:pt>
                      <c:pt idx="984">
                        <c:v>16467254.756346755</c:v>
                      </c:pt>
                      <c:pt idx="985">
                        <c:v>16484155.029734587</c:v>
                      </c:pt>
                      <c:pt idx="986">
                        <c:v>16501055.303025546</c:v>
                      </c:pt>
                      <c:pt idx="987">
                        <c:v>16517955.576219825</c:v>
                      </c:pt>
                      <c:pt idx="988">
                        <c:v>16534855.849317625</c:v>
                      </c:pt>
                      <c:pt idx="989">
                        <c:v>16551756.12231914</c:v>
                      </c:pt>
                      <c:pt idx="990">
                        <c:v>16568656.395224568</c:v>
                      </c:pt>
                      <c:pt idx="991">
                        <c:v>16585556.668034103</c:v>
                      </c:pt>
                      <c:pt idx="992">
                        <c:v>16602456.940747941</c:v>
                      </c:pt>
                      <c:pt idx="993">
                        <c:v>16619357.213366278</c:v>
                      </c:pt>
                      <c:pt idx="994">
                        <c:v>16636257.485889306</c:v>
                      </c:pt>
                      <c:pt idx="995">
                        <c:v>16653157.758317219</c:v>
                      </c:pt>
                      <c:pt idx="996">
                        <c:v>16670058.030650208</c:v>
                      </c:pt>
                      <c:pt idx="997">
                        <c:v>16686958.302888468</c:v>
                      </c:pt>
                      <c:pt idx="998">
                        <c:v>16703858.575032189</c:v>
                      </c:pt>
                      <c:pt idx="999">
                        <c:v>16720758.847081563</c:v>
                      </c:pt>
                      <c:pt idx="1000">
                        <c:v>16737659.119036777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1C9-4712-B1F7-A16C19E27AB9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.000" sourceLinked="1"/>
        <c:majorTickMark val="none"/>
        <c:minorTickMark val="none"/>
        <c:tickLblPos val="nextTo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.000" sourceLinked="1"/>
        <c:majorTickMark val="none"/>
        <c:minorTickMark val="none"/>
        <c:tickLblPos val="nextTo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808789345191184E-2"/>
          <c:y val="4.9896412910222558E-2"/>
          <c:w val="0.86684197967189947"/>
          <c:h val="0.94002294030907274"/>
        </c:manualLayout>
      </c:layout>
      <c:scatterChart>
        <c:scatterStyle val="smooth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Trajectoire</c:v>
                </c15:tx>
              </c15:filteredSeriesTitle>
            </c:ext>
            <c:ext xmlns:c16="http://schemas.microsoft.com/office/drawing/2014/chart" uri="{C3380CC4-5D6E-409C-BE32-E72D297353CC}">
              <c16:uniqueId val="{00000003-90D6-4081-85A4-0857EA05B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Conditions!$C$4:$C$1003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24999.238475781956</c:v>
                      </c:pt>
                      <c:pt idx="1">
                        <c:v>24996.954135095479</c:v>
                      </c:pt>
                      <c:pt idx="2">
                        <c:v>24993.14767377287</c:v>
                      </c:pt>
                      <c:pt idx="3">
                        <c:v>24987.820251299119</c:v>
                      </c:pt>
                      <c:pt idx="4">
                        <c:v>24980.973490458728</c:v>
                      </c:pt>
                      <c:pt idx="5">
                        <c:v>24972.609476841368</c:v>
                      </c:pt>
                      <c:pt idx="6">
                        <c:v>24962.73075820661</c:v>
                      </c:pt>
                      <c:pt idx="7">
                        <c:v>24951.340343707852</c:v>
                      </c:pt>
                      <c:pt idx="8">
                        <c:v>24938.441702975688</c:v>
                      </c:pt>
                      <c:pt idx="9">
                        <c:v>24924.038765061039</c:v>
                      </c:pt>
                      <c:pt idx="10">
                        <c:v>24908.13591723832</c:v>
                      </c:pt>
                      <c:pt idx="11">
                        <c:v>24890.73800366903</c:v>
                      </c:pt>
                      <c:pt idx="12">
                        <c:v>24871.850323926177</c:v>
                      </c:pt>
                      <c:pt idx="13">
                        <c:v>24851.478631379981</c:v>
                      </c:pt>
                      <c:pt idx="14">
                        <c:v>24829.629131445341</c:v>
                      </c:pt>
                      <c:pt idx="15">
                        <c:v>24806.308479691594</c:v>
                      </c:pt>
                      <c:pt idx="16">
                        <c:v>24781.523779815179</c:v>
                      </c:pt>
                      <c:pt idx="17">
                        <c:v>24755.282581475767</c:v>
                      </c:pt>
                      <c:pt idx="18">
                        <c:v>24727.592877996583</c:v>
                      </c:pt>
                      <c:pt idx="19">
                        <c:v>24698.463103929542</c:v>
                      </c:pt>
                      <c:pt idx="20">
                        <c:v>24667.902132486008</c:v>
                      </c:pt>
                      <c:pt idx="21">
                        <c:v>24635.919272833937</c:v>
                      </c:pt>
                      <c:pt idx="22">
                        <c:v>24602.524267262201</c:v>
                      </c:pt>
                      <c:pt idx="23">
                        <c:v>24567.727288213006</c:v>
                      </c:pt>
                      <c:pt idx="24">
                        <c:v>24531.538935183249</c:v>
                      </c:pt>
                      <c:pt idx="25">
                        <c:v>24493.970231495834</c:v>
                      </c:pt>
                      <c:pt idx="26">
                        <c:v>24455.032620941842</c:v>
                      </c:pt>
                      <c:pt idx="27">
                        <c:v>24414.737964294636</c:v>
                      </c:pt>
                      <c:pt idx="28">
                        <c:v>24373.09853569698</c:v>
                      </c:pt>
                      <c:pt idx="29">
                        <c:v>24330.127018922194</c:v>
                      </c:pt>
                      <c:pt idx="30">
                        <c:v>24285.83650351056</c:v>
                      </c:pt>
                      <c:pt idx="31">
                        <c:v>24240.240480782129</c:v>
                      </c:pt>
                      <c:pt idx="32">
                        <c:v>24193.352839727122</c:v>
                      </c:pt>
                      <c:pt idx="33">
                        <c:v>24145.187862775208</c:v>
                      </c:pt>
                      <c:pt idx="34">
                        <c:v>24095.760221444958</c:v>
                      </c:pt>
                      <c:pt idx="35">
                        <c:v>24045.084971874738</c:v>
                      </c:pt>
                      <c:pt idx="36">
                        <c:v>23993.177550236465</c:v>
                      </c:pt>
                      <c:pt idx="37">
                        <c:v>23940.053768033609</c:v>
                      </c:pt>
                      <c:pt idx="38">
                        <c:v>23885.729807284853</c:v>
                      </c:pt>
                      <c:pt idx="39">
                        <c:v>23830.222215594891</c:v>
                      </c:pt>
                      <c:pt idx="40">
                        <c:v>23773.54790111386</c:v>
                      </c:pt>
                      <c:pt idx="41">
                        <c:v>23715.724127386973</c:v>
                      </c:pt>
                      <c:pt idx="42">
                        <c:v>23656.768508095854</c:v>
                      </c:pt>
                      <c:pt idx="43">
                        <c:v>23596.699001693254</c:v>
                      </c:pt>
                      <c:pt idx="44">
                        <c:v>23535.533905932738</c:v>
                      </c:pt>
                      <c:pt idx="45">
                        <c:v>23473.291852294988</c:v>
                      </c:pt>
                      <c:pt idx="46">
                        <c:v>23409.991800312491</c:v>
                      </c:pt>
                      <c:pt idx="47">
                        <c:v>23345.653031794292</c:v>
                      </c:pt>
                      <c:pt idx="48">
                        <c:v>23280.295144952535</c:v>
                      </c:pt>
                      <c:pt idx="49">
                        <c:v>23213.938048432698</c:v>
                      </c:pt>
                      <c:pt idx="50">
                        <c:v>23146.601955249189</c:v>
                      </c:pt>
                      <c:pt idx="51">
                        <c:v>23078.307376628291</c:v>
                      </c:pt>
                      <c:pt idx="52">
                        <c:v>23009.075115760243</c:v>
                      </c:pt>
                      <c:pt idx="53">
                        <c:v>22938.926261462366</c:v>
                      </c:pt>
                      <c:pt idx="54">
                        <c:v>22867.882181755231</c:v>
                      </c:pt>
                      <c:pt idx="55">
                        <c:v>22795.964517353736</c:v>
                      </c:pt>
                      <c:pt idx="56">
                        <c:v>22723.195175075136</c:v>
                      </c:pt>
                      <c:pt idx="57">
                        <c:v>22649.596321166024</c:v>
                      </c:pt>
                      <c:pt idx="58">
                        <c:v>22575.190374550271</c:v>
                      </c:pt>
                      <c:pt idx="59">
                        <c:v>22500</c:v>
                      </c:pt>
                      <c:pt idx="60">
                        <c:v>22424.048101231685</c:v>
                      </c:pt>
                      <c:pt idx="61">
                        <c:v>22347.357813929455</c:v>
                      </c:pt>
                      <c:pt idx="62">
                        <c:v>22269.952498697734</c:v>
                      </c:pt>
                      <c:pt idx="63">
                        <c:v>22191.855733945387</c:v>
                      </c:pt>
                      <c:pt idx="64">
                        <c:v>22113.091308703497</c:v>
                      </c:pt>
                      <c:pt idx="65">
                        <c:v>22033.683215379002</c:v>
                      </c:pt>
                      <c:pt idx="66">
                        <c:v>21953.655642446371</c:v>
                      </c:pt>
                      <c:pt idx="67">
                        <c:v>21873.032967079558</c:v>
                      </c:pt>
                      <c:pt idx="68">
                        <c:v>21791.839747726503</c:v>
                      </c:pt>
                      <c:pt idx="69">
                        <c:v>21710.100716628345</c:v>
                      </c:pt>
                      <c:pt idx="70">
                        <c:v>21627.840772285785</c:v>
                      </c:pt>
                      <c:pt idx="71">
                        <c:v>21545.084971874738</c:v>
                      </c:pt>
                      <c:pt idx="72">
                        <c:v>21461.858523613682</c:v>
                      </c:pt>
                      <c:pt idx="73">
                        <c:v>21378.186779084997</c:v>
                      </c:pt>
                      <c:pt idx="74">
                        <c:v>21294.095225512603</c:v>
                      </c:pt>
                      <c:pt idx="75">
                        <c:v>21209.60947799834</c:v>
                      </c:pt>
                      <c:pt idx="76">
                        <c:v>21124.755271719325</c:v>
                      </c:pt>
                      <c:pt idx="77">
                        <c:v>21039.558454088798</c:v>
                      </c:pt>
                      <c:pt idx="78">
                        <c:v>20954.044976882724</c:v>
                      </c:pt>
                      <c:pt idx="79">
                        <c:v>20868.240888334651</c:v>
                      </c:pt>
                      <c:pt idx="80">
                        <c:v>20782.172325201154</c:v>
                      </c:pt>
                      <c:pt idx="81">
                        <c:v>20695.865504800327</c:v>
                      </c:pt>
                      <c:pt idx="82">
                        <c:v>20609.346717025739</c:v>
                      </c:pt>
                      <c:pt idx="83">
                        <c:v>20522.642316338268</c:v>
                      </c:pt>
                      <c:pt idx="84">
                        <c:v>20435.778713738291</c:v>
                      </c:pt>
                      <c:pt idx="85">
                        <c:v>20348.782368720626</c:v>
                      </c:pt>
                      <c:pt idx="86">
                        <c:v>20261.67978121472</c:v>
                      </c:pt>
                      <c:pt idx="87">
                        <c:v>20174.497483512507</c:v>
                      </c:pt>
                      <c:pt idx="88">
                        <c:v>20087.262032186416</c:v>
                      </c:pt>
                      <c:pt idx="89">
                        <c:v>20000</c:v>
                      </c:pt>
                      <c:pt idx="90">
                        <c:v>19912.737967813584</c:v>
                      </c:pt>
                      <c:pt idx="91">
                        <c:v>19825.502516487497</c:v>
                      </c:pt>
                      <c:pt idx="92">
                        <c:v>19738.32021878528</c:v>
                      </c:pt>
                      <c:pt idx="93">
                        <c:v>19651.217631279374</c:v>
                      </c:pt>
                      <c:pt idx="94">
                        <c:v>19564.221286261709</c:v>
                      </c:pt>
                      <c:pt idx="95">
                        <c:v>19477.357683661732</c:v>
                      </c:pt>
                      <c:pt idx="96">
                        <c:v>19390.653282974265</c:v>
                      </c:pt>
                      <c:pt idx="97">
                        <c:v>19304.134495199673</c:v>
                      </c:pt>
                      <c:pt idx="98">
                        <c:v>19217.827674798846</c:v>
                      </c:pt>
                      <c:pt idx="99">
                        <c:v>19131.759111665349</c:v>
                      </c:pt>
                      <c:pt idx="100">
                        <c:v>19045.955023117276</c:v>
                      </c:pt>
                      <c:pt idx="101">
                        <c:v>18960.441545911206</c:v>
                      </c:pt>
                      <c:pt idx="102">
                        <c:v>18875.244728280675</c:v>
                      </c:pt>
                      <c:pt idx="103">
                        <c:v>18790.39052200166</c:v>
                      </c:pt>
                      <c:pt idx="104">
                        <c:v>18705.904774487397</c:v>
                      </c:pt>
                      <c:pt idx="105">
                        <c:v>18621.813220915006</c:v>
                      </c:pt>
                      <c:pt idx="106">
                        <c:v>18538.141476386318</c:v>
                      </c:pt>
                      <c:pt idx="107">
                        <c:v>18454.915028125262</c:v>
                      </c:pt>
                      <c:pt idx="108">
                        <c:v>18372.159227714219</c:v>
                      </c:pt>
                      <c:pt idx="109">
                        <c:v>18289.899283371655</c:v>
                      </c:pt>
                      <c:pt idx="110">
                        <c:v>18208.160252273497</c:v>
                      </c:pt>
                      <c:pt idx="111">
                        <c:v>18126.967032920438</c:v>
                      </c:pt>
                      <c:pt idx="112">
                        <c:v>18046.344357553633</c:v>
                      </c:pt>
                      <c:pt idx="113">
                        <c:v>17966.316784620998</c:v>
                      </c:pt>
                      <c:pt idx="114">
                        <c:v>17886.908691296503</c:v>
                      </c:pt>
                      <c:pt idx="115">
                        <c:v>17808.144266054613</c:v>
                      </c:pt>
                      <c:pt idx="116">
                        <c:v>17730.047501302266</c:v>
                      </c:pt>
                      <c:pt idx="117">
                        <c:v>17652.642186070549</c:v>
                      </c:pt>
                      <c:pt idx="118">
                        <c:v>17575.951898768315</c:v>
                      </c:pt>
                      <c:pt idx="119">
                        <c:v>17500</c:v>
                      </c:pt>
                      <c:pt idx="120">
                        <c:v>17424.809625449729</c:v>
                      </c:pt>
                      <c:pt idx="121">
                        <c:v>17350.403678833976</c:v>
                      </c:pt>
                      <c:pt idx="122">
                        <c:v>17276.804824924864</c:v>
                      </c:pt>
                      <c:pt idx="123">
                        <c:v>17204.035482646268</c:v>
                      </c:pt>
                      <c:pt idx="124">
                        <c:v>17132.117818244769</c:v>
                      </c:pt>
                      <c:pt idx="125">
                        <c:v>17061.073738537634</c:v>
                      </c:pt>
                      <c:pt idx="126">
                        <c:v>16990.924884239757</c:v>
                      </c:pt>
                      <c:pt idx="127">
                        <c:v>16921.692623371709</c:v>
                      </c:pt>
                      <c:pt idx="128">
                        <c:v>16853.398044750815</c:v>
                      </c:pt>
                      <c:pt idx="129">
                        <c:v>16786.061951567302</c:v>
                      </c:pt>
                      <c:pt idx="130">
                        <c:v>16719.704855047461</c:v>
                      </c:pt>
                      <c:pt idx="131">
                        <c:v>16654.346968205708</c:v>
                      </c:pt>
                      <c:pt idx="132">
                        <c:v>16590.008199687509</c:v>
                      </c:pt>
                      <c:pt idx="133">
                        <c:v>16526.708147705016</c:v>
                      </c:pt>
                      <c:pt idx="134">
                        <c:v>16464.466094067262</c:v>
                      </c:pt>
                      <c:pt idx="135">
                        <c:v>16403.300998306746</c:v>
                      </c:pt>
                      <c:pt idx="136">
                        <c:v>16343.231491904147</c:v>
                      </c:pt>
                      <c:pt idx="137">
                        <c:v>16284.275872613031</c:v>
                      </c:pt>
                      <c:pt idx="138">
                        <c:v>16226.45209888614</c:v>
                      </c:pt>
                      <c:pt idx="139">
                        <c:v>16169.777784405111</c:v>
                      </c:pt>
                      <c:pt idx="140">
                        <c:v>16114.270192715147</c:v>
                      </c:pt>
                      <c:pt idx="141">
                        <c:v>16059.946231966391</c:v>
                      </c:pt>
                      <c:pt idx="142">
                        <c:v>16006.822449763535</c:v>
                      </c:pt>
                      <c:pt idx="143">
                        <c:v>15954.915028125262</c:v>
                      </c:pt>
                      <c:pt idx="144">
                        <c:v>15904.239778555042</c:v>
                      </c:pt>
                      <c:pt idx="145">
                        <c:v>15854.812137224792</c:v>
                      </c:pt>
                      <c:pt idx="146">
                        <c:v>15806.647160272878</c:v>
                      </c:pt>
                      <c:pt idx="147">
                        <c:v>15759.759519217871</c:v>
                      </c:pt>
                      <c:pt idx="148">
                        <c:v>15714.16349648944</c:v>
                      </c:pt>
                      <c:pt idx="149">
                        <c:v>15669.872981077806</c:v>
                      </c:pt>
                      <c:pt idx="150">
                        <c:v>15626.90146430302</c:v>
                      </c:pt>
                      <c:pt idx="151">
                        <c:v>15585.262035705367</c:v>
                      </c:pt>
                      <c:pt idx="152">
                        <c:v>15544.967379058162</c:v>
                      </c:pt>
                      <c:pt idx="153">
                        <c:v>15506.029768504166</c:v>
                      </c:pt>
                      <c:pt idx="154">
                        <c:v>15468.461064816751</c:v>
                      </c:pt>
                      <c:pt idx="155">
                        <c:v>15432.272711786996</c:v>
                      </c:pt>
                      <c:pt idx="156">
                        <c:v>15397.475732737799</c:v>
                      </c:pt>
                      <c:pt idx="157">
                        <c:v>15364.080727166063</c:v>
                      </c:pt>
                      <c:pt idx="158">
                        <c:v>15332.097867513992</c:v>
                      </c:pt>
                      <c:pt idx="159">
                        <c:v>15301.536896070458</c:v>
                      </c:pt>
                      <c:pt idx="160">
                        <c:v>15272.407122003417</c:v>
                      </c:pt>
                      <c:pt idx="161">
                        <c:v>15244.717418524233</c:v>
                      </c:pt>
                      <c:pt idx="162">
                        <c:v>15218.476220184823</c:v>
                      </c:pt>
                      <c:pt idx="163">
                        <c:v>15193.691520308406</c:v>
                      </c:pt>
                      <c:pt idx="164">
                        <c:v>15170.370868554659</c:v>
                      </c:pt>
                      <c:pt idx="165">
                        <c:v>15148.521368620019</c:v>
                      </c:pt>
                      <c:pt idx="166">
                        <c:v>15128.149676073823</c:v>
                      </c:pt>
                      <c:pt idx="167">
                        <c:v>15109.261996330972</c:v>
                      </c:pt>
                      <c:pt idx="168">
                        <c:v>15091.86408276168</c:v>
                      </c:pt>
                      <c:pt idx="169">
                        <c:v>15075.961234938961</c:v>
                      </c:pt>
                      <c:pt idx="170">
                        <c:v>15061.558297024312</c:v>
                      </c:pt>
                      <c:pt idx="171">
                        <c:v>15048.659656292148</c:v>
                      </c:pt>
                      <c:pt idx="172">
                        <c:v>15037.26924179339</c:v>
                      </c:pt>
                      <c:pt idx="173">
                        <c:v>15027.390523158632</c:v>
                      </c:pt>
                      <c:pt idx="174">
                        <c:v>15019.026509541272</c:v>
                      </c:pt>
                      <c:pt idx="175">
                        <c:v>15012.179748700879</c:v>
                      </c:pt>
                      <c:pt idx="176">
                        <c:v>15006.85232622713</c:v>
                      </c:pt>
                      <c:pt idx="177">
                        <c:v>15003.045864904521</c:v>
                      </c:pt>
                      <c:pt idx="178">
                        <c:v>15000.761524218044</c:v>
                      </c:pt>
                      <c:pt idx="179">
                        <c:v>15000</c:v>
                      </c:pt>
                      <c:pt idx="180">
                        <c:v>15000.761524218044</c:v>
                      </c:pt>
                      <c:pt idx="181">
                        <c:v>15003.045864904521</c:v>
                      </c:pt>
                      <c:pt idx="182">
                        <c:v>15006.85232622713</c:v>
                      </c:pt>
                      <c:pt idx="183">
                        <c:v>15012.179748700877</c:v>
                      </c:pt>
                      <c:pt idx="184">
                        <c:v>15019.026509541272</c:v>
                      </c:pt>
                      <c:pt idx="185">
                        <c:v>15027.390523158632</c:v>
                      </c:pt>
                      <c:pt idx="186">
                        <c:v>15037.26924179339</c:v>
                      </c:pt>
                      <c:pt idx="187">
                        <c:v>15048.659656292148</c:v>
                      </c:pt>
                      <c:pt idx="188">
                        <c:v>15061.558297024312</c:v>
                      </c:pt>
                      <c:pt idx="189">
                        <c:v>15075.961234938961</c:v>
                      </c:pt>
                      <c:pt idx="190">
                        <c:v>15091.86408276168</c:v>
                      </c:pt>
                      <c:pt idx="191">
                        <c:v>15109.261996330972</c:v>
                      </c:pt>
                      <c:pt idx="192">
                        <c:v>15128.149676073823</c:v>
                      </c:pt>
                      <c:pt idx="193">
                        <c:v>15148.521368620019</c:v>
                      </c:pt>
                      <c:pt idx="194">
                        <c:v>15170.370868554659</c:v>
                      </c:pt>
                      <c:pt idx="195">
                        <c:v>15193.691520308406</c:v>
                      </c:pt>
                      <c:pt idx="196">
                        <c:v>15218.476220184823</c:v>
                      </c:pt>
                      <c:pt idx="197">
                        <c:v>15244.717418524233</c:v>
                      </c:pt>
                      <c:pt idx="198">
                        <c:v>15272.407122003417</c:v>
                      </c:pt>
                      <c:pt idx="199">
                        <c:v>15301.536896070458</c:v>
                      </c:pt>
                      <c:pt idx="200">
                        <c:v>15332.097867513992</c:v>
                      </c:pt>
                      <c:pt idx="201">
                        <c:v>15364.080727166063</c:v>
                      </c:pt>
                      <c:pt idx="202">
                        <c:v>15397.475732737799</c:v>
                      </c:pt>
                      <c:pt idx="203">
                        <c:v>15432.272711786994</c:v>
                      </c:pt>
                      <c:pt idx="204">
                        <c:v>15468.461064816751</c:v>
                      </c:pt>
                      <c:pt idx="205">
                        <c:v>15506.029768504164</c:v>
                      </c:pt>
                      <c:pt idx="206">
                        <c:v>15544.967379058158</c:v>
                      </c:pt>
                      <c:pt idx="207">
                        <c:v>15585.262035705366</c:v>
                      </c:pt>
                      <c:pt idx="208">
                        <c:v>15626.90146430302</c:v>
                      </c:pt>
                      <c:pt idx="209">
                        <c:v>15669.872981077806</c:v>
                      </c:pt>
                      <c:pt idx="210">
                        <c:v>15714.163496489438</c:v>
                      </c:pt>
                      <c:pt idx="211">
                        <c:v>15759.759519217871</c:v>
                      </c:pt>
                      <c:pt idx="212">
                        <c:v>15806.64716027288</c:v>
                      </c:pt>
                      <c:pt idx="213">
                        <c:v>15854.812137224792</c:v>
                      </c:pt>
                      <c:pt idx="214">
                        <c:v>15904.23977855504</c:v>
                      </c:pt>
                      <c:pt idx="215">
                        <c:v>15954.915028125262</c:v>
                      </c:pt>
                      <c:pt idx="216">
                        <c:v>16006.822449763535</c:v>
                      </c:pt>
                      <c:pt idx="217">
                        <c:v>16059.946231966389</c:v>
                      </c:pt>
                      <c:pt idx="218">
                        <c:v>16114.270192715147</c:v>
                      </c:pt>
                      <c:pt idx="219">
                        <c:v>16169.777784405109</c:v>
                      </c:pt>
                      <c:pt idx="220">
                        <c:v>16226.45209888614</c:v>
                      </c:pt>
                      <c:pt idx="221">
                        <c:v>16284.275872613029</c:v>
                      </c:pt>
                      <c:pt idx="222">
                        <c:v>16343.231491904147</c:v>
                      </c:pt>
                      <c:pt idx="223">
                        <c:v>16403.300998306746</c:v>
                      </c:pt>
                      <c:pt idx="224">
                        <c:v>16464.466094067262</c:v>
                      </c:pt>
                      <c:pt idx="225">
                        <c:v>16526.708147705012</c:v>
                      </c:pt>
                      <c:pt idx="226">
                        <c:v>16590.008199687505</c:v>
                      </c:pt>
                      <c:pt idx="227">
                        <c:v>16654.346968205708</c:v>
                      </c:pt>
                      <c:pt idx="228">
                        <c:v>16719.704855047461</c:v>
                      </c:pt>
                      <c:pt idx="229">
                        <c:v>16786.061951567302</c:v>
                      </c:pt>
                      <c:pt idx="230">
                        <c:v>16853.398044750815</c:v>
                      </c:pt>
                      <c:pt idx="231">
                        <c:v>16921.692623371709</c:v>
                      </c:pt>
                      <c:pt idx="232">
                        <c:v>16990.924884239757</c:v>
                      </c:pt>
                      <c:pt idx="233">
                        <c:v>17061.073738537634</c:v>
                      </c:pt>
                      <c:pt idx="234">
                        <c:v>17132.117818244769</c:v>
                      </c:pt>
                      <c:pt idx="235">
                        <c:v>17204.035482646264</c:v>
                      </c:pt>
                      <c:pt idx="236">
                        <c:v>17276.804824924864</c:v>
                      </c:pt>
                      <c:pt idx="237">
                        <c:v>17350.403678833976</c:v>
                      </c:pt>
                      <c:pt idx="238">
                        <c:v>17424.809625449729</c:v>
                      </c:pt>
                      <c:pt idx="239">
                        <c:v>17499.999999999996</c:v>
                      </c:pt>
                      <c:pt idx="240">
                        <c:v>17575.951898768315</c:v>
                      </c:pt>
                      <c:pt idx="241">
                        <c:v>17652.642186070545</c:v>
                      </c:pt>
                      <c:pt idx="242">
                        <c:v>17730.047501302266</c:v>
                      </c:pt>
                      <c:pt idx="243">
                        <c:v>17808.144266054613</c:v>
                      </c:pt>
                      <c:pt idx="244">
                        <c:v>17886.908691296499</c:v>
                      </c:pt>
                      <c:pt idx="245">
                        <c:v>17966.316784620998</c:v>
                      </c:pt>
                      <c:pt idx="246">
                        <c:v>18046.344357553629</c:v>
                      </c:pt>
                      <c:pt idx="247">
                        <c:v>18126.967032920438</c:v>
                      </c:pt>
                      <c:pt idx="248">
                        <c:v>18208.160252273497</c:v>
                      </c:pt>
                      <c:pt idx="249">
                        <c:v>18289.899283371655</c:v>
                      </c:pt>
                      <c:pt idx="250">
                        <c:v>18372.159227714215</c:v>
                      </c:pt>
                      <c:pt idx="251">
                        <c:v>18454.915028125262</c:v>
                      </c:pt>
                      <c:pt idx="252">
                        <c:v>18538.141476386314</c:v>
                      </c:pt>
                      <c:pt idx="253">
                        <c:v>18621.813220915006</c:v>
                      </c:pt>
                      <c:pt idx="254">
                        <c:v>18705.904774487397</c:v>
                      </c:pt>
                      <c:pt idx="255">
                        <c:v>18790.39052200166</c:v>
                      </c:pt>
                      <c:pt idx="256">
                        <c:v>18875.244728280675</c:v>
                      </c:pt>
                      <c:pt idx="257">
                        <c:v>18960.441545911202</c:v>
                      </c:pt>
                      <c:pt idx="258">
                        <c:v>19045.955023117273</c:v>
                      </c:pt>
                      <c:pt idx="259">
                        <c:v>19131.759111665349</c:v>
                      </c:pt>
                      <c:pt idx="260">
                        <c:v>19217.827674798846</c:v>
                      </c:pt>
                      <c:pt idx="261">
                        <c:v>19304.134495199676</c:v>
                      </c:pt>
                      <c:pt idx="262">
                        <c:v>19390.653282974265</c:v>
                      </c:pt>
                      <c:pt idx="263">
                        <c:v>19477.357683661732</c:v>
                      </c:pt>
                      <c:pt idx="264">
                        <c:v>19564.221286261709</c:v>
                      </c:pt>
                      <c:pt idx="265">
                        <c:v>19651.217631279371</c:v>
                      </c:pt>
                      <c:pt idx="266">
                        <c:v>19738.32021878528</c:v>
                      </c:pt>
                      <c:pt idx="267">
                        <c:v>19825.502516487493</c:v>
                      </c:pt>
                      <c:pt idx="268">
                        <c:v>19912.737967813584</c:v>
                      </c:pt>
                      <c:pt idx="269">
                        <c:v>20000</c:v>
                      </c:pt>
                      <c:pt idx="270">
                        <c:v>20087.262032186416</c:v>
                      </c:pt>
                      <c:pt idx="271">
                        <c:v>20174.497483512507</c:v>
                      </c:pt>
                      <c:pt idx="272">
                        <c:v>20261.67978121472</c:v>
                      </c:pt>
                      <c:pt idx="273">
                        <c:v>20348.782368720626</c:v>
                      </c:pt>
                      <c:pt idx="274">
                        <c:v>20435.778713738291</c:v>
                      </c:pt>
                      <c:pt idx="275">
                        <c:v>20522.642316338264</c:v>
                      </c:pt>
                      <c:pt idx="276">
                        <c:v>20609.346717025739</c:v>
                      </c:pt>
                      <c:pt idx="277">
                        <c:v>20695.865504800327</c:v>
                      </c:pt>
                      <c:pt idx="278">
                        <c:v>20782.172325201154</c:v>
                      </c:pt>
                      <c:pt idx="279">
                        <c:v>20868.240888334651</c:v>
                      </c:pt>
                      <c:pt idx="280">
                        <c:v>20954.04497688272</c:v>
                      </c:pt>
                      <c:pt idx="281">
                        <c:v>21039.558454088794</c:v>
                      </c:pt>
                      <c:pt idx="282">
                        <c:v>21124.755271719325</c:v>
                      </c:pt>
                      <c:pt idx="283">
                        <c:v>21209.609477998336</c:v>
                      </c:pt>
                      <c:pt idx="284">
                        <c:v>21294.095225512607</c:v>
                      </c:pt>
                      <c:pt idx="285">
                        <c:v>21378.186779084997</c:v>
                      </c:pt>
                      <c:pt idx="286">
                        <c:v>21461.858523613682</c:v>
                      </c:pt>
                      <c:pt idx="287">
                        <c:v>21545.084971874738</c:v>
                      </c:pt>
                      <c:pt idx="288">
                        <c:v>21627.840772285781</c:v>
                      </c:pt>
                      <c:pt idx="289">
                        <c:v>21710.100716628342</c:v>
                      </c:pt>
                      <c:pt idx="290">
                        <c:v>21791.839747726499</c:v>
                      </c:pt>
                      <c:pt idx="291">
                        <c:v>21873.032967079558</c:v>
                      </c:pt>
                      <c:pt idx="292">
                        <c:v>21953.655642446367</c:v>
                      </c:pt>
                      <c:pt idx="293">
                        <c:v>22033.683215379002</c:v>
                      </c:pt>
                      <c:pt idx="294">
                        <c:v>22113.091308703497</c:v>
                      </c:pt>
                      <c:pt idx="295">
                        <c:v>22191.855733945387</c:v>
                      </c:pt>
                      <c:pt idx="296">
                        <c:v>22269.952498697734</c:v>
                      </c:pt>
                      <c:pt idx="297">
                        <c:v>22347.357813929451</c:v>
                      </c:pt>
                      <c:pt idx="298">
                        <c:v>22424.048101231681</c:v>
                      </c:pt>
                      <c:pt idx="299">
                        <c:v>22500</c:v>
                      </c:pt>
                      <c:pt idx="300">
                        <c:v>22575.190374550271</c:v>
                      </c:pt>
                      <c:pt idx="301">
                        <c:v>22649.596321166024</c:v>
                      </c:pt>
                      <c:pt idx="302">
                        <c:v>22723.195175075132</c:v>
                      </c:pt>
                      <c:pt idx="303">
                        <c:v>22795.964517353732</c:v>
                      </c:pt>
                      <c:pt idx="304">
                        <c:v>22867.882181755231</c:v>
                      </c:pt>
                      <c:pt idx="305">
                        <c:v>22938.926261462366</c:v>
                      </c:pt>
                      <c:pt idx="306">
                        <c:v>23009.075115760239</c:v>
                      </c:pt>
                      <c:pt idx="307">
                        <c:v>23078.307376628294</c:v>
                      </c:pt>
                      <c:pt idx="308">
                        <c:v>23146.601955249189</c:v>
                      </c:pt>
                      <c:pt idx="309">
                        <c:v>23213.938048432698</c:v>
                      </c:pt>
                      <c:pt idx="310">
                        <c:v>23280.295144952535</c:v>
                      </c:pt>
                      <c:pt idx="311">
                        <c:v>23345.653031794289</c:v>
                      </c:pt>
                      <c:pt idx="312">
                        <c:v>23409.991800312491</c:v>
                      </c:pt>
                      <c:pt idx="313">
                        <c:v>23473.291852294984</c:v>
                      </c:pt>
                      <c:pt idx="314">
                        <c:v>23535.533905932738</c:v>
                      </c:pt>
                      <c:pt idx="315">
                        <c:v>23596.699001693254</c:v>
                      </c:pt>
                      <c:pt idx="316">
                        <c:v>23656.768508095854</c:v>
                      </c:pt>
                      <c:pt idx="317">
                        <c:v>23715.724127386973</c:v>
                      </c:pt>
                      <c:pt idx="318">
                        <c:v>23773.54790111386</c:v>
                      </c:pt>
                      <c:pt idx="319">
                        <c:v>23830.222215594888</c:v>
                      </c:pt>
                      <c:pt idx="320">
                        <c:v>23885.729807284853</c:v>
                      </c:pt>
                      <c:pt idx="321">
                        <c:v>23940.053768033609</c:v>
                      </c:pt>
                      <c:pt idx="322">
                        <c:v>23993.177550236465</c:v>
                      </c:pt>
                      <c:pt idx="323">
                        <c:v>24045.084971874738</c:v>
                      </c:pt>
                      <c:pt idx="324">
                        <c:v>24095.760221444958</c:v>
                      </c:pt>
                      <c:pt idx="325">
                        <c:v>24145.187862775208</c:v>
                      </c:pt>
                      <c:pt idx="326">
                        <c:v>24193.352839727122</c:v>
                      </c:pt>
                      <c:pt idx="327">
                        <c:v>24240.240480782126</c:v>
                      </c:pt>
                      <c:pt idx="328">
                        <c:v>24285.83650351056</c:v>
                      </c:pt>
                      <c:pt idx="329">
                        <c:v>24330.12701892219</c:v>
                      </c:pt>
                      <c:pt idx="330">
                        <c:v>24373.09853569698</c:v>
                      </c:pt>
                      <c:pt idx="331">
                        <c:v>24414.737964294633</c:v>
                      </c:pt>
                      <c:pt idx="332">
                        <c:v>24455.032620941838</c:v>
                      </c:pt>
                      <c:pt idx="333">
                        <c:v>24493.970231495834</c:v>
                      </c:pt>
                      <c:pt idx="334">
                        <c:v>24531.538935183249</c:v>
                      </c:pt>
                      <c:pt idx="335">
                        <c:v>24567.727288213006</c:v>
                      </c:pt>
                      <c:pt idx="336">
                        <c:v>24602.524267262201</c:v>
                      </c:pt>
                      <c:pt idx="337">
                        <c:v>24635.919272833937</c:v>
                      </c:pt>
                      <c:pt idx="338">
                        <c:v>24667.902132486008</c:v>
                      </c:pt>
                      <c:pt idx="339">
                        <c:v>24698.463103929542</c:v>
                      </c:pt>
                      <c:pt idx="340">
                        <c:v>24727.592877996583</c:v>
                      </c:pt>
                      <c:pt idx="341">
                        <c:v>24755.282581475767</c:v>
                      </c:pt>
                      <c:pt idx="342">
                        <c:v>24781.523779815179</c:v>
                      </c:pt>
                      <c:pt idx="343">
                        <c:v>24806.308479691594</c:v>
                      </c:pt>
                      <c:pt idx="344">
                        <c:v>24829.629131445341</c:v>
                      </c:pt>
                      <c:pt idx="345">
                        <c:v>24851.478631379981</c:v>
                      </c:pt>
                      <c:pt idx="346">
                        <c:v>24871.850323926177</c:v>
                      </c:pt>
                      <c:pt idx="347">
                        <c:v>24890.73800366903</c:v>
                      </c:pt>
                      <c:pt idx="348">
                        <c:v>24908.13591723832</c:v>
                      </c:pt>
                      <c:pt idx="349">
                        <c:v>24924.038765061039</c:v>
                      </c:pt>
                      <c:pt idx="350">
                        <c:v>24938.441702975688</c:v>
                      </c:pt>
                      <c:pt idx="351">
                        <c:v>24951.340343707852</c:v>
                      </c:pt>
                      <c:pt idx="352">
                        <c:v>24962.73075820661</c:v>
                      </c:pt>
                      <c:pt idx="353">
                        <c:v>24972.609476841368</c:v>
                      </c:pt>
                      <c:pt idx="354">
                        <c:v>24980.973490458728</c:v>
                      </c:pt>
                      <c:pt idx="355">
                        <c:v>24987.820251299123</c:v>
                      </c:pt>
                      <c:pt idx="356">
                        <c:v>24993.14767377287</c:v>
                      </c:pt>
                      <c:pt idx="357">
                        <c:v>24996.954135095479</c:v>
                      </c:pt>
                      <c:pt idx="358">
                        <c:v>24999.238475781956</c:v>
                      </c:pt>
                      <c:pt idx="359">
                        <c:v>25000</c:v>
                      </c:pt>
                      <c:pt idx="360">
                        <c:v>24999.238475781956</c:v>
                      </c:pt>
                      <c:pt idx="361">
                        <c:v>24996.954135095479</c:v>
                      </c:pt>
                      <c:pt idx="362">
                        <c:v>24993.14767377287</c:v>
                      </c:pt>
                      <c:pt idx="363">
                        <c:v>24987.820251299123</c:v>
                      </c:pt>
                      <c:pt idx="364">
                        <c:v>24980.973490458728</c:v>
                      </c:pt>
                      <c:pt idx="365">
                        <c:v>24972.609476841368</c:v>
                      </c:pt>
                      <c:pt idx="366">
                        <c:v>24962.73075820661</c:v>
                      </c:pt>
                      <c:pt idx="367">
                        <c:v>24951.340343707852</c:v>
                      </c:pt>
                      <c:pt idx="368">
                        <c:v>24938.441702975688</c:v>
                      </c:pt>
                      <c:pt idx="369">
                        <c:v>24924.038765061043</c:v>
                      </c:pt>
                      <c:pt idx="370">
                        <c:v>24908.13591723832</c:v>
                      </c:pt>
                      <c:pt idx="371">
                        <c:v>24890.73800366903</c:v>
                      </c:pt>
                      <c:pt idx="372">
                        <c:v>24871.850323926177</c:v>
                      </c:pt>
                      <c:pt idx="373">
                        <c:v>24851.478631379981</c:v>
                      </c:pt>
                      <c:pt idx="374">
                        <c:v>24829.629131445341</c:v>
                      </c:pt>
                      <c:pt idx="375">
                        <c:v>24806.308479691594</c:v>
                      </c:pt>
                      <c:pt idx="376">
                        <c:v>24781.523779815179</c:v>
                      </c:pt>
                      <c:pt idx="377">
                        <c:v>24755.282581475767</c:v>
                      </c:pt>
                      <c:pt idx="378">
                        <c:v>24727.592877996583</c:v>
                      </c:pt>
                      <c:pt idx="379">
                        <c:v>24698.463103929542</c:v>
                      </c:pt>
                      <c:pt idx="380">
                        <c:v>24667.902132486011</c:v>
                      </c:pt>
                      <c:pt idx="381">
                        <c:v>24635.919272833937</c:v>
                      </c:pt>
                      <c:pt idx="382">
                        <c:v>24602.524267262204</c:v>
                      </c:pt>
                      <c:pt idx="383">
                        <c:v>24567.727288213006</c:v>
                      </c:pt>
                      <c:pt idx="384">
                        <c:v>24531.538935183249</c:v>
                      </c:pt>
                      <c:pt idx="385">
                        <c:v>24493.970231495834</c:v>
                      </c:pt>
                      <c:pt idx="386">
                        <c:v>24455.032620941838</c:v>
                      </c:pt>
                      <c:pt idx="387">
                        <c:v>24414.737964294636</c:v>
                      </c:pt>
                      <c:pt idx="388">
                        <c:v>24373.09853569698</c:v>
                      </c:pt>
                      <c:pt idx="389">
                        <c:v>24330.127018922194</c:v>
                      </c:pt>
                      <c:pt idx="390">
                        <c:v>24285.83650351056</c:v>
                      </c:pt>
                      <c:pt idx="391">
                        <c:v>24240.240480782129</c:v>
                      </c:pt>
                      <c:pt idx="392">
                        <c:v>24193.352839727122</c:v>
                      </c:pt>
                      <c:pt idx="393">
                        <c:v>24145.187862775208</c:v>
                      </c:pt>
                      <c:pt idx="394">
                        <c:v>24095.760221444958</c:v>
                      </c:pt>
                      <c:pt idx="395">
                        <c:v>24045.084971874734</c:v>
                      </c:pt>
                      <c:pt idx="396">
                        <c:v>23993.177550236465</c:v>
                      </c:pt>
                      <c:pt idx="397">
                        <c:v>23940.053768033609</c:v>
                      </c:pt>
                      <c:pt idx="398">
                        <c:v>23885.729807284857</c:v>
                      </c:pt>
                      <c:pt idx="399">
                        <c:v>23830.222215594891</c:v>
                      </c:pt>
                      <c:pt idx="400">
                        <c:v>23773.54790111386</c:v>
                      </c:pt>
                      <c:pt idx="401">
                        <c:v>23715.724127386969</c:v>
                      </c:pt>
                      <c:pt idx="402">
                        <c:v>23656.768508095854</c:v>
                      </c:pt>
                      <c:pt idx="403">
                        <c:v>23596.699001693254</c:v>
                      </c:pt>
                      <c:pt idx="404">
                        <c:v>23535.533905932742</c:v>
                      </c:pt>
                      <c:pt idx="405">
                        <c:v>23473.291852294988</c:v>
                      </c:pt>
                      <c:pt idx="406">
                        <c:v>23409.991800312491</c:v>
                      </c:pt>
                      <c:pt idx="407">
                        <c:v>23345.653031794296</c:v>
                      </c:pt>
                      <c:pt idx="408">
                        <c:v>23280.295144952535</c:v>
                      </c:pt>
                      <c:pt idx="409">
                        <c:v>23213.938048432698</c:v>
                      </c:pt>
                      <c:pt idx="410">
                        <c:v>23146.601955249185</c:v>
                      </c:pt>
                      <c:pt idx="411">
                        <c:v>23078.307376628294</c:v>
                      </c:pt>
                      <c:pt idx="412">
                        <c:v>23009.075115760243</c:v>
                      </c:pt>
                      <c:pt idx="413">
                        <c:v>22938.926261462369</c:v>
                      </c:pt>
                      <c:pt idx="414">
                        <c:v>22867.882181755231</c:v>
                      </c:pt>
                      <c:pt idx="415">
                        <c:v>22795.964517353732</c:v>
                      </c:pt>
                      <c:pt idx="416">
                        <c:v>22723.195175075136</c:v>
                      </c:pt>
                      <c:pt idx="417">
                        <c:v>22649.596321166027</c:v>
                      </c:pt>
                      <c:pt idx="418">
                        <c:v>22575.190374550271</c:v>
                      </c:pt>
                      <c:pt idx="419">
                        <c:v>22500</c:v>
                      </c:pt>
                      <c:pt idx="420">
                        <c:v>22424.048101231689</c:v>
                      </c:pt>
                      <c:pt idx="421">
                        <c:v>22347.357813929455</c:v>
                      </c:pt>
                      <c:pt idx="422">
                        <c:v>22269.952498697734</c:v>
                      </c:pt>
                      <c:pt idx="423">
                        <c:v>22191.855733945391</c:v>
                      </c:pt>
                      <c:pt idx="424">
                        <c:v>22113.091308703501</c:v>
                      </c:pt>
                      <c:pt idx="425">
                        <c:v>22033.683215379002</c:v>
                      </c:pt>
                      <c:pt idx="426">
                        <c:v>21953.655642446367</c:v>
                      </c:pt>
                      <c:pt idx="427">
                        <c:v>21873.032967079562</c:v>
                      </c:pt>
                      <c:pt idx="428">
                        <c:v>21791.839747726499</c:v>
                      </c:pt>
                      <c:pt idx="429">
                        <c:v>21710.100716628349</c:v>
                      </c:pt>
                      <c:pt idx="430">
                        <c:v>21627.840772285785</c:v>
                      </c:pt>
                      <c:pt idx="431">
                        <c:v>21545.084971874738</c:v>
                      </c:pt>
                      <c:pt idx="432">
                        <c:v>21461.858523613682</c:v>
                      </c:pt>
                      <c:pt idx="433">
                        <c:v>21378.186779085001</c:v>
                      </c:pt>
                      <c:pt idx="434">
                        <c:v>21294.095225512603</c:v>
                      </c:pt>
                      <c:pt idx="435">
                        <c:v>21209.609477998343</c:v>
                      </c:pt>
                      <c:pt idx="436">
                        <c:v>21124.755271719328</c:v>
                      </c:pt>
                      <c:pt idx="437">
                        <c:v>21039.558454088794</c:v>
                      </c:pt>
                      <c:pt idx="438">
                        <c:v>20954.044976882727</c:v>
                      </c:pt>
                      <c:pt idx="439">
                        <c:v>20868.240888334651</c:v>
                      </c:pt>
                      <c:pt idx="440">
                        <c:v>20782.172325201154</c:v>
                      </c:pt>
                      <c:pt idx="441">
                        <c:v>20695.865504800324</c:v>
                      </c:pt>
                      <c:pt idx="442">
                        <c:v>20609.346717025743</c:v>
                      </c:pt>
                      <c:pt idx="443">
                        <c:v>20522.642316338268</c:v>
                      </c:pt>
                      <c:pt idx="444">
                        <c:v>20435.778713738295</c:v>
                      </c:pt>
                      <c:pt idx="445">
                        <c:v>20348.782368720629</c:v>
                      </c:pt>
                      <c:pt idx="446">
                        <c:v>20261.679781214723</c:v>
                      </c:pt>
                      <c:pt idx="447">
                        <c:v>20174.497483512503</c:v>
                      </c:pt>
                      <c:pt idx="448">
                        <c:v>20087.26203218642</c:v>
                      </c:pt>
                      <c:pt idx="449">
                        <c:v>20000</c:v>
                      </c:pt>
                      <c:pt idx="450">
                        <c:v>19912.73796781358</c:v>
                      </c:pt>
                      <c:pt idx="451">
                        <c:v>19825.502516487497</c:v>
                      </c:pt>
                      <c:pt idx="452">
                        <c:v>19738.32021878528</c:v>
                      </c:pt>
                      <c:pt idx="453">
                        <c:v>19651.217631279378</c:v>
                      </c:pt>
                      <c:pt idx="454">
                        <c:v>19564.221286261713</c:v>
                      </c:pt>
                      <c:pt idx="455">
                        <c:v>19477.357683661736</c:v>
                      </c:pt>
                      <c:pt idx="456">
                        <c:v>19390.653282974261</c:v>
                      </c:pt>
                      <c:pt idx="457">
                        <c:v>19304.134495199676</c:v>
                      </c:pt>
                      <c:pt idx="458">
                        <c:v>19217.827674798853</c:v>
                      </c:pt>
                      <c:pt idx="459">
                        <c:v>19131.759111665349</c:v>
                      </c:pt>
                      <c:pt idx="460">
                        <c:v>19045.955023117276</c:v>
                      </c:pt>
                      <c:pt idx="461">
                        <c:v>18960.441545911199</c:v>
                      </c:pt>
                      <c:pt idx="462">
                        <c:v>18875.244728280675</c:v>
                      </c:pt>
                      <c:pt idx="463">
                        <c:v>18790.39052200166</c:v>
                      </c:pt>
                      <c:pt idx="464">
                        <c:v>18705.904774487401</c:v>
                      </c:pt>
                      <c:pt idx="465">
                        <c:v>18621.813220915003</c:v>
                      </c:pt>
                      <c:pt idx="466">
                        <c:v>18538.141476386321</c:v>
                      </c:pt>
                      <c:pt idx="467">
                        <c:v>18454.915028125266</c:v>
                      </c:pt>
                      <c:pt idx="468">
                        <c:v>18372.159227714223</c:v>
                      </c:pt>
                      <c:pt idx="469">
                        <c:v>18289.899283371658</c:v>
                      </c:pt>
                      <c:pt idx="470">
                        <c:v>18208.160252273497</c:v>
                      </c:pt>
                      <c:pt idx="471">
                        <c:v>18126.967032920445</c:v>
                      </c:pt>
                      <c:pt idx="472">
                        <c:v>18046.344357553633</c:v>
                      </c:pt>
                      <c:pt idx="473">
                        <c:v>17966.316784620998</c:v>
                      </c:pt>
                      <c:pt idx="474">
                        <c:v>17886.908691296507</c:v>
                      </c:pt>
                      <c:pt idx="475">
                        <c:v>17808.144266054613</c:v>
                      </c:pt>
                      <c:pt idx="476">
                        <c:v>17730.047501302262</c:v>
                      </c:pt>
                      <c:pt idx="477">
                        <c:v>17652.642186070549</c:v>
                      </c:pt>
                      <c:pt idx="478">
                        <c:v>17575.951898768315</c:v>
                      </c:pt>
                      <c:pt idx="479">
                        <c:v>17500.000000000004</c:v>
                      </c:pt>
                      <c:pt idx="480">
                        <c:v>17424.809625449729</c:v>
                      </c:pt>
                      <c:pt idx="481">
                        <c:v>17350.403678833973</c:v>
                      </c:pt>
                      <c:pt idx="482">
                        <c:v>17276.804824924868</c:v>
                      </c:pt>
                      <c:pt idx="483">
                        <c:v>17204.035482646264</c:v>
                      </c:pt>
                      <c:pt idx="484">
                        <c:v>17132.117818244773</c:v>
                      </c:pt>
                      <c:pt idx="485">
                        <c:v>17061.073738537634</c:v>
                      </c:pt>
                      <c:pt idx="486">
                        <c:v>16990.924884239765</c:v>
                      </c:pt>
                      <c:pt idx="487">
                        <c:v>16921.692623371709</c:v>
                      </c:pt>
                      <c:pt idx="488">
                        <c:v>16853.398044750815</c:v>
                      </c:pt>
                      <c:pt idx="489">
                        <c:v>16786.061951567306</c:v>
                      </c:pt>
                      <c:pt idx="490">
                        <c:v>16719.704855047465</c:v>
                      </c:pt>
                      <c:pt idx="491">
                        <c:v>16654.346968205708</c:v>
                      </c:pt>
                      <c:pt idx="492">
                        <c:v>16590.008199687505</c:v>
                      </c:pt>
                      <c:pt idx="493">
                        <c:v>16526.708147705016</c:v>
                      </c:pt>
                      <c:pt idx="494">
                        <c:v>16464.466094067262</c:v>
                      </c:pt>
                      <c:pt idx="495">
                        <c:v>16403.300998306746</c:v>
                      </c:pt>
                      <c:pt idx="496">
                        <c:v>16343.231491904147</c:v>
                      </c:pt>
                      <c:pt idx="497">
                        <c:v>16284.275872613032</c:v>
                      </c:pt>
                      <c:pt idx="498">
                        <c:v>16226.45209888614</c:v>
                      </c:pt>
                      <c:pt idx="499">
                        <c:v>16169.777784405114</c:v>
                      </c:pt>
                      <c:pt idx="500">
                        <c:v>16114.270192715148</c:v>
                      </c:pt>
                      <c:pt idx="501">
                        <c:v>16059.946231966391</c:v>
                      </c:pt>
                      <c:pt idx="502">
                        <c:v>16006.822449763538</c:v>
                      </c:pt>
                      <c:pt idx="503">
                        <c:v>15954.915028125264</c:v>
                      </c:pt>
                      <c:pt idx="504">
                        <c:v>15904.239778555046</c:v>
                      </c:pt>
                      <c:pt idx="505">
                        <c:v>15854.812137224793</c:v>
                      </c:pt>
                      <c:pt idx="506">
                        <c:v>15806.64716027288</c:v>
                      </c:pt>
                      <c:pt idx="507">
                        <c:v>15759.759519217869</c:v>
                      </c:pt>
                      <c:pt idx="508">
                        <c:v>15714.16349648944</c:v>
                      </c:pt>
                      <c:pt idx="509">
                        <c:v>15669.872981077806</c:v>
                      </c:pt>
                      <c:pt idx="510">
                        <c:v>15626.901464303024</c:v>
                      </c:pt>
                      <c:pt idx="511">
                        <c:v>15585.262035705366</c:v>
                      </c:pt>
                      <c:pt idx="512">
                        <c:v>15544.967379058158</c:v>
                      </c:pt>
                      <c:pt idx="513">
                        <c:v>15506.029768504166</c:v>
                      </c:pt>
                      <c:pt idx="514">
                        <c:v>15468.461064816751</c:v>
                      </c:pt>
                      <c:pt idx="515">
                        <c:v>15432.272711786998</c:v>
                      </c:pt>
                      <c:pt idx="516">
                        <c:v>15397.475732737799</c:v>
                      </c:pt>
                      <c:pt idx="517">
                        <c:v>15364.080727166067</c:v>
                      </c:pt>
                      <c:pt idx="518">
                        <c:v>15332.097867513992</c:v>
                      </c:pt>
                      <c:pt idx="519">
                        <c:v>15301.536896070458</c:v>
                      </c:pt>
                      <c:pt idx="520">
                        <c:v>15272.407122003417</c:v>
                      </c:pt>
                      <c:pt idx="521">
                        <c:v>15244.717418524233</c:v>
                      </c:pt>
                      <c:pt idx="522">
                        <c:v>15218.476220184823</c:v>
                      </c:pt>
                      <c:pt idx="523">
                        <c:v>15193.691520308405</c:v>
                      </c:pt>
                      <c:pt idx="524">
                        <c:v>15170.370868554659</c:v>
                      </c:pt>
                      <c:pt idx="525">
                        <c:v>15148.521368620017</c:v>
                      </c:pt>
                      <c:pt idx="526">
                        <c:v>15128.149676073825</c:v>
                      </c:pt>
                      <c:pt idx="527">
                        <c:v>15109.261996330972</c:v>
                      </c:pt>
                      <c:pt idx="528">
                        <c:v>15091.86408276168</c:v>
                      </c:pt>
                      <c:pt idx="529">
                        <c:v>15075.961234938961</c:v>
                      </c:pt>
                      <c:pt idx="530">
                        <c:v>15061.558297024312</c:v>
                      </c:pt>
                      <c:pt idx="531">
                        <c:v>15048.659656292148</c:v>
                      </c:pt>
                      <c:pt idx="532">
                        <c:v>15037.26924179339</c:v>
                      </c:pt>
                      <c:pt idx="533">
                        <c:v>15027.390523158632</c:v>
                      </c:pt>
                      <c:pt idx="534">
                        <c:v>15019.026509541272</c:v>
                      </c:pt>
                      <c:pt idx="535">
                        <c:v>15012.179748700879</c:v>
                      </c:pt>
                      <c:pt idx="536">
                        <c:v>15006.85232622713</c:v>
                      </c:pt>
                      <c:pt idx="537">
                        <c:v>15003.045864904521</c:v>
                      </c:pt>
                      <c:pt idx="538">
                        <c:v>15000.761524218044</c:v>
                      </c:pt>
                      <c:pt idx="539">
                        <c:v>15000</c:v>
                      </c:pt>
                      <c:pt idx="540">
                        <c:v>15000.761524218044</c:v>
                      </c:pt>
                      <c:pt idx="541">
                        <c:v>15003.045864904521</c:v>
                      </c:pt>
                      <c:pt idx="542">
                        <c:v>15006.85232622713</c:v>
                      </c:pt>
                      <c:pt idx="543">
                        <c:v>15012.179748700879</c:v>
                      </c:pt>
                      <c:pt idx="544">
                        <c:v>15019.026509541272</c:v>
                      </c:pt>
                      <c:pt idx="545">
                        <c:v>15027.390523158632</c:v>
                      </c:pt>
                      <c:pt idx="546">
                        <c:v>15037.26924179339</c:v>
                      </c:pt>
                      <c:pt idx="547">
                        <c:v>15048.659656292148</c:v>
                      </c:pt>
                      <c:pt idx="548">
                        <c:v>15061.55829702431</c:v>
                      </c:pt>
                      <c:pt idx="549">
                        <c:v>15075.961234938959</c:v>
                      </c:pt>
                      <c:pt idx="550">
                        <c:v>15091.864082761678</c:v>
                      </c:pt>
                      <c:pt idx="551">
                        <c:v>15109.26199633097</c:v>
                      </c:pt>
                      <c:pt idx="552">
                        <c:v>15128.149676073823</c:v>
                      </c:pt>
                      <c:pt idx="553">
                        <c:v>15148.521368620019</c:v>
                      </c:pt>
                      <c:pt idx="554">
                        <c:v>15170.370868554659</c:v>
                      </c:pt>
                      <c:pt idx="555">
                        <c:v>15193.691520308406</c:v>
                      </c:pt>
                      <c:pt idx="556">
                        <c:v>15218.476220184824</c:v>
                      </c:pt>
                      <c:pt idx="557">
                        <c:v>15244.717418524233</c:v>
                      </c:pt>
                      <c:pt idx="558">
                        <c:v>15272.407122003417</c:v>
                      </c:pt>
                      <c:pt idx="559">
                        <c:v>15301.536896070456</c:v>
                      </c:pt>
                      <c:pt idx="560">
                        <c:v>15332.097867513992</c:v>
                      </c:pt>
                      <c:pt idx="561">
                        <c:v>15364.08072716606</c:v>
                      </c:pt>
                      <c:pt idx="562">
                        <c:v>15397.475732737797</c:v>
                      </c:pt>
                      <c:pt idx="563">
                        <c:v>15432.272711786993</c:v>
                      </c:pt>
                      <c:pt idx="564">
                        <c:v>15468.461064816747</c:v>
                      </c:pt>
                      <c:pt idx="565">
                        <c:v>15506.029768504166</c:v>
                      </c:pt>
                      <c:pt idx="566">
                        <c:v>15544.967379058158</c:v>
                      </c:pt>
                      <c:pt idx="567">
                        <c:v>15585.262035705364</c:v>
                      </c:pt>
                      <c:pt idx="568">
                        <c:v>15626.90146430302</c:v>
                      </c:pt>
                      <c:pt idx="569">
                        <c:v>15669.87298107781</c:v>
                      </c:pt>
                      <c:pt idx="570">
                        <c:v>15714.163496489437</c:v>
                      </c:pt>
                      <c:pt idx="571">
                        <c:v>15759.759519217871</c:v>
                      </c:pt>
                      <c:pt idx="572">
                        <c:v>15806.647160272878</c:v>
                      </c:pt>
                      <c:pt idx="573">
                        <c:v>15854.812137224792</c:v>
                      </c:pt>
                      <c:pt idx="574">
                        <c:v>15904.239778555038</c:v>
                      </c:pt>
                      <c:pt idx="575">
                        <c:v>15954.915028125262</c:v>
                      </c:pt>
                      <c:pt idx="576">
                        <c:v>16006.822449763536</c:v>
                      </c:pt>
                      <c:pt idx="577">
                        <c:v>16059.946231966387</c:v>
                      </c:pt>
                      <c:pt idx="578">
                        <c:v>16114.270192715147</c:v>
                      </c:pt>
                      <c:pt idx="579">
                        <c:v>16169.777784405105</c:v>
                      </c:pt>
                      <c:pt idx="580">
                        <c:v>16226.452098886139</c:v>
                      </c:pt>
                      <c:pt idx="581">
                        <c:v>16284.275872613023</c:v>
                      </c:pt>
                      <c:pt idx="582">
                        <c:v>16343.231491904144</c:v>
                      </c:pt>
                      <c:pt idx="583">
                        <c:v>16403.300998306742</c:v>
                      </c:pt>
                      <c:pt idx="584">
                        <c:v>16464.466094067266</c:v>
                      </c:pt>
                      <c:pt idx="585">
                        <c:v>16526.708147705012</c:v>
                      </c:pt>
                      <c:pt idx="586">
                        <c:v>16590.008199687509</c:v>
                      </c:pt>
                      <c:pt idx="587">
                        <c:v>16654.346968205711</c:v>
                      </c:pt>
                      <c:pt idx="588">
                        <c:v>16719.704855047461</c:v>
                      </c:pt>
                      <c:pt idx="589">
                        <c:v>16786.061951567306</c:v>
                      </c:pt>
                      <c:pt idx="590">
                        <c:v>16853.398044750811</c:v>
                      </c:pt>
                      <c:pt idx="591">
                        <c:v>16921.692623371709</c:v>
                      </c:pt>
                      <c:pt idx="592">
                        <c:v>16990.924884239754</c:v>
                      </c:pt>
                      <c:pt idx="593">
                        <c:v>17061.073738537634</c:v>
                      </c:pt>
                      <c:pt idx="594">
                        <c:v>17132.117818244762</c:v>
                      </c:pt>
                      <c:pt idx="595">
                        <c:v>17204.035482646264</c:v>
                      </c:pt>
                      <c:pt idx="596">
                        <c:v>17276.804824924857</c:v>
                      </c:pt>
                      <c:pt idx="597">
                        <c:v>17350.403678833969</c:v>
                      </c:pt>
                      <c:pt idx="598">
                        <c:v>17424.809625449729</c:v>
                      </c:pt>
                      <c:pt idx="599">
                        <c:v>17500</c:v>
                      </c:pt>
                      <c:pt idx="600">
                        <c:v>17575.951898768319</c:v>
                      </c:pt>
                      <c:pt idx="601">
                        <c:v>17652.642186070545</c:v>
                      </c:pt>
                      <c:pt idx="602">
                        <c:v>17730.04750130227</c:v>
                      </c:pt>
                      <c:pt idx="603">
                        <c:v>17808.144266054609</c:v>
                      </c:pt>
                      <c:pt idx="604">
                        <c:v>17886.908691296503</c:v>
                      </c:pt>
                      <c:pt idx="605">
                        <c:v>17966.316784620994</c:v>
                      </c:pt>
                      <c:pt idx="606">
                        <c:v>18046.344357553629</c:v>
                      </c:pt>
                      <c:pt idx="607">
                        <c:v>18126.967032920435</c:v>
                      </c:pt>
                      <c:pt idx="608">
                        <c:v>18208.160252273494</c:v>
                      </c:pt>
                      <c:pt idx="609">
                        <c:v>18289.899283371655</c:v>
                      </c:pt>
                      <c:pt idx="610">
                        <c:v>18372.159227714212</c:v>
                      </c:pt>
                      <c:pt idx="611">
                        <c:v>18454.915028125262</c:v>
                      </c:pt>
                      <c:pt idx="612">
                        <c:v>18538.14147638631</c:v>
                      </c:pt>
                      <c:pt idx="613">
                        <c:v>18621.813220914999</c:v>
                      </c:pt>
                      <c:pt idx="614">
                        <c:v>18705.904774487397</c:v>
                      </c:pt>
                      <c:pt idx="615">
                        <c:v>18790.390522001664</c:v>
                      </c:pt>
                      <c:pt idx="616">
                        <c:v>18875.244728280672</c:v>
                      </c:pt>
                      <c:pt idx="617">
                        <c:v>18960.441545911206</c:v>
                      </c:pt>
                      <c:pt idx="618">
                        <c:v>19045.95502311728</c:v>
                      </c:pt>
                      <c:pt idx="619">
                        <c:v>19131.759111665346</c:v>
                      </c:pt>
                      <c:pt idx="620">
                        <c:v>19217.827674798849</c:v>
                      </c:pt>
                      <c:pt idx="621">
                        <c:v>19304.134495199669</c:v>
                      </c:pt>
                      <c:pt idx="622">
                        <c:v>19390.653282974265</c:v>
                      </c:pt>
                      <c:pt idx="623">
                        <c:v>19477.357683661729</c:v>
                      </c:pt>
                      <c:pt idx="624">
                        <c:v>19564.221286261709</c:v>
                      </c:pt>
                      <c:pt idx="625">
                        <c:v>19651.217631279367</c:v>
                      </c:pt>
                      <c:pt idx="626">
                        <c:v>19738.320218785277</c:v>
                      </c:pt>
                      <c:pt idx="627">
                        <c:v>19825.502516487486</c:v>
                      </c:pt>
                      <c:pt idx="628">
                        <c:v>19912.737967813577</c:v>
                      </c:pt>
                      <c:pt idx="629">
                        <c:v>19999.999999999996</c:v>
                      </c:pt>
                      <c:pt idx="630">
                        <c:v>20087.26203218642</c:v>
                      </c:pt>
                      <c:pt idx="631">
                        <c:v>20174.497483512499</c:v>
                      </c:pt>
                      <c:pt idx="632">
                        <c:v>20261.67978121472</c:v>
                      </c:pt>
                      <c:pt idx="633">
                        <c:v>20348.782368720629</c:v>
                      </c:pt>
                      <c:pt idx="634">
                        <c:v>20435.778713738287</c:v>
                      </c:pt>
                      <c:pt idx="635">
                        <c:v>20522.642316338268</c:v>
                      </c:pt>
                      <c:pt idx="636">
                        <c:v>20609.346717025732</c:v>
                      </c:pt>
                      <c:pt idx="637">
                        <c:v>20695.865504800327</c:v>
                      </c:pt>
                      <c:pt idx="638">
                        <c:v>20782.172325201147</c:v>
                      </c:pt>
                      <c:pt idx="639">
                        <c:v>20868.240888334647</c:v>
                      </c:pt>
                      <c:pt idx="640">
                        <c:v>20954.044976882724</c:v>
                      </c:pt>
                      <c:pt idx="641">
                        <c:v>21039.55845408879</c:v>
                      </c:pt>
                      <c:pt idx="642">
                        <c:v>21124.755271719325</c:v>
                      </c:pt>
                      <c:pt idx="643">
                        <c:v>21209.609477998332</c:v>
                      </c:pt>
                      <c:pt idx="644">
                        <c:v>21294.095225512599</c:v>
                      </c:pt>
                      <c:pt idx="645">
                        <c:v>21378.186779084997</c:v>
                      </c:pt>
                      <c:pt idx="646">
                        <c:v>21461.858523613686</c:v>
                      </c:pt>
                      <c:pt idx="647">
                        <c:v>21545.084971874734</c:v>
                      </c:pt>
                      <c:pt idx="648">
                        <c:v>21627.840772285785</c:v>
                      </c:pt>
                      <c:pt idx="649">
                        <c:v>21710.100716628338</c:v>
                      </c:pt>
                      <c:pt idx="650">
                        <c:v>21791.839747726503</c:v>
                      </c:pt>
                      <c:pt idx="651">
                        <c:v>21873.032967079555</c:v>
                      </c:pt>
                      <c:pt idx="652">
                        <c:v>21953.655642446374</c:v>
                      </c:pt>
                      <c:pt idx="653">
                        <c:v>22033.683215379002</c:v>
                      </c:pt>
                      <c:pt idx="654">
                        <c:v>22113.091308703493</c:v>
                      </c:pt>
                      <c:pt idx="655">
                        <c:v>22191.855733945376</c:v>
                      </c:pt>
                      <c:pt idx="656">
                        <c:v>22269.952498697734</c:v>
                      </c:pt>
                      <c:pt idx="657">
                        <c:v>22347.357813929451</c:v>
                      </c:pt>
                      <c:pt idx="658">
                        <c:v>22424.048101231678</c:v>
                      </c:pt>
                      <c:pt idx="659">
                        <c:v>22499.999999999996</c:v>
                      </c:pt>
                      <c:pt idx="660">
                        <c:v>22575.190374550271</c:v>
                      </c:pt>
                      <c:pt idx="661">
                        <c:v>22649.596321166027</c:v>
                      </c:pt>
                      <c:pt idx="662">
                        <c:v>22723.195175075132</c:v>
                      </c:pt>
                      <c:pt idx="663">
                        <c:v>22795.964517353736</c:v>
                      </c:pt>
                      <c:pt idx="664">
                        <c:v>22867.882181755234</c:v>
                      </c:pt>
                      <c:pt idx="665">
                        <c:v>22938.926261462366</c:v>
                      </c:pt>
                      <c:pt idx="666">
                        <c:v>23009.075115760235</c:v>
                      </c:pt>
                      <c:pt idx="667">
                        <c:v>23078.307376628294</c:v>
                      </c:pt>
                      <c:pt idx="668">
                        <c:v>23146.601955249185</c:v>
                      </c:pt>
                      <c:pt idx="669">
                        <c:v>23213.93804843269</c:v>
                      </c:pt>
                      <c:pt idx="670">
                        <c:v>23280.295144952528</c:v>
                      </c:pt>
                      <c:pt idx="671">
                        <c:v>23345.653031794292</c:v>
                      </c:pt>
                      <c:pt idx="672">
                        <c:v>23409.991800312488</c:v>
                      </c:pt>
                      <c:pt idx="673">
                        <c:v>23473.29185229498</c:v>
                      </c:pt>
                      <c:pt idx="674">
                        <c:v>23535.533905932738</c:v>
                      </c:pt>
                      <c:pt idx="675">
                        <c:v>23596.699001693254</c:v>
                      </c:pt>
                      <c:pt idx="676">
                        <c:v>23656.768508095851</c:v>
                      </c:pt>
                      <c:pt idx="677">
                        <c:v>23715.724127386966</c:v>
                      </c:pt>
                      <c:pt idx="678">
                        <c:v>23773.54790111386</c:v>
                      </c:pt>
                      <c:pt idx="679">
                        <c:v>23830.222215594891</c:v>
                      </c:pt>
                      <c:pt idx="680">
                        <c:v>23885.72980728485</c:v>
                      </c:pt>
                      <c:pt idx="681">
                        <c:v>23940.053768033606</c:v>
                      </c:pt>
                      <c:pt idx="682">
                        <c:v>23993.177550236465</c:v>
                      </c:pt>
                      <c:pt idx="683">
                        <c:v>24045.084971874734</c:v>
                      </c:pt>
                      <c:pt idx="684">
                        <c:v>24095.760221444954</c:v>
                      </c:pt>
                      <c:pt idx="685">
                        <c:v>24145.187862775212</c:v>
                      </c:pt>
                      <c:pt idx="686">
                        <c:v>24193.352839727118</c:v>
                      </c:pt>
                      <c:pt idx="687">
                        <c:v>24240.240480782126</c:v>
                      </c:pt>
                      <c:pt idx="688">
                        <c:v>24285.836503510556</c:v>
                      </c:pt>
                      <c:pt idx="689">
                        <c:v>24330.127018922194</c:v>
                      </c:pt>
                      <c:pt idx="690">
                        <c:v>24373.098535696976</c:v>
                      </c:pt>
                      <c:pt idx="691">
                        <c:v>24414.737964294633</c:v>
                      </c:pt>
                      <c:pt idx="692">
                        <c:v>24455.032620941834</c:v>
                      </c:pt>
                      <c:pt idx="693">
                        <c:v>24493.970231495834</c:v>
                      </c:pt>
                      <c:pt idx="694">
                        <c:v>24531.538935183249</c:v>
                      </c:pt>
                      <c:pt idx="695">
                        <c:v>24567.727288213002</c:v>
                      </c:pt>
                      <c:pt idx="696">
                        <c:v>24602.524267262204</c:v>
                      </c:pt>
                      <c:pt idx="697">
                        <c:v>24635.919272833937</c:v>
                      </c:pt>
                      <c:pt idx="698">
                        <c:v>24667.902132486008</c:v>
                      </c:pt>
                      <c:pt idx="699">
                        <c:v>24698.463103929538</c:v>
                      </c:pt>
                      <c:pt idx="700">
                        <c:v>24727.592877996583</c:v>
                      </c:pt>
                      <c:pt idx="701">
                        <c:v>24755.282581475767</c:v>
                      </c:pt>
                      <c:pt idx="702">
                        <c:v>24781.523779815176</c:v>
                      </c:pt>
                      <c:pt idx="703">
                        <c:v>24806.308479691594</c:v>
                      </c:pt>
                      <c:pt idx="704">
                        <c:v>24829.629131445341</c:v>
                      </c:pt>
                      <c:pt idx="705">
                        <c:v>24851.478631379981</c:v>
                      </c:pt>
                      <c:pt idx="706">
                        <c:v>24871.850323926177</c:v>
                      </c:pt>
                      <c:pt idx="707">
                        <c:v>24890.73800366903</c:v>
                      </c:pt>
                      <c:pt idx="708">
                        <c:v>24908.13591723832</c:v>
                      </c:pt>
                      <c:pt idx="709">
                        <c:v>24924.038765061039</c:v>
                      </c:pt>
                      <c:pt idx="710">
                        <c:v>24938.441702975688</c:v>
                      </c:pt>
                      <c:pt idx="711">
                        <c:v>24951.340343707852</c:v>
                      </c:pt>
                      <c:pt idx="712">
                        <c:v>24962.73075820661</c:v>
                      </c:pt>
                      <c:pt idx="713">
                        <c:v>24972.609476841368</c:v>
                      </c:pt>
                      <c:pt idx="714">
                        <c:v>24980.973490458728</c:v>
                      </c:pt>
                      <c:pt idx="715">
                        <c:v>24987.820251299123</c:v>
                      </c:pt>
                      <c:pt idx="716">
                        <c:v>24993.14767377287</c:v>
                      </c:pt>
                      <c:pt idx="717">
                        <c:v>24996.954135095479</c:v>
                      </c:pt>
                      <c:pt idx="718">
                        <c:v>24999.238475781956</c:v>
                      </c:pt>
                      <c:pt idx="719">
                        <c:v>25000</c:v>
                      </c:pt>
                      <c:pt idx="720">
                        <c:v>24999.238475781956</c:v>
                      </c:pt>
                      <c:pt idx="721">
                        <c:v>24996.954135095479</c:v>
                      </c:pt>
                      <c:pt idx="722">
                        <c:v>24993.14767377287</c:v>
                      </c:pt>
                      <c:pt idx="723">
                        <c:v>24987.820251299123</c:v>
                      </c:pt>
                      <c:pt idx="724">
                        <c:v>24980.973490458728</c:v>
                      </c:pt>
                      <c:pt idx="725">
                        <c:v>24972.609476841368</c:v>
                      </c:pt>
                      <c:pt idx="726">
                        <c:v>24962.73075820661</c:v>
                      </c:pt>
                      <c:pt idx="727">
                        <c:v>24951.340343707852</c:v>
                      </c:pt>
                      <c:pt idx="728">
                        <c:v>24938.441702975688</c:v>
                      </c:pt>
                      <c:pt idx="729">
                        <c:v>24924.038765061039</c:v>
                      </c:pt>
                      <c:pt idx="730">
                        <c:v>24908.13591723832</c:v>
                      </c:pt>
                      <c:pt idx="731">
                        <c:v>24890.73800366903</c:v>
                      </c:pt>
                      <c:pt idx="732">
                        <c:v>24871.850323926177</c:v>
                      </c:pt>
                      <c:pt idx="733">
                        <c:v>24851.478631379981</c:v>
                      </c:pt>
                      <c:pt idx="734">
                        <c:v>24829.629131445341</c:v>
                      </c:pt>
                      <c:pt idx="735">
                        <c:v>24806.308479691597</c:v>
                      </c:pt>
                      <c:pt idx="736">
                        <c:v>24781.523779815176</c:v>
                      </c:pt>
                      <c:pt idx="737">
                        <c:v>24755.282581475767</c:v>
                      </c:pt>
                      <c:pt idx="738">
                        <c:v>24727.592877996583</c:v>
                      </c:pt>
                      <c:pt idx="739">
                        <c:v>24698.463103929542</c:v>
                      </c:pt>
                      <c:pt idx="740">
                        <c:v>24667.902132486008</c:v>
                      </c:pt>
                      <c:pt idx="741">
                        <c:v>24635.919272833937</c:v>
                      </c:pt>
                      <c:pt idx="742">
                        <c:v>24602.524267262204</c:v>
                      </c:pt>
                      <c:pt idx="743">
                        <c:v>24567.727288213006</c:v>
                      </c:pt>
                      <c:pt idx="744">
                        <c:v>24531.538935183249</c:v>
                      </c:pt>
                      <c:pt idx="745">
                        <c:v>24493.970231495834</c:v>
                      </c:pt>
                      <c:pt idx="746">
                        <c:v>24455.032620941842</c:v>
                      </c:pt>
                      <c:pt idx="747">
                        <c:v>24414.737964294633</c:v>
                      </c:pt>
                      <c:pt idx="748">
                        <c:v>24373.09853569698</c:v>
                      </c:pt>
                      <c:pt idx="749">
                        <c:v>24330.127018922198</c:v>
                      </c:pt>
                      <c:pt idx="750">
                        <c:v>24285.836503510567</c:v>
                      </c:pt>
                      <c:pt idx="751">
                        <c:v>24240.240480782129</c:v>
                      </c:pt>
                      <c:pt idx="752">
                        <c:v>24193.352839727122</c:v>
                      </c:pt>
                      <c:pt idx="753">
                        <c:v>24145.187862775208</c:v>
                      </c:pt>
                      <c:pt idx="754">
                        <c:v>24095.760221444962</c:v>
                      </c:pt>
                      <c:pt idx="755">
                        <c:v>24045.084971874738</c:v>
                      </c:pt>
                      <c:pt idx="756">
                        <c:v>23993.177550236462</c:v>
                      </c:pt>
                      <c:pt idx="757">
                        <c:v>23940.053768033613</c:v>
                      </c:pt>
                      <c:pt idx="758">
                        <c:v>23885.729807284857</c:v>
                      </c:pt>
                      <c:pt idx="759">
                        <c:v>23830.222215594888</c:v>
                      </c:pt>
                      <c:pt idx="760">
                        <c:v>23773.547901113863</c:v>
                      </c:pt>
                      <c:pt idx="761">
                        <c:v>23715.724127386977</c:v>
                      </c:pt>
                      <c:pt idx="762">
                        <c:v>23656.768508095851</c:v>
                      </c:pt>
                      <c:pt idx="763">
                        <c:v>23596.699001693258</c:v>
                      </c:pt>
                      <c:pt idx="764">
                        <c:v>23535.533905932742</c:v>
                      </c:pt>
                      <c:pt idx="765">
                        <c:v>23473.291852294995</c:v>
                      </c:pt>
                      <c:pt idx="766">
                        <c:v>23409.991800312491</c:v>
                      </c:pt>
                      <c:pt idx="767">
                        <c:v>23345.653031794296</c:v>
                      </c:pt>
                      <c:pt idx="768">
                        <c:v>23280.295144952539</c:v>
                      </c:pt>
                      <c:pt idx="769">
                        <c:v>23213.938048432698</c:v>
                      </c:pt>
                      <c:pt idx="770">
                        <c:v>23146.601955249189</c:v>
                      </c:pt>
                      <c:pt idx="771">
                        <c:v>23078.307376628291</c:v>
                      </c:pt>
                      <c:pt idx="772">
                        <c:v>23009.075115760246</c:v>
                      </c:pt>
                      <c:pt idx="773">
                        <c:v>22938.926261462362</c:v>
                      </c:pt>
                      <c:pt idx="774">
                        <c:v>22867.882181755231</c:v>
                      </c:pt>
                      <c:pt idx="775">
                        <c:v>22795.964517353739</c:v>
                      </c:pt>
                      <c:pt idx="776">
                        <c:v>22723.195175075143</c:v>
                      </c:pt>
                      <c:pt idx="777">
                        <c:v>22649.596321166024</c:v>
                      </c:pt>
                      <c:pt idx="778">
                        <c:v>22575.190374550275</c:v>
                      </c:pt>
                      <c:pt idx="779">
                        <c:v>22500.000000000007</c:v>
                      </c:pt>
                      <c:pt idx="780">
                        <c:v>22424.048101231681</c:v>
                      </c:pt>
                      <c:pt idx="781">
                        <c:v>22347.357813929455</c:v>
                      </c:pt>
                      <c:pt idx="782">
                        <c:v>22269.952498697741</c:v>
                      </c:pt>
                      <c:pt idx="783">
                        <c:v>22191.855733945391</c:v>
                      </c:pt>
                      <c:pt idx="784">
                        <c:v>22113.091308703497</c:v>
                      </c:pt>
                      <c:pt idx="785">
                        <c:v>22033.683215379006</c:v>
                      </c:pt>
                      <c:pt idx="786">
                        <c:v>21953.655642446371</c:v>
                      </c:pt>
                      <c:pt idx="787">
                        <c:v>21873.032967079569</c:v>
                      </c:pt>
                      <c:pt idx="788">
                        <c:v>21791.839747726495</c:v>
                      </c:pt>
                      <c:pt idx="789">
                        <c:v>21710.100716628345</c:v>
                      </c:pt>
                      <c:pt idx="790">
                        <c:v>21627.840772285788</c:v>
                      </c:pt>
                      <c:pt idx="791">
                        <c:v>21545.08497187473</c:v>
                      </c:pt>
                      <c:pt idx="792">
                        <c:v>21461.858523613682</c:v>
                      </c:pt>
                      <c:pt idx="793">
                        <c:v>21378.186779085001</c:v>
                      </c:pt>
                      <c:pt idx="794">
                        <c:v>21294.095225512614</c:v>
                      </c:pt>
                      <c:pt idx="795">
                        <c:v>21209.609477998336</c:v>
                      </c:pt>
                      <c:pt idx="796">
                        <c:v>21124.755271719328</c:v>
                      </c:pt>
                      <c:pt idx="797">
                        <c:v>21039.558454088805</c:v>
                      </c:pt>
                      <c:pt idx="798">
                        <c:v>20954.044976882727</c:v>
                      </c:pt>
                      <c:pt idx="799">
                        <c:v>20868.240888334654</c:v>
                      </c:pt>
                      <c:pt idx="800">
                        <c:v>20782.172325201162</c:v>
                      </c:pt>
                      <c:pt idx="801">
                        <c:v>20695.865504800331</c:v>
                      </c:pt>
                      <c:pt idx="802">
                        <c:v>20609.346717025739</c:v>
                      </c:pt>
                      <c:pt idx="803">
                        <c:v>20522.642316338264</c:v>
                      </c:pt>
                      <c:pt idx="804">
                        <c:v>20435.778713738295</c:v>
                      </c:pt>
                      <c:pt idx="805">
                        <c:v>20348.782368720633</c:v>
                      </c:pt>
                      <c:pt idx="806">
                        <c:v>20261.679781214716</c:v>
                      </c:pt>
                      <c:pt idx="807">
                        <c:v>20174.497483512507</c:v>
                      </c:pt>
                      <c:pt idx="808">
                        <c:v>20087.262032186423</c:v>
                      </c:pt>
                      <c:pt idx="809">
                        <c:v>20000.000000000011</c:v>
                      </c:pt>
                      <c:pt idx="810">
                        <c:v>19912.73796781358</c:v>
                      </c:pt>
                      <c:pt idx="811">
                        <c:v>19825.502516487501</c:v>
                      </c:pt>
                      <c:pt idx="812">
                        <c:v>19738.320218785291</c:v>
                      </c:pt>
                      <c:pt idx="813">
                        <c:v>19651.217631279371</c:v>
                      </c:pt>
                      <c:pt idx="814">
                        <c:v>19564.221286261713</c:v>
                      </c:pt>
                      <c:pt idx="815">
                        <c:v>19477.357683661743</c:v>
                      </c:pt>
                      <c:pt idx="816">
                        <c:v>19390.653282974268</c:v>
                      </c:pt>
                      <c:pt idx="817">
                        <c:v>19304.134495199676</c:v>
                      </c:pt>
                      <c:pt idx="818">
                        <c:v>19217.827674798846</c:v>
                      </c:pt>
                      <c:pt idx="819">
                        <c:v>19131.759111665353</c:v>
                      </c:pt>
                      <c:pt idx="820">
                        <c:v>19045.955023117283</c:v>
                      </c:pt>
                      <c:pt idx="821">
                        <c:v>18960.441545911199</c:v>
                      </c:pt>
                      <c:pt idx="822">
                        <c:v>18875.244728280679</c:v>
                      </c:pt>
                      <c:pt idx="823">
                        <c:v>18790.390522001668</c:v>
                      </c:pt>
                      <c:pt idx="824">
                        <c:v>18705.904774487393</c:v>
                      </c:pt>
                      <c:pt idx="825">
                        <c:v>18621.813220915006</c:v>
                      </c:pt>
                      <c:pt idx="826">
                        <c:v>18538.141476386321</c:v>
                      </c:pt>
                      <c:pt idx="827">
                        <c:v>18454.915028125273</c:v>
                      </c:pt>
                      <c:pt idx="828">
                        <c:v>18372.159227714215</c:v>
                      </c:pt>
                      <c:pt idx="829">
                        <c:v>18289.899283371662</c:v>
                      </c:pt>
                      <c:pt idx="830">
                        <c:v>18208.160252273501</c:v>
                      </c:pt>
                      <c:pt idx="831">
                        <c:v>18126.967032920438</c:v>
                      </c:pt>
                      <c:pt idx="832">
                        <c:v>18046.344357553633</c:v>
                      </c:pt>
                      <c:pt idx="833">
                        <c:v>17966.316784620998</c:v>
                      </c:pt>
                      <c:pt idx="834">
                        <c:v>17886.908691296507</c:v>
                      </c:pt>
                      <c:pt idx="835">
                        <c:v>17808.144266054616</c:v>
                      </c:pt>
                      <c:pt idx="836">
                        <c:v>17730.047501302266</c:v>
                      </c:pt>
                      <c:pt idx="837">
                        <c:v>17652.642186070549</c:v>
                      </c:pt>
                      <c:pt idx="838">
                        <c:v>17575.951898768322</c:v>
                      </c:pt>
                      <c:pt idx="839">
                        <c:v>17499.999999999996</c:v>
                      </c:pt>
                      <c:pt idx="840">
                        <c:v>17424.809625449732</c:v>
                      </c:pt>
                      <c:pt idx="841">
                        <c:v>17350.40367883398</c:v>
                      </c:pt>
                      <c:pt idx="842">
                        <c:v>17276.80482492486</c:v>
                      </c:pt>
                      <c:pt idx="843">
                        <c:v>17204.035482646268</c:v>
                      </c:pt>
                      <c:pt idx="844">
                        <c:v>17132.117818244777</c:v>
                      </c:pt>
                      <c:pt idx="845">
                        <c:v>17061.073738537638</c:v>
                      </c:pt>
                      <c:pt idx="846">
                        <c:v>16990.924884239757</c:v>
                      </c:pt>
                      <c:pt idx="847">
                        <c:v>16921.692623371713</c:v>
                      </c:pt>
                      <c:pt idx="848">
                        <c:v>16853.398044750815</c:v>
                      </c:pt>
                      <c:pt idx="849">
                        <c:v>16786.06195156731</c:v>
                      </c:pt>
                      <c:pt idx="850">
                        <c:v>16719.704855047465</c:v>
                      </c:pt>
                      <c:pt idx="851">
                        <c:v>16654.346968205708</c:v>
                      </c:pt>
                      <c:pt idx="852">
                        <c:v>16590.008199687512</c:v>
                      </c:pt>
                      <c:pt idx="853">
                        <c:v>16526.708147705009</c:v>
                      </c:pt>
                      <c:pt idx="854">
                        <c:v>16464.466094067262</c:v>
                      </c:pt>
                      <c:pt idx="855">
                        <c:v>16403.300998306746</c:v>
                      </c:pt>
                      <c:pt idx="856">
                        <c:v>16343.231491904153</c:v>
                      </c:pt>
                      <c:pt idx="857">
                        <c:v>16284.275872613027</c:v>
                      </c:pt>
                      <c:pt idx="858">
                        <c:v>16226.452098886142</c:v>
                      </c:pt>
                      <c:pt idx="859">
                        <c:v>16169.777784405114</c:v>
                      </c:pt>
                      <c:pt idx="860">
                        <c:v>16114.270192715148</c:v>
                      </c:pt>
                      <c:pt idx="861">
                        <c:v>16059.946231966391</c:v>
                      </c:pt>
                      <c:pt idx="862">
                        <c:v>16006.82244976354</c:v>
                      </c:pt>
                      <c:pt idx="863">
                        <c:v>15954.915028125264</c:v>
                      </c:pt>
                      <c:pt idx="864">
                        <c:v>15904.239778555042</c:v>
                      </c:pt>
                      <c:pt idx="865">
                        <c:v>15854.812137224788</c:v>
                      </c:pt>
                      <c:pt idx="866">
                        <c:v>15806.647160272882</c:v>
                      </c:pt>
                      <c:pt idx="867">
                        <c:v>15759.759519217874</c:v>
                      </c:pt>
                      <c:pt idx="868">
                        <c:v>15714.163496489437</c:v>
                      </c:pt>
                      <c:pt idx="869">
                        <c:v>15669.872981077806</c:v>
                      </c:pt>
                      <c:pt idx="870">
                        <c:v>15626.901464303024</c:v>
                      </c:pt>
                      <c:pt idx="871">
                        <c:v>15585.262035705371</c:v>
                      </c:pt>
                      <c:pt idx="872">
                        <c:v>15544.96737905816</c:v>
                      </c:pt>
                      <c:pt idx="873">
                        <c:v>15506.029768504166</c:v>
                      </c:pt>
                      <c:pt idx="874">
                        <c:v>15468.461064816755</c:v>
                      </c:pt>
                      <c:pt idx="875">
                        <c:v>15432.272711786994</c:v>
                      </c:pt>
                      <c:pt idx="876">
                        <c:v>15397.475732737799</c:v>
                      </c:pt>
                      <c:pt idx="877">
                        <c:v>15364.080727166067</c:v>
                      </c:pt>
                      <c:pt idx="878">
                        <c:v>15332.097867513992</c:v>
                      </c:pt>
                      <c:pt idx="879">
                        <c:v>15301.536896070458</c:v>
                      </c:pt>
                      <c:pt idx="880">
                        <c:v>15272.407122003415</c:v>
                      </c:pt>
                      <c:pt idx="881">
                        <c:v>15244.717418524233</c:v>
                      </c:pt>
                      <c:pt idx="882">
                        <c:v>15218.476220184824</c:v>
                      </c:pt>
                      <c:pt idx="883">
                        <c:v>15193.691520308405</c:v>
                      </c:pt>
                      <c:pt idx="884">
                        <c:v>15170.370868554659</c:v>
                      </c:pt>
                      <c:pt idx="885">
                        <c:v>15148.521368620019</c:v>
                      </c:pt>
                      <c:pt idx="886">
                        <c:v>15128.149676073823</c:v>
                      </c:pt>
                      <c:pt idx="887">
                        <c:v>15109.261996330972</c:v>
                      </c:pt>
                      <c:pt idx="888">
                        <c:v>15091.86408276168</c:v>
                      </c:pt>
                      <c:pt idx="889">
                        <c:v>15075.961234938961</c:v>
                      </c:pt>
                      <c:pt idx="890">
                        <c:v>15061.558297024312</c:v>
                      </c:pt>
                      <c:pt idx="891">
                        <c:v>15048.659656292148</c:v>
                      </c:pt>
                      <c:pt idx="892">
                        <c:v>15037.26924179339</c:v>
                      </c:pt>
                      <c:pt idx="893">
                        <c:v>15027.390523158634</c:v>
                      </c:pt>
                      <c:pt idx="894">
                        <c:v>15019.026509541272</c:v>
                      </c:pt>
                      <c:pt idx="895">
                        <c:v>15012.179748700877</c:v>
                      </c:pt>
                      <c:pt idx="896">
                        <c:v>15006.85232622713</c:v>
                      </c:pt>
                      <c:pt idx="897">
                        <c:v>15003.045864904521</c:v>
                      </c:pt>
                      <c:pt idx="898">
                        <c:v>15000.761524218044</c:v>
                      </c:pt>
                      <c:pt idx="899">
                        <c:v>15000</c:v>
                      </c:pt>
                      <c:pt idx="900">
                        <c:v>15000.761524218044</c:v>
                      </c:pt>
                      <c:pt idx="901">
                        <c:v>15003.045864904521</c:v>
                      </c:pt>
                      <c:pt idx="902">
                        <c:v>15006.85232622713</c:v>
                      </c:pt>
                      <c:pt idx="903">
                        <c:v>15012.179748700877</c:v>
                      </c:pt>
                      <c:pt idx="904">
                        <c:v>15019.026509541272</c:v>
                      </c:pt>
                      <c:pt idx="905">
                        <c:v>15027.390523158632</c:v>
                      </c:pt>
                      <c:pt idx="906">
                        <c:v>15037.269241793389</c:v>
                      </c:pt>
                      <c:pt idx="907">
                        <c:v>15048.659656292148</c:v>
                      </c:pt>
                      <c:pt idx="908">
                        <c:v>15061.558297024312</c:v>
                      </c:pt>
                      <c:pt idx="909">
                        <c:v>15075.961234938959</c:v>
                      </c:pt>
                      <c:pt idx="910">
                        <c:v>15091.86408276168</c:v>
                      </c:pt>
                      <c:pt idx="911">
                        <c:v>15109.26199633097</c:v>
                      </c:pt>
                      <c:pt idx="912">
                        <c:v>15128.149676073823</c:v>
                      </c:pt>
                      <c:pt idx="913">
                        <c:v>15148.521368620019</c:v>
                      </c:pt>
                      <c:pt idx="914">
                        <c:v>15170.370868554657</c:v>
                      </c:pt>
                      <c:pt idx="915">
                        <c:v>15193.691520308403</c:v>
                      </c:pt>
                      <c:pt idx="916">
                        <c:v>15218.476220184821</c:v>
                      </c:pt>
                      <c:pt idx="917">
                        <c:v>15244.717418524229</c:v>
                      </c:pt>
                      <c:pt idx="918">
                        <c:v>15272.407122003417</c:v>
                      </c:pt>
                      <c:pt idx="919">
                        <c:v>15301.536896070456</c:v>
                      </c:pt>
                      <c:pt idx="920">
                        <c:v>15332.097867513994</c:v>
                      </c:pt>
                      <c:pt idx="921">
                        <c:v>15364.080727166063</c:v>
                      </c:pt>
                      <c:pt idx="922">
                        <c:v>15397.475732737797</c:v>
                      </c:pt>
                      <c:pt idx="923">
                        <c:v>15432.272711786998</c:v>
                      </c:pt>
                      <c:pt idx="924">
                        <c:v>15468.461064816751</c:v>
                      </c:pt>
                      <c:pt idx="925">
                        <c:v>15506.029768504164</c:v>
                      </c:pt>
                      <c:pt idx="926">
                        <c:v>15544.967379058158</c:v>
                      </c:pt>
                      <c:pt idx="927">
                        <c:v>15585.262035705367</c:v>
                      </c:pt>
                      <c:pt idx="928">
                        <c:v>15626.90146430302</c:v>
                      </c:pt>
                      <c:pt idx="929">
                        <c:v>15669.872981077804</c:v>
                      </c:pt>
                      <c:pt idx="930">
                        <c:v>15714.163496489442</c:v>
                      </c:pt>
                      <c:pt idx="931">
                        <c:v>15759.759519217871</c:v>
                      </c:pt>
                      <c:pt idx="932">
                        <c:v>15806.647160272878</c:v>
                      </c:pt>
                      <c:pt idx="933">
                        <c:v>15854.812137224786</c:v>
                      </c:pt>
                      <c:pt idx="934">
                        <c:v>15904.239778555042</c:v>
                      </c:pt>
                      <c:pt idx="935">
                        <c:v>15954.915028125261</c:v>
                      </c:pt>
                      <c:pt idx="936">
                        <c:v>16006.822449763531</c:v>
                      </c:pt>
                      <c:pt idx="937">
                        <c:v>16059.946231966382</c:v>
                      </c:pt>
                      <c:pt idx="938">
                        <c:v>16114.270192715145</c:v>
                      </c:pt>
                      <c:pt idx="939">
                        <c:v>16169.777784405105</c:v>
                      </c:pt>
                      <c:pt idx="940">
                        <c:v>16226.452098886131</c:v>
                      </c:pt>
                      <c:pt idx="941">
                        <c:v>16284.275872613029</c:v>
                      </c:pt>
                      <c:pt idx="942">
                        <c:v>16343.231491904144</c:v>
                      </c:pt>
                      <c:pt idx="943">
                        <c:v>16403.300998306739</c:v>
                      </c:pt>
                      <c:pt idx="944">
                        <c:v>16464.466094067251</c:v>
                      </c:pt>
                      <c:pt idx="945">
                        <c:v>16526.708147705009</c:v>
                      </c:pt>
                      <c:pt idx="946">
                        <c:v>16590.008199687501</c:v>
                      </c:pt>
                      <c:pt idx="947">
                        <c:v>16654.346968205711</c:v>
                      </c:pt>
                      <c:pt idx="948">
                        <c:v>16719.704855047461</c:v>
                      </c:pt>
                      <c:pt idx="949">
                        <c:v>16786.061951567295</c:v>
                      </c:pt>
                      <c:pt idx="950">
                        <c:v>16853.398044750815</c:v>
                      </c:pt>
                      <c:pt idx="951">
                        <c:v>16921.692623371706</c:v>
                      </c:pt>
                      <c:pt idx="952">
                        <c:v>16990.924884239754</c:v>
                      </c:pt>
                      <c:pt idx="953">
                        <c:v>17061.073738537638</c:v>
                      </c:pt>
                      <c:pt idx="954">
                        <c:v>17132.117818244769</c:v>
                      </c:pt>
                      <c:pt idx="955">
                        <c:v>17204.035482646261</c:v>
                      </c:pt>
                      <c:pt idx="956">
                        <c:v>17276.804824924871</c:v>
                      </c:pt>
                      <c:pt idx="957">
                        <c:v>17350.403678833976</c:v>
                      </c:pt>
                      <c:pt idx="958">
                        <c:v>17424.809625449725</c:v>
                      </c:pt>
                      <c:pt idx="959">
                        <c:v>17499.999999999993</c:v>
                      </c:pt>
                      <c:pt idx="960">
                        <c:v>17575.951898768319</c:v>
                      </c:pt>
                      <c:pt idx="961">
                        <c:v>17652.642186070545</c:v>
                      </c:pt>
                      <c:pt idx="962">
                        <c:v>17730.047501302259</c:v>
                      </c:pt>
                      <c:pt idx="963">
                        <c:v>17808.144266054616</c:v>
                      </c:pt>
                      <c:pt idx="964">
                        <c:v>17886.908691296503</c:v>
                      </c:pt>
                      <c:pt idx="965">
                        <c:v>17966.316784620994</c:v>
                      </c:pt>
                      <c:pt idx="966">
                        <c:v>18046.344357553622</c:v>
                      </c:pt>
                      <c:pt idx="967">
                        <c:v>18126.967032920442</c:v>
                      </c:pt>
                      <c:pt idx="968">
                        <c:v>18208.160252273494</c:v>
                      </c:pt>
                      <c:pt idx="969">
                        <c:v>18289.899283371647</c:v>
                      </c:pt>
                      <c:pt idx="970">
                        <c:v>18372.159227714219</c:v>
                      </c:pt>
                      <c:pt idx="971">
                        <c:v>18454.915028125259</c:v>
                      </c:pt>
                      <c:pt idx="972">
                        <c:v>18538.141476386307</c:v>
                      </c:pt>
                      <c:pt idx="973">
                        <c:v>18621.813220914992</c:v>
                      </c:pt>
                      <c:pt idx="974">
                        <c:v>18705.904774487393</c:v>
                      </c:pt>
                      <c:pt idx="975">
                        <c:v>18790.390522001653</c:v>
                      </c:pt>
                      <c:pt idx="976">
                        <c:v>18875.244728280664</c:v>
                      </c:pt>
                      <c:pt idx="977">
                        <c:v>18960.441545911202</c:v>
                      </c:pt>
                      <c:pt idx="978">
                        <c:v>19045.955023117269</c:v>
                      </c:pt>
                      <c:pt idx="979">
                        <c:v>19131.759111665338</c:v>
                      </c:pt>
                      <c:pt idx="980">
                        <c:v>19217.827674798846</c:v>
                      </c:pt>
                      <c:pt idx="981">
                        <c:v>19304.134495199669</c:v>
                      </c:pt>
                      <c:pt idx="982">
                        <c:v>19390.653282974272</c:v>
                      </c:pt>
                      <c:pt idx="983">
                        <c:v>19477.357683661736</c:v>
                      </c:pt>
                      <c:pt idx="984">
                        <c:v>19564.221286261705</c:v>
                      </c:pt>
                      <c:pt idx="985">
                        <c:v>19651.217631279382</c:v>
                      </c:pt>
                      <c:pt idx="986">
                        <c:v>19738.320218785284</c:v>
                      </c:pt>
                      <c:pt idx="987">
                        <c:v>19825.502516487493</c:v>
                      </c:pt>
                      <c:pt idx="988">
                        <c:v>19912.737967813577</c:v>
                      </c:pt>
                      <c:pt idx="989">
                        <c:v>20000.000000000007</c:v>
                      </c:pt>
                      <c:pt idx="990">
                        <c:v>20087.262032186416</c:v>
                      </c:pt>
                      <c:pt idx="991">
                        <c:v>20174.497483512499</c:v>
                      </c:pt>
                      <c:pt idx="992">
                        <c:v>20261.679781214727</c:v>
                      </c:pt>
                      <c:pt idx="993">
                        <c:v>20348.782368720629</c:v>
                      </c:pt>
                      <c:pt idx="994">
                        <c:v>20435.778713738287</c:v>
                      </c:pt>
                      <c:pt idx="995">
                        <c:v>20522.642316338257</c:v>
                      </c:pt>
                      <c:pt idx="996">
                        <c:v>20609.346717025739</c:v>
                      </c:pt>
                      <c:pt idx="997">
                        <c:v>20695.865504800324</c:v>
                      </c:pt>
                      <c:pt idx="998">
                        <c:v>20782.172325201147</c:v>
                      </c:pt>
                      <c:pt idx="999">
                        <c:v>20868.24088833464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Conditions!$D$4:$D$1003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7587.2620321864179</c:v>
                      </c:pt>
                      <c:pt idx="1">
                        <c:v>7674.4974835125049</c:v>
                      </c:pt>
                      <c:pt idx="2">
                        <c:v>7761.6797812147188</c:v>
                      </c:pt>
                      <c:pt idx="3">
                        <c:v>7848.7823687206264</c:v>
                      </c:pt>
                      <c:pt idx="4">
                        <c:v>7935.7787137382911</c:v>
                      </c:pt>
                      <c:pt idx="5">
                        <c:v>8022.6423163382669</c:v>
                      </c:pt>
                      <c:pt idx="6">
                        <c:v>8109.3467170257372</c:v>
                      </c:pt>
                      <c:pt idx="7">
                        <c:v>8195.8655048003275</c:v>
                      </c:pt>
                      <c:pt idx="8">
                        <c:v>8282.1723252011543</c:v>
                      </c:pt>
                      <c:pt idx="9">
                        <c:v>8368.2408883346525</c:v>
                      </c:pt>
                      <c:pt idx="10">
                        <c:v>8454.0449768827239</c:v>
                      </c:pt>
                      <c:pt idx="11">
                        <c:v>8539.5584540887976</c:v>
                      </c:pt>
                      <c:pt idx="12">
                        <c:v>8624.7552717193248</c:v>
                      </c:pt>
                      <c:pt idx="13">
                        <c:v>8709.6094779983396</c:v>
                      </c:pt>
                      <c:pt idx="14">
                        <c:v>8794.0952255126031</c:v>
                      </c:pt>
                      <c:pt idx="15">
                        <c:v>8878.1867790849956</c:v>
                      </c:pt>
                      <c:pt idx="16">
                        <c:v>8961.8585236136842</c:v>
                      </c:pt>
                      <c:pt idx="17">
                        <c:v>9045.0849718747377</c:v>
                      </c:pt>
                      <c:pt idx="18">
                        <c:v>9127.8407722857828</c:v>
                      </c:pt>
                      <c:pt idx="19">
                        <c:v>9210.1007166283434</c:v>
                      </c:pt>
                      <c:pt idx="20">
                        <c:v>9291.8397477265007</c:v>
                      </c:pt>
                      <c:pt idx="21">
                        <c:v>9373.03296707956</c:v>
                      </c:pt>
                      <c:pt idx="22">
                        <c:v>9453.6556424463688</c:v>
                      </c:pt>
                      <c:pt idx="23">
                        <c:v>9533.6832153790001</c:v>
                      </c:pt>
                      <c:pt idx="24">
                        <c:v>9613.0913087034969</c:v>
                      </c:pt>
                      <c:pt idx="25">
                        <c:v>9691.8557339453873</c:v>
                      </c:pt>
                      <c:pt idx="26">
                        <c:v>9769.952498697734</c:v>
                      </c:pt>
                      <c:pt idx="27">
                        <c:v>9847.357813929455</c:v>
                      </c:pt>
                      <c:pt idx="28">
                        <c:v>9924.048101231685</c:v>
                      </c:pt>
                      <c:pt idx="29">
                        <c:v>10000</c:v>
                      </c:pt>
                      <c:pt idx="30">
                        <c:v>10075.190374550271</c:v>
                      </c:pt>
                      <c:pt idx="31">
                        <c:v>10149.596321166024</c:v>
                      </c:pt>
                      <c:pt idx="32">
                        <c:v>10223.195175075136</c:v>
                      </c:pt>
                      <c:pt idx="33">
                        <c:v>10295.964517353736</c:v>
                      </c:pt>
                      <c:pt idx="34">
                        <c:v>10367.882181755231</c:v>
                      </c:pt>
                      <c:pt idx="35">
                        <c:v>10438.926261462366</c:v>
                      </c:pt>
                      <c:pt idx="36">
                        <c:v>10509.075115760241</c:v>
                      </c:pt>
                      <c:pt idx="37">
                        <c:v>10578.307376628291</c:v>
                      </c:pt>
                      <c:pt idx="38">
                        <c:v>10646.601955249187</c:v>
                      </c:pt>
                      <c:pt idx="39">
                        <c:v>10713.938048432696</c:v>
                      </c:pt>
                      <c:pt idx="40">
                        <c:v>10780.295144952535</c:v>
                      </c:pt>
                      <c:pt idx="41">
                        <c:v>10845.653031794291</c:v>
                      </c:pt>
                      <c:pt idx="42">
                        <c:v>10909.991800312491</c:v>
                      </c:pt>
                      <c:pt idx="43">
                        <c:v>10973.291852294986</c:v>
                      </c:pt>
                      <c:pt idx="44">
                        <c:v>11035.533905932738</c:v>
                      </c:pt>
                      <c:pt idx="45">
                        <c:v>11096.699001693256</c:v>
                      </c:pt>
                      <c:pt idx="46">
                        <c:v>11156.768508095853</c:v>
                      </c:pt>
                      <c:pt idx="47">
                        <c:v>11215.724127386971</c:v>
                      </c:pt>
                      <c:pt idx="48">
                        <c:v>11273.54790111386</c:v>
                      </c:pt>
                      <c:pt idx="49">
                        <c:v>11330.222215594891</c:v>
                      </c:pt>
                      <c:pt idx="50">
                        <c:v>11385.729807284853</c:v>
                      </c:pt>
                      <c:pt idx="51">
                        <c:v>11440.053768033609</c:v>
                      </c:pt>
                      <c:pt idx="52">
                        <c:v>11493.177550236464</c:v>
                      </c:pt>
                      <c:pt idx="53">
                        <c:v>11545.084971874738</c:v>
                      </c:pt>
                      <c:pt idx="54">
                        <c:v>11595.760221444958</c:v>
                      </c:pt>
                      <c:pt idx="55">
                        <c:v>11645.187862775208</c:v>
                      </c:pt>
                      <c:pt idx="56">
                        <c:v>11693.352839727118</c:v>
                      </c:pt>
                      <c:pt idx="57">
                        <c:v>11740.240480782129</c:v>
                      </c:pt>
                      <c:pt idx="58">
                        <c:v>11785.83650351056</c:v>
                      </c:pt>
                      <c:pt idx="59">
                        <c:v>11830.127018922194</c:v>
                      </c:pt>
                      <c:pt idx="60">
                        <c:v>11873.09853569698</c:v>
                      </c:pt>
                      <c:pt idx="61">
                        <c:v>11914.737964294634</c:v>
                      </c:pt>
                      <c:pt idx="62">
                        <c:v>11955.032620941838</c:v>
                      </c:pt>
                      <c:pt idx="63">
                        <c:v>11993.970231495834</c:v>
                      </c:pt>
                      <c:pt idx="64">
                        <c:v>12031.538935183249</c:v>
                      </c:pt>
                      <c:pt idx="65">
                        <c:v>12067.727288213006</c:v>
                      </c:pt>
                      <c:pt idx="66">
                        <c:v>12102.524267262201</c:v>
                      </c:pt>
                      <c:pt idx="67">
                        <c:v>12135.919272833937</c:v>
                      </c:pt>
                      <c:pt idx="68">
                        <c:v>12167.902132486008</c:v>
                      </c:pt>
                      <c:pt idx="69">
                        <c:v>12198.463103929542</c:v>
                      </c:pt>
                      <c:pt idx="70">
                        <c:v>12227.592877996583</c:v>
                      </c:pt>
                      <c:pt idx="71">
                        <c:v>12255.282581475767</c:v>
                      </c:pt>
                      <c:pt idx="72">
                        <c:v>12281.523779815177</c:v>
                      </c:pt>
                      <c:pt idx="73">
                        <c:v>12306.308479691594</c:v>
                      </c:pt>
                      <c:pt idx="74">
                        <c:v>12329.629131445341</c:v>
                      </c:pt>
                      <c:pt idx="75">
                        <c:v>12351.478631379981</c:v>
                      </c:pt>
                      <c:pt idx="76">
                        <c:v>12371.850323926177</c:v>
                      </c:pt>
                      <c:pt idx="77">
                        <c:v>12390.738003669028</c:v>
                      </c:pt>
                      <c:pt idx="78">
                        <c:v>12408.13591723832</c:v>
                      </c:pt>
                      <c:pt idx="79">
                        <c:v>12424.038765061039</c:v>
                      </c:pt>
                      <c:pt idx="80">
                        <c:v>12438.441702975688</c:v>
                      </c:pt>
                      <c:pt idx="81">
                        <c:v>12451.340343707852</c:v>
                      </c:pt>
                      <c:pt idx="82">
                        <c:v>12462.73075820661</c:v>
                      </c:pt>
                      <c:pt idx="83">
                        <c:v>12472.609476841368</c:v>
                      </c:pt>
                      <c:pt idx="84">
                        <c:v>12480.973490458728</c:v>
                      </c:pt>
                      <c:pt idx="85">
                        <c:v>12487.820251299121</c:v>
                      </c:pt>
                      <c:pt idx="86">
                        <c:v>12493.14767377287</c:v>
                      </c:pt>
                      <c:pt idx="87">
                        <c:v>12496.954135095479</c:v>
                      </c:pt>
                      <c:pt idx="88">
                        <c:v>12499.238475781956</c:v>
                      </c:pt>
                      <c:pt idx="89">
                        <c:v>12500</c:v>
                      </c:pt>
                      <c:pt idx="90">
                        <c:v>12499.238475781956</c:v>
                      </c:pt>
                      <c:pt idx="91">
                        <c:v>12496.954135095479</c:v>
                      </c:pt>
                      <c:pt idx="92">
                        <c:v>12493.14767377287</c:v>
                      </c:pt>
                      <c:pt idx="93">
                        <c:v>12487.820251299121</c:v>
                      </c:pt>
                      <c:pt idx="94">
                        <c:v>12480.973490458728</c:v>
                      </c:pt>
                      <c:pt idx="95">
                        <c:v>12472.609476841368</c:v>
                      </c:pt>
                      <c:pt idx="96">
                        <c:v>12462.73075820661</c:v>
                      </c:pt>
                      <c:pt idx="97">
                        <c:v>12451.340343707852</c:v>
                      </c:pt>
                      <c:pt idx="98">
                        <c:v>12438.441702975688</c:v>
                      </c:pt>
                      <c:pt idx="99">
                        <c:v>12424.038765061039</c:v>
                      </c:pt>
                      <c:pt idx="100">
                        <c:v>12408.13591723832</c:v>
                      </c:pt>
                      <c:pt idx="101">
                        <c:v>12390.738003669028</c:v>
                      </c:pt>
                      <c:pt idx="102">
                        <c:v>12371.850323926177</c:v>
                      </c:pt>
                      <c:pt idx="103">
                        <c:v>12351.478631379981</c:v>
                      </c:pt>
                      <c:pt idx="104">
                        <c:v>12329.629131445341</c:v>
                      </c:pt>
                      <c:pt idx="105">
                        <c:v>12306.308479691594</c:v>
                      </c:pt>
                      <c:pt idx="106">
                        <c:v>12281.523779815177</c:v>
                      </c:pt>
                      <c:pt idx="107">
                        <c:v>12255.282581475767</c:v>
                      </c:pt>
                      <c:pt idx="108">
                        <c:v>12227.592877996583</c:v>
                      </c:pt>
                      <c:pt idx="109">
                        <c:v>12198.463103929542</c:v>
                      </c:pt>
                      <c:pt idx="110">
                        <c:v>12167.902132486008</c:v>
                      </c:pt>
                      <c:pt idx="111">
                        <c:v>12135.919272833937</c:v>
                      </c:pt>
                      <c:pt idx="112">
                        <c:v>12102.524267262201</c:v>
                      </c:pt>
                      <c:pt idx="113">
                        <c:v>12067.727288213006</c:v>
                      </c:pt>
                      <c:pt idx="114">
                        <c:v>12031.538935183249</c:v>
                      </c:pt>
                      <c:pt idx="115">
                        <c:v>11993.970231495834</c:v>
                      </c:pt>
                      <c:pt idx="116">
                        <c:v>11955.03262094184</c:v>
                      </c:pt>
                      <c:pt idx="117">
                        <c:v>11914.737964294636</c:v>
                      </c:pt>
                      <c:pt idx="118">
                        <c:v>11873.09853569698</c:v>
                      </c:pt>
                      <c:pt idx="119">
                        <c:v>11830.127018922194</c:v>
                      </c:pt>
                      <c:pt idx="120">
                        <c:v>11785.836503510562</c:v>
                      </c:pt>
                      <c:pt idx="121">
                        <c:v>11740.240480782129</c:v>
                      </c:pt>
                      <c:pt idx="122">
                        <c:v>11693.352839727118</c:v>
                      </c:pt>
                      <c:pt idx="123">
                        <c:v>11645.187862775208</c:v>
                      </c:pt>
                      <c:pt idx="124">
                        <c:v>11595.76022144496</c:v>
                      </c:pt>
                      <c:pt idx="125">
                        <c:v>11545.084971874738</c:v>
                      </c:pt>
                      <c:pt idx="126">
                        <c:v>11493.177550236464</c:v>
                      </c:pt>
                      <c:pt idx="127">
                        <c:v>11440.053768033609</c:v>
                      </c:pt>
                      <c:pt idx="128">
                        <c:v>11385.729807284855</c:v>
                      </c:pt>
                      <c:pt idx="129">
                        <c:v>11330.222215594891</c:v>
                      </c:pt>
                      <c:pt idx="130">
                        <c:v>11273.54790111386</c:v>
                      </c:pt>
                      <c:pt idx="131">
                        <c:v>11215.724127386971</c:v>
                      </c:pt>
                      <c:pt idx="132">
                        <c:v>11156.768508095853</c:v>
                      </c:pt>
                      <c:pt idx="133">
                        <c:v>11096.699001693258</c:v>
                      </c:pt>
                      <c:pt idx="134">
                        <c:v>11035.533905932738</c:v>
                      </c:pt>
                      <c:pt idx="135">
                        <c:v>10973.291852294986</c:v>
                      </c:pt>
                      <c:pt idx="136">
                        <c:v>10909.991800312493</c:v>
                      </c:pt>
                      <c:pt idx="137">
                        <c:v>10845.653031794292</c:v>
                      </c:pt>
                      <c:pt idx="138">
                        <c:v>10780.295144952535</c:v>
                      </c:pt>
                      <c:pt idx="139">
                        <c:v>10713.938048432698</c:v>
                      </c:pt>
                      <c:pt idx="140">
                        <c:v>10646.601955249189</c:v>
                      </c:pt>
                      <c:pt idx="141">
                        <c:v>10578.307376628292</c:v>
                      </c:pt>
                      <c:pt idx="142">
                        <c:v>10509.075115760241</c:v>
                      </c:pt>
                      <c:pt idx="143">
                        <c:v>10438.926261462366</c:v>
                      </c:pt>
                      <c:pt idx="144">
                        <c:v>10367.882181755233</c:v>
                      </c:pt>
                      <c:pt idx="145">
                        <c:v>10295.964517353736</c:v>
                      </c:pt>
                      <c:pt idx="146">
                        <c:v>10223.195175075136</c:v>
                      </c:pt>
                      <c:pt idx="147">
                        <c:v>10149.596321166024</c:v>
                      </c:pt>
                      <c:pt idx="148">
                        <c:v>10075.190374550271</c:v>
                      </c:pt>
                      <c:pt idx="149">
                        <c:v>10000</c:v>
                      </c:pt>
                      <c:pt idx="150">
                        <c:v>9924.048101231685</c:v>
                      </c:pt>
                      <c:pt idx="151">
                        <c:v>9847.357813929455</c:v>
                      </c:pt>
                      <c:pt idx="152">
                        <c:v>9769.952498697734</c:v>
                      </c:pt>
                      <c:pt idx="153">
                        <c:v>9691.8557339453873</c:v>
                      </c:pt>
                      <c:pt idx="154">
                        <c:v>9613.0913087034969</c:v>
                      </c:pt>
                      <c:pt idx="155">
                        <c:v>9533.6832153790019</c:v>
                      </c:pt>
                      <c:pt idx="156">
                        <c:v>9453.6556424463706</c:v>
                      </c:pt>
                      <c:pt idx="157">
                        <c:v>9373.0329670795618</c:v>
                      </c:pt>
                      <c:pt idx="158">
                        <c:v>9291.8397477265007</c:v>
                      </c:pt>
                      <c:pt idx="159">
                        <c:v>9210.1007166283453</c:v>
                      </c:pt>
                      <c:pt idx="160">
                        <c:v>9127.8407722857846</c:v>
                      </c:pt>
                      <c:pt idx="161">
                        <c:v>9045.0849718747377</c:v>
                      </c:pt>
                      <c:pt idx="162">
                        <c:v>8961.858523613686</c:v>
                      </c:pt>
                      <c:pt idx="163">
                        <c:v>8878.1867790849974</c:v>
                      </c:pt>
                      <c:pt idx="164">
                        <c:v>8794.0952255126049</c:v>
                      </c:pt>
                      <c:pt idx="165">
                        <c:v>8709.6094779983396</c:v>
                      </c:pt>
                      <c:pt idx="166">
                        <c:v>8624.7552717193248</c:v>
                      </c:pt>
                      <c:pt idx="167">
                        <c:v>8539.5584540887976</c:v>
                      </c:pt>
                      <c:pt idx="168">
                        <c:v>8454.0449768827257</c:v>
                      </c:pt>
                      <c:pt idx="169">
                        <c:v>8368.2408883346507</c:v>
                      </c:pt>
                      <c:pt idx="170">
                        <c:v>8282.1723252011543</c:v>
                      </c:pt>
                      <c:pt idx="171">
                        <c:v>8195.8655048003293</c:v>
                      </c:pt>
                      <c:pt idx="172">
                        <c:v>8109.3467170257372</c:v>
                      </c:pt>
                      <c:pt idx="173">
                        <c:v>8022.6423163382688</c:v>
                      </c:pt>
                      <c:pt idx="174">
                        <c:v>7935.7787137382929</c:v>
                      </c:pt>
                      <c:pt idx="175">
                        <c:v>7848.7823687206273</c:v>
                      </c:pt>
                      <c:pt idx="176">
                        <c:v>7761.6797812147188</c:v>
                      </c:pt>
                      <c:pt idx="177">
                        <c:v>7674.4974835125031</c:v>
                      </c:pt>
                      <c:pt idx="178">
                        <c:v>7587.2620321864169</c:v>
                      </c:pt>
                      <c:pt idx="179">
                        <c:v>7500.0000000000009</c:v>
                      </c:pt>
                      <c:pt idx="180">
                        <c:v>7412.737967813584</c:v>
                      </c:pt>
                      <c:pt idx="181">
                        <c:v>7325.5025164874951</c:v>
                      </c:pt>
                      <c:pt idx="182">
                        <c:v>7238.3202187852821</c:v>
                      </c:pt>
                      <c:pt idx="183">
                        <c:v>7151.2176312793763</c:v>
                      </c:pt>
                      <c:pt idx="184">
                        <c:v>7064.2212862617107</c:v>
                      </c:pt>
                      <c:pt idx="185">
                        <c:v>6977.3576836617349</c:v>
                      </c:pt>
                      <c:pt idx="186">
                        <c:v>6890.6532829742609</c:v>
                      </c:pt>
                      <c:pt idx="187">
                        <c:v>6804.1344951996725</c:v>
                      </c:pt>
                      <c:pt idx="188">
                        <c:v>6717.8276747988466</c:v>
                      </c:pt>
                      <c:pt idx="189">
                        <c:v>6631.7591116653475</c:v>
                      </c:pt>
                      <c:pt idx="190">
                        <c:v>6545.9550231172761</c:v>
                      </c:pt>
                      <c:pt idx="191">
                        <c:v>6460.4415459112042</c:v>
                      </c:pt>
                      <c:pt idx="192">
                        <c:v>6375.2447282806752</c:v>
                      </c:pt>
                      <c:pt idx="193">
                        <c:v>6290.3905220016622</c:v>
                      </c:pt>
                      <c:pt idx="194">
                        <c:v>6205.9047744873988</c:v>
                      </c:pt>
                      <c:pt idx="195">
                        <c:v>6121.8132209150053</c:v>
                      </c:pt>
                      <c:pt idx="196">
                        <c:v>6038.1414763863177</c:v>
                      </c:pt>
                      <c:pt idx="197">
                        <c:v>5954.9150281252614</c:v>
                      </c:pt>
                      <c:pt idx="198">
                        <c:v>5872.1592277142163</c:v>
                      </c:pt>
                      <c:pt idx="199">
                        <c:v>5789.8992833716566</c:v>
                      </c:pt>
                      <c:pt idx="200">
                        <c:v>5708.1602522734975</c:v>
                      </c:pt>
                      <c:pt idx="201">
                        <c:v>5626.96703292044</c:v>
                      </c:pt>
                      <c:pt idx="202">
                        <c:v>5546.3443575536321</c:v>
                      </c:pt>
                      <c:pt idx="203">
                        <c:v>5466.3167846210008</c:v>
                      </c:pt>
                      <c:pt idx="204">
                        <c:v>5386.9086912965031</c:v>
                      </c:pt>
                      <c:pt idx="205">
                        <c:v>5308.1442660546145</c:v>
                      </c:pt>
                      <c:pt idx="206">
                        <c:v>5230.0475013022688</c:v>
                      </c:pt>
                      <c:pt idx="207">
                        <c:v>5152.6421860705459</c:v>
                      </c:pt>
                      <c:pt idx="208">
                        <c:v>5075.951898768315</c:v>
                      </c:pt>
                      <c:pt idx="209">
                        <c:v>5000</c:v>
                      </c:pt>
                      <c:pt idx="210">
                        <c:v>4924.8096254497286</c:v>
                      </c:pt>
                      <c:pt idx="211">
                        <c:v>4850.4036788339763</c:v>
                      </c:pt>
                      <c:pt idx="212">
                        <c:v>4776.8048249248641</c:v>
                      </c:pt>
                      <c:pt idx="213">
                        <c:v>4704.0354826462662</c:v>
                      </c:pt>
                      <c:pt idx="214">
                        <c:v>4632.1178182447711</c:v>
                      </c:pt>
                      <c:pt idx="215">
                        <c:v>4561.0737385376342</c:v>
                      </c:pt>
                      <c:pt idx="216">
                        <c:v>4490.9248842397592</c:v>
                      </c:pt>
                      <c:pt idx="217">
                        <c:v>4421.6926233717113</c:v>
                      </c:pt>
                      <c:pt idx="218">
                        <c:v>4353.398044750812</c:v>
                      </c:pt>
                      <c:pt idx="219">
                        <c:v>4286.0619515673043</c:v>
                      </c:pt>
                      <c:pt idx="220">
                        <c:v>4219.7048550474628</c:v>
                      </c:pt>
                      <c:pt idx="221">
                        <c:v>4154.3469682057093</c:v>
                      </c:pt>
                      <c:pt idx="222">
                        <c:v>4090.0081996875083</c:v>
                      </c:pt>
                      <c:pt idx="223">
                        <c:v>4026.7081477050133</c:v>
                      </c:pt>
                      <c:pt idx="224">
                        <c:v>3964.4660940672625</c:v>
                      </c:pt>
                      <c:pt idx="225">
                        <c:v>3903.3009983067459</c:v>
                      </c:pt>
                      <c:pt idx="226">
                        <c:v>3843.2314919041492</c:v>
                      </c:pt>
                      <c:pt idx="227">
                        <c:v>3784.2758726130301</c:v>
                      </c:pt>
                      <c:pt idx="228">
                        <c:v>3726.4520988861418</c:v>
                      </c:pt>
                      <c:pt idx="229">
                        <c:v>3669.7777844051107</c:v>
                      </c:pt>
                      <c:pt idx="230">
                        <c:v>3614.2701927151443</c:v>
                      </c:pt>
                      <c:pt idx="231">
                        <c:v>3559.9462319663894</c:v>
                      </c:pt>
                      <c:pt idx="232">
                        <c:v>3506.822449763536</c:v>
                      </c:pt>
                      <c:pt idx="233">
                        <c:v>3454.9150281252632</c:v>
                      </c:pt>
                      <c:pt idx="234">
                        <c:v>3404.239778555042</c:v>
                      </c:pt>
                      <c:pt idx="235">
                        <c:v>3354.8121372247933</c:v>
                      </c:pt>
                      <c:pt idx="236">
                        <c:v>3306.6471602728798</c:v>
                      </c:pt>
                      <c:pt idx="237">
                        <c:v>3259.7595192178705</c:v>
                      </c:pt>
                      <c:pt idx="238">
                        <c:v>3214.1634964894392</c:v>
                      </c:pt>
                      <c:pt idx="239">
                        <c:v>3169.8729810778077</c:v>
                      </c:pt>
                      <c:pt idx="240">
                        <c:v>3126.9014643030205</c:v>
                      </c:pt>
                      <c:pt idx="241">
                        <c:v>3085.2620357053647</c:v>
                      </c:pt>
                      <c:pt idx="242">
                        <c:v>3044.967379058161</c:v>
                      </c:pt>
                      <c:pt idx="243">
                        <c:v>3006.029768504166</c:v>
                      </c:pt>
                      <c:pt idx="244">
                        <c:v>2968.4610648167518</c:v>
                      </c:pt>
                      <c:pt idx="245">
                        <c:v>2932.2727117869954</c:v>
                      </c:pt>
                      <c:pt idx="246">
                        <c:v>2897.4757327377984</c:v>
                      </c:pt>
                      <c:pt idx="247">
                        <c:v>2864.0807271660633</c:v>
                      </c:pt>
                      <c:pt idx="248">
                        <c:v>2832.0978675139922</c:v>
                      </c:pt>
                      <c:pt idx="249">
                        <c:v>2801.5368960704591</c:v>
                      </c:pt>
                      <c:pt idx="250">
                        <c:v>2772.4071220034157</c:v>
                      </c:pt>
                      <c:pt idx="251">
                        <c:v>2744.717418524232</c:v>
                      </c:pt>
                      <c:pt idx="252">
                        <c:v>2718.4762201848234</c:v>
                      </c:pt>
                      <c:pt idx="253">
                        <c:v>2693.6915203084054</c:v>
                      </c:pt>
                      <c:pt idx="254">
                        <c:v>2670.370868554658</c:v>
                      </c:pt>
                      <c:pt idx="255">
                        <c:v>2648.5213686200177</c:v>
                      </c:pt>
                      <c:pt idx="256">
                        <c:v>2628.1496760738246</c:v>
                      </c:pt>
                      <c:pt idx="257">
                        <c:v>2609.2619963309717</c:v>
                      </c:pt>
                      <c:pt idx="258">
                        <c:v>2591.8640827616809</c:v>
                      </c:pt>
                      <c:pt idx="259">
                        <c:v>2575.9612349389599</c:v>
                      </c:pt>
                      <c:pt idx="260">
                        <c:v>2561.5582970243113</c:v>
                      </c:pt>
                      <c:pt idx="261">
                        <c:v>2548.6596562921486</c:v>
                      </c:pt>
                      <c:pt idx="262">
                        <c:v>2537.2692417933895</c:v>
                      </c:pt>
                      <c:pt idx="263">
                        <c:v>2527.3905231586332</c:v>
                      </c:pt>
                      <c:pt idx="264">
                        <c:v>2519.0265095412724</c:v>
                      </c:pt>
                      <c:pt idx="265">
                        <c:v>2512.1797487008789</c:v>
                      </c:pt>
                      <c:pt idx="266">
                        <c:v>2506.852326227131</c:v>
                      </c:pt>
                      <c:pt idx="267">
                        <c:v>2503.0458649045213</c:v>
                      </c:pt>
                      <c:pt idx="268">
                        <c:v>2500.7615242180436</c:v>
                      </c:pt>
                      <c:pt idx="269">
                        <c:v>2500</c:v>
                      </c:pt>
                      <c:pt idx="270">
                        <c:v>2500.7615242180436</c:v>
                      </c:pt>
                      <c:pt idx="271">
                        <c:v>2503.0458649045213</c:v>
                      </c:pt>
                      <c:pt idx="272">
                        <c:v>2506.852326227131</c:v>
                      </c:pt>
                      <c:pt idx="273">
                        <c:v>2512.179748700878</c:v>
                      </c:pt>
                      <c:pt idx="274">
                        <c:v>2519.0265095412724</c:v>
                      </c:pt>
                      <c:pt idx="275">
                        <c:v>2527.3905231586332</c:v>
                      </c:pt>
                      <c:pt idx="276">
                        <c:v>2537.2692417933904</c:v>
                      </c:pt>
                      <c:pt idx="277">
                        <c:v>2548.6596562921486</c:v>
                      </c:pt>
                      <c:pt idx="278">
                        <c:v>2561.5582970243113</c:v>
                      </c:pt>
                      <c:pt idx="279">
                        <c:v>2575.961234938959</c:v>
                      </c:pt>
                      <c:pt idx="280">
                        <c:v>2591.8640827616791</c:v>
                      </c:pt>
                      <c:pt idx="281">
                        <c:v>2609.2619963309708</c:v>
                      </c:pt>
                      <c:pt idx="282">
                        <c:v>2628.1496760738237</c:v>
                      </c:pt>
                      <c:pt idx="283">
                        <c:v>2648.5213686200168</c:v>
                      </c:pt>
                      <c:pt idx="284">
                        <c:v>2670.370868554659</c:v>
                      </c:pt>
                      <c:pt idx="285">
                        <c:v>2693.6915203084063</c:v>
                      </c:pt>
                      <c:pt idx="286">
                        <c:v>2718.4762201848225</c:v>
                      </c:pt>
                      <c:pt idx="287">
                        <c:v>2744.717418524232</c:v>
                      </c:pt>
                      <c:pt idx="288">
                        <c:v>2772.4071220034148</c:v>
                      </c:pt>
                      <c:pt idx="289">
                        <c:v>2801.5368960704573</c:v>
                      </c:pt>
                      <c:pt idx="290">
                        <c:v>2832.0978675139895</c:v>
                      </c:pt>
                      <c:pt idx="291">
                        <c:v>2864.0807271660633</c:v>
                      </c:pt>
                      <c:pt idx="292">
                        <c:v>2897.4757327377974</c:v>
                      </c:pt>
                      <c:pt idx="293">
                        <c:v>2932.2727117869963</c:v>
                      </c:pt>
                      <c:pt idx="294">
                        <c:v>2968.46106481675</c:v>
                      </c:pt>
                      <c:pt idx="295">
                        <c:v>3006.0297685041651</c:v>
                      </c:pt>
                      <c:pt idx="296">
                        <c:v>3044.9673790581601</c:v>
                      </c:pt>
                      <c:pt idx="297">
                        <c:v>3085.2620357053647</c:v>
                      </c:pt>
                      <c:pt idx="298">
                        <c:v>3126.9014643030196</c:v>
                      </c:pt>
                      <c:pt idx="299">
                        <c:v>3169.8729810778068</c:v>
                      </c:pt>
                      <c:pt idx="300">
                        <c:v>3214.1634964894383</c:v>
                      </c:pt>
                      <c:pt idx="301">
                        <c:v>3259.7595192178687</c:v>
                      </c:pt>
                      <c:pt idx="302">
                        <c:v>3306.6471602728789</c:v>
                      </c:pt>
                      <c:pt idx="303">
                        <c:v>3354.8121372247897</c:v>
                      </c:pt>
                      <c:pt idx="304">
                        <c:v>3404.2397785550411</c:v>
                      </c:pt>
                      <c:pt idx="305">
                        <c:v>3454.9150281252623</c:v>
                      </c:pt>
                      <c:pt idx="306">
                        <c:v>3506.8224497635347</c:v>
                      </c:pt>
                      <c:pt idx="307">
                        <c:v>3559.9462319663912</c:v>
                      </c:pt>
                      <c:pt idx="308">
                        <c:v>3614.2701927151461</c:v>
                      </c:pt>
                      <c:pt idx="309">
                        <c:v>3669.7777844051093</c:v>
                      </c:pt>
                      <c:pt idx="310">
                        <c:v>3726.4520988861386</c:v>
                      </c:pt>
                      <c:pt idx="311">
                        <c:v>3784.2758726130273</c:v>
                      </c:pt>
                      <c:pt idx="312">
                        <c:v>3843.2314919041451</c:v>
                      </c:pt>
                      <c:pt idx="313">
                        <c:v>3903.3009983067413</c:v>
                      </c:pt>
                      <c:pt idx="314">
                        <c:v>3964.4660940672616</c:v>
                      </c:pt>
                      <c:pt idx="315">
                        <c:v>4026.7081477050119</c:v>
                      </c:pt>
                      <c:pt idx="316">
                        <c:v>4090.0081996875087</c:v>
                      </c:pt>
                      <c:pt idx="317">
                        <c:v>4154.3469682057093</c:v>
                      </c:pt>
                      <c:pt idx="318">
                        <c:v>4219.7048550474628</c:v>
                      </c:pt>
                      <c:pt idx="319">
                        <c:v>4286.0619515673025</c:v>
                      </c:pt>
                      <c:pt idx="320">
                        <c:v>4353.3980447508111</c:v>
                      </c:pt>
                      <c:pt idx="321">
                        <c:v>4421.6926233717058</c:v>
                      </c:pt>
                      <c:pt idx="322">
                        <c:v>4490.9248842397592</c:v>
                      </c:pt>
                      <c:pt idx="323">
                        <c:v>4561.0737385376333</c:v>
                      </c:pt>
                      <c:pt idx="324">
                        <c:v>4632.1178182447675</c:v>
                      </c:pt>
                      <c:pt idx="325">
                        <c:v>4704.0354826462626</c:v>
                      </c:pt>
                      <c:pt idx="326">
                        <c:v>4776.804824924865</c:v>
                      </c:pt>
                      <c:pt idx="327">
                        <c:v>4850.4036788339708</c:v>
                      </c:pt>
                      <c:pt idx="328">
                        <c:v>4924.8096254497277</c:v>
                      </c:pt>
                      <c:pt idx="329">
                        <c:v>4999.9999999999982</c:v>
                      </c:pt>
                      <c:pt idx="330">
                        <c:v>5075.951898768315</c:v>
                      </c:pt>
                      <c:pt idx="331">
                        <c:v>5152.6421860705459</c:v>
                      </c:pt>
                      <c:pt idx="332">
                        <c:v>5230.0475013022651</c:v>
                      </c:pt>
                      <c:pt idx="333">
                        <c:v>5308.1442660546145</c:v>
                      </c:pt>
                      <c:pt idx="334">
                        <c:v>5386.9086912964995</c:v>
                      </c:pt>
                      <c:pt idx="335">
                        <c:v>5466.316784620999</c:v>
                      </c:pt>
                      <c:pt idx="336">
                        <c:v>5546.3443575536267</c:v>
                      </c:pt>
                      <c:pt idx="337">
                        <c:v>5626.9670329204382</c:v>
                      </c:pt>
                      <c:pt idx="338">
                        <c:v>5708.1602522734956</c:v>
                      </c:pt>
                      <c:pt idx="339">
                        <c:v>5789.8992833716566</c:v>
                      </c:pt>
                      <c:pt idx="340">
                        <c:v>5872.1592277142126</c:v>
                      </c:pt>
                      <c:pt idx="341">
                        <c:v>5954.9150281252623</c:v>
                      </c:pt>
                      <c:pt idx="342">
                        <c:v>6038.1414763863186</c:v>
                      </c:pt>
                      <c:pt idx="343">
                        <c:v>6121.8132209150008</c:v>
                      </c:pt>
                      <c:pt idx="344">
                        <c:v>6205.9047744873969</c:v>
                      </c:pt>
                      <c:pt idx="345">
                        <c:v>6290.3905220016604</c:v>
                      </c:pt>
                      <c:pt idx="346">
                        <c:v>6375.2447282806734</c:v>
                      </c:pt>
                      <c:pt idx="347">
                        <c:v>6460.4415459112006</c:v>
                      </c:pt>
                      <c:pt idx="348">
                        <c:v>6545.9550231172771</c:v>
                      </c:pt>
                      <c:pt idx="349">
                        <c:v>6631.7591116653439</c:v>
                      </c:pt>
                      <c:pt idx="350">
                        <c:v>6717.8276747988448</c:v>
                      </c:pt>
                      <c:pt idx="351">
                        <c:v>6804.1344951996707</c:v>
                      </c:pt>
                      <c:pt idx="352">
                        <c:v>6890.6532829742591</c:v>
                      </c:pt>
                      <c:pt idx="353">
                        <c:v>6977.3576836617331</c:v>
                      </c:pt>
                      <c:pt idx="354">
                        <c:v>7064.2212862617089</c:v>
                      </c:pt>
                      <c:pt idx="355">
                        <c:v>7151.2176312793763</c:v>
                      </c:pt>
                      <c:pt idx="356">
                        <c:v>7238.3202187852785</c:v>
                      </c:pt>
                      <c:pt idx="357">
                        <c:v>7325.502516487496</c:v>
                      </c:pt>
                      <c:pt idx="358">
                        <c:v>7412.7379678135776</c:v>
                      </c:pt>
                      <c:pt idx="359">
                        <c:v>7499.9999999999991</c:v>
                      </c:pt>
                      <c:pt idx="360">
                        <c:v>7587.2620321864151</c:v>
                      </c:pt>
                      <c:pt idx="361">
                        <c:v>7674.4974835125013</c:v>
                      </c:pt>
                      <c:pt idx="362">
                        <c:v>7761.6797812147197</c:v>
                      </c:pt>
                      <c:pt idx="363">
                        <c:v>7848.7823687206255</c:v>
                      </c:pt>
                      <c:pt idx="364">
                        <c:v>7935.7787137382938</c:v>
                      </c:pt>
                      <c:pt idx="365">
                        <c:v>8022.6423163382642</c:v>
                      </c:pt>
                      <c:pt idx="366">
                        <c:v>8109.3467170257381</c:v>
                      </c:pt>
                      <c:pt idx="367">
                        <c:v>8195.865504800322</c:v>
                      </c:pt>
                      <c:pt idx="368">
                        <c:v>8282.1723252011525</c:v>
                      </c:pt>
                      <c:pt idx="369">
                        <c:v>8368.2408883346488</c:v>
                      </c:pt>
                      <c:pt idx="370">
                        <c:v>8454.0449768827257</c:v>
                      </c:pt>
                      <c:pt idx="371">
                        <c:v>8539.5584540887921</c:v>
                      </c:pt>
                      <c:pt idx="372">
                        <c:v>8624.7552717193248</c:v>
                      </c:pt>
                      <c:pt idx="373">
                        <c:v>8709.6094779983414</c:v>
                      </c:pt>
                      <c:pt idx="374">
                        <c:v>8794.0952255126012</c:v>
                      </c:pt>
                      <c:pt idx="375">
                        <c:v>8878.1867790849974</c:v>
                      </c:pt>
                      <c:pt idx="376">
                        <c:v>8961.8585236136823</c:v>
                      </c:pt>
                      <c:pt idx="377">
                        <c:v>9045.0849718747359</c:v>
                      </c:pt>
                      <c:pt idx="378">
                        <c:v>9127.840772285781</c:v>
                      </c:pt>
                      <c:pt idx="379">
                        <c:v>9210.1007166283453</c:v>
                      </c:pt>
                      <c:pt idx="380">
                        <c:v>9291.8397477264971</c:v>
                      </c:pt>
                      <c:pt idx="381">
                        <c:v>9373.03296707956</c:v>
                      </c:pt>
                      <c:pt idx="382">
                        <c:v>9453.6556424463633</c:v>
                      </c:pt>
                      <c:pt idx="383">
                        <c:v>9533.6832153789983</c:v>
                      </c:pt>
                      <c:pt idx="384">
                        <c:v>9613.0913087034969</c:v>
                      </c:pt>
                      <c:pt idx="385">
                        <c:v>9691.8557339453873</c:v>
                      </c:pt>
                      <c:pt idx="386">
                        <c:v>9769.9524986977376</c:v>
                      </c:pt>
                      <c:pt idx="387">
                        <c:v>9847.3578139294514</c:v>
                      </c:pt>
                      <c:pt idx="388">
                        <c:v>9924.048101231685</c:v>
                      </c:pt>
                      <c:pt idx="389">
                        <c:v>9999.9999999999964</c:v>
                      </c:pt>
                      <c:pt idx="390">
                        <c:v>10075.19037455027</c:v>
                      </c:pt>
                      <c:pt idx="391">
                        <c:v>10149.596321166024</c:v>
                      </c:pt>
                      <c:pt idx="392">
                        <c:v>10223.195175075132</c:v>
                      </c:pt>
                      <c:pt idx="393">
                        <c:v>10295.964517353732</c:v>
                      </c:pt>
                      <c:pt idx="394">
                        <c:v>10367.882181755231</c:v>
                      </c:pt>
                      <c:pt idx="395">
                        <c:v>10438.926261462368</c:v>
                      </c:pt>
                      <c:pt idx="396">
                        <c:v>10509.075115760239</c:v>
                      </c:pt>
                      <c:pt idx="397">
                        <c:v>10578.307376628292</c:v>
                      </c:pt>
                      <c:pt idx="398">
                        <c:v>10646.601955249185</c:v>
                      </c:pt>
                      <c:pt idx="399">
                        <c:v>10713.938048432696</c:v>
                      </c:pt>
                      <c:pt idx="400">
                        <c:v>10780.295144952535</c:v>
                      </c:pt>
                      <c:pt idx="401">
                        <c:v>10845.653031794292</c:v>
                      </c:pt>
                      <c:pt idx="402">
                        <c:v>10909.991800312489</c:v>
                      </c:pt>
                      <c:pt idx="403">
                        <c:v>10973.291852294986</c:v>
                      </c:pt>
                      <c:pt idx="404">
                        <c:v>11035.533905932734</c:v>
                      </c:pt>
                      <c:pt idx="405">
                        <c:v>11096.699001693254</c:v>
                      </c:pt>
                      <c:pt idx="406">
                        <c:v>11156.768508095854</c:v>
                      </c:pt>
                      <c:pt idx="407">
                        <c:v>11215.724127386969</c:v>
                      </c:pt>
                      <c:pt idx="408">
                        <c:v>11273.54790111386</c:v>
                      </c:pt>
                      <c:pt idx="409">
                        <c:v>11330.222215594889</c:v>
                      </c:pt>
                      <c:pt idx="410">
                        <c:v>11385.729807284855</c:v>
                      </c:pt>
                      <c:pt idx="411">
                        <c:v>11440.053768033607</c:v>
                      </c:pt>
                      <c:pt idx="412">
                        <c:v>11493.177550236464</c:v>
                      </c:pt>
                      <c:pt idx="413">
                        <c:v>11545.084971874734</c:v>
                      </c:pt>
                      <c:pt idx="414">
                        <c:v>11595.760221444958</c:v>
                      </c:pt>
                      <c:pt idx="415">
                        <c:v>11645.187862775208</c:v>
                      </c:pt>
                      <c:pt idx="416">
                        <c:v>11693.35283972712</c:v>
                      </c:pt>
                      <c:pt idx="417">
                        <c:v>11740.240480782129</c:v>
                      </c:pt>
                      <c:pt idx="418">
                        <c:v>11785.83650351056</c:v>
                      </c:pt>
                      <c:pt idx="419">
                        <c:v>11830.127018922194</c:v>
                      </c:pt>
                      <c:pt idx="420">
                        <c:v>11873.098535696976</c:v>
                      </c:pt>
                      <c:pt idx="421">
                        <c:v>11914.737964294634</c:v>
                      </c:pt>
                      <c:pt idx="422">
                        <c:v>11955.032620941838</c:v>
                      </c:pt>
                      <c:pt idx="423">
                        <c:v>11993.970231495834</c:v>
                      </c:pt>
                      <c:pt idx="424">
                        <c:v>12031.538935183249</c:v>
                      </c:pt>
                      <c:pt idx="425">
                        <c:v>12067.727288213006</c:v>
                      </c:pt>
                      <c:pt idx="426">
                        <c:v>12102.524267262203</c:v>
                      </c:pt>
                      <c:pt idx="427">
                        <c:v>12135.919272833937</c:v>
                      </c:pt>
                      <c:pt idx="428">
                        <c:v>12167.90213248601</c:v>
                      </c:pt>
                      <c:pt idx="429">
                        <c:v>12198.463103929542</c:v>
                      </c:pt>
                      <c:pt idx="430">
                        <c:v>12227.592877996583</c:v>
                      </c:pt>
                      <c:pt idx="431">
                        <c:v>12255.282581475767</c:v>
                      </c:pt>
                      <c:pt idx="432">
                        <c:v>12281.523779815177</c:v>
                      </c:pt>
                      <c:pt idx="433">
                        <c:v>12306.308479691594</c:v>
                      </c:pt>
                      <c:pt idx="434">
                        <c:v>12329.629131445341</c:v>
                      </c:pt>
                      <c:pt idx="435">
                        <c:v>12351.478631379981</c:v>
                      </c:pt>
                      <c:pt idx="436">
                        <c:v>12371.850323926175</c:v>
                      </c:pt>
                      <c:pt idx="437">
                        <c:v>12390.738003669028</c:v>
                      </c:pt>
                      <c:pt idx="438">
                        <c:v>12408.13591723832</c:v>
                      </c:pt>
                      <c:pt idx="439">
                        <c:v>12424.038765061039</c:v>
                      </c:pt>
                      <c:pt idx="440">
                        <c:v>12438.441702975688</c:v>
                      </c:pt>
                      <c:pt idx="441">
                        <c:v>12451.340343707852</c:v>
                      </c:pt>
                      <c:pt idx="442">
                        <c:v>12462.73075820661</c:v>
                      </c:pt>
                      <c:pt idx="443">
                        <c:v>12472.609476841368</c:v>
                      </c:pt>
                      <c:pt idx="444">
                        <c:v>12480.973490458728</c:v>
                      </c:pt>
                      <c:pt idx="445">
                        <c:v>12487.820251299121</c:v>
                      </c:pt>
                      <c:pt idx="446">
                        <c:v>12493.14767377287</c:v>
                      </c:pt>
                      <c:pt idx="447">
                        <c:v>12496.954135095479</c:v>
                      </c:pt>
                      <c:pt idx="448">
                        <c:v>12499.238475781956</c:v>
                      </c:pt>
                      <c:pt idx="449">
                        <c:v>12500</c:v>
                      </c:pt>
                      <c:pt idx="450">
                        <c:v>12499.238475781956</c:v>
                      </c:pt>
                      <c:pt idx="451">
                        <c:v>12496.954135095479</c:v>
                      </c:pt>
                      <c:pt idx="452">
                        <c:v>12493.14767377287</c:v>
                      </c:pt>
                      <c:pt idx="453">
                        <c:v>12487.820251299123</c:v>
                      </c:pt>
                      <c:pt idx="454">
                        <c:v>12480.973490458728</c:v>
                      </c:pt>
                      <c:pt idx="455">
                        <c:v>12472.609476841368</c:v>
                      </c:pt>
                      <c:pt idx="456">
                        <c:v>12462.73075820661</c:v>
                      </c:pt>
                      <c:pt idx="457">
                        <c:v>12451.340343707852</c:v>
                      </c:pt>
                      <c:pt idx="458">
                        <c:v>12438.44170297569</c:v>
                      </c:pt>
                      <c:pt idx="459">
                        <c:v>12424.038765061041</c:v>
                      </c:pt>
                      <c:pt idx="460">
                        <c:v>12408.13591723832</c:v>
                      </c:pt>
                      <c:pt idx="461">
                        <c:v>12390.738003669027</c:v>
                      </c:pt>
                      <c:pt idx="462">
                        <c:v>12371.850323926177</c:v>
                      </c:pt>
                      <c:pt idx="463">
                        <c:v>12351.478631379981</c:v>
                      </c:pt>
                      <c:pt idx="464">
                        <c:v>12329.629131445341</c:v>
                      </c:pt>
                      <c:pt idx="465">
                        <c:v>12306.308479691594</c:v>
                      </c:pt>
                      <c:pt idx="466">
                        <c:v>12281.523779815179</c:v>
                      </c:pt>
                      <c:pt idx="467">
                        <c:v>12255.282581475767</c:v>
                      </c:pt>
                      <c:pt idx="468">
                        <c:v>12227.592877996587</c:v>
                      </c:pt>
                      <c:pt idx="469">
                        <c:v>12198.463103929544</c:v>
                      </c:pt>
                      <c:pt idx="470">
                        <c:v>12167.902132486008</c:v>
                      </c:pt>
                      <c:pt idx="471">
                        <c:v>12135.91927283394</c:v>
                      </c:pt>
                      <c:pt idx="472">
                        <c:v>12102.524267262203</c:v>
                      </c:pt>
                      <c:pt idx="473">
                        <c:v>12067.727288213004</c:v>
                      </c:pt>
                      <c:pt idx="474">
                        <c:v>12031.538935183251</c:v>
                      </c:pt>
                      <c:pt idx="475">
                        <c:v>11993.970231495834</c:v>
                      </c:pt>
                      <c:pt idx="476">
                        <c:v>11955.032620941838</c:v>
                      </c:pt>
                      <c:pt idx="477">
                        <c:v>11914.737964294636</c:v>
                      </c:pt>
                      <c:pt idx="478">
                        <c:v>11873.09853569698</c:v>
                      </c:pt>
                      <c:pt idx="479">
                        <c:v>11830.127018922196</c:v>
                      </c:pt>
                      <c:pt idx="480">
                        <c:v>11785.836503510563</c:v>
                      </c:pt>
                      <c:pt idx="481">
                        <c:v>11740.240480782129</c:v>
                      </c:pt>
                      <c:pt idx="482">
                        <c:v>11693.352839727122</c:v>
                      </c:pt>
                      <c:pt idx="483">
                        <c:v>11645.187862775208</c:v>
                      </c:pt>
                      <c:pt idx="484">
                        <c:v>11595.760221444962</c:v>
                      </c:pt>
                      <c:pt idx="485">
                        <c:v>11545.084971874738</c:v>
                      </c:pt>
                      <c:pt idx="486">
                        <c:v>11493.177550236469</c:v>
                      </c:pt>
                      <c:pt idx="487">
                        <c:v>11440.053768033613</c:v>
                      </c:pt>
                      <c:pt idx="488">
                        <c:v>11385.729807284853</c:v>
                      </c:pt>
                      <c:pt idx="489">
                        <c:v>11330.222215594895</c:v>
                      </c:pt>
                      <c:pt idx="490">
                        <c:v>11273.547901113861</c:v>
                      </c:pt>
                      <c:pt idx="491">
                        <c:v>11215.724127386969</c:v>
                      </c:pt>
                      <c:pt idx="492">
                        <c:v>11156.768508095849</c:v>
                      </c:pt>
                      <c:pt idx="493">
                        <c:v>11096.699001693256</c:v>
                      </c:pt>
                      <c:pt idx="494">
                        <c:v>11035.533905932736</c:v>
                      </c:pt>
                      <c:pt idx="495">
                        <c:v>10973.291852294988</c:v>
                      </c:pt>
                      <c:pt idx="496">
                        <c:v>10909.991800312491</c:v>
                      </c:pt>
                      <c:pt idx="497">
                        <c:v>10845.653031794294</c:v>
                      </c:pt>
                      <c:pt idx="498">
                        <c:v>10780.295144952537</c:v>
                      </c:pt>
                      <c:pt idx="499">
                        <c:v>10713.938048432701</c:v>
                      </c:pt>
                      <c:pt idx="500">
                        <c:v>10646.601955249189</c:v>
                      </c:pt>
                      <c:pt idx="501">
                        <c:v>10578.307376628291</c:v>
                      </c:pt>
                      <c:pt idx="502">
                        <c:v>10509.075115760246</c:v>
                      </c:pt>
                      <c:pt idx="503">
                        <c:v>10438.926261462366</c:v>
                      </c:pt>
                      <c:pt idx="504">
                        <c:v>10367.882181755236</c:v>
                      </c:pt>
                      <c:pt idx="505">
                        <c:v>10295.964517353737</c:v>
                      </c:pt>
                      <c:pt idx="506">
                        <c:v>10223.195175075136</c:v>
                      </c:pt>
                      <c:pt idx="507">
                        <c:v>10149.596321166022</c:v>
                      </c:pt>
                      <c:pt idx="508">
                        <c:v>10075.190374550273</c:v>
                      </c:pt>
                      <c:pt idx="509">
                        <c:v>10000</c:v>
                      </c:pt>
                      <c:pt idx="510">
                        <c:v>9924.0481012316886</c:v>
                      </c:pt>
                      <c:pt idx="511">
                        <c:v>9847.357813929455</c:v>
                      </c:pt>
                      <c:pt idx="512">
                        <c:v>9769.9524986977322</c:v>
                      </c:pt>
                      <c:pt idx="513">
                        <c:v>9691.8557339453891</c:v>
                      </c:pt>
                      <c:pt idx="514">
                        <c:v>9613.0913087034969</c:v>
                      </c:pt>
                      <c:pt idx="515">
                        <c:v>9533.6832153790056</c:v>
                      </c:pt>
                      <c:pt idx="516">
                        <c:v>9453.6556424463706</c:v>
                      </c:pt>
                      <c:pt idx="517">
                        <c:v>9373.0329670795672</c:v>
                      </c:pt>
                      <c:pt idx="518">
                        <c:v>9291.8397477265044</c:v>
                      </c:pt>
                      <c:pt idx="519">
                        <c:v>9210.1007166283434</c:v>
                      </c:pt>
                      <c:pt idx="520">
                        <c:v>9127.8407722857883</c:v>
                      </c:pt>
                      <c:pt idx="521">
                        <c:v>9045.0849718747395</c:v>
                      </c:pt>
                      <c:pt idx="522">
                        <c:v>8961.8585236136823</c:v>
                      </c:pt>
                      <c:pt idx="523">
                        <c:v>8878.1867790849901</c:v>
                      </c:pt>
                      <c:pt idx="524">
                        <c:v>8794.0952255126031</c:v>
                      </c:pt>
                      <c:pt idx="525">
                        <c:v>8709.6094779983359</c:v>
                      </c:pt>
                      <c:pt idx="526">
                        <c:v>8624.7552717193266</c:v>
                      </c:pt>
                      <c:pt idx="527">
                        <c:v>8539.5584540887958</c:v>
                      </c:pt>
                      <c:pt idx="528">
                        <c:v>8454.0449768827275</c:v>
                      </c:pt>
                      <c:pt idx="529">
                        <c:v>8368.2408883346525</c:v>
                      </c:pt>
                      <c:pt idx="530">
                        <c:v>8282.1723252011598</c:v>
                      </c:pt>
                      <c:pt idx="531">
                        <c:v>8195.8655048003293</c:v>
                      </c:pt>
                      <c:pt idx="532">
                        <c:v>8109.3467170257454</c:v>
                      </c:pt>
                      <c:pt idx="533">
                        <c:v>8022.6423163382724</c:v>
                      </c:pt>
                      <c:pt idx="534">
                        <c:v>7935.778713738292</c:v>
                      </c:pt>
                      <c:pt idx="535">
                        <c:v>7848.7823687206328</c:v>
                      </c:pt>
                      <c:pt idx="536">
                        <c:v>7761.6797812147224</c:v>
                      </c:pt>
                      <c:pt idx="537">
                        <c:v>7674.4974835125049</c:v>
                      </c:pt>
                      <c:pt idx="538">
                        <c:v>7587.2620321864142</c:v>
                      </c:pt>
                      <c:pt idx="539">
                        <c:v>7500.0000000000018</c:v>
                      </c:pt>
                      <c:pt idx="540">
                        <c:v>7412.7379678135812</c:v>
                      </c:pt>
                      <c:pt idx="541">
                        <c:v>7325.5025164874987</c:v>
                      </c:pt>
                      <c:pt idx="542">
                        <c:v>7238.3202187852812</c:v>
                      </c:pt>
                      <c:pt idx="543">
                        <c:v>7151.2176312793708</c:v>
                      </c:pt>
                      <c:pt idx="544">
                        <c:v>7064.2212862617116</c:v>
                      </c:pt>
                      <c:pt idx="545">
                        <c:v>6977.3576836617312</c:v>
                      </c:pt>
                      <c:pt idx="546">
                        <c:v>6890.6532829742673</c:v>
                      </c:pt>
                      <c:pt idx="547">
                        <c:v>6804.1344951996734</c:v>
                      </c:pt>
                      <c:pt idx="548">
                        <c:v>6717.8276747988521</c:v>
                      </c:pt>
                      <c:pt idx="549">
                        <c:v>6631.7591116653512</c:v>
                      </c:pt>
                      <c:pt idx="550">
                        <c:v>6545.9550231172843</c:v>
                      </c:pt>
                      <c:pt idx="551">
                        <c:v>6460.4415459112079</c:v>
                      </c:pt>
                      <c:pt idx="552">
                        <c:v>6375.2447282806761</c:v>
                      </c:pt>
                      <c:pt idx="553">
                        <c:v>6290.3905220016595</c:v>
                      </c:pt>
                      <c:pt idx="554">
                        <c:v>6205.9047744873906</c:v>
                      </c:pt>
                      <c:pt idx="555">
                        <c:v>6121.8132209150044</c:v>
                      </c:pt>
                      <c:pt idx="556">
                        <c:v>6038.1414763863131</c:v>
                      </c:pt>
                      <c:pt idx="557">
                        <c:v>5954.9150281252641</c:v>
                      </c:pt>
                      <c:pt idx="558">
                        <c:v>5872.1592277142154</c:v>
                      </c:pt>
                      <c:pt idx="559">
                        <c:v>5789.8992833716602</c:v>
                      </c:pt>
                      <c:pt idx="560">
                        <c:v>5708.1602522734993</c:v>
                      </c:pt>
                      <c:pt idx="561">
                        <c:v>5626.9670329204455</c:v>
                      </c:pt>
                      <c:pt idx="562">
                        <c:v>5546.344357553633</c:v>
                      </c:pt>
                      <c:pt idx="563">
                        <c:v>5466.3167846210063</c:v>
                      </c:pt>
                      <c:pt idx="564">
                        <c:v>5386.9086912965067</c:v>
                      </c:pt>
                      <c:pt idx="565">
                        <c:v>5308.1442660546145</c:v>
                      </c:pt>
                      <c:pt idx="566">
                        <c:v>5230.0475013022715</c:v>
                      </c:pt>
                      <c:pt idx="567">
                        <c:v>5152.6421860705486</c:v>
                      </c:pt>
                      <c:pt idx="568">
                        <c:v>5075.951898768315</c:v>
                      </c:pt>
                      <c:pt idx="569">
                        <c:v>4999.9999999999964</c:v>
                      </c:pt>
                      <c:pt idx="570">
                        <c:v>4924.8096254497304</c:v>
                      </c:pt>
                      <c:pt idx="571">
                        <c:v>4850.4036788339727</c:v>
                      </c:pt>
                      <c:pt idx="572">
                        <c:v>4776.8048249248677</c:v>
                      </c:pt>
                      <c:pt idx="573">
                        <c:v>4704.0354826462662</c:v>
                      </c:pt>
                      <c:pt idx="574">
                        <c:v>4632.1178182447748</c:v>
                      </c:pt>
                      <c:pt idx="575">
                        <c:v>4561.073738537636</c:v>
                      </c:pt>
                      <c:pt idx="576">
                        <c:v>4490.9248842397574</c:v>
                      </c:pt>
                      <c:pt idx="577">
                        <c:v>4421.6926233717113</c:v>
                      </c:pt>
                      <c:pt idx="578">
                        <c:v>4353.3980447508129</c:v>
                      </c:pt>
                      <c:pt idx="579">
                        <c:v>4286.0619515673079</c:v>
                      </c:pt>
                      <c:pt idx="580">
                        <c:v>4219.7048550474647</c:v>
                      </c:pt>
                      <c:pt idx="581">
                        <c:v>4154.3469682057148</c:v>
                      </c:pt>
                      <c:pt idx="582">
                        <c:v>4090.008199687511</c:v>
                      </c:pt>
                      <c:pt idx="583">
                        <c:v>4026.7081477050142</c:v>
                      </c:pt>
                      <c:pt idx="584">
                        <c:v>3964.4660940672607</c:v>
                      </c:pt>
                      <c:pt idx="585">
                        <c:v>3903.3009983067464</c:v>
                      </c:pt>
                      <c:pt idx="586">
                        <c:v>3843.2314919041473</c:v>
                      </c:pt>
                      <c:pt idx="587">
                        <c:v>3784.275872613026</c:v>
                      </c:pt>
                      <c:pt idx="588">
                        <c:v>3726.4520988861409</c:v>
                      </c:pt>
                      <c:pt idx="589">
                        <c:v>3669.7777844051088</c:v>
                      </c:pt>
                      <c:pt idx="590">
                        <c:v>3614.2701927151479</c:v>
                      </c:pt>
                      <c:pt idx="591">
                        <c:v>3559.9462319663903</c:v>
                      </c:pt>
                      <c:pt idx="592">
                        <c:v>3506.8224497635392</c:v>
                      </c:pt>
                      <c:pt idx="593">
                        <c:v>3454.9150281252637</c:v>
                      </c:pt>
                      <c:pt idx="594">
                        <c:v>3404.2397785550456</c:v>
                      </c:pt>
                      <c:pt idx="595">
                        <c:v>3354.8121372247933</c:v>
                      </c:pt>
                      <c:pt idx="596">
                        <c:v>3306.6471602728843</c:v>
                      </c:pt>
                      <c:pt idx="597">
                        <c:v>3259.7595192178733</c:v>
                      </c:pt>
                      <c:pt idx="598">
                        <c:v>3214.1634964894401</c:v>
                      </c:pt>
                      <c:pt idx="599">
                        <c:v>3169.8729810778068</c:v>
                      </c:pt>
                      <c:pt idx="600">
                        <c:v>3126.9014643030187</c:v>
                      </c:pt>
                      <c:pt idx="601">
                        <c:v>3085.2620357053656</c:v>
                      </c:pt>
                      <c:pt idx="602">
                        <c:v>3044.9673790581592</c:v>
                      </c:pt>
                      <c:pt idx="603">
                        <c:v>3006.0297685041669</c:v>
                      </c:pt>
                      <c:pt idx="604">
                        <c:v>2968.46106481675</c:v>
                      </c:pt>
                      <c:pt idx="605">
                        <c:v>2932.2727117869972</c:v>
                      </c:pt>
                      <c:pt idx="606">
                        <c:v>2897.4757327377993</c:v>
                      </c:pt>
                      <c:pt idx="607">
                        <c:v>2864.080727166066</c:v>
                      </c:pt>
                      <c:pt idx="608">
                        <c:v>2832.0978675139922</c:v>
                      </c:pt>
                      <c:pt idx="609">
                        <c:v>2801.5368960704582</c:v>
                      </c:pt>
                      <c:pt idx="610">
                        <c:v>2772.4071220034184</c:v>
                      </c:pt>
                      <c:pt idx="611">
                        <c:v>2744.7174185242329</c:v>
                      </c:pt>
                      <c:pt idx="612">
                        <c:v>2718.4762201848253</c:v>
                      </c:pt>
                      <c:pt idx="613">
                        <c:v>2693.6915203084063</c:v>
                      </c:pt>
                      <c:pt idx="614">
                        <c:v>2670.370868554659</c:v>
                      </c:pt>
                      <c:pt idx="615">
                        <c:v>2648.5213686200168</c:v>
                      </c:pt>
                      <c:pt idx="616">
                        <c:v>2628.1496760738246</c:v>
                      </c:pt>
                      <c:pt idx="617">
                        <c:v>2609.2619963309717</c:v>
                      </c:pt>
                      <c:pt idx="618">
                        <c:v>2591.8640827616791</c:v>
                      </c:pt>
                      <c:pt idx="619">
                        <c:v>2575.9612349389599</c:v>
                      </c:pt>
                      <c:pt idx="620">
                        <c:v>2561.5582970243113</c:v>
                      </c:pt>
                      <c:pt idx="621">
                        <c:v>2548.6596562921486</c:v>
                      </c:pt>
                      <c:pt idx="622">
                        <c:v>2537.2692417933895</c:v>
                      </c:pt>
                      <c:pt idx="623">
                        <c:v>2527.3905231586341</c:v>
                      </c:pt>
                      <c:pt idx="624">
                        <c:v>2519.0265095412724</c:v>
                      </c:pt>
                      <c:pt idx="625">
                        <c:v>2512.1797487008789</c:v>
                      </c:pt>
                      <c:pt idx="626">
                        <c:v>2506.852326227131</c:v>
                      </c:pt>
                      <c:pt idx="627">
                        <c:v>2503.0458649045213</c:v>
                      </c:pt>
                      <c:pt idx="628">
                        <c:v>2500.7615242180436</c:v>
                      </c:pt>
                      <c:pt idx="629">
                        <c:v>2500</c:v>
                      </c:pt>
                      <c:pt idx="630">
                        <c:v>2500.7615242180436</c:v>
                      </c:pt>
                      <c:pt idx="631">
                        <c:v>2503.0458649045213</c:v>
                      </c:pt>
                      <c:pt idx="632">
                        <c:v>2506.852326227131</c:v>
                      </c:pt>
                      <c:pt idx="633">
                        <c:v>2512.1797487008789</c:v>
                      </c:pt>
                      <c:pt idx="634">
                        <c:v>2519.0265095412724</c:v>
                      </c:pt>
                      <c:pt idx="635">
                        <c:v>2527.3905231586332</c:v>
                      </c:pt>
                      <c:pt idx="636">
                        <c:v>2537.2692417933895</c:v>
                      </c:pt>
                      <c:pt idx="637">
                        <c:v>2548.6596562921486</c:v>
                      </c:pt>
                      <c:pt idx="638">
                        <c:v>2561.5582970243104</c:v>
                      </c:pt>
                      <c:pt idx="639">
                        <c:v>2575.961234938959</c:v>
                      </c:pt>
                      <c:pt idx="640">
                        <c:v>2591.86408276168</c:v>
                      </c:pt>
                      <c:pt idx="641">
                        <c:v>2609.2619963309708</c:v>
                      </c:pt>
                      <c:pt idx="642">
                        <c:v>2628.1496760738228</c:v>
                      </c:pt>
                      <c:pt idx="643">
                        <c:v>2648.5213686200159</c:v>
                      </c:pt>
                      <c:pt idx="644">
                        <c:v>2670.370868554658</c:v>
                      </c:pt>
                      <c:pt idx="645">
                        <c:v>2693.6915203084054</c:v>
                      </c:pt>
                      <c:pt idx="646">
                        <c:v>2718.4762201848234</c:v>
                      </c:pt>
                      <c:pt idx="647">
                        <c:v>2744.7174185242311</c:v>
                      </c:pt>
                      <c:pt idx="648">
                        <c:v>2772.4071220034166</c:v>
                      </c:pt>
                      <c:pt idx="649">
                        <c:v>2801.5368960704564</c:v>
                      </c:pt>
                      <c:pt idx="650">
                        <c:v>2832.0978675139904</c:v>
                      </c:pt>
                      <c:pt idx="651">
                        <c:v>2864.0807271660606</c:v>
                      </c:pt>
                      <c:pt idx="652">
                        <c:v>2897.4757327378011</c:v>
                      </c:pt>
                      <c:pt idx="653">
                        <c:v>2932.2727117869954</c:v>
                      </c:pt>
                      <c:pt idx="654">
                        <c:v>2968.4610648167481</c:v>
                      </c:pt>
                      <c:pt idx="655">
                        <c:v>3006.0297685041605</c:v>
                      </c:pt>
                      <c:pt idx="656">
                        <c:v>3044.9673790581619</c:v>
                      </c:pt>
                      <c:pt idx="657">
                        <c:v>3085.2620357053638</c:v>
                      </c:pt>
                      <c:pt idx="658">
                        <c:v>3126.9014643030168</c:v>
                      </c:pt>
                      <c:pt idx="659">
                        <c:v>3169.8729810778041</c:v>
                      </c:pt>
                      <c:pt idx="660">
                        <c:v>3214.1634964894374</c:v>
                      </c:pt>
                      <c:pt idx="661">
                        <c:v>3259.7595192178705</c:v>
                      </c:pt>
                      <c:pt idx="662">
                        <c:v>3306.647160272878</c:v>
                      </c:pt>
                      <c:pt idx="663">
                        <c:v>3354.8121372247915</c:v>
                      </c:pt>
                      <c:pt idx="664">
                        <c:v>3404.2397785550424</c:v>
                      </c:pt>
                      <c:pt idx="665">
                        <c:v>3454.9150281252614</c:v>
                      </c:pt>
                      <c:pt idx="666">
                        <c:v>3506.8224497635315</c:v>
                      </c:pt>
                      <c:pt idx="667">
                        <c:v>3559.946231966393</c:v>
                      </c:pt>
                      <c:pt idx="668">
                        <c:v>3614.2701927151447</c:v>
                      </c:pt>
                      <c:pt idx="669">
                        <c:v>3669.7777844051061</c:v>
                      </c:pt>
                      <c:pt idx="670">
                        <c:v>3726.4520988861323</c:v>
                      </c:pt>
                      <c:pt idx="671">
                        <c:v>3784.2758726130292</c:v>
                      </c:pt>
                      <c:pt idx="672">
                        <c:v>3843.2314919041441</c:v>
                      </c:pt>
                      <c:pt idx="673">
                        <c:v>3903.3009983067373</c:v>
                      </c:pt>
                      <c:pt idx="674">
                        <c:v>3964.4660940672638</c:v>
                      </c:pt>
                      <c:pt idx="675">
                        <c:v>4026.708147705011</c:v>
                      </c:pt>
                      <c:pt idx="676">
                        <c:v>4090.0081996875078</c:v>
                      </c:pt>
                      <c:pt idx="677">
                        <c:v>4154.3469682057048</c:v>
                      </c:pt>
                      <c:pt idx="678">
                        <c:v>4219.7048550474619</c:v>
                      </c:pt>
                      <c:pt idx="679">
                        <c:v>4286.0619515673043</c:v>
                      </c:pt>
                      <c:pt idx="680">
                        <c:v>4353.3980447508093</c:v>
                      </c:pt>
                      <c:pt idx="681">
                        <c:v>4421.6926233717013</c:v>
                      </c:pt>
                      <c:pt idx="682">
                        <c:v>4490.924884239761</c:v>
                      </c:pt>
                      <c:pt idx="683">
                        <c:v>4561.0737385376324</c:v>
                      </c:pt>
                      <c:pt idx="684">
                        <c:v>4632.1178182447629</c:v>
                      </c:pt>
                      <c:pt idx="685">
                        <c:v>4704.0354826462699</c:v>
                      </c:pt>
                      <c:pt idx="686">
                        <c:v>4776.8048249248641</c:v>
                      </c:pt>
                      <c:pt idx="687">
                        <c:v>4850.4036788339699</c:v>
                      </c:pt>
                      <c:pt idx="688">
                        <c:v>4924.8096254497186</c:v>
                      </c:pt>
                      <c:pt idx="689">
                        <c:v>5000</c:v>
                      </c:pt>
                      <c:pt idx="690">
                        <c:v>5075.9518987683105</c:v>
                      </c:pt>
                      <c:pt idx="691">
                        <c:v>5152.642186070545</c:v>
                      </c:pt>
                      <c:pt idx="692">
                        <c:v>5230.0475013022597</c:v>
                      </c:pt>
                      <c:pt idx="693">
                        <c:v>5308.1442660546099</c:v>
                      </c:pt>
                      <c:pt idx="694">
                        <c:v>5386.9086912965031</c:v>
                      </c:pt>
                      <c:pt idx="695">
                        <c:v>5466.3167846209944</c:v>
                      </c:pt>
                      <c:pt idx="696">
                        <c:v>5546.3443575536376</c:v>
                      </c:pt>
                      <c:pt idx="697">
                        <c:v>5626.9670329204419</c:v>
                      </c:pt>
                      <c:pt idx="698">
                        <c:v>5708.1602522734947</c:v>
                      </c:pt>
                      <c:pt idx="699">
                        <c:v>5789.8992833716475</c:v>
                      </c:pt>
                      <c:pt idx="700">
                        <c:v>5872.159227714219</c:v>
                      </c:pt>
                      <c:pt idx="701">
                        <c:v>5954.9150281252605</c:v>
                      </c:pt>
                      <c:pt idx="702">
                        <c:v>6038.1414763863086</c:v>
                      </c:pt>
                      <c:pt idx="703">
                        <c:v>6121.8132209149999</c:v>
                      </c:pt>
                      <c:pt idx="704">
                        <c:v>6205.9047744873951</c:v>
                      </c:pt>
                      <c:pt idx="705">
                        <c:v>6290.390522001655</c:v>
                      </c:pt>
                      <c:pt idx="706">
                        <c:v>6375.2447282806725</c:v>
                      </c:pt>
                      <c:pt idx="707">
                        <c:v>6460.4415459112042</c:v>
                      </c:pt>
                      <c:pt idx="708">
                        <c:v>6545.9550231172707</c:v>
                      </c:pt>
                      <c:pt idx="709">
                        <c:v>6631.7591116653466</c:v>
                      </c:pt>
                      <c:pt idx="710">
                        <c:v>6717.8276747988384</c:v>
                      </c:pt>
                      <c:pt idx="711">
                        <c:v>6804.134495199678</c:v>
                      </c:pt>
                      <c:pt idx="712">
                        <c:v>6890.6532829742628</c:v>
                      </c:pt>
                      <c:pt idx="713">
                        <c:v>6977.3576836617276</c:v>
                      </c:pt>
                      <c:pt idx="714">
                        <c:v>7064.2212862617162</c:v>
                      </c:pt>
                      <c:pt idx="715">
                        <c:v>7151.2176312793754</c:v>
                      </c:pt>
                      <c:pt idx="716">
                        <c:v>7238.3202187852767</c:v>
                      </c:pt>
                      <c:pt idx="717">
                        <c:v>7325.502516487486</c:v>
                      </c:pt>
                      <c:pt idx="718">
                        <c:v>7412.7379678135858</c:v>
                      </c:pt>
                      <c:pt idx="719">
                        <c:v>7499.9999999999973</c:v>
                      </c:pt>
                      <c:pt idx="720">
                        <c:v>7587.2620321864097</c:v>
                      </c:pt>
                      <c:pt idx="721">
                        <c:v>7674.4974835125004</c:v>
                      </c:pt>
                      <c:pt idx="722">
                        <c:v>7761.6797812147179</c:v>
                      </c:pt>
                      <c:pt idx="723">
                        <c:v>7848.7823687206201</c:v>
                      </c:pt>
                      <c:pt idx="724">
                        <c:v>7935.7787137382875</c:v>
                      </c:pt>
                      <c:pt idx="725">
                        <c:v>8022.6423163382678</c:v>
                      </c:pt>
                      <c:pt idx="726">
                        <c:v>8109.3467170257409</c:v>
                      </c:pt>
                      <c:pt idx="727">
                        <c:v>8195.8655048003257</c:v>
                      </c:pt>
                      <c:pt idx="728">
                        <c:v>8282.172325201147</c:v>
                      </c:pt>
                      <c:pt idx="729">
                        <c:v>8368.2408883346579</c:v>
                      </c:pt>
                      <c:pt idx="730">
                        <c:v>8454.0449768827239</c:v>
                      </c:pt>
                      <c:pt idx="731">
                        <c:v>8539.5584540887903</c:v>
                      </c:pt>
                      <c:pt idx="732">
                        <c:v>8624.7552717193139</c:v>
                      </c:pt>
                      <c:pt idx="733">
                        <c:v>8709.6094779983396</c:v>
                      </c:pt>
                      <c:pt idx="734">
                        <c:v>8794.0952255125994</c:v>
                      </c:pt>
                      <c:pt idx="735">
                        <c:v>8878.1867790849865</c:v>
                      </c:pt>
                      <c:pt idx="736">
                        <c:v>8961.858523613686</c:v>
                      </c:pt>
                      <c:pt idx="737">
                        <c:v>9045.084971874734</c:v>
                      </c:pt>
                      <c:pt idx="738">
                        <c:v>9127.8407722857846</c:v>
                      </c:pt>
                      <c:pt idx="739">
                        <c:v>9210.1007166283398</c:v>
                      </c:pt>
                      <c:pt idx="740">
                        <c:v>9291.8397477265007</c:v>
                      </c:pt>
                      <c:pt idx="741">
                        <c:v>9373.0329670795618</c:v>
                      </c:pt>
                      <c:pt idx="742">
                        <c:v>9453.655642446367</c:v>
                      </c:pt>
                      <c:pt idx="743">
                        <c:v>9533.6832153789928</c:v>
                      </c:pt>
                      <c:pt idx="744">
                        <c:v>9613.0913087035005</c:v>
                      </c:pt>
                      <c:pt idx="745">
                        <c:v>9691.8557339453855</c:v>
                      </c:pt>
                      <c:pt idx="746">
                        <c:v>9769.9524986977267</c:v>
                      </c:pt>
                      <c:pt idx="747">
                        <c:v>9847.3578139294586</c:v>
                      </c:pt>
                      <c:pt idx="748">
                        <c:v>9924.048101231685</c:v>
                      </c:pt>
                      <c:pt idx="749">
                        <c:v>9999.9999999999964</c:v>
                      </c:pt>
                      <c:pt idx="750">
                        <c:v>10075.190374550262</c:v>
                      </c:pt>
                      <c:pt idx="751">
                        <c:v>10149.596321166026</c:v>
                      </c:pt>
                      <c:pt idx="752">
                        <c:v>10223.195175075132</c:v>
                      </c:pt>
                      <c:pt idx="753">
                        <c:v>10295.964517353734</c:v>
                      </c:pt>
                      <c:pt idx="754">
                        <c:v>10367.882181755225</c:v>
                      </c:pt>
                      <c:pt idx="755">
                        <c:v>10438.926261462364</c:v>
                      </c:pt>
                      <c:pt idx="756">
                        <c:v>10509.075115760243</c:v>
                      </c:pt>
                      <c:pt idx="757">
                        <c:v>10578.307376628287</c:v>
                      </c:pt>
                      <c:pt idx="758">
                        <c:v>10646.601955249185</c:v>
                      </c:pt>
                      <c:pt idx="759">
                        <c:v>10713.938048432698</c:v>
                      </c:pt>
                      <c:pt idx="760">
                        <c:v>10780.295144952534</c:v>
                      </c:pt>
                      <c:pt idx="761">
                        <c:v>10845.653031794285</c:v>
                      </c:pt>
                      <c:pt idx="762">
                        <c:v>10909.991800312495</c:v>
                      </c:pt>
                      <c:pt idx="763">
                        <c:v>10973.291852294986</c:v>
                      </c:pt>
                      <c:pt idx="764">
                        <c:v>11035.533905932733</c:v>
                      </c:pt>
                      <c:pt idx="765">
                        <c:v>11096.699001693247</c:v>
                      </c:pt>
                      <c:pt idx="766">
                        <c:v>11156.768508095853</c:v>
                      </c:pt>
                      <c:pt idx="767">
                        <c:v>11215.724127386968</c:v>
                      </c:pt>
                      <c:pt idx="768">
                        <c:v>11273.547901113858</c:v>
                      </c:pt>
                      <c:pt idx="769">
                        <c:v>11330.222215594891</c:v>
                      </c:pt>
                      <c:pt idx="770">
                        <c:v>11385.729807284852</c:v>
                      </c:pt>
                      <c:pt idx="771">
                        <c:v>11440.053768033609</c:v>
                      </c:pt>
                      <c:pt idx="772">
                        <c:v>11493.177550236462</c:v>
                      </c:pt>
                      <c:pt idx="773">
                        <c:v>11545.084971874741</c:v>
                      </c:pt>
                      <c:pt idx="774">
                        <c:v>11595.76022144496</c:v>
                      </c:pt>
                      <c:pt idx="775">
                        <c:v>11645.187862775205</c:v>
                      </c:pt>
                      <c:pt idx="776">
                        <c:v>11693.352839727115</c:v>
                      </c:pt>
                      <c:pt idx="777">
                        <c:v>11740.240480782131</c:v>
                      </c:pt>
                      <c:pt idx="778">
                        <c:v>11785.83650351056</c:v>
                      </c:pt>
                      <c:pt idx="779">
                        <c:v>11830.127018922189</c:v>
                      </c:pt>
                      <c:pt idx="780">
                        <c:v>11873.098535696981</c:v>
                      </c:pt>
                      <c:pt idx="781">
                        <c:v>11914.737964294633</c:v>
                      </c:pt>
                      <c:pt idx="782">
                        <c:v>11955.032620941836</c:v>
                      </c:pt>
                      <c:pt idx="783">
                        <c:v>11993.970231495834</c:v>
                      </c:pt>
                      <c:pt idx="784">
                        <c:v>12031.538935183249</c:v>
                      </c:pt>
                      <c:pt idx="785">
                        <c:v>12067.727288213002</c:v>
                      </c:pt>
                      <c:pt idx="786">
                        <c:v>12102.524267262201</c:v>
                      </c:pt>
                      <c:pt idx="787">
                        <c:v>12135.919272833933</c:v>
                      </c:pt>
                      <c:pt idx="788">
                        <c:v>12167.902132486011</c:v>
                      </c:pt>
                      <c:pt idx="789">
                        <c:v>12198.463103929542</c:v>
                      </c:pt>
                      <c:pt idx="790">
                        <c:v>12227.592877996582</c:v>
                      </c:pt>
                      <c:pt idx="791">
                        <c:v>12255.282581475771</c:v>
                      </c:pt>
                      <c:pt idx="792">
                        <c:v>12281.523779815177</c:v>
                      </c:pt>
                      <c:pt idx="793">
                        <c:v>12306.308479691594</c:v>
                      </c:pt>
                      <c:pt idx="794">
                        <c:v>12329.629131445339</c:v>
                      </c:pt>
                      <c:pt idx="795">
                        <c:v>12351.478631379983</c:v>
                      </c:pt>
                      <c:pt idx="796">
                        <c:v>12371.850323926175</c:v>
                      </c:pt>
                      <c:pt idx="797">
                        <c:v>12390.738003669027</c:v>
                      </c:pt>
                      <c:pt idx="798">
                        <c:v>12408.13591723832</c:v>
                      </c:pt>
                      <c:pt idx="799">
                        <c:v>12424.038765061039</c:v>
                      </c:pt>
                      <c:pt idx="800">
                        <c:v>12438.441702975688</c:v>
                      </c:pt>
                      <c:pt idx="801">
                        <c:v>12451.340343707852</c:v>
                      </c:pt>
                      <c:pt idx="802">
                        <c:v>12462.73075820661</c:v>
                      </c:pt>
                      <c:pt idx="803">
                        <c:v>12472.609476841368</c:v>
                      </c:pt>
                      <c:pt idx="804">
                        <c:v>12480.973490458728</c:v>
                      </c:pt>
                      <c:pt idx="805">
                        <c:v>12487.820251299119</c:v>
                      </c:pt>
                      <c:pt idx="806">
                        <c:v>12493.14767377287</c:v>
                      </c:pt>
                      <c:pt idx="807">
                        <c:v>12496.954135095479</c:v>
                      </c:pt>
                      <c:pt idx="808">
                        <c:v>12499.238475781956</c:v>
                      </c:pt>
                      <c:pt idx="809">
                        <c:v>12500</c:v>
                      </c:pt>
                      <c:pt idx="810">
                        <c:v>12499.238475781956</c:v>
                      </c:pt>
                      <c:pt idx="811">
                        <c:v>12496.954135095479</c:v>
                      </c:pt>
                      <c:pt idx="812">
                        <c:v>12493.14767377287</c:v>
                      </c:pt>
                      <c:pt idx="813">
                        <c:v>12487.820251299121</c:v>
                      </c:pt>
                      <c:pt idx="814">
                        <c:v>12480.973490458728</c:v>
                      </c:pt>
                      <c:pt idx="815">
                        <c:v>12472.609476841368</c:v>
                      </c:pt>
                      <c:pt idx="816">
                        <c:v>12462.730758206611</c:v>
                      </c:pt>
                      <c:pt idx="817">
                        <c:v>12451.340343707852</c:v>
                      </c:pt>
                      <c:pt idx="818">
                        <c:v>12438.441702975688</c:v>
                      </c:pt>
                      <c:pt idx="819">
                        <c:v>12424.038765061041</c:v>
                      </c:pt>
                      <c:pt idx="820">
                        <c:v>12408.135917238322</c:v>
                      </c:pt>
                      <c:pt idx="821">
                        <c:v>12390.738003669027</c:v>
                      </c:pt>
                      <c:pt idx="822">
                        <c:v>12371.850323926177</c:v>
                      </c:pt>
                      <c:pt idx="823">
                        <c:v>12351.478631379985</c:v>
                      </c:pt>
                      <c:pt idx="824">
                        <c:v>12329.629131445341</c:v>
                      </c:pt>
                      <c:pt idx="825">
                        <c:v>12306.308479691594</c:v>
                      </c:pt>
                      <c:pt idx="826">
                        <c:v>12281.523779815179</c:v>
                      </c:pt>
                      <c:pt idx="827">
                        <c:v>12255.282581475771</c:v>
                      </c:pt>
                      <c:pt idx="828">
                        <c:v>12227.592877996583</c:v>
                      </c:pt>
                      <c:pt idx="829">
                        <c:v>12198.463103929544</c:v>
                      </c:pt>
                      <c:pt idx="830">
                        <c:v>12167.90213248601</c:v>
                      </c:pt>
                      <c:pt idx="831">
                        <c:v>12135.919272833937</c:v>
                      </c:pt>
                      <c:pt idx="832">
                        <c:v>12102.524267262203</c:v>
                      </c:pt>
                      <c:pt idx="833">
                        <c:v>12067.727288213006</c:v>
                      </c:pt>
                      <c:pt idx="834">
                        <c:v>12031.538935183253</c:v>
                      </c:pt>
                      <c:pt idx="835">
                        <c:v>11993.970231495836</c:v>
                      </c:pt>
                      <c:pt idx="836">
                        <c:v>11955.032620941838</c:v>
                      </c:pt>
                      <c:pt idx="837">
                        <c:v>11914.737964294636</c:v>
                      </c:pt>
                      <c:pt idx="838">
                        <c:v>11873.098535696983</c:v>
                      </c:pt>
                      <c:pt idx="839">
                        <c:v>11830.127018922192</c:v>
                      </c:pt>
                      <c:pt idx="840">
                        <c:v>11785.836503510563</c:v>
                      </c:pt>
                      <c:pt idx="841">
                        <c:v>11740.240480782133</c:v>
                      </c:pt>
                      <c:pt idx="842">
                        <c:v>11693.352839727118</c:v>
                      </c:pt>
                      <c:pt idx="843">
                        <c:v>11645.187862775208</c:v>
                      </c:pt>
                      <c:pt idx="844">
                        <c:v>11595.760221444962</c:v>
                      </c:pt>
                      <c:pt idx="845">
                        <c:v>11545.084971874739</c:v>
                      </c:pt>
                      <c:pt idx="846">
                        <c:v>11493.177550236464</c:v>
                      </c:pt>
                      <c:pt idx="847">
                        <c:v>11440.053768033613</c:v>
                      </c:pt>
                      <c:pt idx="848">
                        <c:v>11385.729807284855</c:v>
                      </c:pt>
                      <c:pt idx="849">
                        <c:v>11330.222215594895</c:v>
                      </c:pt>
                      <c:pt idx="850">
                        <c:v>11273.547901113863</c:v>
                      </c:pt>
                      <c:pt idx="851">
                        <c:v>11215.724127386971</c:v>
                      </c:pt>
                      <c:pt idx="852">
                        <c:v>11156.768508095856</c:v>
                      </c:pt>
                      <c:pt idx="853">
                        <c:v>11096.69900169325</c:v>
                      </c:pt>
                      <c:pt idx="854">
                        <c:v>11035.533905932736</c:v>
                      </c:pt>
                      <c:pt idx="855">
                        <c:v>10973.291852294989</c:v>
                      </c:pt>
                      <c:pt idx="856">
                        <c:v>10909.991800312499</c:v>
                      </c:pt>
                      <c:pt idx="857">
                        <c:v>10845.653031794289</c:v>
                      </c:pt>
                      <c:pt idx="858">
                        <c:v>10780.295144952539</c:v>
                      </c:pt>
                      <c:pt idx="859">
                        <c:v>10713.938048432703</c:v>
                      </c:pt>
                      <c:pt idx="860">
                        <c:v>10646.601955249191</c:v>
                      </c:pt>
                      <c:pt idx="861">
                        <c:v>10578.307376628292</c:v>
                      </c:pt>
                      <c:pt idx="862">
                        <c:v>10509.075115760246</c:v>
                      </c:pt>
                      <c:pt idx="863">
                        <c:v>10438.926261462368</c:v>
                      </c:pt>
                      <c:pt idx="864">
                        <c:v>10367.882181755231</c:v>
                      </c:pt>
                      <c:pt idx="865">
                        <c:v>10295.96451735373</c:v>
                      </c:pt>
                      <c:pt idx="866">
                        <c:v>10223.195175075136</c:v>
                      </c:pt>
                      <c:pt idx="867">
                        <c:v>10149.596321166031</c:v>
                      </c:pt>
                      <c:pt idx="868">
                        <c:v>10075.190374550266</c:v>
                      </c:pt>
                      <c:pt idx="869">
                        <c:v>10000</c:v>
                      </c:pt>
                      <c:pt idx="870">
                        <c:v>9924.0481012316905</c:v>
                      </c:pt>
                      <c:pt idx="871">
                        <c:v>9847.3578139294641</c:v>
                      </c:pt>
                      <c:pt idx="872">
                        <c:v>9769.9524986977322</c:v>
                      </c:pt>
                      <c:pt idx="873">
                        <c:v>9691.855733945391</c:v>
                      </c:pt>
                      <c:pt idx="874">
                        <c:v>9613.091308703506</c:v>
                      </c:pt>
                      <c:pt idx="875">
                        <c:v>9533.6832153789983</c:v>
                      </c:pt>
                      <c:pt idx="876">
                        <c:v>9453.6556424463706</c:v>
                      </c:pt>
                      <c:pt idx="877">
                        <c:v>9373.0329670795672</c:v>
                      </c:pt>
                      <c:pt idx="878">
                        <c:v>9291.8397477265062</c:v>
                      </c:pt>
                      <c:pt idx="879">
                        <c:v>9210.1007166283453</c:v>
                      </c:pt>
                      <c:pt idx="880">
                        <c:v>9127.840772285781</c:v>
                      </c:pt>
                      <c:pt idx="881">
                        <c:v>9045.0849718747395</c:v>
                      </c:pt>
                      <c:pt idx="882">
                        <c:v>8961.8585236136914</c:v>
                      </c:pt>
                      <c:pt idx="883">
                        <c:v>8878.1867790849919</c:v>
                      </c:pt>
                      <c:pt idx="884">
                        <c:v>8794.0952255126049</c:v>
                      </c:pt>
                      <c:pt idx="885">
                        <c:v>8709.609477998345</c:v>
                      </c:pt>
                      <c:pt idx="886">
                        <c:v>8624.7552717193194</c:v>
                      </c:pt>
                      <c:pt idx="887">
                        <c:v>8539.5584540887976</c:v>
                      </c:pt>
                      <c:pt idx="888">
                        <c:v>8454.0449768827293</c:v>
                      </c:pt>
                      <c:pt idx="889">
                        <c:v>8368.2408883346616</c:v>
                      </c:pt>
                      <c:pt idx="890">
                        <c:v>8282.1723252011525</c:v>
                      </c:pt>
                      <c:pt idx="891">
                        <c:v>8195.8655048003311</c:v>
                      </c:pt>
                      <c:pt idx="892">
                        <c:v>8109.3467170257463</c:v>
                      </c:pt>
                      <c:pt idx="893">
                        <c:v>8022.6423163382733</c:v>
                      </c:pt>
                      <c:pt idx="894">
                        <c:v>7935.7787137382929</c:v>
                      </c:pt>
                      <c:pt idx="895">
                        <c:v>7848.7823687206255</c:v>
                      </c:pt>
                      <c:pt idx="896">
                        <c:v>7761.6797812147233</c:v>
                      </c:pt>
                      <c:pt idx="897">
                        <c:v>7674.4974835125058</c:v>
                      </c:pt>
                      <c:pt idx="898">
                        <c:v>7587.2620321864151</c:v>
                      </c:pt>
                      <c:pt idx="899">
                        <c:v>7500.0000000000027</c:v>
                      </c:pt>
                      <c:pt idx="900">
                        <c:v>7412.7379678135912</c:v>
                      </c:pt>
                      <c:pt idx="901">
                        <c:v>7325.5025164874914</c:v>
                      </c:pt>
                      <c:pt idx="902">
                        <c:v>7238.3202187852821</c:v>
                      </c:pt>
                      <c:pt idx="903">
                        <c:v>7151.2176312793808</c:v>
                      </c:pt>
                      <c:pt idx="904">
                        <c:v>7064.2212862617216</c:v>
                      </c:pt>
                      <c:pt idx="905">
                        <c:v>6977.3576836617331</c:v>
                      </c:pt>
                      <c:pt idx="906">
                        <c:v>6890.6532829742682</c:v>
                      </c:pt>
                      <c:pt idx="907">
                        <c:v>6804.1344951996834</c:v>
                      </c:pt>
                      <c:pt idx="908">
                        <c:v>6717.8276747988439</c:v>
                      </c:pt>
                      <c:pt idx="909">
                        <c:v>6631.7591116653521</c:v>
                      </c:pt>
                      <c:pt idx="910">
                        <c:v>6545.9550231172761</c:v>
                      </c:pt>
                      <c:pt idx="911">
                        <c:v>6460.4415459112097</c:v>
                      </c:pt>
                      <c:pt idx="912">
                        <c:v>6375.2447282806779</c:v>
                      </c:pt>
                      <c:pt idx="913">
                        <c:v>6290.3905220016604</c:v>
                      </c:pt>
                      <c:pt idx="914">
                        <c:v>6205.9047744874006</c:v>
                      </c:pt>
                      <c:pt idx="915">
                        <c:v>6121.8132209150135</c:v>
                      </c:pt>
                      <c:pt idx="916">
                        <c:v>6038.1414763863222</c:v>
                      </c:pt>
                      <c:pt idx="917">
                        <c:v>5954.9150281252741</c:v>
                      </c:pt>
                      <c:pt idx="918">
                        <c:v>5872.1592277142163</c:v>
                      </c:pt>
                      <c:pt idx="919">
                        <c:v>5789.8992833716611</c:v>
                      </c:pt>
                      <c:pt idx="920">
                        <c:v>5708.160252273492</c:v>
                      </c:pt>
                      <c:pt idx="921">
                        <c:v>5626.9670329204382</c:v>
                      </c:pt>
                      <c:pt idx="922">
                        <c:v>5546.3443575536348</c:v>
                      </c:pt>
                      <c:pt idx="923">
                        <c:v>5466.3167846209908</c:v>
                      </c:pt>
                      <c:pt idx="924">
                        <c:v>5386.9086912964995</c:v>
                      </c:pt>
                      <c:pt idx="925">
                        <c:v>5308.1442660546145</c:v>
                      </c:pt>
                      <c:pt idx="926">
                        <c:v>5230.0475013022733</c:v>
                      </c:pt>
                      <c:pt idx="927">
                        <c:v>5152.6421860705414</c:v>
                      </c:pt>
                      <c:pt idx="928">
                        <c:v>5075.951898768315</c:v>
                      </c:pt>
                      <c:pt idx="929">
                        <c:v>5000.0000000000055</c:v>
                      </c:pt>
                      <c:pt idx="930">
                        <c:v>4924.8096254497232</c:v>
                      </c:pt>
                      <c:pt idx="931">
                        <c:v>4850.4036788339745</c:v>
                      </c:pt>
                      <c:pt idx="932">
                        <c:v>4776.8048249248686</c:v>
                      </c:pt>
                      <c:pt idx="933">
                        <c:v>4704.0354826462744</c:v>
                      </c:pt>
                      <c:pt idx="934">
                        <c:v>4632.1178182447675</c:v>
                      </c:pt>
                      <c:pt idx="935">
                        <c:v>4561.0737385376369</c:v>
                      </c:pt>
                      <c:pt idx="936">
                        <c:v>4490.9248842397647</c:v>
                      </c:pt>
                      <c:pt idx="937">
                        <c:v>4421.6926233717195</c:v>
                      </c:pt>
                      <c:pt idx="938">
                        <c:v>4353.3980447508147</c:v>
                      </c:pt>
                      <c:pt idx="939">
                        <c:v>4286.0619515673088</c:v>
                      </c:pt>
                      <c:pt idx="940">
                        <c:v>4219.7048550474728</c:v>
                      </c:pt>
                      <c:pt idx="941">
                        <c:v>4154.3469682057093</c:v>
                      </c:pt>
                      <c:pt idx="942">
                        <c:v>4090.0081996875115</c:v>
                      </c:pt>
                      <c:pt idx="943">
                        <c:v>4026.7081477050215</c:v>
                      </c:pt>
                      <c:pt idx="944">
                        <c:v>3964.4660940672743</c:v>
                      </c:pt>
                      <c:pt idx="945">
                        <c:v>3903.3009983067473</c:v>
                      </c:pt>
                      <c:pt idx="946">
                        <c:v>3843.2314919041542</c:v>
                      </c:pt>
                      <c:pt idx="947">
                        <c:v>3784.2758726130273</c:v>
                      </c:pt>
                      <c:pt idx="948">
                        <c:v>3726.4520988861418</c:v>
                      </c:pt>
                      <c:pt idx="949">
                        <c:v>3669.7777844051147</c:v>
                      </c:pt>
                      <c:pt idx="950">
                        <c:v>3614.2701927151429</c:v>
                      </c:pt>
                      <c:pt idx="951">
                        <c:v>3559.9462319663912</c:v>
                      </c:pt>
                      <c:pt idx="952">
                        <c:v>3506.8224497635397</c:v>
                      </c:pt>
                      <c:pt idx="953">
                        <c:v>3454.9150281252596</c:v>
                      </c:pt>
                      <c:pt idx="954">
                        <c:v>3404.2397785550411</c:v>
                      </c:pt>
                      <c:pt idx="955">
                        <c:v>3354.8121372247942</c:v>
                      </c:pt>
                      <c:pt idx="956">
                        <c:v>3306.6471602728761</c:v>
                      </c:pt>
                      <c:pt idx="957">
                        <c:v>3259.7595192178687</c:v>
                      </c:pt>
                      <c:pt idx="958">
                        <c:v>3214.1634964894401</c:v>
                      </c:pt>
                      <c:pt idx="959">
                        <c:v>3169.8729810778113</c:v>
                      </c:pt>
                      <c:pt idx="960">
                        <c:v>3126.9014643030196</c:v>
                      </c:pt>
                      <c:pt idx="961">
                        <c:v>3085.2620357053665</c:v>
                      </c:pt>
                      <c:pt idx="962">
                        <c:v>3044.9673790581646</c:v>
                      </c:pt>
                      <c:pt idx="963">
                        <c:v>3006.0297685041633</c:v>
                      </c:pt>
                      <c:pt idx="964">
                        <c:v>2968.46106481675</c:v>
                      </c:pt>
                      <c:pt idx="965">
                        <c:v>2932.2727117869981</c:v>
                      </c:pt>
                      <c:pt idx="966">
                        <c:v>2897.4757327378029</c:v>
                      </c:pt>
                      <c:pt idx="967">
                        <c:v>2864.0807271660633</c:v>
                      </c:pt>
                      <c:pt idx="968">
                        <c:v>2832.0978675139932</c:v>
                      </c:pt>
                      <c:pt idx="969">
                        <c:v>2801.5368960704618</c:v>
                      </c:pt>
                      <c:pt idx="970">
                        <c:v>2772.4071220034148</c:v>
                      </c:pt>
                      <c:pt idx="971">
                        <c:v>2744.7174185242329</c:v>
                      </c:pt>
                      <c:pt idx="972">
                        <c:v>2718.4762201848253</c:v>
                      </c:pt>
                      <c:pt idx="973">
                        <c:v>2693.6915203084091</c:v>
                      </c:pt>
                      <c:pt idx="974">
                        <c:v>2670.370868554659</c:v>
                      </c:pt>
                      <c:pt idx="975">
                        <c:v>2648.5213686200195</c:v>
                      </c:pt>
                      <c:pt idx="976">
                        <c:v>2628.1496760738264</c:v>
                      </c:pt>
                      <c:pt idx="977">
                        <c:v>2609.2619963309717</c:v>
                      </c:pt>
                      <c:pt idx="978">
                        <c:v>2591.8640827616809</c:v>
                      </c:pt>
                      <c:pt idx="979">
                        <c:v>2575.9612349389618</c:v>
                      </c:pt>
                      <c:pt idx="980">
                        <c:v>2561.5582970243113</c:v>
                      </c:pt>
                      <c:pt idx="981">
                        <c:v>2548.6596562921495</c:v>
                      </c:pt>
                      <c:pt idx="982">
                        <c:v>2537.2692417933886</c:v>
                      </c:pt>
                      <c:pt idx="983">
                        <c:v>2527.3905231586332</c:v>
                      </c:pt>
                      <c:pt idx="984">
                        <c:v>2519.0265095412724</c:v>
                      </c:pt>
                      <c:pt idx="985">
                        <c:v>2512.179748700878</c:v>
                      </c:pt>
                      <c:pt idx="986">
                        <c:v>2506.8523262271301</c:v>
                      </c:pt>
                      <c:pt idx="987">
                        <c:v>2503.0458649045213</c:v>
                      </c:pt>
                      <c:pt idx="988">
                        <c:v>2500.7615242180436</c:v>
                      </c:pt>
                      <c:pt idx="989">
                        <c:v>2500</c:v>
                      </c:pt>
                      <c:pt idx="990">
                        <c:v>2500.7615242180436</c:v>
                      </c:pt>
                      <c:pt idx="991">
                        <c:v>2503.0458649045213</c:v>
                      </c:pt>
                      <c:pt idx="992">
                        <c:v>2506.852326227131</c:v>
                      </c:pt>
                      <c:pt idx="993">
                        <c:v>2512.1797487008789</c:v>
                      </c:pt>
                      <c:pt idx="994">
                        <c:v>2519.0265095412724</c:v>
                      </c:pt>
                      <c:pt idx="995">
                        <c:v>2527.3905231586323</c:v>
                      </c:pt>
                      <c:pt idx="996">
                        <c:v>2537.2692417933904</c:v>
                      </c:pt>
                      <c:pt idx="997">
                        <c:v>2548.6596562921486</c:v>
                      </c:pt>
                      <c:pt idx="998">
                        <c:v>2561.5582970243104</c:v>
                      </c:pt>
                      <c:pt idx="999">
                        <c:v>2575.9612349389572</c:v>
                      </c:pt>
                    </c:numCache>
                  </c:numRef>
                </c:yVal>
                <c:smooth val="1"/>
                <c:extLst>
                  <c:ext uri="{02D57815-91ED-43cb-92C2-25804820EDAC}">
                    <c15:filteredSeriesTitle>
                      <c15:tx>
                        <c:v>Corps 1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0-90D6-4081-85A4-0857EA05B6C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Conditions!$G$4:$G$1003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-16500.53306695263</c:v>
                      </c:pt>
                      <c:pt idx="1">
                        <c:v>-16502.132105433164</c:v>
                      </c:pt>
                      <c:pt idx="2">
                        <c:v>-16504.796628358992</c:v>
                      </c:pt>
                      <c:pt idx="3">
                        <c:v>-16508.525824090615</c:v>
                      </c:pt>
                      <c:pt idx="4">
                        <c:v>-16513.318556678889</c:v>
                      </c:pt>
                      <c:pt idx="5">
                        <c:v>-16519.173366211042</c:v>
                      </c:pt>
                      <c:pt idx="6">
                        <c:v>-16526.088469255374</c:v>
                      </c:pt>
                      <c:pt idx="7">
                        <c:v>-16534.061759404503</c:v>
                      </c:pt>
                      <c:pt idx="8">
                        <c:v>-16543.090807917019</c:v>
                      </c:pt>
                      <c:pt idx="9">
                        <c:v>-16553.172864457272</c:v>
                      </c:pt>
                      <c:pt idx="10">
                        <c:v>-16564.304857933177</c:v>
                      </c:pt>
                      <c:pt idx="11">
                        <c:v>-16576.483397431679</c:v>
                      </c:pt>
                      <c:pt idx="12">
                        <c:v>-16589.704773251677</c:v>
                      </c:pt>
                      <c:pt idx="13">
                        <c:v>-16603.964958034012</c:v>
                      </c:pt>
                      <c:pt idx="14">
                        <c:v>-16619.259607988261</c:v>
                      </c:pt>
                      <c:pt idx="15">
                        <c:v>-16635.584064215884</c:v>
                      </c:pt>
                      <c:pt idx="16">
                        <c:v>-16652.933354129374</c:v>
                      </c:pt>
                      <c:pt idx="17">
                        <c:v>-16671.302192966963</c:v>
                      </c:pt>
                      <c:pt idx="18">
                        <c:v>-16690.684985402389</c:v>
                      </c:pt>
                      <c:pt idx="19">
                        <c:v>-16711.075827249319</c:v>
                      </c:pt>
                      <c:pt idx="20">
                        <c:v>-16732.468507259793</c:v>
                      </c:pt>
                      <c:pt idx="21">
                        <c:v>-16754.856509016245</c:v>
                      </c:pt>
                      <c:pt idx="22">
                        <c:v>-16778.233012916458</c:v>
                      </c:pt>
                      <c:pt idx="23">
                        <c:v>-16802.590898250895</c:v>
                      </c:pt>
                      <c:pt idx="24">
                        <c:v>-16827.922745371725</c:v>
                      </c:pt>
                      <c:pt idx="25">
                        <c:v>-16854.220837952915</c:v>
                      </c:pt>
                      <c:pt idx="26">
                        <c:v>-16881.477165340712</c:v>
                      </c:pt>
                      <c:pt idx="27">
                        <c:v>-16909.683424993756</c:v>
                      </c:pt>
                      <c:pt idx="28">
                        <c:v>-16938.831025012114</c:v>
                      </c:pt>
                      <c:pt idx="29">
                        <c:v>-16968.911086754466</c:v>
                      </c:pt>
                      <c:pt idx="30">
                        <c:v>-16999.914447542607</c:v>
                      </c:pt>
                      <c:pt idx="31">
                        <c:v>-17031.831663452511</c:v>
                      </c:pt>
                      <c:pt idx="32">
                        <c:v>-17064.653012191015</c:v>
                      </c:pt>
                      <c:pt idx="33">
                        <c:v>-17098.368496057356</c:v>
                      </c:pt>
                      <c:pt idx="34">
                        <c:v>-17132.967844988529</c:v>
                      </c:pt>
                      <c:pt idx="35">
                        <c:v>-17168.440519687683</c:v>
                      </c:pt>
                      <c:pt idx="36">
                        <c:v>-17204.775714834475</c:v>
                      </c:pt>
                      <c:pt idx="37">
                        <c:v>-17241.962362376471</c:v>
                      </c:pt>
                      <c:pt idx="38">
                        <c:v>-17279.989134900603</c:v>
                      </c:pt>
                      <c:pt idx="39">
                        <c:v>-17318.844449083575</c:v>
                      </c:pt>
                      <c:pt idx="40">
                        <c:v>-17358.516469220296</c:v>
                      </c:pt>
                      <c:pt idx="41">
                        <c:v>-17398.99311082912</c:v>
                      </c:pt>
                      <c:pt idx="42">
                        <c:v>-17440.262044332903</c:v>
                      </c:pt>
                      <c:pt idx="43">
                        <c:v>-17482.310698814719</c:v>
                      </c:pt>
                      <c:pt idx="44">
                        <c:v>-17525.126265847084</c:v>
                      </c:pt>
                      <c:pt idx="45">
                        <c:v>-17568.69570339351</c:v>
                      </c:pt>
                      <c:pt idx="46">
                        <c:v>-17613.005739781256</c:v>
                      </c:pt>
                      <c:pt idx="47">
                        <c:v>-17658.042877743996</c:v>
                      </c:pt>
                      <c:pt idx="48">
                        <c:v>-17703.793398533224</c:v>
                      </c:pt>
                      <c:pt idx="49">
                        <c:v>-17750.243366097111</c:v>
                      </c:pt>
                      <c:pt idx="50">
                        <c:v>-17797.37863132557</c:v>
                      </c:pt>
                      <c:pt idx="51">
                        <c:v>-17845.184836360197</c:v>
                      </c:pt>
                      <c:pt idx="52">
                        <c:v>-17893.64741896783</c:v>
                      </c:pt>
                      <c:pt idx="53">
                        <c:v>-17942.751616976344</c:v>
                      </c:pt>
                      <c:pt idx="54">
                        <c:v>-17992.482472771339</c:v>
                      </c:pt>
                      <c:pt idx="55">
                        <c:v>-18042.824837852386</c:v>
                      </c:pt>
                      <c:pt idx="56">
                        <c:v>-18093.763377447405</c:v>
                      </c:pt>
                      <c:pt idx="57">
                        <c:v>-18145.282575183785</c:v>
                      </c:pt>
                      <c:pt idx="58">
                        <c:v>-18197.366737814809</c:v>
                      </c:pt>
                      <c:pt idx="59">
                        <c:v>-18250</c:v>
                      </c:pt>
                      <c:pt idx="60">
                        <c:v>-18303.166329137821</c:v>
                      </c:pt>
                      <c:pt idx="61">
                        <c:v>-18356.849530249383</c:v>
                      </c:pt>
                      <c:pt idx="62">
                        <c:v>-18411.033250911587</c:v>
                      </c:pt>
                      <c:pt idx="63">
                        <c:v>-18465.700986238229</c:v>
                      </c:pt>
                      <c:pt idx="64">
                        <c:v>-18520.83608390755</c:v>
                      </c:pt>
                      <c:pt idx="65">
                        <c:v>-18576.421749234698</c:v>
                      </c:pt>
                      <c:pt idx="66">
                        <c:v>-18632.44105028754</c:v>
                      </c:pt>
                      <c:pt idx="67">
                        <c:v>-18688.876923044307</c:v>
                      </c:pt>
                      <c:pt idx="68">
                        <c:v>-18745.712176591449</c:v>
                      </c:pt>
                      <c:pt idx="69">
                        <c:v>-18802.929498360158</c:v>
                      </c:pt>
                      <c:pt idx="70">
                        <c:v>-18860.51145939995</c:v>
                      </c:pt>
                      <c:pt idx="71">
                        <c:v>-18918.440519687683</c:v>
                      </c:pt>
                      <c:pt idx="72">
                        <c:v>-18976.699033470421</c:v>
                      </c:pt>
                      <c:pt idx="73">
                        <c:v>-19035.269254640501</c:v>
                      </c:pt>
                      <c:pt idx="74">
                        <c:v>-19094.133342141176</c:v>
                      </c:pt>
                      <c:pt idx="75">
                        <c:v>-19153.273365401161</c:v>
                      </c:pt>
                      <c:pt idx="76">
                        <c:v>-19212.671309796471</c:v>
                      </c:pt>
                      <c:pt idx="77">
                        <c:v>-19272.309082137843</c:v>
                      </c:pt>
                      <c:pt idx="78">
                        <c:v>-19332.168516182093</c:v>
                      </c:pt>
                      <c:pt idx="79">
                        <c:v>-19392.231378165743</c:v>
                      </c:pt>
                      <c:pt idx="80">
                        <c:v>-19452.47937235919</c:v>
                      </c:pt>
                      <c:pt idx="81">
                        <c:v>-19512.89414663977</c:v>
                      </c:pt>
                      <c:pt idx="82">
                        <c:v>-19573.457298081983</c:v>
                      </c:pt>
                      <c:pt idx="83">
                        <c:v>-19634.150378563212</c:v>
                      </c:pt>
                      <c:pt idx="84">
                        <c:v>-19694.954900383196</c:v>
                      </c:pt>
                      <c:pt idx="85">
                        <c:v>-19755.852341895559</c:v>
                      </c:pt>
                      <c:pt idx="86">
                        <c:v>-19816.824153149697</c:v>
                      </c:pt>
                      <c:pt idx="87">
                        <c:v>-19877.851761541246</c:v>
                      </c:pt>
                      <c:pt idx="88">
                        <c:v>-19938.916577469507</c:v>
                      </c:pt>
                      <c:pt idx="89">
                        <c:v>-20000</c:v>
                      </c:pt>
                      <c:pt idx="90">
                        <c:v>-20061.083422530493</c:v>
                      </c:pt>
                      <c:pt idx="91">
                        <c:v>-20122.148238458754</c:v>
                      </c:pt>
                      <c:pt idx="92">
                        <c:v>-20183.175846850303</c:v>
                      </c:pt>
                      <c:pt idx="93">
                        <c:v>-20244.147658104437</c:v>
                      </c:pt>
                      <c:pt idx="94">
                        <c:v>-20305.045099616804</c:v>
                      </c:pt>
                      <c:pt idx="95">
                        <c:v>-20365.849621436788</c:v>
                      </c:pt>
                      <c:pt idx="96">
                        <c:v>-20426.542701918017</c:v>
                      </c:pt>
                      <c:pt idx="97">
                        <c:v>-20487.10585336023</c:v>
                      </c:pt>
                      <c:pt idx="98">
                        <c:v>-20547.52062764081</c:v>
                      </c:pt>
                      <c:pt idx="99">
                        <c:v>-20607.768621834257</c:v>
                      </c:pt>
                      <c:pt idx="100">
                        <c:v>-20667.831483817907</c:v>
                      </c:pt>
                      <c:pt idx="101">
                        <c:v>-20727.690917862157</c:v>
                      </c:pt>
                      <c:pt idx="102">
                        <c:v>-20787.328690203525</c:v>
                      </c:pt>
                      <c:pt idx="103">
                        <c:v>-20846.726634598836</c:v>
                      </c:pt>
                      <c:pt idx="104">
                        <c:v>-20905.866657858824</c:v>
                      </c:pt>
                      <c:pt idx="105">
                        <c:v>-20964.730745359499</c:v>
                      </c:pt>
                      <c:pt idx="106">
                        <c:v>-21023.300966529579</c:v>
                      </c:pt>
                      <c:pt idx="107">
                        <c:v>-21081.559480312317</c:v>
                      </c:pt>
                      <c:pt idx="108">
                        <c:v>-21139.488540600047</c:v>
                      </c:pt>
                      <c:pt idx="109">
                        <c:v>-21197.070501639842</c:v>
                      </c:pt>
                      <c:pt idx="110">
                        <c:v>-21254.287823408551</c:v>
                      </c:pt>
                      <c:pt idx="111">
                        <c:v>-21311.123076955693</c:v>
                      </c:pt>
                      <c:pt idx="112">
                        <c:v>-21367.558949712457</c:v>
                      </c:pt>
                      <c:pt idx="113">
                        <c:v>-21423.578250765298</c:v>
                      </c:pt>
                      <c:pt idx="114">
                        <c:v>-21479.163916092446</c:v>
                      </c:pt>
                      <c:pt idx="115">
                        <c:v>-21534.299013761771</c:v>
                      </c:pt>
                      <c:pt idx="116">
                        <c:v>-21588.966749088413</c:v>
                      </c:pt>
                      <c:pt idx="117">
                        <c:v>-21643.150469750617</c:v>
                      </c:pt>
                      <c:pt idx="118">
                        <c:v>-21696.833670862179</c:v>
                      </c:pt>
                      <c:pt idx="119">
                        <c:v>-21750</c:v>
                      </c:pt>
                      <c:pt idx="120">
                        <c:v>-21802.633262185191</c:v>
                      </c:pt>
                      <c:pt idx="121">
                        <c:v>-21854.717424816215</c:v>
                      </c:pt>
                      <c:pt idx="122">
                        <c:v>-21906.236622552595</c:v>
                      </c:pt>
                      <c:pt idx="123">
                        <c:v>-21957.175162147614</c:v>
                      </c:pt>
                      <c:pt idx="124">
                        <c:v>-22007.517527228661</c:v>
                      </c:pt>
                      <c:pt idx="125">
                        <c:v>-22057.248383023656</c:v>
                      </c:pt>
                      <c:pt idx="126">
                        <c:v>-22106.35258103217</c:v>
                      </c:pt>
                      <c:pt idx="127">
                        <c:v>-22154.815163639803</c:v>
                      </c:pt>
                      <c:pt idx="128">
                        <c:v>-22202.62136867443</c:v>
                      </c:pt>
                      <c:pt idx="129">
                        <c:v>-22249.756633902889</c:v>
                      </c:pt>
                      <c:pt idx="130">
                        <c:v>-22296.206601466776</c:v>
                      </c:pt>
                      <c:pt idx="131">
                        <c:v>-22341.957122256004</c:v>
                      </c:pt>
                      <c:pt idx="132">
                        <c:v>-22386.994260218744</c:v>
                      </c:pt>
                      <c:pt idx="133">
                        <c:v>-22431.30429660649</c:v>
                      </c:pt>
                      <c:pt idx="134">
                        <c:v>-22474.873734152916</c:v>
                      </c:pt>
                      <c:pt idx="135">
                        <c:v>-22517.689301185281</c:v>
                      </c:pt>
                      <c:pt idx="136">
                        <c:v>-22559.737955667097</c:v>
                      </c:pt>
                      <c:pt idx="137">
                        <c:v>-22601.00688917088</c:v>
                      </c:pt>
                      <c:pt idx="138">
                        <c:v>-22641.483530779704</c:v>
                      </c:pt>
                      <c:pt idx="139">
                        <c:v>-22681.155550916425</c:v>
                      </c:pt>
                      <c:pt idx="140">
                        <c:v>-22720.010865099397</c:v>
                      </c:pt>
                      <c:pt idx="141">
                        <c:v>-22758.037637623525</c:v>
                      </c:pt>
                      <c:pt idx="142">
                        <c:v>-22795.224285165525</c:v>
                      </c:pt>
                      <c:pt idx="143">
                        <c:v>-22831.559480312317</c:v>
                      </c:pt>
                      <c:pt idx="144">
                        <c:v>-22867.032155011471</c:v>
                      </c:pt>
                      <c:pt idx="145">
                        <c:v>-22901.631503942644</c:v>
                      </c:pt>
                      <c:pt idx="146">
                        <c:v>-22935.346987808985</c:v>
                      </c:pt>
                      <c:pt idx="147">
                        <c:v>-22968.168336547489</c:v>
                      </c:pt>
                      <c:pt idx="148">
                        <c:v>-23000.085552457393</c:v>
                      </c:pt>
                      <c:pt idx="149">
                        <c:v>-23031.088913245534</c:v>
                      </c:pt>
                      <c:pt idx="150">
                        <c:v>-23061.168974987886</c:v>
                      </c:pt>
                      <c:pt idx="151">
                        <c:v>-23090.316575006244</c:v>
                      </c:pt>
                      <c:pt idx="152">
                        <c:v>-23118.522834659288</c:v>
                      </c:pt>
                      <c:pt idx="153">
                        <c:v>-23145.779162047085</c:v>
                      </c:pt>
                      <c:pt idx="154">
                        <c:v>-23172.077254628275</c:v>
                      </c:pt>
                      <c:pt idx="155">
                        <c:v>-23197.409101749101</c:v>
                      </c:pt>
                      <c:pt idx="156">
                        <c:v>-23221.766987083542</c:v>
                      </c:pt>
                      <c:pt idx="157">
                        <c:v>-23245.143490983755</c:v>
                      </c:pt>
                      <c:pt idx="158">
                        <c:v>-23267.531492740207</c:v>
                      </c:pt>
                      <c:pt idx="159">
                        <c:v>-23288.924172750678</c:v>
                      </c:pt>
                      <c:pt idx="160">
                        <c:v>-23309.315014597611</c:v>
                      </c:pt>
                      <c:pt idx="161">
                        <c:v>-23328.697807033037</c:v>
                      </c:pt>
                      <c:pt idx="162">
                        <c:v>-23347.066645870626</c:v>
                      </c:pt>
                      <c:pt idx="163">
                        <c:v>-23364.415935784116</c:v>
                      </c:pt>
                      <c:pt idx="164">
                        <c:v>-23380.740392011739</c:v>
                      </c:pt>
                      <c:pt idx="165">
                        <c:v>-23396.035041965988</c:v>
                      </c:pt>
                      <c:pt idx="166">
                        <c:v>-23410.295226748323</c:v>
                      </c:pt>
                      <c:pt idx="167">
                        <c:v>-23423.516602568321</c:v>
                      </c:pt>
                      <c:pt idx="168">
                        <c:v>-23435.695142066823</c:v>
                      </c:pt>
                      <c:pt idx="169">
                        <c:v>-23446.827135542728</c:v>
                      </c:pt>
                      <c:pt idx="170">
                        <c:v>-23456.909192082981</c:v>
                      </c:pt>
                      <c:pt idx="171">
                        <c:v>-23465.938240595497</c:v>
                      </c:pt>
                      <c:pt idx="172">
                        <c:v>-23473.911530744626</c:v>
                      </c:pt>
                      <c:pt idx="173">
                        <c:v>-23480.826633788958</c:v>
                      </c:pt>
                      <c:pt idx="174">
                        <c:v>-23486.681443321111</c:v>
                      </c:pt>
                      <c:pt idx="175">
                        <c:v>-23491.474175909385</c:v>
                      </c:pt>
                      <c:pt idx="176">
                        <c:v>-23495.203371641008</c:v>
                      </c:pt>
                      <c:pt idx="177">
                        <c:v>-23497.867894566836</c:v>
                      </c:pt>
                      <c:pt idx="178">
                        <c:v>-23499.46693304737</c:v>
                      </c:pt>
                      <c:pt idx="179">
                        <c:v>-23500</c:v>
                      </c:pt>
                      <c:pt idx="180">
                        <c:v>-23499.46693304737</c:v>
                      </c:pt>
                      <c:pt idx="181">
                        <c:v>-23497.867894566836</c:v>
                      </c:pt>
                      <c:pt idx="182">
                        <c:v>-23495.203371641008</c:v>
                      </c:pt>
                      <c:pt idx="183">
                        <c:v>-23491.474175909385</c:v>
                      </c:pt>
                      <c:pt idx="184">
                        <c:v>-23486.681443321111</c:v>
                      </c:pt>
                      <c:pt idx="185">
                        <c:v>-23480.826633788958</c:v>
                      </c:pt>
                      <c:pt idx="186">
                        <c:v>-23473.911530744626</c:v>
                      </c:pt>
                      <c:pt idx="187">
                        <c:v>-23465.938240595497</c:v>
                      </c:pt>
                      <c:pt idx="188">
                        <c:v>-23456.909192082981</c:v>
                      </c:pt>
                      <c:pt idx="189">
                        <c:v>-23446.827135542728</c:v>
                      </c:pt>
                      <c:pt idx="190">
                        <c:v>-23435.695142066823</c:v>
                      </c:pt>
                      <c:pt idx="191">
                        <c:v>-23423.516602568321</c:v>
                      </c:pt>
                      <c:pt idx="192">
                        <c:v>-23410.295226748323</c:v>
                      </c:pt>
                      <c:pt idx="193">
                        <c:v>-23396.035041965988</c:v>
                      </c:pt>
                      <c:pt idx="194">
                        <c:v>-23380.740392011739</c:v>
                      </c:pt>
                      <c:pt idx="195">
                        <c:v>-23364.415935784116</c:v>
                      </c:pt>
                      <c:pt idx="196">
                        <c:v>-23347.066645870626</c:v>
                      </c:pt>
                      <c:pt idx="197">
                        <c:v>-23328.697807033037</c:v>
                      </c:pt>
                      <c:pt idx="198">
                        <c:v>-23309.315014597611</c:v>
                      </c:pt>
                      <c:pt idx="199">
                        <c:v>-23288.924172750681</c:v>
                      </c:pt>
                      <c:pt idx="200">
                        <c:v>-23267.531492740207</c:v>
                      </c:pt>
                      <c:pt idx="201">
                        <c:v>-23245.143490983755</c:v>
                      </c:pt>
                      <c:pt idx="202">
                        <c:v>-23221.766987083542</c:v>
                      </c:pt>
                      <c:pt idx="203">
                        <c:v>-23197.409101749105</c:v>
                      </c:pt>
                      <c:pt idx="204">
                        <c:v>-23172.077254628275</c:v>
                      </c:pt>
                      <c:pt idx="205">
                        <c:v>-23145.779162047085</c:v>
                      </c:pt>
                      <c:pt idx="206">
                        <c:v>-23118.522834659288</c:v>
                      </c:pt>
                      <c:pt idx="207">
                        <c:v>-23090.316575006244</c:v>
                      </c:pt>
                      <c:pt idx="208">
                        <c:v>-23061.168974987886</c:v>
                      </c:pt>
                      <c:pt idx="209">
                        <c:v>-23031.088913245534</c:v>
                      </c:pt>
                      <c:pt idx="210">
                        <c:v>-23000.085552457393</c:v>
                      </c:pt>
                      <c:pt idx="211">
                        <c:v>-22968.168336547493</c:v>
                      </c:pt>
                      <c:pt idx="212">
                        <c:v>-22935.346987808985</c:v>
                      </c:pt>
                      <c:pt idx="213">
                        <c:v>-22901.631503942648</c:v>
                      </c:pt>
                      <c:pt idx="214">
                        <c:v>-22867.032155011471</c:v>
                      </c:pt>
                      <c:pt idx="215">
                        <c:v>-22831.559480312317</c:v>
                      </c:pt>
                      <c:pt idx="216">
                        <c:v>-22795.224285165525</c:v>
                      </c:pt>
                      <c:pt idx="217">
                        <c:v>-22758.037637623529</c:v>
                      </c:pt>
                      <c:pt idx="218">
                        <c:v>-22720.010865099397</c:v>
                      </c:pt>
                      <c:pt idx="219">
                        <c:v>-22681.155550916425</c:v>
                      </c:pt>
                      <c:pt idx="220">
                        <c:v>-22641.4835307797</c:v>
                      </c:pt>
                      <c:pt idx="221">
                        <c:v>-22601.00688917088</c:v>
                      </c:pt>
                      <c:pt idx="222">
                        <c:v>-22559.737955667097</c:v>
                      </c:pt>
                      <c:pt idx="223">
                        <c:v>-22517.689301185281</c:v>
                      </c:pt>
                      <c:pt idx="224">
                        <c:v>-22474.873734152916</c:v>
                      </c:pt>
                      <c:pt idx="225">
                        <c:v>-22431.30429660649</c:v>
                      </c:pt>
                      <c:pt idx="226">
                        <c:v>-22386.994260218748</c:v>
                      </c:pt>
                      <c:pt idx="227">
                        <c:v>-22341.957122256004</c:v>
                      </c:pt>
                      <c:pt idx="228">
                        <c:v>-22296.206601466776</c:v>
                      </c:pt>
                      <c:pt idx="229">
                        <c:v>-22249.756633902889</c:v>
                      </c:pt>
                      <c:pt idx="230">
                        <c:v>-22202.62136867443</c:v>
                      </c:pt>
                      <c:pt idx="231">
                        <c:v>-22154.815163639803</c:v>
                      </c:pt>
                      <c:pt idx="232">
                        <c:v>-22106.35258103217</c:v>
                      </c:pt>
                      <c:pt idx="233">
                        <c:v>-22057.248383023656</c:v>
                      </c:pt>
                      <c:pt idx="234">
                        <c:v>-22007.517527228661</c:v>
                      </c:pt>
                      <c:pt idx="235">
                        <c:v>-21957.175162147614</c:v>
                      </c:pt>
                      <c:pt idx="236">
                        <c:v>-21906.236622552595</c:v>
                      </c:pt>
                      <c:pt idx="237">
                        <c:v>-21854.717424816219</c:v>
                      </c:pt>
                      <c:pt idx="238">
                        <c:v>-21802.633262185191</c:v>
                      </c:pt>
                      <c:pt idx="239">
                        <c:v>-21750</c:v>
                      </c:pt>
                      <c:pt idx="240">
                        <c:v>-21696.833670862179</c:v>
                      </c:pt>
                      <c:pt idx="241">
                        <c:v>-21643.150469750617</c:v>
                      </c:pt>
                      <c:pt idx="242">
                        <c:v>-21588.966749088413</c:v>
                      </c:pt>
                      <c:pt idx="243">
                        <c:v>-21534.299013761771</c:v>
                      </c:pt>
                      <c:pt idx="244">
                        <c:v>-21479.16391609245</c:v>
                      </c:pt>
                      <c:pt idx="245">
                        <c:v>-21423.578250765298</c:v>
                      </c:pt>
                      <c:pt idx="246">
                        <c:v>-21367.55894971246</c:v>
                      </c:pt>
                      <c:pt idx="247">
                        <c:v>-21311.123076955693</c:v>
                      </c:pt>
                      <c:pt idx="248">
                        <c:v>-21254.287823408551</c:v>
                      </c:pt>
                      <c:pt idx="249">
                        <c:v>-21197.070501639842</c:v>
                      </c:pt>
                      <c:pt idx="250">
                        <c:v>-21139.488540600047</c:v>
                      </c:pt>
                      <c:pt idx="251">
                        <c:v>-21081.559480312317</c:v>
                      </c:pt>
                      <c:pt idx="252">
                        <c:v>-21023.300966529579</c:v>
                      </c:pt>
                      <c:pt idx="253">
                        <c:v>-20964.730745359495</c:v>
                      </c:pt>
                      <c:pt idx="254">
                        <c:v>-20905.866657858824</c:v>
                      </c:pt>
                      <c:pt idx="255">
                        <c:v>-20846.726634598836</c:v>
                      </c:pt>
                      <c:pt idx="256">
                        <c:v>-20787.328690203529</c:v>
                      </c:pt>
                      <c:pt idx="257">
                        <c:v>-20727.690917862161</c:v>
                      </c:pt>
                      <c:pt idx="258">
                        <c:v>-20667.83148381791</c:v>
                      </c:pt>
                      <c:pt idx="259">
                        <c:v>-20607.768621834257</c:v>
                      </c:pt>
                      <c:pt idx="260">
                        <c:v>-20547.52062764081</c:v>
                      </c:pt>
                      <c:pt idx="261">
                        <c:v>-20487.105853360226</c:v>
                      </c:pt>
                      <c:pt idx="262">
                        <c:v>-20426.542701918013</c:v>
                      </c:pt>
                      <c:pt idx="263">
                        <c:v>-20365.849621436788</c:v>
                      </c:pt>
                      <c:pt idx="264">
                        <c:v>-20305.045099616804</c:v>
                      </c:pt>
                      <c:pt idx="265">
                        <c:v>-20244.147658104441</c:v>
                      </c:pt>
                      <c:pt idx="266">
                        <c:v>-20183.175846850307</c:v>
                      </c:pt>
                      <c:pt idx="267">
                        <c:v>-20122.148238458754</c:v>
                      </c:pt>
                      <c:pt idx="268">
                        <c:v>-20061.083422530493</c:v>
                      </c:pt>
                      <c:pt idx="269">
                        <c:v>-20000</c:v>
                      </c:pt>
                      <c:pt idx="270">
                        <c:v>-19938.91657746951</c:v>
                      </c:pt>
                      <c:pt idx="271">
                        <c:v>-19877.851761541246</c:v>
                      </c:pt>
                      <c:pt idx="272">
                        <c:v>-19816.824153149697</c:v>
                      </c:pt>
                      <c:pt idx="273">
                        <c:v>-19755.852341895563</c:v>
                      </c:pt>
                      <c:pt idx="274">
                        <c:v>-19694.954900383196</c:v>
                      </c:pt>
                      <c:pt idx="275">
                        <c:v>-19634.150378563216</c:v>
                      </c:pt>
                      <c:pt idx="276">
                        <c:v>-19573.457298081983</c:v>
                      </c:pt>
                      <c:pt idx="277">
                        <c:v>-19512.89414663977</c:v>
                      </c:pt>
                      <c:pt idx="278">
                        <c:v>-19452.479372359194</c:v>
                      </c:pt>
                      <c:pt idx="279">
                        <c:v>-19392.231378165747</c:v>
                      </c:pt>
                      <c:pt idx="280">
                        <c:v>-19332.168516182093</c:v>
                      </c:pt>
                      <c:pt idx="281">
                        <c:v>-19272.309082137846</c:v>
                      </c:pt>
                      <c:pt idx="282">
                        <c:v>-19212.671309796471</c:v>
                      </c:pt>
                      <c:pt idx="283">
                        <c:v>-19153.273365401164</c:v>
                      </c:pt>
                      <c:pt idx="284">
                        <c:v>-19094.133342141176</c:v>
                      </c:pt>
                      <c:pt idx="285">
                        <c:v>-19035.269254640501</c:v>
                      </c:pt>
                      <c:pt idx="286">
                        <c:v>-18976.699033470421</c:v>
                      </c:pt>
                      <c:pt idx="287">
                        <c:v>-18918.440519687683</c:v>
                      </c:pt>
                      <c:pt idx="288">
                        <c:v>-18860.511459399953</c:v>
                      </c:pt>
                      <c:pt idx="289">
                        <c:v>-18802.929498360161</c:v>
                      </c:pt>
                      <c:pt idx="290">
                        <c:v>-18745.712176591453</c:v>
                      </c:pt>
                      <c:pt idx="291">
                        <c:v>-18688.876923044307</c:v>
                      </c:pt>
                      <c:pt idx="292">
                        <c:v>-18632.441050287543</c:v>
                      </c:pt>
                      <c:pt idx="293">
                        <c:v>-18576.421749234698</c:v>
                      </c:pt>
                      <c:pt idx="294">
                        <c:v>-18520.83608390755</c:v>
                      </c:pt>
                      <c:pt idx="295">
                        <c:v>-18465.700986238229</c:v>
                      </c:pt>
                      <c:pt idx="296">
                        <c:v>-18411.033250911587</c:v>
                      </c:pt>
                      <c:pt idx="297">
                        <c:v>-18356.849530249383</c:v>
                      </c:pt>
                      <c:pt idx="298">
                        <c:v>-18303.166329137821</c:v>
                      </c:pt>
                      <c:pt idx="299">
                        <c:v>-18250</c:v>
                      </c:pt>
                      <c:pt idx="300">
                        <c:v>-18197.366737814809</c:v>
                      </c:pt>
                      <c:pt idx="301">
                        <c:v>-18145.282575183785</c:v>
                      </c:pt>
                      <c:pt idx="302">
                        <c:v>-18093.763377447405</c:v>
                      </c:pt>
                      <c:pt idx="303">
                        <c:v>-18042.824837852389</c:v>
                      </c:pt>
                      <c:pt idx="304">
                        <c:v>-17992.482472771339</c:v>
                      </c:pt>
                      <c:pt idx="305">
                        <c:v>-17942.751616976344</c:v>
                      </c:pt>
                      <c:pt idx="306">
                        <c:v>-17893.647418967834</c:v>
                      </c:pt>
                      <c:pt idx="307">
                        <c:v>-17845.184836360197</c:v>
                      </c:pt>
                      <c:pt idx="308">
                        <c:v>-17797.37863132557</c:v>
                      </c:pt>
                      <c:pt idx="309">
                        <c:v>-17750.243366097115</c:v>
                      </c:pt>
                      <c:pt idx="310">
                        <c:v>-17703.793398533224</c:v>
                      </c:pt>
                      <c:pt idx="311">
                        <c:v>-17658.042877743999</c:v>
                      </c:pt>
                      <c:pt idx="312">
                        <c:v>-17613.005739781256</c:v>
                      </c:pt>
                      <c:pt idx="313">
                        <c:v>-17568.69570339351</c:v>
                      </c:pt>
                      <c:pt idx="314">
                        <c:v>-17525.126265847084</c:v>
                      </c:pt>
                      <c:pt idx="315">
                        <c:v>-17482.310698814723</c:v>
                      </c:pt>
                      <c:pt idx="316">
                        <c:v>-17440.262044332903</c:v>
                      </c:pt>
                      <c:pt idx="317">
                        <c:v>-17398.99311082912</c:v>
                      </c:pt>
                      <c:pt idx="318">
                        <c:v>-17358.5164692203</c:v>
                      </c:pt>
                      <c:pt idx="319">
                        <c:v>-17318.844449083579</c:v>
                      </c:pt>
                      <c:pt idx="320">
                        <c:v>-17279.989134900603</c:v>
                      </c:pt>
                      <c:pt idx="321">
                        <c:v>-17241.962362376475</c:v>
                      </c:pt>
                      <c:pt idx="322">
                        <c:v>-17204.775714834475</c:v>
                      </c:pt>
                      <c:pt idx="323">
                        <c:v>-17168.440519687683</c:v>
                      </c:pt>
                      <c:pt idx="324">
                        <c:v>-17132.967844988529</c:v>
                      </c:pt>
                      <c:pt idx="325">
                        <c:v>-17098.368496057356</c:v>
                      </c:pt>
                      <c:pt idx="326">
                        <c:v>-17064.653012191015</c:v>
                      </c:pt>
                      <c:pt idx="327">
                        <c:v>-17031.831663452511</c:v>
                      </c:pt>
                      <c:pt idx="328">
                        <c:v>-16999.914447542607</c:v>
                      </c:pt>
                      <c:pt idx="329">
                        <c:v>-16968.911086754466</c:v>
                      </c:pt>
                      <c:pt idx="330">
                        <c:v>-16938.831025012114</c:v>
                      </c:pt>
                      <c:pt idx="331">
                        <c:v>-16909.683424993756</c:v>
                      </c:pt>
                      <c:pt idx="332">
                        <c:v>-16881.477165340712</c:v>
                      </c:pt>
                      <c:pt idx="333">
                        <c:v>-16854.220837952915</c:v>
                      </c:pt>
                      <c:pt idx="334">
                        <c:v>-16827.922745371725</c:v>
                      </c:pt>
                      <c:pt idx="335">
                        <c:v>-16802.590898250895</c:v>
                      </c:pt>
                      <c:pt idx="336">
                        <c:v>-16778.233012916462</c:v>
                      </c:pt>
                      <c:pt idx="337">
                        <c:v>-16754.856509016245</c:v>
                      </c:pt>
                      <c:pt idx="338">
                        <c:v>-16732.468507259793</c:v>
                      </c:pt>
                      <c:pt idx="339">
                        <c:v>-16711.075827249319</c:v>
                      </c:pt>
                      <c:pt idx="340">
                        <c:v>-16690.684985402393</c:v>
                      </c:pt>
                      <c:pt idx="341">
                        <c:v>-16671.302192966963</c:v>
                      </c:pt>
                      <c:pt idx="342">
                        <c:v>-16652.933354129374</c:v>
                      </c:pt>
                      <c:pt idx="343">
                        <c:v>-16635.584064215884</c:v>
                      </c:pt>
                      <c:pt idx="344">
                        <c:v>-16619.259607988261</c:v>
                      </c:pt>
                      <c:pt idx="345">
                        <c:v>-16603.964958034012</c:v>
                      </c:pt>
                      <c:pt idx="346">
                        <c:v>-16589.704773251677</c:v>
                      </c:pt>
                      <c:pt idx="347">
                        <c:v>-16576.483397431679</c:v>
                      </c:pt>
                      <c:pt idx="348">
                        <c:v>-16564.304857933177</c:v>
                      </c:pt>
                      <c:pt idx="349">
                        <c:v>-16553.172864457272</c:v>
                      </c:pt>
                      <c:pt idx="350">
                        <c:v>-16543.090807917019</c:v>
                      </c:pt>
                      <c:pt idx="351">
                        <c:v>-16534.061759404503</c:v>
                      </c:pt>
                      <c:pt idx="352">
                        <c:v>-16526.088469255374</c:v>
                      </c:pt>
                      <c:pt idx="353">
                        <c:v>-16519.173366211042</c:v>
                      </c:pt>
                      <c:pt idx="354">
                        <c:v>-16513.318556678889</c:v>
                      </c:pt>
                      <c:pt idx="355">
                        <c:v>-16508.525824090615</c:v>
                      </c:pt>
                      <c:pt idx="356">
                        <c:v>-16504.796628358992</c:v>
                      </c:pt>
                      <c:pt idx="357">
                        <c:v>-16502.132105433164</c:v>
                      </c:pt>
                      <c:pt idx="358">
                        <c:v>-16500.53306695263</c:v>
                      </c:pt>
                      <c:pt idx="359">
                        <c:v>-16500</c:v>
                      </c:pt>
                      <c:pt idx="360">
                        <c:v>-16500.53306695263</c:v>
                      </c:pt>
                      <c:pt idx="361">
                        <c:v>-16502.132105433164</c:v>
                      </c:pt>
                      <c:pt idx="362">
                        <c:v>-16504.796628358992</c:v>
                      </c:pt>
                      <c:pt idx="363">
                        <c:v>-16508.525824090615</c:v>
                      </c:pt>
                      <c:pt idx="364">
                        <c:v>-16513.318556678892</c:v>
                      </c:pt>
                      <c:pt idx="365">
                        <c:v>-16519.173366211042</c:v>
                      </c:pt>
                      <c:pt idx="366">
                        <c:v>-16526.088469255374</c:v>
                      </c:pt>
                      <c:pt idx="367">
                        <c:v>-16534.061759404503</c:v>
                      </c:pt>
                      <c:pt idx="368">
                        <c:v>-16543.090807917019</c:v>
                      </c:pt>
                      <c:pt idx="369">
                        <c:v>-16553.172864457272</c:v>
                      </c:pt>
                      <c:pt idx="370">
                        <c:v>-16564.304857933177</c:v>
                      </c:pt>
                      <c:pt idx="371">
                        <c:v>-16576.483397431679</c:v>
                      </c:pt>
                      <c:pt idx="372">
                        <c:v>-16589.704773251677</c:v>
                      </c:pt>
                      <c:pt idx="373">
                        <c:v>-16603.964958034012</c:v>
                      </c:pt>
                      <c:pt idx="374">
                        <c:v>-16619.259607988261</c:v>
                      </c:pt>
                      <c:pt idx="375">
                        <c:v>-16635.584064215884</c:v>
                      </c:pt>
                      <c:pt idx="376">
                        <c:v>-16652.933354129374</c:v>
                      </c:pt>
                      <c:pt idx="377">
                        <c:v>-16671.302192966963</c:v>
                      </c:pt>
                      <c:pt idx="378">
                        <c:v>-16690.684985402389</c:v>
                      </c:pt>
                      <c:pt idx="379">
                        <c:v>-16711.075827249322</c:v>
                      </c:pt>
                      <c:pt idx="380">
                        <c:v>-16732.468507259793</c:v>
                      </c:pt>
                      <c:pt idx="381">
                        <c:v>-16754.856509016245</c:v>
                      </c:pt>
                      <c:pt idx="382">
                        <c:v>-16778.233012916458</c:v>
                      </c:pt>
                      <c:pt idx="383">
                        <c:v>-16802.590898250895</c:v>
                      </c:pt>
                      <c:pt idx="384">
                        <c:v>-16827.922745371725</c:v>
                      </c:pt>
                      <c:pt idx="385">
                        <c:v>-16854.220837952915</c:v>
                      </c:pt>
                      <c:pt idx="386">
                        <c:v>-16881.477165340715</c:v>
                      </c:pt>
                      <c:pt idx="387">
                        <c:v>-16909.683424993753</c:v>
                      </c:pt>
                      <c:pt idx="388">
                        <c:v>-16938.831025012114</c:v>
                      </c:pt>
                      <c:pt idx="389">
                        <c:v>-16968.911086754462</c:v>
                      </c:pt>
                      <c:pt idx="390">
                        <c:v>-16999.914447542607</c:v>
                      </c:pt>
                      <c:pt idx="391">
                        <c:v>-17031.831663452507</c:v>
                      </c:pt>
                      <c:pt idx="392">
                        <c:v>-17064.653012191015</c:v>
                      </c:pt>
                      <c:pt idx="393">
                        <c:v>-17098.368496057352</c:v>
                      </c:pt>
                      <c:pt idx="394">
                        <c:v>-17132.967844988529</c:v>
                      </c:pt>
                      <c:pt idx="395">
                        <c:v>-17168.440519687687</c:v>
                      </c:pt>
                      <c:pt idx="396">
                        <c:v>-17204.775714834475</c:v>
                      </c:pt>
                      <c:pt idx="397">
                        <c:v>-17241.962362376475</c:v>
                      </c:pt>
                      <c:pt idx="398">
                        <c:v>-17279.989134900599</c:v>
                      </c:pt>
                      <c:pt idx="399">
                        <c:v>-17318.844449083575</c:v>
                      </c:pt>
                      <c:pt idx="400">
                        <c:v>-17358.516469220296</c:v>
                      </c:pt>
                      <c:pt idx="401">
                        <c:v>-17398.99311082912</c:v>
                      </c:pt>
                      <c:pt idx="402">
                        <c:v>-17440.2620443329</c:v>
                      </c:pt>
                      <c:pt idx="403">
                        <c:v>-17482.310698814719</c:v>
                      </c:pt>
                      <c:pt idx="404">
                        <c:v>-17525.126265847081</c:v>
                      </c:pt>
                      <c:pt idx="405">
                        <c:v>-17568.69570339351</c:v>
                      </c:pt>
                      <c:pt idx="406">
                        <c:v>-17613.005739781256</c:v>
                      </c:pt>
                      <c:pt idx="407">
                        <c:v>-17658.042877743996</c:v>
                      </c:pt>
                      <c:pt idx="408">
                        <c:v>-17703.793398533224</c:v>
                      </c:pt>
                      <c:pt idx="409">
                        <c:v>-17750.243366097111</c:v>
                      </c:pt>
                      <c:pt idx="410">
                        <c:v>-17797.37863132557</c:v>
                      </c:pt>
                      <c:pt idx="411">
                        <c:v>-17845.184836360193</c:v>
                      </c:pt>
                      <c:pt idx="412">
                        <c:v>-17893.64741896783</c:v>
                      </c:pt>
                      <c:pt idx="413">
                        <c:v>-17942.75161697634</c:v>
                      </c:pt>
                      <c:pt idx="414">
                        <c:v>-17992.482472771339</c:v>
                      </c:pt>
                      <c:pt idx="415">
                        <c:v>-18042.824837852386</c:v>
                      </c:pt>
                      <c:pt idx="416">
                        <c:v>-18093.763377447405</c:v>
                      </c:pt>
                      <c:pt idx="417">
                        <c:v>-18145.282575183781</c:v>
                      </c:pt>
                      <c:pt idx="418">
                        <c:v>-18197.366737814809</c:v>
                      </c:pt>
                      <c:pt idx="419">
                        <c:v>-18250</c:v>
                      </c:pt>
                      <c:pt idx="420">
                        <c:v>-18303.166329137817</c:v>
                      </c:pt>
                      <c:pt idx="421">
                        <c:v>-18356.849530249383</c:v>
                      </c:pt>
                      <c:pt idx="422">
                        <c:v>-18411.033250911587</c:v>
                      </c:pt>
                      <c:pt idx="423">
                        <c:v>-18465.700986238229</c:v>
                      </c:pt>
                      <c:pt idx="424">
                        <c:v>-18520.83608390755</c:v>
                      </c:pt>
                      <c:pt idx="425">
                        <c:v>-18576.421749234698</c:v>
                      </c:pt>
                      <c:pt idx="426">
                        <c:v>-18632.441050287543</c:v>
                      </c:pt>
                      <c:pt idx="427">
                        <c:v>-18688.876923044307</c:v>
                      </c:pt>
                      <c:pt idx="428">
                        <c:v>-18745.712176591449</c:v>
                      </c:pt>
                      <c:pt idx="429">
                        <c:v>-18802.929498360158</c:v>
                      </c:pt>
                      <c:pt idx="430">
                        <c:v>-18860.51145939995</c:v>
                      </c:pt>
                      <c:pt idx="431">
                        <c:v>-18918.440519687683</c:v>
                      </c:pt>
                      <c:pt idx="432">
                        <c:v>-18976.699033470424</c:v>
                      </c:pt>
                      <c:pt idx="433">
                        <c:v>-19035.269254640501</c:v>
                      </c:pt>
                      <c:pt idx="434">
                        <c:v>-19094.133342141176</c:v>
                      </c:pt>
                      <c:pt idx="435">
                        <c:v>-19153.273365401161</c:v>
                      </c:pt>
                      <c:pt idx="436">
                        <c:v>-19212.671309796471</c:v>
                      </c:pt>
                      <c:pt idx="437">
                        <c:v>-19272.309082137843</c:v>
                      </c:pt>
                      <c:pt idx="438">
                        <c:v>-19332.16851618209</c:v>
                      </c:pt>
                      <c:pt idx="439">
                        <c:v>-19392.231378165743</c:v>
                      </c:pt>
                      <c:pt idx="440">
                        <c:v>-19452.47937235919</c:v>
                      </c:pt>
                      <c:pt idx="441">
                        <c:v>-19512.894146639774</c:v>
                      </c:pt>
                      <c:pt idx="442">
                        <c:v>-19573.457298081983</c:v>
                      </c:pt>
                      <c:pt idx="443">
                        <c:v>-19634.150378563212</c:v>
                      </c:pt>
                      <c:pt idx="444">
                        <c:v>-19694.954900383193</c:v>
                      </c:pt>
                      <c:pt idx="445">
                        <c:v>-19755.852341895559</c:v>
                      </c:pt>
                      <c:pt idx="446">
                        <c:v>-19816.824153149693</c:v>
                      </c:pt>
                      <c:pt idx="447">
                        <c:v>-19877.851761541246</c:v>
                      </c:pt>
                      <c:pt idx="448">
                        <c:v>-19938.916577469507</c:v>
                      </c:pt>
                      <c:pt idx="449">
                        <c:v>-20000</c:v>
                      </c:pt>
                      <c:pt idx="450">
                        <c:v>-20061.083422530493</c:v>
                      </c:pt>
                      <c:pt idx="451">
                        <c:v>-20122.148238458751</c:v>
                      </c:pt>
                      <c:pt idx="452">
                        <c:v>-20183.175846850303</c:v>
                      </c:pt>
                      <c:pt idx="453">
                        <c:v>-20244.147658104434</c:v>
                      </c:pt>
                      <c:pt idx="454">
                        <c:v>-20305.045099616804</c:v>
                      </c:pt>
                      <c:pt idx="455">
                        <c:v>-20365.849621436784</c:v>
                      </c:pt>
                      <c:pt idx="456">
                        <c:v>-20426.542701918017</c:v>
                      </c:pt>
                      <c:pt idx="457">
                        <c:v>-20487.105853360226</c:v>
                      </c:pt>
                      <c:pt idx="458">
                        <c:v>-20547.520627640803</c:v>
                      </c:pt>
                      <c:pt idx="459">
                        <c:v>-20607.768621834253</c:v>
                      </c:pt>
                      <c:pt idx="460">
                        <c:v>-20667.831483817907</c:v>
                      </c:pt>
                      <c:pt idx="461">
                        <c:v>-20727.690917862161</c:v>
                      </c:pt>
                      <c:pt idx="462">
                        <c:v>-20787.328690203525</c:v>
                      </c:pt>
                      <c:pt idx="463">
                        <c:v>-20846.726634598839</c:v>
                      </c:pt>
                      <c:pt idx="464">
                        <c:v>-20905.86665785882</c:v>
                      </c:pt>
                      <c:pt idx="465">
                        <c:v>-20964.730745359499</c:v>
                      </c:pt>
                      <c:pt idx="466">
                        <c:v>-21023.300966529576</c:v>
                      </c:pt>
                      <c:pt idx="467">
                        <c:v>-21081.559480312317</c:v>
                      </c:pt>
                      <c:pt idx="468">
                        <c:v>-21139.488540600043</c:v>
                      </c:pt>
                      <c:pt idx="469">
                        <c:v>-21197.070501639839</c:v>
                      </c:pt>
                      <c:pt idx="470">
                        <c:v>-21254.287823408551</c:v>
                      </c:pt>
                      <c:pt idx="471">
                        <c:v>-21311.12307695569</c:v>
                      </c:pt>
                      <c:pt idx="472">
                        <c:v>-21367.558949712457</c:v>
                      </c:pt>
                      <c:pt idx="473">
                        <c:v>-21423.578250765302</c:v>
                      </c:pt>
                      <c:pt idx="474">
                        <c:v>-21479.163916092446</c:v>
                      </c:pt>
                      <c:pt idx="475">
                        <c:v>-21534.299013761771</c:v>
                      </c:pt>
                      <c:pt idx="476">
                        <c:v>-21588.966749088417</c:v>
                      </c:pt>
                      <c:pt idx="477">
                        <c:v>-21643.150469750617</c:v>
                      </c:pt>
                      <c:pt idx="478">
                        <c:v>-21696.833670862179</c:v>
                      </c:pt>
                      <c:pt idx="479">
                        <c:v>-21749.999999999996</c:v>
                      </c:pt>
                      <c:pt idx="480">
                        <c:v>-21802.633262185191</c:v>
                      </c:pt>
                      <c:pt idx="481">
                        <c:v>-21854.717424816219</c:v>
                      </c:pt>
                      <c:pt idx="482">
                        <c:v>-21906.236622552591</c:v>
                      </c:pt>
                      <c:pt idx="483">
                        <c:v>-21957.175162147614</c:v>
                      </c:pt>
                      <c:pt idx="484">
                        <c:v>-22007.517527228658</c:v>
                      </c:pt>
                      <c:pt idx="485">
                        <c:v>-22057.248383023656</c:v>
                      </c:pt>
                      <c:pt idx="486">
                        <c:v>-22106.352581032166</c:v>
                      </c:pt>
                      <c:pt idx="487">
                        <c:v>-22154.815163639803</c:v>
                      </c:pt>
                      <c:pt idx="488">
                        <c:v>-22202.62136867443</c:v>
                      </c:pt>
                      <c:pt idx="489">
                        <c:v>-22249.756633902885</c:v>
                      </c:pt>
                      <c:pt idx="490">
                        <c:v>-22296.206601466773</c:v>
                      </c:pt>
                      <c:pt idx="491">
                        <c:v>-22341.957122256004</c:v>
                      </c:pt>
                      <c:pt idx="492">
                        <c:v>-22386.994260218748</c:v>
                      </c:pt>
                      <c:pt idx="493">
                        <c:v>-22431.30429660649</c:v>
                      </c:pt>
                      <c:pt idx="494">
                        <c:v>-22474.873734152919</c:v>
                      </c:pt>
                      <c:pt idx="495">
                        <c:v>-22517.689301185277</c:v>
                      </c:pt>
                      <c:pt idx="496">
                        <c:v>-22559.737955667097</c:v>
                      </c:pt>
                      <c:pt idx="497">
                        <c:v>-22601.006889170876</c:v>
                      </c:pt>
                      <c:pt idx="498">
                        <c:v>-22641.4835307797</c:v>
                      </c:pt>
                      <c:pt idx="499">
                        <c:v>-22681.155550916421</c:v>
                      </c:pt>
                      <c:pt idx="500">
                        <c:v>-22720.010865099397</c:v>
                      </c:pt>
                      <c:pt idx="501">
                        <c:v>-22758.037637623529</c:v>
                      </c:pt>
                      <c:pt idx="502">
                        <c:v>-22795.224285165525</c:v>
                      </c:pt>
                      <c:pt idx="503">
                        <c:v>-22831.559480312317</c:v>
                      </c:pt>
                      <c:pt idx="504">
                        <c:v>-22867.032155011468</c:v>
                      </c:pt>
                      <c:pt idx="505">
                        <c:v>-22901.631503942644</c:v>
                      </c:pt>
                      <c:pt idx="506">
                        <c:v>-22935.346987808985</c:v>
                      </c:pt>
                      <c:pt idx="507">
                        <c:v>-22968.168336547493</c:v>
                      </c:pt>
                      <c:pt idx="508">
                        <c:v>-23000.085552457393</c:v>
                      </c:pt>
                      <c:pt idx="509">
                        <c:v>-23031.088913245534</c:v>
                      </c:pt>
                      <c:pt idx="510">
                        <c:v>-23061.168974987882</c:v>
                      </c:pt>
                      <c:pt idx="511">
                        <c:v>-23090.316575006244</c:v>
                      </c:pt>
                      <c:pt idx="512">
                        <c:v>-23118.522834659288</c:v>
                      </c:pt>
                      <c:pt idx="513">
                        <c:v>-23145.779162047082</c:v>
                      </c:pt>
                      <c:pt idx="514">
                        <c:v>-23172.077254628275</c:v>
                      </c:pt>
                      <c:pt idx="515">
                        <c:v>-23197.409101749101</c:v>
                      </c:pt>
                      <c:pt idx="516">
                        <c:v>-23221.766987083542</c:v>
                      </c:pt>
                      <c:pt idx="517">
                        <c:v>-23245.143490983755</c:v>
                      </c:pt>
                      <c:pt idx="518">
                        <c:v>-23267.531492740207</c:v>
                      </c:pt>
                      <c:pt idx="519">
                        <c:v>-23288.924172750681</c:v>
                      </c:pt>
                      <c:pt idx="520">
                        <c:v>-23309.315014597607</c:v>
                      </c:pt>
                      <c:pt idx="521">
                        <c:v>-23328.697807033037</c:v>
                      </c:pt>
                      <c:pt idx="522">
                        <c:v>-23347.066645870626</c:v>
                      </c:pt>
                      <c:pt idx="523">
                        <c:v>-23364.415935784116</c:v>
                      </c:pt>
                      <c:pt idx="524">
                        <c:v>-23380.740392011739</c:v>
                      </c:pt>
                      <c:pt idx="525">
                        <c:v>-23396.035041965988</c:v>
                      </c:pt>
                      <c:pt idx="526">
                        <c:v>-23410.295226748323</c:v>
                      </c:pt>
                      <c:pt idx="527">
                        <c:v>-23423.516602568321</c:v>
                      </c:pt>
                      <c:pt idx="528">
                        <c:v>-23435.695142066823</c:v>
                      </c:pt>
                      <c:pt idx="529">
                        <c:v>-23446.827135542728</c:v>
                      </c:pt>
                      <c:pt idx="530">
                        <c:v>-23456.909192082981</c:v>
                      </c:pt>
                      <c:pt idx="531">
                        <c:v>-23465.938240595497</c:v>
                      </c:pt>
                      <c:pt idx="532">
                        <c:v>-23473.911530744626</c:v>
                      </c:pt>
                      <c:pt idx="533">
                        <c:v>-23480.826633788958</c:v>
                      </c:pt>
                      <c:pt idx="534">
                        <c:v>-23486.681443321111</c:v>
                      </c:pt>
                      <c:pt idx="535">
                        <c:v>-23491.474175909385</c:v>
                      </c:pt>
                      <c:pt idx="536">
                        <c:v>-23495.203371641008</c:v>
                      </c:pt>
                      <c:pt idx="537">
                        <c:v>-23497.867894566836</c:v>
                      </c:pt>
                      <c:pt idx="538">
                        <c:v>-23499.46693304737</c:v>
                      </c:pt>
                      <c:pt idx="539">
                        <c:v>-23500</c:v>
                      </c:pt>
                      <c:pt idx="540">
                        <c:v>-23499.46693304737</c:v>
                      </c:pt>
                      <c:pt idx="541">
                        <c:v>-23497.867894566836</c:v>
                      </c:pt>
                      <c:pt idx="542">
                        <c:v>-23495.203371641008</c:v>
                      </c:pt>
                      <c:pt idx="543">
                        <c:v>-23491.474175909385</c:v>
                      </c:pt>
                      <c:pt idx="544">
                        <c:v>-23486.681443321111</c:v>
                      </c:pt>
                      <c:pt idx="545">
                        <c:v>-23480.826633788958</c:v>
                      </c:pt>
                      <c:pt idx="546">
                        <c:v>-23473.911530744626</c:v>
                      </c:pt>
                      <c:pt idx="547">
                        <c:v>-23465.938240595497</c:v>
                      </c:pt>
                      <c:pt idx="548">
                        <c:v>-23456.909192082981</c:v>
                      </c:pt>
                      <c:pt idx="549">
                        <c:v>-23446.827135542728</c:v>
                      </c:pt>
                      <c:pt idx="550">
                        <c:v>-23435.695142066827</c:v>
                      </c:pt>
                      <c:pt idx="551">
                        <c:v>-23423.516602568321</c:v>
                      </c:pt>
                      <c:pt idx="552">
                        <c:v>-23410.295226748323</c:v>
                      </c:pt>
                      <c:pt idx="553">
                        <c:v>-23396.035041965988</c:v>
                      </c:pt>
                      <c:pt idx="554">
                        <c:v>-23380.740392011739</c:v>
                      </c:pt>
                      <c:pt idx="555">
                        <c:v>-23364.415935784116</c:v>
                      </c:pt>
                      <c:pt idx="556">
                        <c:v>-23347.066645870626</c:v>
                      </c:pt>
                      <c:pt idx="557">
                        <c:v>-23328.697807033037</c:v>
                      </c:pt>
                      <c:pt idx="558">
                        <c:v>-23309.315014597611</c:v>
                      </c:pt>
                      <c:pt idx="559">
                        <c:v>-23288.924172750681</c:v>
                      </c:pt>
                      <c:pt idx="560">
                        <c:v>-23267.531492740207</c:v>
                      </c:pt>
                      <c:pt idx="561">
                        <c:v>-23245.143490983759</c:v>
                      </c:pt>
                      <c:pt idx="562">
                        <c:v>-23221.766987083542</c:v>
                      </c:pt>
                      <c:pt idx="563">
                        <c:v>-23197.409101749105</c:v>
                      </c:pt>
                      <c:pt idx="564">
                        <c:v>-23172.077254628275</c:v>
                      </c:pt>
                      <c:pt idx="565">
                        <c:v>-23145.779162047085</c:v>
                      </c:pt>
                      <c:pt idx="566">
                        <c:v>-23118.522834659288</c:v>
                      </c:pt>
                      <c:pt idx="567">
                        <c:v>-23090.316575006247</c:v>
                      </c:pt>
                      <c:pt idx="568">
                        <c:v>-23061.168974987886</c:v>
                      </c:pt>
                      <c:pt idx="569">
                        <c:v>-23031.088913245534</c:v>
                      </c:pt>
                      <c:pt idx="570">
                        <c:v>-23000.085552457393</c:v>
                      </c:pt>
                      <c:pt idx="571">
                        <c:v>-22968.168336547489</c:v>
                      </c:pt>
                      <c:pt idx="572">
                        <c:v>-22935.346987808985</c:v>
                      </c:pt>
                      <c:pt idx="573">
                        <c:v>-22901.631503942644</c:v>
                      </c:pt>
                      <c:pt idx="574">
                        <c:v>-22867.032155011475</c:v>
                      </c:pt>
                      <c:pt idx="575">
                        <c:v>-22831.559480312317</c:v>
                      </c:pt>
                      <c:pt idx="576">
                        <c:v>-22795.224285165525</c:v>
                      </c:pt>
                      <c:pt idx="577">
                        <c:v>-22758.037637623529</c:v>
                      </c:pt>
                      <c:pt idx="578">
                        <c:v>-22720.010865099397</c:v>
                      </c:pt>
                      <c:pt idx="579">
                        <c:v>-22681.155550916425</c:v>
                      </c:pt>
                      <c:pt idx="580">
                        <c:v>-22641.483530779704</c:v>
                      </c:pt>
                      <c:pt idx="581">
                        <c:v>-22601.006889170883</c:v>
                      </c:pt>
                      <c:pt idx="582">
                        <c:v>-22559.7379556671</c:v>
                      </c:pt>
                      <c:pt idx="583">
                        <c:v>-22517.689301185281</c:v>
                      </c:pt>
                      <c:pt idx="584">
                        <c:v>-22474.873734152916</c:v>
                      </c:pt>
                      <c:pt idx="585">
                        <c:v>-22431.304296606493</c:v>
                      </c:pt>
                      <c:pt idx="586">
                        <c:v>-22386.994260218744</c:v>
                      </c:pt>
                      <c:pt idx="587">
                        <c:v>-22341.957122256001</c:v>
                      </c:pt>
                      <c:pt idx="588">
                        <c:v>-22296.206601466776</c:v>
                      </c:pt>
                      <c:pt idx="589">
                        <c:v>-22249.756633902885</c:v>
                      </c:pt>
                      <c:pt idx="590">
                        <c:v>-22202.621368674434</c:v>
                      </c:pt>
                      <c:pt idx="591">
                        <c:v>-22154.815163639803</c:v>
                      </c:pt>
                      <c:pt idx="592">
                        <c:v>-22106.352581032173</c:v>
                      </c:pt>
                      <c:pt idx="593">
                        <c:v>-22057.248383023656</c:v>
                      </c:pt>
                      <c:pt idx="594">
                        <c:v>-22007.517527228665</c:v>
                      </c:pt>
                      <c:pt idx="595">
                        <c:v>-21957.175162147618</c:v>
                      </c:pt>
                      <c:pt idx="596">
                        <c:v>-21906.236622552598</c:v>
                      </c:pt>
                      <c:pt idx="597">
                        <c:v>-21854.717424816219</c:v>
                      </c:pt>
                      <c:pt idx="598">
                        <c:v>-21802.633262185191</c:v>
                      </c:pt>
                      <c:pt idx="599">
                        <c:v>-21750</c:v>
                      </c:pt>
                      <c:pt idx="600">
                        <c:v>-21696.833670862175</c:v>
                      </c:pt>
                      <c:pt idx="601">
                        <c:v>-21643.150469750617</c:v>
                      </c:pt>
                      <c:pt idx="602">
                        <c:v>-21588.966749088413</c:v>
                      </c:pt>
                      <c:pt idx="603">
                        <c:v>-21534.299013761774</c:v>
                      </c:pt>
                      <c:pt idx="604">
                        <c:v>-21479.163916092446</c:v>
                      </c:pt>
                      <c:pt idx="605">
                        <c:v>-21423.578250765306</c:v>
                      </c:pt>
                      <c:pt idx="606">
                        <c:v>-21367.55894971246</c:v>
                      </c:pt>
                      <c:pt idx="607">
                        <c:v>-21311.123076955697</c:v>
                      </c:pt>
                      <c:pt idx="608">
                        <c:v>-21254.287823408555</c:v>
                      </c:pt>
                      <c:pt idx="609">
                        <c:v>-21197.070501639842</c:v>
                      </c:pt>
                      <c:pt idx="610">
                        <c:v>-21139.48854060005</c:v>
                      </c:pt>
                      <c:pt idx="611">
                        <c:v>-21081.559480312317</c:v>
                      </c:pt>
                      <c:pt idx="612">
                        <c:v>-21023.300966529583</c:v>
                      </c:pt>
                      <c:pt idx="613">
                        <c:v>-20964.730745359499</c:v>
                      </c:pt>
                      <c:pt idx="614">
                        <c:v>-20905.866657858824</c:v>
                      </c:pt>
                      <c:pt idx="615">
                        <c:v>-20846.726634598836</c:v>
                      </c:pt>
                      <c:pt idx="616">
                        <c:v>-20787.328690203529</c:v>
                      </c:pt>
                      <c:pt idx="617">
                        <c:v>-20727.690917862157</c:v>
                      </c:pt>
                      <c:pt idx="618">
                        <c:v>-20667.831483817903</c:v>
                      </c:pt>
                      <c:pt idx="619">
                        <c:v>-20607.768621834257</c:v>
                      </c:pt>
                      <c:pt idx="620">
                        <c:v>-20547.520627640806</c:v>
                      </c:pt>
                      <c:pt idx="621">
                        <c:v>-20487.10585336023</c:v>
                      </c:pt>
                      <c:pt idx="622">
                        <c:v>-20426.542701918017</c:v>
                      </c:pt>
                      <c:pt idx="623">
                        <c:v>-20365.849621436791</c:v>
                      </c:pt>
                      <c:pt idx="624">
                        <c:v>-20305.045099616804</c:v>
                      </c:pt>
                      <c:pt idx="625">
                        <c:v>-20244.147658104444</c:v>
                      </c:pt>
                      <c:pt idx="626">
                        <c:v>-20183.175846850307</c:v>
                      </c:pt>
                      <c:pt idx="627">
                        <c:v>-20122.148238458758</c:v>
                      </c:pt>
                      <c:pt idx="628">
                        <c:v>-20061.083422530497</c:v>
                      </c:pt>
                      <c:pt idx="629">
                        <c:v>-20000</c:v>
                      </c:pt>
                      <c:pt idx="630">
                        <c:v>-19938.916577469507</c:v>
                      </c:pt>
                      <c:pt idx="631">
                        <c:v>-19877.851761541249</c:v>
                      </c:pt>
                      <c:pt idx="632">
                        <c:v>-19816.824153149697</c:v>
                      </c:pt>
                      <c:pt idx="633">
                        <c:v>-19755.852341895559</c:v>
                      </c:pt>
                      <c:pt idx="634">
                        <c:v>-19694.9549003832</c:v>
                      </c:pt>
                      <c:pt idx="635">
                        <c:v>-19634.150378563212</c:v>
                      </c:pt>
                      <c:pt idx="636">
                        <c:v>-19573.457298081987</c:v>
                      </c:pt>
                      <c:pt idx="637">
                        <c:v>-19512.89414663977</c:v>
                      </c:pt>
                      <c:pt idx="638">
                        <c:v>-19452.479372359197</c:v>
                      </c:pt>
                      <c:pt idx="639">
                        <c:v>-19392.231378165747</c:v>
                      </c:pt>
                      <c:pt idx="640">
                        <c:v>-19332.168516182093</c:v>
                      </c:pt>
                      <c:pt idx="641">
                        <c:v>-19272.309082137846</c:v>
                      </c:pt>
                      <c:pt idx="642">
                        <c:v>-19212.671309796475</c:v>
                      </c:pt>
                      <c:pt idx="643">
                        <c:v>-19153.273365401168</c:v>
                      </c:pt>
                      <c:pt idx="644">
                        <c:v>-19094.13334214118</c:v>
                      </c:pt>
                      <c:pt idx="645">
                        <c:v>-19035.269254640501</c:v>
                      </c:pt>
                      <c:pt idx="646">
                        <c:v>-18976.699033470421</c:v>
                      </c:pt>
                      <c:pt idx="647">
                        <c:v>-18918.440519687687</c:v>
                      </c:pt>
                      <c:pt idx="648">
                        <c:v>-18860.51145939995</c:v>
                      </c:pt>
                      <c:pt idx="649">
                        <c:v>-18802.929498360161</c:v>
                      </c:pt>
                      <c:pt idx="650">
                        <c:v>-18745.712176591449</c:v>
                      </c:pt>
                      <c:pt idx="651">
                        <c:v>-18688.87692304431</c:v>
                      </c:pt>
                      <c:pt idx="652">
                        <c:v>-18632.44105028754</c:v>
                      </c:pt>
                      <c:pt idx="653">
                        <c:v>-18576.421749234698</c:v>
                      </c:pt>
                      <c:pt idx="654">
                        <c:v>-18520.836083907554</c:v>
                      </c:pt>
                      <c:pt idx="655">
                        <c:v>-18465.700986238237</c:v>
                      </c:pt>
                      <c:pt idx="656">
                        <c:v>-18411.033250911583</c:v>
                      </c:pt>
                      <c:pt idx="657">
                        <c:v>-18356.849530249383</c:v>
                      </c:pt>
                      <c:pt idx="658">
                        <c:v>-18303.166329137825</c:v>
                      </c:pt>
                      <c:pt idx="659">
                        <c:v>-18250.000000000004</c:v>
                      </c:pt>
                      <c:pt idx="660">
                        <c:v>-18197.366737814809</c:v>
                      </c:pt>
                      <c:pt idx="661">
                        <c:v>-18145.282575183781</c:v>
                      </c:pt>
                      <c:pt idx="662">
                        <c:v>-18093.763377447409</c:v>
                      </c:pt>
                      <c:pt idx="663">
                        <c:v>-18042.824837852386</c:v>
                      </c:pt>
                      <c:pt idx="664">
                        <c:v>-17992.482472771339</c:v>
                      </c:pt>
                      <c:pt idx="665">
                        <c:v>-17942.751616976344</c:v>
                      </c:pt>
                      <c:pt idx="666">
                        <c:v>-17893.647418967834</c:v>
                      </c:pt>
                      <c:pt idx="667">
                        <c:v>-17845.184836360193</c:v>
                      </c:pt>
                      <c:pt idx="668">
                        <c:v>-17797.37863132557</c:v>
                      </c:pt>
                      <c:pt idx="669">
                        <c:v>-17750.243366097115</c:v>
                      </c:pt>
                      <c:pt idx="670">
                        <c:v>-17703.793398533231</c:v>
                      </c:pt>
                      <c:pt idx="671">
                        <c:v>-17658.042877743996</c:v>
                      </c:pt>
                      <c:pt idx="672">
                        <c:v>-17613.005739781256</c:v>
                      </c:pt>
                      <c:pt idx="673">
                        <c:v>-17568.695703393514</c:v>
                      </c:pt>
                      <c:pt idx="674">
                        <c:v>-17525.126265847084</c:v>
                      </c:pt>
                      <c:pt idx="675">
                        <c:v>-17482.310698814723</c:v>
                      </c:pt>
                      <c:pt idx="676">
                        <c:v>-17440.262044332903</c:v>
                      </c:pt>
                      <c:pt idx="677">
                        <c:v>-17398.993110829124</c:v>
                      </c:pt>
                      <c:pt idx="678">
                        <c:v>-17358.5164692203</c:v>
                      </c:pt>
                      <c:pt idx="679">
                        <c:v>-17318.844449083575</c:v>
                      </c:pt>
                      <c:pt idx="680">
                        <c:v>-17279.989134900603</c:v>
                      </c:pt>
                      <c:pt idx="681">
                        <c:v>-17241.962362376478</c:v>
                      </c:pt>
                      <c:pt idx="682">
                        <c:v>-17204.775714834475</c:v>
                      </c:pt>
                      <c:pt idx="683">
                        <c:v>-17168.440519687683</c:v>
                      </c:pt>
                      <c:pt idx="684">
                        <c:v>-17132.967844988532</c:v>
                      </c:pt>
                      <c:pt idx="685">
                        <c:v>-17098.368496057352</c:v>
                      </c:pt>
                      <c:pt idx="686">
                        <c:v>-17064.653012191018</c:v>
                      </c:pt>
                      <c:pt idx="687">
                        <c:v>-17031.831663452511</c:v>
                      </c:pt>
                      <c:pt idx="688">
                        <c:v>-16999.914447542611</c:v>
                      </c:pt>
                      <c:pt idx="689">
                        <c:v>-16968.911086754466</c:v>
                      </c:pt>
                      <c:pt idx="690">
                        <c:v>-16938.831025012118</c:v>
                      </c:pt>
                      <c:pt idx="691">
                        <c:v>-16909.683424993756</c:v>
                      </c:pt>
                      <c:pt idx="692">
                        <c:v>-16881.477165340715</c:v>
                      </c:pt>
                      <c:pt idx="693">
                        <c:v>-16854.220837952918</c:v>
                      </c:pt>
                      <c:pt idx="694">
                        <c:v>-16827.922745371725</c:v>
                      </c:pt>
                      <c:pt idx="695">
                        <c:v>-16802.590898250899</c:v>
                      </c:pt>
                      <c:pt idx="696">
                        <c:v>-16778.233012916455</c:v>
                      </c:pt>
                      <c:pt idx="697">
                        <c:v>-16754.856509016245</c:v>
                      </c:pt>
                      <c:pt idx="698">
                        <c:v>-16732.468507259793</c:v>
                      </c:pt>
                      <c:pt idx="699">
                        <c:v>-16711.075827249322</c:v>
                      </c:pt>
                      <c:pt idx="700">
                        <c:v>-16690.684985402389</c:v>
                      </c:pt>
                      <c:pt idx="701">
                        <c:v>-16671.302192966963</c:v>
                      </c:pt>
                      <c:pt idx="702">
                        <c:v>-16652.933354129378</c:v>
                      </c:pt>
                      <c:pt idx="703">
                        <c:v>-16635.584064215884</c:v>
                      </c:pt>
                      <c:pt idx="704">
                        <c:v>-16619.259607988261</c:v>
                      </c:pt>
                      <c:pt idx="705">
                        <c:v>-16603.964958034012</c:v>
                      </c:pt>
                      <c:pt idx="706">
                        <c:v>-16589.704773251677</c:v>
                      </c:pt>
                      <c:pt idx="707">
                        <c:v>-16576.483397431679</c:v>
                      </c:pt>
                      <c:pt idx="708">
                        <c:v>-16564.304857933177</c:v>
                      </c:pt>
                      <c:pt idx="709">
                        <c:v>-16553.172864457272</c:v>
                      </c:pt>
                      <c:pt idx="710">
                        <c:v>-16543.090807917019</c:v>
                      </c:pt>
                      <c:pt idx="711">
                        <c:v>-16534.061759404503</c:v>
                      </c:pt>
                      <c:pt idx="712">
                        <c:v>-16526.088469255374</c:v>
                      </c:pt>
                      <c:pt idx="713">
                        <c:v>-16519.173366211042</c:v>
                      </c:pt>
                      <c:pt idx="714">
                        <c:v>-16513.318556678889</c:v>
                      </c:pt>
                      <c:pt idx="715">
                        <c:v>-16508.525824090615</c:v>
                      </c:pt>
                      <c:pt idx="716">
                        <c:v>-16504.796628358992</c:v>
                      </c:pt>
                      <c:pt idx="717">
                        <c:v>-16502.132105433164</c:v>
                      </c:pt>
                      <c:pt idx="718">
                        <c:v>-16500.53306695263</c:v>
                      </c:pt>
                      <c:pt idx="719">
                        <c:v>-16500</c:v>
                      </c:pt>
                      <c:pt idx="720">
                        <c:v>-16500.53306695263</c:v>
                      </c:pt>
                      <c:pt idx="721">
                        <c:v>-16502.132105433164</c:v>
                      </c:pt>
                      <c:pt idx="722">
                        <c:v>-16504.796628358992</c:v>
                      </c:pt>
                      <c:pt idx="723">
                        <c:v>-16508.525824090615</c:v>
                      </c:pt>
                      <c:pt idx="724">
                        <c:v>-16513.318556678889</c:v>
                      </c:pt>
                      <c:pt idx="725">
                        <c:v>-16519.173366211042</c:v>
                      </c:pt>
                      <c:pt idx="726">
                        <c:v>-16526.088469255374</c:v>
                      </c:pt>
                      <c:pt idx="727">
                        <c:v>-16534.061759404503</c:v>
                      </c:pt>
                      <c:pt idx="728">
                        <c:v>-16543.090807917019</c:v>
                      </c:pt>
                      <c:pt idx="729">
                        <c:v>-16553.172864457272</c:v>
                      </c:pt>
                      <c:pt idx="730">
                        <c:v>-16564.304857933177</c:v>
                      </c:pt>
                      <c:pt idx="731">
                        <c:v>-16576.483397431679</c:v>
                      </c:pt>
                      <c:pt idx="732">
                        <c:v>-16589.704773251677</c:v>
                      </c:pt>
                      <c:pt idx="733">
                        <c:v>-16603.964958034012</c:v>
                      </c:pt>
                      <c:pt idx="734">
                        <c:v>-16619.259607988261</c:v>
                      </c:pt>
                      <c:pt idx="735">
                        <c:v>-16635.584064215884</c:v>
                      </c:pt>
                      <c:pt idx="736">
                        <c:v>-16652.933354129374</c:v>
                      </c:pt>
                      <c:pt idx="737">
                        <c:v>-16671.302192966963</c:v>
                      </c:pt>
                      <c:pt idx="738">
                        <c:v>-16690.684985402389</c:v>
                      </c:pt>
                      <c:pt idx="739">
                        <c:v>-16711.075827249319</c:v>
                      </c:pt>
                      <c:pt idx="740">
                        <c:v>-16732.468507259793</c:v>
                      </c:pt>
                      <c:pt idx="741">
                        <c:v>-16754.856509016245</c:v>
                      </c:pt>
                      <c:pt idx="742">
                        <c:v>-16778.233012916458</c:v>
                      </c:pt>
                      <c:pt idx="743">
                        <c:v>-16802.590898250895</c:v>
                      </c:pt>
                      <c:pt idx="744">
                        <c:v>-16827.922745371725</c:v>
                      </c:pt>
                      <c:pt idx="745">
                        <c:v>-16854.220837952915</c:v>
                      </c:pt>
                      <c:pt idx="746">
                        <c:v>-16881.477165340712</c:v>
                      </c:pt>
                      <c:pt idx="747">
                        <c:v>-16909.683424993756</c:v>
                      </c:pt>
                      <c:pt idx="748">
                        <c:v>-16938.831025012114</c:v>
                      </c:pt>
                      <c:pt idx="749">
                        <c:v>-16968.911086754462</c:v>
                      </c:pt>
                      <c:pt idx="750">
                        <c:v>-16999.914447542604</c:v>
                      </c:pt>
                      <c:pt idx="751">
                        <c:v>-17031.831663452511</c:v>
                      </c:pt>
                      <c:pt idx="752">
                        <c:v>-17064.653012191015</c:v>
                      </c:pt>
                      <c:pt idx="753">
                        <c:v>-17098.368496057356</c:v>
                      </c:pt>
                      <c:pt idx="754">
                        <c:v>-17132.967844988525</c:v>
                      </c:pt>
                      <c:pt idx="755">
                        <c:v>-17168.440519687683</c:v>
                      </c:pt>
                      <c:pt idx="756">
                        <c:v>-17204.775714834475</c:v>
                      </c:pt>
                      <c:pt idx="757">
                        <c:v>-17241.962362376471</c:v>
                      </c:pt>
                      <c:pt idx="758">
                        <c:v>-17279.989134900603</c:v>
                      </c:pt>
                      <c:pt idx="759">
                        <c:v>-17318.844449083579</c:v>
                      </c:pt>
                      <c:pt idx="760">
                        <c:v>-17358.516469220296</c:v>
                      </c:pt>
                      <c:pt idx="761">
                        <c:v>-17398.993110829117</c:v>
                      </c:pt>
                      <c:pt idx="762">
                        <c:v>-17440.262044332907</c:v>
                      </c:pt>
                      <c:pt idx="763">
                        <c:v>-17482.310698814719</c:v>
                      </c:pt>
                      <c:pt idx="764">
                        <c:v>-17525.126265847081</c:v>
                      </c:pt>
                      <c:pt idx="765">
                        <c:v>-17568.695703393503</c:v>
                      </c:pt>
                      <c:pt idx="766">
                        <c:v>-17613.005739781256</c:v>
                      </c:pt>
                      <c:pt idx="767">
                        <c:v>-17658.042877743992</c:v>
                      </c:pt>
                      <c:pt idx="768">
                        <c:v>-17703.793398533224</c:v>
                      </c:pt>
                      <c:pt idx="769">
                        <c:v>-17750.243366097115</c:v>
                      </c:pt>
                      <c:pt idx="770">
                        <c:v>-17797.378631325566</c:v>
                      </c:pt>
                      <c:pt idx="771">
                        <c:v>-17845.184836360197</c:v>
                      </c:pt>
                      <c:pt idx="772">
                        <c:v>-17893.647418967827</c:v>
                      </c:pt>
                      <c:pt idx="773">
                        <c:v>-17942.751616976348</c:v>
                      </c:pt>
                      <c:pt idx="774">
                        <c:v>-17992.482472771339</c:v>
                      </c:pt>
                      <c:pt idx="775">
                        <c:v>-18042.824837852382</c:v>
                      </c:pt>
                      <c:pt idx="776">
                        <c:v>-18093.763377447398</c:v>
                      </c:pt>
                      <c:pt idx="777">
                        <c:v>-18145.282575183785</c:v>
                      </c:pt>
                      <c:pt idx="778">
                        <c:v>-18197.366737814809</c:v>
                      </c:pt>
                      <c:pt idx="779">
                        <c:v>-18249.999999999996</c:v>
                      </c:pt>
                      <c:pt idx="780">
                        <c:v>-18303.166329137821</c:v>
                      </c:pt>
                      <c:pt idx="781">
                        <c:v>-18356.849530249383</c:v>
                      </c:pt>
                      <c:pt idx="782">
                        <c:v>-18411.033250911583</c:v>
                      </c:pt>
                      <c:pt idx="783">
                        <c:v>-18465.700986238226</c:v>
                      </c:pt>
                      <c:pt idx="784">
                        <c:v>-18520.83608390755</c:v>
                      </c:pt>
                      <c:pt idx="785">
                        <c:v>-18576.421749234694</c:v>
                      </c:pt>
                      <c:pt idx="786">
                        <c:v>-18632.44105028754</c:v>
                      </c:pt>
                      <c:pt idx="787">
                        <c:v>-18688.876923044303</c:v>
                      </c:pt>
                      <c:pt idx="788">
                        <c:v>-18745.712176591453</c:v>
                      </c:pt>
                      <c:pt idx="789">
                        <c:v>-18802.929498360158</c:v>
                      </c:pt>
                      <c:pt idx="790">
                        <c:v>-18860.511459399946</c:v>
                      </c:pt>
                      <c:pt idx="791">
                        <c:v>-18918.440519687687</c:v>
                      </c:pt>
                      <c:pt idx="792">
                        <c:v>-18976.699033470421</c:v>
                      </c:pt>
                      <c:pt idx="793">
                        <c:v>-19035.269254640501</c:v>
                      </c:pt>
                      <c:pt idx="794">
                        <c:v>-19094.133342141169</c:v>
                      </c:pt>
                      <c:pt idx="795">
                        <c:v>-19153.273365401164</c:v>
                      </c:pt>
                      <c:pt idx="796">
                        <c:v>-19212.671309796471</c:v>
                      </c:pt>
                      <c:pt idx="797">
                        <c:v>-19272.309082137836</c:v>
                      </c:pt>
                      <c:pt idx="798">
                        <c:v>-19332.16851618209</c:v>
                      </c:pt>
                      <c:pt idx="799">
                        <c:v>-19392.231378165743</c:v>
                      </c:pt>
                      <c:pt idx="800">
                        <c:v>-19452.479372359187</c:v>
                      </c:pt>
                      <c:pt idx="801">
                        <c:v>-19512.89414663977</c:v>
                      </c:pt>
                      <c:pt idx="802">
                        <c:v>-19573.457298081983</c:v>
                      </c:pt>
                      <c:pt idx="803">
                        <c:v>-19634.150378563216</c:v>
                      </c:pt>
                      <c:pt idx="804">
                        <c:v>-19694.954900383196</c:v>
                      </c:pt>
                      <c:pt idx="805">
                        <c:v>-19755.852341895556</c:v>
                      </c:pt>
                      <c:pt idx="806">
                        <c:v>-19816.824153149701</c:v>
                      </c:pt>
                      <c:pt idx="807">
                        <c:v>-19877.851761541246</c:v>
                      </c:pt>
                      <c:pt idx="808">
                        <c:v>-19938.916577469503</c:v>
                      </c:pt>
                      <c:pt idx="809">
                        <c:v>-19999.999999999993</c:v>
                      </c:pt>
                      <c:pt idx="810">
                        <c:v>-20061.083422530493</c:v>
                      </c:pt>
                      <c:pt idx="811">
                        <c:v>-20122.148238458751</c:v>
                      </c:pt>
                      <c:pt idx="812">
                        <c:v>-20183.175846850296</c:v>
                      </c:pt>
                      <c:pt idx="813">
                        <c:v>-20244.147658104441</c:v>
                      </c:pt>
                      <c:pt idx="814">
                        <c:v>-20305.0450996168</c:v>
                      </c:pt>
                      <c:pt idx="815">
                        <c:v>-20365.849621436781</c:v>
                      </c:pt>
                      <c:pt idx="816">
                        <c:v>-20426.542701918013</c:v>
                      </c:pt>
                      <c:pt idx="817">
                        <c:v>-20487.105853360226</c:v>
                      </c:pt>
                      <c:pt idx="818">
                        <c:v>-20547.52062764081</c:v>
                      </c:pt>
                      <c:pt idx="819">
                        <c:v>-20607.768621834253</c:v>
                      </c:pt>
                      <c:pt idx="820">
                        <c:v>-20667.831483817899</c:v>
                      </c:pt>
                      <c:pt idx="821">
                        <c:v>-20727.690917862161</c:v>
                      </c:pt>
                      <c:pt idx="822">
                        <c:v>-20787.328690203525</c:v>
                      </c:pt>
                      <c:pt idx="823">
                        <c:v>-20846.726634598832</c:v>
                      </c:pt>
                      <c:pt idx="824">
                        <c:v>-20905.866657858827</c:v>
                      </c:pt>
                      <c:pt idx="825">
                        <c:v>-20964.730745359499</c:v>
                      </c:pt>
                      <c:pt idx="826">
                        <c:v>-21023.300966529576</c:v>
                      </c:pt>
                      <c:pt idx="827">
                        <c:v>-21081.559480312309</c:v>
                      </c:pt>
                      <c:pt idx="828">
                        <c:v>-21139.48854060005</c:v>
                      </c:pt>
                      <c:pt idx="829">
                        <c:v>-21197.070501639839</c:v>
                      </c:pt>
                      <c:pt idx="830">
                        <c:v>-21254.287823408551</c:v>
                      </c:pt>
                      <c:pt idx="831">
                        <c:v>-21311.123076955693</c:v>
                      </c:pt>
                      <c:pt idx="832">
                        <c:v>-21367.558949712457</c:v>
                      </c:pt>
                      <c:pt idx="833">
                        <c:v>-21423.578250765302</c:v>
                      </c:pt>
                      <c:pt idx="834">
                        <c:v>-21479.163916092446</c:v>
                      </c:pt>
                      <c:pt idx="835">
                        <c:v>-21534.299013761771</c:v>
                      </c:pt>
                      <c:pt idx="836">
                        <c:v>-21588.966749088417</c:v>
                      </c:pt>
                      <c:pt idx="837">
                        <c:v>-21643.150469750617</c:v>
                      </c:pt>
                      <c:pt idx="838">
                        <c:v>-21696.833670862175</c:v>
                      </c:pt>
                      <c:pt idx="839">
                        <c:v>-21750.000000000004</c:v>
                      </c:pt>
                      <c:pt idx="840">
                        <c:v>-21802.633262185187</c:v>
                      </c:pt>
                      <c:pt idx="841">
                        <c:v>-21854.717424816212</c:v>
                      </c:pt>
                      <c:pt idx="842">
                        <c:v>-21906.236622552598</c:v>
                      </c:pt>
                      <c:pt idx="843">
                        <c:v>-21957.175162147614</c:v>
                      </c:pt>
                      <c:pt idx="844">
                        <c:v>-22007.517527228658</c:v>
                      </c:pt>
                      <c:pt idx="845">
                        <c:v>-22057.248383023652</c:v>
                      </c:pt>
                      <c:pt idx="846">
                        <c:v>-22106.35258103217</c:v>
                      </c:pt>
                      <c:pt idx="847">
                        <c:v>-22154.8151636398</c:v>
                      </c:pt>
                      <c:pt idx="848">
                        <c:v>-22202.62136867443</c:v>
                      </c:pt>
                      <c:pt idx="849">
                        <c:v>-22249.756633902885</c:v>
                      </c:pt>
                      <c:pt idx="850">
                        <c:v>-22296.206601466773</c:v>
                      </c:pt>
                      <c:pt idx="851">
                        <c:v>-22341.957122256004</c:v>
                      </c:pt>
                      <c:pt idx="852">
                        <c:v>-22386.994260218744</c:v>
                      </c:pt>
                      <c:pt idx="853">
                        <c:v>-22431.304296606493</c:v>
                      </c:pt>
                      <c:pt idx="854">
                        <c:v>-22474.873734152916</c:v>
                      </c:pt>
                      <c:pt idx="855">
                        <c:v>-22517.689301185277</c:v>
                      </c:pt>
                      <c:pt idx="856">
                        <c:v>-22559.737955667093</c:v>
                      </c:pt>
                      <c:pt idx="857">
                        <c:v>-22601.00688917088</c:v>
                      </c:pt>
                      <c:pt idx="858">
                        <c:v>-22641.4835307797</c:v>
                      </c:pt>
                      <c:pt idx="859">
                        <c:v>-22681.155550916421</c:v>
                      </c:pt>
                      <c:pt idx="860">
                        <c:v>-22720.010865099397</c:v>
                      </c:pt>
                      <c:pt idx="861">
                        <c:v>-22758.037637623525</c:v>
                      </c:pt>
                      <c:pt idx="862">
                        <c:v>-22795.224285165521</c:v>
                      </c:pt>
                      <c:pt idx="863">
                        <c:v>-22831.559480312317</c:v>
                      </c:pt>
                      <c:pt idx="864">
                        <c:v>-22867.032155011471</c:v>
                      </c:pt>
                      <c:pt idx="865">
                        <c:v>-22901.631503942648</c:v>
                      </c:pt>
                      <c:pt idx="866">
                        <c:v>-22935.346987808982</c:v>
                      </c:pt>
                      <c:pt idx="867">
                        <c:v>-22968.168336547489</c:v>
                      </c:pt>
                      <c:pt idx="868">
                        <c:v>-23000.085552457396</c:v>
                      </c:pt>
                      <c:pt idx="869">
                        <c:v>-23031.088913245534</c:v>
                      </c:pt>
                      <c:pt idx="870">
                        <c:v>-23061.168974987882</c:v>
                      </c:pt>
                      <c:pt idx="871">
                        <c:v>-23090.31657500624</c:v>
                      </c:pt>
                      <c:pt idx="872">
                        <c:v>-23118.522834659288</c:v>
                      </c:pt>
                      <c:pt idx="873">
                        <c:v>-23145.779162047082</c:v>
                      </c:pt>
                      <c:pt idx="874">
                        <c:v>-23172.077254628271</c:v>
                      </c:pt>
                      <c:pt idx="875">
                        <c:v>-23197.409101749105</c:v>
                      </c:pt>
                      <c:pt idx="876">
                        <c:v>-23221.766987083542</c:v>
                      </c:pt>
                      <c:pt idx="877">
                        <c:v>-23245.143490983755</c:v>
                      </c:pt>
                      <c:pt idx="878">
                        <c:v>-23267.531492740207</c:v>
                      </c:pt>
                      <c:pt idx="879">
                        <c:v>-23288.924172750678</c:v>
                      </c:pt>
                      <c:pt idx="880">
                        <c:v>-23309.315014597611</c:v>
                      </c:pt>
                      <c:pt idx="881">
                        <c:v>-23328.697807033037</c:v>
                      </c:pt>
                      <c:pt idx="882">
                        <c:v>-23347.066645870622</c:v>
                      </c:pt>
                      <c:pt idx="883">
                        <c:v>-23364.415935784116</c:v>
                      </c:pt>
                      <c:pt idx="884">
                        <c:v>-23380.740392011739</c:v>
                      </c:pt>
                      <c:pt idx="885">
                        <c:v>-23396.035041965988</c:v>
                      </c:pt>
                      <c:pt idx="886">
                        <c:v>-23410.295226748323</c:v>
                      </c:pt>
                      <c:pt idx="887">
                        <c:v>-23423.516602568321</c:v>
                      </c:pt>
                      <c:pt idx="888">
                        <c:v>-23435.695142066823</c:v>
                      </c:pt>
                      <c:pt idx="889">
                        <c:v>-23446.827135542728</c:v>
                      </c:pt>
                      <c:pt idx="890">
                        <c:v>-23456.909192082981</c:v>
                      </c:pt>
                      <c:pt idx="891">
                        <c:v>-23465.938240595497</c:v>
                      </c:pt>
                      <c:pt idx="892">
                        <c:v>-23473.911530744626</c:v>
                      </c:pt>
                      <c:pt idx="893">
                        <c:v>-23480.826633788958</c:v>
                      </c:pt>
                      <c:pt idx="894">
                        <c:v>-23486.681443321108</c:v>
                      </c:pt>
                      <c:pt idx="895">
                        <c:v>-23491.474175909385</c:v>
                      </c:pt>
                      <c:pt idx="896">
                        <c:v>-23495.203371641008</c:v>
                      </c:pt>
                      <c:pt idx="897">
                        <c:v>-23497.867894566836</c:v>
                      </c:pt>
                      <c:pt idx="898">
                        <c:v>-23499.46693304737</c:v>
                      </c:pt>
                      <c:pt idx="899">
                        <c:v>-23500</c:v>
                      </c:pt>
                      <c:pt idx="900">
                        <c:v>-23499.46693304737</c:v>
                      </c:pt>
                      <c:pt idx="901">
                        <c:v>-23497.867894566836</c:v>
                      </c:pt>
                      <c:pt idx="902">
                        <c:v>-23495.203371641008</c:v>
                      </c:pt>
                      <c:pt idx="903">
                        <c:v>-23491.474175909385</c:v>
                      </c:pt>
                      <c:pt idx="904">
                        <c:v>-23486.681443321111</c:v>
                      </c:pt>
                      <c:pt idx="905">
                        <c:v>-23480.826633788958</c:v>
                      </c:pt>
                      <c:pt idx="906">
                        <c:v>-23473.911530744626</c:v>
                      </c:pt>
                      <c:pt idx="907">
                        <c:v>-23465.938240595497</c:v>
                      </c:pt>
                      <c:pt idx="908">
                        <c:v>-23456.909192082981</c:v>
                      </c:pt>
                      <c:pt idx="909">
                        <c:v>-23446.827135542728</c:v>
                      </c:pt>
                      <c:pt idx="910">
                        <c:v>-23435.695142066823</c:v>
                      </c:pt>
                      <c:pt idx="911">
                        <c:v>-23423.516602568321</c:v>
                      </c:pt>
                      <c:pt idx="912">
                        <c:v>-23410.295226748323</c:v>
                      </c:pt>
                      <c:pt idx="913">
                        <c:v>-23396.035041965988</c:v>
                      </c:pt>
                      <c:pt idx="914">
                        <c:v>-23380.740392011739</c:v>
                      </c:pt>
                      <c:pt idx="915">
                        <c:v>-23364.41593578412</c:v>
                      </c:pt>
                      <c:pt idx="916">
                        <c:v>-23347.066645870626</c:v>
                      </c:pt>
                      <c:pt idx="917">
                        <c:v>-23328.697807033041</c:v>
                      </c:pt>
                      <c:pt idx="918">
                        <c:v>-23309.315014597611</c:v>
                      </c:pt>
                      <c:pt idx="919">
                        <c:v>-23288.924172750681</c:v>
                      </c:pt>
                      <c:pt idx="920">
                        <c:v>-23267.531492740203</c:v>
                      </c:pt>
                      <c:pt idx="921">
                        <c:v>-23245.143490983755</c:v>
                      </c:pt>
                      <c:pt idx="922">
                        <c:v>-23221.766987083542</c:v>
                      </c:pt>
                      <c:pt idx="923">
                        <c:v>-23197.409101749101</c:v>
                      </c:pt>
                      <c:pt idx="924">
                        <c:v>-23172.077254628275</c:v>
                      </c:pt>
                      <c:pt idx="925">
                        <c:v>-23145.779162047085</c:v>
                      </c:pt>
                      <c:pt idx="926">
                        <c:v>-23118.522834659288</c:v>
                      </c:pt>
                      <c:pt idx="927">
                        <c:v>-23090.316575006244</c:v>
                      </c:pt>
                      <c:pt idx="928">
                        <c:v>-23061.168974987886</c:v>
                      </c:pt>
                      <c:pt idx="929">
                        <c:v>-23031.088913245538</c:v>
                      </c:pt>
                      <c:pt idx="930">
                        <c:v>-23000.085552457393</c:v>
                      </c:pt>
                      <c:pt idx="931">
                        <c:v>-22968.168336547489</c:v>
                      </c:pt>
                      <c:pt idx="932">
                        <c:v>-22935.346987808985</c:v>
                      </c:pt>
                      <c:pt idx="933">
                        <c:v>-22901.631503942648</c:v>
                      </c:pt>
                      <c:pt idx="934">
                        <c:v>-22867.032155011471</c:v>
                      </c:pt>
                      <c:pt idx="935">
                        <c:v>-22831.559480312317</c:v>
                      </c:pt>
                      <c:pt idx="936">
                        <c:v>-22795.224285165528</c:v>
                      </c:pt>
                      <c:pt idx="937">
                        <c:v>-22758.037637623533</c:v>
                      </c:pt>
                      <c:pt idx="938">
                        <c:v>-22720.010865099401</c:v>
                      </c:pt>
                      <c:pt idx="939">
                        <c:v>-22681.155550916425</c:v>
                      </c:pt>
                      <c:pt idx="940">
                        <c:v>-22641.483530779708</c:v>
                      </c:pt>
                      <c:pt idx="941">
                        <c:v>-22601.00688917088</c:v>
                      </c:pt>
                      <c:pt idx="942">
                        <c:v>-22559.7379556671</c:v>
                      </c:pt>
                      <c:pt idx="943">
                        <c:v>-22517.689301185284</c:v>
                      </c:pt>
                      <c:pt idx="944">
                        <c:v>-22474.873734152923</c:v>
                      </c:pt>
                      <c:pt idx="945">
                        <c:v>-22431.304296606493</c:v>
                      </c:pt>
                      <c:pt idx="946">
                        <c:v>-22386.994260218751</c:v>
                      </c:pt>
                      <c:pt idx="947">
                        <c:v>-22341.957122256001</c:v>
                      </c:pt>
                      <c:pt idx="948">
                        <c:v>-22296.206601466776</c:v>
                      </c:pt>
                      <c:pt idx="949">
                        <c:v>-22249.756633902893</c:v>
                      </c:pt>
                      <c:pt idx="950">
                        <c:v>-22202.62136867443</c:v>
                      </c:pt>
                      <c:pt idx="951">
                        <c:v>-22154.815163639803</c:v>
                      </c:pt>
                      <c:pt idx="952">
                        <c:v>-22106.352581032173</c:v>
                      </c:pt>
                      <c:pt idx="953">
                        <c:v>-22057.248383023652</c:v>
                      </c:pt>
                      <c:pt idx="954">
                        <c:v>-22007.517527228661</c:v>
                      </c:pt>
                      <c:pt idx="955">
                        <c:v>-21957.175162147618</c:v>
                      </c:pt>
                      <c:pt idx="956">
                        <c:v>-21906.236622552591</c:v>
                      </c:pt>
                      <c:pt idx="957">
                        <c:v>-21854.717424816215</c:v>
                      </c:pt>
                      <c:pt idx="958">
                        <c:v>-21802.633262185191</c:v>
                      </c:pt>
                      <c:pt idx="959">
                        <c:v>-21750.000000000007</c:v>
                      </c:pt>
                      <c:pt idx="960">
                        <c:v>-21696.833670862179</c:v>
                      </c:pt>
                      <c:pt idx="961">
                        <c:v>-21643.150469750621</c:v>
                      </c:pt>
                      <c:pt idx="962">
                        <c:v>-21588.96674908842</c:v>
                      </c:pt>
                      <c:pt idx="963">
                        <c:v>-21534.299013761767</c:v>
                      </c:pt>
                      <c:pt idx="964">
                        <c:v>-21479.16391609245</c:v>
                      </c:pt>
                      <c:pt idx="965">
                        <c:v>-21423.578250765306</c:v>
                      </c:pt>
                      <c:pt idx="966">
                        <c:v>-21367.558949712467</c:v>
                      </c:pt>
                      <c:pt idx="967">
                        <c:v>-21311.123076955693</c:v>
                      </c:pt>
                      <c:pt idx="968">
                        <c:v>-21254.287823408555</c:v>
                      </c:pt>
                      <c:pt idx="969">
                        <c:v>-21197.070501639846</c:v>
                      </c:pt>
                      <c:pt idx="970">
                        <c:v>-21139.488540600047</c:v>
                      </c:pt>
                      <c:pt idx="971">
                        <c:v>-21081.559480312317</c:v>
                      </c:pt>
                      <c:pt idx="972">
                        <c:v>-21023.300966529583</c:v>
                      </c:pt>
                      <c:pt idx="973">
                        <c:v>-20964.730745359506</c:v>
                      </c:pt>
                      <c:pt idx="974">
                        <c:v>-20905.866657858824</c:v>
                      </c:pt>
                      <c:pt idx="975">
                        <c:v>-20846.726634598843</c:v>
                      </c:pt>
                      <c:pt idx="976">
                        <c:v>-20787.328690203536</c:v>
                      </c:pt>
                      <c:pt idx="977">
                        <c:v>-20727.690917862157</c:v>
                      </c:pt>
                      <c:pt idx="978">
                        <c:v>-20667.83148381791</c:v>
                      </c:pt>
                      <c:pt idx="979">
                        <c:v>-20607.768621834264</c:v>
                      </c:pt>
                      <c:pt idx="980">
                        <c:v>-20547.520627640806</c:v>
                      </c:pt>
                      <c:pt idx="981">
                        <c:v>-20487.105853360234</c:v>
                      </c:pt>
                      <c:pt idx="982">
                        <c:v>-20426.54270191801</c:v>
                      </c:pt>
                      <c:pt idx="983">
                        <c:v>-20365.849621436784</c:v>
                      </c:pt>
                      <c:pt idx="984">
                        <c:v>-20305.045099616807</c:v>
                      </c:pt>
                      <c:pt idx="985">
                        <c:v>-20244.147658104434</c:v>
                      </c:pt>
                      <c:pt idx="986">
                        <c:v>-20183.175846850299</c:v>
                      </c:pt>
                      <c:pt idx="987">
                        <c:v>-20122.148238458754</c:v>
                      </c:pt>
                      <c:pt idx="988">
                        <c:v>-20061.083422530497</c:v>
                      </c:pt>
                      <c:pt idx="989">
                        <c:v>-19999.999999999996</c:v>
                      </c:pt>
                      <c:pt idx="990">
                        <c:v>-19938.916577469507</c:v>
                      </c:pt>
                      <c:pt idx="991">
                        <c:v>-19877.851761541249</c:v>
                      </c:pt>
                      <c:pt idx="992">
                        <c:v>-19816.824153149693</c:v>
                      </c:pt>
                      <c:pt idx="993">
                        <c:v>-19755.852341895559</c:v>
                      </c:pt>
                      <c:pt idx="994">
                        <c:v>-19694.9549003832</c:v>
                      </c:pt>
                      <c:pt idx="995">
                        <c:v>-19634.150378563219</c:v>
                      </c:pt>
                      <c:pt idx="996">
                        <c:v>-19573.457298081983</c:v>
                      </c:pt>
                      <c:pt idx="997">
                        <c:v>-19512.894146639774</c:v>
                      </c:pt>
                      <c:pt idx="998">
                        <c:v>-19452.479372359197</c:v>
                      </c:pt>
                      <c:pt idx="999">
                        <c:v>-19392.231378165754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Conditions!$H$4:$H$1003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10061.083422530492</c:v>
                      </c:pt>
                      <c:pt idx="1">
                        <c:v>10122.148238458753</c:v>
                      </c:pt>
                      <c:pt idx="2">
                        <c:v>10183.175846850303</c:v>
                      </c:pt>
                      <c:pt idx="3">
                        <c:v>10244.147658104439</c:v>
                      </c:pt>
                      <c:pt idx="4">
                        <c:v>10305.045099616804</c:v>
                      </c:pt>
                      <c:pt idx="5">
                        <c:v>10365.849621436788</c:v>
                      </c:pt>
                      <c:pt idx="6">
                        <c:v>10426.542701918017</c:v>
                      </c:pt>
                      <c:pt idx="7">
                        <c:v>10487.10585336023</c:v>
                      </c:pt>
                      <c:pt idx="8">
                        <c:v>10547.520627640808</c:v>
                      </c:pt>
                      <c:pt idx="9">
                        <c:v>10607.768621834257</c:v>
                      </c:pt>
                      <c:pt idx="10">
                        <c:v>10667.831483817907</c:v>
                      </c:pt>
                      <c:pt idx="11">
                        <c:v>10727.690917862157</c:v>
                      </c:pt>
                      <c:pt idx="12">
                        <c:v>10787.328690203527</c:v>
                      </c:pt>
                      <c:pt idx="13">
                        <c:v>10846.726634598837</c:v>
                      </c:pt>
                      <c:pt idx="14">
                        <c:v>10905.866657858822</c:v>
                      </c:pt>
                      <c:pt idx="15">
                        <c:v>10964.730745359497</c:v>
                      </c:pt>
                      <c:pt idx="16">
                        <c:v>11023.300966529579</c:v>
                      </c:pt>
                      <c:pt idx="17">
                        <c:v>11081.559480312317</c:v>
                      </c:pt>
                      <c:pt idx="18">
                        <c:v>11139.488540600049</c:v>
                      </c:pt>
                      <c:pt idx="19">
                        <c:v>11197.070501639841</c:v>
                      </c:pt>
                      <c:pt idx="20">
                        <c:v>11254.287823408551</c:v>
                      </c:pt>
                      <c:pt idx="21">
                        <c:v>11311.123076955691</c:v>
                      </c:pt>
                      <c:pt idx="22">
                        <c:v>11367.558949712458</c:v>
                      </c:pt>
                      <c:pt idx="23">
                        <c:v>11423.5782507653</c:v>
                      </c:pt>
                      <c:pt idx="24">
                        <c:v>11479.163916092448</c:v>
                      </c:pt>
                      <c:pt idx="25">
                        <c:v>11534.299013761771</c:v>
                      </c:pt>
                      <c:pt idx="26">
                        <c:v>11588.966749088413</c:v>
                      </c:pt>
                      <c:pt idx="27">
                        <c:v>11643.150469750617</c:v>
                      </c:pt>
                      <c:pt idx="28">
                        <c:v>11696.833670862179</c:v>
                      </c:pt>
                      <c:pt idx="29">
                        <c:v>11750</c:v>
                      </c:pt>
                      <c:pt idx="30">
                        <c:v>11802.633262185189</c:v>
                      </c:pt>
                      <c:pt idx="31">
                        <c:v>11854.717424816217</c:v>
                      </c:pt>
                      <c:pt idx="32">
                        <c:v>11906.236622552595</c:v>
                      </c:pt>
                      <c:pt idx="33">
                        <c:v>11957.175162147614</c:v>
                      </c:pt>
                      <c:pt idx="34">
                        <c:v>12007.517527228661</c:v>
                      </c:pt>
                      <c:pt idx="35">
                        <c:v>12057.248383023656</c:v>
                      </c:pt>
                      <c:pt idx="36">
                        <c:v>12106.35258103217</c:v>
                      </c:pt>
                      <c:pt idx="37">
                        <c:v>12154.815163639803</c:v>
                      </c:pt>
                      <c:pt idx="38">
                        <c:v>12202.62136867443</c:v>
                      </c:pt>
                      <c:pt idx="39">
                        <c:v>12249.756633902887</c:v>
                      </c:pt>
                      <c:pt idx="40">
                        <c:v>12296.206601466776</c:v>
                      </c:pt>
                      <c:pt idx="41">
                        <c:v>12341.957122256004</c:v>
                      </c:pt>
                      <c:pt idx="42">
                        <c:v>12386.994260218744</c:v>
                      </c:pt>
                      <c:pt idx="43">
                        <c:v>12431.30429660649</c:v>
                      </c:pt>
                      <c:pt idx="44">
                        <c:v>12474.873734152916</c:v>
                      </c:pt>
                      <c:pt idx="45">
                        <c:v>12517.689301185279</c:v>
                      </c:pt>
                      <c:pt idx="46">
                        <c:v>12559.737955667097</c:v>
                      </c:pt>
                      <c:pt idx="47">
                        <c:v>12601.00688917088</c:v>
                      </c:pt>
                      <c:pt idx="48">
                        <c:v>12641.483530779702</c:v>
                      </c:pt>
                      <c:pt idx="49">
                        <c:v>12681.155550916423</c:v>
                      </c:pt>
                      <c:pt idx="50">
                        <c:v>12720.010865099397</c:v>
                      </c:pt>
                      <c:pt idx="51">
                        <c:v>12758.037637623527</c:v>
                      </c:pt>
                      <c:pt idx="52">
                        <c:v>12795.224285165525</c:v>
                      </c:pt>
                      <c:pt idx="53">
                        <c:v>12831.559480312317</c:v>
                      </c:pt>
                      <c:pt idx="54">
                        <c:v>12867.032155011471</c:v>
                      </c:pt>
                      <c:pt idx="55">
                        <c:v>12901.631503942646</c:v>
                      </c:pt>
                      <c:pt idx="56">
                        <c:v>12935.346987808984</c:v>
                      </c:pt>
                      <c:pt idx="57">
                        <c:v>12968.168336547491</c:v>
                      </c:pt>
                      <c:pt idx="58">
                        <c:v>13000.085552457393</c:v>
                      </c:pt>
                      <c:pt idx="59">
                        <c:v>13031.088913245534</c:v>
                      </c:pt>
                      <c:pt idx="60">
                        <c:v>13061.168974987886</c:v>
                      </c:pt>
                      <c:pt idx="61">
                        <c:v>13090.316575006244</c:v>
                      </c:pt>
                      <c:pt idx="62">
                        <c:v>13118.522834659287</c:v>
                      </c:pt>
                      <c:pt idx="63">
                        <c:v>13145.779162047085</c:v>
                      </c:pt>
                      <c:pt idx="64">
                        <c:v>13172.077254628275</c:v>
                      </c:pt>
                      <c:pt idx="65">
                        <c:v>13197.409101749103</c:v>
                      </c:pt>
                      <c:pt idx="66">
                        <c:v>13221.766987083542</c:v>
                      </c:pt>
                      <c:pt idx="67">
                        <c:v>13245.143490983755</c:v>
                      </c:pt>
                      <c:pt idx="68">
                        <c:v>13267.531492740207</c:v>
                      </c:pt>
                      <c:pt idx="69">
                        <c:v>13288.92417275068</c:v>
                      </c:pt>
                      <c:pt idx="70">
                        <c:v>13309.315014597609</c:v>
                      </c:pt>
                      <c:pt idx="71">
                        <c:v>13328.697807033037</c:v>
                      </c:pt>
                      <c:pt idx="72">
                        <c:v>13347.066645870624</c:v>
                      </c:pt>
                      <c:pt idx="73">
                        <c:v>13364.415935784116</c:v>
                      </c:pt>
                      <c:pt idx="74">
                        <c:v>13380.740392011739</c:v>
                      </c:pt>
                      <c:pt idx="75">
                        <c:v>13396.035041965988</c:v>
                      </c:pt>
                      <c:pt idx="76">
                        <c:v>13410.295226748323</c:v>
                      </c:pt>
                      <c:pt idx="77">
                        <c:v>13423.516602568319</c:v>
                      </c:pt>
                      <c:pt idx="78">
                        <c:v>13435.695142066823</c:v>
                      </c:pt>
                      <c:pt idx="79">
                        <c:v>13446.827135542728</c:v>
                      </c:pt>
                      <c:pt idx="80">
                        <c:v>13456.909192082981</c:v>
                      </c:pt>
                      <c:pt idx="81">
                        <c:v>13465.938240595497</c:v>
                      </c:pt>
                      <c:pt idx="82">
                        <c:v>13473.911530744626</c:v>
                      </c:pt>
                      <c:pt idx="83">
                        <c:v>13480.826633788956</c:v>
                      </c:pt>
                      <c:pt idx="84">
                        <c:v>13486.681443321109</c:v>
                      </c:pt>
                      <c:pt idx="85">
                        <c:v>13491.474175909385</c:v>
                      </c:pt>
                      <c:pt idx="86">
                        <c:v>13495.203371641008</c:v>
                      </c:pt>
                      <c:pt idx="87">
                        <c:v>13497.867894566836</c:v>
                      </c:pt>
                      <c:pt idx="88">
                        <c:v>13499.46693304737</c:v>
                      </c:pt>
                      <c:pt idx="89">
                        <c:v>13500</c:v>
                      </c:pt>
                      <c:pt idx="90">
                        <c:v>13499.46693304737</c:v>
                      </c:pt>
                      <c:pt idx="91">
                        <c:v>13497.867894566836</c:v>
                      </c:pt>
                      <c:pt idx="92">
                        <c:v>13495.203371641008</c:v>
                      </c:pt>
                      <c:pt idx="93">
                        <c:v>13491.474175909385</c:v>
                      </c:pt>
                      <c:pt idx="94">
                        <c:v>13486.681443321109</c:v>
                      </c:pt>
                      <c:pt idx="95">
                        <c:v>13480.826633788956</c:v>
                      </c:pt>
                      <c:pt idx="96">
                        <c:v>13473.911530744626</c:v>
                      </c:pt>
                      <c:pt idx="97">
                        <c:v>13465.938240595497</c:v>
                      </c:pt>
                      <c:pt idx="98">
                        <c:v>13456.909192082981</c:v>
                      </c:pt>
                      <c:pt idx="99">
                        <c:v>13446.827135542728</c:v>
                      </c:pt>
                      <c:pt idx="100">
                        <c:v>13435.695142066823</c:v>
                      </c:pt>
                      <c:pt idx="101">
                        <c:v>13423.516602568319</c:v>
                      </c:pt>
                      <c:pt idx="102">
                        <c:v>13410.295226748323</c:v>
                      </c:pt>
                      <c:pt idx="103">
                        <c:v>13396.035041965988</c:v>
                      </c:pt>
                      <c:pt idx="104">
                        <c:v>13380.740392011739</c:v>
                      </c:pt>
                      <c:pt idx="105">
                        <c:v>13364.415935784116</c:v>
                      </c:pt>
                      <c:pt idx="106">
                        <c:v>13347.066645870626</c:v>
                      </c:pt>
                      <c:pt idx="107">
                        <c:v>13328.697807033037</c:v>
                      </c:pt>
                      <c:pt idx="108">
                        <c:v>13309.315014597609</c:v>
                      </c:pt>
                      <c:pt idx="109">
                        <c:v>13288.92417275068</c:v>
                      </c:pt>
                      <c:pt idx="110">
                        <c:v>13267.531492740207</c:v>
                      </c:pt>
                      <c:pt idx="111">
                        <c:v>13245.143490983755</c:v>
                      </c:pt>
                      <c:pt idx="112">
                        <c:v>13221.766987083542</c:v>
                      </c:pt>
                      <c:pt idx="113">
                        <c:v>13197.409101749103</c:v>
                      </c:pt>
                      <c:pt idx="114">
                        <c:v>13172.077254628275</c:v>
                      </c:pt>
                      <c:pt idx="115">
                        <c:v>13145.779162047085</c:v>
                      </c:pt>
                      <c:pt idx="116">
                        <c:v>13118.522834659288</c:v>
                      </c:pt>
                      <c:pt idx="117">
                        <c:v>13090.316575006245</c:v>
                      </c:pt>
                      <c:pt idx="118">
                        <c:v>13061.168974987886</c:v>
                      </c:pt>
                      <c:pt idx="119">
                        <c:v>13031.088913245536</c:v>
                      </c:pt>
                      <c:pt idx="120">
                        <c:v>13000.085552457393</c:v>
                      </c:pt>
                      <c:pt idx="121">
                        <c:v>12968.168336547491</c:v>
                      </c:pt>
                      <c:pt idx="122">
                        <c:v>12935.346987808984</c:v>
                      </c:pt>
                      <c:pt idx="123">
                        <c:v>12901.631503942646</c:v>
                      </c:pt>
                      <c:pt idx="124">
                        <c:v>12867.032155011471</c:v>
                      </c:pt>
                      <c:pt idx="125">
                        <c:v>12831.559480312317</c:v>
                      </c:pt>
                      <c:pt idx="126">
                        <c:v>12795.224285165525</c:v>
                      </c:pt>
                      <c:pt idx="127">
                        <c:v>12758.037637623527</c:v>
                      </c:pt>
                      <c:pt idx="128">
                        <c:v>12720.010865099399</c:v>
                      </c:pt>
                      <c:pt idx="129">
                        <c:v>12681.155550916423</c:v>
                      </c:pt>
                      <c:pt idx="130">
                        <c:v>12641.4835307797</c:v>
                      </c:pt>
                      <c:pt idx="131">
                        <c:v>12601.00688917088</c:v>
                      </c:pt>
                      <c:pt idx="132">
                        <c:v>12559.737955667097</c:v>
                      </c:pt>
                      <c:pt idx="133">
                        <c:v>12517.689301185281</c:v>
                      </c:pt>
                      <c:pt idx="134">
                        <c:v>12474.873734152916</c:v>
                      </c:pt>
                      <c:pt idx="135">
                        <c:v>12431.30429660649</c:v>
                      </c:pt>
                      <c:pt idx="136">
                        <c:v>12386.994260218746</c:v>
                      </c:pt>
                      <c:pt idx="137">
                        <c:v>12341.957122256004</c:v>
                      </c:pt>
                      <c:pt idx="138">
                        <c:v>12296.206601466776</c:v>
                      </c:pt>
                      <c:pt idx="139">
                        <c:v>12249.756633902889</c:v>
                      </c:pt>
                      <c:pt idx="140">
                        <c:v>12202.621368674432</c:v>
                      </c:pt>
                      <c:pt idx="141">
                        <c:v>12154.815163639803</c:v>
                      </c:pt>
                      <c:pt idx="142">
                        <c:v>12106.352581032168</c:v>
                      </c:pt>
                      <c:pt idx="143">
                        <c:v>12057.248383023656</c:v>
                      </c:pt>
                      <c:pt idx="144">
                        <c:v>12007.517527228661</c:v>
                      </c:pt>
                      <c:pt idx="145">
                        <c:v>11957.175162147614</c:v>
                      </c:pt>
                      <c:pt idx="146">
                        <c:v>11906.236622552595</c:v>
                      </c:pt>
                      <c:pt idx="147">
                        <c:v>11854.717424816217</c:v>
                      </c:pt>
                      <c:pt idx="148">
                        <c:v>11802.633262185191</c:v>
                      </c:pt>
                      <c:pt idx="149">
                        <c:v>11750</c:v>
                      </c:pt>
                      <c:pt idx="150">
                        <c:v>11696.833670862179</c:v>
                      </c:pt>
                      <c:pt idx="151">
                        <c:v>11643.150469750619</c:v>
                      </c:pt>
                      <c:pt idx="152">
                        <c:v>11588.966749088413</c:v>
                      </c:pt>
                      <c:pt idx="153">
                        <c:v>11534.299013761771</c:v>
                      </c:pt>
                      <c:pt idx="154">
                        <c:v>11479.163916092448</c:v>
                      </c:pt>
                      <c:pt idx="155">
                        <c:v>11423.578250765302</c:v>
                      </c:pt>
                      <c:pt idx="156">
                        <c:v>11367.55894971246</c:v>
                      </c:pt>
                      <c:pt idx="157">
                        <c:v>11311.123076955693</c:v>
                      </c:pt>
                      <c:pt idx="158">
                        <c:v>11254.287823408551</c:v>
                      </c:pt>
                      <c:pt idx="159">
                        <c:v>11197.070501639841</c:v>
                      </c:pt>
                      <c:pt idx="160">
                        <c:v>11139.48854060005</c:v>
                      </c:pt>
                      <c:pt idx="161">
                        <c:v>11081.559480312317</c:v>
                      </c:pt>
                      <c:pt idx="162">
                        <c:v>11023.300966529579</c:v>
                      </c:pt>
                      <c:pt idx="163">
                        <c:v>10964.730745359499</c:v>
                      </c:pt>
                      <c:pt idx="164">
                        <c:v>10905.866657858824</c:v>
                      </c:pt>
                      <c:pt idx="165">
                        <c:v>10846.726634598837</c:v>
                      </c:pt>
                      <c:pt idx="166">
                        <c:v>10787.328690203527</c:v>
                      </c:pt>
                      <c:pt idx="167">
                        <c:v>10727.690917862157</c:v>
                      </c:pt>
                      <c:pt idx="168">
                        <c:v>10667.831483817907</c:v>
                      </c:pt>
                      <c:pt idx="169">
                        <c:v>10607.768621834257</c:v>
                      </c:pt>
                      <c:pt idx="170">
                        <c:v>10547.520627640808</c:v>
                      </c:pt>
                      <c:pt idx="171">
                        <c:v>10487.10585336023</c:v>
                      </c:pt>
                      <c:pt idx="172">
                        <c:v>10426.542701918017</c:v>
                      </c:pt>
                      <c:pt idx="173">
                        <c:v>10365.849621436788</c:v>
                      </c:pt>
                      <c:pt idx="174">
                        <c:v>10305.045099616806</c:v>
                      </c:pt>
                      <c:pt idx="175">
                        <c:v>10244.147658104439</c:v>
                      </c:pt>
                      <c:pt idx="176">
                        <c:v>10183.175846850303</c:v>
                      </c:pt>
                      <c:pt idx="177">
                        <c:v>10122.148238458753</c:v>
                      </c:pt>
                      <c:pt idx="178">
                        <c:v>10061.083422530492</c:v>
                      </c:pt>
                      <c:pt idx="179">
                        <c:v>10000</c:v>
                      </c:pt>
                      <c:pt idx="180">
                        <c:v>9938.9165774695084</c:v>
                      </c:pt>
                      <c:pt idx="181">
                        <c:v>9877.8517615412475</c:v>
                      </c:pt>
                      <c:pt idx="182">
                        <c:v>9816.8241531496969</c:v>
                      </c:pt>
                      <c:pt idx="183">
                        <c:v>9755.8523418955629</c:v>
                      </c:pt>
                      <c:pt idx="184">
                        <c:v>9694.954900383198</c:v>
                      </c:pt>
                      <c:pt idx="185">
                        <c:v>9634.150378563214</c:v>
                      </c:pt>
                      <c:pt idx="186">
                        <c:v>9573.457298081983</c:v>
                      </c:pt>
                      <c:pt idx="187">
                        <c:v>9512.89414663977</c:v>
                      </c:pt>
                      <c:pt idx="188">
                        <c:v>9452.479372359192</c:v>
                      </c:pt>
                      <c:pt idx="189">
                        <c:v>9392.2313781657431</c:v>
                      </c:pt>
                      <c:pt idx="190">
                        <c:v>9332.1685161820933</c:v>
                      </c:pt>
                      <c:pt idx="191">
                        <c:v>9272.3090821378428</c:v>
                      </c:pt>
                      <c:pt idx="192">
                        <c:v>9212.671309796473</c:v>
                      </c:pt>
                      <c:pt idx="193">
                        <c:v>9153.2733654011645</c:v>
                      </c:pt>
                      <c:pt idx="194">
                        <c:v>9094.1333421411782</c:v>
                      </c:pt>
                      <c:pt idx="195">
                        <c:v>9035.2692546405033</c:v>
                      </c:pt>
                      <c:pt idx="196">
                        <c:v>8976.6990334704224</c:v>
                      </c:pt>
                      <c:pt idx="197">
                        <c:v>8918.4405196876833</c:v>
                      </c:pt>
                      <c:pt idx="198">
                        <c:v>8860.5114593999515</c:v>
                      </c:pt>
                      <c:pt idx="199">
                        <c:v>8802.9294983601594</c:v>
                      </c:pt>
                      <c:pt idx="200">
                        <c:v>8745.712176591449</c:v>
                      </c:pt>
                      <c:pt idx="201">
                        <c:v>8688.8769230443086</c:v>
                      </c:pt>
                      <c:pt idx="202">
                        <c:v>8632.4410502875435</c:v>
                      </c:pt>
                      <c:pt idx="203">
                        <c:v>8576.4217492347016</c:v>
                      </c:pt>
                      <c:pt idx="204">
                        <c:v>8520.8360839075522</c:v>
                      </c:pt>
                      <c:pt idx="205">
                        <c:v>8465.7009862382292</c:v>
                      </c:pt>
                      <c:pt idx="206">
                        <c:v>8411.0332509115888</c:v>
                      </c:pt>
                      <c:pt idx="207">
                        <c:v>8356.849530249383</c:v>
                      </c:pt>
                      <c:pt idx="208">
                        <c:v>8303.1663291378209</c:v>
                      </c:pt>
                      <c:pt idx="209">
                        <c:v>8250</c:v>
                      </c:pt>
                      <c:pt idx="210">
                        <c:v>8197.3667378148111</c:v>
                      </c:pt>
                      <c:pt idx="211">
                        <c:v>8145.2825751837827</c:v>
                      </c:pt>
                      <c:pt idx="212">
                        <c:v>8093.7633774474052</c:v>
                      </c:pt>
                      <c:pt idx="213">
                        <c:v>8042.8248378523867</c:v>
                      </c:pt>
                      <c:pt idx="214">
                        <c:v>7992.4824727713394</c:v>
                      </c:pt>
                      <c:pt idx="215">
                        <c:v>7942.7516169763439</c:v>
                      </c:pt>
                      <c:pt idx="216">
                        <c:v>7893.647418967832</c:v>
                      </c:pt>
                      <c:pt idx="217">
                        <c:v>7845.1848363601976</c:v>
                      </c:pt>
                      <c:pt idx="218">
                        <c:v>7797.3786313255678</c:v>
                      </c:pt>
                      <c:pt idx="219">
                        <c:v>7750.2433660971128</c:v>
                      </c:pt>
                      <c:pt idx="220">
                        <c:v>7703.7933985332238</c:v>
                      </c:pt>
                      <c:pt idx="221">
                        <c:v>7658.0428777439956</c:v>
                      </c:pt>
                      <c:pt idx="222">
                        <c:v>7613.0057397812561</c:v>
                      </c:pt>
                      <c:pt idx="223">
                        <c:v>7568.6957033935087</c:v>
                      </c:pt>
                      <c:pt idx="224">
                        <c:v>7525.1262658470841</c:v>
                      </c:pt>
                      <c:pt idx="225">
                        <c:v>7482.3106988147219</c:v>
                      </c:pt>
                      <c:pt idx="226">
                        <c:v>7440.2620443329051</c:v>
                      </c:pt>
                      <c:pt idx="227">
                        <c:v>7398.9931108291203</c:v>
                      </c:pt>
                      <c:pt idx="228">
                        <c:v>7358.5164692202998</c:v>
                      </c:pt>
                      <c:pt idx="229">
                        <c:v>7318.8444490835773</c:v>
                      </c:pt>
                      <c:pt idx="230">
                        <c:v>7279.9891349006011</c:v>
                      </c:pt>
                      <c:pt idx="231">
                        <c:v>7241.9623623764728</c:v>
                      </c:pt>
                      <c:pt idx="232">
                        <c:v>7204.7757148344754</c:v>
                      </c:pt>
                      <c:pt idx="233">
                        <c:v>7168.4405196876842</c:v>
                      </c:pt>
                      <c:pt idx="234">
                        <c:v>7132.9678449885296</c:v>
                      </c:pt>
                      <c:pt idx="235">
                        <c:v>7098.3684960573555</c:v>
                      </c:pt>
                      <c:pt idx="236">
                        <c:v>7064.6530121910164</c:v>
                      </c:pt>
                      <c:pt idx="237">
                        <c:v>7031.831663452509</c:v>
                      </c:pt>
                      <c:pt idx="238">
                        <c:v>6999.9144475426074</c:v>
                      </c:pt>
                      <c:pt idx="239">
                        <c:v>6968.9110867544659</c:v>
                      </c:pt>
                      <c:pt idx="240">
                        <c:v>6938.831025012114</c:v>
                      </c:pt>
                      <c:pt idx="241">
                        <c:v>6909.6834249937556</c:v>
                      </c:pt>
                      <c:pt idx="242">
                        <c:v>6881.4771653407133</c:v>
                      </c:pt>
                      <c:pt idx="243">
                        <c:v>6854.2208379529166</c:v>
                      </c:pt>
                      <c:pt idx="244">
                        <c:v>6827.9227453717258</c:v>
                      </c:pt>
                      <c:pt idx="245">
                        <c:v>6802.5908982508972</c:v>
                      </c:pt>
                      <c:pt idx="246">
                        <c:v>6778.2330129164593</c:v>
                      </c:pt>
                      <c:pt idx="247">
                        <c:v>6754.8565090162447</c:v>
                      </c:pt>
                      <c:pt idx="248">
                        <c:v>6732.4685072597949</c:v>
                      </c:pt>
                      <c:pt idx="249">
                        <c:v>6711.0758272493213</c:v>
                      </c:pt>
                      <c:pt idx="250">
                        <c:v>6690.6849854023912</c:v>
                      </c:pt>
                      <c:pt idx="251">
                        <c:v>6671.302192966963</c:v>
                      </c:pt>
                      <c:pt idx="252">
                        <c:v>6652.9333541293763</c:v>
                      </c:pt>
                      <c:pt idx="253">
                        <c:v>6635.5840642158837</c:v>
                      </c:pt>
                      <c:pt idx="254">
                        <c:v>6619.2596079882605</c:v>
                      </c:pt>
                      <c:pt idx="255">
                        <c:v>6603.9649580340119</c:v>
                      </c:pt>
                      <c:pt idx="256">
                        <c:v>6589.7047732516767</c:v>
                      </c:pt>
                      <c:pt idx="257">
                        <c:v>6576.4833974316807</c:v>
                      </c:pt>
                      <c:pt idx="258">
                        <c:v>6564.3048579331771</c:v>
                      </c:pt>
                      <c:pt idx="259">
                        <c:v>6553.1728644572722</c:v>
                      </c:pt>
                      <c:pt idx="260">
                        <c:v>6543.0908079170185</c:v>
                      </c:pt>
                      <c:pt idx="261">
                        <c:v>6534.0617594045034</c:v>
                      </c:pt>
                      <c:pt idx="262">
                        <c:v>6526.0884692553727</c:v>
                      </c:pt>
                      <c:pt idx="263">
                        <c:v>6519.1733662110437</c:v>
                      </c:pt>
                      <c:pt idx="264">
                        <c:v>6513.3185566788907</c:v>
                      </c:pt>
                      <c:pt idx="265">
                        <c:v>6508.5258240906151</c:v>
                      </c:pt>
                      <c:pt idx="266">
                        <c:v>6504.7966283589922</c:v>
                      </c:pt>
                      <c:pt idx="267">
                        <c:v>6502.1321054331656</c:v>
                      </c:pt>
                      <c:pt idx="268">
                        <c:v>6500.5330669526302</c:v>
                      </c:pt>
                      <c:pt idx="269">
                        <c:v>6500</c:v>
                      </c:pt>
                      <c:pt idx="270">
                        <c:v>6500.5330669526302</c:v>
                      </c:pt>
                      <c:pt idx="271">
                        <c:v>6502.1321054331647</c:v>
                      </c:pt>
                      <c:pt idx="272">
                        <c:v>6504.7966283589922</c:v>
                      </c:pt>
                      <c:pt idx="273">
                        <c:v>6508.5258240906151</c:v>
                      </c:pt>
                      <c:pt idx="274">
                        <c:v>6513.3185566788907</c:v>
                      </c:pt>
                      <c:pt idx="275">
                        <c:v>6519.1733662110437</c:v>
                      </c:pt>
                      <c:pt idx="276">
                        <c:v>6526.0884692553736</c:v>
                      </c:pt>
                      <c:pt idx="277">
                        <c:v>6534.0617594045034</c:v>
                      </c:pt>
                      <c:pt idx="278">
                        <c:v>6543.0908079170176</c:v>
                      </c:pt>
                      <c:pt idx="279">
                        <c:v>6553.1728644572713</c:v>
                      </c:pt>
                      <c:pt idx="280">
                        <c:v>6564.3048579331753</c:v>
                      </c:pt>
                      <c:pt idx="281">
                        <c:v>6576.4833974316798</c:v>
                      </c:pt>
                      <c:pt idx="282">
                        <c:v>6589.7047732516767</c:v>
                      </c:pt>
                      <c:pt idx="283">
                        <c:v>6603.9649580340119</c:v>
                      </c:pt>
                      <c:pt idx="284">
                        <c:v>6619.2596079882615</c:v>
                      </c:pt>
                      <c:pt idx="285">
                        <c:v>6635.5840642158837</c:v>
                      </c:pt>
                      <c:pt idx="286">
                        <c:v>6652.9333541293763</c:v>
                      </c:pt>
                      <c:pt idx="287">
                        <c:v>6671.3021929669621</c:v>
                      </c:pt>
                      <c:pt idx="288">
                        <c:v>6690.6849854023912</c:v>
                      </c:pt>
                      <c:pt idx="289">
                        <c:v>6711.0758272493204</c:v>
                      </c:pt>
                      <c:pt idx="290">
                        <c:v>6732.4685072597931</c:v>
                      </c:pt>
                      <c:pt idx="291">
                        <c:v>6754.8565090162447</c:v>
                      </c:pt>
                      <c:pt idx="292">
                        <c:v>6778.2330129164584</c:v>
                      </c:pt>
                      <c:pt idx="293">
                        <c:v>6802.5908982508972</c:v>
                      </c:pt>
                      <c:pt idx="294">
                        <c:v>6827.9227453717249</c:v>
                      </c:pt>
                      <c:pt idx="295">
                        <c:v>6854.2208379529147</c:v>
                      </c:pt>
                      <c:pt idx="296">
                        <c:v>6881.4771653407124</c:v>
                      </c:pt>
                      <c:pt idx="297">
                        <c:v>6909.6834249937547</c:v>
                      </c:pt>
                      <c:pt idx="298">
                        <c:v>6938.831025012114</c:v>
                      </c:pt>
                      <c:pt idx="299">
                        <c:v>6968.911086754465</c:v>
                      </c:pt>
                      <c:pt idx="300">
                        <c:v>6999.9144475426074</c:v>
                      </c:pt>
                      <c:pt idx="301">
                        <c:v>7031.831663452509</c:v>
                      </c:pt>
                      <c:pt idx="302">
                        <c:v>7064.6530121910146</c:v>
                      </c:pt>
                      <c:pt idx="303">
                        <c:v>7098.3684960573528</c:v>
                      </c:pt>
                      <c:pt idx="304">
                        <c:v>7132.9678449885287</c:v>
                      </c:pt>
                      <c:pt idx="305">
                        <c:v>7168.4405196876833</c:v>
                      </c:pt>
                      <c:pt idx="306">
                        <c:v>7204.7757148344745</c:v>
                      </c:pt>
                      <c:pt idx="307">
                        <c:v>7241.9623623764737</c:v>
                      </c:pt>
                      <c:pt idx="308">
                        <c:v>7279.989134900602</c:v>
                      </c:pt>
                      <c:pt idx="309">
                        <c:v>7318.8444490835764</c:v>
                      </c:pt>
                      <c:pt idx="310">
                        <c:v>7358.516469220297</c:v>
                      </c:pt>
                      <c:pt idx="311">
                        <c:v>7398.9931108291185</c:v>
                      </c:pt>
                      <c:pt idx="312">
                        <c:v>7440.2620443329015</c:v>
                      </c:pt>
                      <c:pt idx="313">
                        <c:v>7482.3106988147192</c:v>
                      </c:pt>
                      <c:pt idx="314">
                        <c:v>7525.1262658470832</c:v>
                      </c:pt>
                      <c:pt idx="315">
                        <c:v>7568.6957033935087</c:v>
                      </c:pt>
                      <c:pt idx="316">
                        <c:v>7613.0057397812561</c:v>
                      </c:pt>
                      <c:pt idx="317">
                        <c:v>7658.0428777439965</c:v>
                      </c:pt>
                      <c:pt idx="318">
                        <c:v>7703.7933985332238</c:v>
                      </c:pt>
                      <c:pt idx="319">
                        <c:v>7750.243366097111</c:v>
                      </c:pt>
                      <c:pt idx="320">
                        <c:v>7797.3786313255678</c:v>
                      </c:pt>
                      <c:pt idx="321">
                        <c:v>7845.1848363601939</c:v>
                      </c:pt>
                      <c:pt idx="322">
                        <c:v>7893.6474189678311</c:v>
                      </c:pt>
                      <c:pt idx="323">
                        <c:v>7942.751616976343</c:v>
                      </c:pt>
                      <c:pt idx="324">
                        <c:v>7992.4824727713376</c:v>
                      </c:pt>
                      <c:pt idx="325">
                        <c:v>8042.824837852384</c:v>
                      </c:pt>
                      <c:pt idx="326">
                        <c:v>8093.7633774474052</c:v>
                      </c:pt>
                      <c:pt idx="327">
                        <c:v>8145.28257518378</c:v>
                      </c:pt>
                      <c:pt idx="328">
                        <c:v>8197.3667378148093</c:v>
                      </c:pt>
                      <c:pt idx="329">
                        <c:v>8249.9999999999982</c:v>
                      </c:pt>
                      <c:pt idx="330">
                        <c:v>8303.1663291378209</c:v>
                      </c:pt>
                      <c:pt idx="331">
                        <c:v>8356.849530249383</c:v>
                      </c:pt>
                      <c:pt idx="332">
                        <c:v>8411.0332509115851</c:v>
                      </c:pt>
                      <c:pt idx="333">
                        <c:v>8465.7009862382311</c:v>
                      </c:pt>
                      <c:pt idx="334">
                        <c:v>8520.8360839075503</c:v>
                      </c:pt>
                      <c:pt idx="335">
                        <c:v>8576.4217492346997</c:v>
                      </c:pt>
                      <c:pt idx="336">
                        <c:v>8632.441050287538</c:v>
                      </c:pt>
                      <c:pt idx="337">
                        <c:v>8688.8769230443067</c:v>
                      </c:pt>
                      <c:pt idx="338">
                        <c:v>8745.7121765914471</c:v>
                      </c:pt>
                      <c:pt idx="339">
                        <c:v>8802.9294983601594</c:v>
                      </c:pt>
                      <c:pt idx="340">
                        <c:v>8860.5114593999479</c:v>
                      </c:pt>
                      <c:pt idx="341">
                        <c:v>8918.4405196876833</c:v>
                      </c:pt>
                      <c:pt idx="342">
                        <c:v>8976.6990334704224</c:v>
                      </c:pt>
                      <c:pt idx="343">
                        <c:v>9035.2692546405015</c:v>
                      </c:pt>
                      <c:pt idx="344">
                        <c:v>9094.1333421411782</c:v>
                      </c:pt>
                      <c:pt idx="345">
                        <c:v>9153.2733654011627</c:v>
                      </c:pt>
                      <c:pt idx="346">
                        <c:v>9212.6713097964712</c:v>
                      </c:pt>
                      <c:pt idx="347">
                        <c:v>9272.309082137841</c:v>
                      </c:pt>
                      <c:pt idx="348">
                        <c:v>9332.1685161820933</c:v>
                      </c:pt>
                      <c:pt idx="349">
                        <c:v>9392.2313781657413</c:v>
                      </c:pt>
                      <c:pt idx="350">
                        <c:v>9452.4793723591902</c:v>
                      </c:pt>
                      <c:pt idx="351">
                        <c:v>9512.89414663977</c:v>
                      </c:pt>
                      <c:pt idx="352">
                        <c:v>9573.4572980819812</c:v>
                      </c:pt>
                      <c:pt idx="353">
                        <c:v>9634.1503785632121</c:v>
                      </c:pt>
                      <c:pt idx="354">
                        <c:v>9694.9549003831962</c:v>
                      </c:pt>
                      <c:pt idx="355">
                        <c:v>9755.8523418955629</c:v>
                      </c:pt>
                      <c:pt idx="356">
                        <c:v>9816.8241531496951</c:v>
                      </c:pt>
                      <c:pt idx="357">
                        <c:v>9877.8517615412475</c:v>
                      </c:pt>
                      <c:pt idx="358">
                        <c:v>9938.9165774695048</c:v>
                      </c:pt>
                      <c:pt idx="359">
                        <c:v>10000</c:v>
                      </c:pt>
                      <c:pt idx="360">
                        <c:v>10061.083422530492</c:v>
                      </c:pt>
                      <c:pt idx="361">
                        <c:v>10122.148238458751</c:v>
                      </c:pt>
                      <c:pt idx="362">
                        <c:v>10183.175846850303</c:v>
                      </c:pt>
                      <c:pt idx="363">
                        <c:v>10244.147658104437</c:v>
                      </c:pt>
                      <c:pt idx="364">
                        <c:v>10305.045099616806</c:v>
                      </c:pt>
                      <c:pt idx="365">
                        <c:v>10365.849621436786</c:v>
                      </c:pt>
                      <c:pt idx="366">
                        <c:v>10426.542701918017</c:v>
                      </c:pt>
                      <c:pt idx="367">
                        <c:v>10487.105853360226</c:v>
                      </c:pt>
                      <c:pt idx="368">
                        <c:v>10547.520627640808</c:v>
                      </c:pt>
                      <c:pt idx="369">
                        <c:v>10607.768621834255</c:v>
                      </c:pt>
                      <c:pt idx="370">
                        <c:v>10667.831483817909</c:v>
                      </c:pt>
                      <c:pt idx="371">
                        <c:v>10727.690917862155</c:v>
                      </c:pt>
                      <c:pt idx="372">
                        <c:v>10787.328690203527</c:v>
                      </c:pt>
                      <c:pt idx="373">
                        <c:v>10846.726634598839</c:v>
                      </c:pt>
                      <c:pt idx="374">
                        <c:v>10905.86665785882</c:v>
                      </c:pt>
                      <c:pt idx="375">
                        <c:v>10964.730745359499</c:v>
                      </c:pt>
                      <c:pt idx="376">
                        <c:v>11023.300966529578</c:v>
                      </c:pt>
                      <c:pt idx="377">
                        <c:v>11081.559480312315</c:v>
                      </c:pt>
                      <c:pt idx="378">
                        <c:v>11139.488540600047</c:v>
                      </c:pt>
                      <c:pt idx="379">
                        <c:v>11197.070501639841</c:v>
                      </c:pt>
                      <c:pt idx="380">
                        <c:v>11254.287823408547</c:v>
                      </c:pt>
                      <c:pt idx="381">
                        <c:v>11311.123076955691</c:v>
                      </c:pt>
                      <c:pt idx="382">
                        <c:v>11367.558949712455</c:v>
                      </c:pt>
                      <c:pt idx="383">
                        <c:v>11423.578250765298</c:v>
                      </c:pt>
                      <c:pt idx="384">
                        <c:v>11479.163916092448</c:v>
                      </c:pt>
                      <c:pt idx="385">
                        <c:v>11534.299013761771</c:v>
                      </c:pt>
                      <c:pt idx="386">
                        <c:v>11588.966749088417</c:v>
                      </c:pt>
                      <c:pt idx="387">
                        <c:v>11643.150469750617</c:v>
                      </c:pt>
                      <c:pt idx="388">
                        <c:v>11696.833670862181</c:v>
                      </c:pt>
                      <c:pt idx="389">
                        <c:v>11749.999999999998</c:v>
                      </c:pt>
                      <c:pt idx="390">
                        <c:v>11802.633262185189</c:v>
                      </c:pt>
                      <c:pt idx="391">
                        <c:v>11854.717424816215</c:v>
                      </c:pt>
                      <c:pt idx="392">
                        <c:v>11906.236622552593</c:v>
                      </c:pt>
                      <c:pt idx="393">
                        <c:v>11957.175162147612</c:v>
                      </c:pt>
                      <c:pt idx="394">
                        <c:v>12007.517527228661</c:v>
                      </c:pt>
                      <c:pt idx="395">
                        <c:v>12057.248383023658</c:v>
                      </c:pt>
                      <c:pt idx="396">
                        <c:v>12106.352581032168</c:v>
                      </c:pt>
                      <c:pt idx="397">
                        <c:v>12154.815163639803</c:v>
                      </c:pt>
                      <c:pt idx="398">
                        <c:v>12202.621368674429</c:v>
                      </c:pt>
                      <c:pt idx="399">
                        <c:v>12249.756633902887</c:v>
                      </c:pt>
                      <c:pt idx="400">
                        <c:v>12296.206601466774</c:v>
                      </c:pt>
                      <c:pt idx="401">
                        <c:v>12341.957122256004</c:v>
                      </c:pt>
                      <c:pt idx="402">
                        <c:v>12386.994260218742</c:v>
                      </c:pt>
                      <c:pt idx="403">
                        <c:v>12431.30429660649</c:v>
                      </c:pt>
                      <c:pt idx="404">
                        <c:v>12474.873734152914</c:v>
                      </c:pt>
                      <c:pt idx="405">
                        <c:v>12517.689301185277</c:v>
                      </c:pt>
                      <c:pt idx="406">
                        <c:v>12559.737955667097</c:v>
                      </c:pt>
                      <c:pt idx="407">
                        <c:v>12601.006889170878</c:v>
                      </c:pt>
                      <c:pt idx="408">
                        <c:v>12641.483530779702</c:v>
                      </c:pt>
                      <c:pt idx="409">
                        <c:v>12681.155550916423</c:v>
                      </c:pt>
                      <c:pt idx="410">
                        <c:v>12720.010865099399</c:v>
                      </c:pt>
                      <c:pt idx="411">
                        <c:v>12758.037637623525</c:v>
                      </c:pt>
                      <c:pt idx="412">
                        <c:v>12795.224285165525</c:v>
                      </c:pt>
                      <c:pt idx="413">
                        <c:v>12831.559480312313</c:v>
                      </c:pt>
                      <c:pt idx="414">
                        <c:v>12867.03215501147</c:v>
                      </c:pt>
                      <c:pt idx="415">
                        <c:v>12901.631503942646</c:v>
                      </c:pt>
                      <c:pt idx="416">
                        <c:v>12935.346987808984</c:v>
                      </c:pt>
                      <c:pt idx="417">
                        <c:v>12968.168336547491</c:v>
                      </c:pt>
                      <c:pt idx="418">
                        <c:v>13000.085552457393</c:v>
                      </c:pt>
                      <c:pt idx="419">
                        <c:v>13031.088913245536</c:v>
                      </c:pt>
                      <c:pt idx="420">
                        <c:v>13061.168974987884</c:v>
                      </c:pt>
                      <c:pt idx="421">
                        <c:v>13090.316575006244</c:v>
                      </c:pt>
                      <c:pt idx="422">
                        <c:v>13118.522834659287</c:v>
                      </c:pt>
                      <c:pt idx="423">
                        <c:v>13145.779162047083</c:v>
                      </c:pt>
                      <c:pt idx="424">
                        <c:v>13172.077254628275</c:v>
                      </c:pt>
                      <c:pt idx="425">
                        <c:v>13197.409101749103</c:v>
                      </c:pt>
                      <c:pt idx="426">
                        <c:v>13221.766987083542</c:v>
                      </c:pt>
                      <c:pt idx="427">
                        <c:v>13245.143490983755</c:v>
                      </c:pt>
                      <c:pt idx="428">
                        <c:v>13267.531492740207</c:v>
                      </c:pt>
                      <c:pt idx="429">
                        <c:v>13288.924172750678</c:v>
                      </c:pt>
                      <c:pt idx="430">
                        <c:v>13309.315014597609</c:v>
                      </c:pt>
                      <c:pt idx="431">
                        <c:v>13328.697807033037</c:v>
                      </c:pt>
                      <c:pt idx="432">
                        <c:v>13347.066645870626</c:v>
                      </c:pt>
                      <c:pt idx="433">
                        <c:v>13364.415935784116</c:v>
                      </c:pt>
                      <c:pt idx="434">
                        <c:v>13380.740392011739</c:v>
                      </c:pt>
                      <c:pt idx="435">
                        <c:v>13396.035041965986</c:v>
                      </c:pt>
                      <c:pt idx="436">
                        <c:v>13410.295226748323</c:v>
                      </c:pt>
                      <c:pt idx="437">
                        <c:v>13423.516602568319</c:v>
                      </c:pt>
                      <c:pt idx="438">
                        <c:v>13435.695142066823</c:v>
                      </c:pt>
                      <c:pt idx="439">
                        <c:v>13446.827135542728</c:v>
                      </c:pt>
                      <c:pt idx="440">
                        <c:v>13456.909192082981</c:v>
                      </c:pt>
                      <c:pt idx="441">
                        <c:v>13465.938240595497</c:v>
                      </c:pt>
                      <c:pt idx="442">
                        <c:v>13473.911530744626</c:v>
                      </c:pt>
                      <c:pt idx="443">
                        <c:v>13480.826633788956</c:v>
                      </c:pt>
                      <c:pt idx="444">
                        <c:v>13486.681443321109</c:v>
                      </c:pt>
                      <c:pt idx="445">
                        <c:v>13491.474175909385</c:v>
                      </c:pt>
                      <c:pt idx="446">
                        <c:v>13495.203371641008</c:v>
                      </c:pt>
                      <c:pt idx="447">
                        <c:v>13497.867894566836</c:v>
                      </c:pt>
                      <c:pt idx="448">
                        <c:v>13499.46693304737</c:v>
                      </c:pt>
                      <c:pt idx="449">
                        <c:v>13500</c:v>
                      </c:pt>
                      <c:pt idx="450">
                        <c:v>13499.46693304737</c:v>
                      </c:pt>
                      <c:pt idx="451">
                        <c:v>13497.867894566836</c:v>
                      </c:pt>
                      <c:pt idx="452">
                        <c:v>13495.203371641008</c:v>
                      </c:pt>
                      <c:pt idx="453">
                        <c:v>13491.474175909385</c:v>
                      </c:pt>
                      <c:pt idx="454">
                        <c:v>13486.681443321109</c:v>
                      </c:pt>
                      <c:pt idx="455">
                        <c:v>13480.826633788956</c:v>
                      </c:pt>
                      <c:pt idx="456">
                        <c:v>13473.911530744626</c:v>
                      </c:pt>
                      <c:pt idx="457">
                        <c:v>13465.938240595497</c:v>
                      </c:pt>
                      <c:pt idx="458">
                        <c:v>13456.909192082981</c:v>
                      </c:pt>
                      <c:pt idx="459">
                        <c:v>13446.827135542728</c:v>
                      </c:pt>
                      <c:pt idx="460">
                        <c:v>13435.695142066823</c:v>
                      </c:pt>
                      <c:pt idx="461">
                        <c:v>13423.516602568319</c:v>
                      </c:pt>
                      <c:pt idx="462">
                        <c:v>13410.295226748323</c:v>
                      </c:pt>
                      <c:pt idx="463">
                        <c:v>13396.035041965988</c:v>
                      </c:pt>
                      <c:pt idx="464">
                        <c:v>13380.740392011739</c:v>
                      </c:pt>
                      <c:pt idx="465">
                        <c:v>13364.415935784116</c:v>
                      </c:pt>
                      <c:pt idx="466">
                        <c:v>13347.066645870626</c:v>
                      </c:pt>
                      <c:pt idx="467">
                        <c:v>13328.697807033037</c:v>
                      </c:pt>
                      <c:pt idx="468">
                        <c:v>13309.315014597611</c:v>
                      </c:pt>
                      <c:pt idx="469">
                        <c:v>13288.92417275068</c:v>
                      </c:pt>
                      <c:pt idx="470">
                        <c:v>13267.531492740207</c:v>
                      </c:pt>
                      <c:pt idx="471">
                        <c:v>13245.143490983757</c:v>
                      </c:pt>
                      <c:pt idx="472">
                        <c:v>13221.766987083542</c:v>
                      </c:pt>
                      <c:pt idx="473">
                        <c:v>13197.409101749103</c:v>
                      </c:pt>
                      <c:pt idx="474">
                        <c:v>13172.077254628275</c:v>
                      </c:pt>
                      <c:pt idx="475">
                        <c:v>13145.779162047085</c:v>
                      </c:pt>
                      <c:pt idx="476">
                        <c:v>13118.522834659287</c:v>
                      </c:pt>
                      <c:pt idx="477">
                        <c:v>13090.316575006245</c:v>
                      </c:pt>
                      <c:pt idx="478">
                        <c:v>13061.168974987886</c:v>
                      </c:pt>
                      <c:pt idx="479">
                        <c:v>13031.088913245538</c:v>
                      </c:pt>
                      <c:pt idx="480">
                        <c:v>13000.085552457393</c:v>
                      </c:pt>
                      <c:pt idx="481">
                        <c:v>12968.168336547489</c:v>
                      </c:pt>
                      <c:pt idx="482">
                        <c:v>12935.346987808985</c:v>
                      </c:pt>
                      <c:pt idx="483">
                        <c:v>12901.631503942646</c:v>
                      </c:pt>
                      <c:pt idx="484">
                        <c:v>12867.032155011473</c:v>
                      </c:pt>
                      <c:pt idx="485">
                        <c:v>12831.559480312317</c:v>
                      </c:pt>
                      <c:pt idx="486">
                        <c:v>12795.224285165528</c:v>
                      </c:pt>
                      <c:pt idx="487">
                        <c:v>12758.037637623529</c:v>
                      </c:pt>
                      <c:pt idx="488">
                        <c:v>12720.010865099397</c:v>
                      </c:pt>
                      <c:pt idx="489">
                        <c:v>12681.155550916426</c:v>
                      </c:pt>
                      <c:pt idx="490">
                        <c:v>12641.483530779704</c:v>
                      </c:pt>
                      <c:pt idx="491">
                        <c:v>12601.00688917088</c:v>
                      </c:pt>
                      <c:pt idx="492">
                        <c:v>12559.737955667095</c:v>
                      </c:pt>
                      <c:pt idx="493">
                        <c:v>12517.689301185279</c:v>
                      </c:pt>
                      <c:pt idx="494">
                        <c:v>12474.873734152916</c:v>
                      </c:pt>
                      <c:pt idx="495">
                        <c:v>12431.304296606491</c:v>
                      </c:pt>
                      <c:pt idx="496">
                        <c:v>12386.994260218744</c:v>
                      </c:pt>
                      <c:pt idx="497">
                        <c:v>12341.957122256006</c:v>
                      </c:pt>
                      <c:pt idx="498">
                        <c:v>12296.206601466776</c:v>
                      </c:pt>
                      <c:pt idx="499">
                        <c:v>12249.756633902891</c:v>
                      </c:pt>
                      <c:pt idx="500">
                        <c:v>12202.621368674432</c:v>
                      </c:pt>
                      <c:pt idx="501">
                        <c:v>12154.815163639803</c:v>
                      </c:pt>
                      <c:pt idx="502">
                        <c:v>12106.352581032172</c:v>
                      </c:pt>
                      <c:pt idx="503">
                        <c:v>12057.248383023656</c:v>
                      </c:pt>
                      <c:pt idx="504">
                        <c:v>12007.517527228665</c:v>
                      </c:pt>
                      <c:pt idx="505">
                        <c:v>11957.175162147616</c:v>
                      </c:pt>
                      <c:pt idx="506">
                        <c:v>11906.236622552595</c:v>
                      </c:pt>
                      <c:pt idx="507">
                        <c:v>11854.717424816215</c:v>
                      </c:pt>
                      <c:pt idx="508">
                        <c:v>11802.633262185191</c:v>
                      </c:pt>
                      <c:pt idx="509">
                        <c:v>11750</c:v>
                      </c:pt>
                      <c:pt idx="510">
                        <c:v>11696.833670862183</c:v>
                      </c:pt>
                      <c:pt idx="511">
                        <c:v>11643.150469750619</c:v>
                      </c:pt>
                      <c:pt idx="512">
                        <c:v>11588.966749088413</c:v>
                      </c:pt>
                      <c:pt idx="513">
                        <c:v>11534.299013761773</c:v>
                      </c:pt>
                      <c:pt idx="514">
                        <c:v>11479.163916092448</c:v>
                      </c:pt>
                      <c:pt idx="515">
                        <c:v>11423.578250765304</c:v>
                      </c:pt>
                      <c:pt idx="516">
                        <c:v>11367.558949712458</c:v>
                      </c:pt>
                      <c:pt idx="517">
                        <c:v>11311.123076955697</c:v>
                      </c:pt>
                      <c:pt idx="518">
                        <c:v>11254.287823408553</c:v>
                      </c:pt>
                      <c:pt idx="519">
                        <c:v>11197.070501639841</c:v>
                      </c:pt>
                      <c:pt idx="520">
                        <c:v>11139.488540600052</c:v>
                      </c:pt>
                      <c:pt idx="521">
                        <c:v>11081.559480312317</c:v>
                      </c:pt>
                      <c:pt idx="522">
                        <c:v>11023.300966529578</c:v>
                      </c:pt>
                      <c:pt idx="523">
                        <c:v>10964.730745359493</c:v>
                      </c:pt>
                      <c:pt idx="524">
                        <c:v>10905.866657858824</c:v>
                      </c:pt>
                      <c:pt idx="525">
                        <c:v>10846.726634598836</c:v>
                      </c:pt>
                      <c:pt idx="526">
                        <c:v>10787.328690203529</c:v>
                      </c:pt>
                      <c:pt idx="527">
                        <c:v>10727.690917862157</c:v>
                      </c:pt>
                      <c:pt idx="528">
                        <c:v>10667.83148381791</c:v>
                      </c:pt>
                      <c:pt idx="529">
                        <c:v>10607.768621834257</c:v>
                      </c:pt>
                      <c:pt idx="530">
                        <c:v>10547.520627640812</c:v>
                      </c:pt>
                      <c:pt idx="531">
                        <c:v>10487.105853360232</c:v>
                      </c:pt>
                      <c:pt idx="532">
                        <c:v>10426.542701918022</c:v>
                      </c:pt>
                      <c:pt idx="533">
                        <c:v>10365.84962143679</c:v>
                      </c:pt>
                      <c:pt idx="534">
                        <c:v>10305.045099616804</c:v>
                      </c:pt>
                      <c:pt idx="535">
                        <c:v>10244.147658104443</c:v>
                      </c:pt>
                      <c:pt idx="536">
                        <c:v>10183.175846850305</c:v>
                      </c:pt>
                      <c:pt idx="537">
                        <c:v>10122.148238458753</c:v>
                      </c:pt>
                      <c:pt idx="538">
                        <c:v>10061.08342253049</c:v>
                      </c:pt>
                      <c:pt idx="539">
                        <c:v>10000.000000000002</c:v>
                      </c:pt>
                      <c:pt idx="540">
                        <c:v>9938.9165774695066</c:v>
                      </c:pt>
                      <c:pt idx="541">
                        <c:v>9877.8517615412493</c:v>
                      </c:pt>
                      <c:pt idx="542">
                        <c:v>9816.8241531496969</c:v>
                      </c:pt>
                      <c:pt idx="543">
                        <c:v>9755.8523418955592</c:v>
                      </c:pt>
                      <c:pt idx="544">
                        <c:v>9694.954900383198</c:v>
                      </c:pt>
                      <c:pt idx="545">
                        <c:v>9634.1503785632121</c:v>
                      </c:pt>
                      <c:pt idx="546">
                        <c:v>9573.4572980819867</c:v>
                      </c:pt>
                      <c:pt idx="547">
                        <c:v>9512.8941466397719</c:v>
                      </c:pt>
                      <c:pt idx="548">
                        <c:v>9452.4793723591956</c:v>
                      </c:pt>
                      <c:pt idx="549">
                        <c:v>9392.2313781657467</c:v>
                      </c:pt>
                      <c:pt idx="550">
                        <c:v>9332.1685161820988</c:v>
                      </c:pt>
                      <c:pt idx="551">
                        <c:v>9272.3090821378464</c:v>
                      </c:pt>
                      <c:pt idx="552">
                        <c:v>9212.671309796473</c:v>
                      </c:pt>
                      <c:pt idx="553">
                        <c:v>9153.2733654011608</c:v>
                      </c:pt>
                      <c:pt idx="554">
                        <c:v>9094.1333421411728</c:v>
                      </c:pt>
                      <c:pt idx="555">
                        <c:v>9035.2692546405033</c:v>
                      </c:pt>
                      <c:pt idx="556">
                        <c:v>8976.6990334704187</c:v>
                      </c:pt>
                      <c:pt idx="557">
                        <c:v>8918.4405196876851</c:v>
                      </c:pt>
                      <c:pt idx="558">
                        <c:v>8860.5114593999497</c:v>
                      </c:pt>
                      <c:pt idx="559">
                        <c:v>8802.9294983601612</c:v>
                      </c:pt>
                      <c:pt idx="560">
                        <c:v>8745.712176591449</c:v>
                      </c:pt>
                      <c:pt idx="561">
                        <c:v>8688.8769230443122</c:v>
                      </c:pt>
                      <c:pt idx="562">
                        <c:v>8632.4410502875435</c:v>
                      </c:pt>
                      <c:pt idx="563">
                        <c:v>8576.4217492347052</c:v>
                      </c:pt>
                      <c:pt idx="564">
                        <c:v>8520.836083907554</c:v>
                      </c:pt>
                      <c:pt idx="565">
                        <c:v>8465.7009862382292</c:v>
                      </c:pt>
                      <c:pt idx="566">
                        <c:v>8411.0332509115906</c:v>
                      </c:pt>
                      <c:pt idx="567">
                        <c:v>8356.8495302493848</c:v>
                      </c:pt>
                      <c:pt idx="568">
                        <c:v>8303.1663291378209</c:v>
                      </c:pt>
                      <c:pt idx="569">
                        <c:v>8249.9999999999982</c:v>
                      </c:pt>
                      <c:pt idx="570">
                        <c:v>8197.3667378148111</c:v>
                      </c:pt>
                      <c:pt idx="571">
                        <c:v>8145.2825751837809</c:v>
                      </c:pt>
                      <c:pt idx="572">
                        <c:v>8093.763377447407</c:v>
                      </c:pt>
                      <c:pt idx="573">
                        <c:v>8042.8248378523858</c:v>
                      </c:pt>
                      <c:pt idx="574">
                        <c:v>7992.4824727713421</c:v>
                      </c:pt>
                      <c:pt idx="575">
                        <c:v>7942.7516169763458</c:v>
                      </c:pt>
                      <c:pt idx="576">
                        <c:v>7893.6474189678302</c:v>
                      </c:pt>
                      <c:pt idx="577">
                        <c:v>7845.1848363601985</c:v>
                      </c:pt>
                      <c:pt idx="578">
                        <c:v>7797.3786313255696</c:v>
                      </c:pt>
                      <c:pt idx="579">
                        <c:v>7750.2433660971155</c:v>
                      </c:pt>
                      <c:pt idx="580">
                        <c:v>7703.7933985332256</c:v>
                      </c:pt>
                      <c:pt idx="581">
                        <c:v>7658.0428777440011</c:v>
                      </c:pt>
                      <c:pt idx="582">
                        <c:v>7613.0057397812579</c:v>
                      </c:pt>
                      <c:pt idx="583">
                        <c:v>7568.6957033935105</c:v>
                      </c:pt>
                      <c:pt idx="584">
                        <c:v>7525.1262658470823</c:v>
                      </c:pt>
                      <c:pt idx="585">
                        <c:v>7482.3106988147229</c:v>
                      </c:pt>
                      <c:pt idx="586">
                        <c:v>7440.2620443329033</c:v>
                      </c:pt>
                      <c:pt idx="587">
                        <c:v>7398.9931108291185</c:v>
                      </c:pt>
                      <c:pt idx="588">
                        <c:v>7358.5164692202989</c:v>
                      </c:pt>
                      <c:pt idx="589">
                        <c:v>7318.8444490835764</c:v>
                      </c:pt>
                      <c:pt idx="590">
                        <c:v>7279.9891349006029</c:v>
                      </c:pt>
                      <c:pt idx="591">
                        <c:v>7241.9623623764728</c:v>
                      </c:pt>
                      <c:pt idx="592">
                        <c:v>7204.7757148344772</c:v>
                      </c:pt>
                      <c:pt idx="593">
                        <c:v>7168.4405196876851</c:v>
                      </c:pt>
                      <c:pt idx="594">
                        <c:v>7132.9678449885323</c:v>
                      </c:pt>
                      <c:pt idx="595">
                        <c:v>7098.3684960573555</c:v>
                      </c:pt>
                      <c:pt idx="596">
                        <c:v>7064.6530121910191</c:v>
                      </c:pt>
                      <c:pt idx="597">
                        <c:v>7031.8316634525108</c:v>
                      </c:pt>
                      <c:pt idx="598">
                        <c:v>6999.9144475426074</c:v>
                      </c:pt>
                      <c:pt idx="599">
                        <c:v>6968.9110867544641</c:v>
                      </c:pt>
                      <c:pt idx="600">
                        <c:v>6938.831025012114</c:v>
                      </c:pt>
                      <c:pt idx="601">
                        <c:v>6909.6834249937565</c:v>
                      </c:pt>
                      <c:pt idx="602">
                        <c:v>6881.4771653407115</c:v>
                      </c:pt>
                      <c:pt idx="603">
                        <c:v>6854.2208379529166</c:v>
                      </c:pt>
                      <c:pt idx="604">
                        <c:v>6827.9227453717249</c:v>
                      </c:pt>
                      <c:pt idx="605">
                        <c:v>6802.5908982508981</c:v>
                      </c:pt>
                      <c:pt idx="606">
                        <c:v>6778.2330129164593</c:v>
                      </c:pt>
                      <c:pt idx="607">
                        <c:v>6754.8565090162465</c:v>
                      </c:pt>
                      <c:pt idx="608">
                        <c:v>6732.4685072597949</c:v>
                      </c:pt>
                      <c:pt idx="609">
                        <c:v>6711.0758272493204</c:v>
                      </c:pt>
                      <c:pt idx="610">
                        <c:v>6690.6849854023931</c:v>
                      </c:pt>
                      <c:pt idx="611">
                        <c:v>6671.302192966963</c:v>
                      </c:pt>
                      <c:pt idx="612">
                        <c:v>6652.9333541293781</c:v>
                      </c:pt>
                      <c:pt idx="613">
                        <c:v>6635.5840642158846</c:v>
                      </c:pt>
                      <c:pt idx="614">
                        <c:v>6619.2596079882615</c:v>
                      </c:pt>
                      <c:pt idx="615">
                        <c:v>6603.9649580340119</c:v>
                      </c:pt>
                      <c:pt idx="616">
                        <c:v>6589.7047732516767</c:v>
                      </c:pt>
                      <c:pt idx="617">
                        <c:v>6576.4833974316807</c:v>
                      </c:pt>
                      <c:pt idx="618">
                        <c:v>6564.3048579331753</c:v>
                      </c:pt>
                      <c:pt idx="619">
                        <c:v>6553.1728644572722</c:v>
                      </c:pt>
                      <c:pt idx="620">
                        <c:v>6543.0908079170176</c:v>
                      </c:pt>
                      <c:pt idx="621">
                        <c:v>6534.0617594045043</c:v>
                      </c:pt>
                      <c:pt idx="622">
                        <c:v>6526.0884692553727</c:v>
                      </c:pt>
                      <c:pt idx="623">
                        <c:v>6519.1733662110437</c:v>
                      </c:pt>
                      <c:pt idx="624">
                        <c:v>6513.3185566788907</c:v>
                      </c:pt>
                      <c:pt idx="625">
                        <c:v>6508.5258240906151</c:v>
                      </c:pt>
                      <c:pt idx="626">
                        <c:v>6504.7966283589922</c:v>
                      </c:pt>
                      <c:pt idx="627">
                        <c:v>6502.1321054331656</c:v>
                      </c:pt>
                      <c:pt idx="628">
                        <c:v>6500.5330669526302</c:v>
                      </c:pt>
                      <c:pt idx="629">
                        <c:v>6500</c:v>
                      </c:pt>
                      <c:pt idx="630">
                        <c:v>6500.5330669526302</c:v>
                      </c:pt>
                      <c:pt idx="631">
                        <c:v>6502.1321054331647</c:v>
                      </c:pt>
                      <c:pt idx="632">
                        <c:v>6504.7966283589922</c:v>
                      </c:pt>
                      <c:pt idx="633">
                        <c:v>6508.5258240906151</c:v>
                      </c:pt>
                      <c:pt idx="634">
                        <c:v>6513.3185566788907</c:v>
                      </c:pt>
                      <c:pt idx="635">
                        <c:v>6519.1733662110437</c:v>
                      </c:pt>
                      <c:pt idx="636">
                        <c:v>6526.0884692553727</c:v>
                      </c:pt>
                      <c:pt idx="637">
                        <c:v>6534.0617594045034</c:v>
                      </c:pt>
                      <c:pt idx="638">
                        <c:v>6543.0908079170176</c:v>
                      </c:pt>
                      <c:pt idx="639">
                        <c:v>6553.1728644572713</c:v>
                      </c:pt>
                      <c:pt idx="640">
                        <c:v>6564.3048579331762</c:v>
                      </c:pt>
                      <c:pt idx="641">
                        <c:v>6576.4833974316798</c:v>
                      </c:pt>
                      <c:pt idx="642">
                        <c:v>6589.7047732516767</c:v>
                      </c:pt>
                      <c:pt idx="643">
                        <c:v>6603.964958034011</c:v>
                      </c:pt>
                      <c:pt idx="644">
                        <c:v>6619.2596079882605</c:v>
                      </c:pt>
                      <c:pt idx="645">
                        <c:v>6635.5840642158837</c:v>
                      </c:pt>
                      <c:pt idx="646">
                        <c:v>6652.9333541293763</c:v>
                      </c:pt>
                      <c:pt idx="647">
                        <c:v>6671.3021929669612</c:v>
                      </c:pt>
                      <c:pt idx="648">
                        <c:v>6690.6849854023912</c:v>
                      </c:pt>
                      <c:pt idx="649">
                        <c:v>6711.0758272493204</c:v>
                      </c:pt>
                      <c:pt idx="650">
                        <c:v>6732.4685072597931</c:v>
                      </c:pt>
                      <c:pt idx="651">
                        <c:v>6754.8565090162429</c:v>
                      </c:pt>
                      <c:pt idx="652">
                        <c:v>6778.2330129164602</c:v>
                      </c:pt>
                      <c:pt idx="653">
                        <c:v>6802.5908982508972</c:v>
                      </c:pt>
                      <c:pt idx="654">
                        <c:v>6827.9227453717231</c:v>
                      </c:pt>
                      <c:pt idx="655">
                        <c:v>6854.2208379529129</c:v>
                      </c:pt>
                      <c:pt idx="656">
                        <c:v>6881.4771653407133</c:v>
                      </c:pt>
                      <c:pt idx="657">
                        <c:v>6909.6834249937547</c:v>
                      </c:pt>
                      <c:pt idx="658">
                        <c:v>6938.8310250121121</c:v>
                      </c:pt>
                      <c:pt idx="659">
                        <c:v>6968.9110867544623</c:v>
                      </c:pt>
                      <c:pt idx="660">
                        <c:v>6999.9144475426065</c:v>
                      </c:pt>
                      <c:pt idx="661">
                        <c:v>7031.831663452509</c:v>
                      </c:pt>
                      <c:pt idx="662">
                        <c:v>7064.6530121910146</c:v>
                      </c:pt>
                      <c:pt idx="663">
                        <c:v>7098.3684960573537</c:v>
                      </c:pt>
                      <c:pt idx="664">
                        <c:v>7132.9678449885305</c:v>
                      </c:pt>
                      <c:pt idx="665">
                        <c:v>7168.4405196876833</c:v>
                      </c:pt>
                      <c:pt idx="666">
                        <c:v>7204.7757148344717</c:v>
                      </c:pt>
                      <c:pt idx="667">
                        <c:v>7241.9623623764746</c:v>
                      </c:pt>
                      <c:pt idx="668">
                        <c:v>7279.9891349006011</c:v>
                      </c:pt>
                      <c:pt idx="669">
                        <c:v>7318.8444490835736</c:v>
                      </c:pt>
                      <c:pt idx="670">
                        <c:v>7358.5164692202925</c:v>
                      </c:pt>
                      <c:pt idx="671">
                        <c:v>7398.9931108291203</c:v>
                      </c:pt>
                      <c:pt idx="672">
                        <c:v>7440.2620443329015</c:v>
                      </c:pt>
                      <c:pt idx="673">
                        <c:v>7482.3106988147156</c:v>
                      </c:pt>
                      <c:pt idx="674">
                        <c:v>7525.1262658470841</c:v>
                      </c:pt>
                      <c:pt idx="675">
                        <c:v>7568.6957033935078</c:v>
                      </c:pt>
                      <c:pt idx="676">
                        <c:v>7613.0057397812552</c:v>
                      </c:pt>
                      <c:pt idx="677">
                        <c:v>7658.0428777439938</c:v>
                      </c:pt>
                      <c:pt idx="678">
                        <c:v>7703.7933985332238</c:v>
                      </c:pt>
                      <c:pt idx="679">
                        <c:v>7750.2433660971128</c:v>
                      </c:pt>
                      <c:pt idx="680">
                        <c:v>7797.3786313255669</c:v>
                      </c:pt>
                      <c:pt idx="681">
                        <c:v>7845.1848363601912</c:v>
                      </c:pt>
                      <c:pt idx="682">
                        <c:v>7893.647418967832</c:v>
                      </c:pt>
                      <c:pt idx="683">
                        <c:v>7942.751616976343</c:v>
                      </c:pt>
                      <c:pt idx="684">
                        <c:v>7992.482472771334</c:v>
                      </c:pt>
                      <c:pt idx="685">
                        <c:v>8042.8248378523895</c:v>
                      </c:pt>
                      <c:pt idx="686">
                        <c:v>8093.7633774474052</c:v>
                      </c:pt>
                      <c:pt idx="687">
                        <c:v>8145.282575183779</c:v>
                      </c:pt>
                      <c:pt idx="688">
                        <c:v>8197.3667378148039</c:v>
                      </c:pt>
                      <c:pt idx="689">
                        <c:v>8250</c:v>
                      </c:pt>
                      <c:pt idx="690">
                        <c:v>8303.1663291378172</c:v>
                      </c:pt>
                      <c:pt idx="691">
                        <c:v>8356.8495302493811</c:v>
                      </c:pt>
                      <c:pt idx="692">
                        <c:v>8411.0332509115815</c:v>
                      </c:pt>
                      <c:pt idx="693">
                        <c:v>8465.7009862382274</c:v>
                      </c:pt>
                      <c:pt idx="694">
                        <c:v>8520.8360839075522</c:v>
                      </c:pt>
                      <c:pt idx="695">
                        <c:v>8576.4217492346961</c:v>
                      </c:pt>
                      <c:pt idx="696">
                        <c:v>8632.4410502875471</c:v>
                      </c:pt>
                      <c:pt idx="697">
                        <c:v>8688.8769230443086</c:v>
                      </c:pt>
                      <c:pt idx="698">
                        <c:v>8745.7121765914471</c:v>
                      </c:pt>
                      <c:pt idx="699">
                        <c:v>8802.929498360154</c:v>
                      </c:pt>
                      <c:pt idx="700">
                        <c:v>8860.5114593999533</c:v>
                      </c:pt>
                      <c:pt idx="701">
                        <c:v>8918.4405196876833</c:v>
                      </c:pt>
                      <c:pt idx="702">
                        <c:v>8976.6990334704169</c:v>
                      </c:pt>
                      <c:pt idx="703">
                        <c:v>9035.2692546404996</c:v>
                      </c:pt>
                      <c:pt idx="704">
                        <c:v>9094.1333421411764</c:v>
                      </c:pt>
                      <c:pt idx="705">
                        <c:v>9153.273365401159</c:v>
                      </c:pt>
                      <c:pt idx="706">
                        <c:v>9212.6713097964712</c:v>
                      </c:pt>
                      <c:pt idx="707">
                        <c:v>9272.3090821378428</c:v>
                      </c:pt>
                      <c:pt idx="708">
                        <c:v>9332.1685161820897</c:v>
                      </c:pt>
                      <c:pt idx="709">
                        <c:v>9392.2313781657431</c:v>
                      </c:pt>
                      <c:pt idx="710">
                        <c:v>9452.4793723591865</c:v>
                      </c:pt>
                      <c:pt idx="711">
                        <c:v>9512.8941466397755</c:v>
                      </c:pt>
                      <c:pt idx="712">
                        <c:v>9573.457298081983</c:v>
                      </c:pt>
                      <c:pt idx="713">
                        <c:v>9634.1503785632085</c:v>
                      </c:pt>
                      <c:pt idx="714">
                        <c:v>9694.9549003832017</c:v>
                      </c:pt>
                      <c:pt idx="715">
                        <c:v>9755.8523418955629</c:v>
                      </c:pt>
                      <c:pt idx="716">
                        <c:v>9816.8241531496933</c:v>
                      </c:pt>
                      <c:pt idx="717">
                        <c:v>9877.8517615412402</c:v>
                      </c:pt>
                      <c:pt idx="718">
                        <c:v>9938.9165774695102</c:v>
                      </c:pt>
                      <c:pt idx="719">
                        <c:v>9999.9999999999982</c:v>
                      </c:pt>
                      <c:pt idx="720">
                        <c:v>10061.083422530486</c:v>
                      </c:pt>
                      <c:pt idx="721">
                        <c:v>10122.148238458751</c:v>
                      </c:pt>
                      <c:pt idx="722">
                        <c:v>10183.175846850303</c:v>
                      </c:pt>
                      <c:pt idx="723">
                        <c:v>10244.147658104434</c:v>
                      </c:pt>
                      <c:pt idx="724">
                        <c:v>10305.045099616802</c:v>
                      </c:pt>
                      <c:pt idx="725">
                        <c:v>10365.849621436788</c:v>
                      </c:pt>
                      <c:pt idx="726">
                        <c:v>10426.542701918019</c:v>
                      </c:pt>
                      <c:pt idx="727">
                        <c:v>10487.105853360228</c:v>
                      </c:pt>
                      <c:pt idx="728">
                        <c:v>10547.520627640803</c:v>
                      </c:pt>
                      <c:pt idx="729">
                        <c:v>10607.768621834261</c:v>
                      </c:pt>
                      <c:pt idx="730">
                        <c:v>10667.831483817907</c:v>
                      </c:pt>
                      <c:pt idx="731">
                        <c:v>10727.690917862154</c:v>
                      </c:pt>
                      <c:pt idx="732">
                        <c:v>10787.32869020352</c:v>
                      </c:pt>
                      <c:pt idx="733">
                        <c:v>10846.726634598837</c:v>
                      </c:pt>
                      <c:pt idx="734">
                        <c:v>10905.86665785882</c:v>
                      </c:pt>
                      <c:pt idx="735">
                        <c:v>10964.730745359491</c:v>
                      </c:pt>
                      <c:pt idx="736">
                        <c:v>11023.300966529581</c:v>
                      </c:pt>
                      <c:pt idx="737">
                        <c:v>11081.559480312315</c:v>
                      </c:pt>
                      <c:pt idx="738">
                        <c:v>11139.488540600049</c:v>
                      </c:pt>
                      <c:pt idx="739">
                        <c:v>11197.070501639837</c:v>
                      </c:pt>
                      <c:pt idx="740">
                        <c:v>11254.287823408551</c:v>
                      </c:pt>
                      <c:pt idx="741">
                        <c:v>11311.123076955693</c:v>
                      </c:pt>
                      <c:pt idx="742">
                        <c:v>11367.558949712457</c:v>
                      </c:pt>
                      <c:pt idx="743">
                        <c:v>11423.578250765295</c:v>
                      </c:pt>
                      <c:pt idx="744">
                        <c:v>11479.16391609245</c:v>
                      </c:pt>
                      <c:pt idx="745">
                        <c:v>11534.299013761771</c:v>
                      </c:pt>
                      <c:pt idx="746">
                        <c:v>11588.966749088409</c:v>
                      </c:pt>
                      <c:pt idx="747">
                        <c:v>11643.150469750621</c:v>
                      </c:pt>
                      <c:pt idx="748">
                        <c:v>11696.833670862179</c:v>
                      </c:pt>
                      <c:pt idx="749">
                        <c:v>11749.999999999996</c:v>
                      </c:pt>
                      <c:pt idx="750">
                        <c:v>11802.633262185183</c:v>
                      </c:pt>
                      <c:pt idx="751">
                        <c:v>11854.717424816219</c:v>
                      </c:pt>
                      <c:pt idx="752">
                        <c:v>11906.236622552593</c:v>
                      </c:pt>
                      <c:pt idx="753">
                        <c:v>11957.175162147614</c:v>
                      </c:pt>
                      <c:pt idx="754">
                        <c:v>12007.517527228658</c:v>
                      </c:pt>
                      <c:pt idx="755">
                        <c:v>12057.248383023654</c:v>
                      </c:pt>
                      <c:pt idx="756">
                        <c:v>12106.35258103217</c:v>
                      </c:pt>
                      <c:pt idx="757">
                        <c:v>12154.815163639802</c:v>
                      </c:pt>
                      <c:pt idx="758">
                        <c:v>12202.62136867443</c:v>
                      </c:pt>
                      <c:pt idx="759">
                        <c:v>12249.756633902889</c:v>
                      </c:pt>
                      <c:pt idx="760">
                        <c:v>12296.206601466774</c:v>
                      </c:pt>
                      <c:pt idx="761">
                        <c:v>12341.957122255999</c:v>
                      </c:pt>
                      <c:pt idx="762">
                        <c:v>12386.994260218748</c:v>
                      </c:pt>
                      <c:pt idx="763">
                        <c:v>12431.30429660649</c:v>
                      </c:pt>
                      <c:pt idx="764">
                        <c:v>12474.873734152912</c:v>
                      </c:pt>
                      <c:pt idx="765">
                        <c:v>12517.689301185274</c:v>
                      </c:pt>
                      <c:pt idx="766">
                        <c:v>12559.737955667097</c:v>
                      </c:pt>
                      <c:pt idx="767">
                        <c:v>12601.006889170876</c:v>
                      </c:pt>
                      <c:pt idx="768">
                        <c:v>12641.4835307797</c:v>
                      </c:pt>
                      <c:pt idx="769">
                        <c:v>12681.155550916425</c:v>
                      </c:pt>
                      <c:pt idx="770">
                        <c:v>12720.010865099397</c:v>
                      </c:pt>
                      <c:pt idx="771">
                        <c:v>12758.037637623527</c:v>
                      </c:pt>
                      <c:pt idx="772">
                        <c:v>12795.224285165523</c:v>
                      </c:pt>
                      <c:pt idx="773">
                        <c:v>12831.559480312319</c:v>
                      </c:pt>
                      <c:pt idx="774">
                        <c:v>12867.032155011471</c:v>
                      </c:pt>
                      <c:pt idx="775">
                        <c:v>12901.631503942644</c:v>
                      </c:pt>
                      <c:pt idx="776">
                        <c:v>12935.34698780898</c:v>
                      </c:pt>
                      <c:pt idx="777">
                        <c:v>12968.168336547491</c:v>
                      </c:pt>
                      <c:pt idx="778">
                        <c:v>13000.085552457393</c:v>
                      </c:pt>
                      <c:pt idx="779">
                        <c:v>13031.088913245532</c:v>
                      </c:pt>
                      <c:pt idx="780">
                        <c:v>13061.168974987886</c:v>
                      </c:pt>
                      <c:pt idx="781">
                        <c:v>13090.316575006244</c:v>
                      </c:pt>
                      <c:pt idx="782">
                        <c:v>13118.522834659285</c:v>
                      </c:pt>
                      <c:pt idx="783">
                        <c:v>13145.779162047083</c:v>
                      </c:pt>
                      <c:pt idx="784">
                        <c:v>13172.077254628275</c:v>
                      </c:pt>
                      <c:pt idx="785">
                        <c:v>13197.409101749101</c:v>
                      </c:pt>
                      <c:pt idx="786">
                        <c:v>13221.766987083542</c:v>
                      </c:pt>
                      <c:pt idx="787">
                        <c:v>13245.143490983754</c:v>
                      </c:pt>
                      <c:pt idx="788">
                        <c:v>13267.531492740207</c:v>
                      </c:pt>
                      <c:pt idx="789">
                        <c:v>13288.92417275068</c:v>
                      </c:pt>
                      <c:pt idx="790">
                        <c:v>13309.315014597607</c:v>
                      </c:pt>
                      <c:pt idx="791">
                        <c:v>13328.697807033039</c:v>
                      </c:pt>
                      <c:pt idx="792">
                        <c:v>13347.066645870626</c:v>
                      </c:pt>
                      <c:pt idx="793">
                        <c:v>13364.415935784114</c:v>
                      </c:pt>
                      <c:pt idx="794">
                        <c:v>13380.740392011738</c:v>
                      </c:pt>
                      <c:pt idx="795">
                        <c:v>13396.035041965988</c:v>
                      </c:pt>
                      <c:pt idx="796">
                        <c:v>13410.295226748323</c:v>
                      </c:pt>
                      <c:pt idx="797">
                        <c:v>13423.516602568317</c:v>
                      </c:pt>
                      <c:pt idx="798">
                        <c:v>13435.695142066823</c:v>
                      </c:pt>
                      <c:pt idx="799">
                        <c:v>13446.827135542728</c:v>
                      </c:pt>
                      <c:pt idx="800">
                        <c:v>13456.909192082981</c:v>
                      </c:pt>
                      <c:pt idx="801">
                        <c:v>13465.938240595497</c:v>
                      </c:pt>
                      <c:pt idx="802">
                        <c:v>13473.911530744626</c:v>
                      </c:pt>
                      <c:pt idx="803">
                        <c:v>13480.826633788956</c:v>
                      </c:pt>
                      <c:pt idx="804">
                        <c:v>13486.681443321109</c:v>
                      </c:pt>
                      <c:pt idx="805">
                        <c:v>13491.474175909385</c:v>
                      </c:pt>
                      <c:pt idx="806">
                        <c:v>13495.203371641008</c:v>
                      </c:pt>
                      <c:pt idx="807">
                        <c:v>13497.867894566836</c:v>
                      </c:pt>
                      <c:pt idx="808">
                        <c:v>13499.46693304737</c:v>
                      </c:pt>
                      <c:pt idx="809">
                        <c:v>13500</c:v>
                      </c:pt>
                      <c:pt idx="810">
                        <c:v>13499.46693304737</c:v>
                      </c:pt>
                      <c:pt idx="811">
                        <c:v>13497.867894566836</c:v>
                      </c:pt>
                      <c:pt idx="812">
                        <c:v>13495.203371641008</c:v>
                      </c:pt>
                      <c:pt idx="813">
                        <c:v>13491.474175909385</c:v>
                      </c:pt>
                      <c:pt idx="814">
                        <c:v>13486.681443321109</c:v>
                      </c:pt>
                      <c:pt idx="815">
                        <c:v>13480.826633788958</c:v>
                      </c:pt>
                      <c:pt idx="816">
                        <c:v>13473.911530744628</c:v>
                      </c:pt>
                      <c:pt idx="817">
                        <c:v>13465.938240595497</c:v>
                      </c:pt>
                      <c:pt idx="818">
                        <c:v>13456.909192082981</c:v>
                      </c:pt>
                      <c:pt idx="819">
                        <c:v>13446.827135542728</c:v>
                      </c:pt>
                      <c:pt idx="820">
                        <c:v>13435.695142066825</c:v>
                      </c:pt>
                      <c:pt idx="821">
                        <c:v>13423.516602568319</c:v>
                      </c:pt>
                      <c:pt idx="822">
                        <c:v>13410.295226748323</c:v>
                      </c:pt>
                      <c:pt idx="823">
                        <c:v>13396.035041965988</c:v>
                      </c:pt>
                      <c:pt idx="824">
                        <c:v>13380.740392011738</c:v>
                      </c:pt>
                      <c:pt idx="825">
                        <c:v>13364.415935784116</c:v>
                      </c:pt>
                      <c:pt idx="826">
                        <c:v>13347.066645870626</c:v>
                      </c:pt>
                      <c:pt idx="827">
                        <c:v>13328.697807033041</c:v>
                      </c:pt>
                      <c:pt idx="828">
                        <c:v>13309.315014597609</c:v>
                      </c:pt>
                      <c:pt idx="829">
                        <c:v>13288.924172750681</c:v>
                      </c:pt>
                      <c:pt idx="830">
                        <c:v>13267.531492740207</c:v>
                      </c:pt>
                      <c:pt idx="831">
                        <c:v>13245.143490983755</c:v>
                      </c:pt>
                      <c:pt idx="832">
                        <c:v>13221.766987083542</c:v>
                      </c:pt>
                      <c:pt idx="833">
                        <c:v>13197.409101749103</c:v>
                      </c:pt>
                      <c:pt idx="834">
                        <c:v>13172.077254628277</c:v>
                      </c:pt>
                      <c:pt idx="835">
                        <c:v>13145.779162047085</c:v>
                      </c:pt>
                      <c:pt idx="836">
                        <c:v>13118.522834659287</c:v>
                      </c:pt>
                      <c:pt idx="837">
                        <c:v>13090.316575006245</c:v>
                      </c:pt>
                      <c:pt idx="838">
                        <c:v>13061.16897498789</c:v>
                      </c:pt>
                      <c:pt idx="839">
                        <c:v>13031.088913245534</c:v>
                      </c:pt>
                      <c:pt idx="840">
                        <c:v>13000.085552457394</c:v>
                      </c:pt>
                      <c:pt idx="841">
                        <c:v>12968.168336547495</c:v>
                      </c:pt>
                      <c:pt idx="842">
                        <c:v>12935.346987808982</c:v>
                      </c:pt>
                      <c:pt idx="843">
                        <c:v>12901.631503942646</c:v>
                      </c:pt>
                      <c:pt idx="844">
                        <c:v>12867.032155011473</c:v>
                      </c:pt>
                      <c:pt idx="845">
                        <c:v>12831.559480312317</c:v>
                      </c:pt>
                      <c:pt idx="846">
                        <c:v>12795.224285165525</c:v>
                      </c:pt>
                      <c:pt idx="847">
                        <c:v>12758.037637623529</c:v>
                      </c:pt>
                      <c:pt idx="848">
                        <c:v>12720.010865099399</c:v>
                      </c:pt>
                      <c:pt idx="849">
                        <c:v>12681.155550916426</c:v>
                      </c:pt>
                      <c:pt idx="850">
                        <c:v>12641.483530779704</c:v>
                      </c:pt>
                      <c:pt idx="851">
                        <c:v>12601.00688917088</c:v>
                      </c:pt>
                      <c:pt idx="852">
                        <c:v>12559.7379556671</c:v>
                      </c:pt>
                      <c:pt idx="853">
                        <c:v>12517.689301185275</c:v>
                      </c:pt>
                      <c:pt idx="854">
                        <c:v>12474.873734152916</c:v>
                      </c:pt>
                      <c:pt idx="855">
                        <c:v>12431.304296606493</c:v>
                      </c:pt>
                      <c:pt idx="856">
                        <c:v>12386.994260218749</c:v>
                      </c:pt>
                      <c:pt idx="857">
                        <c:v>12341.957122256003</c:v>
                      </c:pt>
                      <c:pt idx="858">
                        <c:v>12296.206601466776</c:v>
                      </c:pt>
                      <c:pt idx="859">
                        <c:v>12249.756633902893</c:v>
                      </c:pt>
                      <c:pt idx="860">
                        <c:v>12202.621368674434</c:v>
                      </c:pt>
                      <c:pt idx="861">
                        <c:v>12154.815163639803</c:v>
                      </c:pt>
                      <c:pt idx="862">
                        <c:v>12106.352581032173</c:v>
                      </c:pt>
                      <c:pt idx="863">
                        <c:v>12057.248383023658</c:v>
                      </c:pt>
                      <c:pt idx="864">
                        <c:v>12007.517527228661</c:v>
                      </c:pt>
                      <c:pt idx="865">
                        <c:v>11957.175162147611</c:v>
                      </c:pt>
                      <c:pt idx="866">
                        <c:v>11906.236622552595</c:v>
                      </c:pt>
                      <c:pt idx="867">
                        <c:v>11854.717424816221</c:v>
                      </c:pt>
                      <c:pt idx="868">
                        <c:v>11802.633262185187</c:v>
                      </c:pt>
                      <c:pt idx="869">
                        <c:v>11750</c:v>
                      </c:pt>
                      <c:pt idx="870">
                        <c:v>11696.833670862183</c:v>
                      </c:pt>
                      <c:pt idx="871">
                        <c:v>11643.150469750624</c:v>
                      </c:pt>
                      <c:pt idx="872">
                        <c:v>11588.966749088413</c:v>
                      </c:pt>
                      <c:pt idx="873">
                        <c:v>11534.299013761774</c:v>
                      </c:pt>
                      <c:pt idx="874">
                        <c:v>11479.163916092453</c:v>
                      </c:pt>
                      <c:pt idx="875">
                        <c:v>11423.578250765298</c:v>
                      </c:pt>
                      <c:pt idx="876">
                        <c:v>11367.55894971246</c:v>
                      </c:pt>
                      <c:pt idx="877">
                        <c:v>11311.123076955697</c:v>
                      </c:pt>
                      <c:pt idx="878">
                        <c:v>11254.287823408555</c:v>
                      </c:pt>
                      <c:pt idx="879">
                        <c:v>11197.070501639841</c:v>
                      </c:pt>
                      <c:pt idx="880">
                        <c:v>11139.488540600047</c:v>
                      </c:pt>
                      <c:pt idx="881">
                        <c:v>11081.559480312319</c:v>
                      </c:pt>
                      <c:pt idx="882">
                        <c:v>11023.300966529585</c:v>
                      </c:pt>
                      <c:pt idx="883">
                        <c:v>10964.730745359495</c:v>
                      </c:pt>
                      <c:pt idx="884">
                        <c:v>10905.866657858824</c:v>
                      </c:pt>
                      <c:pt idx="885">
                        <c:v>10846.726634598841</c:v>
                      </c:pt>
                      <c:pt idx="886">
                        <c:v>10787.328690203523</c:v>
                      </c:pt>
                      <c:pt idx="887">
                        <c:v>10727.690917862157</c:v>
                      </c:pt>
                      <c:pt idx="888">
                        <c:v>10667.83148381791</c:v>
                      </c:pt>
                      <c:pt idx="889">
                        <c:v>10607.768621834264</c:v>
                      </c:pt>
                      <c:pt idx="890">
                        <c:v>10547.520627640806</c:v>
                      </c:pt>
                      <c:pt idx="891">
                        <c:v>10487.105853360232</c:v>
                      </c:pt>
                      <c:pt idx="892">
                        <c:v>10426.542701918022</c:v>
                      </c:pt>
                      <c:pt idx="893">
                        <c:v>10365.849621436791</c:v>
                      </c:pt>
                      <c:pt idx="894">
                        <c:v>10305.045099616806</c:v>
                      </c:pt>
                      <c:pt idx="895">
                        <c:v>10244.147658104437</c:v>
                      </c:pt>
                      <c:pt idx="896">
                        <c:v>10183.175846850307</c:v>
                      </c:pt>
                      <c:pt idx="897">
                        <c:v>10122.148238458754</c:v>
                      </c:pt>
                      <c:pt idx="898">
                        <c:v>10061.08342253049</c:v>
                      </c:pt>
                      <c:pt idx="899">
                        <c:v>10000.000000000002</c:v>
                      </c:pt>
                      <c:pt idx="900">
                        <c:v>9938.9165774695139</c:v>
                      </c:pt>
                      <c:pt idx="901">
                        <c:v>9877.8517615412438</c:v>
                      </c:pt>
                      <c:pt idx="902">
                        <c:v>9816.8241531496969</c:v>
                      </c:pt>
                      <c:pt idx="903">
                        <c:v>9755.8523418955665</c:v>
                      </c:pt>
                      <c:pt idx="904">
                        <c:v>9694.9549003832053</c:v>
                      </c:pt>
                      <c:pt idx="905">
                        <c:v>9634.1503785632121</c:v>
                      </c:pt>
                      <c:pt idx="906">
                        <c:v>9573.4572980819885</c:v>
                      </c:pt>
                      <c:pt idx="907">
                        <c:v>9512.8941466397791</c:v>
                      </c:pt>
                      <c:pt idx="908">
                        <c:v>9452.4793723591902</c:v>
                      </c:pt>
                      <c:pt idx="909">
                        <c:v>9392.2313781657467</c:v>
                      </c:pt>
                      <c:pt idx="910">
                        <c:v>9332.1685161820933</c:v>
                      </c:pt>
                      <c:pt idx="911">
                        <c:v>9272.3090821378464</c:v>
                      </c:pt>
                      <c:pt idx="912">
                        <c:v>9212.6713097964748</c:v>
                      </c:pt>
                      <c:pt idx="913">
                        <c:v>9153.2733654011627</c:v>
                      </c:pt>
                      <c:pt idx="914">
                        <c:v>9094.13334214118</c:v>
                      </c:pt>
                      <c:pt idx="915">
                        <c:v>9035.2692546405087</c:v>
                      </c:pt>
                      <c:pt idx="916">
                        <c:v>8976.699033470426</c:v>
                      </c:pt>
                      <c:pt idx="917">
                        <c:v>8918.4405196876924</c:v>
                      </c:pt>
                      <c:pt idx="918">
                        <c:v>8860.5114593999515</c:v>
                      </c:pt>
                      <c:pt idx="919">
                        <c:v>8802.9294983601631</c:v>
                      </c:pt>
                      <c:pt idx="920">
                        <c:v>8745.7121765914453</c:v>
                      </c:pt>
                      <c:pt idx="921">
                        <c:v>8688.8769230443067</c:v>
                      </c:pt>
                      <c:pt idx="922">
                        <c:v>8632.4410502875435</c:v>
                      </c:pt>
                      <c:pt idx="923">
                        <c:v>8576.4217492346943</c:v>
                      </c:pt>
                      <c:pt idx="924">
                        <c:v>8520.8360839075503</c:v>
                      </c:pt>
                      <c:pt idx="925">
                        <c:v>8465.7009862382311</c:v>
                      </c:pt>
                      <c:pt idx="926">
                        <c:v>8411.0332509115906</c:v>
                      </c:pt>
                      <c:pt idx="927">
                        <c:v>8356.8495302493793</c:v>
                      </c:pt>
                      <c:pt idx="928">
                        <c:v>8303.1663291378209</c:v>
                      </c:pt>
                      <c:pt idx="929">
                        <c:v>8250.0000000000036</c:v>
                      </c:pt>
                      <c:pt idx="930">
                        <c:v>8197.3667378148057</c:v>
                      </c:pt>
                      <c:pt idx="931">
                        <c:v>8145.2825751837818</c:v>
                      </c:pt>
                      <c:pt idx="932">
                        <c:v>8093.7633774474079</c:v>
                      </c:pt>
                      <c:pt idx="933">
                        <c:v>8042.8248378523922</c:v>
                      </c:pt>
                      <c:pt idx="934">
                        <c:v>7992.4824727713376</c:v>
                      </c:pt>
                      <c:pt idx="935">
                        <c:v>7942.7516169763458</c:v>
                      </c:pt>
                      <c:pt idx="936">
                        <c:v>7893.6474189678356</c:v>
                      </c:pt>
                      <c:pt idx="937">
                        <c:v>7845.1848363602039</c:v>
                      </c:pt>
                      <c:pt idx="938">
                        <c:v>7797.3786313255696</c:v>
                      </c:pt>
                      <c:pt idx="939">
                        <c:v>7750.2433660971164</c:v>
                      </c:pt>
                      <c:pt idx="940">
                        <c:v>7703.7933985332311</c:v>
                      </c:pt>
                      <c:pt idx="941">
                        <c:v>7658.0428777439965</c:v>
                      </c:pt>
                      <c:pt idx="942">
                        <c:v>7613.0057397812579</c:v>
                      </c:pt>
                      <c:pt idx="943">
                        <c:v>7568.695703393515</c:v>
                      </c:pt>
                      <c:pt idx="944">
                        <c:v>7525.1262658470914</c:v>
                      </c:pt>
                      <c:pt idx="945">
                        <c:v>7482.3106988147229</c:v>
                      </c:pt>
                      <c:pt idx="946">
                        <c:v>7440.2620443329079</c:v>
                      </c:pt>
                      <c:pt idx="947">
                        <c:v>7398.9931108291185</c:v>
                      </c:pt>
                      <c:pt idx="948">
                        <c:v>7358.5164692202998</c:v>
                      </c:pt>
                      <c:pt idx="949">
                        <c:v>7318.8444490835809</c:v>
                      </c:pt>
                      <c:pt idx="950">
                        <c:v>7279.9891349005993</c:v>
                      </c:pt>
                      <c:pt idx="951">
                        <c:v>7241.9623623764737</c:v>
                      </c:pt>
                      <c:pt idx="952">
                        <c:v>7204.7757148344772</c:v>
                      </c:pt>
                      <c:pt idx="953">
                        <c:v>7168.4405196876814</c:v>
                      </c:pt>
                      <c:pt idx="954">
                        <c:v>7132.9678449885287</c:v>
                      </c:pt>
                      <c:pt idx="955">
                        <c:v>7098.3684960573564</c:v>
                      </c:pt>
                      <c:pt idx="956">
                        <c:v>7064.6530121910127</c:v>
                      </c:pt>
                      <c:pt idx="957">
                        <c:v>7031.831663452509</c:v>
                      </c:pt>
                      <c:pt idx="958">
                        <c:v>6999.9144475426083</c:v>
                      </c:pt>
                      <c:pt idx="959">
                        <c:v>6968.9110867544678</c:v>
                      </c:pt>
                      <c:pt idx="960">
                        <c:v>6938.831025012114</c:v>
                      </c:pt>
                      <c:pt idx="961">
                        <c:v>6909.6834249937565</c:v>
                      </c:pt>
                      <c:pt idx="962">
                        <c:v>6881.4771653407151</c:v>
                      </c:pt>
                      <c:pt idx="963">
                        <c:v>6854.2208379529147</c:v>
                      </c:pt>
                      <c:pt idx="964">
                        <c:v>6827.9227453717249</c:v>
                      </c:pt>
                      <c:pt idx="965">
                        <c:v>6802.590898250899</c:v>
                      </c:pt>
                      <c:pt idx="966">
                        <c:v>6778.233012916462</c:v>
                      </c:pt>
                      <c:pt idx="967">
                        <c:v>6754.8565090162447</c:v>
                      </c:pt>
                      <c:pt idx="968">
                        <c:v>6732.4685072597949</c:v>
                      </c:pt>
                      <c:pt idx="969">
                        <c:v>6711.0758272493231</c:v>
                      </c:pt>
                      <c:pt idx="970">
                        <c:v>6690.6849854023912</c:v>
                      </c:pt>
                      <c:pt idx="971">
                        <c:v>6671.302192966963</c:v>
                      </c:pt>
                      <c:pt idx="972">
                        <c:v>6652.9333541293781</c:v>
                      </c:pt>
                      <c:pt idx="973">
                        <c:v>6635.5840642158864</c:v>
                      </c:pt>
                      <c:pt idx="974">
                        <c:v>6619.2596079882615</c:v>
                      </c:pt>
                      <c:pt idx="975">
                        <c:v>6603.9649580340138</c:v>
                      </c:pt>
                      <c:pt idx="976">
                        <c:v>6589.7047732516785</c:v>
                      </c:pt>
                      <c:pt idx="977">
                        <c:v>6576.4833974316807</c:v>
                      </c:pt>
                      <c:pt idx="978">
                        <c:v>6564.3048579331771</c:v>
                      </c:pt>
                      <c:pt idx="979">
                        <c:v>6553.1728644572731</c:v>
                      </c:pt>
                      <c:pt idx="980">
                        <c:v>6543.0908079170176</c:v>
                      </c:pt>
                      <c:pt idx="981">
                        <c:v>6534.0617594045043</c:v>
                      </c:pt>
                      <c:pt idx="982">
                        <c:v>6526.0884692553718</c:v>
                      </c:pt>
                      <c:pt idx="983">
                        <c:v>6519.1733662110437</c:v>
                      </c:pt>
                      <c:pt idx="984">
                        <c:v>6513.3185566788907</c:v>
                      </c:pt>
                      <c:pt idx="985">
                        <c:v>6508.5258240906151</c:v>
                      </c:pt>
                      <c:pt idx="986">
                        <c:v>6504.7966283589913</c:v>
                      </c:pt>
                      <c:pt idx="987">
                        <c:v>6502.1321054331647</c:v>
                      </c:pt>
                      <c:pt idx="988">
                        <c:v>6500.5330669526302</c:v>
                      </c:pt>
                      <c:pt idx="989">
                        <c:v>6500</c:v>
                      </c:pt>
                      <c:pt idx="990">
                        <c:v>6500.5330669526302</c:v>
                      </c:pt>
                      <c:pt idx="991">
                        <c:v>6502.1321054331647</c:v>
                      </c:pt>
                      <c:pt idx="992">
                        <c:v>6504.7966283589922</c:v>
                      </c:pt>
                      <c:pt idx="993">
                        <c:v>6508.5258240906151</c:v>
                      </c:pt>
                      <c:pt idx="994">
                        <c:v>6513.3185566788907</c:v>
                      </c:pt>
                      <c:pt idx="995">
                        <c:v>6519.1733662110428</c:v>
                      </c:pt>
                      <c:pt idx="996">
                        <c:v>6526.0884692553736</c:v>
                      </c:pt>
                      <c:pt idx="997">
                        <c:v>6534.0617594045034</c:v>
                      </c:pt>
                      <c:pt idx="998">
                        <c:v>6543.0908079170167</c:v>
                      </c:pt>
                      <c:pt idx="999">
                        <c:v>6553.1728644572704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5="http://schemas.microsoft.com/office/drawing/2012/chart" uri="{02D57815-91ED-43cb-92C2-25804820EDAC}">
                    <c15:filteredSeriesTitle>
                      <c15:tx>
                        <c:v>Corps 2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1-90D6-4081-85A4-0857EA05B6C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Conditions!$K$4:$K$1003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-0.76152421804363257</c:v>
                      </c:pt>
                      <c:pt idx="1">
                        <c:v>-3.0458649045212951</c:v>
                      </c:pt>
                      <c:pt idx="2">
                        <c:v>-6.8523262271310159</c:v>
                      </c:pt>
                      <c:pt idx="3">
                        <c:v>-12.179748700878918</c:v>
                      </c:pt>
                      <c:pt idx="4">
                        <c:v>-19.026509541272389</c:v>
                      </c:pt>
                      <c:pt idx="5">
                        <c:v>-27.390523158633187</c:v>
                      </c:pt>
                      <c:pt idx="6">
                        <c:v>-37.269241793390393</c:v>
                      </c:pt>
                      <c:pt idx="7">
                        <c:v>-48.659656292148611</c:v>
                      </c:pt>
                      <c:pt idx="8">
                        <c:v>-61.558297024311287</c:v>
                      </c:pt>
                      <c:pt idx="9">
                        <c:v>-75.961234938959933</c:v>
                      </c:pt>
                      <c:pt idx="10">
                        <c:v>-91.864082761680038</c:v>
                      </c:pt>
                      <c:pt idx="11">
                        <c:v>-109.26199633097167</c:v>
                      </c:pt>
                      <c:pt idx="12">
                        <c:v>-128.14967607382368</c:v>
                      </c:pt>
                      <c:pt idx="13">
                        <c:v>-148.52136862001771</c:v>
                      </c:pt>
                      <c:pt idx="14">
                        <c:v>-170.37086855465805</c:v>
                      </c:pt>
                      <c:pt idx="15">
                        <c:v>-193.69152030840542</c:v>
                      </c:pt>
                      <c:pt idx="16">
                        <c:v>-218.47622018482252</c:v>
                      </c:pt>
                      <c:pt idx="17">
                        <c:v>-244.71741852423202</c:v>
                      </c:pt>
                      <c:pt idx="18">
                        <c:v>-272.40712200341568</c:v>
                      </c:pt>
                      <c:pt idx="19">
                        <c:v>-301.53689607045817</c:v>
                      </c:pt>
                      <c:pt idx="20">
                        <c:v>-332.09786751399133</c:v>
                      </c:pt>
                      <c:pt idx="21">
                        <c:v>-364.0807271660633</c:v>
                      </c:pt>
                      <c:pt idx="22">
                        <c:v>-397.47573273779835</c:v>
                      </c:pt>
                      <c:pt idx="23">
                        <c:v>-432.27271178699539</c:v>
                      </c:pt>
                      <c:pt idx="24">
                        <c:v>-468.46106481674997</c:v>
                      </c:pt>
                      <c:pt idx="25">
                        <c:v>-506.02976850416508</c:v>
                      </c:pt>
                      <c:pt idx="26">
                        <c:v>-544.96737905816008</c:v>
                      </c:pt>
                      <c:pt idx="27">
                        <c:v>-585.26203570536472</c:v>
                      </c:pt>
                      <c:pt idx="28">
                        <c:v>-626.90146430302138</c:v>
                      </c:pt>
                      <c:pt idx="29">
                        <c:v>-669.8729810778068</c:v>
                      </c:pt>
                      <c:pt idx="30">
                        <c:v>-714.16349648943833</c:v>
                      </c:pt>
                      <c:pt idx="31">
                        <c:v>-759.75951921787055</c:v>
                      </c:pt>
                      <c:pt idx="32">
                        <c:v>-806.64716027287977</c:v>
                      </c:pt>
                      <c:pt idx="33">
                        <c:v>-854.81213722479151</c:v>
                      </c:pt>
                      <c:pt idx="34">
                        <c:v>-904.23977855504108</c:v>
                      </c:pt>
                      <c:pt idx="35">
                        <c:v>-954.91502812526278</c:v>
                      </c:pt>
                      <c:pt idx="36">
                        <c:v>-1006.822449763536</c:v>
                      </c:pt>
                      <c:pt idx="37">
                        <c:v>-1059.9462319663899</c:v>
                      </c:pt>
                      <c:pt idx="38">
                        <c:v>-1114.2701927151456</c:v>
                      </c:pt>
                      <c:pt idx="39">
                        <c:v>-1169.7777844051097</c:v>
                      </c:pt>
                      <c:pt idx="40">
                        <c:v>-1226.4520988861395</c:v>
                      </c:pt>
                      <c:pt idx="41">
                        <c:v>-1284.2758726130287</c:v>
                      </c:pt>
                      <c:pt idx="42">
                        <c:v>-1343.2314919041473</c:v>
                      </c:pt>
                      <c:pt idx="43">
                        <c:v>-1403.3009983067441</c:v>
                      </c:pt>
                      <c:pt idx="44">
                        <c:v>-1464.466094067262</c:v>
                      </c:pt>
                      <c:pt idx="45">
                        <c:v>-1526.7081477050133</c:v>
                      </c:pt>
                      <c:pt idx="46">
                        <c:v>-1590.0081996875078</c:v>
                      </c:pt>
                      <c:pt idx="47">
                        <c:v>-1654.3469682057089</c:v>
                      </c:pt>
                      <c:pt idx="48">
                        <c:v>-1719.7048550474638</c:v>
                      </c:pt>
                      <c:pt idx="49">
                        <c:v>-1786.0619515673034</c:v>
                      </c:pt>
                      <c:pt idx="50">
                        <c:v>-1853.3980447508125</c:v>
                      </c:pt>
                      <c:pt idx="51">
                        <c:v>-1921.6926233717086</c:v>
                      </c:pt>
                      <c:pt idx="52">
                        <c:v>-1990.9248842397583</c:v>
                      </c:pt>
                      <c:pt idx="53">
                        <c:v>-2061.0737385376342</c:v>
                      </c:pt>
                      <c:pt idx="54">
                        <c:v>-2132.1178182447693</c:v>
                      </c:pt>
                      <c:pt idx="55">
                        <c:v>-2204.0354826462662</c:v>
                      </c:pt>
                      <c:pt idx="56">
                        <c:v>-2276.8048249248641</c:v>
                      </c:pt>
                      <c:pt idx="57">
                        <c:v>-2350.4036788339754</c:v>
                      </c:pt>
                      <c:pt idx="58">
                        <c:v>-2424.8096254497282</c:v>
                      </c:pt>
                      <c:pt idx="59">
                        <c:v>-2499.9999999999995</c:v>
                      </c:pt>
                      <c:pt idx="60">
                        <c:v>-2575.9518987683145</c:v>
                      </c:pt>
                      <c:pt idx="61">
                        <c:v>-2652.6421860705459</c:v>
                      </c:pt>
                      <c:pt idx="62">
                        <c:v>-2730.047501302266</c:v>
                      </c:pt>
                      <c:pt idx="63">
                        <c:v>-2808.1442660546127</c:v>
                      </c:pt>
                      <c:pt idx="64">
                        <c:v>-2886.9086912965026</c:v>
                      </c:pt>
                      <c:pt idx="65">
                        <c:v>-2966.316784620999</c:v>
                      </c:pt>
                      <c:pt idx="66">
                        <c:v>-3046.3443575536303</c:v>
                      </c:pt>
                      <c:pt idx="67">
                        <c:v>-3126.96703292044</c:v>
                      </c:pt>
                      <c:pt idx="68">
                        <c:v>-3208.1602522734984</c:v>
                      </c:pt>
                      <c:pt idx="69">
                        <c:v>-3289.8992833716557</c:v>
                      </c:pt>
                      <c:pt idx="70">
                        <c:v>-3372.1592277142163</c:v>
                      </c:pt>
                      <c:pt idx="71">
                        <c:v>-3454.9150281252628</c:v>
                      </c:pt>
                      <c:pt idx="72">
                        <c:v>-3538.1414763863158</c:v>
                      </c:pt>
                      <c:pt idx="73">
                        <c:v>-3621.8132209150044</c:v>
                      </c:pt>
                      <c:pt idx="74">
                        <c:v>-3705.904774487396</c:v>
                      </c:pt>
                      <c:pt idx="75">
                        <c:v>-3790.3905220016604</c:v>
                      </c:pt>
                      <c:pt idx="76">
                        <c:v>-3875.2447282806752</c:v>
                      </c:pt>
                      <c:pt idx="77">
                        <c:v>-3960.4415459112024</c:v>
                      </c:pt>
                      <c:pt idx="78">
                        <c:v>-4045.9550231172752</c:v>
                      </c:pt>
                      <c:pt idx="79">
                        <c:v>-4131.7591116653475</c:v>
                      </c:pt>
                      <c:pt idx="80">
                        <c:v>-4217.8276747988457</c:v>
                      </c:pt>
                      <c:pt idx="81">
                        <c:v>-4304.1344951996716</c:v>
                      </c:pt>
                      <c:pt idx="82">
                        <c:v>-4390.6532829742628</c:v>
                      </c:pt>
                      <c:pt idx="83">
                        <c:v>-4477.3576836617331</c:v>
                      </c:pt>
                      <c:pt idx="84">
                        <c:v>-4564.2212862617089</c:v>
                      </c:pt>
                      <c:pt idx="85">
                        <c:v>-4651.2176312793727</c:v>
                      </c:pt>
                      <c:pt idx="86">
                        <c:v>-4738.3202187852803</c:v>
                      </c:pt>
                      <c:pt idx="87">
                        <c:v>-4825.5025164874942</c:v>
                      </c:pt>
                      <c:pt idx="88">
                        <c:v>-4912.7379678135831</c:v>
                      </c:pt>
                      <c:pt idx="89">
                        <c:v>-5000</c:v>
                      </c:pt>
                      <c:pt idx="90">
                        <c:v>-5087.2620321864169</c:v>
                      </c:pt>
                      <c:pt idx="91">
                        <c:v>-5174.497483512504</c:v>
                      </c:pt>
                      <c:pt idx="92">
                        <c:v>-5261.6797812147179</c:v>
                      </c:pt>
                      <c:pt idx="93">
                        <c:v>-5348.7823687206264</c:v>
                      </c:pt>
                      <c:pt idx="94">
                        <c:v>-5435.7787137382911</c:v>
                      </c:pt>
                      <c:pt idx="95">
                        <c:v>-5522.6423163382669</c:v>
                      </c:pt>
                      <c:pt idx="96">
                        <c:v>-5609.3467170257372</c:v>
                      </c:pt>
                      <c:pt idx="97">
                        <c:v>-5695.8655048003266</c:v>
                      </c:pt>
                      <c:pt idx="98">
                        <c:v>-5782.1723252011552</c:v>
                      </c:pt>
                      <c:pt idx="99">
                        <c:v>-5868.2408883346516</c:v>
                      </c:pt>
                      <c:pt idx="100">
                        <c:v>-5954.0449768827239</c:v>
                      </c:pt>
                      <c:pt idx="101">
                        <c:v>-6039.5584540887958</c:v>
                      </c:pt>
                      <c:pt idx="102">
                        <c:v>-6124.7552717193239</c:v>
                      </c:pt>
                      <c:pt idx="103">
                        <c:v>-6209.6094779983387</c:v>
                      </c:pt>
                      <c:pt idx="104">
                        <c:v>-6294.095225512604</c:v>
                      </c:pt>
                      <c:pt idx="105">
                        <c:v>-6378.1867790849956</c:v>
                      </c:pt>
                      <c:pt idx="106">
                        <c:v>-6461.8585236136832</c:v>
                      </c:pt>
                      <c:pt idx="107">
                        <c:v>-6545.0849718747368</c:v>
                      </c:pt>
                      <c:pt idx="108">
                        <c:v>-6627.8407722857819</c:v>
                      </c:pt>
                      <c:pt idx="109">
                        <c:v>-6710.1007166283434</c:v>
                      </c:pt>
                      <c:pt idx="110">
                        <c:v>-6791.8397477265016</c:v>
                      </c:pt>
                      <c:pt idx="111">
                        <c:v>-6873.03296707956</c:v>
                      </c:pt>
                      <c:pt idx="112">
                        <c:v>-6953.6556424463679</c:v>
                      </c:pt>
                      <c:pt idx="113">
                        <c:v>-7033.6832153790001</c:v>
                      </c:pt>
                      <c:pt idx="114">
                        <c:v>-7113.0913087034969</c:v>
                      </c:pt>
                      <c:pt idx="115">
                        <c:v>-7191.8557339453873</c:v>
                      </c:pt>
                      <c:pt idx="116">
                        <c:v>-7269.952498697734</c:v>
                      </c:pt>
                      <c:pt idx="117">
                        <c:v>-7347.3578139294532</c:v>
                      </c:pt>
                      <c:pt idx="118">
                        <c:v>-7424.048101231685</c:v>
                      </c:pt>
                      <c:pt idx="119">
                        <c:v>-7499.9999999999991</c:v>
                      </c:pt>
                      <c:pt idx="120">
                        <c:v>-7575.1903745502714</c:v>
                      </c:pt>
                      <c:pt idx="121">
                        <c:v>-7649.5963211660237</c:v>
                      </c:pt>
                      <c:pt idx="122">
                        <c:v>-7723.1951750751359</c:v>
                      </c:pt>
                      <c:pt idx="123">
                        <c:v>-7795.9645173537338</c:v>
                      </c:pt>
                      <c:pt idx="124">
                        <c:v>-7867.8821817552289</c:v>
                      </c:pt>
                      <c:pt idx="125">
                        <c:v>-7938.9262614623658</c:v>
                      </c:pt>
                      <c:pt idx="126">
                        <c:v>-8009.0751157602417</c:v>
                      </c:pt>
                      <c:pt idx="127">
                        <c:v>-8078.3073766282914</c:v>
                      </c:pt>
                      <c:pt idx="128">
                        <c:v>-8146.6019552491862</c:v>
                      </c:pt>
                      <c:pt idx="129">
                        <c:v>-8213.9380484326975</c:v>
                      </c:pt>
                      <c:pt idx="130">
                        <c:v>-8280.2951449525372</c:v>
                      </c:pt>
                      <c:pt idx="131">
                        <c:v>-8345.6530317942907</c:v>
                      </c:pt>
                      <c:pt idx="132">
                        <c:v>-8409.9918003124913</c:v>
                      </c:pt>
                      <c:pt idx="133">
                        <c:v>-8473.2918522949858</c:v>
                      </c:pt>
                      <c:pt idx="134">
                        <c:v>-8535.533905932738</c:v>
                      </c:pt>
                      <c:pt idx="135">
                        <c:v>-8596.6990016932559</c:v>
                      </c:pt>
                      <c:pt idx="136">
                        <c:v>-8656.7685080958527</c:v>
                      </c:pt>
                      <c:pt idx="137">
                        <c:v>-8715.7241273869695</c:v>
                      </c:pt>
                      <c:pt idx="138">
                        <c:v>-8773.5479011138596</c:v>
                      </c:pt>
                      <c:pt idx="139">
                        <c:v>-8830.2222155948893</c:v>
                      </c:pt>
                      <c:pt idx="140">
                        <c:v>-8885.7298072848535</c:v>
                      </c:pt>
                      <c:pt idx="141">
                        <c:v>-8940.0537680336092</c:v>
                      </c:pt>
                      <c:pt idx="142">
                        <c:v>-8993.1775502364653</c:v>
                      </c:pt>
                      <c:pt idx="143">
                        <c:v>-9045.0849718747377</c:v>
                      </c:pt>
                      <c:pt idx="144">
                        <c:v>-9095.760221444958</c:v>
                      </c:pt>
                      <c:pt idx="145">
                        <c:v>-9145.1878627752085</c:v>
                      </c:pt>
                      <c:pt idx="146">
                        <c:v>-9193.352839727122</c:v>
                      </c:pt>
                      <c:pt idx="147">
                        <c:v>-9240.2404807821295</c:v>
                      </c:pt>
                      <c:pt idx="148">
                        <c:v>-9285.8365035105599</c:v>
                      </c:pt>
                      <c:pt idx="149">
                        <c:v>-9330.1270189221941</c:v>
                      </c:pt>
                      <c:pt idx="150">
                        <c:v>-9373.0985356969795</c:v>
                      </c:pt>
                      <c:pt idx="151">
                        <c:v>-9414.7379642946325</c:v>
                      </c:pt>
                      <c:pt idx="152">
                        <c:v>-9455.0326209418381</c:v>
                      </c:pt>
                      <c:pt idx="153">
                        <c:v>-9493.970231495834</c:v>
                      </c:pt>
                      <c:pt idx="154">
                        <c:v>-9531.5389351832491</c:v>
                      </c:pt>
                      <c:pt idx="155">
                        <c:v>-9567.7272882130037</c:v>
                      </c:pt>
                      <c:pt idx="156">
                        <c:v>-9602.5242672622007</c:v>
                      </c:pt>
                      <c:pt idx="157">
                        <c:v>-9635.9192728339367</c:v>
                      </c:pt>
                      <c:pt idx="158">
                        <c:v>-9667.9021324860078</c:v>
                      </c:pt>
                      <c:pt idx="159">
                        <c:v>-9698.4631039295418</c:v>
                      </c:pt>
                      <c:pt idx="160">
                        <c:v>-9727.5928779965834</c:v>
                      </c:pt>
                      <c:pt idx="161">
                        <c:v>-9755.2825814757671</c:v>
                      </c:pt>
                      <c:pt idx="162">
                        <c:v>-9781.5237798151775</c:v>
                      </c:pt>
                      <c:pt idx="163">
                        <c:v>-9806.3084796915937</c:v>
                      </c:pt>
                      <c:pt idx="164">
                        <c:v>-9829.629131445341</c:v>
                      </c:pt>
                      <c:pt idx="165">
                        <c:v>-9851.4786313799814</c:v>
                      </c:pt>
                      <c:pt idx="166">
                        <c:v>-9871.8503239261772</c:v>
                      </c:pt>
                      <c:pt idx="167">
                        <c:v>-9890.7380036690283</c:v>
                      </c:pt>
                      <c:pt idx="168">
                        <c:v>-9908.13591723832</c:v>
                      </c:pt>
                      <c:pt idx="169">
                        <c:v>-9924.0387650610392</c:v>
                      </c:pt>
                      <c:pt idx="170">
                        <c:v>-9938.4417029756878</c:v>
                      </c:pt>
                      <c:pt idx="171">
                        <c:v>-9951.3403437078523</c:v>
                      </c:pt>
                      <c:pt idx="172">
                        <c:v>-9962.7307582066096</c:v>
                      </c:pt>
                      <c:pt idx="173">
                        <c:v>-9972.6094768413677</c:v>
                      </c:pt>
                      <c:pt idx="174">
                        <c:v>-9980.9734904587276</c:v>
                      </c:pt>
                      <c:pt idx="175">
                        <c:v>-9987.8202512991211</c:v>
                      </c:pt>
                      <c:pt idx="176">
                        <c:v>-9993.1476737728699</c:v>
                      </c:pt>
                      <c:pt idx="177">
                        <c:v>-9996.9541350954787</c:v>
                      </c:pt>
                      <c:pt idx="178">
                        <c:v>-9999.2384757819564</c:v>
                      </c:pt>
                      <c:pt idx="179">
                        <c:v>-10000</c:v>
                      </c:pt>
                      <c:pt idx="180">
                        <c:v>-9999.2384757819564</c:v>
                      </c:pt>
                      <c:pt idx="181">
                        <c:v>-9996.9541350954787</c:v>
                      </c:pt>
                      <c:pt idx="182">
                        <c:v>-9993.1476737728699</c:v>
                      </c:pt>
                      <c:pt idx="183">
                        <c:v>-9987.8202512991229</c:v>
                      </c:pt>
                      <c:pt idx="184">
                        <c:v>-9980.9734904587276</c:v>
                      </c:pt>
                      <c:pt idx="185">
                        <c:v>-9972.6094768413677</c:v>
                      </c:pt>
                      <c:pt idx="186">
                        <c:v>-9962.7307582066096</c:v>
                      </c:pt>
                      <c:pt idx="187">
                        <c:v>-9951.3403437078523</c:v>
                      </c:pt>
                      <c:pt idx="188">
                        <c:v>-9938.4417029756878</c:v>
                      </c:pt>
                      <c:pt idx="189">
                        <c:v>-9924.0387650610392</c:v>
                      </c:pt>
                      <c:pt idx="190">
                        <c:v>-9908.13591723832</c:v>
                      </c:pt>
                      <c:pt idx="191">
                        <c:v>-9890.7380036690283</c:v>
                      </c:pt>
                      <c:pt idx="192">
                        <c:v>-9871.8503239261772</c:v>
                      </c:pt>
                      <c:pt idx="193">
                        <c:v>-9851.4786313799814</c:v>
                      </c:pt>
                      <c:pt idx="194">
                        <c:v>-9829.629131445341</c:v>
                      </c:pt>
                      <c:pt idx="195">
                        <c:v>-9806.3084796915937</c:v>
                      </c:pt>
                      <c:pt idx="196">
                        <c:v>-9781.5237798151775</c:v>
                      </c:pt>
                      <c:pt idx="197">
                        <c:v>-9755.2825814757671</c:v>
                      </c:pt>
                      <c:pt idx="198">
                        <c:v>-9727.5928779965834</c:v>
                      </c:pt>
                      <c:pt idx="199">
                        <c:v>-9698.4631039295418</c:v>
                      </c:pt>
                      <c:pt idx="200">
                        <c:v>-9667.9021324860078</c:v>
                      </c:pt>
                      <c:pt idx="201">
                        <c:v>-9635.9192728339367</c:v>
                      </c:pt>
                      <c:pt idx="202">
                        <c:v>-9602.5242672622007</c:v>
                      </c:pt>
                      <c:pt idx="203">
                        <c:v>-9567.7272882130055</c:v>
                      </c:pt>
                      <c:pt idx="204">
                        <c:v>-9531.5389351832491</c:v>
                      </c:pt>
                      <c:pt idx="205">
                        <c:v>-9493.9702314958358</c:v>
                      </c:pt>
                      <c:pt idx="206">
                        <c:v>-9455.0326209418417</c:v>
                      </c:pt>
                      <c:pt idx="207">
                        <c:v>-9414.7379642946344</c:v>
                      </c:pt>
                      <c:pt idx="208">
                        <c:v>-9373.0985356969795</c:v>
                      </c:pt>
                      <c:pt idx="209">
                        <c:v>-9330.1270189221941</c:v>
                      </c:pt>
                      <c:pt idx="210">
                        <c:v>-9285.8365035105617</c:v>
                      </c:pt>
                      <c:pt idx="211">
                        <c:v>-9240.2404807821295</c:v>
                      </c:pt>
                      <c:pt idx="212">
                        <c:v>-9193.3528397271202</c:v>
                      </c:pt>
                      <c:pt idx="213">
                        <c:v>-9145.1878627752085</c:v>
                      </c:pt>
                      <c:pt idx="214">
                        <c:v>-9095.7602214449598</c:v>
                      </c:pt>
                      <c:pt idx="215">
                        <c:v>-9045.0849718747377</c:v>
                      </c:pt>
                      <c:pt idx="216">
                        <c:v>-8993.1775502364653</c:v>
                      </c:pt>
                      <c:pt idx="217">
                        <c:v>-8940.053768033611</c:v>
                      </c:pt>
                      <c:pt idx="218">
                        <c:v>-8885.7298072848535</c:v>
                      </c:pt>
                      <c:pt idx="219">
                        <c:v>-8830.2222155948912</c:v>
                      </c:pt>
                      <c:pt idx="220">
                        <c:v>-8773.5479011138596</c:v>
                      </c:pt>
                      <c:pt idx="221">
                        <c:v>-8715.7241273869713</c:v>
                      </c:pt>
                      <c:pt idx="222">
                        <c:v>-8656.7685080958527</c:v>
                      </c:pt>
                      <c:pt idx="223">
                        <c:v>-8596.6990016932559</c:v>
                      </c:pt>
                      <c:pt idx="224">
                        <c:v>-8535.533905932738</c:v>
                      </c:pt>
                      <c:pt idx="225">
                        <c:v>-8473.2918522949876</c:v>
                      </c:pt>
                      <c:pt idx="226">
                        <c:v>-8409.9918003124949</c:v>
                      </c:pt>
                      <c:pt idx="227">
                        <c:v>-8345.6530317942925</c:v>
                      </c:pt>
                      <c:pt idx="228">
                        <c:v>-8280.295144952539</c:v>
                      </c:pt>
                      <c:pt idx="229">
                        <c:v>-8213.9380484326975</c:v>
                      </c:pt>
                      <c:pt idx="230">
                        <c:v>-8146.6019552491853</c:v>
                      </c:pt>
                      <c:pt idx="231">
                        <c:v>-8078.3073766282905</c:v>
                      </c:pt>
                      <c:pt idx="232">
                        <c:v>-8009.0751157602408</c:v>
                      </c:pt>
                      <c:pt idx="233">
                        <c:v>-7938.9262614623658</c:v>
                      </c:pt>
                      <c:pt idx="234">
                        <c:v>-7867.8821817552325</c:v>
                      </c:pt>
                      <c:pt idx="235">
                        <c:v>-7795.9645173537356</c:v>
                      </c:pt>
                      <c:pt idx="236">
                        <c:v>-7723.195175075135</c:v>
                      </c:pt>
                      <c:pt idx="237">
                        <c:v>-7649.5963211660255</c:v>
                      </c:pt>
                      <c:pt idx="238">
                        <c:v>-7575.1903745502723</c:v>
                      </c:pt>
                      <c:pt idx="239">
                        <c:v>-7500.0000000000018</c:v>
                      </c:pt>
                      <c:pt idx="240">
                        <c:v>-7424.0481012316841</c:v>
                      </c:pt>
                      <c:pt idx="241">
                        <c:v>-7347.3578139294532</c:v>
                      </c:pt>
                      <c:pt idx="242">
                        <c:v>-7269.952498697734</c:v>
                      </c:pt>
                      <c:pt idx="243">
                        <c:v>-7191.8557339453891</c:v>
                      </c:pt>
                      <c:pt idx="244">
                        <c:v>-7113.0913087034996</c:v>
                      </c:pt>
                      <c:pt idx="245">
                        <c:v>-7033.6832153790001</c:v>
                      </c:pt>
                      <c:pt idx="246">
                        <c:v>-6953.6556424463688</c:v>
                      </c:pt>
                      <c:pt idx="247">
                        <c:v>-6873.0329670795618</c:v>
                      </c:pt>
                      <c:pt idx="248">
                        <c:v>-6791.8397477265034</c:v>
                      </c:pt>
                      <c:pt idx="249">
                        <c:v>-6710.1007166283471</c:v>
                      </c:pt>
                      <c:pt idx="250">
                        <c:v>-6627.8407722857828</c:v>
                      </c:pt>
                      <c:pt idx="251">
                        <c:v>-6545.0849718747377</c:v>
                      </c:pt>
                      <c:pt idx="252">
                        <c:v>-6461.858523613686</c:v>
                      </c:pt>
                      <c:pt idx="253">
                        <c:v>-6378.1867790849947</c:v>
                      </c:pt>
                      <c:pt idx="254">
                        <c:v>-6294.0952255126031</c:v>
                      </c:pt>
                      <c:pt idx="255">
                        <c:v>-6209.6094779983387</c:v>
                      </c:pt>
                      <c:pt idx="256">
                        <c:v>-6124.7552717193266</c:v>
                      </c:pt>
                      <c:pt idx="257">
                        <c:v>-6039.5584540887994</c:v>
                      </c:pt>
                      <c:pt idx="258">
                        <c:v>-5954.0449768827275</c:v>
                      </c:pt>
                      <c:pt idx="259">
                        <c:v>-5868.2408883346516</c:v>
                      </c:pt>
                      <c:pt idx="260">
                        <c:v>-5782.1723252011552</c:v>
                      </c:pt>
                      <c:pt idx="261">
                        <c:v>-5695.8655048003247</c:v>
                      </c:pt>
                      <c:pt idx="262">
                        <c:v>-5609.3467170257354</c:v>
                      </c:pt>
                      <c:pt idx="263">
                        <c:v>-5522.6423163382669</c:v>
                      </c:pt>
                      <c:pt idx="264">
                        <c:v>-5435.7787137382911</c:v>
                      </c:pt>
                      <c:pt idx="265">
                        <c:v>-5348.7823687206283</c:v>
                      </c:pt>
                      <c:pt idx="266">
                        <c:v>-5261.6797812147215</c:v>
                      </c:pt>
                      <c:pt idx="267">
                        <c:v>-5174.4974835125086</c:v>
                      </c:pt>
                      <c:pt idx="268">
                        <c:v>-5087.2620321864179</c:v>
                      </c:pt>
                      <c:pt idx="269">
                        <c:v>-5000.0000000000009</c:v>
                      </c:pt>
                      <c:pt idx="270">
                        <c:v>-4912.737967813584</c:v>
                      </c:pt>
                      <c:pt idx="271">
                        <c:v>-4825.5025164874933</c:v>
                      </c:pt>
                      <c:pt idx="272">
                        <c:v>-4738.3202187852803</c:v>
                      </c:pt>
                      <c:pt idx="273">
                        <c:v>-4651.2176312793736</c:v>
                      </c:pt>
                      <c:pt idx="274">
                        <c:v>-4564.2212862617107</c:v>
                      </c:pt>
                      <c:pt idx="275">
                        <c:v>-4477.3576836617349</c:v>
                      </c:pt>
                      <c:pt idx="276">
                        <c:v>-4390.6532829742619</c:v>
                      </c:pt>
                      <c:pt idx="277">
                        <c:v>-4304.1344951996725</c:v>
                      </c:pt>
                      <c:pt idx="278">
                        <c:v>-4217.8276747988466</c:v>
                      </c:pt>
                      <c:pt idx="279">
                        <c:v>-4131.7591116653502</c:v>
                      </c:pt>
                      <c:pt idx="280">
                        <c:v>-4045.9550231172789</c:v>
                      </c:pt>
                      <c:pt idx="281">
                        <c:v>-3960.441545911207</c:v>
                      </c:pt>
                      <c:pt idx="282">
                        <c:v>-3875.2447282806752</c:v>
                      </c:pt>
                      <c:pt idx="283">
                        <c:v>-3790.3905220016627</c:v>
                      </c:pt>
                      <c:pt idx="284">
                        <c:v>-3705.9047744873942</c:v>
                      </c:pt>
                      <c:pt idx="285">
                        <c:v>-3621.8132209150031</c:v>
                      </c:pt>
                      <c:pt idx="286">
                        <c:v>-3538.1414763863168</c:v>
                      </c:pt>
                      <c:pt idx="287">
                        <c:v>-3454.9150281252641</c:v>
                      </c:pt>
                      <c:pt idx="288">
                        <c:v>-3372.1592277142181</c:v>
                      </c:pt>
                      <c:pt idx="289">
                        <c:v>-3289.8992833716593</c:v>
                      </c:pt>
                      <c:pt idx="290">
                        <c:v>-3208.160252273502</c:v>
                      </c:pt>
                      <c:pt idx="291">
                        <c:v>-3126.96703292044</c:v>
                      </c:pt>
                      <c:pt idx="292">
                        <c:v>-3046.3443575536326</c:v>
                      </c:pt>
                      <c:pt idx="293">
                        <c:v>-2966.3167846209972</c:v>
                      </c:pt>
                      <c:pt idx="294">
                        <c:v>-2886.9086912965022</c:v>
                      </c:pt>
                      <c:pt idx="295">
                        <c:v>-2808.1442660546131</c:v>
                      </c:pt>
                      <c:pt idx="296">
                        <c:v>-2730.0475013022669</c:v>
                      </c:pt>
                      <c:pt idx="297">
                        <c:v>-2652.6421860705477</c:v>
                      </c:pt>
                      <c:pt idx="298">
                        <c:v>-2575.9518987683173</c:v>
                      </c:pt>
                      <c:pt idx="299">
                        <c:v>-2499.9999999999995</c:v>
                      </c:pt>
                      <c:pt idx="300">
                        <c:v>-2424.8096254497291</c:v>
                      </c:pt>
                      <c:pt idx="301">
                        <c:v>-2350.4036788339768</c:v>
                      </c:pt>
                      <c:pt idx="302">
                        <c:v>-2276.8048249248668</c:v>
                      </c:pt>
                      <c:pt idx="303">
                        <c:v>-2204.035482646269</c:v>
                      </c:pt>
                      <c:pt idx="304">
                        <c:v>-2132.1178182447698</c:v>
                      </c:pt>
                      <c:pt idx="305">
                        <c:v>-2061.0737385376356</c:v>
                      </c:pt>
                      <c:pt idx="306">
                        <c:v>-1990.9248842397601</c:v>
                      </c:pt>
                      <c:pt idx="307">
                        <c:v>-1921.6926233717072</c:v>
                      </c:pt>
                      <c:pt idx="308">
                        <c:v>-1853.3980447508125</c:v>
                      </c:pt>
                      <c:pt idx="309">
                        <c:v>-1786.0619515673038</c:v>
                      </c:pt>
                      <c:pt idx="310">
                        <c:v>-1719.7048550474647</c:v>
                      </c:pt>
                      <c:pt idx="311">
                        <c:v>-1654.3469682057112</c:v>
                      </c:pt>
                      <c:pt idx="312">
                        <c:v>-1590.0081996875097</c:v>
                      </c:pt>
                      <c:pt idx="313">
                        <c:v>-1526.7081477050169</c:v>
                      </c:pt>
                      <c:pt idx="314">
                        <c:v>-1464.4660940672634</c:v>
                      </c:pt>
                      <c:pt idx="315">
                        <c:v>-1403.3009983067459</c:v>
                      </c:pt>
                      <c:pt idx="316">
                        <c:v>-1343.2314919041464</c:v>
                      </c:pt>
                      <c:pt idx="317">
                        <c:v>-1284.2758726130287</c:v>
                      </c:pt>
                      <c:pt idx="318">
                        <c:v>-1226.4520988861404</c:v>
                      </c:pt>
                      <c:pt idx="319">
                        <c:v>-1169.7777844051111</c:v>
                      </c:pt>
                      <c:pt idx="320">
                        <c:v>-1114.270192715147</c:v>
                      </c:pt>
                      <c:pt idx="321">
                        <c:v>-1059.9462319663921</c:v>
                      </c:pt>
                      <c:pt idx="322">
                        <c:v>-1006.822449763536</c:v>
                      </c:pt>
                      <c:pt idx="323">
                        <c:v>-954.91502812526323</c:v>
                      </c:pt>
                      <c:pt idx="324">
                        <c:v>-904.23977855504199</c:v>
                      </c:pt>
                      <c:pt idx="325">
                        <c:v>-854.81213722479333</c:v>
                      </c:pt>
                      <c:pt idx="326">
                        <c:v>-806.64716027287977</c:v>
                      </c:pt>
                      <c:pt idx="327">
                        <c:v>-759.75951921787328</c:v>
                      </c:pt>
                      <c:pt idx="328">
                        <c:v>-714.16349648943924</c:v>
                      </c:pt>
                      <c:pt idx="329">
                        <c:v>-669.87298107780771</c:v>
                      </c:pt>
                      <c:pt idx="330">
                        <c:v>-626.90146430302048</c:v>
                      </c:pt>
                      <c:pt idx="331">
                        <c:v>-585.26203570536563</c:v>
                      </c:pt>
                      <c:pt idx="332">
                        <c:v>-544.96737905816099</c:v>
                      </c:pt>
                      <c:pt idx="333">
                        <c:v>-506.02976850416417</c:v>
                      </c:pt>
                      <c:pt idx="334">
                        <c:v>-468.46106481675179</c:v>
                      </c:pt>
                      <c:pt idx="335">
                        <c:v>-432.27271178699539</c:v>
                      </c:pt>
                      <c:pt idx="336">
                        <c:v>-397.47573273780017</c:v>
                      </c:pt>
                      <c:pt idx="337">
                        <c:v>-364.0807271660633</c:v>
                      </c:pt>
                      <c:pt idx="338">
                        <c:v>-332.09786751399224</c:v>
                      </c:pt>
                      <c:pt idx="339">
                        <c:v>-301.53689607045817</c:v>
                      </c:pt>
                      <c:pt idx="340">
                        <c:v>-272.4071220034175</c:v>
                      </c:pt>
                      <c:pt idx="341">
                        <c:v>-244.71741852423202</c:v>
                      </c:pt>
                      <c:pt idx="342">
                        <c:v>-218.47622018482161</c:v>
                      </c:pt>
                      <c:pt idx="343">
                        <c:v>-193.69152030840633</c:v>
                      </c:pt>
                      <c:pt idx="344">
                        <c:v>-170.37086855465805</c:v>
                      </c:pt>
                      <c:pt idx="345">
                        <c:v>-148.52136862001771</c:v>
                      </c:pt>
                      <c:pt idx="346">
                        <c:v>-128.14967607382459</c:v>
                      </c:pt>
                      <c:pt idx="347">
                        <c:v>-109.26199633097167</c:v>
                      </c:pt>
                      <c:pt idx="348">
                        <c:v>-91.864082761680038</c:v>
                      </c:pt>
                      <c:pt idx="349">
                        <c:v>-75.961234938960843</c:v>
                      </c:pt>
                      <c:pt idx="350">
                        <c:v>-61.558297024311287</c:v>
                      </c:pt>
                      <c:pt idx="351">
                        <c:v>-48.659656292148611</c:v>
                      </c:pt>
                      <c:pt idx="352">
                        <c:v>-37.269241793390393</c:v>
                      </c:pt>
                      <c:pt idx="353">
                        <c:v>-27.390523158633187</c:v>
                      </c:pt>
                      <c:pt idx="354">
                        <c:v>-19.026509541272389</c:v>
                      </c:pt>
                      <c:pt idx="355">
                        <c:v>-12.179748700878008</c:v>
                      </c:pt>
                      <c:pt idx="356">
                        <c:v>-6.8523262271310159</c:v>
                      </c:pt>
                      <c:pt idx="357">
                        <c:v>-3.0458649045212951</c:v>
                      </c:pt>
                      <c:pt idx="358">
                        <c:v>-0.76152421804363257</c:v>
                      </c:pt>
                      <c:pt idx="359">
                        <c:v>0</c:v>
                      </c:pt>
                      <c:pt idx="360">
                        <c:v>-0.76152421804363257</c:v>
                      </c:pt>
                      <c:pt idx="361">
                        <c:v>-3.0458649045212951</c:v>
                      </c:pt>
                      <c:pt idx="362">
                        <c:v>-6.8523262271310159</c:v>
                      </c:pt>
                      <c:pt idx="363">
                        <c:v>-12.179748700878008</c:v>
                      </c:pt>
                      <c:pt idx="364">
                        <c:v>-19.026509541272389</c:v>
                      </c:pt>
                      <c:pt idx="365">
                        <c:v>-27.390523158633187</c:v>
                      </c:pt>
                      <c:pt idx="366">
                        <c:v>-37.269241793390393</c:v>
                      </c:pt>
                      <c:pt idx="367">
                        <c:v>-48.659656292147702</c:v>
                      </c:pt>
                      <c:pt idx="368">
                        <c:v>-61.558297024311287</c:v>
                      </c:pt>
                      <c:pt idx="369">
                        <c:v>-75.961234938959024</c:v>
                      </c:pt>
                      <c:pt idx="370">
                        <c:v>-91.864082761680947</c:v>
                      </c:pt>
                      <c:pt idx="371">
                        <c:v>-109.26199633097076</c:v>
                      </c:pt>
                      <c:pt idx="372">
                        <c:v>-128.14967607382368</c:v>
                      </c:pt>
                      <c:pt idx="373">
                        <c:v>-148.52136862001862</c:v>
                      </c:pt>
                      <c:pt idx="374">
                        <c:v>-170.37086855465805</c:v>
                      </c:pt>
                      <c:pt idx="375">
                        <c:v>-193.69152030840633</c:v>
                      </c:pt>
                      <c:pt idx="376">
                        <c:v>-218.47622018482252</c:v>
                      </c:pt>
                      <c:pt idx="377">
                        <c:v>-244.71741852423202</c:v>
                      </c:pt>
                      <c:pt idx="378">
                        <c:v>-272.40712200341477</c:v>
                      </c:pt>
                      <c:pt idx="379">
                        <c:v>-301.53689607045817</c:v>
                      </c:pt>
                      <c:pt idx="380">
                        <c:v>-332.09786751398951</c:v>
                      </c:pt>
                      <c:pt idx="381">
                        <c:v>-364.0807271660633</c:v>
                      </c:pt>
                      <c:pt idx="382">
                        <c:v>-397.47573273779562</c:v>
                      </c:pt>
                      <c:pt idx="383">
                        <c:v>-432.27271178699448</c:v>
                      </c:pt>
                      <c:pt idx="384">
                        <c:v>-468.46106481674997</c:v>
                      </c:pt>
                      <c:pt idx="385">
                        <c:v>-506.02976850416508</c:v>
                      </c:pt>
                      <c:pt idx="386">
                        <c:v>-544.9673790581619</c:v>
                      </c:pt>
                      <c:pt idx="387">
                        <c:v>-585.26203570536381</c:v>
                      </c:pt>
                      <c:pt idx="388">
                        <c:v>-626.90146430302138</c:v>
                      </c:pt>
                      <c:pt idx="389">
                        <c:v>-669.87298107780498</c:v>
                      </c:pt>
                      <c:pt idx="390">
                        <c:v>-714.16349648943833</c:v>
                      </c:pt>
                      <c:pt idx="391">
                        <c:v>-759.75951921786873</c:v>
                      </c:pt>
                      <c:pt idx="392">
                        <c:v>-806.64716027287795</c:v>
                      </c:pt>
                      <c:pt idx="393">
                        <c:v>-854.81213722478969</c:v>
                      </c:pt>
                      <c:pt idx="394">
                        <c:v>-904.23977855504108</c:v>
                      </c:pt>
                      <c:pt idx="395">
                        <c:v>-954.91502812526505</c:v>
                      </c:pt>
                      <c:pt idx="396">
                        <c:v>-1006.8224497635342</c:v>
                      </c:pt>
                      <c:pt idx="397">
                        <c:v>-1059.9462319663912</c:v>
                      </c:pt>
                      <c:pt idx="398">
                        <c:v>-1114.2701927151429</c:v>
                      </c:pt>
                      <c:pt idx="399">
                        <c:v>-1169.7777844051093</c:v>
                      </c:pt>
                      <c:pt idx="400">
                        <c:v>-1226.4520988861386</c:v>
                      </c:pt>
                      <c:pt idx="401">
                        <c:v>-1284.2758726130301</c:v>
                      </c:pt>
                      <c:pt idx="402">
                        <c:v>-1343.2314919041451</c:v>
                      </c:pt>
                      <c:pt idx="403">
                        <c:v>-1403.3009983067441</c:v>
                      </c:pt>
                      <c:pt idx="404">
                        <c:v>-1464.4660940672584</c:v>
                      </c:pt>
                      <c:pt idx="405">
                        <c:v>-1526.7081477050119</c:v>
                      </c:pt>
                      <c:pt idx="406">
                        <c:v>-1590.0081996875083</c:v>
                      </c:pt>
                      <c:pt idx="407">
                        <c:v>-1654.3469682057057</c:v>
                      </c:pt>
                      <c:pt idx="408">
                        <c:v>-1719.7048550474628</c:v>
                      </c:pt>
                      <c:pt idx="409">
                        <c:v>-1786.061951567302</c:v>
                      </c:pt>
                      <c:pt idx="410">
                        <c:v>-1853.3980447508143</c:v>
                      </c:pt>
                      <c:pt idx="411">
                        <c:v>-1921.6926233717058</c:v>
                      </c:pt>
                      <c:pt idx="412">
                        <c:v>-1990.9248842397583</c:v>
                      </c:pt>
                      <c:pt idx="413">
                        <c:v>-2061.0737385376297</c:v>
                      </c:pt>
                      <c:pt idx="414">
                        <c:v>-2132.1178182447675</c:v>
                      </c:pt>
                      <c:pt idx="415">
                        <c:v>-2204.0354826462667</c:v>
                      </c:pt>
                      <c:pt idx="416">
                        <c:v>-2276.8048249248645</c:v>
                      </c:pt>
                      <c:pt idx="417">
                        <c:v>-2350.4036788339745</c:v>
                      </c:pt>
                      <c:pt idx="418">
                        <c:v>-2424.8096254497277</c:v>
                      </c:pt>
                      <c:pt idx="419">
                        <c:v>-2500.0000000000014</c:v>
                      </c:pt>
                      <c:pt idx="420">
                        <c:v>-2575.9518987683114</c:v>
                      </c:pt>
                      <c:pt idx="421">
                        <c:v>-2652.6421860705459</c:v>
                      </c:pt>
                      <c:pt idx="422">
                        <c:v>-2730.0475013022647</c:v>
                      </c:pt>
                      <c:pt idx="423">
                        <c:v>-2808.1442660546109</c:v>
                      </c:pt>
                      <c:pt idx="424">
                        <c:v>-2886.9086912964999</c:v>
                      </c:pt>
                      <c:pt idx="425">
                        <c:v>-2966.316784620999</c:v>
                      </c:pt>
                      <c:pt idx="426">
                        <c:v>-3046.3443575536344</c:v>
                      </c:pt>
                      <c:pt idx="427">
                        <c:v>-3126.9670329204382</c:v>
                      </c:pt>
                      <c:pt idx="428">
                        <c:v>-3208.1602522735002</c:v>
                      </c:pt>
                      <c:pt idx="429">
                        <c:v>-3289.8992833716525</c:v>
                      </c:pt>
                      <c:pt idx="430">
                        <c:v>-3372.1592277142163</c:v>
                      </c:pt>
                      <c:pt idx="431">
                        <c:v>-3454.9150281252614</c:v>
                      </c:pt>
                      <c:pt idx="432">
                        <c:v>-3538.1414763863186</c:v>
                      </c:pt>
                      <c:pt idx="433">
                        <c:v>-3621.8132209150008</c:v>
                      </c:pt>
                      <c:pt idx="434">
                        <c:v>-3705.904774487396</c:v>
                      </c:pt>
                      <c:pt idx="435">
                        <c:v>-3790.3905220016559</c:v>
                      </c:pt>
                      <c:pt idx="436">
                        <c:v>-3875.2447282806734</c:v>
                      </c:pt>
                      <c:pt idx="437">
                        <c:v>-3960.4415459112051</c:v>
                      </c:pt>
                      <c:pt idx="438">
                        <c:v>-4045.955023117272</c:v>
                      </c:pt>
                      <c:pt idx="439">
                        <c:v>-4131.7591116653475</c:v>
                      </c:pt>
                      <c:pt idx="440">
                        <c:v>-4217.8276747988439</c:v>
                      </c:pt>
                      <c:pt idx="441">
                        <c:v>-4304.1344951996743</c:v>
                      </c:pt>
                      <c:pt idx="442">
                        <c:v>-4390.6532829742591</c:v>
                      </c:pt>
                      <c:pt idx="443">
                        <c:v>-4477.3576836617322</c:v>
                      </c:pt>
                      <c:pt idx="444">
                        <c:v>-4564.2212862617034</c:v>
                      </c:pt>
                      <c:pt idx="445">
                        <c:v>-4651.2176312793717</c:v>
                      </c:pt>
                      <c:pt idx="446">
                        <c:v>-4738.3202187852776</c:v>
                      </c:pt>
                      <c:pt idx="447">
                        <c:v>-4825.502516487496</c:v>
                      </c:pt>
                      <c:pt idx="448">
                        <c:v>-4912.7379678135821</c:v>
                      </c:pt>
                      <c:pt idx="449">
                        <c:v>-4999.9999999999982</c:v>
                      </c:pt>
                      <c:pt idx="450">
                        <c:v>-5087.2620321864197</c:v>
                      </c:pt>
                      <c:pt idx="451">
                        <c:v>-5174.4974835125013</c:v>
                      </c:pt>
                      <c:pt idx="452">
                        <c:v>-5261.6797812147188</c:v>
                      </c:pt>
                      <c:pt idx="453">
                        <c:v>-5348.782368720621</c:v>
                      </c:pt>
                      <c:pt idx="454">
                        <c:v>-5435.7787137382893</c:v>
                      </c:pt>
                      <c:pt idx="455">
                        <c:v>-5522.6423163382642</c:v>
                      </c:pt>
                      <c:pt idx="456">
                        <c:v>-5609.3467170257381</c:v>
                      </c:pt>
                      <c:pt idx="457">
                        <c:v>-5695.865504800322</c:v>
                      </c:pt>
                      <c:pt idx="458">
                        <c:v>-5782.1723252011489</c:v>
                      </c:pt>
                      <c:pt idx="459">
                        <c:v>-5868.2408883346488</c:v>
                      </c:pt>
                      <c:pt idx="460">
                        <c:v>-5954.0449768827248</c:v>
                      </c:pt>
                      <c:pt idx="461">
                        <c:v>-6039.5584540888012</c:v>
                      </c:pt>
                      <c:pt idx="462">
                        <c:v>-6124.7552717193239</c:v>
                      </c:pt>
                      <c:pt idx="463">
                        <c:v>-6209.6094779983414</c:v>
                      </c:pt>
                      <c:pt idx="464">
                        <c:v>-6294.0952255126012</c:v>
                      </c:pt>
                      <c:pt idx="465">
                        <c:v>-6378.1867790849965</c:v>
                      </c:pt>
                      <c:pt idx="466">
                        <c:v>-6461.8585236136787</c:v>
                      </c:pt>
                      <c:pt idx="467">
                        <c:v>-6545.0849718747359</c:v>
                      </c:pt>
                      <c:pt idx="468">
                        <c:v>-6627.8407722857773</c:v>
                      </c:pt>
                      <c:pt idx="469">
                        <c:v>-6710.1007166283398</c:v>
                      </c:pt>
                      <c:pt idx="470">
                        <c:v>-6791.8397477265016</c:v>
                      </c:pt>
                      <c:pt idx="471">
                        <c:v>-6873.0329670795545</c:v>
                      </c:pt>
                      <c:pt idx="472">
                        <c:v>-6953.655642446367</c:v>
                      </c:pt>
                      <c:pt idx="473">
                        <c:v>-7033.6832153790019</c:v>
                      </c:pt>
                      <c:pt idx="474">
                        <c:v>-7113.0913087034933</c:v>
                      </c:pt>
                      <c:pt idx="475">
                        <c:v>-7191.8557339453864</c:v>
                      </c:pt>
                      <c:pt idx="476">
                        <c:v>-7269.9524986977367</c:v>
                      </c:pt>
                      <c:pt idx="477">
                        <c:v>-7347.3578139294514</c:v>
                      </c:pt>
                      <c:pt idx="478">
                        <c:v>-7424.0481012316859</c:v>
                      </c:pt>
                      <c:pt idx="479">
                        <c:v>-7499.9999999999964</c:v>
                      </c:pt>
                      <c:pt idx="480">
                        <c:v>-7575.1903745502696</c:v>
                      </c:pt>
                      <c:pt idx="481">
                        <c:v>-7649.5963211660273</c:v>
                      </c:pt>
                      <c:pt idx="482">
                        <c:v>-7723.1951750751323</c:v>
                      </c:pt>
                      <c:pt idx="483">
                        <c:v>-7795.9645173537347</c:v>
                      </c:pt>
                      <c:pt idx="484">
                        <c:v>-7867.8821817552262</c:v>
                      </c:pt>
                      <c:pt idx="485">
                        <c:v>-7938.926261462364</c:v>
                      </c:pt>
                      <c:pt idx="486">
                        <c:v>-8009.0751157602353</c:v>
                      </c:pt>
                      <c:pt idx="487">
                        <c:v>-8078.3073766282887</c:v>
                      </c:pt>
                      <c:pt idx="488">
                        <c:v>-8146.6019552491871</c:v>
                      </c:pt>
                      <c:pt idx="489">
                        <c:v>-8213.9380484326921</c:v>
                      </c:pt>
                      <c:pt idx="490">
                        <c:v>-8280.2951449525353</c:v>
                      </c:pt>
                      <c:pt idx="491">
                        <c:v>-8345.6530317942925</c:v>
                      </c:pt>
                      <c:pt idx="492">
                        <c:v>-8409.9918003124949</c:v>
                      </c:pt>
                      <c:pt idx="493">
                        <c:v>-8473.2918522949858</c:v>
                      </c:pt>
                      <c:pt idx="494">
                        <c:v>-8535.5339059327398</c:v>
                      </c:pt>
                      <c:pt idx="495">
                        <c:v>-8596.6990016932541</c:v>
                      </c:pt>
                      <c:pt idx="496">
                        <c:v>-8656.7685080958527</c:v>
                      </c:pt>
                      <c:pt idx="497">
                        <c:v>-8715.7241273869677</c:v>
                      </c:pt>
                      <c:pt idx="498">
                        <c:v>-8773.5479011138596</c:v>
                      </c:pt>
                      <c:pt idx="499">
                        <c:v>-8830.2222155948857</c:v>
                      </c:pt>
                      <c:pt idx="500">
                        <c:v>-8885.7298072848516</c:v>
                      </c:pt>
                      <c:pt idx="501">
                        <c:v>-8940.0537680336092</c:v>
                      </c:pt>
                      <c:pt idx="502">
                        <c:v>-8993.1775502364617</c:v>
                      </c:pt>
                      <c:pt idx="503">
                        <c:v>-9045.0849718747359</c:v>
                      </c:pt>
                      <c:pt idx="504">
                        <c:v>-9095.7602214449544</c:v>
                      </c:pt>
                      <c:pt idx="505">
                        <c:v>-9145.1878627752067</c:v>
                      </c:pt>
                      <c:pt idx="506">
                        <c:v>-9193.3528397271202</c:v>
                      </c:pt>
                      <c:pt idx="507">
                        <c:v>-9240.2404807821313</c:v>
                      </c:pt>
                      <c:pt idx="508">
                        <c:v>-9285.8365035105599</c:v>
                      </c:pt>
                      <c:pt idx="509">
                        <c:v>-9330.1270189221941</c:v>
                      </c:pt>
                      <c:pt idx="510">
                        <c:v>-9373.0985356969759</c:v>
                      </c:pt>
                      <c:pt idx="511">
                        <c:v>-9414.7379642946344</c:v>
                      </c:pt>
                      <c:pt idx="512">
                        <c:v>-9455.0326209418417</c:v>
                      </c:pt>
                      <c:pt idx="513">
                        <c:v>-9493.970231495834</c:v>
                      </c:pt>
                      <c:pt idx="514">
                        <c:v>-9531.5389351832491</c:v>
                      </c:pt>
                      <c:pt idx="515">
                        <c:v>-9567.7272882130019</c:v>
                      </c:pt>
                      <c:pt idx="516">
                        <c:v>-9602.5242672622007</c:v>
                      </c:pt>
                      <c:pt idx="517">
                        <c:v>-9635.9192728339331</c:v>
                      </c:pt>
                      <c:pt idx="518">
                        <c:v>-9667.9021324860078</c:v>
                      </c:pt>
                      <c:pt idx="519">
                        <c:v>-9698.4631039295418</c:v>
                      </c:pt>
                      <c:pt idx="520">
                        <c:v>-9727.5928779965834</c:v>
                      </c:pt>
                      <c:pt idx="521">
                        <c:v>-9755.2825814757671</c:v>
                      </c:pt>
                      <c:pt idx="522">
                        <c:v>-9781.5237798151775</c:v>
                      </c:pt>
                      <c:pt idx="523">
                        <c:v>-9806.3084796915955</c:v>
                      </c:pt>
                      <c:pt idx="524">
                        <c:v>-9829.629131445341</c:v>
                      </c:pt>
                      <c:pt idx="525">
                        <c:v>-9851.4786313799832</c:v>
                      </c:pt>
                      <c:pt idx="526">
                        <c:v>-9871.8503239261754</c:v>
                      </c:pt>
                      <c:pt idx="527">
                        <c:v>-9890.7380036690283</c:v>
                      </c:pt>
                      <c:pt idx="528">
                        <c:v>-9908.13591723832</c:v>
                      </c:pt>
                      <c:pt idx="529">
                        <c:v>-9924.0387650610392</c:v>
                      </c:pt>
                      <c:pt idx="530">
                        <c:v>-9938.4417029756878</c:v>
                      </c:pt>
                      <c:pt idx="531">
                        <c:v>-9951.3403437078523</c:v>
                      </c:pt>
                      <c:pt idx="532">
                        <c:v>-9962.7307582066096</c:v>
                      </c:pt>
                      <c:pt idx="533">
                        <c:v>-9972.6094768413677</c:v>
                      </c:pt>
                      <c:pt idx="534">
                        <c:v>-9980.9734904587276</c:v>
                      </c:pt>
                      <c:pt idx="535">
                        <c:v>-9987.8202512991211</c:v>
                      </c:pt>
                      <c:pt idx="536">
                        <c:v>-9993.1476737728699</c:v>
                      </c:pt>
                      <c:pt idx="537">
                        <c:v>-9996.9541350954787</c:v>
                      </c:pt>
                      <c:pt idx="538">
                        <c:v>-9999.2384757819564</c:v>
                      </c:pt>
                      <c:pt idx="539">
                        <c:v>-10000</c:v>
                      </c:pt>
                      <c:pt idx="540">
                        <c:v>-9999.2384757819564</c:v>
                      </c:pt>
                      <c:pt idx="541">
                        <c:v>-9996.9541350954787</c:v>
                      </c:pt>
                      <c:pt idx="542">
                        <c:v>-9993.1476737728699</c:v>
                      </c:pt>
                      <c:pt idx="543">
                        <c:v>-9987.8202512991211</c:v>
                      </c:pt>
                      <c:pt idx="544">
                        <c:v>-9980.9734904587276</c:v>
                      </c:pt>
                      <c:pt idx="545">
                        <c:v>-9972.6094768413677</c:v>
                      </c:pt>
                      <c:pt idx="546">
                        <c:v>-9962.7307582066096</c:v>
                      </c:pt>
                      <c:pt idx="547">
                        <c:v>-9951.3403437078523</c:v>
                      </c:pt>
                      <c:pt idx="548">
                        <c:v>-9938.4417029756896</c:v>
                      </c:pt>
                      <c:pt idx="549">
                        <c:v>-9924.038765061041</c:v>
                      </c:pt>
                      <c:pt idx="550">
                        <c:v>-9908.1359172383218</c:v>
                      </c:pt>
                      <c:pt idx="551">
                        <c:v>-9890.7380036690301</c:v>
                      </c:pt>
                      <c:pt idx="552">
                        <c:v>-9871.8503239261772</c:v>
                      </c:pt>
                      <c:pt idx="553">
                        <c:v>-9851.4786313799814</c:v>
                      </c:pt>
                      <c:pt idx="554">
                        <c:v>-9829.629131445341</c:v>
                      </c:pt>
                      <c:pt idx="555">
                        <c:v>-9806.3084796915937</c:v>
                      </c:pt>
                      <c:pt idx="556">
                        <c:v>-9781.5237798151757</c:v>
                      </c:pt>
                      <c:pt idx="557">
                        <c:v>-9755.2825814757671</c:v>
                      </c:pt>
                      <c:pt idx="558">
                        <c:v>-9727.5928779965834</c:v>
                      </c:pt>
                      <c:pt idx="559">
                        <c:v>-9698.4631039295436</c:v>
                      </c:pt>
                      <c:pt idx="560">
                        <c:v>-9667.9021324860078</c:v>
                      </c:pt>
                      <c:pt idx="561">
                        <c:v>-9635.9192728339403</c:v>
                      </c:pt>
                      <c:pt idx="562">
                        <c:v>-9602.5242672622026</c:v>
                      </c:pt>
                      <c:pt idx="563">
                        <c:v>-9567.7272882130073</c:v>
                      </c:pt>
                      <c:pt idx="564">
                        <c:v>-9531.5389351832528</c:v>
                      </c:pt>
                      <c:pt idx="565">
                        <c:v>-9493.970231495834</c:v>
                      </c:pt>
                      <c:pt idx="566">
                        <c:v>-9455.0326209418417</c:v>
                      </c:pt>
                      <c:pt idx="567">
                        <c:v>-9414.7379642946362</c:v>
                      </c:pt>
                      <c:pt idx="568">
                        <c:v>-9373.0985356969795</c:v>
                      </c:pt>
                      <c:pt idx="569">
                        <c:v>-9330.1270189221905</c:v>
                      </c:pt>
                      <c:pt idx="570">
                        <c:v>-9285.8365035105635</c:v>
                      </c:pt>
                      <c:pt idx="571">
                        <c:v>-9240.2404807821295</c:v>
                      </c:pt>
                      <c:pt idx="572">
                        <c:v>-9193.352839727122</c:v>
                      </c:pt>
                      <c:pt idx="573">
                        <c:v>-9145.1878627752085</c:v>
                      </c:pt>
                      <c:pt idx="574">
                        <c:v>-9095.7602214449616</c:v>
                      </c:pt>
                      <c:pt idx="575">
                        <c:v>-9045.0849718747377</c:v>
                      </c:pt>
                      <c:pt idx="576">
                        <c:v>-8993.1775502364635</c:v>
                      </c:pt>
                      <c:pt idx="577">
                        <c:v>-8940.0537680336129</c:v>
                      </c:pt>
                      <c:pt idx="578">
                        <c:v>-8885.7298072848535</c:v>
                      </c:pt>
                      <c:pt idx="579">
                        <c:v>-8830.2222155948948</c:v>
                      </c:pt>
                      <c:pt idx="580">
                        <c:v>-8773.5479011138614</c:v>
                      </c:pt>
                      <c:pt idx="581">
                        <c:v>-8715.7241273869768</c:v>
                      </c:pt>
                      <c:pt idx="582">
                        <c:v>-8656.7685080958563</c:v>
                      </c:pt>
                      <c:pt idx="583">
                        <c:v>-8596.6990016932559</c:v>
                      </c:pt>
                      <c:pt idx="584">
                        <c:v>-8535.5339059327362</c:v>
                      </c:pt>
                      <c:pt idx="585">
                        <c:v>-8473.2918522949876</c:v>
                      </c:pt>
                      <c:pt idx="586">
                        <c:v>-8409.9918003124913</c:v>
                      </c:pt>
                      <c:pt idx="587">
                        <c:v>-8345.6530317942888</c:v>
                      </c:pt>
                      <c:pt idx="588">
                        <c:v>-8280.2951449525372</c:v>
                      </c:pt>
                      <c:pt idx="589">
                        <c:v>-8213.9380484326957</c:v>
                      </c:pt>
                      <c:pt idx="590">
                        <c:v>-8146.6019552491898</c:v>
                      </c:pt>
                      <c:pt idx="591">
                        <c:v>-8078.3073766282914</c:v>
                      </c:pt>
                      <c:pt idx="592">
                        <c:v>-8009.0751157602463</c:v>
                      </c:pt>
                      <c:pt idx="593">
                        <c:v>-7938.9262614623676</c:v>
                      </c:pt>
                      <c:pt idx="594">
                        <c:v>-7867.8821817552362</c:v>
                      </c:pt>
                      <c:pt idx="595">
                        <c:v>-7795.9645173537374</c:v>
                      </c:pt>
                      <c:pt idx="596">
                        <c:v>-7723.1951750751432</c:v>
                      </c:pt>
                      <c:pt idx="597">
                        <c:v>-7649.5963211660301</c:v>
                      </c:pt>
                      <c:pt idx="598">
                        <c:v>-7575.1903745502732</c:v>
                      </c:pt>
                      <c:pt idx="599">
                        <c:v>-7499.9999999999991</c:v>
                      </c:pt>
                      <c:pt idx="600">
                        <c:v>-7424.0481012316814</c:v>
                      </c:pt>
                      <c:pt idx="601">
                        <c:v>-7347.357813929455</c:v>
                      </c:pt>
                      <c:pt idx="602">
                        <c:v>-7269.9524986977322</c:v>
                      </c:pt>
                      <c:pt idx="603">
                        <c:v>-7191.8557339453891</c:v>
                      </c:pt>
                      <c:pt idx="604">
                        <c:v>-7113.0913087034969</c:v>
                      </c:pt>
                      <c:pt idx="605">
                        <c:v>-7033.6832153790056</c:v>
                      </c:pt>
                      <c:pt idx="606">
                        <c:v>-6953.6556424463706</c:v>
                      </c:pt>
                      <c:pt idx="607">
                        <c:v>-6873.0329670795672</c:v>
                      </c:pt>
                      <c:pt idx="608">
                        <c:v>-6791.8397477265044</c:v>
                      </c:pt>
                      <c:pt idx="609">
                        <c:v>-6710.1007166283434</c:v>
                      </c:pt>
                      <c:pt idx="610">
                        <c:v>-6627.8407722857883</c:v>
                      </c:pt>
                      <c:pt idx="611">
                        <c:v>-6545.0849718747395</c:v>
                      </c:pt>
                      <c:pt idx="612">
                        <c:v>-6461.8585236136905</c:v>
                      </c:pt>
                      <c:pt idx="613">
                        <c:v>-6378.1867790849992</c:v>
                      </c:pt>
                      <c:pt idx="614">
                        <c:v>-6294.0952255126049</c:v>
                      </c:pt>
                      <c:pt idx="615">
                        <c:v>-6209.6094779983359</c:v>
                      </c:pt>
                      <c:pt idx="616">
                        <c:v>-6124.7552717193275</c:v>
                      </c:pt>
                      <c:pt idx="617">
                        <c:v>-6039.5584540887958</c:v>
                      </c:pt>
                      <c:pt idx="618">
                        <c:v>-5954.0449768827202</c:v>
                      </c:pt>
                      <c:pt idx="619">
                        <c:v>-5868.2408883346525</c:v>
                      </c:pt>
                      <c:pt idx="620">
                        <c:v>-5782.1723252011525</c:v>
                      </c:pt>
                      <c:pt idx="621">
                        <c:v>-5695.8655048003302</c:v>
                      </c:pt>
                      <c:pt idx="622">
                        <c:v>-5609.3467170257372</c:v>
                      </c:pt>
                      <c:pt idx="623">
                        <c:v>-5522.6423163382724</c:v>
                      </c:pt>
                      <c:pt idx="624">
                        <c:v>-5435.7787137382929</c:v>
                      </c:pt>
                      <c:pt idx="625">
                        <c:v>-5348.7823687206337</c:v>
                      </c:pt>
                      <c:pt idx="626">
                        <c:v>-5261.6797812147224</c:v>
                      </c:pt>
                      <c:pt idx="627">
                        <c:v>-5174.497483512514</c:v>
                      </c:pt>
                      <c:pt idx="628">
                        <c:v>-5087.2620321864233</c:v>
                      </c:pt>
                      <c:pt idx="629">
                        <c:v>-5000.0000000000018</c:v>
                      </c:pt>
                      <c:pt idx="630">
                        <c:v>-4912.7379678135812</c:v>
                      </c:pt>
                      <c:pt idx="631">
                        <c:v>-4825.5025164874996</c:v>
                      </c:pt>
                      <c:pt idx="632">
                        <c:v>-4738.3202187852812</c:v>
                      </c:pt>
                      <c:pt idx="633">
                        <c:v>-4651.2176312793708</c:v>
                      </c:pt>
                      <c:pt idx="634">
                        <c:v>-4564.2212862617116</c:v>
                      </c:pt>
                      <c:pt idx="635">
                        <c:v>-4477.3576836617322</c:v>
                      </c:pt>
                      <c:pt idx="636">
                        <c:v>-4390.6532829742673</c:v>
                      </c:pt>
                      <c:pt idx="637">
                        <c:v>-4304.1344951996743</c:v>
                      </c:pt>
                      <c:pt idx="638">
                        <c:v>-4217.8276747988521</c:v>
                      </c:pt>
                      <c:pt idx="639">
                        <c:v>-4131.7591116653512</c:v>
                      </c:pt>
                      <c:pt idx="640">
                        <c:v>-4045.9550231172757</c:v>
                      </c:pt>
                      <c:pt idx="641">
                        <c:v>-3960.4415459112083</c:v>
                      </c:pt>
                      <c:pt idx="642">
                        <c:v>-3875.2447282806766</c:v>
                      </c:pt>
                      <c:pt idx="643">
                        <c:v>-3790.3905220016686</c:v>
                      </c:pt>
                      <c:pt idx="644">
                        <c:v>-3705.9047744873997</c:v>
                      </c:pt>
                      <c:pt idx="645">
                        <c:v>-3621.8132209150044</c:v>
                      </c:pt>
                      <c:pt idx="646">
                        <c:v>-3538.1414763863131</c:v>
                      </c:pt>
                      <c:pt idx="647">
                        <c:v>-3454.9150281252651</c:v>
                      </c:pt>
                      <c:pt idx="648">
                        <c:v>-3372.1592277142154</c:v>
                      </c:pt>
                      <c:pt idx="649">
                        <c:v>-3289.8992833716602</c:v>
                      </c:pt>
                      <c:pt idx="650">
                        <c:v>-3208.1602522734993</c:v>
                      </c:pt>
                      <c:pt idx="651">
                        <c:v>-3126.9670329204455</c:v>
                      </c:pt>
                      <c:pt idx="652">
                        <c:v>-3046.3443575536257</c:v>
                      </c:pt>
                      <c:pt idx="653">
                        <c:v>-2966.3167846209981</c:v>
                      </c:pt>
                      <c:pt idx="654">
                        <c:v>-2886.9086912965067</c:v>
                      </c:pt>
                      <c:pt idx="655">
                        <c:v>-2808.1442660546222</c:v>
                      </c:pt>
                      <c:pt idx="656">
                        <c:v>-2730.0475013022642</c:v>
                      </c:pt>
                      <c:pt idx="657">
                        <c:v>-2652.6421860705491</c:v>
                      </c:pt>
                      <c:pt idx="658">
                        <c:v>-2575.9518987683223</c:v>
                      </c:pt>
                      <c:pt idx="659">
                        <c:v>-2500.0000000000045</c:v>
                      </c:pt>
                      <c:pt idx="660">
                        <c:v>-2424.8096254497304</c:v>
                      </c:pt>
                      <c:pt idx="661">
                        <c:v>-2350.403678833974</c:v>
                      </c:pt>
                      <c:pt idx="662">
                        <c:v>-2276.8048249248677</c:v>
                      </c:pt>
                      <c:pt idx="663">
                        <c:v>-2204.0354826462662</c:v>
                      </c:pt>
                      <c:pt idx="664">
                        <c:v>-2132.117818244767</c:v>
                      </c:pt>
                      <c:pt idx="665">
                        <c:v>-2061.073738537636</c:v>
                      </c:pt>
                      <c:pt idx="666">
                        <c:v>-1990.9248842397647</c:v>
                      </c:pt>
                      <c:pt idx="667">
                        <c:v>-1921.6926233717054</c:v>
                      </c:pt>
                      <c:pt idx="668">
                        <c:v>-1853.3980447508138</c:v>
                      </c:pt>
                      <c:pt idx="669">
                        <c:v>-1786.0619515673084</c:v>
                      </c:pt>
                      <c:pt idx="670">
                        <c:v>-1719.7048550474724</c:v>
                      </c:pt>
                      <c:pt idx="671">
                        <c:v>-1654.3469682057084</c:v>
                      </c:pt>
                      <c:pt idx="672">
                        <c:v>-1590.008199687511</c:v>
                      </c:pt>
                      <c:pt idx="673">
                        <c:v>-1526.708147705021</c:v>
                      </c:pt>
                      <c:pt idx="674">
                        <c:v>-1464.4660940672611</c:v>
                      </c:pt>
                      <c:pt idx="675">
                        <c:v>-1403.3009983067468</c:v>
                      </c:pt>
                      <c:pt idx="676">
                        <c:v>-1343.2314919041478</c:v>
                      </c:pt>
                      <c:pt idx="677">
                        <c:v>-1284.2758726130323</c:v>
                      </c:pt>
                      <c:pt idx="678">
                        <c:v>-1226.4520988861409</c:v>
                      </c:pt>
                      <c:pt idx="679">
                        <c:v>-1169.7777844051088</c:v>
                      </c:pt>
                      <c:pt idx="680">
                        <c:v>-1114.2701927151484</c:v>
                      </c:pt>
                      <c:pt idx="681">
                        <c:v>-1059.9462319663962</c:v>
                      </c:pt>
                      <c:pt idx="682">
                        <c:v>-1006.8224497635338</c:v>
                      </c:pt>
                      <c:pt idx="683">
                        <c:v>-954.9150281252646</c:v>
                      </c:pt>
                      <c:pt idx="684">
                        <c:v>-904.23977855504563</c:v>
                      </c:pt>
                      <c:pt idx="685">
                        <c:v>-854.81213722478878</c:v>
                      </c:pt>
                      <c:pt idx="686">
                        <c:v>-806.64716027288068</c:v>
                      </c:pt>
                      <c:pt idx="687">
                        <c:v>-759.75951921787328</c:v>
                      </c:pt>
                      <c:pt idx="688">
                        <c:v>-714.1634964894447</c:v>
                      </c:pt>
                      <c:pt idx="689">
                        <c:v>-669.8729810778068</c:v>
                      </c:pt>
                      <c:pt idx="690">
                        <c:v>-626.9014643030232</c:v>
                      </c:pt>
                      <c:pt idx="691">
                        <c:v>-585.26203570536654</c:v>
                      </c:pt>
                      <c:pt idx="692">
                        <c:v>-544.96737905816371</c:v>
                      </c:pt>
                      <c:pt idx="693">
                        <c:v>-506.0297685041669</c:v>
                      </c:pt>
                      <c:pt idx="694">
                        <c:v>-468.46106481674997</c:v>
                      </c:pt>
                      <c:pt idx="695">
                        <c:v>-432.27271178699812</c:v>
                      </c:pt>
                      <c:pt idx="696">
                        <c:v>-397.47573273779562</c:v>
                      </c:pt>
                      <c:pt idx="697">
                        <c:v>-364.08072716606239</c:v>
                      </c:pt>
                      <c:pt idx="698">
                        <c:v>-332.09786751399224</c:v>
                      </c:pt>
                      <c:pt idx="699">
                        <c:v>-301.5368960704609</c:v>
                      </c:pt>
                      <c:pt idx="700">
                        <c:v>-272.40712200341477</c:v>
                      </c:pt>
                      <c:pt idx="701">
                        <c:v>-244.71741852423293</c:v>
                      </c:pt>
                      <c:pt idx="702">
                        <c:v>-218.47622018482525</c:v>
                      </c:pt>
                      <c:pt idx="703">
                        <c:v>-193.69152030840633</c:v>
                      </c:pt>
                      <c:pt idx="704">
                        <c:v>-170.37086855465895</c:v>
                      </c:pt>
                      <c:pt idx="705">
                        <c:v>-148.52136862001953</c:v>
                      </c:pt>
                      <c:pt idx="706">
                        <c:v>-128.14967607382459</c:v>
                      </c:pt>
                      <c:pt idx="707">
                        <c:v>-109.26199633097167</c:v>
                      </c:pt>
                      <c:pt idx="708">
                        <c:v>-91.864082761680947</c:v>
                      </c:pt>
                      <c:pt idx="709">
                        <c:v>-75.961234938959933</c:v>
                      </c:pt>
                      <c:pt idx="710">
                        <c:v>-61.558297024312196</c:v>
                      </c:pt>
                      <c:pt idx="711">
                        <c:v>-48.659656292147702</c:v>
                      </c:pt>
                      <c:pt idx="712">
                        <c:v>-37.269241793390393</c:v>
                      </c:pt>
                      <c:pt idx="713">
                        <c:v>-27.390523158634096</c:v>
                      </c:pt>
                      <c:pt idx="714">
                        <c:v>-19.02650954127148</c:v>
                      </c:pt>
                      <c:pt idx="715">
                        <c:v>-12.179748700878008</c:v>
                      </c:pt>
                      <c:pt idx="716">
                        <c:v>-6.8523262271310159</c:v>
                      </c:pt>
                      <c:pt idx="717">
                        <c:v>-3.0458649045212951</c:v>
                      </c:pt>
                      <c:pt idx="718">
                        <c:v>-0.76152421804363257</c:v>
                      </c:pt>
                      <c:pt idx="719">
                        <c:v>0</c:v>
                      </c:pt>
                      <c:pt idx="720">
                        <c:v>-0.76152421804363257</c:v>
                      </c:pt>
                      <c:pt idx="721">
                        <c:v>-3.0458649045212951</c:v>
                      </c:pt>
                      <c:pt idx="722">
                        <c:v>-6.8523262271310159</c:v>
                      </c:pt>
                      <c:pt idx="723">
                        <c:v>-12.179748700878008</c:v>
                      </c:pt>
                      <c:pt idx="724">
                        <c:v>-19.026509541272389</c:v>
                      </c:pt>
                      <c:pt idx="725">
                        <c:v>-27.390523158633187</c:v>
                      </c:pt>
                      <c:pt idx="726">
                        <c:v>-37.269241793390393</c:v>
                      </c:pt>
                      <c:pt idx="727">
                        <c:v>-48.659656292148611</c:v>
                      </c:pt>
                      <c:pt idx="728">
                        <c:v>-61.558297024310377</c:v>
                      </c:pt>
                      <c:pt idx="729">
                        <c:v>-75.961234938960843</c:v>
                      </c:pt>
                      <c:pt idx="730">
                        <c:v>-91.864082761680038</c:v>
                      </c:pt>
                      <c:pt idx="731">
                        <c:v>-109.26199633097076</c:v>
                      </c:pt>
                      <c:pt idx="732">
                        <c:v>-128.14967607382187</c:v>
                      </c:pt>
                      <c:pt idx="733">
                        <c:v>-148.52136862001862</c:v>
                      </c:pt>
                      <c:pt idx="734">
                        <c:v>-170.37086855465714</c:v>
                      </c:pt>
                      <c:pt idx="735">
                        <c:v>-193.6915203084036</c:v>
                      </c:pt>
                      <c:pt idx="736">
                        <c:v>-218.47622018482343</c:v>
                      </c:pt>
                      <c:pt idx="737">
                        <c:v>-244.71741852423111</c:v>
                      </c:pt>
                      <c:pt idx="738">
                        <c:v>-272.40712200341659</c:v>
                      </c:pt>
                      <c:pt idx="739">
                        <c:v>-301.53689607045635</c:v>
                      </c:pt>
                      <c:pt idx="740">
                        <c:v>-332.09786751399042</c:v>
                      </c:pt>
                      <c:pt idx="741">
                        <c:v>-364.08072716606421</c:v>
                      </c:pt>
                      <c:pt idx="742">
                        <c:v>-397.47573273779744</c:v>
                      </c:pt>
                      <c:pt idx="743">
                        <c:v>-432.27271178699266</c:v>
                      </c:pt>
                      <c:pt idx="744">
                        <c:v>-468.46106481675179</c:v>
                      </c:pt>
                      <c:pt idx="745">
                        <c:v>-506.02976850416417</c:v>
                      </c:pt>
                      <c:pt idx="746">
                        <c:v>-544.96737905815735</c:v>
                      </c:pt>
                      <c:pt idx="747">
                        <c:v>-585.26203570536745</c:v>
                      </c:pt>
                      <c:pt idx="748">
                        <c:v>-626.90146430302048</c:v>
                      </c:pt>
                      <c:pt idx="749">
                        <c:v>-669.87298107780407</c:v>
                      </c:pt>
                      <c:pt idx="750">
                        <c:v>-714.16349648943287</c:v>
                      </c:pt>
                      <c:pt idx="751">
                        <c:v>-759.75951921787055</c:v>
                      </c:pt>
                      <c:pt idx="752">
                        <c:v>-806.64716027287795</c:v>
                      </c:pt>
                      <c:pt idx="753">
                        <c:v>-854.81213722479151</c:v>
                      </c:pt>
                      <c:pt idx="754">
                        <c:v>-904.2397785550379</c:v>
                      </c:pt>
                      <c:pt idx="755">
                        <c:v>-954.91502812526141</c:v>
                      </c:pt>
                      <c:pt idx="756">
                        <c:v>-1006.8224497635365</c:v>
                      </c:pt>
                      <c:pt idx="757">
                        <c:v>-1059.9462319663871</c:v>
                      </c:pt>
                      <c:pt idx="758">
                        <c:v>-1114.2701927151447</c:v>
                      </c:pt>
                      <c:pt idx="759">
                        <c:v>-1169.7777844051116</c:v>
                      </c:pt>
                      <c:pt idx="760">
                        <c:v>-1226.4520988861382</c:v>
                      </c:pt>
                      <c:pt idx="761">
                        <c:v>-1284.2758726130232</c:v>
                      </c:pt>
                      <c:pt idx="762">
                        <c:v>-1343.2314919041501</c:v>
                      </c:pt>
                      <c:pt idx="763">
                        <c:v>-1403.3009983067427</c:v>
                      </c:pt>
                      <c:pt idx="764">
                        <c:v>-1464.466094067257</c:v>
                      </c:pt>
                      <c:pt idx="765">
                        <c:v>-1526.7081477050046</c:v>
                      </c:pt>
                      <c:pt idx="766">
                        <c:v>-1590.0081996875078</c:v>
                      </c:pt>
                      <c:pt idx="767">
                        <c:v>-1654.3469682057048</c:v>
                      </c:pt>
                      <c:pt idx="768">
                        <c:v>-1719.7048550474619</c:v>
                      </c:pt>
                      <c:pt idx="769">
                        <c:v>-1786.0619515673043</c:v>
                      </c:pt>
                      <c:pt idx="770">
                        <c:v>-1853.3980447508097</c:v>
                      </c:pt>
                      <c:pt idx="771">
                        <c:v>-1921.6926233717081</c:v>
                      </c:pt>
                      <c:pt idx="772">
                        <c:v>-1990.9248842397537</c:v>
                      </c:pt>
                      <c:pt idx="773">
                        <c:v>-2061.0737385376392</c:v>
                      </c:pt>
                      <c:pt idx="774">
                        <c:v>-2132.1178182447702</c:v>
                      </c:pt>
                      <c:pt idx="775">
                        <c:v>-2204.0354826462622</c:v>
                      </c:pt>
                      <c:pt idx="776">
                        <c:v>-2276.8048249248563</c:v>
                      </c:pt>
                      <c:pt idx="777">
                        <c:v>-2350.4036788339772</c:v>
                      </c:pt>
                      <c:pt idx="778">
                        <c:v>-2424.8096254497264</c:v>
                      </c:pt>
                      <c:pt idx="779">
                        <c:v>-2499.9999999999927</c:v>
                      </c:pt>
                      <c:pt idx="780">
                        <c:v>-2575.9518987683182</c:v>
                      </c:pt>
                      <c:pt idx="781">
                        <c:v>-2652.6421860705445</c:v>
                      </c:pt>
                      <c:pt idx="782">
                        <c:v>-2730.0475013022597</c:v>
                      </c:pt>
                      <c:pt idx="783">
                        <c:v>-2808.1442660546095</c:v>
                      </c:pt>
                      <c:pt idx="784">
                        <c:v>-2886.9086912965026</c:v>
                      </c:pt>
                      <c:pt idx="785">
                        <c:v>-2966.3167846209935</c:v>
                      </c:pt>
                      <c:pt idx="786">
                        <c:v>-3046.3443575536294</c:v>
                      </c:pt>
                      <c:pt idx="787">
                        <c:v>-3126.9670329204328</c:v>
                      </c:pt>
                      <c:pt idx="788">
                        <c:v>-3208.1602522735029</c:v>
                      </c:pt>
                      <c:pt idx="789">
                        <c:v>-3289.8992833716557</c:v>
                      </c:pt>
                      <c:pt idx="790">
                        <c:v>-3372.1592277142108</c:v>
                      </c:pt>
                      <c:pt idx="791">
                        <c:v>-3454.9150281252687</c:v>
                      </c:pt>
                      <c:pt idx="792">
                        <c:v>-3538.1414763863168</c:v>
                      </c:pt>
                      <c:pt idx="793">
                        <c:v>-3621.8132209149994</c:v>
                      </c:pt>
                      <c:pt idx="794">
                        <c:v>-3705.904774487386</c:v>
                      </c:pt>
                      <c:pt idx="795">
                        <c:v>-3790.3905220016636</c:v>
                      </c:pt>
                      <c:pt idx="796">
                        <c:v>-3875.244728280672</c:v>
                      </c:pt>
                      <c:pt idx="797">
                        <c:v>-3960.4415459111951</c:v>
                      </c:pt>
                      <c:pt idx="798">
                        <c:v>-4045.9550231172707</c:v>
                      </c:pt>
                      <c:pt idx="799">
                        <c:v>-4131.7591116653466</c:v>
                      </c:pt>
                      <c:pt idx="800">
                        <c:v>-4217.8276747988384</c:v>
                      </c:pt>
                      <c:pt idx="801">
                        <c:v>-4304.1344951996689</c:v>
                      </c:pt>
                      <c:pt idx="802">
                        <c:v>-4390.6532829742628</c:v>
                      </c:pt>
                      <c:pt idx="803">
                        <c:v>-4477.3576836617358</c:v>
                      </c:pt>
                      <c:pt idx="804">
                        <c:v>-4564.2212862617071</c:v>
                      </c:pt>
                      <c:pt idx="805">
                        <c:v>-4651.2176312793654</c:v>
                      </c:pt>
                      <c:pt idx="806">
                        <c:v>-4738.3202187852858</c:v>
                      </c:pt>
                      <c:pt idx="807">
                        <c:v>-4825.5025164874942</c:v>
                      </c:pt>
                      <c:pt idx="808">
                        <c:v>-4912.7379678135767</c:v>
                      </c:pt>
                      <c:pt idx="809">
                        <c:v>-4999.9999999999882</c:v>
                      </c:pt>
                      <c:pt idx="810">
                        <c:v>-5087.2620321864179</c:v>
                      </c:pt>
                      <c:pt idx="811">
                        <c:v>-5174.4974835125004</c:v>
                      </c:pt>
                      <c:pt idx="812">
                        <c:v>-5261.6797812147088</c:v>
                      </c:pt>
                      <c:pt idx="813">
                        <c:v>-5348.7823687206283</c:v>
                      </c:pt>
                      <c:pt idx="814">
                        <c:v>-5435.7787137382875</c:v>
                      </c:pt>
                      <c:pt idx="815">
                        <c:v>-5522.6423163382588</c:v>
                      </c:pt>
                      <c:pt idx="816">
                        <c:v>-5609.3467170257318</c:v>
                      </c:pt>
                      <c:pt idx="817">
                        <c:v>-5695.8655048003257</c:v>
                      </c:pt>
                      <c:pt idx="818">
                        <c:v>-5782.1723252011561</c:v>
                      </c:pt>
                      <c:pt idx="819">
                        <c:v>-5868.2408883346479</c:v>
                      </c:pt>
                      <c:pt idx="820">
                        <c:v>-5954.0449768827148</c:v>
                      </c:pt>
                      <c:pt idx="821">
                        <c:v>-6039.5584540887994</c:v>
                      </c:pt>
                      <c:pt idx="822">
                        <c:v>-6124.755271719323</c:v>
                      </c:pt>
                      <c:pt idx="823">
                        <c:v>-6209.6094779983314</c:v>
                      </c:pt>
                      <c:pt idx="824">
                        <c:v>-6294.0952255126085</c:v>
                      </c:pt>
                      <c:pt idx="825">
                        <c:v>-6378.1867790849956</c:v>
                      </c:pt>
                      <c:pt idx="826">
                        <c:v>-6461.8585236136778</c:v>
                      </c:pt>
                      <c:pt idx="827">
                        <c:v>-6545.0849718747259</c:v>
                      </c:pt>
                      <c:pt idx="828">
                        <c:v>-6627.8407722857837</c:v>
                      </c:pt>
                      <c:pt idx="829">
                        <c:v>-6710.1007166283389</c:v>
                      </c:pt>
                      <c:pt idx="830">
                        <c:v>-6791.8397477265007</c:v>
                      </c:pt>
                      <c:pt idx="831">
                        <c:v>-6873.0329670795618</c:v>
                      </c:pt>
                      <c:pt idx="832">
                        <c:v>-6953.6556424463661</c:v>
                      </c:pt>
                      <c:pt idx="833">
                        <c:v>-7033.683215379001</c:v>
                      </c:pt>
                      <c:pt idx="834">
                        <c:v>-7113.0913087034924</c:v>
                      </c:pt>
                      <c:pt idx="835">
                        <c:v>-7191.8557339453855</c:v>
                      </c:pt>
                      <c:pt idx="836">
                        <c:v>-7269.9524986977358</c:v>
                      </c:pt>
                      <c:pt idx="837">
                        <c:v>-7347.3578139294505</c:v>
                      </c:pt>
                      <c:pt idx="838">
                        <c:v>-7424.0481012316768</c:v>
                      </c:pt>
                      <c:pt idx="839">
                        <c:v>-7500.0000000000027</c:v>
                      </c:pt>
                      <c:pt idx="840">
                        <c:v>-7575.1903745502696</c:v>
                      </c:pt>
                      <c:pt idx="841">
                        <c:v>-7649.5963211660182</c:v>
                      </c:pt>
                      <c:pt idx="842">
                        <c:v>-7723.1951750751396</c:v>
                      </c:pt>
                      <c:pt idx="843">
                        <c:v>-7795.9645173537338</c:v>
                      </c:pt>
                      <c:pt idx="844">
                        <c:v>-7867.8821817552252</c:v>
                      </c:pt>
                      <c:pt idx="845">
                        <c:v>-7938.926261462364</c:v>
                      </c:pt>
                      <c:pt idx="846">
                        <c:v>-8009.0751157602417</c:v>
                      </c:pt>
                      <c:pt idx="847">
                        <c:v>-8078.3073766282878</c:v>
                      </c:pt>
                      <c:pt idx="848">
                        <c:v>-8146.6019552491862</c:v>
                      </c:pt>
                      <c:pt idx="849">
                        <c:v>-8213.9380484326903</c:v>
                      </c:pt>
                      <c:pt idx="850">
                        <c:v>-8280.2951449525335</c:v>
                      </c:pt>
                      <c:pt idx="851">
                        <c:v>-8345.6530317942907</c:v>
                      </c:pt>
                      <c:pt idx="852">
                        <c:v>-8409.9918003124876</c:v>
                      </c:pt>
                      <c:pt idx="853">
                        <c:v>-8473.2918522949913</c:v>
                      </c:pt>
                      <c:pt idx="854">
                        <c:v>-8535.533905932738</c:v>
                      </c:pt>
                      <c:pt idx="855">
                        <c:v>-8596.6990016932541</c:v>
                      </c:pt>
                      <c:pt idx="856">
                        <c:v>-8656.7685080958472</c:v>
                      </c:pt>
                      <c:pt idx="857">
                        <c:v>-8715.7241273869731</c:v>
                      </c:pt>
                      <c:pt idx="858">
                        <c:v>-8773.5479011138577</c:v>
                      </c:pt>
                      <c:pt idx="859">
                        <c:v>-8830.2222155948857</c:v>
                      </c:pt>
                      <c:pt idx="860">
                        <c:v>-8885.7298072848516</c:v>
                      </c:pt>
                      <c:pt idx="861">
                        <c:v>-8940.0537680336092</c:v>
                      </c:pt>
                      <c:pt idx="862">
                        <c:v>-8993.1775502364599</c:v>
                      </c:pt>
                      <c:pt idx="863">
                        <c:v>-9045.0849718747359</c:v>
                      </c:pt>
                      <c:pt idx="864">
                        <c:v>-9095.760221444958</c:v>
                      </c:pt>
                      <c:pt idx="865">
                        <c:v>-9145.1878627752121</c:v>
                      </c:pt>
                      <c:pt idx="866">
                        <c:v>-9193.3528397271184</c:v>
                      </c:pt>
                      <c:pt idx="867">
                        <c:v>-9240.2404807821258</c:v>
                      </c:pt>
                      <c:pt idx="868">
                        <c:v>-9285.8365035105635</c:v>
                      </c:pt>
                      <c:pt idx="869">
                        <c:v>-9330.1270189221941</c:v>
                      </c:pt>
                      <c:pt idx="870">
                        <c:v>-9373.0985356969759</c:v>
                      </c:pt>
                      <c:pt idx="871">
                        <c:v>-9414.7379642946289</c:v>
                      </c:pt>
                      <c:pt idx="872">
                        <c:v>-9455.0326209418399</c:v>
                      </c:pt>
                      <c:pt idx="873">
                        <c:v>-9493.970231495834</c:v>
                      </c:pt>
                      <c:pt idx="874">
                        <c:v>-9531.5389351832455</c:v>
                      </c:pt>
                      <c:pt idx="875">
                        <c:v>-9567.7272882130055</c:v>
                      </c:pt>
                      <c:pt idx="876">
                        <c:v>-9602.5242672622007</c:v>
                      </c:pt>
                      <c:pt idx="877">
                        <c:v>-9635.9192728339331</c:v>
                      </c:pt>
                      <c:pt idx="878">
                        <c:v>-9667.9021324860078</c:v>
                      </c:pt>
                      <c:pt idx="879">
                        <c:v>-9698.4631039295418</c:v>
                      </c:pt>
                      <c:pt idx="880">
                        <c:v>-9727.5928779965852</c:v>
                      </c:pt>
                      <c:pt idx="881">
                        <c:v>-9755.2825814757671</c:v>
                      </c:pt>
                      <c:pt idx="882">
                        <c:v>-9781.5237798151757</c:v>
                      </c:pt>
                      <c:pt idx="883">
                        <c:v>-9806.3084796915955</c:v>
                      </c:pt>
                      <c:pt idx="884">
                        <c:v>-9829.629131445341</c:v>
                      </c:pt>
                      <c:pt idx="885">
                        <c:v>-9851.4786313799814</c:v>
                      </c:pt>
                      <c:pt idx="886">
                        <c:v>-9871.8503239261772</c:v>
                      </c:pt>
                      <c:pt idx="887">
                        <c:v>-9890.7380036690283</c:v>
                      </c:pt>
                      <c:pt idx="888">
                        <c:v>-9908.13591723832</c:v>
                      </c:pt>
                      <c:pt idx="889">
                        <c:v>-9924.0387650610392</c:v>
                      </c:pt>
                      <c:pt idx="890">
                        <c:v>-9938.4417029756878</c:v>
                      </c:pt>
                      <c:pt idx="891">
                        <c:v>-9951.3403437078523</c:v>
                      </c:pt>
                      <c:pt idx="892">
                        <c:v>-9962.7307582066096</c:v>
                      </c:pt>
                      <c:pt idx="893">
                        <c:v>-9972.6094768413659</c:v>
                      </c:pt>
                      <c:pt idx="894">
                        <c:v>-9980.9734904587276</c:v>
                      </c:pt>
                      <c:pt idx="895">
                        <c:v>-9987.8202512991229</c:v>
                      </c:pt>
                      <c:pt idx="896">
                        <c:v>-9993.1476737728699</c:v>
                      </c:pt>
                      <c:pt idx="897">
                        <c:v>-9996.9541350954787</c:v>
                      </c:pt>
                      <c:pt idx="898">
                        <c:v>-9999.2384757819564</c:v>
                      </c:pt>
                      <c:pt idx="899">
                        <c:v>-10000</c:v>
                      </c:pt>
                      <c:pt idx="900">
                        <c:v>-9999.2384757819564</c:v>
                      </c:pt>
                      <c:pt idx="901">
                        <c:v>-9996.9541350954787</c:v>
                      </c:pt>
                      <c:pt idx="902">
                        <c:v>-9993.1476737728699</c:v>
                      </c:pt>
                      <c:pt idx="903">
                        <c:v>-9987.8202512991229</c:v>
                      </c:pt>
                      <c:pt idx="904">
                        <c:v>-9980.9734904587276</c:v>
                      </c:pt>
                      <c:pt idx="905">
                        <c:v>-9972.6094768413677</c:v>
                      </c:pt>
                      <c:pt idx="906">
                        <c:v>-9962.7307582066114</c:v>
                      </c:pt>
                      <c:pt idx="907">
                        <c:v>-9951.3403437078523</c:v>
                      </c:pt>
                      <c:pt idx="908">
                        <c:v>-9938.4417029756878</c:v>
                      </c:pt>
                      <c:pt idx="909">
                        <c:v>-9924.038765061041</c:v>
                      </c:pt>
                      <c:pt idx="910">
                        <c:v>-9908.13591723832</c:v>
                      </c:pt>
                      <c:pt idx="911">
                        <c:v>-9890.7380036690301</c:v>
                      </c:pt>
                      <c:pt idx="912">
                        <c:v>-9871.8503239261772</c:v>
                      </c:pt>
                      <c:pt idx="913">
                        <c:v>-9851.4786313799814</c:v>
                      </c:pt>
                      <c:pt idx="914">
                        <c:v>-9829.6291314453429</c:v>
                      </c:pt>
                      <c:pt idx="915">
                        <c:v>-9806.3084796915973</c:v>
                      </c:pt>
                      <c:pt idx="916">
                        <c:v>-9781.5237798151793</c:v>
                      </c:pt>
                      <c:pt idx="917">
                        <c:v>-9755.2825814757707</c:v>
                      </c:pt>
                      <c:pt idx="918">
                        <c:v>-9727.5928779965834</c:v>
                      </c:pt>
                      <c:pt idx="919">
                        <c:v>-9698.4631039295436</c:v>
                      </c:pt>
                      <c:pt idx="920">
                        <c:v>-9667.9021324860059</c:v>
                      </c:pt>
                      <c:pt idx="921">
                        <c:v>-9635.9192728339367</c:v>
                      </c:pt>
                      <c:pt idx="922">
                        <c:v>-9602.5242672622026</c:v>
                      </c:pt>
                      <c:pt idx="923">
                        <c:v>-9567.7272882130019</c:v>
                      </c:pt>
                      <c:pt idx="924">
                        <c:v>-9531.5389351832491</c:v>
                      </c:pt>
                      <c:pt idx="925">
                        <c:v>-9493.9702314958358</c:v>
                      </c:pt>
                      <c:pt idx="926">
                        <c:v>-9455.0326209418417</c:v>
                      </c:pt>
                      <c:pt idx="927">
                        <c:v>-9414.7379642946325</c:v>
                      </c:pt>
                      <c:pt idx="928">
                        <c:v>-9373.0985356969795</c:v>
                      </c:pt>
                      <c:pt idx="929">
                        <c:v>-9330.1270189221959</c:v>
                      </c:pt>
                      <c:pt idx="930">
                        <c:v>-9285.836503510558</c:v>
                      </c:pt>
                      <c:pt idx="931">
                        <c:v>-9240.2404807821295</c:v>
                      </c:pt>
                      <c:pt idx="932">
                        <c:v>-9193.352839727122</c:v>
                      </c:pt>
                      <c:pt idx="933">
                        <c:v>-9145.1878627752139</c:v>
                      </c:pt>
                      <c:pt idx="934">
                        <c:v>-9095.760221444958</c:v>
                      </c:pt>
                      <c:pt idx="935">
                        <c:v>-9045.0849718747395</c:v>
                      </c:pt>
                      <c:pt idx="936">
                        <c:v>-8993.177550236469</c:v>
                      </c:pt>
                      <c:pt idx="937">
                        <c:v>-8940.0537680336183</c:v>
                      </c:pt>
                      <c:pt idx="938">
                        <c:v>-8885.7298072848553</c:v>
                      </c:pt>
                      <c:pt idx="939">
                        <c:v>-8830.2222155948948</c:v>
                      </c:pt>
                      <c:pt idx="940">
                        <c:v>-8773.5479011138686</c:v>
                      </c:pt>
                      <c:pt idx="941">
                        <c:v>-8715.7241273869713</c:v>
                      </c:pt>
                      <c:pt idx="942">
                        <c:v>-8656.7685080958563</c:v>
                      </c:pt>
                      <c:pt idx="943">
                        <c:v>-8596.6990016932632</c:v>
                      </c:pt>
                      <c:pt idx="944">
                        <c:v>-8535.5339059327489</c:v>
                      </c:pt>
                      <c:pt idx="945">
                        <c:v>-8473.2918522949894</c:v>
                      </c:pt>
                      <c:pt idx="946">
                        <c:v>-8409.9918003124985</c:v>
                      </c:pt>
                      <c:pt idx="947">
                        <c:v>-8345.6530317942888</c:v>
                      </c:pt>
                      <c:pt idx="948">
                        <c:v>-8280.295144952539</c:v>
                      </c:pt>
                      <c:pt idx="949">
                        <c:v>-8213.938048432703</c:v>
                      </c:pt>
                      <c:pt idx="950">
                        <c:v>-8146.6019552491844</c:v>
                      </c:pt>
                      <c:pt idx="951">
                        <c:v>-8078.3073766282923</c:v>
                      </c:pt>
                      <c:pt idx="952">
                        <c:v>-8009.0751157602463</c:v>
                      </c:pt>
                      <c:pt idx="953">
                        <c:v>-7938.9262614623613</c:v>
                      </c:pt>
                      <c:pt idx="954">
                        <c:v>-7867.8821817552307</c:v>
                      </c:pt>
                      <c:pt idx="955">
                        <c:v>-7795.9645173537383</c:v>
                      </c:pt>
                      <c:pt idx="956">
                        <c:v>-7723.1951750751286</c:v>
                      </c:pt>
                      <c:pt idx="957">
                        <c:v>-7649.5963211660237</c:v>
                      </c:pt>
                      <c:pt idx="958">
                        <c:v>-7575.1903745502741</c:v>
                      </c:pt>
                      <c:pt idx="959">
                        <c:v>-7500.0000000000073</c:v>
                      </c:pt>
                      <c:pt idx="960">
                        <c:v>-7424.0481012316832</c:v>
                      </c:pt>
                      <c:pt idx="961">
                        <c:v>-7347.3578139294559</c:v>
                      </c:pt>
                      <c:pt idx="962">
                        <c:v>-7269.9524986977412</c:v>
                      </c:pt>
                      <c:pt idx="963">
                        <c:v>-7191.8557339453828</c:v>
                      </c:pt>
                      <c:pt idx="964">
                        <c:v>-7113.0913087034978</c:v>
                      </c:pt>
                      <c:pt idx="965">
                        <c:v>-7033.6832153790074</c:v>
                      </c:pt>
                      <c:pt idx="966">
                        <c:v>-6953.6556424463797</c:v>
                      </c:pt>
                      <c:pt idx="967">
                        <c:v>-6873.03296707956</c:v>
                      </c:pt>
                      <c:pt idx="968">
                        <c:v>-6791.8397477265062</c:v>
                      </c:pt>
                      <c:pt idx="969">
                        <c:v>-6710.1007166283534</c:v>
                      </c:pt>
                      <c:pt idx="970">
                        <c:v>-6627.840772285781</c:v>
                      </c:pt>
                      <c:pt idx="971">
                        <c:v>-6545.0849718747404</c:v>
                      </c:pt>
                      <c:pt idx="972">
                        <c:v>-6461.8585236136914</c:v>
                      </c:pt>
                      <c:pt idx="973">
                        <c:v>-6378.1867790850092</c:v>
                      </c:pt>
                      <c:pt idx="974">
                        <c:v>-6294.0952255126058</c:v>
                      </c:pt>
                      <c:pt idx="975">
                        <c:v>-6209.6094779983459</c:v>
                      </c:pt>
                      <c:pt idx="976">
                        <c:v>-6124.7552717193375</c:v>
                      </c:pt>
                      <c:pt idx="977">
                        <c:v>-6039.5584540887967</c:v>
                      </c:pt>
                      <c:pt idx="978">
                        <c:v>-5954.0449768827293</c:v>
                      </c:pt>
                      <c:pt idx="979">
                        <c:v>-5868.2408883346625</c:v>
                      </c:pt>
                      <c:pt idx="980">
                        <c:v>-5782.1723252011534</c:v>
                      </c:pt>
                      <c:pt idx="981">
                        <c:v>-5695.8655048003311</c:v>
                      </c:pt>
                      <c:pt idx="982">
                        <c:v>-5609.34671702573</c:v>
                      </c:pt>
                      <c:pt idx="983">
                        <c:v>-5522.6423163382651</c:v>
                      </c:pt>
                      <c:pt idx="984">
                        <c:v>-5435.7787137382938</c:v>
                      </c:pt>
                      <c:pt idx="985">
                        <c:v>-5348.7823687206173</c:v>
                      </c:pt>
                      <c:pt idx="986">
                        <c:v>-5261.6797812147151</c:v>
                      </c:pt>
                      <c:pt idx="987">
                        <c:v>-5174.4974835125058</c:v>
                      </c:pt>
                      <c:pt idx="988">
                        <c:v>-5087.2620321864242</c:v>
                      </c:pt>
                      <c:pt idx="989">
                        <c:v>-4999.9999999999945</c:v>
                      </c:pt>
                      <c:pt idx="990">
                        <c:v>-4912.7379678135821</c:v>
                      </c:pt>
                      <c:pt idx="991">
                        <c:v>-4825.5025164875005</c:v>
                      </c:pt>
                      <c:pt idx="992">
                        <c:v>-4738.3202187852739</c:v>
                      </c:pt>
                      <c:pt idx="993">
                        <c:v>-4651.2176312793717</c:v>
                      </c:pt>
                      <c:pt idx="994">
                        <c:v>-4564.2212862617125</c:v>
                      </c:pt>
                      <c:pt idx="995">
                        <c:v>-4477.3576836617422</c:v>
                      </c:pt>
                      <c:pt idx="996">
                        <c:v>-4390.6532829742591</c:v>
                      </c:pt>
                      <c:pt idx="997">
                        <c:v>-4304.1344951996753</c:v>
                      </c:pt>
                      <c:pt idx="998">
                        <c:v>-4217.827674798853</c:v>
                      </c:pt>
                      <c:pt idx="999">
                        <c:v>-4131.7591116653612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Conditions!$L$4:$L$1003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-14912.737967813582</c:v>
                      </c:pt>
                      <c:pt idx="1">
                        <c:v>-14825.502516487495</c:v>
                      </c:pt>
                      <c:pt idx="2">
                        <c:v>-14738.32021878528</c:v>
                      </c:pt>
                      <c:pt idx="3">
                        <c:v>-14651.217631279373</c:v>
                      </c:pt>
                      <c:pt idx="4">
                        <c:v>-14564.221286261709</c:v>
                      </c:pt>
                      <c:pt idx="5">
                        <c:v>-14477.357683661732</c:v>
                      </c:pt>
                      <c:pt idx="6">
                        <c:v>-14390.653282974263</c:v>
                      </c:pt>
                      <c:pt idx="7">
                        <c:v>-14304.134495199673</c:v>
                      </c:pt>
                      <c:pt idx="8">
                        <c:v>-14217.827674798846</c:v>
                      </c:pt>
                      <c:pt idx="9">
                        <c:v>-14131.759111665348</c:v>
                      </c:pt>
                      <c:pt idx="10">
                        <c:v>-14045.955023117276</c:v>
                      </c:pt>
                      <c:pt idx="11">
                        <c:v>-13960.441545911202</c:v>
                      </c:pt>
                      <c:pt idx="12">
                        <c:v>-13875.244728280675</c:v>
                      </c:pt>
                      <c:pt idx="13">
                        <c:v>-13790.39052200166</c:v>
                      </c:pt>
                      <c:pt idx="14">
                        <c:v>-13705.904774487397</c:v>
                      </c:pt>
                      <c:pt idx="15">
                        <c:v>-13621.813220915004</c:v>
                      </c:pt>
                      <c:pt idx="16">
                        <c:v>-13538.141476386316</c:v>
                      </c:pt>
                      <c:pt idx="17">
                        <c:v>-13454.915028125262</c:v>
                      </c:pt>
                      <c:pt idx="18">
                        <c:v>-13372.159227714217</c:v>
                      </c:pt>
                      <c:pt idx="19">
                        <c:v>-13289.899283371657</c:v>
                      </c:pt>
                      <c:pt idx="20">
                        <c:v>-13208.160252273499</c:v>
                      </c:pt>
                      <c:pt idx="21">
                        <c:v>-13126.96703292044</c:v>
                      </c:pt>
                      <c:pt idx="22">
                        <c:v>-13046.344357553631</c:v>
                      </c:pt>
                      <c:pt idx="23">
                        <c:v>-12966.316784621</c:v>
                      </c:pt>
                      <c:pt idx="24">
                        <c:v>-12886.908691296503</c:v>
                      </c:pt>
                      <c:pt idx="25">
                        <c:v>-12808.144266054613</c:v>
                      </c:pt>
                      <c:pt idx="26">
                        <c:v>-12730.047501302266</c:v>
                      </c:pt>
                      <c:pt idx="27">
                        <c:v>-12652.642186070545</c:v>
                      </c:pt>
                      <c:pt idx="28">
                        <c:v>-12575.951898768315</c:v>
                      </c:pt>
                      <c:pt idx="29">
                        <c:v>-12500</c:v>
                      </c:pt>
                      <c:pt idx="30">
                        <c:v>-12424.809625449729</c:v>
                      </c:pt>
                      <c:pt idx="31">
                        <c:v>-12350.403678833976</c:v>
                      </c:pt>
                      <c:pt idx="32">
                        <c:v>-12276.804824924864</c:v>
                      </c:pt>
                      <c:pt idx="33">
                        <c:v>-12204.035482646264</c:v>
                      </c:pt>
                      <c:pt idx="34">
                        <c:v>-12132.117818244769</c:v>
                      </c:pt>
                      <c:pt idx="35">
                        <c:v>-12061.073738537634</c:v>
                      </c:pt>
                      <c:pt idx="36">
                        <c:v>-11990.924884239759</c:v>
                      </c:pt>
                      <c:pt idx="37">
                        <c:v>-11921.692623371709</c:v>
                      </c:pt>
                      <c:pt idx="38">
                        <c:v>-11853.398044750813</c:v>
                      </c:pt>
                      <c:pt idx="39">
                        <c:v>-11786.061951567304</c:v>
                      </c:pt>
                      <c:pt idx="40">
                        <c:v>-11719.704855047465</c:v>
                      </c:pt>
                      <c:pt idx="41">
                        <c:v>-11654.346968205709</c:v>
                      </c:pt>
                      <c:pt idx="42">
                        <c:v>-11590.008199687509</c:v>
                      </c:pt>
                      <c:pt idx="43">
                        <c:v>-11526.708147705014</c:v>
                      </c:pt>
                      <c:pt idx="44">
                        <c:v>-11464.466094067262</c:v>
                      </c:pt>
                      <c:pt idx="45">
                        <c:v>-11403.300998306744</c:v>
                      </c:pt>
                      <c:pt idx="46">
                        <c:v>-11343.231491904147</c:v>
                      </c:pt>
                      <c:pt idx="47">
                        <c:v>-11284.275872613029</c:v>
                      </c:pt>
                      <c:pt idx="48">
                        <c:v>-11226.45209888614</c:v>
                      </c:pt>
                      <c:pt idx="49">
                        <c:v>-11169.777784405109</c:v>
                      </c:pt>
                      <c:pt idx="50">
                        <c:v>-11114.270192715147</c:v>
                      </c:pt>
                      <c:pt idx="51">
                        <c:v>-11059.946231966391</c:v>
                      </c:pt>
                      <c:pt idx="52">
                        <c:v>-11006.822449763536</c:v>
                      </c:pt>
                      <c:pt idx="53">
                        <c:v>-10954.915028125262</c:v>
                      </c:pt>
                      <c:pt idx="54">
                        <c:v>-10904.239778555042</c:v>
                      </c:pt>
                      <c:pt idx="55">
                        <c:v>-10854.812137224792</c:v>
                      </c:pt>
                      <c:pt idx="56">
                        <c:v>-10806.647160272882</c:v>
                      </c:pt>
                      <c:pt idx="57">
                        <c:v>-10759.759519217871</c:v>
                      </c:pt>
                      <c:pt idx="58">
                        <c:v>-10714.16349648944</c:v>
                      </c:pt>
                      <c:pt idx="59">
                        <c:v>-10669.872981077806</c:v>
                      </c:pt>
                      <c:pt idx="60">
                        <c:v>-10626.90146430302</c:v>
                      </c:pt>
                      <c:pt idx="61">
                        <c:v>-10585.262035705366</c:v>
                      </c:pt>
                      <c:pt idx="62">
                        <c:v>-10544.967379058162</c:v>
                      </c:pt>
                      <c:pt idx="63">
                        <c:v>-10506.029768504166</c:v>
                      </c:pt>
                      <c:pt idx="64">
                        <c:v>-10468.461064816751</c:v>
                      </c:pt>
                      <c:pt idx="65">
                        <c:v>-10432.272711786994</c:v>
                      </c:pt>
                      <c:pt idx="66">
                        <c:v>-10397.475732737799</c:v>
                      </c:pt>
                      <c:pt idx="67">
                        <c:v>-10364.080727166063</c:v>
                      </c:pt>
                      <c:pt idx="68">
                        <c:v>-10332.097867513992</c:v>
                      </c:pt>
                      <c:pt idx="69">
                        <c:v>-10301.536896070458</c:v>
                      </c:pt>
                      <c:pt idx="70">
                        <c:v>-10272.407122003417</c:v>
                      </c:pt>
                      <c:pt idx="71">
                        <c:v>-10244.717418524233</c:v>
                      </c:pt>
                      <c:pt idx="72">
                        <c:v>-10218.476220184823</c:v>
                      </c:pt>
                      <c:pt idx="73">
                        <c:v>-10193.691520308406</c:v>
                      </c:pt>
                      <c:pt idx="74">
                        <c:v>-10170.370868554659</c:v>
                      </c:pt>
                      <c:pt idx="75">
                        <c:v>-10148.521368620019</c:v>
                      </c:pt>
                      <c:pt idx="76">
                        <c:v>-10128.149676073823</c:v>
                      </c:pt>
                      <c:pt idx="77">
                        <c:v>-10109.261996330972</c:v>
                      </c:pt>
                      <c:pt idx="78">
                        <c:v>-10091.86408276168</c:v>
                      </c:pt>
                      <c:pt idx="79">
                        <c:v>-10075.961234938961</c:v>
                      </c:pt>
                      <c:pt idx="80">
                        <c:v>-10061.558297024312</c:v>
                      </c:pt>
                      <c:pt idx="81">
                        <c:v>-10048.659656292148</c:v>
                      </c:pt>
                      <c:pt idx="82">
                        <c:v>-10037.26924179339</c:v>
                      </c:pt>
                      <c:pt idx="83">
                        <c:v>-10027.390523158632</c:v>
                      </c:pt>
                      <c:pt idx="84">
                        <c:v>-10019.026509541272</c:v>
                      </c:pt>
                      <c:pt idx="85">
                        <c:v>-10012.179748700879</c:v>
                      </c:pt>
                      <c:pt idx="86">
                        <c:v>-10006.85232622713</c:v>
                      </c:pt>
                      <c:pt idx="87">
                        <c:v>-10003.045864904521</c:v>
                      </c:pt>
                      <c:pt idx="88">
                        <c:v>-10000.761524218044</c:v>
                      </c:pt>
                      <c:pt idx="89">
                        <c:v>-10000</c:v>
                      </c:pt>
                      <c:pt idx="90">
                        <c:v>-10000.761524218044</c:v>
                      </c:pt>
                      <c:pt idx="91">
                        <c:v>-10003.045864904521</c:v>
                      </c:pt>
                      <c:pt idx="92">
                        <c:v>-10006.85232622713</c:v>
                      </c:pt>
                      <c:pt idx="93">
                        <c:v>-10012.179748700879</c:v>
                      </c:pt>
                      <c:pt idx="94">
                        <c:v>-10019.026509541272</c:v>
                      </c:pt>
                      <c:pt idx="95">
                        <c:v>-10027.390523158632</c:v>
                      </c:pt>
                      <c:pt idx="96">
                        <c:v>-10037.26924179339</c:v>
                      </c:pt>
                      <c:pt idx="97">
                        <c:v>-10048.659656292148</c:v>
                      </c:pt>
                      <c:pt idx="98">
                        <c:v>-10061.558297024312</c:v>
                      </c:pt>
                      <c:pt idx="99">
                        <c:v>-10075.961234938961</c:v>
                      </c:pt>
                      <c:pt idx="100">
                        <c:v>-10091.86408276168</c:v>
                      </c:pt>
                      <c:pt idx="101">
                        <c:v>-10109.261996330972</c:v>
                      </c:pt>
                      <c:pt idx="102">
                        <c:v>-10128.149676073823</c:v>
                      </c:pt>
                      <c:pt idx="103">
                        <c:v>-10148.521368620019</c:v>
                      </c:pt>
                      <c:pt idx="104">
                        <c:v>-10170.370868554659</c:v>
                      </c:pt>
                      <c:pt idx="105">
                        <c:v>-10193.691520308406</c:v>
                      </c:pt>
                      <c:pt idx="106">
                        <c:v>-10218.476220184823</c:v>
                      </c:pt>
                      <c:pt idx="107">
                        <c:v>-10244.717418524233</c:v>
                      </c:pt>
                      <c:pt idx="108">
                        <c:v>-10272.407122003417</c:v>
                      </c:pt>
                      <c:pt idx="109">
                        <c:v>-10301.536896070458</c:v>
                      </c:pt>
                      <c:pt idx="110">
                        <c:v>-10332.097867513992</c:v>
                      </c:pt>
                      <c:pt idx="111">
                        <c:v>-10364.080727166063</c:v>
                      </c:pt>
                      <c:pt idx="112">
                        <c:v>-10397.475732737799</c:v>
                      </c:pt>
                      <c:pt idx="113">
                        <c:v>-10432.272711786994</c:v>
                      </c:pt>
                      <c:pt idx="114">
                        <c:v>-10468.461064816751</c:v>
                      </c:pt>
                      <c:pt idx="115">
                        <c:v>-10506.029768504166</c:v>
                      </c:pt>
                      <c:pt idx="116">
                        <c:v>-10544.96737905816</c:v>
                      </c:pt>
                      <c:pt idx="117">
                        <c:v>-10585.262035705364</c:v>
                      </c:pt>
                      <c:pt idx="118">
                        <c:v>-10626.90146430302</c:v>
                      </c:pt>
                      <c:pt idx="119">
                        <c:v>-10669.872981077806</c:v>
                      </c:pt>
                      <c:pt idx="120">
                        <c:v>-10714.163496489438</c:v>
                      </c:pt>
                      <c:pt idx="121">
                        <c:v>-10759.759519217871</c:v>
                      </c:pt>
                      <c:pt idx="122">
                        <c:v>-10806.647160272882</c:v>
                      </c:pt>
                      <c:pt idx="123">
                        <c:v>-10854.812137224792</c:v>
                      </c:pt>
                      <c:pt idx="124">
                        <c:v>-10904.23977855504</c:v>
                      </c:pt>
                      <c:pt idx="125">
                        <c:v>-10954.915028125262</c:v>
                      </c:pt>
                      <c:pt idx="126">
                        <c:v>-11006.822449763536</c:v>
                      </c:pt>
                      <c:pt idx="127">
                        <c:v>-11059.946231966391</c:v>
                      </c:pt>
                      <c:pt idx="128">
                        <c:v>-11114.270192715145</c:v>
                      </c:pt>
                      <c:pt idx="129">
                        <c:v>-11169.777784405109</c:v>
                      </c:pt>
                      <c:pt idx="130">
                        <c:v>-11226.45209888614</c:v>
                      </c:pt>
                      <c:pt idx="131">
                        <c:v>-11284.275872613029</c:v>
                      </c:pt>
                      <c:pt idx="132">
                        <c:v>-11343.231491904147</c:v>
                      </c:pt>
                      <c:pt idx="133">
                        <c:v>-11403.300998306742</c:v>
                      </c:pt>
                      <c:pt idx="134">
                        <c:v>-11464.466094067262</c:v>
                      </c:pt>
                      <c:pt idx="135">
                        <c:v>-11526.708147705014</c:v>
                      </c:pt>
                      <c:pt idx="136">
                        <c:v>-11590.008199687507</c:v>
                      </c:pt>
                      <c:pt idx="137">
                        <c:v>-11654.346968205708</c:v>
                      </c:pt>
                      <c:pt idx="138">
                        <c:v>-11719.704855047465</c:v>
                      </c:pt>
                      <c:pt idx="139">
                        <c:v>-11786.061951567302</c:v>
                      </c:pt>
                      <c:pt idx="140">
                        <c:v>-11853.398044750811</c:v>
                      </c:pt>
                      <c:pt idx="141">
                        <c:v>-11921.692623371708</c:v>
                      </c:pt>
                      <c:pt idx="142">
                        <c:v>-11990.924884239759</c:v>
                      </c:pt>
                      <c:pt idx="143">
                        <c:v>-12061.073738537634</c:v>
                      </c:pt>
                      <c:pt idx="144">
                        <c:v>-12132.117818244767</c:v>
                      </c:pt>
                      <c:pt idx="145">
                        <c:v>-12204.035482646264</c:v>
                      </c:pt>
                      <c:pt idx="146">
                        <c:v>-12276.804824924864</c:v>
                      </c:pt>
                      <c:pt idx="147">
                        <c:v>-12350.403678833976</c:v>
                      </c:pt>
                      <c:pt idx="148">
                        <c:v>-12424.809625449729</c:v>
                      </c:pt>
                      <c:pt idx="149">
                        <c:v>-12500</c:v>
                      </c:pt>
                      <c:pt idx="150">
                        <c:v>-12575.951898768315</c:v>
                      </c:pt>
                      <c:pt idx="151">
                        <c:v>-12652.642186070545</c:v>
                      </c:pt>
                      <c:pt idx="152">
                        <c:v>-12730.047501302266</c:v>
                      </c:pt>
                      <c:pt idx="153">
                        <c:v>-12808.144266054613</c:v>
                      </c:pt>
                      <c:pt idx="154">
                        <c:v>-12886.908691296503</c:v>
                      </c:pt>
                      <c:pt idx="155">
                        <c:v>-12966.316784620998</c:v>
                      </c:pt>
                      <c:pt idx="156">
                        <c:v>-13046.344357553629</c:v>
                      </c:pt>
                      <c:pt idx="157">
                        <c:v>-13126.967032920438</c:v>
                      </c:pt>
                      <c:pt idx="158">
                        <c:v>-13208.160252273499</c:v>
                      </c:pt>
                      <c:pt idx="159">
                        <c:v>-13289.899283371655</c:v>
                      </c:pt>
                      <c:pt idx="160">
                        <c:v>-13372.159227714215</c:v>
                      </c:pt>
                      <c:pt idx="161">
                        <c:v>-13454.915028125262</c:v>
                      </c:pt>
                      <c:pt idx="162">
                        <c:v>-13538.141476386314</c:v>
                      </c:pt>
                      <c:pt idx="163">
                        <c:v>-13621.813220915003</c:v>
                      </c:pt>
                      <c:pt idx="164">
                        <c:v>-13705.904774487395</c:v>
                      </c:pt>
                      <c:pt idx="165">
                        <c:v>-13790.39052200166</c:v>
                      </c:pt>
                      <c:pt idx="166">
                        <c:v>-13875.244728280675</c:v>
                      </c:pt>
                      <c:pt idx="167">
                        <c:v>-13960.441545911202</c:v>
                      </c:pt>
                      <c:pt idx="168">
                        <c:v>-14045.955023117274</c:v>
                      </c:pt>
                      <c:pt idx="169">
                        <c:v>-14131.759111665349</c:v>
                      </c:pt>
                      <c:pt idx="170">
                        <c:v>-14217.827674798846</c:v>
                      </c:pt>
                      <c:pt idx="171">
                        <c:v>-14304.134495199671</c:v>
                      </c:pt>
                      <c:pt idx="172">
                        <c:v>-14390.653282974263</c:v>
                      </c:pt>
                      <c:pt idx="173">
                        <c:v>-14477.357683661732</c:v>
                      </c:pt>
                      <c:pt idx="174">
                        <c:v>-14564.221286261707</c:v>
                      </c:pt>
                      <c:pt idx="175">
                        <c:v>-14651.217631279373</c:v>
                      </c:pt>
                      <c:pt idx="176">
                        <c:v>-14738.32021878528</c:v>
                      </c:pt>
                      <c:pt idx="177">
                        <c:v>-14825.502516487497</c:v>
                      </c:pt>
                      <c:pt idx="178">
                        <c:v>-14912.737967813582</c:v>
                      </c:pt>
                      <c:pt idx="179">
                        <c:v>-15000</c:v>
                      </c:pt>
                      <c:pt idx="180">
                        <c:v>-15087.262032186416</c:v>
                      </c:pt>
                      <c:pt idx="181">
                        <c:v>-15174.497483512505</c:v>
                      </c:pt>
                      <c:pt idx="182">
                        <c:v>-15261.679781214718</c:v>
                      </c:pt>
                      <c:pt idx="183">
                        <c:v>-15348.782368720624</c:v>
                      </c:pt>
                      <c:pt idx="184">
                        <c:v>-15435.778713738289</c:v>
                      </c:pt>
                      <c:pt idx="185">
                        <c:v>-15522.642316338266</c:v>
                      </c:pt>
                      <c:pt idx="186">
                        <c:v>-15609.346717025739</c:v>
                      </c:pt>
                      <c:pt idx="187">
                        <c:v>-15695.865504800327</c:v>
                      </c:pt>
                      <c:pt idx="188">
                        <c:v>-15782.172325201154</c:v>
                      </c:pt>
                      <c:pt idx="189">
                        <c:v>-15868.240888334652</c:v>
                      </c:pt>
                      <c:pt idx="190">
                        <c:v>-15954.044976882724</c:v>
                      </c:pt>
                      <c:pt idx="191">
                        <c:v>-16039.558454088796</c:v>
                      </c:pt>
                      <c:pt idx="192">
                        <c:v>-16124.755271719325</c:v>
                      </c:pt>
                      <c:pt idx="193">
                        <c:v>-16209.609477998338</c:v>
                      </c:pt>
                      <c:pt idx="194">
                        <c:v>-16294.095225512601</c:v>
                      </c:pt>
                      <c:pt idx="195">
                        <c:v>-16378.186779084996</c:v>
                      </c:pt>
                      <c:pt idx="196">
                        <c:v>-16461.858523613682</c:v>
                      </c:pt>
                      <c:pt idx="197">
                        <c:v>-16545.084971874738</c:v>
                      </c:pt>
                      <c:pt idx="198">
                        <c:v>-16627.840772285785</c:v>
                      </c:pt>
                      <c:pt idx="199">
                        <c:v>-16710.100716628342</c:v>
                      </c:pt>
                      <c:pt idx="200">
                        <c:v>-16791.839747726503</c:v>
                      </c:pt>
                      <c:pt idx="201">
                        <c:v>-16873.032967079562</c:v>
                      </c:pt>
                      <c:pt idx="202">
                        <c:v>-16953.655642446367</c:v>
                      </c:pt>
                      <c:pt idx="203">
                        <c:v>-17033.683215378998</c:v>
                      </c:pt>
                      <c:pt idx="204">
                        <c:v>-17113.091308703497</c:v>
                      </c:pt>
                      <c:pt idx="205">
                        <c:v>-17191.855733945384</c:v>
                      </c:pt>
                      <c:pt idx="206">
                        <c:v>-17269.95249869773</c:v>
                      </c:pt>
                      <c:pt idx="207">
                        <c:v>-17347.357813929455</c:v>
                      </c:pt>
                      <c:pt idx="208">
                        <c:v>-17424.048101231685</c:v>
                      </c:pt>
                      <c:pt idx="209">
                        <c:v>-17500</c:v>
                      </c:pt>
                      <c:pt idx="210">
                        <c:v>-17575.190374550271</c:v>
                      </c:pt>
                      <c:pt idx="211">
                        <c:v>-17649.596321166024</c:v>
                      </c:pt>
                      <c:pt idx="212">
                        <c:v>-17723.195175075136</c:v>
                      </c:pt>
                      <c:pt idx="213">
                        <c:v>-17795.964517353732</c:v>
                      </c:pt>
                      <c:pt idx="214">
                        <c:v>-17867.882181755231</c:v>
                      </c:pt>
                      <c:pt idx="215">
                        <c:v>-17938.926261462366</c:v>
                      </c:pt>
                      <c:pt idx="216">
                        <c:v>-18009.075115760239</c:v>
                      </c:pt>
                      <c:pt idx="217">
                        <c:v>-18078.307376628291</c:v>
                      </c:pt>
                      <c:pt idx="218">
                        <c:v>-18146.601955249189</c:v>
                      </c:pt>
                      <c:pt idx="219">
                        <c:v>-18213.938048432698</c:v>
                      </c:pt>
                      <c:pt idx="220">
                        <c:v>-18280.295144952535</c:v>
                      </c:pt>
                      <c:pt idx="221">
                        <c:v>-18345.653031794292</c:v>
                      </c:pt>
                      <c:pt idx="222">
                        <c:v>-18409.991800312491</c:v>
                      </c:pt>
                      <c:pt idx="223">
                        <c:v>-18473.291852294988</c:v>
                      </c:pt>
                      <c:pt idx="224">
                        <c:v>-18535.533905932738</c:v>
                      </c:pt>
                      <c:pt idx="225">
                        <c:v>-18596.699001693254</c:v>
                      </c:pt>
                      <c:pt idx="226">
                        <c:v>-18656.768508095851</c:v>
                      </c:pt>
                      <c:pt idx="227">
                        <c:v>-18715.724127386969</c:v>
                      </c:pt>
                      <c:pt idx="228">
                        <c:v>-18773.54790111386</c:v>
                      </c:pt>
                      <c:pt idx="229">
                        <c:v>-18830.222215594891</c:v>
                      </c:pt>
                      <c:pt idx="230">
                        <c:v>-18885.729807284857</c:v>
                      </c:pt>
                      <c:pt idx="231">
                        <c:v>-18940.053768033609</c:v>
                      </c:pt>
                      <c:pt idx="232">
                        <c:v>-18993.177550236465</c:v>
                      </c:pt>
                      <c:pt idx="233">
                        <c:v>-19045.084971874738</c:v>
                      </c:pt>
                      <c:pt idx="234">
                        <c:v>-19095.760221444958</c:v>
                      </c:pt>
                      <c:pt idx="235">
                        <c:v>-19145.187862775208</c:v>
                      </c:pt>
                      <c:pt idx="236">
                        <c:v>-19193.352839727122</c:v>
                      </c:pt>
                      <c:pt idx="237">
                        <c:v>-19240.240480782129</c:v>
                      </c:pt>
                      <c:pt idx="238">
                        <c:v>-19285.83650351056</c:v>
                      </c:pt>
                      <c:pt idx="239">
                        <c:v>-19330.12701892219</c:v>
                      </c:pt>
                      <c:pt idx="240">
                        <c:v>-19373.09853569698</c:v>
                      </c:pt>
                      <c:pt idx="241">
                        <c:v>-19414.737964294636</c:v>
                      </c:pt>
                      <c:pt idx="242">
                        <c:v>-19455.032620941838</c:v>
                      </c:pt>
                      <c:pt idx="243">
                        <c:v>-19493.970231495834</c:v>
                      </c:pt>
                      <c:pt idx="244">
                        <c:v>-19531.538935183249</c:v>
                      </c:pt>
                      <c:pt idx="245">
                        <c:v>-19567.727288213006</c:v>
                      </c:pt>
                      <c:pt idx="246">
                        <c:v>-19602.524267262201</c:v>
                      </c:pt>
                      <c:pt idx="247">
                        <c:v>-19635.919272833937</c:v>
                      </c:pt>
                      <c:pt idx="248">
                        <c:v>-19667.902132486008</c:v>
                      </c:pt>
                      <c:pt idx="249">
                        <c:v>-19698.463103929542</c:v>
                      </c:pt>
                      <c:pt idx="250">
                        <c:v>-19727.592877996583</c:v>
                      </c:pt>
                      <c:pt idx="251">
                        <c:v>-19755.282581475767</c:v>
                      </c:pt>
                      <c:pt idx="252">
                        <c:v>-19781.523779815176</c:v>
                      </c:pt>
                      <c:pt idx="253">
                        <c:v>-19806.308479691594</c:v>
                      </c:pt>
                      <c:pt idx="254">
                        <c:v>-19829.629131445341</c:v>
                      </c:pt>
                      <c:pt idx="255">
                        <c:v>-19851.478631379981</c:v>
                      </c:pt>
                      <c:pt idx="256">
                        <c:v>-19871.850323926177</c:v>
                      </c:pt>
                      <c:pt idx="257">
                        <c:v>-19890.73800366903</c:v>
                      </c:pt>
                      <c:pt idx="258">
                        <c:v>-19908.13591723832</c:v>
                      </c:pt>
                      <c:pt idx="259">
                        <c:v>-19924.038765061039</c:v>
                      </c:pt>
                      <c:pt idx="260">
                        <c:v>-19938.441702975688</c:v>
                      </c:pt>
                      <c:pt idx="261">
                        <c:v>-19951.340343707852</c:v>
                      </c:pt>
                      <c:pt idx="262">
                        <c:v>-19962.73075820661</c:v>
                      </c:pt>
                      <c:pt idx="263">
                        <c:v>-19972.609476841368</c:v>
                      </c:pt>
                      <c:pt idx="264">
                        <c:v>-19980.973490458728</c:v>
                      </c:pt>
                      <c:pt idx="265">
                        <c:v>-19987.820251299119</c:v>
                      </c:pt>
                      <c:pt idx="266">
                        <c:v>-19993.14767377287</c:v>
                      </c:pt>
                      <c:pt idx="267">
                        <c:v>-19996.954135095479</c:v>
                      </c:pt>
                      <c:pt idx="268">
                        <c:v>-19999.238475781956</c:v>
                      </c:pt>
                      <c:pt idx="269">
                        <c:v>-20000</c:v>
                      </c:pt>
                      <c:pt idx="270">
                        <c:v>-19999.238475781956</c:v>
                      </c:pt>
                      <c:pt idx="271">
                        <c:v>-19996.954135095479</c:v>
                      </c:pt>
                      <c:pt idx="272">
                        <c:v>-19993.14767377287</c:v>
                      </c:pt>
                      <c:pt idx="273">
                        <c:v>-19987.820251299123</c:v>
                      </c:pt>
                      <c:pt idx="274">
                        <c:v>-19980.973490458728</c:v>
                      </c:pt>
                      <c:pt idx="275">
                        <c:v>-19972.609476841368</c:v>
                      </c:pt>
                      <c:pt idx="276">
                        <c:v>-19962.73075820661</c:v>
                      </c:pt>
                      <c:pt idx="277">
                        <c:v>-19951.340343707852</c:v>
                      </c:pt>
                      <c:pt idx="278">
                        <c:v>-19938.441702975688</c:v>
                      </c:pt>
                      <c:pt idx="279">
                        <c:v>-19924.038765061043</c:v>
                      </c:pt>
                      <c:pt idx="280">
                        <c:v>-19908.13591723832</c:v>
                      </c:pt>
                      <c:pt idx="281">
                        <c:v>-19890.73800366903</c:v>
                      </c:pt>
                      <c:pt idx="282">
                        <c:v>-19871.850323926177</c:v>
                      </c:pt>
                      <c:pt idx="283">
                        <c:v>-19851.478631379985</c:v>
                      </c:pt>
                      <c:pt idx="284">
                        <c:v>-19829.629131445341</c:v>
                      </c:pt>
                      <c:pt idx="285">
                        <c:v>-19806.308479691594</c:v>
                      </c:pt>
                      <c:pt idx="286">
                        <c:v>-19781.523779815179</c:v>
                      </c:pt>
                      <c:pt idx="287">
                        <c:v>-19755.282581475767</c:v>
                      </c:pt>
                      <c:pt idx="288">
                        <c:v>-19727.592877996583</c:v>
                      </c:pt>
                      <c:pt idx="289">
                        <c:v>-19698.463103929542</c:v>
                      </c:pt>
                      <c:pt idx="290">
                        <c:v>-19667.902132486011</c:v>
                      </c:pt>
                      <c:pt idx="291">
                        <c:v>-19635.919272833937</c:v>
                      </c:pt>
                      <c:pt idx="292">
                        <c:v>-19602.524267262204</c:v>
                      </c:pt>
                      <c:pt idx="293">
                        <c:v>-19567.727288213006</c:v>
                      </c:pt>
                      <c:pt idx="294">
                        <c:v>-19531.538935183249</c:v>
                      </c:pt>
                      <c:pt idx="295">
                        <c:v>-19493.970231495834</c:v>
                      </c:pt>
                      <c:pt idx="296">
                        <c:v>-19455.032620941842</c:v>
                      </c:pt>
                      <c:pt idx="297">
                        <c:v>-19414.737964294636</c:v>
                      </c:pt>
                      <c:pt idx="298">
                        <c:v>-19373.09853569698</c:v>
                      </c:pt>
                      <c:pt idx="299">
                        <c:v>-19330.127018922194</c:v>
                      </c:pt>
                      <c:pt idx="300">
                        <c:v>-19285.83650351056</c:v>
                      </c:pt>
                      <c:pt idx="301">
                        <c:v>-19240.240480782129</c:v>
                      </c:pt>
                      <c:pt idx="302">
                        <c:v>-19193.352839727122</c:v>
                      </c:pt>
                      <c:pt idx="303">
                        <c:v>-19145.187862775208</c:v>
                      </c:pt>
                      <c:pt idx="304">
                        <c:v>-19095.760221444958</c:v>
                      </c:pt>
                      <c:pt idx="305">
                        <c:v>-19045.084971874738</c:v>
                      </c:pt>
                      <c:pt idx="306">
                        <c:v>-18993.177550236465</c:v>
                      </c:pt>
                      <c:pt idx="307">
                        <c:v>-18940.053768033609</c:v>
                      </c:pt>
                      <c:pt idx="308">
                        <c:v>-18885.729807284853</c:v>
                      </c:pt>
                      <c:pt idx="309">
                        <c:v>-18830.222215594891</c:v>
                      </c:pt>
                      <c:pt idx="310">
                        <c:v>-18773.54790111386</c:v>
                      </c:pt>
                      <c:pt idx="311">
                        <c:v>-18715.724127386973</c:v>
                      </c:pt>
                      <c:pt idx="312">
                        <c:v>-18656.768508095854</c:v>
                      </c:pt>
                      <c:pt idx="313">
                        <c:v>-18596.699001693258</c:v>
                      </c:pt>
                      <c:pt idx="314">
                        <c:v>-18535.533905932738</c:v>
                      </c:pt>
                      <c:pt idx="315">
                        <c:v>-18473.291852294988</c:v>
                      </c:pt>
                      <c:pt idx="316">
                        <c:v>-18409.991800312491</c:v>
                      </c:pt>
                      <c:pt idx="317">
                        <c:v>-18345.653031794289</c:v>
                      </c:pt>
                      <c:pt idx="318">
                        <c:v>-18280.295144952535</c:v>
                      </c:pt>
                      <c:pt idx="319">
                        <c:v>-18213.938048432698</c:v>
                      </c:pt>
                      <c:pt idx="320">
                        <c:v>-18146.601955249189</c:v>
                      </c:pt>
                      <c:pt idx="321">
                        <c:v>-18078.307376628294</c:v>
                      </c:pt>
                      <c:pt idx="322">
                        <c:v>-18009.075115760243</c:v>
                      </c:pt>
                      <c:pt idx="323">
                        <c:v>-17938.926261462366</c:v>
                      </c:pt>
                      <c:pt idx="324">
                        <c:v>-17867.882181755231</c:v>
                      </c:pt>
                      <c:pt idx="325">
                        <c:v>-17795.964517353736</c:v>
                      </c:pt>
                      <c:pt idx="326">
                        <c:v>-17723.195175075136</c:v>
                      </c:pt>
                      <c:pt idx="327">
                        <c:v>-17649.596321166027</c:v>
                      </c:pt>
                      <c:pt idx="328">
                        <c:v>-17575.190374550271</c:v>
                      </c:pt>
                      <c:pt idx="329">
                        <c:v>-17500.000000000004</c:v>
                      </c:pt>
                      <c:pt idx="330">
                        <c:v>-17424.048101231685</c:v>
                      </c:pt>
                      <c:pt idx="331">
                        <c:v>-17347.357813929455</c:v>
                      </c:pt>
                      <c:pt idx="332">
                        <c:v>-17269.952498697734</c:v>
                      </c:pt>
                      <c:pt idx="333">
                        <c:v>-17191.855733945384</c:v>
                      </c:pt>
                      <c:pt idx="334">
                        <c:v>-17113.091308703501</c:v>
                      </c:pt>
                      <c:pt idx="335">
                        <c:v>-17033.683215379002</c:v>
                      </c:pt>
                      <c:pt idx="336">
                        <c:v>-16953.655642446374</c:v>
                      </c:pt>
                      <c:pt idx="337">
                        <c:v>-16873.032967079562</c:v>
                      </c:pt>
                      <c:pt idx="338">
                        <c:v>-16791.839747726503</c:v>
                      </c:pt>
                      <c:pt idx="339">
                        <c:v>-16710.100716628342</c:v>
                      </c:pt>
                      <c:pt idx="340">
                        <c:v>-16627.840772285788</c:v>
                      </c:pt>
                      <c:pt idx="341">
                        <c:v>-16545.084971874738</c:v>
                      </c:pt>
                      <c:pt idx="342">
                        <c:v>-16461.858523613682</c:v>
                      </c:pt>
                      <c:pt idx="343">
                        <c:v>-16378.186779084999</c:v>
                      </c:pt>
                      <c:pt idx="344">
                        <c:v>-16294.095225512603</c:v>
                      </c:pt>
                      <c:pt idx="345">
                        <c:v>-16209.60947799834</c:v>
                      </c:pt>
                      <c:pt idx="346">
                        <c:v>-16124.755271719327</c:v>
                      </c:pt>
                      <c:pt idx="347">
                        <c:v>-16039.558454088799</c:v>
                      </c:pt>
                      <c:pt idx="348">
                        <c:v>-15954.044976882724</c:v>
                      </c:pt>
                      <c:pt idx="349">
                        <c:v>-15868.240888334656</c:v>
                      </c:pt>
                      <c:pt idx="350">
                        <c:v>-15782.172325201156</c:v>
                      </c:pt>
                      <c:pt idx="351">
                        <c:v>-15695.865504800329</c:v>
                      </c:pt>
                      <c:pt idx="352">
                        <c:v>-15609.346717025741</c:v>
                      </c:pt>
                      <c:pt idx="353">
                        <c:v>-15522.642316338268</c:v>
                      </c:pt>
                      <c:pt idx="354">
                        <c:v>-15435.778713738291</c:v>
                      </c:pt>
                      <c:pt idx="355">
                        <c:v>-15348.782368720624</c:v>
                      </c:pt>
                      <c:pt idx="356">
                        <c:v>-15261.679781214722</c:v>
                      </c:pt>
                      <c:pt idx="357">
                        <c:v>-15174.497483512505</c:v>
                      </c:pt>
                      <c:pt idx="358">
                        <c:v>-15087.262032186421</c:v>
                      </c:pt>
                      <c:pt idx="359">
                        <c:v>-15000.000000000002</c:v>
                      </c:pt>
                      <c:pt idx="360">
                        <c:v>-14912.737967813584</c:v>
                      </c:pt>
                      <c:pt idx="361">
                        <c:v>-14825.502516487499</c:v>
                      </c:pt>
                      <c:pt idx="362">
                        <c:v>-14738.32021878528</c:v>
                      </c:pt>
                      <c:pt idx="363">
                        <c:v>-14651.217631279374</c:v>
                      </c:pt>
                      <c:pt idx="364">
                        <c:v>-14564.221286261707</c:v>
                      </c:pt>
                      <c:pt idx="365">
                        <c:v>-14477.357683661736</c:v>
                      </c:pt>
                      <c:pt idx="366">
                        <c:v>-14390.653282974261</c:v>
                      </c:pt>
                      <c:pt idx="367">
                        <c:v>-14304.134495199678</c:v>
                      </c:pt>
                      <c:pt idx="368">
                        <c:v>-14217.827674798848</c:v>
                      </c:pt>
                      <c:pt idx="369">
                        <c:v>-14131.759111665351</c:v>
                      </c:pt>
                      <c:pt idx="370">
                        <c:v>-14045.955023117274</c:v>
                      </c:pt>
                      <c:pt idx="371">
                        <c:v>-13960.441545911208</c:v>
                      </c:pt>
                      <c:pt idx="372">
                        <c:v>-13875.244728280675</c:v>
                      </c:pt>
                      <c:pt idx="373">
                        <c:v>-13790.390522001659</c:v>
                      </c:pt>
                      <c:pt idx="374">
                        <c:v>-13705.904774487399</c:v>
                      </c:pt>
                      <c:pt idx="375">
                        <c:v>-13621.813220915003</c:v>
                      </c:pt>
                      <c:pt idx="376">
                        <c:v>-13538.141476386318</c:v>
                      </c:pt>
                      <c:pt idx="377">
                        <c:v>-13454.915028125264</c:v>
                      </c:pt>
                      <c:pt idx="378">
                        <c:v>-13372.159227714219</c:v>
                      </c:pt>
                      <c:pt idx="379">
                        <c:v>-13289.899283371655</c:v>
                      </c:pt>
                      <c:pt idx="380">
                        <c:v>-13208.160252273503</c:v>
                      </c:pt>
                      <c:pt idx="381">
                        <c:v>-13126.96703292044</c:v>
                      </c:pt>
                      <c:pt idx="382">
                        <c:v>-13046.344357553637</c:v>
                      </c:pt>
                      <c:pt idx="383">
                        <c:v>-12966.316784621002</c:v>
                      </c:pt>
                      <c:pt idx="384">
                        <c:v>-12886.908691296503</c:v>
                      </c:pt>
                      <c:pt idx="385">
                        <c:v>-12808.144266054613</c:v>
                      </c:pt>
                      <c:pt idx="386">
                        <c:v>-12730.047501302262</c:v>
                      </c:pt>
                      <c:pt idx="387">
                        <c:v>-12652.642186070549</c:v>
                      </c:pt>
                      <c:pt idx="388">
                        <c:v>-12575.951898768315</c:v>
                      </c:pt>
                      <c:pt idx="389">
                        <c:v>-12500.000000000004</c:v>
                      </c:pt>
                      <c:pt idx="390">
                        <c:v>-12424.80962544973</c:v>
                      </c:pt>
                      <c:pt idx="391">
                        <c:v>-12350.403678833976</c:v>
                      </c:pt>
                      <c:pt idx="392">
                        <c:v>-12276.804824924868</c:v>
                      </c:pt>
                      <c:pt idx="393">
                        <c:v>-12204.035482646268</c:v>
                      </c:pt>
                      <c:pt idx="394">
                        <c:v>-12132.117818244769</c:v>
                      </c:pt>
                      <c:pt idx="395">
                        <c:v>-12061.073738537632</c:v>
                      </c:pt>
                      <c:pt idx="396">
                        <c:v>-11990.924884239761</c:v>
                      </c:pt>
                      <c:pt idx="397">
                        <c:v>-11921.692623371708</c:v>
                      </c:pt>
                      <c:pt idx="398">
                        <c:v>-11853.398044750815</c:v>
                      </c:pt>
                      <c:pt idx="399">
                        <c:v>-11786.061951567304</c:v>
                      </c:pt>
                      <c:pt idx="400">
                        <c:v>-11719.704855047465</c:v>
                      </c:pt>
                      <c:pt idx="401">
                        <c:v>-11654.346968205708</c:v>
                      </c:pt>
                      <c:pt idx="402">
                        <c:v>-11590.008199687511</c:v>
                      </c:pt>
                      <c:pt idx="403">
                        <c:v>-11526.708147705014</c:v>
                      </c:pt>
                      <c:pt idx="404">
                        <c:v>-11464.466094067266</c:v>
                      </c:pt>
                      <c:pt idx="405">
                        <c:v>-11403.300998306746</c:v>
                      </c:pt>
                      <c:pt idx="406">
                        <c:v>-11343.231491904146</c:v>
                      </c:pt>
                      <c:pt idx="407">
                        <c:v>-11284.275872613031</c:v>
                      </c:pt>
                      <c:pt idx="408">
                        <c:v>-11226.45209888614</c:v>
                      </c:pt>
                      <c:pt idx="409">
                        <c:v>-11169.777784405111</c:v>
                      </c:pt>
                      <c:pt idx="410">
                        <c:v>-11114.270192715145</c:v>
                      </c:pt>
                      <c:pt idx="411">
                        <c:v>-11059.946231966393</c:v>
                      </c:pt>
                      <c:pt idx="412">
                        <c:v>-11006.822449763536</c:v>
                      </c:pt>
                      <c:pt idx="413">
                        <c:v>-10954.915028125266</c:v>
                      </c:pt>
                      <c:pt idx="414">
                        <c:v>-10904.239778555042</c:v>
                      </c:pt>
                      <c:pt idx="415">
                        <c:v>-10854.812137224792</c:v>
                      </c:pt>
                      <c:pt idx="416">
                        <c:v>-10806.64716027288</c:v>
                      </c:pt>
                      <c:pt idx="417">
                        <c:v>-10759.759519217871</c:v>
                      </c:pt>
                      <c:pt idx="418">
                        <c:v>-10714.16349648944</c:v>
                      </c:pt>
                      <c:pt idx="419">
                        <c:v>-10669.872981077806</c:v>
                      </c:pt>
                      <c:pt idx="420">
                        <c:v>-10626.901464303024</c:v>
                      </c:pt>
                      <c:pt idx="421">
                        <c:v>-10585.262035705366</c:v>
                      </c:pt>
                      <c:pt idx="422">
                        <c:v>-10544.967379058162</c:v>
                      </c:pt>
                      <c:pt idx="423">
                        <c:v>-10506.029768504166</c:v>
                      </c:pt>
                      <c:pt idx="424">
                        <c:v>-10468.461064816751</c:v>
                      </c:pt>
                      <c:pt idx="425">
                        <c:v>-10432.272711786994</c:v>
                      </c:pt>
                      <c:pt idx="426">
                        <c:v>-10397.475732737797</c:v>
                      </c:pt>
                      <c:pt idx="427">
                        <c:v>-10364.080727166063</c:v>
                      </c:pt>
                      <c:pt idx="428">
                        <c:v>-10332.09786751399</c:v>
                      </c:pt>
                      <c:pt idx="429">
                        <c:v>-10301.536896070458</c:v>
                      </c:pt>
                      <c:pt idx="430">
                        <c:v>-10272.407122003417</c:v>
                      </c:pt>
                      <c:pt idx="431">
                        <c:v>-10244.717418524233</c:v>
                      </c:pt>
                      <c:pt idx="432">
                        <c:v>-10218.476220184823</c:v>
                      </c:pt>
                      <c:pt idx="433">
                        <c:v>-10193.691520308406</c:v>
                      </c:pt>
                      <c:pt idx="434">
                        <c:v>-10170.370868554659</c:v>
                      </c:pt>
                      <c:pt idx="435">
                        <c:v>-10148.521368620019</c:v>
                      </c:pt>
                      <c:pt idx="436">
                        <c:v>-10128.149676073825</c:v>
                      </c:pt>
                      <c:pt idx="437">
                        <c:v>-10109.261996330972</c:v>
                      </c:pt>
                      <c:pt idx="438">
                        <c:v>-10091.86408276168</c:v>
                      </c:pt>
                      <c:pt idx="439">
                        <c:v>-10075.961234938961</c:v>
                      </c:pt>
                      <c:pt idx="440">
                        <c:v>-10061.558297024312</c:v>
                      </c:pt>
                      <c:pt idx="441">
                        <c:v>-10048.659656292148</c:v>
                      </c:pt>
                      <c:pt idx="442">
                        <c:v>-10037.26924179339</c:v>
                      </c:pt>
                      <c:pt idx="443">
                        <c:v>-10027.390523158632</c:v>
                      </c:pt>
                      <c:pt idx="444">
                        <c:v>-10019.026509541272</c:v>
                      </c:pt>
                      <c:pt idx="445">
                        <c:v>-10012.179748700879</c:v>
                      </c:pt>
                      <c:pt idx="446">
                        <c:v>-10006.85232622713</c:v>
                      </c:pt>
                      <c:pt idx="447">
                        <c:v>-10003.045864904521</c:v>
                      </c:pt>
                      <c:pt idx="448">
                        <c:v>-10000.761524218044</c:v>
                      </c:pt>
                      <c:pt idx="449">
                        <c:v>-10000</c:v>
                      </c:pt>
                      <c:pt idx="450">
                        <c:v>-10000.761524218044</c:v>
                      </c:pt>
                      <c:pt idx="451">
                        <c:v>-10003.045864904521</c:v>
                      </c:pt>
                      <c:pt idx="452">
                        <c:v>-10006.85232622713</c:v>
                      </c:pt>
                      <c:pt idx="453">
                        <c:v>-10012.179748700877</c:v>
                      </c:pt>
                      <c:pt idx="454">
                        <c:v>-10019.026509541272</c:v>
                      </c:pt>
                      <c:pt idx="455">
                        <c:v>-10027.390523158632</c:v>
                      </c:pt>
                      <c:pt idx="456">
                        <c:v>-10037.26924179339</c:v>
                      </c:pt>
                      <c:pt idx="457">
                        <c:v>-10048.659656292148</c:v>
                      </c:pt>
                      <c:pt idx="458">
                        <c:v>-10061.55829702431</c:v>
                      </c:pt>
                      <c:pt idx="459">
                        <c:v>-10075.961234938959</c:v>
                      </c:pt>
                      <c:pt idx="460">
                        <c:v>-10091.86408276168</c:v>
                      </c:pt>
                      <c:pt idx="461">
                        <c:v>-10109.261996330973</c:v>
                      </c:pt>
                      <c:pt idx="462">
                        <c:v>-10128.149676073823</c:v>
                      </c:pt>
                      <c:pt idx="463">
                        <c:v>-10148.521368620019</c:v>
                      </c:pt>
                      <c:pt idx="464">
                        <c:v>-10170.370868554659</c:v>
                      </c:pt>
                      <c:pt idx="465">
                        <c:v>-10193.691520308406</c:v>
                      </c:pt>
                      <c:pt idx="466">
                        <c:v>-10218.476220184821</c:v>
                      </c:pt>
                      <c:pt idx="467">
                        <c:v>-10244.717418524233</c:v>
                      </c:pt>
                      <c:pt idx="468">
                        <c:v>-10272.407122003413</c:v>
                      </c:pt>
                      <c:pt idx="469">
                        <c:v>-10301.536896070456</c:v>
                      </c:pt>
                      <c:pt idx="470">
                        <c:v>-10332.097867513992</c:v>
                      </c:pt>
                      <c:pt idx="471">
                        <c:v>-10364.08072716606</c:v>
                      </c:pt>
                      <c:pt idx="472">
                        <c:v>-10397.475732737797</c:v>
                      </c:pt>
                      <c:pt idx="473">
                        <c:v>-10432.272711786996</c:v>
                      </c:pt>
                      <c:pt idx="474">
                        <c:v>-10468.461064816749</c:v>
                      </c:pt>
                      <c:pt idx="475">
                        <c:v>-10506.029768504166</c:v>
                      </c:pt>
                      <c:pt idx="476">
                        <c:v>-10544.967379058162</c:v>
                      </c:pt>
                      <c:pt idx="477">
                        <c:v>-10585.262035705364</c:v>
                      </c:pt>
                      <c:pt idx="478">
                        <c:v>-10626.90146430302</c:v>
                      </c:pt>
                      <c:pt idx="479">
                        <c:v>-10669.872981077804</c:v>
                      </c:pt>
                      <c:pt idx="480">
                        <c:v>-10714.163496489437</c:v>
                      </c:pt>
                      <c:pt idx="481">
                        <c:v>-10759.759519217871</c:v>
                      </c:pt>
                      <c:pt idx="482">
                        <c:v>-10806.647160272878</c:v>
                      </c:pt>
                      <c:pt idx="483">
                        <c:v>-10854.812137224792</c:v>
                      </c:pt>
                      <c:pt idx="484">
                        <c:v>-10904.239778555038</c:v>
                      </c:pt>
                      <c:pt idx="485">
                        <c:v>-10954.915028125262</c:v>
                      </c:pt>
                      <c:pt idx="486">
                        <c:v>-11006.822449763531</c:v>
                      </c:pt>
                      <c:pt idx="487">
                        <c:v>-11059.946231966387</c:v>
                      </c:pt>
                      <c:pt idx="488">
                        <c:v>-11114.270192715147</c:v>
                      </c:pt>
                      <c:pt idx="489">
                        <c:v>-11169.777784405105</c:v>
                      </c:pt>
                      <c:pt idx="490">
                        <c:v>-11226.452098886139</c:v>
                      </c:pt>
                      <c:pt idx="491">
                        <c:v>-11284.275872613031</c:v>
                      </c:pt>
                      <c:pt idx="492">
                        <c:v>-11343.231491904151</c:v>
                      </c:pt>
                      <c:pt idx="493">
                        <c:v>-11403.300998306744</c:v>
                      </c:pt>
                      <c:pt idx="494">
                        <c:v>-11464.466094067264</c:v>
                      </c:pt>
                      <c:pt idx="495">
                        <c:v>-11526.708147705012</c:v>
                      </c:pt>
                      <c:pt idx="496">
                        <c:v>-11590.008199687509</c:v>
                      </c:pt>
                      <c:pt idx="497">
                        <c:v>-11654.346968205706</c:v>
                      </c:pt>
                      <c:pt idx="498">
                        <c:v>-11719.704855047463</c:v>
                      </c:pt>
                      <c:pt idx="499">
                        <c:v>-11786.061951567299</c:v>
                      </c:pt>
                      <c:pt idx="500">
                        <c:v>-11853.398044750811</c:v>
                      </c:pt>
                      <c:pt idx="501">
                        <c:v>-11921.692623371709</c:v>
                      </c:pt>
                      <c:pt idx="502">
                        <c:v>-11990.924884239754</c:v>
                      </c:pt>
                      <c:pt idx="503">
                        <c:v>-12061.073738537634</c:v>
                      </c:pt>
                      <c:pt idx="504">
                        <c:v>-12132.117818244764</c:v>
                      </c:pt>
                      <c:pt idx="505">
                        <c:v>-12204.035482646263</c:v>
                      </c:pt>
                      <c:pt idx="506">
                        <c:v>-12276.804824924864</c:v>
                      </c:pt>
                      <c:pt idx="507">
                        <c:v>-12350.403678833978</c:v>
                      </c:pt>
                      <c:pt idx="508">
                        <c:v>-12424.809625449727</c:v>
                      </c:pt>
                      <c:pt idx="509">
                        <c:v>-12500</c:v>
                      </c:pt>
                      <c:pt idx="510">
                        <c:v>-12575.951898768311</c:v>
                      </c:pt>
                      <c:pt idx="511">
                        <c:v>-12652.642186070545</c:v>
                      </c:pt>
                      <c:pt idx="512">
                        <c:v>-12730.047501302268</c:v>
                      </c:pt>
                      <c:pt idx="513">
                        <c:v>-12808.144266054611</c:v>
                      </c:pt>
                      <c:pt idx="514">
                        <c:v>-12886.908691296503</c:v>
                      </c:pt>
                      <c:pt idx="515">
                        <c:v>-12966.316784620994</c:v>
                      </c:pt>
                      <c:pt idx="516">
                        <c:v>-13046.344357553629</c:v>
                      </c:pt>
                      <c:pt idx="517">
                        <c:v>-13126.967032920433</c:v>
                      </c:pt>
                      <c:pt idx="518">
                        <c:v>-13208.160252273496</c:v>
                      </c:pt>
                      <c:pt idx="519">
                        <c:v>-13289.899283371657</c:v>
                      </c:pt>
                      <c:pt idx="520">
                        <c:v>-13372.159227714212</c:v>
                      </c:pt>
                      <c:pt idx="521">
                        <c:v>-13454.915028125261</c:v>
                      </c:pt>
                      <c:pt idx="522">
                        <c:v>-13538.141476386318</c:v>
                      </c:pt>
                      <c:pt idx="523">
                        <c:v>-13621.81322091501</c:v>
                      </c:pt>
                      <c:pt idx="524">
                        <c:v>-13705.904774487397</c:v>
                      </c:pt>
                      <c:pt idx="525">
                        <c:v>-13790.390522001664</c:v>
                      </c:pt>
                      <c:pt idx="526">
                        <c:v>-13875.244728280673</c:v>
                      </c:pt>
                      <c:pt idx="527">
                        <c:v>-13960.441545911204</c:v>
                      </c:pt>
                      <c:pt idx="528">
                        <c:v>-14045.955023117273</c:v>
                      </c:pt>
                      <c:pt idx="529">
                        <c:v>-14131.759111665348</c:v>
                      </c:pt>
                      <c:pt idx="530">
                        <c:v>-14217.82767479884</c:v>
                      </c:pt>
                      <c:pt idx="531">
                        <c:v>-14304.134495199671</c:v>
                      </c:pt>
                      <c:pt idx="532">
                        <c:v>-14390.653282974254</c:v>
                      </c:pt>
                      <c:pt idx="533">
                        <c:v>-14477.357683661729</c:v>
                      </c:pt>
                      <c:pt idx="534">
                        <c:v>-14564.221286261707</c:v>
                      </c:pt>
                      <c:pt idx="535">
                        <c:v>-14651.217631279367</c:v>
                      </c:pt>
                      <c:pt idx="536">
                        <c:v>-14738.320218785277</c:v>
                      </c:pt>
                      <c:pt idx="537">
                        <c:v>-14825.502516487495</c:v>
                      </c:pt>
                      <c:pt idx="538">
                        <c:v>-14912.737967813586</c:v>
                      </c:pt>
                      <c:pt idx="539">
                        <c:v>-14999.999999999998</c:v>
                      </c:pt>
                      <c:pt idx="540">
                        <c:v>-15087.26203218642</c:v>
                      </c:pt>
                      <c:pt idx="541">
                        <c:v>-15174.497483512501</c:v>
                      </c:pt>
                      <c:pt idx="542">
                        <c:v>-15261.67978121472</c:v>
                      </c:pt>
                      <c:pt idx="543">
                        <c:v>-15348.782368720629</c:v>
                      </c:pt>
                      <c:pt idx="544">
                        <c:v>-15435.778713738289</c:v>
                      </c:pt>
                      <c:pt idx="545">
                        <c:v>-15522.642316338268</c:v>
                      </c:pt>
                      <c:pt idx="546">
                        <c:v>-15609.346717025734</c:v>
                      </c:pt>
                      <c:pt idx="547">
                        <c:v>-15695.865504800326</c:v>
                      </c:pt>
                      <c:pt idx="548">
                        <c:v>-15782.172325201149</c:v>
                      </c:pt>
                      <c:pt idx="549">
                        <c:v>-15868.240888334649</c:v>
                      </c:pt>
                      <c:pt idx="550">
                        <c:v>-15954.044976882717</c:v>
                      </c:pt>
                      <c:pt idx="551">
                        <c:v>-16039.558454088792</c:v>
                      </c:pt>
                      <c:pt idx="552">
                        <c:v>-16124.755271719323</c:v>
                      </c:pt>
                      <c:pt idx="553">
                        <c:v>-16209.60947799834</c:v>
                      </c:pt>
                      <c:pt idx="554">
                        <c:v>-16294.095225512609</c:v>
                      </c:pt>
                      <c:pt idx="555">
                        <c:v>-16378.186779084996</c:v>
                      </c:pt>
                      <c:pt idx="556">
                        <c:v>-16461.858523613686</c:v>
                      </c:pt>
                      <c:pt idx="557">
                        <c:v>-16545.084971874734</c:v>
                      </c:pt>
                      <c:pt idx="558">
                        <c:v>-16627.840772285785</c:v>
                      </c:pt>
                      <c:pt idx="559">
                        <c:v>-16710.100716628342</c:v>
                      </c:pt>
                      <c:pt idx="560">
                        <c:v>-16791.839747726503</c:v>
                      </c:pt>
                      <c:pt idx="561">
                        <c:v>-16873.032967079555</c:v>
                      </c:pt>
                      <c:pt idx="562">
                        <c:v>-16953.655642446367</c:v>
                      </c:pt>
                      <c:pt idx="563">
                        <c:v>-17033.683215378995</c:v>
                      </c:pt>
                      <c:pt idx="564">
                        <c:v>-17113.091308703493</c:v>
                      </c:pt>
                      <c:pt idx="565">
                        <c:v>-17191.855733945387</c:v>
                      </c:pt>
                      <c:pt idx="566">
                        <c:v>-17269.952498697727</c:v>
                      </c:pt>
                      <c:pt idx="567">
                        <c:v>-17347.357813929451</c:v>
                      </c:pt>
                      <c:pt idx="568">
                        <c:v>-17424.048101231685</c:v>
                      </c:pt>
                      <c:pt idx="569">
                        <c:v>-17500.000000000004</c:v>
                      </c:pt>
                      <c:pt idx="570">
                        <c:v>-17575.190374550271</c:v>
                      </c:pt>
                      <c:pt idx="571">
                        <c:v>-17649.596321166027</c:v>
                      </c:pt>
                      <c:pt idx="572">
                        <c:v>-17723.195175075132</c:v>
                      </c:pt>
                      <c:pt idx="573">
                        <c:v>-17795.964517353736</c:v>
                      </c:pt>
                      <c:pt idx="574">
                        <c:v>-17867.882181755227</c:v>
                      </c:pt>
                      <c:pt idx="575">
                        <c:v>-17938.926261462366</c:v>
                      </c:pt>
                      <c:pt idx="576">
                        <c:v>-18009.075115760243</c:v>
                      </c:pt>
                      <c:pt idx="577">
                        <c:v>-18078.307376628287</c:v>
                      </c:pt>
                      <c:pt idx="578">
                        <c:v>-18146.601955249185</c:v>
                      </c:pt>
                      <c:pt idx="579">
                        <c:v>-18213.93804843269</c:v>
                      </c:pt>
                      <c:pt idx="580">
                        <c:v>-18280.295144952535</c:v>
                      </c:pt>
                      <c:pt idx="581">
                        <c:v>-18345.653031794285</c:v>
                      </c:pt>
                      <c:pt idx="582">
                        <c:v>-18409.991800312488</c:v>
                      </c:pt>
                      <c:pt idx="583">
                        <c:v>-18473.291852294984</c:v>
                      </c:pt>
                      <c:pt idx="584">
                        <c:v>-18535.533905932738</c:v>
                      </c:pt>
                      <c:pt idx="585">
                        <c:v>-18596.699001693254</c:v>
                      </c:pt>
                      <c:pt idx="586">
                        <c:v>-18656.768508095854</c:v>
                      </c:pt>
                      <c:pt idx="587">
                        <c:v>-18715.724127386973</c:v>
                      </c:pt>
                      <c:pt idx="588">
                        <c:v>-18773.54790111386</c:v>
                      </c:pt>
                      <c:pt idx="589">
                        <c:v>-18830.222215594891</c:v>
                      </c:pt>
                      <c:pt idx="590">
                        <c:v>-18885.729807284853</c:v>
                      </c:pt>
                      <c:pt idx="591">
                        <c:v>-18940.053768033609</c:v>
                      </c:pt>
                      <c:pt idx="592">
                        <c:v>-18993.177550236462</c:v>
                      </c:pt>
                      <c:pt idx="593">
                        <c:v>-19045.084971874738</c:v>
                      </c:pt>
                      <c:pt idx="594">
                        <c:v>-19095.760221444954</c:v>
                      </c:pt>
                      <c:pt idx="595">
                        <c:v>-19145.187862775208</c:v>
                      </c:pt>
                      <c:pt idx="596">
                        <c:v>-19193.352839727115</c:v>
                      </c:pt>
                      <c:pt idx="597">
                        <c:v>-19240.240480782126</c:v>
                      </c:pt>
                      <c:pt idx="598">
                        <c:v>-19285.83650351056</c:v>
                      </c:pt>
                      <c:pt idx="599">
                        <c:v>-19330.127018922194</c:v>
                      </c:pt>
                      <c:pt idx="600">
                        <c:v>-19373.098535696983</c:v>
                      </c:pt>
                      <c:pt idx="601">
                        <c:v>-19414.737964294633</c:v>
                      </c:pt>
                      <c:pt idx="602">
                        <c:v>-19455.032620941842</c:v>
                      </c:pt>
                      <c:pt idx="603">
                        <c:v>-19493.970231495834</c:v>
                      </c:pt>
                      <c:pt idx="604">
                        <c:v>-19531.538935183249</c:v>
                      </c:pt>
                      <c:pt idx="605">
                        <c:v>-19567.727288213002</c:v>
                      </c:pt>
                      <c:pt idx="606">
                        <c:v>-19602.524267262201</c:v>
                      </c:pt>
                      <c:pt idx="607">
                        <c:v>-19635.919272833933</c:v>
                      </c:pt>
                      <c:pt idx="608">
                        <c:v>-19667.902132486008</c:v>
                      </c:pt>
                      <c:pt idx="609">
                        <c:v>-19698.463103929542</c:v>
                      </c:pt>
                      <c:pt idx="610">
                        <c:v>-19727.592877996583</c:v>
                      </c:pt>
                      <c:pt idx="611">
                        <c:v>-19755.282581475767</c:v>
                      </c:pt>
                      <c:pt idx="612">
                        <c:v>-19781.523779815176</c:v>
                      </c:pt>
                      <c:pt idx="613">
                        <c:v>-19806.308479691594</c:v>
                      </c:pt>
                      <c:pt idx="614">
                        <c:v>-19829.629131445341</c:v>
                      </c:pt>
                      <c:pt idx="615">
                        <c:v>-19851.478631379985</c:v>
                      </c:pt>
                      <c:pt idx="616">
                        <c:v>-19871.850323926177</c:v>
                      </c:pt>
                      <c:pt idx="617">
                        <c:v>-19890.73800366903</c:v>
                      </c:pt>
                      <c:pt idx="618">
                        <c:v>-19908.13591723832</c:v>
                      </c:pt>
                      <c:pt idx="619">
                        <c:v>-19924.038765061039</c:v>
                      </c:pt>
                      <c:pt idx="620">
                        <c:v>-19938.441702975688</c:v>
                      </c:pt>
                      <c:pt idx="621">
                        <c:v>-19951.340343707852</c:v>
                      </c:pt>
                      <c:pt idx="622">
                        <c:v>-19962.73075820661</c:v>
                      </c:pt>
                      <c:pt idx="623">
                        <c:v>-19972.609476841368</c:v>
                      </c:pt>
                      <c:pt idx="624">
                        <c:v>-19980.973490458728</c:v>
                      </c:pt>
                      <c:pt idx="625">
                        <c:v>-19987.820251299119</c:v>
                      </c:pt>
                      <c:pt idx="626">
                        <c:v>-19993.14767377287</c:v>
                      </c:pt>
                      <c:pt idx="627">
                        <c:v>-19996.954135095479</c:v>
                      </c:pt>
                      <c:pt idx="628">
                        <c:v>-19999.238475781956</c:v>
                      </c:pt>
                      <c:pt idx="629">
                        <c:v>-20000</c:v>
                      </c:pt>
                      <c:pt idx="630">
                        <c:v>-19999.238475781956</c:v>
                      </c:pt>
                      <c:pt idx="631">
                        <c:v>-19996.954135095479</c:v>
                      </c:pt>
                      <c:pt idx="632">
                        <c:v>-19993.14767377287</c:v>
                      </c:pt>
                      <c:pt idx="633">
                        <c:v>-19987.820251299119</c:v>
                      </c:pt>
                      <c:pt idx="634">
                        <c:v>-19980.973490458728</c:v>
                      </c:pt>
                      <c:pt idx="635">
                        <c:v>-19972.609476841368</c:v>
                      </c:pt>
                      <c:pt idx="636">
                        <c:v>-19962.73075820661</c:v>
                      </c:pt>
                      <c:pt idx="637">
                        <c:v>-19951.340343707852</c:v>
                      </c:pt>
                      <c:pt idx="638">
                        <c:v>-19938.441702975688</c:v>
                      </c:pt>
                      <c:pt idx="639">
                        <c:v>-19924.038765061043</c:v>
                      </c:pt>
                      <c:pt idx="640">
                        <c:v>-19908.13591723832</c:v>
                      </c:pt>
                      <c:pt idx="641">
                        <c:v>-19890.73800366903</c:v>
                      </c:pt>
                      <c:pt idx="642">
                        <c:v>-19871.850323926177</c:v>
                      </c:pt>
                      <c:pt idx="643">
                        <c:v>-19851.478631379985</c:v>
                      </c:pt>
                      <c:pt idx="644">
                        <c:v>-19829.629131445341</c:v>
                      </c:pt>
                      <c:pt idx="645">
                        <c:v>-19806.308479691594</c:v>
                      </c:pt>
                      <c:pt idx="646">
                        <c:v>-19781.523779815176</c:v>
                      </c:pt>
                      <c:pt idx="647">
                        <c:v>-19755.282581475767</c:v>
                      </c:pt>
                      <c:pt idx="648">
                        <c:v>-19727.592877996583</c:v>
                      </c:pt>
                      <c:pt idx="649">
                        <c:v>-19698.463103929542</c:v>
                      </c:pt>
                      <c:pt idx="650">
                        <c:v>-19667.902132486008</c:v>
                      </c:pt>
                      <c:pt idx="651">
                        <c:v>-19635.91927283394</c:v>
                      </c:pt>
                      <c:pt idx="652">
                        <c:v>-19602.524267262197</c:v>
                      </c:pt>
                      <c:pt idx="653">
                        <c:v>-19567.727288213006</c:v>
                      </c:pt>
                      <c:pt idx="654">
                        <c:v>-19531.538935183253</c:v>
                      </c:pt>
                      <c:pt idx="655">
                        <c:v>-19493.970231495841</c:v>
                      </c:pt>
                      <c:pt idx="656">
                        <c:v>-19455.032620941838</c:v>
                      </c:pt>
                      <c:pt idx="657">
                        <c:v>-19414.737964294636</c:v>
                      </c:pt>
                      <c:pt idx="658">
                        <c:v>-19373.098535696983</c:v>
                      </c:pt>
                      <c:pt idx="659">
                        <c:v>-19330.127018922198</c:v>
                      </c:pt>
                      <c:pt idx="660">
                        <c:v>-19285.836503510563</c:v>
                      </c:pt>
                      <c:pt idx="661">
                        <c:v>-19240.240480782129</c:v>
                      </c:pt>
                      <c:pt idx="662">
                        <c:v>-19193.352839727122</c:v>
                      </c:pt>
                      <c:pt idx="663">
                        <c:v>-19145.187862775208</c:v>
                      </c:pt>
                      <c:pt idx="664">
                        <c:v>-19095.760221444958</c:v>
                      </c:pt>
                      <c:pt idx="665">
                        <c:v>-19045.084971874738</c:v>
                      </c:pt>
                      <c:pt idx="666">
                        <c:v>-18993.177550236469</c:v>
                      </c:pt>
                      <c:pt idx="667">
                        <c:v>-18940.053768033606</c:v>
                      </c:pt>
                      <c:pt idx="668">
                        <c:v>-18885.729807284857</c:v>
                      </c:pt>
                      <c:pt idx="669">
                        <c:v>-18830.222215594895</c:v>
                      </c:pt>
                      <c:pt idx="670">
                        <c:v>-18773.547901113867</c:v>
                      </c:pt>
                      <c:pt idx="671">
                        <c:v>-18715.724127386969</c:v>
                      </c:pt>
                      <c:pt idx="672">
                        <c:v>-18656.768508095854</c:v>
                      </c:pt>
                      <c:pt idx="673">
                        <c:v>-18596.699001693261</c:v>
                      </c:pt>
                      <c:pt idx="674">
                        <c:v>-18535.533905932738</c:v>
                      </c:pt>
                      <c:pt idx="675">
                        <c:v>-18473.291852294988</c:v>
                      </c:pt>
                      <c:pt idx="676">
                        <c:v>-18409.991800312491</c:v>
                      </c:pt>
                      <c:pt idx="677">
                        <c:v>-18345.653031794296</c:v>
                      </c:pt>
                      <c:pt idx="678">
                        <c:v>-18280.295144952539</c:v>
                      </c:pt>
                      <c:pt idx="679">
                        <c:v>-18213.938048432694</c:v>
                      </c:pt>
                      <c:pt idx="680">
                        <c:v>-18146.601955249189</c:v>
                      </c:pt>
                      <c:pt idx="681">
                        <c:v>-18078.307376628298</c:v>
                      </c:pt>
                      <c:pt idx="682">
                        <c:v>-18009.075115760239</c:v>
                      </c:pt>
                      <c:pt idx="683">
                        <c:v>-17938.926261462366</c:v>
                      </c:pt>
                      <c:pt idx="684">
                        <c:v>-17867.882181755238</c:v>
                      </c:pt>
                      <c:pt idx="685">
                        <c:v>-17795.964517353728</c:v>
                      </c:pt>
                      <c:pt idx="686">
                        <c:v>-17723.195175075136</c:v>
                      </c:pt>
                      <c:pt idx="687">
                        <c:v>-17649.596321166031</c:v>
                      </c:pt>
                      <c:pt idx="688">
                        <c:v>-17575.190374550282</c:v>
                      </c:pt>
                      <c:pt idx="689">
                        <c:v>-17500</c:v>
                      </c:pt>
                      <c:pt idx="690">
                        <c:v>-17424.048101231689</c:v>
                      </c:pt>
                      <c:pt idx="691">
                        <c:v>-17347.357813929455</c:v>
                      </c:pt>
                      <c:pt idx="692">
                        <c:v>-17269.952498697741</c:v>
                      </c:pt>
                      <c:pt idx="693">
                        <c:v>-17191.855733945391</c:v>
                      </c:pt>
                      <c:pt idx="694">
                        <c:v>-17113.091308703497</c:v>
                      </c:pt>
                      <c:pt idx="695">
                        <c:v>-17033.683215379006</c:v>
                      </c:pt>
                      <c:pt idx="696">
                        <c:v>-16953.655642446363</c:v>
                      </c:pt>
                      <c:pt idx="697">
                        <c:v>-16873.032967079558</c:v>
                      </c:pt>
                      <c:pt idx="698">
                        <c:v>-16791.839747726506</c:v>
                      </c:pt>
                      <c:pt idx="699">
                        <c:v>-16710.100716628353</c:v>
                      </c:pt>
                      <c:pt idx="700">
                        <c:v>-16627.840772285781</c:v>
                      </c:pt>
                      <c:pt idx="701">
                        <c:v>-16545.084971874741</c:v>
                      </c:pt>
                      <c:pt idx="702">
                        <c:v>-16461.85852361369</c:v>
                      </c:pt>
                      <c:pt idx="703">
                        <c:v>-16378.186779085001</c:v>
                      </c:pt>
                      <c:pt idx="704">
                        <c:v>-16294.095225512605</c:v>
                      </c:pt>
                      <c:pt idx="705">
                        <c:v>-16209.609477998345</c:v>
                      </c:pt>
                      <c:pt idx="706">
                        <c:v>-16124.755271719328</c:v>
                      </c:pt>
                      <c:pt idx="707">
                        <c:v>-16039.558454088796</c:v>
                      </c:pt>
                      <c:pt idx="708">
                        <c:v>-15954.044976882729</c:v>
                      </c:pt>
                      <c:pt idx="709">
                        <c:v>-15868.240888334652</c:v>
                      </c:pt>
                      <c:pt idx="710">
                        <c:v>-15782.172325201162</c:v>
                      </c:pt>
                      <c:pt idx="711">
                        <c:v>-15695.865504800322</c:v>
                      </c:pt>
                      <c:pt idx="712">
                        <c:v>-15609.346717025737</c:v>
                      </c:pt>
                      <c:pt idx="713">
                        <c:v>-15522.642316338273</c:v>
                      </c:pt>
                      <c:pt idx="714">
                        <c:v>-15435.778713738284</c:v>
                      </c:pt>
                      <c:pt idx="715">
                        <c:v>-15348.782368720626</c:v>
                      </c:pt>
                      <c:pt idx="716">
                        <c:v>-15261.679781214723</c:v>
                      </c:pt>
                      <c:pt idx="717">
                        <c:v>-15174.497483512514</c:v>
                      </c:pt>
                      <c:pt idx="718">
                        <c:v>-15087.262032186414</c:v>
                      </c:pt>
                      <c:pt idx="719">
                        <c:v>-15000.000000000002</c:v>
                      </c:pt>
                      <c:pt idx="720">
                        <c:v>-14912.737967813589</c:v>
                      </c:pt>
                      <c:pt idx="721">
                        <c:v>-14825.502516487499</c:v>
                      </c:pt>
                      <c:pt idx="722">
                        <c:v>-14738.320218785282</c:v>
                      </c:pt>
                      <c:pt idx="723">
                        <c:v>-14651.21763127938</c:v>
                      </c:pt>
                      <c:pt idx="724">
                        <c:v>-14564.221286261713</c:v>
                      </c:pt>
                      <c:pt idx="725">
                        <c:v>-14477.357683661732</c:v>
                      </c:pt>
                      <c:pt idx="726">
                        <c:v>-14390.653282974259</c:v>
                      </c:pt>
                      <c:pt idx="727">
                        <c:v>-14304.134495199674</c:v>
                      </c:pt>
                      <c:pt idx="728">
                        <c:v>-14217.827674798853</c:v>
                      </c:pt>
                      <c:pt idx="729">
                        <c:v>-14131.759111665342</c:v>
                      </c:pt>
                      <c:pt idx="730">
                        <c:v>-14045.955023117276</c:v>
                      </c:pt>
                      <c:pt idx="731">
                        <c:v>-13960.44154591121</c:v>
                      </c:pt>
                      <c:pt idx="732">
                        <c:v>-13875.244728280686</c:v>
                      </c:pt>
                      <c:pt idx="733">
                        <c:v>-13790.39052200166</c:v>
                      </c:pt>
                      <c:pt idx="734">
                        <c:v>-13705.904774487401</c:v>
                      </c:pt>
                      <c:pt idx="735">
                        <c:v>-13621.813220915014</c:v>
                      </c:pt>
                      <c:pt idx="736">
                        <c:v>-13538.141476386314</c:v>
                      </c:pt>
                      <c:pt idx="737">
                        <c:v>-13454.915028125266</c:v>
                      </c:pt>
                      <c:pt idx="738">
                        <c:v>-13372.159227714215</c:v>
                      </c:pt>
                      <c:pt idx="739">
                        <c:v>-13289.89928337166</c:v>
                      </c:pt>
                      <c:pt idx="740">
                        <c:v>-13208.160252273499</c:v>
                      </c:pt>
                      <c:pt idx="741">
                        <c:v>-13126.967032920438</c:v>
                      </c:pt>
                      <c:pt idx="742">
                        <c:v>-13046.344357553633</c:v>
                      </c:pt>
                      <c:pt idx="743">
                        <c:v>-12966.316784621007</c:v>
                      </c:pt>
                      <c:pt idx="744">
                        <c:v>-12886.908691296499</c:v>
                      </c:pt>
                      <c:pt idx="745">
                        <c:v>-12808.144266054614</c:v>
                      </c:pt>
                      <c:pt idx="746">
                        <c:v>-12730.047501302273</c:v>
                      </c:pt>
                      <c:pt idx="747">
                        <c:v>-12652.642186070541</c:v>
                      </c:pt>
                      <c:pt idx="748">
                        <c:v>-12575.951898768315</c:v>
                      </c:pt>
                      <c:pt idx="749">
                        <c:v>-12500.000000000004</c:v>
                      </c:pt>
                      <c:pt idx="750">
                        <c:v>-12424.809625449738</c:v>
                      </c:pt>
                      <c:pt idx="751">
                        <c:v>-12350.403678833974</c:v>
                      </c:pt>
                      <c:pt idx="752">
                        <c:v>-12276.804824924868</c:v>
                      </c:pt>
                      <c:pt idx="753">
                        <c:v>-12204.035482646266</c:v>
                      </c:pt>
                      <c:pt idx="754">
                        <c:v>-12132.117818244775</c:v>
                      </c:pt>
                      <c:pt idx="755">
                        <c:v>-12061.073738537636</c:v>
                      </c:pt>
                      <c:pt idx="756">
                        <c:v>-11990.924884239757</c:v>
                      </c:pt>
                      <c:pt idx="757">
                        <c:v>-11921.692623371713</c:v>
                      </c:pt>
                      <c:pt idx="758">
                        <c:v>-11853.398044750815</c:v>
                      </c:pt>
                      <c:pt idx="759">
                        <c:v>-11786.061951567302</c:v>
                      </c:pt>
                      <c:pt idx="760">
                        <c:v>-11719.704855047466</c:v>
                      </c:pt>
                      <c:pt idx="761">
                        <c:v>-11654.346968205715</c:v>
                      </c:pt>
                      <c:pt idx="762">
                        <c:v>-11590.008199687505</c:v>
                      </c:pt>
                      <c:pt idx="763">
                        <c:v>-11526.708147705014</c:v>
                      </c:pt>
                      <c:pt idx="764">
                        <c:v>-11464.466094067267</c:v>
                      </c:pt>
                      <c:pt idx="765">
                        <c:v>-11403.300998306753</c:v>
                      </c:pt>
                      <c:pt idx="766">
                        <c:v>-11343.231491904147</c:v>
                      </c:pt>
                      <c:pt idx="767">
                        <c:v>-11284.275872613032</c:v>
                      </c:pt>
                      <c:pt idx="768">
                        <c:v>-11226.452098886142</c:v>
                      </c:pt>
                      <c:pt idx="769">
                        <c:v>-11169.777784405109</c:v>
                      </c:pt>
                      <c:pt idx="770">
                        <c:v>-11114.270192715148</c:v>
                      </c:pt>
                      <c:pt idx="771">
                        <c:v>-11059.946231966391</c:v>
                      </c:pt>
                      <c:pt idx="772">
                        <c:v>-11006.822449763538</c:v>
                      </c:pt>
                      <c:pt idx="773">
                        <c:v>-10954.915028125259</c:v>
                      </c:pt>
                      <c:pt idx="774">
                        <c:v>-10904.23977855504</c:v>
                      </c:pt>
                      <c:pt idx="775">
                        <c:v>-10854.812137224795</c:v>
                      </c:pt>
                      <c:pt idx="776">
                        <c:v>-10806.647160272885</c:v>
                      </c:pt>
                      <c:pt idx="777">
                        <c:v>-10759.759519217869</c:v>
                      </c:pt>
                      <c:pt idx="778">
                        <c:v>-10714.16349648944</c:v>
                      </c:pt>
                      <c:pt idx="779">
                        <c:v>-10669.872981077811</c:v>
                      </c:pt>
                      <c:pt idx="780">
                        <c:v>-10626.901464303019</c:v>
                      </c:pt>
                      <c:pt idx="781">
                        <c:v>-10585.262035705367</c:v>
                      </c:pt>
                      <c:pt idx="782">
                        <c:v>-10544.967379058164</c:v>
                      </c:pt>
                      <c:pt idx="783">
                        <c:v>-10506.029768504166</c:v>
                      </c:pt>
                      <c:pt idx="784">
                        <c:v>-10468.461064816751</c:v>
                      </c:pt>
                      <c:pt idx="785">
                        <c:v>-10432.272711786998</c:v>
                      </c:pt>
                      <c:pt idx="786">
                        <c:v>-10397.475732737799</c:v>
                      </c:pt>
                      <c:pt idx="787">
                        <c:v>-10364.080727166067</c:v>
                      </c:pt>
                      <c:pt idx="788">
                        <c:v>-10332.097867513989</c:v>
                      </c:pt>
                      <c:pt idx="789">
                        <c:v>-10301.536896070458</c:v>
                      </c:pt>
                      <c:pt idx="790">
                        <c:v>-10272.407122003418</c:v>
                      </c:pt>
                      <c:pt idx="791">
                        <c:v>-10244.717418524229</c:v>
                      </c:pt>
                      <c:pt idx="792">
                        <c:v>-10218.476220184823</c:v>
                      </c:pt>
                      <c:pt idx="793">
                        <c:v>-10193.691520308406</c:v>
                      </c:pt>
                      <c:pt idx="794">
                        <c:v>-10170.370868554661</c:v>
                      </c:pt>
                      <c:pt idx="795">
                        <c:v>-10148.521368620017</c:v>
                      </c:pt>
                      <c:pt idx="796">
                        <c:v>-10128.149676073825</c:v>
                      </c:pt>
                      <c:pt idx="797">
                        <c:v>-10109.261996330973</c:v>
                      </c:pt>
                      <c:pt idx="798">
                        <c:v>-10091.86408276168</c:v>
                      </c:pt>
                      <c:pt idx="799">
                        <c:v>-10075.961234938961</c:v>
                      </c:pt>
                      <c:pt idx="800">
                        <c:v>-10061.558297024312</c:v>
                      </c:pt>
                      <c:pt idx="801">
                        <c:v>-10048.659656292148</c:v>
                      </c:pt>
                      <c:pt idx="802">
                        <c:v>-10037.26924179339</c:v>
                      </c:pt>
                      <c:pt idx="803">
                        <c:v>-10027.390523158632</c:v>
                      </c:pt>
                      <c:pt idx="804">
                        <c:v>-10019.026509541272</c:v>
                      </c:pt>
                      <c:pt idx="805">
                        <c:v>-10012.179748700881</c:v>
                      </c:pt>
                      <c:pt idx="806">
                        <c:v>-10006.85232622713</c:v>
                      </c:pt>
                      <c:pt idx="807">
                        <c:v>-10003.045864904521</c:v>
                      </c:pt>
                      <c:pt idx="808">
                        <c:v>-10000.761524218044</c:v>
                      </c:pt>
                      <c:pt idx="809">
                        <c:v>-10000</c:v>
                      </c:pt>
                      <c:pt idx="810">
                        <c:v>-10000.761524218044</c:v>
                      </c:pt>
                      <c:pt idx="811">
                        <c:v>-10003.045864904521</c:v>
                      </c:pt>
                      <c:pt idx="812">
                        <c:v>-10006.85232622713</c:v>
                      </c:pt>
                      <c:pt idx="813">
                        <c:v>-10012.179748700879</c:v>
                      </c:pt>
                      <c:pt idx="814">
                        <c:v>-10019.026509541272</c:v>
                      </c:pt>
                      <c:pt idx="815">
                        <c:v>-10027.390523158632</c:v>
                      </c:pt>
                      <c:pt idx="816">
                        <c:v>-10037.269241793389</c:v>
                      </c:pt>
                      <c:pt idx="817">
                        <c:v>-10048.659656292148</c:v>
                      </c:pt>
                      <c:pt idx="818">
                        <c:v>-10061.558297024312</c:v>
                      </c:pt>
                      <c:pt idx="819">
                        <c:v>-10075.961234938959</c:v>
                      </c:pt>
                      <c:pt idx="820">
                        <c:v>-10091.864082761678</c:v>
                      </c:pt>
                      <c:pt idx="821">
                        <c:v>-10109.261996330973</c:v>
                      </c:pt>
                      <c:pt idx="822">
                        <c:v>-10128.149676073823</c:v>
                      </c:pt>
                      <c:pt idx="823">
                        <c:v>-10148.521368620015</c:v>
                      </c:pt>
                      <c:pt idx="824">
                        <c:v>-10170.370868554659</c:v>
                      </c:pt>
                      <c:pt idx="825">
                        <c:v>-10193.691520308406</c:v>
                      </c:pt>
                      <c:pt idx="826">
                        <c:v>-10218.476220184821</c:v>
                      </c:pt>
                      <c:pt idx="827">
                        <c:v>-10244.717418524229</c:v>
                      </c:pt>
                      <c:pt idx="828">
                        <c:v>-10272.407122003417</c:v>
                      </c:pt>
                      <c:pt idx="829">
                        <c:v>-10301.536896070456</c:v>
                      </c:pt>
                      <c:pt idx="830">
                        <c:v>-10332.09786751399</c:v>
                      </c:pt>
                      <c:pt idx="831">
                        <c:v>-10364.080727166063</c:v>
                      </c:pt>
                      <c:pt idx="832">
                        <c:v>-10397.475732737797</c:v>
                      </c:pt>
                      <c:pt idx="833">
                        <c:v>-10432.272711786994</c:v>
                      </c:pt>
                      <c:pt idx="834">
                        <c:v>-10468.461064816747</c:v>
                      </c:pt>
                      <c:pt idx="835">
                        <c:v>-10506.029768504164</c:v>
                      </c:pt>
                      <c:pt idx="836">
                        <c:v>-10544.967379058162</c:v>
                      </c:pt>
                      <c:pt idx="837">
                        <c:v>-10585.262035705364</c:v>
                      </c:pt>
                      <c:pt idx="838">
                        <c:v>-10626.901464303017</c:v>
                      </c:pt>
                      <c:pt idx="839">
                        <c:v>-10669.872981077808</c:v>
                      </c:pt>
                      <c:pt idx="840">
                        <c:v>-10714.163496489437</c:v>
                      </c:pt>
                      <c:pt idx="841">
                        <c:v>-10759.759519217867</c:v>
                      </c:pt>
                      <c:pt idx="842">
                        <c:v>-10806.647160272882</c:v>
                      </c:pt>
                      <c:pt idx="843">
                        <c:v>-10854.812137224792</c:v>
                      </c:pt>
                      <c:pt idx="844">
                        <c:v>-10904.239778555038</c:v>
                      </c:pt>
                      <c:pt idx="845">
                        <c:v>-10954.915028125261</c:v>
                      </c:pt>
                      <c:pt idx="846">
                        <c:v>-11006.822449763536</c:v>
                      </c:pt>
                      <c:pt idx="847">
                        <c:v>-11059.946231966387</c:v>
                      </c:pt>
                      <c:pt idx="848">
                        <c:v>-11114.270192715145</c:v>
                      </c:pt>
                      <c:pt idx="849">
                        <c:v>-11169.777784405105</c:v>
                      </c:pt>
                      <c:pt idx="850">
                        <c:v>-11226.452098886137</c:v>
                      </c:pt>
                      <c:pt idx="851">
                        <c:v>-11284.275872613029</c:v>
                      </c:pt>
                      <c:pt idx="852">
                        <c:v>-11343.231491904144</c:v>
                      </c:pt>
                      <c:pt idx="853">
                        <c:v>-11403.30099830675</c:v>
                      </c:pt>
                      <c:pt idx="854">
                        <c:v>-11464.466094067264</c:v>
                      </c:pt>
                      <c:pt idx="855">
                        <c:v>-11526.708147705011</c:v>
                      </c:pt>
                      <c:pt idx="856">
                        <c:v>-11590.008199687501</c:v>
                      </c:pt>
                      <c:pt idx="857">
                        <c:v>-11654.346968205711</c:v>
                      </c:pt>
                      <c:pt idx="858">
                        <c:v>-11719.704855047461</c:v>
                      </c:pt>
                      <c:pt idx="859">
                        <c:v>-11786.061951567297</c:v>
                      </c:pt>
                      <c:pt idx="860">
                        <c:v>-11853.398044750809</c:v>
                      </c:pt>
                      <c:pt idx="861">
                        <c:v>-11921.692623371708</c:v>
                      </c:pt>
                      <c:pt idx="862">
                        <c:v>-11990.924884239754</c:v>
                      </c:pt>
                      <c:pt idx="863">
                        <c:v>-12061.073738537632</c:v>
                      </c:pt>
                      <c:pt idx="864">
                        <c:v>-12132.117818244769</c:v>
                      </c:pt>
                      <c:pt idx="865">
                        <c:v>-12204.03548264627</c:v>
                      </c:pt>
                      <c:pt idx="866">
                        <c:v>-12276.804824924864</c:v>
                      </c:pt>
                      <c:pt idx="867">
                        <c:v>-12350.403678833969</c:v>
                      </c:pt>
                      <c:pt idx="868">
                        <c:v>-12424.809625449734</c:v>
                      </c:pt>
                      <c:pt idx="869">
                        <c:v>-12500</c:v>
                      </c:pt>
                      <c:pt idx="870">
                        <c:v>-12575.95189876831</c:v>
                      </c:pt>
                      <c:pt idx="871">
                        <c:v>-12652.642186070536</c:v>
                      </c:pt>
                      <c:pt idx="872">
                        <c:v>-12730.047501302268</c:v>
                      </c:pt>
                      <c:pt idx="873">
                        <c:v>-12808.144266054609</c:v>
                      </c:pt>
                      <c:pt idx="874">
                        <c:v>-12886.908691296494</c:v>
                      </c:pt>
                      <c:pt idx="875">
                        <c:v>-12966.316784621002</c:v>
                      </c:pt>
                      <c:pt idx="876">
                        <c:v>-13046.344357553629</c:v>
                      </c:pt>
                      <c:pt idx="877">
                        <c:v>-13126.967032920433</c:v>
                      </c:pt>
                      <c:pt idx="878">
                        <c:v>-13208.160252273494</c:v>
                      </c:pt>
                      <c:pt idx="879">
                        <c:v>-13289.899283371655</c:v>
                      </c:pt>
                      <c:pt idx="880">
                        <c:v>-13372.159227714219</c:v>
                      </c:pt>
                      <c:pt idx="881">
                        <c:v>-13454.915028125261</c:v>
                      </c:pt>
                      <c:pt idx="882">
                        <c:v>-13538.141476386309</c:v>
                      </c:pt>
                      <c:pt idx="883">
                        <c:v>-13621.813220915008</c:v>
                      </c:pt>
                      <c:pt idx="884">
                        <c:v>-13705.904774487395</c:v>
                      </c:pt>
                      <c:pt idx="885">
                        <c:v>-13790.390522001655</c:v>
                      </c:pt>
                      <c:pt idx="886">
                        <c:v>-13875.244728280681</c:v>
                      </c:pt>
                      <c:pt idx="887">
                        <c:v>-13960.441545911202</c:v>
                      </c:pt>
                      <c:pt idx="888">
                        <c:v>-14045.955023117271</c:v>
                      </c:pt>
                      <c:pt idx="889">
                        <c:v>-14131.759111665338</c:v>
                      </c:pt>
                      <c:pt idx="890">
                        <c:v>-14217.827674798848</c:v>
                      </c:pt>
                      <c:pt idx="891">
                        <c:v>-14304.134495199669</c:v>
                      </c:pt>
                      <c:pt idx="892">
                        <c:v>-14390.653282974254</c:v>
                      </c:pt>
                      <c:pt idx="893">
                        <c:v>-14477.357683661727</c:v>
                      </c:pt>
                      <c:pt idx="894">
                        <c:v>-14564.221286261707</c:v>
                      </c:pt>
                      <c:pt idx="895">
                        <c:v>-14651.217631279374</c:v>
                      </c:pt>
                      <c:pt idx="896">
                        <c:v>-14738.320218785277</c:v>
                      </c:pt>
                      <c:pt idx="897">
                        <c:v>-14825.502516487493</c:v>
                      </c:pt>
                      <c:pt idx="898">
                        <c:v>-14912.737967813584</c:v>
                      </c:pt>
                      <c:pt idx="899">
                        <c:v>-14999.999999999996</c:v>
                      </c:pt>
                      <c:pt idx="900">
                        <c:v>-15087.262032186409</c:v>
                      </c:pt>
                      <c:pt idx="901">
                        <c:v>-15174.497483512509</c:v>
                      </c:pt>
                      <c:pt idx="902">
                        <c:v>-15261.679781214718</c:v>
                      </c:pt>
                      <c:pt idx="903">
                        <c:v>-15348.78236872062</c:v>
                      </c:pt>
                      <c:pt idx="904">
                        <c:v>-15435.778713738278</c:v>
                      </c:pt>
                      <c:pt idx="905">
                        <c:v>-15522.642316338268</c:v>
                      </c:pt>
                      <c:pt idx="906">
                        <c:v>-15609.346717025732</c:v>
                      </c:pt>
                      <c:pt idx="907">
                        <c:v>-15695.865504800317</c:v>
                      </c:pt>
                      <c:pt idx="908">
                        <c:v>-15782.172325201156</c:v>
                      </c:pt>
                      <c:pt idx="909">
                        <c:v>-15868.240888334647</c:v>
                      </c:pt>
                      <c:pt idx="910">
                        <c:v>-15954.044976882724</c:v>
                      </c:pt>
                      <c:pt idx="911">
                        <c:v>-16039.55845408879</c:v>
                      </c:pt>
                      <c:pt idx="912">
                        <c:v>-16124.755271719323</c:v>
                      </c:pt>
                      <c:pt idx="913">
                        <c:v>-16209.60947799834</c:v>
                      </c:pt>
                      <c:pt idx="914">
                        <c:v>-16294.095225512599</c:v>
                      </c:pt>
                      <c:pt idx="915">
                        <c:v>-16378.186779084986</c:v>
                      </c:pt>
                      <c:pt idx="916">
                        <c:v>-16461.858523613679</c:v>
                      </c:pt>
                      <c:pt idx="917">
                        <c:v>-16545.084971874727</c:v>
                      </c:pt>
                      <c:pt idx="918">
                        <c:v>-16627.840772285785</c:v>
                      </c:pt>
                      <c:pt idx="919">
                        <c:v>-16710.100716628338</c:v>
                      </c:pt>
                      <c:pt idx="920">
                        <c:v>-16791.83974772651</c:v>
                      </c:pt>
                      <c:pt idx="921">
                        <c:v>-16873.032967079562</c:v>
                      </c:pt>
                      <c:pt idx="922">
                        <c:v>-16953.655642446367</c:v>
                      </c:pt>
                      <c:pt idx="923">
                        <c:v>-17033.683215379009</c:v>
                      </c:pt>
                      <c:pt idx="924">
                        <c:v>-17113.091308703501</c:v>
                      </c:pt>
                      <c:pt idx="925">
                        <c:v>-17191.855733945384</c:v>
                      </c:pt>
                      <c:pt idx="926">
                        <c:v>-17269.952498697727</c:v>
                      </c:pt>
                      <c:pt idx="927">
                        <c:v>-17347.357813929459</c:v>
                      </c:pt>
                      <c:pt idx="928">
                        <c:v>-17424.048101231685</c:v>
                      </c:pt>
                      <c:pt idx="929">
                        <c:v>-17499.999999999993</c:v>
                      </c:pt>
                      <c:pt idx="930">
                        <c:v>-17575.190374550275</c:v>
                      </c:pt>
                      <c:pt idx="931">
                        <c:v>-17649.596321166027</c:v>
                      </c:pt>
                      <c:pt idx="932">
                        <c:v>-17723.195175075132</c:v>
                      </c:pt>
                      <c:pt idx="933">
                        <c:v>-17795.964517353725</c:v>
                      </c:pt>
                      <c:pt idx="934">
                        <c:v>-17867.882181755231</c:v>
                      </c:pt>
                      <c:pt idx="935">
                        <c:v>-17938.926261462362</c:v>
                      </c:pt>
                      <c:pt idx="936">
                        <c:v>-18009.075115760235</c:v>
                      </c:pt>
                      <c:pt idx="937">
                        <c:v>-18078.30737662828</c:v>
                      </c:pt>
                      <c:pt idx="938">
                        <c:v>-18146.601955249185</c:v>
                      </c:pt>
                      <c:pt idx="939">
                        <c:v>-18213.93804843269</c:v>
                      </c:pt>
                      <c:pt idx="940">
                        <c:v>-18280.295144952528</c:v>
                      </c:pt>
                      <c:pt idx="941">
                        <c:v>-18345.653031794289</c:v>
                      </c:pt>
                      <c:pt idx="942">
                        <c:v>-18409.991800312488</c:v>
                      </c:pt>
                      <c:pt idx="943">
                        <c:v>-18473.291852294977</c:v>
                      </c:pt>
                      <c:pt idx="944">
                        <c:v>-18535.533905932727</c:v>
                      </c:pt>
                      <c:pt idx="945">
                        <c:v>-18596.699001693254</c:v>
                      </c:pt>
                      <c:pt idx="946">
                        <c:v>-18656.768508095847</c:v>
                      </c:pt>
                      <c:pt idx="947">
                        <c:v>-18715.724127386973</c:v>
                      </c:pt>
                      <c:pt idx="948">
                        <c:v>-18773.54790111386</c:v>
                      </c:pt>
                      <c:pt idx="949">
                        <c:v>-18830.222215594884</c:v>
                      </c:pt>
                      <c:pt idx="950">
                        <c:v>-18885.729807284857</c:v>
                      </c:pt>
                      <c:pt idx="951">
                        <c:v>-18940.053768033609</c:v>
                      </c:pt>
                      <c:pt idx="952">
                        <c:v>-18993.177550236462</c:v>
                      </c:pt>
                      <c:pt idx="953">
                        <c:v>-19045.084971874741</c:v>
                      </c:pt>
                      <c:pt idx="954">
                        <c:v>-19095.760221444958</c:v>
                      </c:pt>
                      <c:pt idx="955">
                        <c:v>-19145.187862775205</c:v>
                      </c:pt>
                      <c:pt idx="956">
                        <c:v>-19193.352839727122</c:v>
                      </c:pt>
                      <c:pt idx="957">
                        <c:v>-19240.240480782129</c:v>
                      </c:pt>
                      <c:pt idx="958">
                        <c:v>-19285.83650351056</c:v>
                      </c:pt>
                      <c:pt idx="959">
                        <c:v>-19330.12701892219</c:v>
                      </c:pt>
                      <c:pt idx="960">
                        <c:v>-19373.09853569698</c:v>
                      </c:pt>
                      <c:pt idx="961">
                        <c:v>-19414.737964294633</c:v>
                      </c:pt>
                      <c:pt idx="962">
                        <c:v>-19455.032620941834</c:v>
                      </c:pt>
                      <c:pt idx="963">
                        <c:v>-19493.970231495838</c:v>
                      </c:pt>
                      <c:pt idx="964">
                        <c:v>-19531.538935183249</c:v>
                      </c:pt>
                      <c:pt idx="965">
                        <c:v>-19567.727288213002</c:v>
                      </c:pt>
                      <c:pt idx="966">
                        <c:v>-19602.524267262197</c:v>
                      </c:pt>
                      <c:pt idx="967">
                        <c:v>-19635.919272833937</c:v>
                      </c:pt>
                      <c:pt idx="968">
                        <c:v>-19667.902132486008</c:v>
                      </c:pt>
                      <c:pt idx="969">
                        <c:v>-19698.463103929538</c:v>
                      </c:pt>
                      <c:pt idx="970">
                        <c:v>-19727.592877996583</c:v>
                      </c:pt>
                      <c:pt idx="971">
                        <c:v>-19755.282581475767</c:v>
                      </c:pt>
                      <c:pt idx="972">
                        <c:v>-19781.523779815176</c:v>
                      </c:pt>
                      <c:pt idx="973">
                        <c:v>-19806.30847969159</c:v>
                      </c:pt>
                      <c:pt idx="974">
                        <c:v>-19829.629131445341</c:v>
                      </c:pt>
                      <c:pt idx="975">
                        <c:v>-19851.478631379981</c:v>
                      </c:pt>
                      <c:pt idx="976">
                        <c:v>-19871.850323926174</c:v>
                      </c:pt>
                      <c:pt idx="977">
                        <c:v>-19890.73800366903</c:v>
                      </c:pt>
                      <c:pt idx="978">
                        <c:v>-19908.13591723832</c:v>
                      </c:pt>
                      <c:pt idx="979">
                        <c:v>-19924.038765061039</c:v>
                      </c:pt>
                      <c:pt idx="980">
                        <c:v>-19938.441702975688</c:v>
                      </c:pt>
                      <c:pt idx="981">
                        <c:v>-19951.340343707852</c:v>
                      </c:pt>
                      <c:pt idx="982">
                        <c:v>-19962.730758206613</c:v>
                      </c:pt>
                      <c:pt idx="983">
                        <c:v>-19972.609476841368</c:v>
                      </c:pt>
                      <c:pt idx="984">
                        <c:v>-19980.973490458728</c:v>
                      </c:pt>
                      <c:pt idx="985">
                        <c:v>-19987.820251299123</c:v>
                      </c:pt>
                      <c:pt idx="986">
                        <c:v>-19993.14767377287</c:v>
                      </c:pt>
                      <c:pt idx="987">
                        <c:v>-19996.954135095479</c:v>
                      </c:pt>
                      <c:pt idx="988">
                        <c:v>-19999.238475781956</c:v>
                      </c:pt>
                      <c:pt idx="989">
                        <c:v>-20000</c:v>
                      </c:pt>
                      <c:pt idx="990">
                        <c:v>-19999.238475781956</c:v>
                      </c:pt>
                      <c:pt idx="991">
                        <c:v>-19996.954135095479</c:v>
                      </c:pt>
                      <c:pt idx="992">
                        <c:v>-19993.14767377287</c:v>
                      </c:pt>
                      <c:pt idx="993">
                        <c:v>-19987.820251299119</c:v>
                      </c:pt>
                      <c:pt idx="994">
                        <c:v>-19980.973490458728</c:v>
                      </c:pt>
                      <c:pt idx="995">
                        <c:v>-19972.609476841368</c:v>
                      </c:pt>
                      <c:pt idx="996">
                        <c:v>-19962.73075820661</c:v>
                      </c:pt>
                      <c:pt idx="997">
                        <c:v>-19951.340343707852</c:v>
                      </c:pt>
                      <c:pt idx="998">
                        <c:v>-19938.441702975688</c:v>
                      </c:pt>
                      <c:pt idx="999">
                        <c:v>-19924.038765061043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5="http://schemas.microsoft.com/office/drawing/2012/chart" uri="{02D57815-91ED-43cb-92C2-25804820EDAC}">
                    <c15:filteredSeriesTitle>
                      <c15:tx>
                        <c:v>Corps 3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2-90D6-4081-85A4-0857EA05B6C7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cross"/>
        <c:tickLblPos val="low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in"/>
        <c:minorTickMark val="cross"/>
        <c:tickLblPos val="low"/>
        <c:crossAx val="159394574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</xdr:row>
      <xdr:rowOff>57149</xdr:rowOff>
    </xdr:from>
    <xdr:to>
      <xdr:col>22</xdr:col>
      <xdr:colOff>400050</xdr:colOff>
      <xdr:row>40</xdr:row>
      <xdr:rowOff>9524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200025</xdr:colOff>
      <xdr:row>1</xdr:row>
      <xdr:rowOff>104775</xdr:rowOff>
    </xdr:from>
    <xdr:to>
      <xdr:col>37</xdr:col>
      <xdr:colOff>142875</xdr:colOff>
      <xdr:row>39</xdr:row>
      <xdr:rowOff>107177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228600</xdr:colOff>
          <xdr:row>1</xdr:row>
          <xdr:rowOff>180975</xdr:rowOff>
        </xdr:from>
        <xdr:to>
          <xdr:col>43</xdr:col>
          <xdr:colOff>257175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247650</xdr:colOff>
          <xdr:row>7</xdr:row>
          <xdr:rowOff>28575</xdr:rowOff>
        </xdr:from>
        <xdr:to>
          <xdr:col>43</xdr:col>
          <xdr:colOff>276225</xdr:colOff>
          <xdr:row>10</xdr:row>
          <xdr:rowOff>161925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228600</xdr:colOff>
          <xdr:row>11</xdr:row>
          <xdr:rowOff>171450</xdr:rowOff>
        </xdr:from>
        <xdr:to>
          <xdr:col>43</xdr:col>
          <xdr:colOff>257175</xdr:colOff>
          <xdr:row>15</xdr:row>
          <xdr:rowOff>95250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304800</xdr:colOff>
      <xdr:row>1</xdr:row>
      <xdr:rowOff>47626</xdr:rowOff>
    </xdr:from>
    <xdr:to>
      <xdr:col>10</xdr:col>
      <xdr:colOff>142876</xdr:colOff>
      <xdr:row>15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238125</xdr:colOff>
          <xdr:row>16</xdr:row>
          <xdr:rowOff>104775</xdr:rowOff>
        </xdr:from>
        <xdr:to>
          <xdr:col>43</xdr:col>
          <xdr:colOff>257175</xdr:colOff>
          <xdr:row>20</xdr:row>
          <xdr:rowOff>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37</xdr:col>
      <xdr:colOff>266699</xdr:colOff>
      <xdr:row>20</xdr:row>
      <xdr:rowOff>57150</xdr:rowOff>
    </xdr:from>
    <xdr:to>
      <xdr:col>47</xdr:col>
      <xdr:colOff>38100</xdr:colOff>
      <xdr:row>31</xdr:row>
      <xdr:rowOff>76200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301F5AB-7F23-40EB-DA83-F5CC771C64F0}"/>
            </a:ext>
          </a:extLst>
        </xdr:cNvPr>
        <xdr:cNvSpPr txBox="1"/>
      </xdr:nvSpPr>
      <xdr:spPr>
        <a:xfrm>
          <a:off x="12049124" y="3867150"/>
          <a:ext cx="2628901" cy="2114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Les Boutons ci-dessus</a:t>
          </a:r>
          <a:r>
            <a:rPr lang="fr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permettent de :</a:t>
          </a:r>
          <a:endParaRPr lang="fr-CA">
            <a:effectLst/>
          </a:endParaRPr>
        </a:p>
        <a:p>
          <a:r>
            <a:rPr lang="fr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Commencer la simulataion à 0.0</a:t>
          </a:r>
        </a:p>
        <a:p>
          <a:r>
            <a:rPr lang="fr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Recommencer (mettre la trajectoire à la première option)</a:t>
          </a:r>
          <a:endParaRPr lang="fr-CA">
            <a:effectLst/>
          </a:endParaRPr>
        </a:p>
        <a:p>
          <a:r>
            <a:rPr lang="fr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Changer de trajection déjà définie.</a:t>
          </a:r>
          <a:endParaRPr lang="fr-CA">
            <a:effectLst/>
          </a:endParaRPr>
        </a:p>
        <a:p>
          <a:r>
            <a:rPr lang="fr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Arreter le programme en tout temps </a:t>
          </a:r>
          <a:endParaRPr lang="fr-CA">
            <a:effectLst/>
          </a:endParaRPr>
        </a:p>
        <a:p>
          <a:endParaRPr lang="fr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9946-F3CD-4A42-A4B0-3638A31815E7}">
  <sheetPr codeName="Feuil3"/>
  <dimension ref="C1:J41"/>
  <sheetViews>
    <sheetView showGridLines="0" showRowColHeaders="0" workbookViewId="0">
      <selection activeCell="G4" sqref="G4:H4"/>
    </sheetView>
  </sheetViews>
  <sheetFormatPr baseColWidth="10" defaultRowHeight="15" x14ac:dyDescent="0.25"/>
  <cols>
    <col min="3" max="3" width="25.140625" customWidth="1"/>
    <col min="4" max="9" width="11.5703125" customWidth="1"/>
    <col min="10" max="10" width="15.42578125" bestFit="1" customWidth="1"/>
  </cols>
  <sheetData>
    <row r="1" spans="3:10" x14ac:dyDescent="0.25">
      <c r="C1" s="154" t="s">
        <v>0</v>
      </c>
      <c r="D1" s="155"/>
      <c r="E1" s="155"/>
      <c r="F1" s="155"/>
      <c r="G1" s="155"/>
      <c r="H1" s="155"/>
      <c r="I1" s="155"/>
      <c r="J1" s="156"/>
    </row>
    <row r="2" spans="3:10" x14ac:dyDescent="0.25">
      <c r="C2" s="38" t="s">
        <v>1</v>
      </c>
      <c r="D2" s="39"/>
      <c r="E2" s="40"/>
      <c r="F2" s="41" t="s">
        <v>19</v>
      </c>
      <c r="G2" s="157">
        <v>0.5</v>
      </c>
      <c r="H2" s="158"/>
      <c r="I2" s="157" t="s">
        <v>21</v>
      </c>
      <c r="J2" s="158"/>
    </row>
    <row r="3" spans="3:10" x14ac:dyDescent="0.25">
      <c r="C3" s="43" t="s">
        <v>2</v>
      </c>
      <c r="D3" s="44"/>
      <c r="E3" s="45"/>
      <c r="F3" s="6" t="s">
        <v>35</v>
      </c>
      <c r="G3" s="126">
        <v>0</v>
      </c>
      <c r="H3" s="127"/>
      <c r="I3" s="126" t="s">
        <v>23</v>
      </c>
      <c r="J3" s="127"/>
    </row>
    <row r="4" spans="3:10" x14ac:dyDescent="0.25">
      <c r="C4" s="46" t="s">
        <v>3</v>
      </c>
      <c r="D4" s="47"/>
      <c r="E4" s="47"/>
      <c r="F4" s="42" t="s">
        <v>30</v>
      </c>
      <c r="G4" s="157">
        <f>'Graphique animé'!A9</f>
        <v>0</v>
      </c>
      <c r="H4" s="158"/>
      <c r="I4" s="157" t="s">
        <v>24</v>
      </c>
      <c r="J4" s="158"/>
    </row>
    <row r="6" spans="3:10" x14ac:dyDescent="0.25">
      <c r="F6" s="2"/>
      <c r="H6" s="2"/>
      <c r="I6" s="1"/>
      <c r="J6" s="2"/>
    </row>
    <row r="7" spans="3:10" x14ac:dyDescent="0.25">
      <c r="C7" s="159" t="s">
        <v>76</v>
      </c>
      <c r="D7" s="160"/>
      <c r="E7" s="160"/>
      <c r="F7" s="160"/>
      <c r="G7" s="160"/>
      <c r="H7" s="160"/>
      <c r="I7" s="160"/>
      <c r="J7" s="161"/>
    </row>
    <row r="8" spans="3:10" x14ac:dyDescent="0.25">
      <c r="C8" s="75" t="s">
        <v>4</v>
      </c>
      <c r="D8" s="76"/>
      <c r="E8" s="76"/>
      <c r="F8" s="77" t="s">
        <v>20</v>
      </c>
      <c r="G8" s="128">
        <v>1</v>
      </c>
      <c r="H8" s="129"/>
      <c r="I8" s="128" t="s">
        <v>25</v>
      </c>
      <c r="J8" s="129"/>
    </row>
    <row r="9" spans="3:10" ht="18" x14ac:dyDescent="0.25">
      <c r="C9" s="83" t="s">
        <v>5</v>
      </c>
      <c r="D9" s="84"/>
      <c r="E9" s="79"/>
      <c r="F9" s="6" t="s">
        <v>32</v>
      </c>
      <c r="G9" s="6">
        <v>0</v>
      </c>
      <c r="H9" s="119">
        <v>0</v>
      </c>
      <c r="I9" s="122" t="s">
        <v>22</v>
      </c>
      <c r="J9" s="123"/>
    </row>
    <row r="10" spans="3:10" ht="18" x14ac:dyDescent="0.25">
      <c r="C10" s="80" t="s">
        <v>6</v>
      </c>
      <c r="D10" s="81"/>
      <c r="E10" s="82"/>
      <c r="F10" s="77" t="s">
        <v>33</v>
      </c>
      <c r="G10" s="77">
        <v>0</v>
      </c>
      <c r="H10" s="8">
        <v>0</v>
      </c>
      <c r="I10" s="124" t="s">
        <v>23</v>
      </c>
      <c r="J10" s="125"/>
    </row>
    <row r="11" spans="3:10" ht="18" x14ac:dyDescent="0.25">
      <c r="C11" s="83" t="s">
        <v>7</v>
      </c>
      <c r="D11" s="84"/>
      <c r="E11" s="79"/>
      <c r="F11" s="6" t="s">
        <v>31</v>
      </c>
      <c r="G11" s="6">
        <v>0</v>
      </c>
      <c r="H11" s="120">
        <v>0</v>
      </c>
      <c r="I11" s="122" t="s">
        <v>26</v>
      </c>
      <c r="J11" s="123"/>
    </row>
    <row r="12" spans="3:10" x14ac:dyDescent="0.25">
      <c r="C12" s="121" t="s">
        <v>8</v>
      </c>
      <c r="D12" s="87"/>
      <c r="E12" s="87"/>
      <c r="F12" s="88" t="s">
        <v>34</v>
      </c>
      <c r="G12" s="128">
        <v>2500</v>
      </c>
      <c r="H12" s="129"/>
      <c r="I12" s="124" t="s">
        <v>22</v>
      </c>
      <c r="J12" s="125"/>
    </row>
    <row r="14" spans="3:10" x14ac:dyDescent="0.25">
      <c r="F14" s="2"/>
      <c r="H14" s="2"/>
      <c r="I14" s="2"/>
      <c r="J14" s="1"/>
    </row>
    <row r="15" spans="3:10" x14ac:dyDescent="0.25">
      <c r="C15" s="10" t="s">
        <v>9</v>
      </c>
      <c r="D15" s="11"/>
      <c r="E15" s="11"/>
      <c r="F15" s="11"/>
      <c r="G15" s="11"/>
      <c r="H15" s="11"/>
      <c r="I15" s="11"/>
      <c r="J15" s="12"/>
    </row>
    <row r="16" spans="3:10" ht="18" x14ac:dyDescent="0.25">
      <c r="C16" s="48" t="s">
        <v>10</v>
      </c>
      <c r="D16" s="49"/>
      <c r="E16" s="49"/>
      <c r="F16" s="50" t="s">
        <v>36</v>
      </c>
      <c r="G16" s="50">
        <v>20000</v>
      </c>
      <c r="H16" s="50">
        <v>7500</v>
      </c>
      <c r="I16" s="140" t="s">
        <v>22</v>
      </c>
      <c r="J16" s="141"/>
    </row>
    <row r="17" spans="3:10" ht="18" x14ac:dyDescent="0.25">
      <c r="C17" s="51" t="s">
        <v>11</v>
      </c>
      <c r="D17" s="52"/>
      <c r="E17" s="52"/>
      <c r="F17" s="6" t="s">
        <v>37</v>
      </c>
      <c r="G17" s="126">
        <v>5000</v>
      </c>
      <c r="H17" s="127"/>
      <c r="I17" s="122" t="s">
        <v>22</v>
      </c>
      <c r="J17" s="123"/>
    </row>
    <row r="18" spans="3:10" ht="18" x14ac:dyDescent="0.25">
      <c r="C18" s="53" t="s">
        <v>12</v>
      </c>
      <c r="D18" s="54"/>
      <c r="E18" s="54"/>
      <c r="F18" s="50" t="s">
        <v>38</v>
      </c>
      <c r="G18" s="152">
        <v>1</v>
      </c>
      <c r="H18" s="153"/>
      <c r="I18" s="140" t="s">
        <v>27</v>
      </c>
      <c r="J18" s="141"/>
    </row>
    <row r="19" spans="3:10" ht="18" x14ac:dyDescent="0.25">
      <c r="C19" s="51" t="s">
        <v>13</v>
      </c>
      <c r="D19" s="52"/>
      <c r="E19" s="52"/>
      <c r="F19" s="6" t="s">
        <v>39</v>
      </c>
      <c r="G19" s="130">
        <f>(4/3)*PI()*G17^3</f>
        <v>523598775598.29883</v>
      </c>
      <c r="H19" s="131"/>
      <c r="I19" s="122" t="s">
        <v>28</v>
      </c>
      <c r="J19" s="123"/>
    </row>
    <row r="20" spans="3:10" ht="18" x14ac:dyDescent="0.25">
      <c r="C20" s="53" t="s">
        <v>14</v>
      </c>
      <c r="D20" s="54"/>
      <c r="E20" s="49"/>
      <c r="F20" s="50" t="s">
        <v>40</v>
      </c>
      <c r="G20" s="142">
        <f>G18*G19</f>
        <v>523598775598.29883</v>
      </c>
      <c r="H20" s="143"/>
      <c r="I20" s="140" t="s">
        <v>25</v>
      </c>
      <c r="J20" s="141"/>
    </row>
    <row r="21" spans="3:10" ht="18" x14ac:dyDescent="0.25">
      <c r="C21" s="55" t="s">
        <v>15</v>
      </c>
      <c r="D21" s="56"/>
      <c r="E21" s="52"/>
      <c r="F21" s="6" t="s">
        <v>41</v>
      </c>
      <c r="G21" s="126">
        <f>G17*G4</f>
        <v>0</v>
      </c>
      <c r="H21" s="127"/>
      <c r="I21" s="122" t="s">
        <v>22</v>
      </c>
      <c r="J21" s="123"/>
    </row>
    <row r="22" spans="3:10" x14ac:dyDescent="0.25">
      <c r="C22" s="57" t="s">
        <v>16</v>
      </c>
      <c r="D22" s="58"/>
      <c r="E22" s="59"/>
      <c r="F22" s="60"/>
      <c r="G22" s="144" t="s">
        <v>29</v>
      </c>
      <c r="H22" s="145"/>
      <c r="I22" s="140" t="s">
        <v>24</v>
      </c>
      <c r="J22" s="141"/>
    </row>
    <row r="23" spans="3:10" x14ac:dyDescent="0.25">
      <c r="F23" s="2"/>
      <c r="H23" s="2"/>
      <c r="I23" s="2"/>
      <c r="J23" s="1"/>
    </row>
    <row r="24" spans="3:10" x14ac:dyDescent="0.25">
      <c r="C24" s="146" t="s">
        <v>17</v>
      </c>
      <c r="D24" s="147"/>
      <c r="E24" s="147"/>
      <c r="F24" s="147"/>
      <c r="G24" s="147"/>
      <c r="H24" s="147"/>
      <c r="I24" s="147"/>
      <c r="J24" s="148"/>
    </row>
    <row r="25" spans="3:10" ht="18" x14ac:dyDescent="0.25">
      <c r="C25" s="61" t="s">
        <v>10</v>
      </c>
      <c r="D25" s="62"/>
      <c r="E25" s="62"/>
      <c r="F25" s="63" t="s">
        <v>42</v>
      </c>
      <c r="G25" s="63">
        <v>-20000</v>
      </c>
      <c r="H25" s="63">
        <v>10000</v>
      </c>
      <c r="I25" s="134" t="s">
        <v>22</v>
      </c>
      <c r="J25" s="135"/>
    </row>
    <row r="26" spans="3:10" ht="18" x14ac:dyDescent="0.25">
      <c r="C26" s="64" t="s">
        <v>11</v>
      </c>
      <c r="D26" s="65"/>
      <c r="E26" s="65"/>
      <c r="F26" s="6" t="s">
        <v>43</v>
      </c>
      <c r="G26" s="126">
        <v>3500</v>
      </c>
      <c r="H26" s="127"/>
      <c r="I26" s="122" t="s">
        <v>22</v>
      </c>
      <c r="J26" s="123"/>
    </row>
    <row r="27" spans="3:10" ht="18" x14ac:dyDescent="0.25">
      <c r="C27" s="66" t="s">
        <v>12</v>
      </c>
      <c r="D27" s="67"/>
      <c r="E27" s="67"/>
      <c r="F27" s="63" t="s">
        <v>44</v>
      </c>
      <c r="G27" s="136">
        <v>1</v>
      </c>
      <c r="H27" s="137"/>
      <c r="I27" s="134" t="s">
        <v>27</v>
      </c>
      <c r="J27" s="135"/>
    </row>
    <row r="28" spans="3:10" ht="18" x14ac:dyDescent="0.25">
      <c r="C28" s="64" t="s">
        <v>13</v>
      </c>
      <c r="D28" s="65"/>
      <c r="E28" s="65"/>
      <c r="F28" s="6" t="s">
        <v>45</v>
      </c>
      <c r="G28" s="130">
        <f>(4/3)*PI()*G26^3</f>
        <v>179594380030.21649</v>
      </c>
      <c r="H28" s="131"/>
      <c r="I28" s="122" t="s">
        <v>28</v>
      </c>
      <c r="J28" s="123"/>
    </row>
    <row r="29" spans="3:10" ht="18" x14ac:dyDescent="0.25">
      <c r="C29" s="66" t="s">
        <v>14</v>
      </c>
      <c r="D29" s="67"/>
      <c r="E29" s="68"/>
      <c r="F29" s="63" t="s">
        <v>46</v>
      </c>
      <c r="G29" s="138">
        <f>G27*G28</f>
        <v>179594380030.21649</v>
      </c>
      <c r="H29" s="139"/>
      <c r="I29" s="134" t="s">
        <v>25</v>
      </c>
      <c r="J29" s="135"/>
    </row>
    <row r="30" spans="3:10" ht="18" x14ac:dyDescent="0.25">
      <c r="C30" s="69" t="s">
        <v>15</v>
      </c>
      <c r="D30" s="70"/>
      <c r="E30" s="65"/>
      <c r="F30" s="6" t="s">
        <v>47</v>
      </c>
      <c r="G30" s="126">
        <f>G26*G4</f>
        <v>0</v>
      </c>
      <c r="H30" s="127"/>
      <c r="I30" s="122" t="s">
        <v>22</v>
      </c>
      <c r="J30" s="123"/>
    </row>
    <row r="31" spans="3:10" x14ac:dyDescent="0.25">
      <c r="C31" s="71" t="s">
        <v>16</v>
      </c>
      <c r="D31" s="72"/>
      <c r="E31" s="73"/>
      <c r="F31" s="74"/>
      <c r="G31" s="136" t="s">
        <v>29</v>
      </c>
      <c r="H31" s="137"/>
      <c r="I31" s="134" t="s">
        <v>24</v>
      </c>
      <c r="J31" s="135"/>
    </row>
    <row r="33" spans="3:10" x14ac:dyDescent="0.25">
      <c r="F33" s="2"/>
      <c r="G33" s="2"/>
      <c r="H33" s="2"/>
      <c r="I33" s="1"/>
    </row>
    <row r="34" spans="3:10" x14ac:dyDescent="0.25">
      <c r="C34" s="149" t="s">
        <v>18</v>
      </c>
      <c r="D34" s="150"/>
      <c r="E34" s="150"/>
      <c r="F34" s="150"/>
      <c r="G34" s="150"/>
      <c r="H34" s="150"/>
      <c r="I34" s="150"/>
      <c r="J34" s="151"/>
    </row>
    <row r="35" spans="3:10" ht="18" x14ac:dyDescent="0.25">
      <c r="C35" s="75" t="s">
        <v>10</v>
      </c>
      <c r="D35" s="76"/>
      <c r="E35" s="76"/>
      <c r="F35" s="77" t="s">
        <v>48</v>
      </c>
      <c r="G35" s="77">
        <v>-5000</v>
      </c>
      <c r="H35" s="77">
        <v>-15000</v>
      </c>
      <c r="I35" s="124" t="s">
        <v>22</v>
      </c>
      <c r="J35" s="125"/>
    </row>
    <row r="36" spans="3:10" ht="18" x14ac:dyDescent="0.25">
      <c r="C36" s="78" t="s">
        <v>11</v>
      </c>
      <c r="D36" s="79"/>
      <c r="E36" s="79"/>
      <c r="F36" s="6" t="s">
        <v>49</v>
      </c>
      <c r="G36" s="126">
        <v>5000</v>
      </c>
      <c r="H36" s="127"/>
      <c r="I36" s="122" t="s">
        <v>22</v>
      </c>
      <c r="J36" s="123"/>
    </row>
    <row r="37" spans="3:10" ht="18" x14ac:dyDescent="0.25">
      <c r="C37" s="80" t="s">
        <v>12</v>
      </c>
      <c r="D37" s="81"/>
      <c r="E37" s="81"/>
      <c r="F37" s="77" t="s">
        <v>50</v>
      </c>
      <c r="G37" s="128">
        <v>1</v>
      </c>
      <c r="H37" s="129"/>
      <c r="I37" s="124" t="s">
        <v>27</v>
      </c>
      <c r="J37" s="125"/>
    </row>
    <row r="38" spans="3:10" ht="18" x14ac:dyDescent="0.25">
      <c r="C38" s="78" t="s">
        <v>13</v>
      </c>
      <c r="D38" s="79"/>
      <c r="E38" s="79"/>
      <c r="F38" s="6" t="s">
        <v>51</v>
      </c>
      <c r="G38" s="130">
        <f>(4/3)*PI()*G36^3</f>
        <v>523598775598.29883</v>
      </c>
      <c r="H38" s="131"/>
      <c r="I38" s="122" t="s">
        <v>28</v>
      </c>
      <c r="J38" s="123"/>
    </row>
    <row r="39" spans="3:10" ht="18" x14ac:dyDescent="0.25">
      <c r="C39" s="80" t="s">
        <v>14</v>
      </c>
      <c r="D39" s="81"/>
      <c r="E39" s="82"/>
      <c r="F39" s="77" t="s">
        <v>52</v>
      </c>
      <c r="G39" s="132">
        <f>G37*G38</f>
        <v>523598775598.29883</v>
      </c>
      <c r="H39" s="133"/>
      <c r="I39" s="124" t="s">
        <v>25</v>
      </c>
      <c r="J39" s="125"/>
    </row>
    <row r="40" spans="3:10" ht="18" x14ac:dyDescent="0.25">
      <c r="C40" s="83" t="s">
        <v>15</v>
      </c>
      <c r="D40" s="84"/>
      <c r="E40" s="79"/>
      <c r="F40" s="6" t="s">
        <v>53</v>
      </c>
      <c r="G40" s="126">
        <f>G36*G4</f>
        <v>0</v>
      </c>
      <c r="H40" s="127"/>
      <c r="I40" s="122" t="s">
        <v>22</v>
      </c>
      <c r="J40" s="123"/>
    </row>
    <row r="41" spans="3:10" x14ac:dyDescent="0.25">
      <c r="C41" s="85" t="s">
        <v>16</v>
      </c>
      <c r="D41" s="86"/>
      <c r="E41" s="87"/>
      <c r="F41" s="88"/>
      <c r="G41" s="128" t="s">
        <v>29</v>
      </c>
      <c r="H41" s="129"/>
      <c r="I41" s="124" t="s">
        <v>24</v>
      </c>
      <c r="J41" s="125"/>
    </row>
  </sheetData>
  <mergeCells count="56">
    <mergeCell ref="G18:H18"/>
    <mergeCell ref="I17:J17"/>
    <mergeCell ref="C1:J1"/>
    <mergeCell ref="G2:H2"/>
    <mergeCell ref="G3:H3"/>
    <mergeCell ref="G4:H4"/>
    <mergeCell ref="I16:J16"/>
    <mergeCell ref="C7:J7"/>
    <mergeCell ref="I2:J2"/>
    <mergeCell ref="I3:J3"/>
    <mergeCell ref="I4:J4"/>
    <mergeCell ref="I8:J8"/>
    <mergeCell ref="I9:J9"/>
    <mergeCell ref="I10:J10"/>
    <mergeCell ref="I11:J11"/>
    <mergeCell ref="I12:J12"/>
    <mergeCell ref="G8:H8"/>
    <mergeCell ref="G12:H12"/>
    <mergeCell ref="I35:J35"/>
    <mergeCell ref="I36:J36"/>
    <mergeCell ref="I18:J18"/>
    <mergeCell ref="I19:J19"/>
    <mergeCell ref="I20:J20"/>
    <mergeCell ref="G19:H19"/>
    <mergeCell ref="G20:H20"/>
    <mergeCell ref="G21:H21"/>
    <mergeCell ref="G22:H22"/>
    <mergeCell ref="C24:J24"/>
    <mergeCell ref="I21:J21"/>
    <mergeCell ref="I22:J22"/>
    <mergeCell ref="G17:H17"/>
    <mergeCell ref="C34:J34"/>
    <mergeCell ref="G31:H31"/>
    <mergeCell ref="G26:H26"/>
    <mergeCell ref="G27:H27"/>
    <mergeCell ref="G28:H28"/>
    <mergeCell ref="G29:H29"/>
    <mergeCell ref="G30:H30"/>
    <mergeCell ref="I30:J30"/>
    <mergeCell ref="I31:J31"/>
    <mergeCell ref="I25:J25"/>
    <mergeCell ref="I26:J26"/>
    <mergeCell ref="I27:J27"/>
    <mergeCell ref="I28:J28"/>
    <mergeCell ref="I29:J29"/>
    <mergeCell ref="I38:J38"/>
    <mergeCell ref="I39:J39"/>
    <mergeCell ref="I40:J40"/>
    <mergeCell ref="I41:J41"/>
    <mergeCell ref="G36:H36"/>
    <mergeCell ref="G37:H37"/>
    <mergeCell ref="G38:H38"/>
    <mergeCell ref="G39:H39"/>
    <mergeCell ref="G40:H40"/>
    <mergeCell ref="G41:H41"/>
    <mergeCell ref="I37:J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E1005"/>
  <sheetViews>
    <sheetView zoomScaleNormal="100" workbookViewId="0">
      <selection activeCell="F30" sqref="F30"/>
    </sheetView>
  </sheetViews>
  <sheetFormatPr baseColWidth="10" defaultRowHeight="15" x14ac:dyDescent="0.25"/>
  <cols>
    <col min="1" max="1" width="15.42578125" bestFit="1" customWidth="1"/>
    <col min="2" max="2" width="13.85546875" bestFit="1" customWidth="1"/>
    <col min="3" max="3" width="12.85546875" bestFit="1" customWidth="1"/>
    <col min="4" max="4" width="11.5703125" customWidth="1"/>
    <col min="6" max="6" width="13.85546875" bestFit="1" customWidth="1"/>
    <col min="7" max="8" width="11.5703125" customWidth="1"/>
    <col min="10" max="10" width="13.85546875" bestFit="1" customWidth="1"/>
    <col min="11" max="12" width="11.5703125" customWidth="1"/>
    <col min="14" max="14" width="15.7109375" customWidth="1"/>
    <col min="16" max="16" width="17.28515625" bestFit="1" customWidth="1"/>
    <col min="17" max="17" width="17.140625" bestFit="1" customWidth="1"/>
    <col min="18" max="18" width="14.28515625" bestFit="1" customWidth="1"/>
    <col min="19" max="19" width="11.42578125" customWidth="1"/>
    <col min="20" max="21" width="13.28515625" bestFit="1" customWidth="1"/>
    <col min="22" max="22" width="12.5703125" bestFit="1" customWidth="1"/>
    <col min="23" max="23" width="13.28515625" bestFit="1" customWidth="1"/>
    <col min="24" max="24" width="13" bestFit="1" customWidth="1"/>
    <col min="25" max="25" width="12.28515625" bestFit="1" customWidth="1"/>
    <col min="26" max="27" width="13.28515625" bestFit="1" customWidth="1"/>
    <col min="29" max="31" width="10.5703125" bestFit="1" customWidth="1"/>
  </cols>
  <sheetData>
    <row r="2" spans="2:31" x14ac:dyDescent="0.25">
      <c r="B2" s="162" t="s">
        <v>9</v>
      </c>
      <c r="C2" s="163"/>
      <c r="D2" s="164"/>
      <c r="F2" s="165" t="s">
        <v>17</v>
      </c>
      <c r="G2" s="166"/>
      <c r="H2" s="167"/>
      <c r="J2" s="168" t="s">
        <v>18</v>
      </c>
      <c r="K2" s="169"/>
      <c r="L2" s="170"/>
      <c r="P2" s="4"/>
    </row>
    <row r="3" spans="2:31" x14ac:dyDescent="0.25">
      <c r="B3" s="13" t="s">
        <v>54</v>
      </c>
      <c r="C3" s="14" t="s">
        <v>55</v>
      </c>
      <c r="D3" s="15" t="s">
        <v>56</v>
      </c>
      <c r="F3" s="22" t="s">
        <v>54</v>
      </c>
      <c r="G3" s="23" t="s">
        <v>55</v>
      </c>
      <c r="H3" s="24" t="s">
        <v>56</v>
      </c>
      <c r="J3" s="30" t="s">
        <v>54</v>
      </c>
      <c r="K3" s="31" t="s">
        <v>55</v>
      </c>
      <c r="L3" s="32" t="s">
        <v>56</v>
      </c>
      <c r="N3" s="89" t="s">
        <v>54</v>
      </c>
      <c r="O3" s="90" t="s">
        <v>57</v>
      </c>
      <c r="P3" s="90" t="s">
        <v>71</v>
      </c>
      <c r="Q3" s="90" t="s">
        <v>72</v>
      </c>
      <c r="R3" s="90" t="s">
        <v>59</v>
      </c>
      <c r="S3" s="90" t="s">
        <v>60</v>
      </c>
      <c r="T3" s="90" t="s">
        <v>58</v>
      </c>
      <c r="U3" s="90" t="s">
        <v>61</v>
      </c>
      <c r="V3" s="90" t="s">
        <v>62</v>
      </c>
      <c r="W3" s="90" t="s">
        <v>64</v>
      </c>
      <c r="X3" s="90" t="s">
        <v>63</v>
      </c>
      <c r="Y3" s="90" t="s">
        <v>65</v>
      </c>
      <c r="Z3" s="90" t="s">
        <v>66</v>
      </c>
      <c r="AA3" s="91" t="s">
        <v>67</v>
      </c>
      <c r="AC3" s="107" t="s">
        <v>68</v>
      </c>
      <c r="AD3" s="108" t="s">
        <v>69</v>
      </c>
      <c r="AE3" s="109" t="s">
        <v>70</v>
      </c>
    </row>
    <row r="4" spans="2:31" x14ac:dyDescent="0.25">
      <c r="B4" s="16">
        <v>1</v>
      </c>
      <c r="C4" s="17">
        <f>Tableau!$G$17*COS(B4*PI()/180)+Tableau!$G$16</f>
        <v>24999.238475781956</v>
      </c>
      <c r="D4" s="17">
        <f>Tableau!$G$17*SIN(B4*PI()/180)+Tableau!$H$16</f>
        <v>7587.2620321864179</v>
      </c>
      <c r="F4" s="7">
        <v>1</v>
      </c>
      <c r="G4" s="25">
        <f>Tableau!$G$26*COS(F4*PI()/180)+Tableau!$G$25</f>
        <v>-16500.53306695263</v>
      </c>
      <c r="H4" s="25">
        <f>Tableau!$G$26*SIN(F4*PI()/180)+Tableau!$H$25</f>
        <v>10061.083422530492</v>
      </c>
      <c r="J4" s="8">
        <v>1</v>
      </c>
      <c r="K4" s="33">
        <f>Tableau!$G$36*COS(J4*PI()/180)+Tableau!$G$35</f>
        <v>-0.76152421804363257</v>
      </c>
      <c r="L4" s="33">
        <f>Tableau!$G$36*SIN(J4*PI()/180)+Tableau!$H$35</f>
        <v>-14912.737967813582</v>
      </c>
      <c r="N4" s="92">
        <v>0</v>
      </c>
      <c r="O4" s="93">
        <v>0</v>
      </c>
      <c r="P4" s="94">
        <v>0</v>
      </c>
      <c r="Q4" s="94">
        <v>0</v>
      </c>
      <c r="R4" s="95">
        <v>0</v>
      </c>
      <c r="S4" s="95">
        <v>0</v>
      </c>
      <c r="T4" s="96">
        <f t="shared" ref="T4:T67" si="0">V4+X4+Z4</f>
        <v>90.970165052877292</v>
      </c>
      <c r="U4" s="96">
        <f t="shared" ref="U4:U67" si="1">W4+Y4+AA4</f>
        <v>-1423.3294651323424</v>
      </c>
      <c r="V4" s="96">
        <f>((Tableau!$G$16-P4)/(AC4^2+Tableau!$G$21^2)^(3/2))*Tableau!$G$20</f>
        <v>1074.5442431388785</v>
      </c>
      <c r="W4" s="96">
        <f>((Tableau!$H$16-Q4)/(AC4^2+Tableau!$G$21^2)^(3/2))*Tableau!$G$20</f>
        <v>402.95409117707948</v>
      </c>
      <c r="X4" s="96">
        <f>((Tableau!$G$25-P4)/(AD4^2+Tableau!$G$30^2)^(3/2))*Tableau!$G$29</f>
        <v>-321.2681936995948</v>
      </c>
      <c r="Y4" s="96">
        <f>((Tableau!$H$25-Q4)/(AD4^2+Tableau!$G$30^2)^(3/2))*Tableau!$G$29</f>
        <v>160.6340968497974</v>
      </c>
      <c r="Z4" s="96">
        <f>((Tableau!$G$35-P4)/(AE4^2+Tableau!$G$40^2)^(3/2))*Tableau!$G$39</f>
        <v>-662.30588438640643</v>
      </c>
      <c r="AA4" s="97">
        <f>((Tableau!$H$35-Q4)/(AE4^2+Tableau!$G$40^2)^(3/2))*Tableau!$G$39</f>
        <v>-1986.9176531592193</v>
      </c>
      <c r="AC4" s="110">
        <f>SQRT((Tableau!$G$16-P4)^2+(Tableau!$H$16-Q4)^2)</f>
        <v>21360.00936329383</v>
      </c>
      <c r="AD4" s="111">
        <f>SQRT((Tableau!$G$25-P4)^2+(Tableau!$H$25-Q4)^2)</f>
        <v>22360.679774997898</v>
      </c>
      <c r="AE4" s="112">
        <f>SQRT((Tableau!$G$35-P4)^2+(Tableau!$H$35-Q4)^2)</f>
        <v>15811.388300841896</v>
      </c>
    </row>
    <row r="5" spans="2:31" x14ac:dyDescent="0.25">
      <c r="B5" s="18">
        <v>2</v>
      </c>
      <c r="C5" s="19">
        <f>Tableau!$G$17*COS(B5*PI()/180)+Tableau!$G$16</f>
        <v>24996.954135095479</v>
      </c>
      <c r="D5" s="19">
        <f>Tableau!$G$17*SIN(B5*PI()/180)+Tableau!$H$16</f>
        <v>7674.4974835125049</v>
      </c>
      <c r="F5" s="26">
        <v>2</v>
      </c>
      <c r="G5" s="27">
        <f>Tableau!$G$26*COS(F5*PI()/180)+Tableau!$G$25</f>
        <v>-16502.132105433164</v>
      </c>
      <c r="H5" s="27">
        <f>Tableau!$G$26*SIN(F5*PI()/180)+Tableau!$H$25</f>
        <v>10122.148238458753</v>
      </c>
      <c r="J5" s="34">
        <v>2</v>
      </c>
      <c r="K5" s="35">
        <f>Tableau!$G$36*COS(J5*PI()/180)+Tableau!$G$35</f>
        <v>-3.0458649045212951</v>
      </c>
      <c r="L5" s="35">
        <f>Tableau!$G$36*SIN(J5*PI()/180)+Tableau!$H$35</f>
        <v>-14825.502516487495</v>
      </c>
      <c r="N5" s="98">
        <v>1</v>
      </c>
      <c r="O5" s="99">
        <v>0.5</v>
      </c>
      <c r="P5" s="100">
        <f>P4+R4*Tableau!$G$2+((1/2)*T4)*Tableau!$G$2^2</f>
        <v>11.371270631609661</v>
      </c>
      <c r="Q5" s="100">
        <f>Q4+S4*Tableau!$G$2+((1/2)*U4)*Tableau!$G$2^2</f>
        <v>-177.9161831415428</v>
      </c>
      <c r="R5" s="100">
        <f>R4+T4*Tableau!$G$2</f>
        <v>45.485082526438646</v>
      </c>
      <c r="S5" s="100">
        <f>S4+U4*Tableau!$G$2</f>
        <v>-711.66473256617121</v>
      </c>
      <c r="T5" s="101">
        <f t="shared" si="0"/>
        <v>63.422425101499812</v>
      </c>
      <c r="U5" s="101">
        <f t="shared" si="1"/>
        <v>-1455.1259785944524</v>
      </c>
      <c r="V5" s="101">
        <f>((Tableau!$G$16-P5)/(AC5^2+Tableau!$G$21^2)^(3/2))*Tableau!$G$20</f>
        <v>1066.0529056303851</v>
      </c>
      <c r="W5" s="101">
        <f>((Tableau!$H$16-Q5)/(AC5^2+Tableau!$G$21^2)^(3/2))*Tableau!$G$20</f>
        <v>409.4860616525761</v>
      </c>
      <c r="X5" s="101">
        <f>((Tableau!$G$25-P5)/(AD5^2+Tableau!$G$30^2)^(3/2))*Tableau!$G$29</f>
        <v>-317.58916663048689</v>
      </c>
      <c r="Y5" s="101">
        <f>((Tableau!$H$25-Q5)/(AD5^2+Tableau!$G$30^2)^(3/2))*Tableau!$G$29</f>
        <v>161.52795702624758</v>
      </c>
      <c r="Z5" s="101">
        <f>((Tableau!$G$35-P5)/(AE5^2+Tableau!$G$40^2)^(3/2))*Tableau!$G$39</f>
        <v>-685.04131389839836</v>
      </c>
      <c r="AA5" s="102">
        <f>((Tableau!$H$35-Q5)/(AE5^2+Tableau!$G$40^2)^(3/2))*Tableau!$G$39</f>
        <v>-2026.1399972732761</v>
      </c>
      <c r="AC5" s="113">
        <f>SQRT((Tableau!$G$16-P5)^2+(Tableau!$H$16-Q5)^2)</f>
        <v>21412.512122492262</v>
      </c>
      <c r="AD5" s="114">
        <f>SQRT((Tableau!$G$25-P5)^2+(Tableau!$H$25-Q5)^2)</f>
        <v>22450.945591714277</v>
      </c>
      <c r="AE5" s="115">
        <f>SQRT((Tableau!$G$35-P5)^2+(Tableau!$H$35-Q5)^2)</f>
        <v>15646.341766882419</v>
      </c>
    </row>
    <row r="6" spans="2:31" x14ac:dyDescent="0.25">
      <c r="B6" s="20">
        <v>3</v>
      </c>
      <c r="C6" s="21">
        <f>Tableau!$G$17*COS(B6*PI()/180)+Tableau!$G$16</f>
        <v>24993.14767377287</v>
      </c>
      <c r="D6" s="21">
        <f>Tableau!$G$17*SIN(B6*PI()/180)+Tableau!$H$16</f>
        <v>7761.6797812147188</v>
      </c>
      <c r="F6" s="28">
        <v>3</v>
      </c>
      <c r="G6" s="29">
        <f>Tableau!$G$26*COS(F6*PI()/180)+Tableau!$G$25</f>
        <v>-16504.796628358992</v>
      </c>
      <c r="H6" s="29">
        <f>Tableau!$G$26*SIN(F6*PI()/180)+Tableau!$H$25</f>
        <v>10183.175846850303</v>
      </c>
      <c r="J6" s="36">
        <v>3</v>
      </c>
      <c r="K6" s="37">
        <f>Tableau!$G$36*COS(J6*PI()/180)+Tableau!$G$35</f>
        <v>-6.8523262271310159</v>
      </c>
      <c r="L6" s="37">
        <f>Tableau!$G$36*SIN(J6*PI()/180)+Tableau!$H$35</f>
        <v>-14738.32021878528</v>
      </c>
      <c r="N6" s="92">
        <v>2</v>
      </c>
      <c r="O6" s="93">
        <v>1</v>
      </c>
      <c r="P6" s="96">
        <f>P5+R5*Tableau!$G$2+((1/2)*T5)*Tableau!$G$2^2</f>
        <v>42.041615032516461</v>
      </c>
      <c r="Q6" s="96">
        <f>Q5+S5*Tableau!$G$2+((1/2)*U5)*Tableau!$G$2^2</f>
        <v>-715.63929674893495</v>
      </c>
      <c r="R6" s="96">
        <f>R5+T5*Tableau!$G$2</f>
        <v>77.196295077188552</v>
      </c>
      <c r="S6" s="96">
        <f>S5+U5*Tableau!$G$2</f>
        <v>-1439.2277218633974</v>
      </c>
      <c r="T6" s="96">
        <f t="shared" si="0"/>
        <v>-26.714505669016944</v>
      </c>
      <c r="U6" s="96">
        <f t="shared" si="1"/>
        <v>-1559.8939631589346</v>
      </c>
      <c r="V6" s="96">
        <f>((Tableau!$G$16-P6)/(AC6^2+Tableau!$G$21^2)^(3/2))*Tableau!$G$20</f>
        <v>1039.4221537829105</v>
      </c>
      <c r="W6" s="96">
        <f>((Tableau!$H$16-Q6)/(AC6^2+Tableau!$G$21^2)^(3/2))*Tableau!$G$20</f>
        <v>427.8753030651842</v>
      </c>
      <c r="X6" s="96">
        <f>((Tableau!$G$25-P6)/(AD6^2+Tableau!$G$30^2)^(3/2))*Tableau!$G$29</f>
        <v>-306.63284468289214</v>
      </c>
      <c r="Y6" s="96">
        <f>((Tableau!$H$25-Q6)/(AD6^2+Tableau!$G$30^2)^(3/2))*Tableau!$G$29</f>
        <v>163.94372505909902</v>
      </c>
      <c r="Z6" s="96">
        <f>((Tableau!$G$35-P6)/(AE6^2+Tableau!$G$40^2)^(3/2))*Tableau!$G$39</f>
        <v>-759.50381476903533</v>
      </c>
      <c r="AA6" s="97">
        <f>((Tableau!$H$35-Q6)/(AE6^2+Tableau!$G$40^2)^(3/2))*Tableau!$G$39</f>
        <v>-2151.7129912832179</v>
      </c>
      <c r="AC6" s="110">
        <f>SQRT((Tableau!$G$16-P6)^2+(Tableau!$H$16-Q6)^2)</f>
        <v>21582.790179918331</v>
      </c>
      <c r="AD6" s="111">
        <f>SQRT((Tableau!$G$25-P6)^2+(Tableau!$H$25-Q6)^2)</f>
        <v>22726.82022713968</v>
      </c>
      <c r="AE6" s="112">
        <f>SQRT((Tableau!$G$35-P6)^2+(Tableau!$H$35-Q6)^2)</f>
        <v>15148.106955930267</v>
      </c>
    </row>
    <row r="7" spans="2:31" x14ac:dyDescent="0.25">
      <c r="B7" s="18">
        <v>4</v>
      </c>
      <c r="C7" s="19">
        <f>Tableau!$G$17*COS(B7*PI()/180)+Tableau!$G$16</f>
        <v>24987.820251299119</v>
      </c>
      <c r="D7" s="19">
        <f>Tableau!$G$17*SIN(B7*PI()/180)+Tableau!$H$16</f>
        <v>7848.7823687206264</v>
      </c>
      <c r="F7" s="26">
        <v>4</v>
      </c>
      <c r="G7" s="27">
        <f>Tableau!$G$26*COS(F7*PI()/180)+Tableau!$G$25</f>
        <v>-16508.525824090615</v>
      </c>
      <c r="H7" s="27">
        <f>Tableau!$G$26*SIN(F7*PI()/180)+Tableau!$H$25</f>
        <v>10244.147658104439</v>
      </c>
      <c r="J7" s="34">
        <v>4</v>
      </c>
      <c r="K7" s="35">
        <f>Tableau!$G$36*COS(J7*PI()/180)+Tableau!$G$35</f>
        <v>-12.179748700878918</v>
      </c>
      <c r="L7" s="35">
        <f>Tableau!$G$36*SIN(J7*PI()/180)+Tableau!$H$35</f>
        <v>-14651.217631279373</v>
      </c>
      <c r="N7" s="98">
        <v>3</v>
      </c>
      <c r="O7" s="99">
        <v>1.5</v>
      </c>
      <c r="P7" s="101">
        <f>P6+R6*Tableau!$G$2+((1/2)*T6)*Tableau!$G$2^2</f>
        <v>77.300449362483619</v>
      </c>
      <c r="Q7" s="101">
        <f>Q6+S6*Tableau!$G$2+((1/2)*U6)*Tableau!$G$2^2</f>
        <v>-1630.2399030755005</v>
      </c>
      <c r="R7" s="101">
        <f>R6+T6*Tableau!$G$2</f>
        <v>63.83904224268008</v>
      </c>
      <c r="S7" s="101">
        <f>S6+U6*Tableau!$G$2</f>
        <v>-2219.1747034428645</v>
      </c>
      <c r="T7" s="101">
        <f t="shared" si="0"/>
        <v>-206.43614615178558</v>
      </c>
      <c r="U7" s="101">
        <f t="shared" si="1"/>
        <v>-1771.8399665198472</v>
      </c>
      <c r="V7" s="101">
        <f>((Tableau!$G$16-P7)/(AC7^2+Tableau!$G$21^2)^(3/2))*Tableau!$G$20</f>
        <v>991.08639371267634</v>
      </c>
      <c r="W7" s="101">
        <f>((Tableau!$H$16-Q7)/(AC7^2+Tableau!$G$21^2)^(3/2))*Tableau!$G$20</f>
        <v>454.19831365077806</v>
      </c>
      <c r="X7" s="101">
        <f>((Tableau!$G$25-P7)/(AD7^2+Tableau!$G$30^2)^(3/2))*Tableau!$G$29</f>
        <v>-288.66113224435969</v>
      </c>
      <c r="Y7" s="101">
        <f>((Tableau!$H$25-Q7)/(AD7^2+Tableau!$G$30^2)^(3/2))*Tableau!$G$29</f>
        <v>167.21362651132253</v>
      </c>
      <c r="Z7" s="101">
        <f>((Tableau!$G$35-P7)/(AE7^2+Tableau!$G$40^2)^(3/2))*Tableau!$G$39</f>
        <v>-908.86140762010223</v>
      </c>
      <c r="AA7" s="102">
        <f>((Tableau!$H$35-Q7)/(AE7^2+Tableau!$G$40^2)^(3/2))*Tableau!$G$39</f>
        <v>-2393.2519066819477</v>
      </c>
      <c r="AC7" s="113">
        <f>SQRT((Tableau!$G$16-P7)^2+(Tableau!$H$16-Q7)^2)</f>
        <v>21915.182820882066</v>
      </c>
      <c r="AD7" s="114">
        <f>SQRT((Tableau!$G$25-P7)^2+(Tableau!$H$25-Q7)^2)</f>
        <v>23202.59626716503</v>
      </c>
      <c r="AE7" s="115">
        <f>SQRT((Tableau!$G$35-P7)^2+(Tableau!$H$35-Q7)^2)</f>
        <v>14301.379825122158</v>
      </c>
    </row>
    <row r="8" spans="2:31" x14ac:dyDescent="0.25">
      <c r="B8" s="20">
        <v>5</v>
      </c>
      <c r="C8" s="21">
        <f>Tableau!$G$17*COS(B8*PI()/180)+Tableau!$G$16</f>
        <v>24980.973490458728</v>
      </c>
      <c r="D8" s="21">
        <f>Tableau!$G$17*SIN(B8*PI()/180)+Tableau!$H$16</f>
        <v>7935.7787137382911</v>
      </c>
      <c r="F8" s="28">
        <v>5</v>
      </c>
      <c r="G8" s="29">
        <f>Tableau!$G$26*COS(F8*PI()/180)+Tableau!$G$25</f>
        <v>-16513.318556678889</v>
      </c>
      <c r="H8" s="29">
        <f>Tableau!$G$26*SIN(F8*PI()/180)+Tableau!$H$25</f>
        <v>10305.045099616804</v>
      </c>
      <c r="J8" s="36">
        <v>5</v>
      </c>
      <c r="K8" s="37">
        <f>Tableau!$G$36*COS(J8*PI()/180)+Tableau!$G$35</f>
        <v>-19.026509541272389</v>
      </c>
      <c r="L8" s="37">
        <f>Tableau!$G$36*SIN(J8*PI()/180)+Tableau!$H$35</f>
        <v>-14564.221286261709</v>
      </c>
      <c r="N8" s="92">
        <v>4</v>
      </c>
      <c r="O8" s="93">
        <v>2</v>
      </c>
      <c r="P8" s="96">
        <f>P7+R7*Tableau!$G$2+((1/2)*T7)*Tableau!$G$2^2</f>
        <v>83.415452214850461</v>
      </c>
      <c r="Q8" s="96">
        <f>Q7+S7*Tableau!$G$2+((1/2)*U7)*Tableau!$G$2^2</f>
        <v>-2961.3072506119138</v>
      </c>
      <c r="R8" s="96">
        <f>R7+T7*Tableau!$G$2</f>
        <v>-39.37903083321271</v>
      </c>
      <c r="S8" s="96">
        <f>S7+U7*Tableau!$G$2</f>
        <v>-3105.0946867027878</v>
      </c>
      <c r="T8" s="96">
        <f t="shared" si="0"/>
        <v>-540.91752038262166</v>
      </c>
      <c r="U8" s="96">
        <f t="shared" si="1"/>
        <v>-2173.0606106237028</v>
      </c>
      <c r="V8" s="96">
        <f>((Tableau!$G$16-P8)/(AC8^2+Tableau!$G$21^2)^(3/2))*Tableau!$G$20</f>
        <v>915.89781620741519</v>
      </c>
      <c r="W8" s="96">
        <f>((Tableau!$H$16-Q8)/(AC8^2+Tableau!$G$21^2)^(3/2))*Tableau!$G$20</f>
        <v>481.08090232648709</v>
      </c>
      <c r="X8" s="96">
        <f>((Tableau!$G$25-P8)/(AD8^2+Tableau!$G$30^2)^(3/2))*Tableau!$G$29</f>
        <v>-264.11279344339209</v>
      </c>
      <c r="Y8" s="96">
        <f>((Tableau!$H$25-Q8)/(AD8^2+Tableau!$G$30^2)^(3/2))*Tableau!$G$29</f>
        <v>170.45143903845701</v>
      </c>
      <c r="Z8" s="96">
        <f>((Tableau!$G$35-P8)/(AE8^2+Tableau!$G$40^2)^(3/2))*Tableau!$G$39</f>
        <v>-1192.7025431466448</v>
      </c>
      <c r="AA8" s="97">
        <f>((Tableau!$H$35-Q8)/(AE8^2+Tableau!$G$40^2)^(3/2))*Tableau!$G$39</f>
        <v>-2824.5929519886467</v>
      </c>
      <c r="AC8" s="110">
        <f>SQRT((Tableau!$G$16-P8)^2+(Tableau!$H$16-Q8)^2)</f>
        <v>22496.872881375748</v>
      </c>
      <c r="AD8" s="111">
        <f>SQRT((Tableau!$G$25-P8)^2+(Tableau!$H$25-Q8)^2)</f>
        <v>23902.699886645172</v>
      </c>
      <c r="AE8" s="112">
        <f>SQRT((Tableau!$G$35-P8)^2+(Tableau!$H$35-Q8)^2)</f>
        <v>13067.946884418609</v>
      </c>
    </row>
    <row r="9" spans="2:31" x14ac:dyDescent="0.25">
      <c r="B9" s="18">
        <v>6</v>
      </c>
      <c r="C9" s="19">
        <f>Tableau!$G$17*COS(B9*PI()/180)+Tableau!$G$16</f>
        <v>24972.609476841368</v>
      </c>
      <c r="D9" s="19">
        <f>Tableau!$G$17*SIN(B9*PI()/180)+Tableau!$H$16</f>
        <v>8022.6423163382669</v>
      </c>
      <c r="F9" s="26">
        <v>6</v>
      </c>
      <c r="G9" s="27">
        <f>Tableau!$G$26*COS(F9*PI()/180)+Tableau!$G$25</f>
        <v>-16519.173366211042</v>
      </c>
      <c r="H9" s="27">
        <f>Tableau!$G$26*SIN(F9*PI()/180)+Tableau!$H$25</f>
        <v>10365.849621436788</v>
      </c>
      <c r="J9" s="34">
        <v>6</v>
      </c>
      <c r="K9" s="35">
        <f>Tableau!$G$36*COS(J9*PI()/180)+Tableau!$G$35</f>
        <v>-27.390523158633187</v>
      </c>
      <c r="L9" s="35">
        <f>Tableau!$G$36*SIN(J9*PI()/180)+Tableau!$H$35</f>
        <v>-14477.357683661732</v>
      </c>
      <c r="N9" s="98">
        <v>5</v>
      </c>
      <c r="O9" s="99">
        <v>2.5</v>
      </c>
      <c r="P9" s="101">
        <f>P8+R8*Tableau!$G$2+((1/2)*T8)*Tableau!$G$2^2</f>
        <v>-3.8887532495836012</v>
      </c>
      <c r="Q9" s="101">
        <f>Q8+S8*Tableau!$G$2+((1/2)*U8)*Tableau!$G$2^2</f>
        <v>-4785.4871702912706</v>
      </c>
      <c r="R9" s="101">
        <f>R8+T8*Tableau!$G$2</f>
        <v>-309.83779102452354</v>
      </c>
      <c r="S9" s="101">
        <f>S8+U8*Tableau!$G$2</f>
        <v>-4191.6249920146392</v>
      </c>
      <c r="T9" s="101">
        <f t="shared" si="0"/>
        <v>-1203.1622244254249</v>
      </c>
      <c r="U9" s="101">
        <f t="shared" si="1"/>
        <v>-2967.8581124848943</v>
      </c>
      <c r="V9" s="101">
        <f>((Tableau!$G$16-P9)/(AC9^2+Tableau!$G$21^2)^(3/2))*Tableau!$G$20</f>
        <v>809.61905819803894</v>
      </c>
      <c r="W9" s="101">
        <f>((Tableau!$H$16-Q9)/(AC9^2+Tableau!$G$21^2)^(3/2))*Tableau!$G$20</f>
        <v>497.23154707604118</v>
      </c>
      <c r="X9" s="101">
        <f>((Tableau!$G$25-P9)/(AD9^2+Tableau!$G$30^2)^(3/2))*Tableau!$G$29</f>
        <v>-233.49416289632725</v>
      </c>
      <c r="Y9" s="101">
        <f>((Tableau!$H$25-Q9)/(AD9^2+Tableau!$G$30^2)^(3/2))*Tableau!$G$29</f>
        <v>172.64981711894544</v>
      </c>
      <c r="Z9" s="101">
        <f>((Tableau!$G$35-P9)/(AE9^2+Tableau!$G$40^2)^(3/2))*Tableau!$G$39</f>
        <v>-1779.2871197271368</v>
      </c>
      <c r="AA9" s="102">
        <f>((Tableau!$H$35-Q9)/(AE9^2+Tableau!$G$40^2)^(3/2))*Tableau!$G$39</f>
        <v>-3637.7394766798811</v>
      </c>
      <c r="AC9" s="113">
        <f>SQRT((Tableau!$G$16-P9)^2+(Tableau!$H$16-Q9)^2)</f>
        <v>23475.27976965933</v>
      </c>
      <c r="AD9" s="114">
        <f>SQRT((Tableau!$G$25-P9)^2+(Tableau!$H$25-Q9)^2)</f>
        <v>24868.757424834606</v>
      </c>
      <c r="AE9" s="115">
        <f>SQRT((Tableau!$G$35-P9)^2+(Tableau!$H$35-Q9)^2)</f>
        <v>11370.901456709147</v>
      </c>
    </row>
    <row r="10" spans="2:31" x14ac:dyDescent="0.25">
      <c r="B10" s="20">
        <v>7</v>
      </c>
      <c r="C10" s="21">
        <f>Tableau!$G$17*COS(B10*PI()/180)+Tableau!$G$16</f>
        <v>24962.73075820661</v>
      </c>
      <c r="D10" s="21">
        <f>Tableau!$G$17*SIN(B10*PI()/180)+Tableau!$H$16</f>
        <v>8109.3467170257372</v>
      </c>
      <c r="F10" s="28">
        <v>7</v>
      </c>
      <c r="G10" s="29">
        <f>Tableau!$G$26*COS(F10*PI()/180)+Tableau!$G$25</f>
        <v>-16526.088469255374</v>
      </c>
      <c r="H10" s="29">
        <f>Tableau!$G$26*SIN(F10*PI()/180)+Tableau!$H$25</f>
        <v>10426.542701918017</v>
      </c>
      <c r="J10" s="36">
        <v>7</v>
      </c>
      <c r="K10" s="37">
        <f>Tableau!$G$36*COS(J10*PI()/180)+Tableau!$G$35</f>
        <v>-37.269241793390393</v>
      </c>
      <c r="L10" s="37">
        <f>Tableau!$G$36*SIN(J10*PI()/180)+Tableau!$H$35</f>
        <v>-14390.653282974263</v>
      </c>
      <c r="N10" s="92">
        <v>6</v>
      </c>
      <c r="O10" s="93">
        <v>3</v>
      </c>
      <c r="P10" s="96">
        <f>P9+R9*Tableau!$G$2+((1/2)*T9)*Tableau!$G$2^2</f>
        <v>-309.20292681502349</v>
      </c>
      <c r="Q10" s="96">
        <f>Q9+S9*Tableau!$G$2+((1/2)*U9)*Tableau!$G$2^2</f>
        <v>-7252.2819303592014</v>
      </c>
      <c r="R10" s="96">
        <f>R9+T9*Tableau!$G$2</f>
        <v>-911.41890323723601</v>
      </c>
      <c r="S10" s="96">
        <f>S9+U9*Tableau!$G$2</f>
        <v>-5675.5540482570868</v>
      </c>
      <c r="T10" s="96">
        <f t="shared" si="0"/>
        <v>-2830.5902122602324</v>
      </c>
      <c r="U10" s="96">
        <f t="shared" si="1"/>
        <v>-4799.1336090737486</v>
      </c>
      <c r="V10" s="96">
        <f>((Tableau!$G$16-P10)/(AC10^2+Tableau!$G$21^2)^(3/2))*Tableau!$G$20</f>
        <v>672.3322672978303</v>
      </c>
      <c r="W10" s="96">
        <f>((Tableau!$H$16-Q10)/(AC10^2+Tableau!$G$21^2)^(3/2))*Tableau!$G$20</f>
        <v>488.37146360675354</v>
      </c>
      <c r="X10" s="96">
        <f>((Tableau!$G$25-P10)/(AD10^2+Tableau!$G$30^2)^(3/2))*Tableau!$G$29</f>
        <v>-197.09228225701102</v>
      </c>
      <c r="Y10" s="96">
        <f>((Tableau!$H$25-Q10)/(AD10^2+Tableau!$G$30^2)^(3/2))*Tableau!$G$29</f>
        <v>172.68430562551575</v>
      </c>
      <c r="Z10" s="96">
        <f>((Tableau!$G$35-P10)/(AE10^2+Tableau!$G$40^2)^(3/2))*Tableau!$G$39</f>
        <v>-3305.8301973010516</v>
      </c>
      <c r="AA10" s="97">
        <f>((Tableau!$H$35-Q10)/(AE10^2+Tableau!$G$40^2)^(3/2))*Tableau!$G$39</f>
        <v>-5460.1893783060177</v>
      </c>
      <c r="AC10" s="110">
        <f>SQRT((Tableau!$G$16-P10)^2+(Tableau!$H$16-Q10)^2)</f>
        <v>25101.664201310527</v>
      </c>
      <c r="AD10" s="111">
        <f>SQRT((Tableau!$G$25-P10)^2+(Tableau!$H$25-Q10)^2)</f>
        <v>26179.547765038813</v>
      </c>
      <c r="AE10" s="112">
        <f>SQRT((Tableau!$G$35-P10)^2+(Tableau!$H$35-Q10)^2)</f>
        <v>9057.080791758417</v>
      </c>
    </row>
    <row r="11" spans="2:31" x14ac:dyDescent="0.25">
      <c r="B11" s="18">
        <v>8</v>
      </c>
      <c r="C11" s="19">
        <f>Tableau!$G$17*COS(B11*PI()/180)+Tableau!$G$16</f>
        <v>24951.340343707852</v>
      </c>
      <c r="D11" s="19">
        <f>Tableau!$G$17*SIN(B11*PI()/180)+Tableau!$H$16</f>
        <v>8195.8655048003275</v>
      </c>
      <c r="F11" s="26">
        <v>8</v>
      </c>
      <c r="G11" s="27">
        <f>Tableau!$G$26*COS(F11*PI()/180)+Tableau!$G$25</f>
        <v>-16534.061759404503</v>
      </c>
      <c r="H11" s="27">
        <f>Tableau!$G$26*SIN(F11*PI()/180)+Tableau!$H$25</f>
        <v>10487.10585336023</v>
      </c>
      <c r="J11" s="34">
        <v>8</v>
      </c>
      <c r="K11" s="35">
        <f>Tableau!$G$36*COS(J11*PI()/180)+Tableau!$G$35</f>
        <v>-48.659656292148611</v>
      </c>
      <c r="L11" s="35">
        <f>Tableau!$G$36*SIN(J11*PI()/180)+Tableau!$H$35</f>
        <v>-14304.134495199673</v>
      </c>
      <c r="N11" s="98">
        <v>7</v>
      </c>
      <c r="O11" s="99">
        <v>3.5</v>
      </c>
      <c r="P11" s="101">
        <f>P10+R10*Tableau!$G$2+((1/2)*T10)*Tableau!$G$2^2</f>
        <v>-1118.7361549661705</v>
      </c>
      <c r="Q11" s="101">
        <f>Q10+S10*Tableau!$G$2+((1/2)*U10)*Tableau!$G$2^2</f>
        <v>-10689.950655621962</v>
      </c>
      <c r="R11" s="101">
        <f>R10+T10*Tableau!$G$2</f>
        <v>-2326.7140093673524</v>
      </c>
      <c r="S11" s="101">
        <f>S10+U10*Tableau!$G$2</f>
        <v>-8075.1208527939616</v>
      </c>
      <c r="T11" s="101">
        <f t="shared" si="0"/>
        <v>-10058.97601839165</v>
      </c>
      <c r="U11" s="101">
        <f t="shared" si="1"/>
        <v>-10957.05463569934</v>
      </c>
      <c r="V11" s="101">
        <f>((Tableau!$G$16-P11)/(AC11^2+Tableau!$G$21^2)^(3/2))*Tableau!$G$20</f>
        <v>510.66907417720029</v>
      </c>
      <c r="W11" s="101">
        <f>((Tableau!$H$16-Q11)/(AC11^2+Tableau!$G$21^2)^(3/2))*Tableau!$G$20</f>
        <v>439.84853982140703</v>
      </c>
      <c r="X11" s="101">
        <f>((Tableau!$G$25-P11)/(AD11^2+Tableau!$G$30^2)^(3/2))*Tableau!$G$29</f>
        <v>-154.30184654450784</v>
      </c>
      <c r="Y11" s="101">
        <f>((Tableau!$H$25-Q11)/(AD11^2+Tableau!$G$30^2)^(3/2))*Tableau!$G$29</f>
        <v>169.08283350517945</v>
      </c>
      <c r="Z11" s="101">
        <f>((Tableau!$G$35-P11)/(AE11^2+Tableau!$G$40^2)^(3/2))*Tableau!$G$39</f>
        <v>-10415.343246024342</v>
      </c>
      <c r="AA11" s="102">
        <f>((Tableau!$H$35-Q11)/(AE11^2+Tableau!$G$40^2)^(3/2))*Tableau!$G$39</f>
        <v>-11565.986009025926</v>
      </c>
      <c r="AC11" s="113">
        <f>SQRT((Tableau!$G$16-P11)^2+(Tableau!$H$16-Q11)^2)</f>
        <v>27872.483234133219</v>
      </c>
      <c r="AD11" s="114">
        <f>SQRT((Tableau!$G$25-P11)^2+(Tableau!$H$25-Q11)^2)</f>
        <v>28010.287083817144</v>
      </c>
      <c r="AE11" s="115">
        <f>SQRT((Tableau!$G$35-P11)^2+(Tableau!$H$35-Q11)^2)</f>
        <v>5800.0633087700289</v>
      </c>
    </row>
    <row r="12" spans="2:31" x14ac:dyDescent="0.25">
      <c r="B12" s="20">
        <v>9</v>
      </c>
      <c r="C12" s="21">
        <f>Tableau!$G$17*COS(B12*PI()/180)+Tableau!$G$16</f>
        <v>24938.441702975688</v>
      </c>
      <c r="D12" s="21">
        <f>Tableau!$G$17*SIN(B12*PI()/180)+Tableau!$H$16</f>
        <v>8282.1723252011543</v>
      </c>
      <c r="F12" s="28">
        <v>9</v>
      </c>
      <c r="G12" s="29">
        <f>Tableau!$G$26*COS(F12*PI()/180)+Tableau!$G$25</f>
        <v>-16543.090807917019</v>
      </c>
      <c r="H12" s="29">
        <f>Tableau!$G$26*SIN(F12*PI()/180)+Tableau!$H$25</f>
        <v>10547.520627640808</v>
      </c>
      <c r="J12" s="36">
        <v>9</v>
      </c>
      <c r="K12" s="37">
        <f>Tableau!$G$36*COS(J12*PI()/180)+Tableau!$G$35</f>
        <v>-61.558297024311287</v>
      </c>
      <c r="L12" s="37">
        <f>Tableau!$G$36*SIN(J12*PI()/180)+Tableau!$H$35</f>
        <v>-14217.827674798846</v>
      </c>
      <c r="N12" s="92">
        <v>8</v>
      </c>
      <c r="O12" s="93">
        <v>4</v>
      </c>
      <c r="P12" s="96">
        <f>P11+R11*Tableau!$G$2+((1/2)*T11)*Tableau!$G$2^2</f>
        <v>-3539.4651619488031</v>
      </c>
      <c r="Q12" s="96">
        <f>Q11+S11*Tableau!$G$2+((1/2)*U11)*Tableau!$G$2^2</f>
        <v>-16097.142911481362</v>
      </c>
      <c r="R12" s="96">
        <f>R11+T11*Tableau!$G$2</f>
        <v>-7356.2020185631773</v>
      </c>
      <c r="S12" s="96">
        <f>S11+U11*Tableau!$G$2</f>
        <v>-13553.648170643632</v>
      </c>
      <c r="T12" s="96">
        <f t="shared" si="0"/>
        <v>-125225.89589892857</v>
      </c>
      <c r="U12" s="96">
        <f t="shared" si="1"/>
        <v>94736.442155417215</v>
      </c>
      <c r="V12" s="96">
        <f>((Tableau!$G$16-P12)/(AC12^2+Tableau!$G$21^2)^(3/2))*Tableau!$G$20</f>
        <v>332.86202304378008</v>
      </c>
      <c r="W12" s="96">
        <f>((Tableau!$H$16-Q12)/(AC12^2+Tableau!$G$21^2)^(3/2))*Tableau!$G$20</f>
        <v>333.67762069062275</v>
      </c>
      <c r="X12" s="96">
        <f>((Tableau!$G$25-P12)/(AD12^2+Tableau!$G$30^2)^(3/2))*Tableau!$G$29</f>
        <v>-100.64086658370294</v>
      </c>
      <c r="Y12" s="96">
        <f>((Tableau!$H$25-Q12)/(AD12^2+Tableau!$G$30^2)^(3/2))*Tableau!$G$29</f>
        <v>159.55976545177529</v>
      </c>
      <c r="Z12" s="96">
        <f>((Tableau!$G$35-P12)/(AE12^2+Tableau!$G$40^2)^(3/2))*Tableau!$G$39</f>
        <v>-125458.11705538865</v>
      </c>
      <c r="AA12" s="97">
        <f>((Tableau!$H$35-Q12)/(AE12^2+Tableau!$G$40^2)^(3/2))*Tableau!$G$39</f>
        <v>94243.204769274816</v>
      </c>
      <c r="AC12" s="110">
        <f>SQRT((Tableau!$G$16-P12)^2+(Tableau!$H$16-Q12)^2)</f>
        <v>33330.640163301345</v>
      </c>
      <c r="AD12" s="111">
        <f>SQRT((Tableau!$G$25-P12)^2+(Tableau!$H$25-Q12)^2)</f>
        <v>30854.660511776481</v>
      </c>
      <c r="AE12" s="112">
        <f>SQRT((Tableau!$G$35-P12)^2+(Tableau!$H$35-Q12)^2)</f>
        <v>1826.7141487860206</v>
      </c>
    </row>
    <row r="13" spans="2:31" x14ac:dyDescent="0.25">
      <c r="B13" s="18">
        <v>10</v>
      </c>
      <c r="C13" s="19">
        <f>Tableau!$G$17*COS(B13*PI()/180)+Tableau!$G$16</f>
        <v>24924.038765061039</v>
      </c>
      <c r="D13" s="19">
        <f>Tableau!$G$17*SIN(B13*PI()/180)+Tableau!$H$16</f>
        <v>8368.2408883346525</v>
      </c>
      <c r="F13" s="26">
        <v>10</v>
      </c>
      <c r="G13" s="27">
        <f>Tableau!$G$26*COS(F13*PI()/180)+Tableau!$G$25</f>
        <v>-16553.172864457272</v>
      </c>
      <c r="H13" s="27">
        <f>Tableau!$G$26*SIN(F13*PI()/180)+Tableau!$H$25</f>
        <v>10607.768621834257</v>
      </c>
      <c r="J13" s="34">
        <v>10</v>
      </c>
      <c r="K13" s="35">
        <f>Tableau!$G$36*COS(J13*PI()/180)+Tableau!$G$35</f>
        <v>-75.961234938959933</v>
      </c>
      <c r="L13" s="35">
        <f>Tableau!$G$36*SIN(J13*PI()/180)+Tableau!$H$35</f>
        <v>-14131.759111665348</v>
      </c>
      <c r="N13" s="98">
        <v>9</v>
      </c>
      <c r="O13" s="99">
        <v>4.5</v>
      </c>
      <c r="P13" s="101">
        <f>P12+R12*Tableau!$G$2+((1/2)*T12)*Tableau!$G$2^2</f>
        <v>-22870.803158596464</v>
      </c>
      <c r="Q13" s="101">
        <f>Q12+S12*Tableau!$G$2+((1/2)*U12)*Tableau!$G$2^2</f>
        <v>-11031.911727376026</v>
      </c>
      <c r="R13" s="101">
        <f>R12+T12*Tableau!$G$2</f>
        <v>-69969.149968027457</v>
      </c>
      <c r="S13" s="101">
        <f>S12+U12*Tableau!$G$2</f>
        <v>33814.572907064976</v>
      </c>
      <c r="T13" s="101">
        <f t="shared" si="0"/>
        <v>1799.5500015261514</v>
      </c>
      <c r="U13" s="101">
        <f t="shared" si="1"/>
        <v>151.47845712402807</v>
      </c>
      <c r="V13" s="101">
        <f>((Tableau!$G$16-P13)/(AC13^2+Tableau!$G$21^2)^(3/2))*Tableau!$G$20</f>
        <v>220.33116925738483</v>
      </c>
      <c r="W13" s="101">
        <f>((Tableau!$H$16-Q13)/(AC13^2+Tableau!$G$21^2)^(3/2))*Tableau!$G$20</f>
        <v>95.243323628954371</v>
      </c>
      <c r="X13" s="101">
        <f>((Tableau!$G$25-P13)/(AD13^2+Tableau!$G$30^2)^(3/2))*Tableau!$G$29</f>
        <v>53.905640691812579</v>
      </c>
      <c r="Y13" s="101">
        <f>((Tableau!$H$25-Q13)/(AD13^2+Tableau!$G$30^2)^(3/2))*Tableau!$G$29</f>
        <v>394.92038081501079</v>
      </c>
      <c r="Z13" s="101">
        <f>((Tableau!$G$35-P13)/(AE13^2+Tableau!$G$40^2)^(3/2))*Tableau!$G$39</f>
        <v>1525.3131915769541</v>
      </c>
      <c r="AA13" s="102">
        <f>((Tableau!$H$35-Q13)/(AE13^2+Tableau!$G$40^2)^(3/2))*Tableau!$G$39</f>
        <v>-338.6852473199371</v>
      </c>
      <c r="AC13" s="113">
        <f>SQRT((Tableau!$G$16-P13)^2+(Tableau!$H$16-Q13)^2)</f>
        <v>46704.791143247625</v>
      </c>
      <c r="AD13" s="114">
        <f>SQRT((Tableau!$G$25-P13)^2+(Tableau!$H$25-Q13)^2)</f>
        <v>21226.936229318275</v>
      </c>
      <c r="AE13" s="115">
        <f>SQRT((Tableau!$G$35-P13)^2+(Tableau!$H$35-Q13)^2)</f>
        <v>18306.046270908344</v>
      </c>
    </row>
    <row r="14" spans="2:31" x14ac:dyDescent="0.25">
      <c r="B14" s="20">
        <v>11</v>
      </c>
      <c r="C14" s="21">
        <f>Tableau!$G$17*COS(B14*PI()/180)+Tableau!$G$16</f>
        <v>24908.13591723832</v>
      </c>
      <c r="D14" s="21">
        <f>Tableau!$G$17*SIN(B14*PI()/180)+Tableau!$H$16</f>
        <v>8454.0449768827239</v>
      </c>
      <c r="F14" s="28">
        <v>11</v>
      </c>
      <c r="G14" s="29">
        <f>Tableau!$G$26*COS(F14*PI()/180)+Tableau!$G$25</f>
        <v>-16564.304857933177</v>
      </c>
      <c r="H14" s="29">
        <f>Tableau!$G$26*SIN(F14*PI()/180)+Tableau!$H$25</f>
        <v>10667.831483817907</v>
      </c>
      <c r="J14" s="36">
        <v>11</v>
      </c>
      <c r="K14" s="37">
        <f>Tableau!$G$36*COS(J14*PI()/180)+Tableau!$G$35</f>
        <v>-91.864082761680038</v>
      </c>
      <c r="L14" s="37">
        <f>Tableau!$G$36*SIN(J14*PI()/180)+Tableau!$H$35</f>
        <v>-14045.955023117276</v>
      </c>
      <c r="N14" s="92">
        <v>10</v>
      </c>
      <c r="O14" s="93">
        <v>5</v>
      </c>
      <c r="P14" s="96">
        <f>P13+R13*Tableau!$G$2+((1/2)*T13)*Tableau!$G$2^2</f>
        <v>-57630.434392419425</v>
      </c>
      <c r="Q14" s="96">
        <f>Q13+S13*Tableau!$G$2+((1/2)*U13)*Tableau!$G$2^2</f>
        <v>5894.309533296966</v>
      </c>
      <c r="R14" s="96">
        <f>R13+T13*Tableau!$G$2</f>
        <v>-69069.374967264375</v>
      </c>
      <c r="S14" s="96">
        <f>S13+U13*Tableau!$G$2</f>
        <v>33890.312135626991</v>
      </c>
      <c r="T14" s="96">
        <f t="shared" si="0"/>
        <v>363.19207262288421</v>
      </c>
      <c r="U14" s="96">
        <f t="shared" si="1"/>
        <v>-44.862101123409587</v>
      </c>
      <c r="V14" s="96">
        <f>((Tableau!$G$16-P14)/(AC14^2+Tableau!$G$21^2)^(3/2))*Tableau!$G$20</f>
        <v>86.827230839397629</v>
      </c>
      <c r="W14" s="96">
        <f>((Tableau!$H$16-Q14)/(AC14^2+Tableau!$G$21^2)^(3/2))*Tableau!$G$20</f>
        <v>1.7959149385187327</v>
      </c>
      <c r="X14" s="96">
        <f>((Tableau!$G$25-P14)/(AD14^2+Tableau!$G$30^2)^(3/2))*Tableau!$G$29</f>
        <v>124.59634192188241</v>
      </c>
      <c r="Y14" s="96">
        <f>((Tableau!$H$25-Q14)/(AD14^2+Tableau!$G$30^2)^(3/2))*Tableau!$G$29</f>
        <v>13.594156471332036</v>
      </c>
      <c r="Z14" s="96">
        <f>((Tableau!$G$35-P14)/(AE14^2+Tableau!$G$40^2)^(3/2))*Tableau!$G$39</f>
        <v>151.76849986160417</v>
      </c>
      <c r="AA14" s="97">
        <f>((Tableau!$H$35-Q14)/(AE14^2+Tableau!$G$40^2)^(3/2))*Tableau!$G$39</f>
        <v>-60.252172533260357</v>
      </c>
      <c r="AC14" s="110">
        <f>SQRT((Tableau!$G$16-P14)^2+(Tableau!$H$16-Q14)^2)</f>
        <v>77647.03848718635</v>
      </c>
      <c r="AD14" s="111">
        <f>SQRT((Tableau!$G$25-P14)^2+(Tableau!$H$25-Q14)^2)</f>
        <v>37853.748648853245</v>
      </c>
      <c r="AE14" s="112">
        <f>SQRT((Tableau!$G$35-P14)^2+(Tableau!$H$35-Q14)^2)</f>
        <v>56626.27301180955</v>
      </c>
    </row>
    <row r="15" spans="2:31" x14ac:dyDescent="0.25">
      <c r="B15" s="18">
        <v>12</v>
      </c>
      <c r="C15" s="19">
        <f>Tableau!$G$17*COS(B15*PI()/180)+Tableau!$G$16</f>
        <v>24890.73800366903</v>
      </c>
      <c r="D15" s="19">
        <f>Tableau!$G$17*SIN(B15*PI()/180)+Tableau!$H$16</f>
        <v>8539.5584540887976</v>
      </c>
      <c r="F15" s="26">
        <v>12</v>
      </c>
      <c r="G15" s="27">
        <f>Tableau!$G$26*COS(F15*PI()/180)+Tableau!$G$25</f>
        <v>-16576.483397431679</v>
      </c>
      <c r="H15" s="27">
        <f>Tableau!$G$26*SIN(F15*PI()/180)+Tableau!$H$25</f>
        <v>10727.690917862157</v>
      </c>
      <c r="J15" s="34">
        <v>12</v>
      </c>
      <c r="K15" s="35">
        <f>Tableau!$G$36*COS(J15*PI()/180)+Tableau!$G$35</f>
        <v>-109.26199633097167</v>
      </c>
      <c r="L15" s="35">
        <f>Tableau!$G$36*SIN(J15*PI()/180)+Tableau!$H$35</f>
        <v>-13960.441545911202</v>
      </c>
      <c r="N15" s="98">
        <v>11</v>
      </c>
      <c r="O15" s="99">
        <v>5.5</v>
      </c>
      <c r="P15" s="101">
        <f>P14+R14*Tableau!$G$2+((1/2)*T14)*Tableau!$G$2^2</f>
        <v>-92119.722866973767</v>
      </c>
      <c r="Q15" s="101">
        <f>Q14+S14*Tableau!$G$2+((1/2)*U14)*Tableau!$G$2^2</f>
        <v>22833.857838470034</v>
      </c>
      <c r="R15" s="101">
        <f>R14+T14*Tableau!$G$2</f>
        <v>-68887.778930952933</v>
      </c>
      <c r="S15" s="101">
        <f>S14+U14*Tableau!$G$2</f>
        <v>33867.881085065288</v>
      </c>
      <c r="T15" s="101">
        <f t="shared" si="0"/>
        <v>126.69873861200136</v>
      </c>
      <c r="U15" s="101">
        <f t="shared" si="1"/>
        <v>-34.523624741895901</v>
      </c>
      <c r="V15" s="101">
        <f>((Tableau!$G$16-P15)/(AC15^2+Tableau!$G$21^2)^(3/2))*Tableau!$G$20</f>
        <v>40.510019699827929</v>
      </c>
      <c r="W15" s="101">
        <f>((Tableau!$H$16-Q15)/(AC15^2+Tableau!$G$21^2)^(3/2))*Tableau!$G$20</f>
        <v>-5.5402820059391766</v>
      </c>
      <c r="X15" s="101">
        <f>((Tableau!$G$25-P15)/(AD15^2+Tableau!$G$30^2)^(3/2))*Tableau!$G$29</f>
        <v>32.95151310776712</v>
      </c>
      <c r="Y15" s="101">
        <f>((Tableau!$H$25-Q15)/(AD15^2+Tableau!$G$30^2)^(3/2))*Tableau!$G$29</f>
        <v>-5.8637917337481076</v>
      </c>
      <c r="Z15" s="101">
        <f>((Tableau!$G$35-P15)/(AE15^2+Tableau!$G$40^2)^(3/2))*Tableau!$G$39</f>
        <v>53.237205804406322</v>
      </c>
      <c r="AA15" s="102">
        <f>((Tableau!$H$35-Q15)/(AE15^2+Tableau!$G$40^2)^(3/2))*Tableau!$G$39</f>
        <v>-23.11955100220862</v>
      </c>
      <c r="AC15" s="113">
        <f>SQRT((Tableau!$G$16-P15)^2+(Tableau!$H$16-Q15)^2)</f>
        <v>113163.41923067458</v>
      </c>
      <c r="AD15" s="114">
        <f>SQRT((Tableau!$G$25-P15)^2+(Tableau!$H$25-Q15)^2)</f>
        <v>73252.729187567864</v>
      </c>
      <c r="AE15" s="115">
        <f>SQRT((Tableau!$G$35-P15)^2+(Tableau!$H$35-Q15)^2)</f>
        <v>94980.244847862297</v>
      </c>
    </row>
    <row r="16" spans="2:31" x14ac:dyDescent="0.25">
      <c r="B16" s="20">
        <v>13</v>
      </c>
      <c r="C16" s="21">
        <f>Tableau!$G$17*COS(B16*PI()/180)+Tableau!$G$16</f>
        <v>24871.850323926177</v>
      </c>
      <c r="D16" s="21">
        <f>Tableau!$G$17*SIN(B16*PI()/180)+Tableau!$H$16</f>
        <v>8624.7552717193248</v>
      </c>
      <c r="F16" s="28">
        <v>13</v>
      </c>
      <c r="G16" s="29">
        <f>Tableau!$G$26*COS(F16*PI()/180)+Tableau!$G$25</f>
        <v>-16589.704773251677</v>
      </c>
      <c r="H16" s="29">
        <f>Tableau!$G$26*SIN(F16*PI()/180)+Tableau!$H$25</f>
        <v>10787.328690203527</v>
      </c>
      <c r="J16" s="36">
        <v>13</v>
      </c>
      <c r="K16" s="37">
        <f>Tableau!$G$36*COS(J16*PI()/180)+Tableau!$G$35</f>
        <v>-128.14967607382368</v>
      </c>
      <c r="L16" s="37">
        <f>Tableau!$G$36*SIN(J16*PI()/180)+Tableau!$H$35</f>
        <v>-13875.244728280675</v>
      </c>
      <c r="N16" s="92">
        <v>12</v>
      </c>
      <c r="O16" s="93">
        <v>6</v>
      </c>
      <c r="P16" s="96">
        <f>P15+R15*Tableau!$G$2+((1/2)*T15)*Tableau!$G$2^2</f>
        <v>-126547.77499012373</v>
      </c>
      <c r="Q16" s="96">
        <f>Q15+S15*Tableau!$G$2+((1/2)*U15)*Tableau!$G$2^2</f>
        <v>39763.482927909943</v>
      </c>
      <c r="R16" s="96">
        <f>R15+T15*Tableau!$G$2</f>
        <v>-68824.429561646932</v>
      </c>
      <c r="S16" s="96">
        <f>S15+U15*Tableau!$G$2</f>
        <v>33850.619272694341</v>
      </c>
      <c r="T16" s="96">
        <f t="shared" si="0"/>
        <v>63.703290819464627</v>
      </c>
      <c r="U16" s="96">
        <f t="shared" si="1"/>
        <v>-21.049667387831576</v>
      </c>
      <c r="V16" s="96">
        <f>((Tableau!$G$16-P16)/(AC16^2+Tableau!$G$21^2)^(3/2))*Tableau!$G$20</f>
        <v>22.709458269691453</v>
      </c>
      <c r="W16" s="96">
        <f>((Tableau!$H$16-Q16)/(AC16^2+Tableau!$G$21^2)^(3/2))*Tableau!$G$20</f>
        <v>-4.9996406921609777</v>
      </c>
      <c r="X16" s="96">
        <f>((Tableau!$G$25-P16)/(AD16^2+Tableau!$G$30^2)^(3/2))*Tableau!$G$29</f>
        <v>14.133699159983285</v>
      </c>
      <c r="Y16" s="96">
        <f>((Tableau!$H$25-Q16)/(AD16^2+Tableau!$G$30^2)^(3/2))*Tableau!$G$29</f>
        <v>-3.9481642267552823</v>
      </c>
      <c r="Z16" s="96">
        <f>((Tableau!$G$35-P16)/(AE16^2+Tableau!$G$40^2)^(3/2))*Tableau!$G$39</f>
        <v>26.860133389789883</v>
      </c>
      <c r="AA16" s="97">
        <f>((Tableau!$H$35-Q16)/(AE16^2+Tableau!$G$40^2)^(3/2))*Tableau!$G$39</f>
        <v>-12.101862468915316</v>
      </c>
      <c r="AC16" s="110">
        <f>SQRT((Tableau!$G$16-P16)^2+(Tableau!$H$16-Q16)^2)</f>
        <v>150057.26468650383</v>
      </c>
      <c r="AD16" s="111">
        <f>SQRT((Tableau!$G$25-P16)^2+(Tableau!$H$25-Q16)^2)</f>
        <v>110626.81985552156</v>
      </c>
      <c r="AE16" s="112">
        <f>SQRT((Tableau!$G$35-P16)^2+(Tableau!$H$35-Q16)^2)</f>
        <v>133315.04291506353</v>
      </c>
    </row>
    <row r="17" spans="2:31" x14ac:dyDescent="0.25">
      <c r="B17" s="18">
        <v>14</v>
      </c>
      <c r="C17" s="19">
        <f>Tableau!$G$17*COS(B17*PI()/180)+Tableau!$G$16</f>
        <v>24851.478631379981</v>
      </c>
      <c r="D17" s="19">
        <f>Tableau!$G$17*SIN(B17*PI()/180)+Tableau!$H$16</f>
        <v>8709.6094779983396</v>
      </c>
      <c r="F17" s="26">
        <v>14</v>
      </c>
      <c r="G17" s="27">
        <f>Tableau!$G$26*COS(F17*PI()/180)+Tableau!$G$25</f>
        <v>-16603.964958034012</v>
      </c>
      <c r="H17" s="27">
        <f>Tableau!$G$26*SIN(F17*PI()/180)+Tableau!$H$25</f>
        <v>10846.726634598837</v>
      </c>
      <c r="J17" s="34">
        <v>14</v>
      </c>
      <c r="K17" s="35">
        <f>Tableau!$G$36*COS(J17*PI()/180)+Tableau!$G$35</f>
        <v>-148.52136862001771</v>
      </c>
      <c r="L17" s="35">
        <f>Tableau!$G$36*SIN(J17*PI()/180)+Tableau!$H$35</f>
        <v>-13790.39052200166</v>
      </c>
      <c r="N17" s="98">
        <v>13</v>
      </c>
      <c r="O17" s="99">
        <v>6.5</v>
      </c>
      <c r="P17" s="101">
        <f>P16+R16*Tableau!$G$2+((1/2)*T16)*Tableau!$G$2^2</f>
        <v>-160952.02685959477</v>
      </c>
      <c r="Q17" s="101">
        <f>Q16+S16*Tableau!$G$2+((1/2)*U16)*Tableau!$G$2^2</f>
        <v>56686.161355833632</v>
      </c>
      <c r="R17" s="101">
        <f>R16+T16*Tableau!$G$2</f>
        <v>-68792.577916237205</v>
      </c>
      <c r="S17" s="101">
        <f>S16+U16*Tableau!$G$2</f>
        <v>33840.094439000422</v>
      </c>
      <c r="T17" s="101">
        <f t="shared" si="0"/>
        <v>38.250948086574788</v>
      </c>
      <c r="U17" s="101">
        <f t="shared" si="1"/>
        <v>-13.890217789643774</v>
      </c>
      <c r="V17" s="101">
        <f>((Tableau!$G$16-P17)/(AC17^2+Tableau!$G$21^2)^(3/2))*Tableau!$G$20</f>
        <v>14.369272388427946</v>
      </c>
      <c r="W17" s="101">
        <f>((Tableau!$H$16-Q17)/(AC17^2+Tableau!$G$21^2)^(3/2))*Tableau!$G$20</f>
        <v>-3.9058382629311028</v>
      </c>
      <c r="X17" s="101">
        <f>((Tableau!$G$25-P17)/(AD17^2+Tableau!$G$30^2)^(3/2))*Tableau!$G$29</f>
        <v>7.7328164332157092</v>
      </c>
      <c r="Y17" s="101">
        <f>((Tableau!$H$25-Q17)/(AD17^2+Tableau!$G$30^2)^(3/2))*Tableau!$G$29</f>
        <v>-2.5612651607753434</v>
      </c>
      <c r="Z17" s="101">
        <f>((Tableau!$G$35-P17)/(AE17^2+Tableau!$G$40^2)^(3/2))*Tableau!$G$39</f>
        <v>16.148859264931133</v>
      </c>
      <c r="AA17" s="102">
        <f>((Tableau!$H$35-Q17)/(AE17^2+Tableau!$G$40^2)^(3/2))*Tableau!$G$39</f>
        <v>-7.4231143659373284</v>
      </c>
      <c r="AC17" s="113">
        <f>SQRT((Tableau!$G$16-P17)^2+(Tableau!$H$16-Q17)^2)</f>
        <v>187517.77114054447</v>
      </c>
      <c r="AD17" s="114">
        <f>SQRT((Tableau!$G$25-P17)^2+(Tableau!$H$25-Q17)^2)</f>
        <v>148482.56307718714</v>
      </c>
      <c r="AE17" s="115">
        <f>SQRT((Tableau!$G$35-P17)^2+(Tableau!$H$35-Q17)^2)</f>
        <v>171638.98278523554</v>
      </c>
    </row>
    <row r="18" spans="2:31" x14ac:dyDescent="0.25">
      <c r="B18" s="20">
        <v>15</v>
      </c>
      <c r="C18" s="21">
        <f>Tableau!$G$17*COS(B18*PI()/180)+Tableau!$G$16</f>
        <v>24829.629131445341</v>
      </c>
      <c r="D18" s="21">
        <f>Tableau!$G$17*SIN(B18*PI()/180)+Tableau!$H$16</f>
        <v>8794.0952255126031</v>
      </c>
      <c r="F18" s="28">
        <v>15</v>
      </c>
      <c r="G18" s="29">
        <f>Tableau!$G$26*COS(F18*PI()/180)+Tableau!$G$25</f>
        <v>-16619.259607988261</v>
      </c>
      <c r="H18" s="29">
        <f>Tableau!$G$26*SIN(F18*PI()/180)+Tableau!$H$25</f>
        <v>10905.866657858822</v>
      </c>
      <c r="J18" s="36">
        <v>15</v>
      </c>
      <c r="K18" s="37">
        <f>Tableau!$G$36*COS(J18*PI()/180)+Tableau!$G$35</f>
        <v>-170.37086855465805</v>
      </c>
      <c r="L18" s="37">
        <f>Tableau!$G$36*SIN(J18*PI()/180)+Tableau!$H$35</f>
        <v>-13705.904774487397</v>
      </c>
      <c r="N18" s="92">
        <v>14</v>
      </c>
      <c r="O18" s="93">
        <v>7</v>
      </c>
      <c r="P18" s="96">
        <f>P17+R17*Tableau!$G$2+((1/2)*T17)*Tableau!$G$2^2</f>
        <v>-195343.53444920256</v>
      </c>
      <c r="Q18" s="96">
        <f>Q17+S17*Tableau!$G$2+((1/2)*U17)*Tableau!$G$2^2</f>
        <v>73604.472298110137</v>
      </c>
      <c r="R18" s="96">
        <f>R17+T17*Tableau!$G$2</f>
        <v>-68773.452442193913</v>
      </c>
      <c r="S18" s="96">
        <f>S17+U17*Tableau!$G$2</f>
        <v>33833.149330105603</v>
      </c>
      <c r="T18" s="96">
        <f t="shared" si="0"/>
        <v>25.485571438396246</v>
      </c>
      <c r="U18" s="96">
        <f t="shared" si="1"/>
        <v>-9.8010712619890477</v>
      </c>
      <c r="V18" s="96">
        <f>((Tableau!$G$16-P18)/(AC18^2+Tableau!$G$21^2)^(3/2))*Tableau!$G$20</f>
        <v>9.8644047349008606</v>
      </c>
      <c r="W18" s="96">
        <f>((Tableau!$H$16-Q18)/(AC18^2+Tableau!$G$21^2)^(3/2))*Tableau!$G$20</f>
        <v>-3.0280977378934031</v>
      </c>
      <c r="X18" s="96">
        <f>((Tableau!$G$25-P18)/(AD18^2+Tableau!$G$30^2)^(3/2))*Tableau!$G$29</f>
        <v>4.8527096108657224</v>
      </c>
      <c r="Y18" s="96">
        <f>((Tableau!$H$25-Q18)/(AD18^2+Tableau!$G$30^2)^(3/2))*Tableau!$G$29</f>
        <v>-1.7602818089907928</v>
      </c>
      <c r="Z18" s="96">
        <f>((Tableau!$G$35-P18)/(AE18^2+Tableau!$G$40^2)^(3/2))*Tableau!$G$39</f>
        <v>10.768457092629664</v>
      </c>
      <c r="AA18" s="97">
        <f>((Tableau!$H$35-Q18)/(AE18^2+Tableau!$G$40^2)^(3/2))*Tableau!$G$39</f>
        <v>-5.012691715104852</v>
      </c>
      <c r="AC18" s="110">
        <f>SQRT((Tableau!$G$16-P18)^2+(Tableau!$H$16-Q18)^2)</f>
        <v>225261.26850145921</v>
      </c>
      <c r="AD18" s="111">
        <f>SQRT((Tableau!$G$25-P18)^2+(Tableau!$H$25-Q18)^2)</f>
        <v>186523.14593492076</v>
      </c>
      <c r="AE18" s="112">
        <f>SQRT((Tableau!$G$35-P18)^2+(Tableau!$H$35-Q18)^2)</f>
        <v>209955.74204541615</v>
      </c>
    </row>
    <row r="19" spans="2:31" x14ac:dyDescent="0.25">
      <c r="B19" s="18">
        <v>16</v>
      </c>
      <c r="C19" s="19">
        <f>Tableau!$G$17*COS(B19*PI()/180)+Tableau!$G$16</f>
        <v>24806.308479691594</v>
      </c>
      <c r="D19" s="19">
        <f>Tableau!$G$17*SIN(B19*PI()/180)+Tableau!$H$16</f>
        <v>8878.1867790849956</v>
      </c>
      <c r="F19" s="26">
        <v>16</v>
      </c>
      <c r="G19" s="27">
        <f>Tableau!$G$26*COS(F19*PI()/180)+Tableau!$G$25</f>
        <v>-16635.584064215884</v>
      </c>
      <c r="H19" s="27">
        <f>Tableau!$G$26*SIN(F19*PI()/180)+Tableau!$H$25</f>
        <v>10964.730745359497</v>
      </c>
      <c r="J19" s="34">
        <v>16</v>
      </c>
      <c r="K19" s="35">
        <f>Tableau!$G$36*COS(J19*PI()/180)+Tableau!$G$35</f>
        <v>-193.69152030840542</v>
      </c>
      <c r="L19" s="35">
        <f>Tableau!$G$36*SIN(J19*PI()/180)+Tableau!$H$35</f>
        <v>-13621.813220915004</v>
      </c>
      <c r="N19" s="98">
        <v>15</v>
      </c>
      <c r="O19" s="99">
        <v>7.5</v>
      </c>
      <c r="P19" s="101">
        <f>P18+R18*Tableau!$G$2+((1/2)*T18)*Tableau!$G$2^2</f>
        <v>-229727.07497386972</v>
      </c>
      <c r="Q19" s="101">
        <f>Q18+S18*Tableau!$G$2+((1/2)*U18)*Tableau!$G$2^2</f>
        <v>90519.82182925519</v>
      </c>
      <c r="R19" s="101">
        <f>R18+T18*Tableau!$G$2</f>
        <v>-68760.709656474719</v>
      </c>
      <c r="S19" s="101">
        <f>S18+U18*Tableau!$G$2</f>
        <v>33828.24879447461</v>
      </c>
      <c r="T19" s="101">
        <f t="shared" si="0"/>
        <v>18.185830032140707</v>
      </c>
      <c r="U19" s="101">
        <f t="shared" si="1"/>
        <v>-7.2710301146420457</v>
      </c>
      <c r="V19" s="101">
        <f>((Tableau!$G$16-P19)/(AC19^2+Tableau!$G$21^2)^(3/2))*Tableau!$G$20</f>
        <v>7.1742921883934523</v>
      </c>
      <c r="W19" s="101">
        <f>((Tableau!$H$16-Q19)/(AC19^2+Tableau!$G$21^2)^(3/2))*Tableau!$G$20</f>
        <v>-2.3850375827040917</v>
      </c>
      <c r="X19" s="101">
        <f>((Tableau!$G$25-P19)/(AD19^2+Tableau!$G$30^2)^(3/2))*Tableau!$G$29</f>
        <v>3.3220919014826569</v>
      </c>
      <c r="Y19" s="101">
        <f>((Tableau!$H$25-Q19)/(AD19^2+Tableau!$G$30^2)^(3/2))*Tableau!$G$29</f>
        <v>-1.2754397496895558</v>
      </c>
      <c r="Z19" s="101">
        <f>((Tableau!$G$35-P19)/(AE19^2+Tableau!$G$40^2)^(3/2))*Tableau!$G$39</f>
        <v>7.6894459422645971</v>
      </c>
      <c r="AA19" s="102">
        <f>((Tableau!$H$35-Q19)/(AE19^2+Tableau!$G$40^2)^(3/2))*Tableau!$G$39</f>
        <v>-3.6105527822483983</v>
      </c>
      <c r="AC19" s="113">
        <f>SQRT((Tableau!$G$16-P19)^2+(Tableau!$H$16-Q19)^2)</f>
        <v>263165.1625720358</v>
      </c>
      <c r="AD19" s="114">
        <f>SQRT((Tableau!$G$25-P19)^2+(Tableau!$H$25-Q19)^2)</f>
        <v>224652.81588377693</v>
      </c>
      <c r="AE19" s="115">
        <f>SQRT((Tableau!$G$35-P19)^2+(Tableau!$H$35-Q19)^2)</f>
        <v>248267.37809303304</v>
      </c>
    </row>
    <row r="20" spans="2:31" x14ac:dyDescent="0.25">
      <c r="B20" s="20">
        <v>17</v>
      </c>
      <c r="C20" s="21">
        <f>Tableau!$G$17*COS(B20*PI()/180)+Tableau!$G$16</f>
        <v>24781.523779815179</v>
      </c>
      <c r="D20" s="21">
        <f>Tableau!$G$17*SIN(B20*PI()/180)+Tableau!$H$16</f>
        <v>8961.8585236136842</v>
      </c>
      <c r="F20" s="28">
        <v>17</v>
      </c>
      <c r="G20" s="29">
        <f>Tableau!$G$26*COS(F20*PI()/180)+Tableau!$G$25</f>
        <v>-16652.933354129374</v>
      </c>
      <c r="H20" s="29">
        <f>Tableau!$G$26*SIN(F20*PI()/180)+Tableau!$H$25</f>
        <v>11023.300966529579</v>
      </c>
      <c r="J20" s="36">
        <v>17</v>
      </c>
      <c r="K20" s="37">
        <f>Tableau!$G$36*COS(J20*PI()/180)+Tableau!$G$35</f>
        <v>-218.47622018482252</v>
      </c>
      <c r="L20" s="37">
        <f>Tableau!$G$36*SIN(J20*PI()/180)+Tableau!$H$35</f>
        <v>-13538.141476386316</v>
      </c>
      <c r="N20" s="92">
        <v>16</v>
      </c>
      <c r="O20" s="93">
        <v>8</v>
      </c>
      <c r="P20" s="96">
        <f>P19+R19*Tableau!$G$2+((1/2)*T19)*Tableau!$G$2^2</f>
        <v>-264105.1565733531</v>
      </c>
      <c r="Q20" s="96">
        <f>Q19+S19*Tableau!$G$2+((1/2)*U19)*Tableau!$G$2^2</f>
        <v>107433.03734772817</v>
      </c>
      <c r="R20" s="96">
        <f>R19+T19*Tableau!$G$2</f>
        <v>-68751.616741458653</v>
      </c>
      <c r="S20" s="96">
        <f>S19+U19*Tableau!$G$2</f>
        <v>33824.613279417288</v>
      </c>
      <c r="T20" s="96">
        <f t="shared" si="0"/>
        <v>13.624667355975863</v>
      </c>
      <c r="U20" s="96">
        <f t="shared" si="1"/>
        <v>-5.6030822720992166</v>
      </c>
      <c r="V20" s="96">
        <f>((Tableau!$G$16-P20)/(AC20^2+Tableau!$G$21^2)^(3/2))*Tableau!$G$20</f>
        <v>5.4456523895371474</v>
      </c>
      <c r="W20" s="96">
        <f>((Tableau!$H$16-Q20)/(AC20^2+Tableau!$G$21^2)^(3/2))*Tableau!$G$20</f>
        <v>-1.9154899903615576</v>
      </c>
      <c r="X20" s="96">
        <f>((Tableau!$G$25-P20)/(AD20^2+Tableau!$G$30^2)^(3/2))*Tableau!$G$29</f>
        <v>2.4145503113271669</v>
      </c>
      <c r="Y20" s="96">
        <f>((Tableau!$H$25-Q20)/(AD20^2+Tableau!$G$30^2)^(3/2))*Tableau!$G$29</f>
        <v>-0.96375256452566704</v>
      </c>
      <c r="Z20" s="96">
        <f>((Tableau!$G$35-P20)/(AE20^2+Tableau!$G$40^2)^(3/2))*Tableau!$G$39</f>
        <v>5.7644646551115484</v>
      </c>
      <c r="AA20" s="97">
        <f>((Tableau!$H$35-Q20)/(AE20^2+Tableau!$G$40^2)^(3/2))*Tableau!$G$39</f>
        <v>-2.7238397172119924</v>
      </c>
      <c r="AC20" s="110">
        <f>SQRT((Tableau!$G$16-P20)^2+(Tableau!$H$16-Q20)^2)</f>
        <v>301168.31165498128</v>
      </c>
      <c r="AD20" s="111">
        <f>SQRT((Tableau!$G$25-P20)^2+(Tableau!$H$25-Q20)^2)</f>
        <v>262831.74129565293</v>
      </c>
      <c r="AE20" s="112">
        <f>SQRT((Tableau!$G$35-P20)^2+(Tableau!$H$35-Q20)^2)</f>
        <v>286575.17477459909</v>
      </c>
    </row>
    <row r="21" spans="2:31" x14ac:dyDescent="0.25">
      <c r="B21" s="18">
        <v>18</v>
      </c>
      <c r="C21" s="19">
        <f>Tableau!$G$17*COS(B21*PI()/180)+Tableau!$G$16</f>
        <v>24755.282581475767</v>
      </c>
      <c r="D21" s="19">
        <f>Tableau!$G$17*SIN(B21*PI()/180)+Tableau!$H$16</f>
        <v>9045.0849718747377</v>
      </c>
      <c r="F21" s="26">
        <v>18</v>
      </c>
      <c r="G21" s="27">
        <f>Tableau!$G$26*COS(F21*PI()/180)+Tableau!$G$25</f>
        <v>-16671.302192966963</v>
      </c>
      <c r="H21" s="27">
        <f>Tableau!$G$26*SIN(F21*PI()/180)+Tableau!$H$25</f>
        <v>11081.559480312317</v>
      </c>
      <c r="J21" s="34">
        <v>18</v>
      </c>
      <c r="K21" s="35">
        <f>Tableau!$G$36*COS(J21*PI()/180)+Tableau!$G$35</f>
        <v>-244.71741852423202</v>
      </c>
      <c r="L21" s="35">
        <f>Tableau!$G$36*SIN(J21*PI()/180)+Tableau!$H$35</f>
        <v>-13454.915028125262</v>
      </c>
      <c r="N21" s="98">
        <v>17</v>
      </c>
      <c r="O21" s="99">
        <v>8.5</v>
      </c>
      <c r="P21" s="101">
        <f>P20+R20*Tableau!$G$2+((1/2)*T20)*Tableau!$G$2^2</f>
        <v>-298479.26186066295</v>
      </c>
      <c r="Q21" s="101">
        <f>Q20+S20*Tableau!$G$2+((1/2)*U20)*Tableau!$G$2^2</f>
        <v>124344.64360215281</v>
      </c>
      <c r="R21" s="101">
        <f>R20+T20*Tableau!$G$2</f>
        <v>-68744.80440778067</v>
      </c>
      <c r="S21" s="101">
        <f>S20+U20*Tableau!$G$2</f>
        <v>33821.811738281242</v>
      </c>
      <c r="T21" s="101">
        <f t="shared" si="0"/>
        <v>10.585936773063409</v>
      </c>
      <c r="U21" s="101">
        <f t="shared" si="1"/>
        <v>-4.4475720823808551</v>
      </c>
      <c r="V21" s="101">
        <f>((Tableau!$G$16-P21)/(AC21^2+Tableau!$G$21^2)^(3/2))*Tableau!$G$20</f>
        <v>4.2714007063039192</v>
      </c>
      <c r="W21" s="101">
        <f>((Tableau!$H$16-Q21)/(AC21^2+Tableau!$G$21^2)^(3/2))*Tableau!$G$20</f>
        <v>-1.5671045276047548</v>
      </c>
      <c r="X21" s="101">
        <f>((Tableau!$G$25-P21)/(AD21^2+Tableau!$G$30^2)^(3/2))*Tableau!$G$29</f>
        <v>1.8332036773201958</v>
      </c>
      <c r="Y21" s="101">
        <f>((Tableau!$H$25-Q21)/(AD21^2+Tableau!$G$30^2)^(3/2))*Tableau!$G$29</f>
        <v>-0.75272039911616673</v>
      </c>
      <c r="Z21" s="101">
        <f>((Tableau!$G$35-P21)/(AE21^2+Tableau!$G$40^2)^(3/2))*Tableau!$G$39</f>
        <v>4.4813323894392951</v>
      </c>
      <c r="AA21" s="102">
        <f>((Tableau!$H$35-Q21)/(AE21^2+Tableau!$G$40^2)^(3/2))*Tableau!$G$39</f>
        <v>-2.1277471556599341</v>
      </c>
      <c r="AC21" s="113">
        <f>SQRT((Tableau!$G$16-P21)^2+(Tableau!$H$16-Q21)^2)</f>
        <v>339236.95402156125</v>
      </c>
      <c r="AD21" s="114">
        <f>SQRT((Tableau!$G$25-P21)^2+(Tableau!$H$25-Q21)^2)</f>
        <v>301040.52352957905</v>
      </c>
      <c r="AE21" s="115">
        <f>SQRT((Tableau!$G$35-P21)^2+(Tableau!$H$35-Q21)^2)</f>
        <v>324879.98836938321</v>
      </c>
    </row>
    <row r="22" spans="2:31" x14ac:dyDescent="0.25">
      <c r="B22" s="20">
        <v>19</v>
      </c>
      <c r="C22" s="21">
        <f>Tableau!$G$17*COS(B22*PI()/180)+Tableau!$G$16</f>
        <v>24727.592877996583</v>
      </c>
      <c r="D22" s="21">
        <f>Tableau!$G$17*SIN(B22*PI()/180)+Tableau!$H$16</f>
        <v>9127.8407722857828</v>
      </c>
      <c r="F22" s="28">
        <v>19</v>
      </c>
      <c r="G22" s="29">
        <f>Tableau!$G$26*COS(F22*PI()/180)+Tableau!$G$25</f>
        <v>-16690.684985402389</v>
      </c>
      <c r="H22" s="29">
        <f>Tableau!$G$26*SIN(F22*PI()/180)+Tableau!$H$25</f>
        <v>11139.488540600049</v>
      </c>
      <c r="J22" s="36">
        <v>19</v>
      </c>
      <c r="K22" s="37">
        <f>Tableau!$G$36*COS(J22*PI()/180)+Tableau!$G$35</f>
        <v>-272.40712200341568</v>
      </c>
      <c r="L22" s="37">
        <f>Tableau!$G$36*SIN(J22*PI()/180)+Tableau!$H$35</f>
        <v>-13372.159227714217</v>
      </c>
      <c r="N22" s="92">
        <v>18</v>
      </c>
      <c r="O22" s="93">
        <v>9</v>
      </c>
      <c r="P22" s="96">
        <f>P21+R21*Tableau!$G$2+((1/2)*T21)*Tableau!$G$2^2</f>
        <v>-332850.34082245664</v>
      </c>
      <c r="Q22" s="96">
        <f>Q21+S21*Tableau!$G$2+((1/2)*U21)*Tableau!$G$2^2</f>
        <v>141254.99352478315</v>
      </c>
      <c r="R22" s="96">
        <f>R21+T21*Tableau!$G$2</f>
        <v>-68739.511439394133</v>
      </c>
      <c r="S22" s="96">
        <f>S21+U21*Tableau!$G$2</f>
        <v>33819.58795224005</v>
      </c>
      <c r="T22" s="96">
        <f t="shared" si="0"/>
        <v>8.4606009161956486</v>
      </c>
      <c r="U22" s="96">
        <f t="shared" si="1"/>
        <v>-3.6149054440814119</v>
      </c>
      <c r="V22" s="96">
        <f>((Tableau!$G$16-P22)/(AC22^2+Tableau!$G$21^2)^(3/2))*Tableau!$G$20</f>
        <v>3.4383708839667464</v>
      </c>
      <c r="W22" s="96">
        <f>((Tableau!$H$16-Q22)/(AC22^2+Tableau!$G$21^2)^(3/2))*Tableau!$G$20</f>
        <v>-1.3033833954894269</v>
      </c>
      <c r="X22" s="96">
        <f>((Tableau!$G$25-P22)/(AD22^2+Tableau!$G$30^2)^(3/2))*Tableau!$G$29</f>
        <v>1.4387927040533275</v>
      </c>
      <c r="Y22" s="96">
        <f>((Tableau!$H$25-Q22)/(AD22^2+Tableau!$G$30^2)^(3/2))*Tableau!$G$29</f>
        <v>-0.6036391923293345</v>
      </c>
      <c r="Z22" s="96">
        <f>((Tableau!$G$35-P22)/(AE22^2+Tableau!$G$40^2)^(3/2))*Tableau!$G$39</f>
        <v>3.5834373281755756</v>
      </c>
      <c r="AA22" s="97">
        <f>((Tableau!$H$35-Q22)/(AE22^2+Tableau!$G$40^2)^(3/2))*Tableau!$G$39</f>
        <v>-1.7078828562626507</v>
      </c>
      <c r="AC22" s="110">
        <f>SQRT((Tableau!$G$16-P22)^2+(Tableau!$H$16-Q22)^2)</f>
        <v>377350.97894578014</v>
      </c>
      <c r="AD22" s="111">
        <f>SQRT((Tableau!$G$25-P22)^2+(Tableau!$H$25-Q22)^2)</f>
        <v>339268.63851219456</v>
      </c>
      <c r="AE22" s="112">
        <f>SQRT((Tableau!$G$35-P22)^2+(Tableau!$H$35-Q22)^2)</f>
        <v>363182.41832284641</v>
      </c>
    </row>
    <row r="23" spans="2:31" x14ac:dyDescent="0.25">
      <c r="B23" s="18">
        <v>20</v>
      </c>
      <c r="C23" s="19">
        <f>Tableau!$G$17*COS(B23*PI()/180)+Tableau!$G$16</f>
        <v>24698.463103929542</v>
      </c>
      <c r="D23" s="19">
        <f>Tableau!$G$17*SIN(B23*PI()/180)+Tableau!$H$16</f>
        <v>9210.1007166283434</v>
      </c>
      <c r="F23" s="26">
        <v>20</v>
      </c>
      <c r="G23" s="27">
        <f>Tableau!$G$26*COS(F23*PI()/180)+Tableau!$G$25</f>
        <v>-16711.075827249319</v>
      </c>
      <c r="H23" s="27">
        <f>Tableau!$G$26*SIN(F23*PI()/180)+Tableau!$H$25</f>
        <v>11197.070501639841</v>
      </c>
      <c r="J23" s="34">
        <v>20</v>
      </c>
      <c r="K23" s="35">
        <f>Tableau!$G$36*COS(J23*PI()/180)+Tableau!$G$35</f>
        <v>-301.53689607045817</v>
      </c>
      <c r="L23" s="35">
        <f>Tableau!$G$36*SIN(J23*PI()/180)+Tableau!$H$35</f>
        <v>-13289.899283371657</v>
      </c>
      <c r="N23" s="98">
        <v>19</v>
      </c>
      <c r="O23" s="99">
        <v>9.5</v>
      </c>
      <c r="P23" s="101">
        <f>P22+R22*Tableau!$G$2+((1/2)*T22)*Tableau!$G$2^2</f>
        <v>-367219.03896703915</v>
      </c>
      <c r="Q23" s="101">
        <f>Q22+S22*Tableau!$G$2+((1/2)*U22)*Tableau!$G$2^2</f>
        <v>158164.33563772269</v>
      </c>
      <c r="R23" s="101">
        <f>R22+T22*Tableau!$G$2</f>
        <v>-68735.281138936029</v>
      </c>
      <c r="S23" s="101">
        <f>S22+U22*Tableau!$G$2</f>
        <v>33817.780499518012</v>
      </c>
      <c r="T23" s="101">
        <f t="shared" si="0"/>
        <v>6.9162597077775603</v>
      </c>
      <c r="U23" s="101">
        <f t="shared" si="1"/>
        <v>-2.995427733004687</v>
      </c>
      <c r="V23" s="101">
        <f>((Tableau!$G$16-P23)/(AC23^2+Tableau!$G$21^2)^(3/2))*Tableau!$G$20</f>
        <v>2.8265033213934667</v>
      </c>
      <c r="W23" s="101">
        <f>((Tableau!$H$16-Q23)/(AC23^2+Tableau!$G$21^2)^(3/2))*Tableau!$G$20</f>
        <v>-1.0997735189663873</v>
      </c>
      <c r="X23" s="101">
        <f>((Tableau!$G$25-P23)/(AD23^2+Tableau!$G$30^2)^(3/2))*Tableau!$G$29</f>
        <v>1.1590741129494335</v>
      </c>
      <c r="Y23" s="101">
        <f>((Tableau!$H$25-Q23)/(AD23^2+Tableau!$G$30^2)^(3/2))*Tableau!$G$29</f>
        <v>-0.4945968585447813</v>
      </c>
      <c r="Z23" s="101">
        <f>((Tableau!$G$35-P23)/(AE23^2+Tableau!$G$40^2)^(3/2))*Tableau!$G$39</f>
        <v>2.9306822734346598</v>
      </c>
      <c r="AA23" s="102">
        <f>((Tableau!$H$35-Q23)/(AE23^2+Tableau!$G$40^2)^(3/2))*Tableau!$G$39</f>
        <v>-1.4010573554935184</v>
      </c>
      <c r="AC23" s="113">
        <f>SQRT((Tableau!$G$16-P23)^2+(Tableau!$H$16-Q23)^2)</f>
        <v>415497.68491739361</v>
      </c>
      <c r="AD23" s="114">
        <f>SQRT((Tableau!$G$25-P23)^2+(Tableau!$H$25-Q23)^2)</f>
        <v>377509.90897744923</v>
      </c>
      <c r="AE23" s="115">
        <f>SQRT((Tableau!$G$35-P23)^2+(Tableau!$H$35-Q23)^2)</f>
        <v>401482.90041676658</v>
      </c>
    </row>
    <row r="24" spans="2:31" x14ac:dyDescent="0.25">
      <c r="B24" s="20">
        <v>21</v>
      </c>
      <c r="C24" s="21">
        <f>Tableau!$G$17*COS(B24*PI()/180)+Tableau!$G$16</f>
        <v>24667.902132486008</v>
      </c>
      <c r="D24" s="21">
        <f>Tableau!$G$17*SIN(B24*PI()/180)+Tableau!$H$16</f>
        <v>9291.8397477265007</v>
      </c>
      <c r="F24" s="28">
        <v>21</v>
      </c>
      <c r="G24" s="29">
        <f>Tableau!$G$26*COS(F24*PI()/180)+Tableau!$G$25</f>
        <v>-16732.468507259793</v>
      </c>
      <c r="H24" s="29">
        <f>Tableau!$G$26*SIN(F24*PI()/180)+Tableau!$H$25</f>
        <v>11254.287823408551</v>
      </c>
      <c r="J24" s="36">
        <v>21</v>
      </c>
      <c r="K24" s="37">
        <f>Tableau!$G$36*COS(J24*PI()/180)+Tableau!$G$35</f>
        <v>-332.09786751399133</v>
      </c>
      <c r="L24" s="37">
        <f>Tableau!$G$36*SIN(J24*PI()/180)+Tableau!$H$35</f>
        <v>-13208.160252273499</v>
      </c>
      <c r="N24" s="92">
        <v>20</v>
      </c>
      <c r="O24" s="93">
        <v>10</v>
      </c>
      <c r="P24" s="96">
        <f>P23+R23*Tableau!$G$2+((1/2)*T23)*Tableau!$G$2^2</f>
        <v>-401585.81500404369</v>
      </c>
      <c r="Q24" s="96">
        <f>Q23+S23*Tableau!$G$2+((1/2)*U23)*Tableau!$G$2^2</f>
        <v>175072.85145901507</v>
      </c>
      <c r="R24" s="96">
        <f>R23+T23*Tableau!$G$2</f>
        <v>-68731.823009082145</v>
      </c>
      <c r="S24" s="96">
        <f>S23+U23*Tableau!$G$2</f>
        <v>33816.282785651507</v>
      </c>
      <c r="T24" s="96">
        <f t="shared" si="0"/>
        <v>5.7590060668456005</v>
      </c>
      <c r="U24" s="96">
        <f t="shared" si="1"/>
        <v>-2.5222640598502686</v>
      </c>
      <c r="V24" s="96">
        <f>((Tableau!$G$16-P24)/(AC24^2+Tableau!$G$21^2)^(3/2))*Tableau!$G$20</f>
        <v>2.3641131258703072</v>
      </c>
      <c r="W24" s="96">
        <f>((Tableau!$H$16-Q24)/(AC24^2+Tableau!$G$21^2)^(3/2))*Tableau!$G$20</f>
        <v>-0.93969285392102908</v>
      </c>
      <c r="X24" s="96">
        <f>((Tableau!$G$25-P24)/(AD24^2+Tableau!$G$30^2)^(3/2))*Tableau!$G$29</f>
        <v>0.95357604924562722</v>
      </c>
      <c r="Y24" s="96">
        <f>((Tableau!$H$25-Q24)/(AD24^2+Tableau!$G$30^2)^(3/2))*Tableau!$G$29</f>
        <v>-0.41251406981763666</v>
      </c>
      <c r="Z24" s="96">
        <f>((Tableau!$G$35-P24)/(AE24^2+Tableau!$G$40^2)^(3/2))*Tableau!$G$39</f>
        <v>2.4413168917296666</v>
      </c>
      <c r="AA24" s="97">
        <f>((Tableau!$H$35-Q24)/(AE24^2+Tableau!$G$40^2)^(3/2))*Tableau!$G$39</f>
        <v>-1.170057136111603</v>
      </c>
      <c r="AC24" s="110">
        <f>SQRT((Tableau!$G$16-P24)^2+(Tableau!$H$16-Q24)^2)</f>
        <v>453668.66759643966</v>
      </c>
      <c r="AD24" s="111">
        <f>SQRT((Tableau!$G$25-P24)^2+(Tableau!$H$25-Q24)^2)</f>
        <v>415760.48453539971</v>
      </c>
      <c r="AE24" s="112">
        <f>SQRT((Tableau!$G$35-P24)^2+(Tableau!$H$35-Q24)^2)</f>
        <v>439781.76124548679</v>
      </c>
    </row>
    <row r="25" spans="2:31" x14ac:dyDescent="0.25">
      <c r="B25" s="18">
        <v>22</v>
      </c>
      <c r="C25" s="19">
        <f>Tableau!$G$17*COS(B25*PI()/180)+Tableau!$G$16</f>
        <v>24635.919272833937</v>
      </c>
      <c r="D25" s="19">
        <f>Tableau!$G$17*SIN(B25*PI()/180)+Tableau!$H$16</f>
        <v>9373.03296707956</v>
      </c>
      <c r="F25" s="26">
        <v>22</v>
      </c>
      <c r="G25" s="27">
        <f>Tableau!$G$26*COS(F25*PI()/180)+Tableau!$G$25</f>
        <v>-16754.856509016245</v>
      </c>
      <c r="H25" s="27">
        <f>Tableau!$G$26*SIN(F25*PI()/180)+Tableau!$H$25</f>
        <v>11311.123076955691</v>
      </c>
      <c r="J25" s="34">
        <v>22</v>
      </c>
      <c r="K25" s="35">
        <f>Tableau!$G$36*COS(J25*PI()/180)+Tableau!$G$35</f>
        <v>-364.0807271660633</v>
      </c>
      <c r="L25" s="35">
        <f>Tableau!$G$36*SIN(J25*PI()/180)+Tableau!$H$35</f>
        <v>-13126.96703292044</v>
      </c>
      <c r="N25" s="98">
        <v>21</v>
      </c>
      <c r="O25" s="99">
        <v>10.5</v>
      </c>
      <c r="P25" s="101">
        <f>P24+R24*Tableau!$G$2+((1/2)*T24)*Tableau!$G$2^2</f>
        <v>-435951.00663282641</v>
      </c>
      <c r="Q25" s="101">
        <f>Q24+S24*Tableau!$G$2+((1/2)*U24)*Tableau!$G$2^2</f>
        <v>191980.67756883334</v>
      </c>
      <c r="R25" s="101">
        <f>R24+T24*Tableau!$G$2</f>
        <v>-68728.943506048716</v>
      </c>
      <c r="S25" s="101">
        <f>S24+U24*Tableau!$G$2</f>
        <v>33815.021653621581</v>
      </c>
      <c r="T25" s="101">
        <f t="shared" si="0"/>
        <v>4.8695463954067488</v>
      </c>
      <c r="U25" s="101">
        <f t="shared" si="1"/>
        <v>-2.1527948788868381</v>
      </c>
      <c r="V25" s="101">
        <f>((Tableau!$G$16-P25)/(AC25^2+Tableau!$G$21^2)^(3/2))*Tableau!$G$20</f>
        <v>2.006306047631222</v>
      </c>
      <c r="W25" s="101">
        <f>((Tableau!$H$16-Q25)/(AC25^2+Tableau!$G$21^2)^(3/2))*Tableau!$G$20</f>
        <v>-0.8117641889000462</v>
      </c>
      <c r="X25" s="101">
        <f>((Tableau!$G$25-P25)/(AD25^2+Tableau!$G$30^2)^(3/2))*Tableau!$G$29</f>
        <v>0.79820812193970669</v>
      </c>
      <c r="Y25" s="101">
        <f>((Tableau!$H$25-Q25)/(AD25^2+Tableau!$G$30^2)^(3/2))*Tableau!$G$29</f>
        <v>-0.34922010658759672</v>
      </c>
      <c r="Z25" s="101">
        <f>((Tableau!$G$35-P25)/(AE25^2+Tableau!$G$40^2)^(3/2))*Tableau!$G$39</f>
        <v>2.0650322258358198</v>
      </c>
      <c r="AA25" s="102">
        <f>((Tableau!$H$35-Q25)/(AE25^2+Tableau!$G$40^2)^(3/2))*Tableau!$G$39</f>
        <v>-0.99181058339919548</v>
      </c>
      <c r="AC25" s="113">
        <f>SQRT((Tableau!$G$16-P25)^2+(Tableau!$H$16-Q25)^2)</f>
        <v>491858.15114293224</v>
      </c>
      <c r="AD25" s="114">
        <f>SQRT((Tableau!$G$25-P25)^2+(Tableau!$H$25-Q25)^2)</f>
        <v>454017.84868799296</v>
      </c>
      <c r="AE25" s="115">
        <f>SQRT((Tableau!$G$35-P25)^2+(Tableau!$H$35-Q25)^2)</f>
        <v>478079.2518031919</v>
      </c>
    </row>
    <row r="26" spans="2:31" x14ac:dyDescent="0.25">
      <c r="B26" s="20">
        <v>23</v>
      </c>
      <c r="C26" s="21">
        <f>Tableau!$G$17*COS(B26*PI()/180)+Tableau!$G$16</f>
        <v>24602.524267262201</v>
      </c>
      <c r="D26" s="21">
        <f>Tableau!$G$17*SIN(B26*PI()/180)+Tableau!$H$16</f>
        <v>9453.6556424463688</v>
      </c>
      <c r="F26" s="28">
        <v>23</v>
      </c>
      <c r="G26" s="29">
        <f>Tableau!$G$26*COS(F26*PI()/180)+Tableau!$G$25</f>
        <v>-16778.233012916458</v>
      </c>
      <c r="H26" s="29">
        <f>Tableau!$G$26*SIN(F26*PI()/180)+Tableau!$H$25</f>
        <v>11367.558949712458</v>
      </c>
      <c r="J26" s="36">
        <v>23</v>
      </c>
      <c r="K26" s="37">
        <f>Tableau!$G$36*COS(J26*PI()/180)+Tableau!$G$35</f>
        <v>-397.47573273779835</v>
      </c>
      <c r="L26" s="37">
        <f>Tableau!$G$36*SIN(J26*PI()/180)+Tableau!$H$35</f>
        <v>-13046.344357553631</v>
      </c>
      <c r="N26" s="92">
        <v>22</v>
      </c>
      <c r="O26" s="93">
        <v>11</v>
      </c>
      <c r="P26" s="96">
        <f>P25+R25*Tableau!$G$2+((1/2)*T25)*Tableau!$G$2^2</f>
        <v>-470314.86969255138</v>
      </c>
      <c r="Q26" s="96">
        <f>Q25+S25*Tableau!$G$2+((1/2)*U25)*Tableau!$G$2^2</f>
        <v>208887.91929628426</v>
      </c>
      <c r="R26" s="96">
        <f>R25+T25*Tableau!$G$2</f>
        <v>-68726.508732851013</v>
      </c>
      <c r="S26" s="96">
        <f>S25+U25*Tableau!$G$2</f>
        <v>33813.945256182138</v>
      </c>
      <c r="T26" s="96">
        <f t="shared" si="0"/>
        <v>4.1712275881457535</v>
      </c>
      <c r="U26" s="96">
        <f t="shared" si="1"/>
        <v>-1.8588359210448231</v>
      </c>
      <c r="V26" s="96">
        <f>((Tableau!$G$16-P26)/(AC26^2+Tableau!$G$21^2)^(3/2))*Tableau!$G$20</f>
        <v>1.7238265975802645</v>
      </c>
      <c r="W26" s="96">
        <f>((Tableau!$H$16-Q26)/(AC26^2+Tableau!$G$21^2)^(3/2))*Tableau!$G$20</f>
        <v>-0.70803043752673789</v>
      </c>
      <c r="X26" s="96">
        <f>((Tableau!$G$25-P26)/(AD26^2+Tableau!$G$30^2)^(3/2))*Tableau!$G$29</f>
        <v>0.67790943837113082</v>
      </c>
      <c r="Y26" s="96">
        <f>((Tableau!$H$25-Q26)/(AD26^2+Tableau!$G$30^2)^(3/2))*Tableau!$G$29</f>
        <v>-0.29940827350649002</v>
      </c>
      <c r="Z26" s="96">
        <f>((Tableau!$G$35-P26)/(AE26^2+Tableau!$G$40^2)^(3/2))*Tableau!$G$39</f>
        <v>1.7694915521943582</v>
      </c>
      <c r="AA26" s="97">
        <f>((Tableau!$H$35-Q26)/(AE26^2+Tableau!$G$40^2)^(3/2))*Tableau!$G$39</f>
        <v>-0.8513972100115953</v>
      </c>
      <c r="AC26" s="110">
        <f>SQRT((Tableau!$G$16-P26)^2+(Tableau!$H$16-Q26)^2)</f>
        <v>530062.03927475354</v>
      </c>
      <c r="AD26" s="111">
        <f>SQRT((Tableau!$G$25-P26)^2+(Tableau!$H$25-Q26)^2)</f>
        <v>492280.29242315277</v>
      </c>
      <c r="AE26" s="112">
        <f>SQRT((Tableau!$G$35-P26)^2+(Tableau!$H$35-Q26)^2)</f>
        <v>516375.56910045189</v>
      </c>
    </row>
    <row r="27" spans="2:31" x14ac:dyDescent="0.25">
      <c r="B27" s="18">
        <v>24</v>
      </c>
      <c r="C27" s="19">
        <f>Tableau!$G$17*COS(B27*PI()/180)+Tableau!$G$16</f>
        <v>24567.727288213006</v>
      </c>
      <c r="D27" s="19">
        <f>Tableau!$G$17*SIN(B27*PI()/180)+Tableau!$H$16</f>
        <v>9533.6832153790001</v>
      </c>
      <c r="F27" s="26">
        <v>24</v>
      </c>
      <c r="G27" s="27">
        <f>Tableau!$G$26*COS(F27*PI()/180)+Tableau!$G$25</f>
        <v>-16802.590898250895</v>
      </c>
      <c r="H27" s="27">
        <f>Tableau!$G$26*SIN(F27*PI()/180)+Tableau!$H$25</f>
        <v>11423.5782507653</v>
      </c>
      <c r="J27" s="34">
        <v>24</v>
      </c>
      <c r="K27" s="35">
        <f>Tableau!$G$36*COS(J27*PI()/180)+Tableau!$G$35</f>
        <v>-432.27271178699539</v>
      </c>
      <c r="L27" s="35">
        <f>Tableau!$G$36*SIN(J27*PI()/180)+Tableau!$H$35</f>
        <v>-12966.316784621</v>
      </c>
      <c r="N27" s="98">
        <v>23</v>
      </c>
      <c r="O27" s="99">
        <v>11.5</v>
      </c>
      <c r="P27" s="101">
        <f>P26+R26*Tableau!$G$2+((1/2)*T26)*Tableau!$G$2^2</f>
        <v>-504677.60265552835</v>
      </c>
      <c r="Q27" s="101">
        <f>Q26+S26*Tableau!$G$2+((1/2)*U26)*Tableau!$G$2^2</f>
        <v>225794.65956988517</v>
      </c>
      <c r="R27" s="101">
        <f>R26+T26*Tableau!$G$2</f>
        <v>-68724.423119056941</v>
      </c>
      <c r="S27" s="101">
        <f>S26+U26*Tableau!$G$2</f>
        <v>33813.015838221618</v>
      </c>
      <c r="T27" s="101">
        <f t="shared" si="0"/>
        <v>3.6129763587551729</v>
      </c>
      <c r="U27" s="101">
        <f t="shared" si="1"/>
        <v>-1.621153813745785</v>
      </c>
      <c r="V27" s="101">
        <f>((Tableau!$G$16-P27)/(AC27^2+Tableau!$G$21^2)^(3/2))*Tableau!$G$20</f>
        <v>1.4969597073291694</v>
      </c>
      <c r="W27" s="101">
        <f>((Tableau!$H$16-Q27)/(AC27^2+Tableau!$G$21^2)^(3/2))*Tableau!$G$20</f>
        <v>-0.62281734163483793</v>
      </c>
      <c r="X27" s="101">
        <f>((Tableau!$G$25-P27)/(AD27^2+Tableau!$G$30^2)^(3/2))*Tableau!$G$29</f>
        <v>0.5828744822627645</v>
      </c>
      <c r="Y27" s="101">
        <f>((Tableau!$H$25-Q27)/(AD27^2+Tableau!$G$30^2)^(3/2))*Tableau!$G$29</f>
        <v>-0.25951519068080803</v>
      </c>
      <c r="Z27" s="101">
        <f>((Tableau!$G$35-P27)/(AE27^2+Tableau!$G$40^2)^(3/2))*Tableau!$G$39</f>
        <v>1.5331421691632385</v>
      </c>
      <c r="AA27" s="102">
        <f>((Tableau!$H$35-Q27)/(AE27^2+Tableau!$G$40^2)^(3/2))*Tableau!$G$39</f>
        <v>-0.73882128143013914</v>
      </c>
      <c r="AC27" s="113">
        <f>SQRT((Tableau!$G$16-P27)^2+(Tableau!$H$16-Q27)^2)</f>
        <v>568277.34877002134</v>
      </c>
      <c r="AD27" s="114">
        <f>SQRT((Tableau!$G$25-P27)^2+(Tableau!$H$25-Q27)^2)</f>
        <v>530546.61775831995</v>
      </c>
      <c r="AE27" s="115">
        <f>SQRT((Tableau!$G$35-P27)^2+(Tableau!$H$35-Q27)^2)</f>
        <v>554670.87058268441</v>
      </c>
    </row>
    <row r="28" spans="2:31" x14ac:dyDescent="0.25">
      <c r="B28" s="20">
        <v>25</v>
      </c>
      <c r="C28" s="21">
        <f>Tableau!$G$17*COS(B28*PI()/180)+Tableau!$G$16</f>
        <v>24531.538935183249</v>
      </c>
      <c r="D28" s="21">
        <f>Tableau!$G$17*SIN(B28*PI()/180)+Tableau!$H$16</f>
        <v>9613.0913087034969</v>
      </c>
      <c r="F28" s="28">
        <v>25</v>
      </c>
      <c r="G28" s="29">
        <f>Tableau!$G$26*COS(F28*PI()/180)+Tableau!$G$25</f>
        <v>-16827.922745371725</v>
      </c>
      <c r="H28" s="29">
        <f>Tableau!$G$26*SIN(F28*PI()/180)+Tableau!$H$25</f>
        <v>11479.163916092448</v>
      </c>
      <c r="J28" s="36">
        <v>25</v>
      </c>
      <c r="K28" s="37">
        <f>Tableau!$G$36*COS(J28*PI()/180)+Tableau!$G$35</f>
        <v>-468.46106481674997</v>
      </c>
      <c r="L28" s="37">
        <f>Tableau!$G$36*SIN(J28*PI()/180)+Tableau!$H$35</f>
        <v>-12886.908691296503</v>
      </c>
      <c r="N28" s="92">
        <v>24</v>
      </c>
      <c r="O28" s="93">
        <v>12</v>
      </c>
      <c r="P28" s="96">
        <f>P27+R27*Tableau!$G$2+((1/2)*T27)*Tableau!$G$2^2</f>
        <v>-539039.36259301193</v>
      </c>
      <c r="Q28" s="96">
        <f>Q27+S27*Tableau!$G$2+((1/2)*U27)*Tableau!$G$2^2</f>
        <v>242700.96484476927</v>
      </c>
      <c r="R28" s="96">
        <f>R27+T27*Tableau!$G$2</f>
        <v>-68722.616630877557</v>
      </c>
      <c r="S28" s="96">
        <f>S27+U27*Tableau!$G$2</f>
        <v>33812.205261314746</v>
      </c>
      <c r="T28" s="96">
        <f t="shared" si="0"/>
        <v>3.1597013053959175</v>
      </c>
      <c r="U28" s="96">
        <f t="shared" si="1"/>
        <v>-1.4262637739511383</v>
      </c>
      <c r="V28" s="96">
        <f>((Tableau!$G$16-P28)/(AC28^2+Tableau!$G$21^2)^(3/2))*Tableau!$G$20</f>
        <v>1.3120325369379597</v>
      </c>
      <c r="W28" s="96">
        <f>((Tableau!$H$16-Q28)/(AC28^2+Tableau!$G$21^2)^(3/2))*Tableau!$G$20</f>
        <v>-0.55200284495923246</v>
      </c>
      <c r="X28" s="96">
        <f>((Tableau!$G$25-P28)/(AD28^2+Tableau!$G$30^2)^(3/2))*Tableau!$G$29</f>
        <v>0.5064979729394703</v>
      </c>
      <c r="Y28" s="96">
        <f>((Tableau!$H$25-Q28)/(AD28^2+Tableau!$G$30^2)^(3/2))*Tableau!$G$29</f>
        <v>-0.22707828247576037</v>
      </c>
      <c r="Z28" s="96">
        <f>((Tableau!$G$35-P28)/(AE28^2+Tableau!$G$40^2)^(3/2))*Tableau!$G$39</f>
        <v>1.3411707955184877</v>
      </c>
      <c r="AA28" s="97">
        <f>((Tableau!$H$35-Q28)/(AE28^2+Tableau!$G$40^2)^(3/2))*Tableau!$G$39</f>
        <v>-0.64718264651614565</v>
      </c>
      <c r="AC28" s="110">
        <f>SQRT((Tableau!$G$16-P28)^2+(Tableau!$H$16-Q28)^2)</f>
        <v>606501.85720433819</v>
      </c>
      <c r="AD28" s="111">
        <f>SQRT((Tableau!$G$25-P28)^2+(Tableau!$H$25-Q28)^2)</f>
        <v>568815.96229417354</v>
      </c>
      <c r="AE28" s="112">
        <f>SQRT((Tableau!$G$35-P28)^2+(Tableau!$H$35-Q28)^2)</f>
        <v>592965.28404340462</v>
      </c>
    </row>
    <row r="29" spans="2:31" x14ac:dyDescent="0.25">
      <c r="B29" s="18">
        <v>26</v>
      </c>
      <c r="C29" s="19">
        <f>Tableau!$G$17*COS(B29*PI()/180)+Tableau!$G$16</f>
        <v>24493.970231495834</v>
      </c>
      <c r="D29" s="19">
        <f>Tableau!$G$17*SIN(B29*PI()/180)+Tableau!$H$16</f>
        <v>9691.8557339453873</v>
      </c>
      <c r="F29" s="26">
        <v>26</v>
      </c>
      <c r="G29" s="27">
        <f>Tableau!$G$26*COS(F29*PI()/180)+Tableau!$G$25</f>
        <v>-16854.220837952915</v>
      </c>
      <c r="H29" s="27">
        <f>Tableau!$G$26*SIN(F29*PI()/180)+Tableau!$H$25</f>
        <v>11534.299013761771</v>
      </c>
      <c r="J29" s="34">
        <v>26</v>
      </c>
      <c r="K29" s="35">
        <f>Tableau!$G$36*COS(J29*PI()/180)+Tableau!$G$35</f>
        <v>-506.02976850416508</v>
      </c>
      <c r="L29" s="35">
        <f>Tableau!$G$36*SIN(J29*PI()/180)+Tableau!$H$35</f>
        <v>-12808.144266054613</v>
      </c>
      <c r="N29" s="98">
        <v>25</v>
      </c>
      <c r="O29" s="99">
        <v>12.5</v>
      </c>
      <c r="P29" s="101">
        <f>P28+R28*Tableau!$G$2+((1/2)*T28)*Tableau!$G$2^2</f>
        <v>-573400.27594578755</v>
      </c>
      <c r="Q29" s="101">
        <f>Q28+S28*Tableau!$G$2+((1/2)*U28)*Tableau!$G$2^2</f>
        <v>259606.8891924549</v>
      </c>
      <c r="R29" s="101">
        <f>R28+T28*Tableau!$G$2</f>
        <v>-68721.036780224866</v>
      </c>
      <c r="S29" s="101">
        <f>S28+U28*Tableau!$G$2</f>
        <v>33811.492129427774</v>
      </c>
      <c r="T29" s="101">
        <f t="shared" si="0"/>
        <v>2.7866476257132007</v>
      </c>
      <c r="U29" s="101">
        <f t="shared" si="1"/>
        <v>-1.264486787861232</v>
      </c>
      <c r="V29" s="101">
        <f>((Tableau!$G$16-P29)/(AC29^2+Tableau!$G$21^2)^(3/2))*Tableau!$G$20</f>
        <v>1.1593241868454462</v>
      </c>
      <c r="W29" s="101">
        <f>((Tableau!$H$16-Q29)/(AC29^2+Tableau!$G$21^2)^(3/2))*Tableau!$G$20</f>
        <v>-0.49254040848791186</v>
      </c>
      <c r="X29" s="101">
        <f>((Tableau!$G$25-P29)/(AD29^2+Tableau!$G$30^2)^(3/2))*Tableau!$G$29</f>
        <v>0.44419926075510335</v>
      </c>
      <c r="Y29" s="101">
        <f>((Tableau!$H$25-Q29)/(AD29^2+Tableau!$G$30^2)^(3/2))*Tableau!$G$29</f>
        <v>-0.20035262083882854</v>
      </c>
      <c r="Z29" s="101">
        <f>((Tableau!$G$35-P29)/(AE29^2+Tableau!$G$40^2)^(3/2))*Tableau!$G$39</f>
        <v>1.1831241781126509</v>
      </c>
      <c r="AA29" s="102">
        <f>((Tableau!$H$35-Q29)/(AE29^2+Tableau!$G$40^2)^(3/2))*Tableau!$G$39</f>
        <v>-0.57159375853449168</v>
      </c>
      <c r="AC29" s="113">
        <f>SQRT((Tableau!$G$16-P29)^2+(Tableau!$H$16-Q29)^2)</f>
        <v>644733.87616196624</v>
      </c>
      <c r="AD29" s="114">
        <f>SQRT((Tableau!$G$25-P29)^2+(Tableau!$H$25-Q29)^2)</f>
        <v>607087.69098805508</v>
      </c>
      <c r="AE29" s="115">
        <f>SQRT((Tableau!$G$35-P29)^2+(Tableau!$H$35-Q29)^2)</f>
        <v>631258.91461998748</v>
      </c>
    </row>
    <row r="30" spans="2:31" x14ac:dyDescent="0.25">
      <c r="B30" s="20">
        <v>27</v>
      </c>
      <c r="C30" s="21">
        <f>Tableau!$G$17*COS(B30*PI()/180)+Tableau!$G$16</f>
        <v>24455.032620941842</v>
      </c>
      <c r="D30" s="21">
        <f>Tableau!$G$17*SIN(B30*PI()/180)+Tableau!$H$16</f>
        <v>9769.952498697734</v>
      </c>
      <c r="F30" s="28">
        <v>27</v>
      </c>
      <c r="G30" s="29">
        <f>Tableau!$G$26*COS(F30*PI()/180)+Tableau!$G$25</f>
        <v>-16881.477165340712</v>
      </c>
      <c r="H30" s="29">
        <f>Tableau!$G$26*SIN(F30*PI()/180)+Tableau!$H$25</f>
        <v>11588.966749088413</v>
      </c>
      <c r="J30" s="36">
        <v>27</v>
      </c>
      <c r="K30" s="37">
        <f>Tableau!$G$36*COS(J30*PI()/180)+Tableau!$G$35</f>
        <v>-544.96737905816008</v>
      </c>
      <c r="L30" s="37">
        <f>Tableau!$G$36*SIN(J30*PI()/180)+Tableau!$H$35</f>
        <v>-12730.047501302266</v>
      </c>
      <c r="N30" s="92">
        <v>26</v>
      </c>
      <c r="O30" s="93">
        <v>13</v>
      </c>
      <c r="P30" s="96">
        <f>P29+R29*Tableau!$G$2+((1/2)*T29)*Tableau!$G$2^2</f>
        <v>-607760.44600494683</v>
      </c>
      <c r="Q30" s="96">
        <f>Q29+S29*Tableau!$G$2+((1/2)*U29)*Tableau!$G$2^2</f>
        <v>276512.47719632031</v>
      </c>
      <c r="R30" s="96">
        <f>R29+T29*Tableau!$G$2</f>
        <v>-68719.643456412014</v>
      </c>
      <c r="S30" s="96">
        <f>S29+U29*Tableau!$G$2</f>
        <v>33810.859886033846</v>
      </c>
      <c r="T30" s="96">
        <f t="shared" si="0"/>
        <v>2.4759480952227158</v>
      </c>
      <c r="U30" s="96">
        <f t="shared" si="1"/>
        <v>-1.1287310367799397</v>
      </c>
      <c r="V30" s="96">
        <f>((Tableau!$G$16-P30)/(AC30^2+Tableau!$G$21^2)^(3/2))*Tableau!$G$20</f>
        <v>1.0317718641854949</v>
      </c>
      <c r="W30" s="96">
        <f>((Tableau!$H$16-Q30)/(AC30^2+Tableau!$G$21^2)^(3/2))*Tableau!$G$20</f>
        <v>-0.44214239181902543</v>
      </c>
      <c r="X30" s="96">
        <f>((Tableau!$G$25-P30)/(AD30^2+Tableau!$G$30^2)^(3/2))*Tableau!$G$29</f>
        <v>0.39272114737155428</v>
      </c>
      <c r="Y30" s="96">
        <f>((Tableau!$H$25-Q30)/(AD30^2+Tableau!$G$30^2)^(3/2))*Tableau!$G$29</f>
        <v>-0.17807439501040057</v>
      </c>
      <c r="Z30" s="96">
        <f>((Tableau!$G$35-P30)/(AE30^2+Tableau!$G$40^2)^(3/2))*Tableau!$G$39</f>
        <v>1.0514550836656664</v>
      </c>
      <c r="AA30" s="97">
        <f>((Tableau!$H$35-Q30)/(AE30^2+Tableau!$G$40^2)^(3/2))*Tableau!$G$39</f>
        <v>-0.50851424995051364</v>
      </c>
      <c r="AC30" s="110">
        <f>SQRT((Tableau!$G$16-P30)^2+(Tableau!$H$16-Q30)^2)</f>
        <v>682972.10078862705</v>
      </c>
      <c r="AD30" s="111">
        <f>SQRT((Tableau!$G$25-P30)^2+(Tableau!$H$25-Q30)^2)</f>
        <v>645361.32700159005</v>
      </c>
      <c r="AE30" s="112">
        <f>SQRT((Tableau!$G$35-P30)^2+(Tableau!$H$35-Q30)^2)</f>
        <v>669551.84984377236</v>
      </c>
    </row>
    <row r="31" spans="2:31" x14ac:dyDescent="0.25">
      <c r="B31" s="18">
        <v>28</v>
      </c>
      <c r="C31" s="19">
        <f>Tableau!$G$17*COS(B31*PI()/180)+Tableau!$G$16</f>
        <v>24414.737964294636</v>
      </c>
      <c r="D31" s="19">
        <f>Tableau!$G$17*SIN(B31*PI()/180)+Tableau!$H$16</f>
        <v>9847.357813929455</v>
      </c>
      <c r="F31" s="26">
        <v>28</v>
      </c>
      <c r="G31" s="27">
        <f>Tableau!$G$26*COS(F31*PI()/180)+Tableau!$G$25</f>
        <v>-16909.683424993756</v>
      </c>
      <c r="H31" s="27">
        <f>Tableau!$G$26*SIN(F31*PI()/180)+Tableau!$H$25</f>
        <v>11643.150469750617</v>
      </c>
      <c r="J31" s="34">
        <v>28</v>
      </c>
      <c r="K31" s="35">
        <f>Tableau!$G$36*COS(J31*PI()/180)+Tableau!$G$35</f>
        <v>-585.26203570536472</v>
      </c>
      <c r="L31" s="35">
        <f>Tableau!$G$36*SIN(J31*PI()/180)+Tableau!$H$35</f>
        <v>-12652.642186070545</v>
      </c>
      <c r="N31" s="98">
        <v>27</v>
      </c>
      <c r="O31" s="99">
        <v>13.5</v>
      </c>
      <c r="P31" s="101">
        <f>P30+R30*Tableau!$G$2+((1/2)*T30)*Tableau!$G$2^2</f>
        <v>-642119.95823964092</v>
      </c>
      <c r="Q31" s="101">
        <f>Q30+S30*Tableau!$G$2+((1/2)*U30)*Tableau!$G$2^2</f>
        <v>293417.76604795764</v>
      </c>
      <c r="R31" s="101">
        <f>R30+T30*Tableau!$G$2</f>
        <v>-68718.405482364396</v>
      </c>
      <c r="S31" s="101">
        <f>S30+U30*Tableau!$G$2</f>
        <v>33810.295520515458</v>
      </c>
      <c r="T31" s="101">
        <f t="shared" si="0"/>
        <v>2.2144455095224829</v>
      </c>
      <c r="U31" s="101">
        <f t="shared" si="1"/>
        <v>-1.0137049777548555</v>
      </c>
      <c r="V31" s="101">
        <f>((Tableau!$G$16-P31)/(AC31^2+Tableau!$G$21^2)^(3/2))*Tableau!$G$20</f>
        <v>0.92414503087883093</v>
      </c>
      <c r="W31" s="101">
        <f>((Tableau!$H$16-Q31)/(AC31^2+Tableau!$G$21^2)^(3/2))*Tableau!$G$20</f>
        <v>-0.3990658783881027</v>
      </c>
      <c r="X31" s="101">
        <f>((Tableau!$G$25-P31)/(AD31^2+Tableau!$G$30^2)^(3/2))*Tableau!$G$29</f>
        <v>0.34969638162718142</v>
      </c>
      <c r="Y31" s="101">
        <f>((Tableau!$H$25-Q31)/(AD31^2+Tableau!$G$30^2)^(3/2))*Tableau!$G$29</f>
        <v>-0.15931038051933469</v>
      </c>
      <c r="Z31" s="101">
        <f>((Tableau!$G$35-P31)/(AE31^2+Tableau!$G$40^2)^(3/2))*Tableau!$G$39</f>
        <v>0.9406040970164703</v>
      </c>
      <c r="AA31" s="102">
        <f>((Tableau!$H$35-Q31)/(AE31^2+Tableau!$G$40^2)^(3/2))*Tableau!$G$39</f>
        <v>-0.45532871884741805</v>
      </c>
      <c r="AC31" s="113">
        <f>SQRT((Tableau!$G$16-P31)^2+(Tableau!$H$16-Q31)^2)</f>
        <v>721215.50734930718</v>
      </c>
      <c r="AD31" s="114">
        <f>SQRT((Tableau!$G$25-P31)^2+(Tableau!$H$25-Q31)^2)</f>
        <v>683636.50615784666</v>
      </c>
      <c r="AE31" s="115">
        <f>SQRT((Tableau!$G$35-P31)^2+(Tableau!$H$35-Q31)^2)</f>
        <v>707844.16335892363</v>
      </c>
    </row>
    <row r="32" spans="2:31" x14ac:dyDescent="0.25">
      <c r="B32" s="20">
        <v>29</v>
      </c>
      <c r="C32" s="21">
        <f>Tableau!$G$17*COS(B32*PI()/180)+Tableau!$G$16</f>
        <v>24373.09853569698</v>
      </c>
      <c r="D32" s="21">
        <f>Tableau!$G$17*SIN(B32*PI()/180)+Tableau!$H$16</f>
        <v>9924.048101231685</v>
      </c>
      <c r="F32" s="28">
        <v>29</v>
      </c>
      <c r="G32" s="29">
        <f>Tableau!$G$26*COS(F32*PI()/180)+Tableau!$G$25</f>
        <v>-16938.831025012114</v>
      </c>
      <c r="H32" s="29">
        <f>Tableau!$G$26*SIN(F32*PI()/180)+Tableau!$H$25</f>
        <v>11696.833670862179</v>
      </c>
      <c r="J32" s="36">
        <v>29</v>
      </c>
      <c r="K32" s="37">
        <f>Tableau!$G$36*COS(J32*PI()/180)+Tableau!$G$35</f>
        <v>-626.90146430302138</v>
      </c>
      <c r="L32" s="37">
        <f>Tableau!$G$36*SIN(J32*PI()/180)+Tableau!$H$35</f>
        <v>-12575.951898768315</v>
      </c>
      <c r="N32" s="92">
        <v>28</v>
      </c>
      <c r="O32" s="93">
        <v>14</v>
      </c>
      <c r="P32" s="96">
        <f>P31+R31*Tableau!$G$2+((1/2)*T31)*Tableau!$G$2^2</f>
        <v>-676478.88417513436</v>
      </c>
      <c r="Q32" s="96">
        <f>Q31+S31*Tableau!$G$2+((1/2)*U31)*Tableau!$G$2^2</f>
        <v>310322.78709509311</v>
      </c>
      <c r="R32" s="96">
        <f>R31+T31*Tableau!$G$2</f>
        <v>-68717.298259609641</v>
      </c>
      <c r="S32" s="96">
        <f>S31+U31*Tableau!$G$2</f>
        <v>33809.78866802658</v>
      </c>
      <c r="T32" s="96">
        <f t="shared" si="0"/>
        <v>1.9922778638145107</v>
      </c>
      <c r="U32" s="96">
        <f t="shared" si="1"/>
        <v>-0.91539592651123125</v>
      </c>
      <c r="V32" s="96">
        <f>((Tableau!$G$16-P32)/(AC32^2+Tableau!$G$21^2)^(3/2))*Tableau!$G$20</f>
        <v>0.83250381309762878</v>
      </c>
      <c r="W32" s="96">
        <f>((Tableau!$H$16-Q32)/(AC32^2+Tableau!$G$21^2)^(3/2))*Tableau!$G$20</f>
        <v>-0.36196520910765168</v>
      </c>
      <c r="X32" s="96">
        <f>((Tableau!$G$25-P32)/(AD32^2+Tableau!$G$30^2)^(3/2))*Tableau!$G$29</f>
        <v>0.31337115146292438</v>
      </c>
      <c r="Y32" s="96">
        <f>((Tableau!$H$25-Q32)/(AD32^2+Tableau!$G$30^2)^(3/2))*Tableau!$G$29</f>
        <v>-0.14335951981272996</v>
      </c>
      <c r="Z32" s="96">
        <f>((Tableau!$G$35-P32)/(AE32^2+Tableau!$G$40^2)^(3/2))*Tableau!$G$39</f>
        <v>0.84640289925395751</v>
      </c>
      <c r="AA32" s="97">
        <f>((Tableau!$H$35-Q32)/(AE32^2+Tableau!$G$40^2)^(3/2))*Tableau!$G$39</f>
        <v>-0.41007119759084965</v>
      </c>
      <c r="AC32" s="110">
        <f>SQRT((Tableau!$G$16-P32)^2+(Tableau!$H$16-Q32)^2)</f>
        <v>759463.28185494279</v>
      </c>
      <c r="AD32" s="111">
        <f>SQRT((Tableau!$G$25-P32)^2+(Tableau!$H$25-Q32)^2)</f>
        <v>721912.94614821393</v>
      </c>
      <c r="AE32" s="112">
        <f>SQRT((Tableau!$G$35-P32)^2+(Tableau!$H$35-Q32)^2)</f>
        <v>746135.91770963743</v>
      </c>
    </row>
    <row r="33" spans="2:31" x14ac:dyDescent="0.25">
      <c r="B33" s="18">
        <v>30</v>
      </c>
      <c r="C33" s="19">
        <f>Tableau!$G$17*COS(B33*PI()/180)+Tableau!$G$16</f>
        <v>24330.127018922194</v>
      </c>
      <c r="D33" s="19">
        <f>Tableau!$G$17*SIN(B33*PI()/180)+Tableau!$H$16</f>
        <v>10000</v>
      </c>
      <c r="F33" s="26">
        <v>30</v>
      </c>
      <c r="G33" s="27">
        <f>Tableau!$G$26*COS(F33*PI()/180)+Tableau!$G$25</f>
        <v>-16968.911086754466</v>
      </c>
      <c r="H33" s="27">
        <f>Tableau!$G$26*SIN(F33*PI()/180)+Tableau!$H$25</f>
        <v>11750</v>
      </c>
      <c r="J33" s="34">
        <v>30</v>
      </c>
      <c r="K33" s="35">
        <f>Tableau!$G$36*COS(J33*PI()/180)+Tableau!$G$35</f>
        <v>-669.8729810778068</v>
      </c>
      <c r="L33" s="35">
        <f>Tableau!$G$36*SIN(J33*PI()/180)+Tableau!$H$35</f>
        <v>-12500</v>
      </c>
      <c r="N33" s="98">
        <v>29</v>
      </c>
      <c r="O33" s="99">
        <v>14.5</v>
      </c>
      <c r="P33" s="101">
        <f>P32+R32*Tableau!$G$2+((1/2)*T32)*Tableau!$G$2^2</f>
        <v>-710837.28427020623</v>
      </c>
      <c r="Q33" s="101">
        <f>Q32+S32*Tableau!$G$2+((1/2)*U32)*Tableau!$G$2^2</f>
        <v>327227.56700461556</v>
      </c>
      <c r="R33" s="101">
        <f>R32+T32*Tableau!$G$2</f>
        <v>-68716.302120677734</v>
      </c>
      <c r="S33" s="101">
        <f>S32+U32*Tableau!$G$2</f>
        <v>33809.330970063325</v>
      </c>
      <c r="T33" s="101">
        <f t="shared" si="0"/>
        <v>1.8019355705499431</v>
      </c>
      <c r="U33" s="101">
        <f t="shared" si="1"/>
        <v>-0.83071656666011484</v>
      </c>
      <c r="V33" s="101">
        <f>((Tableau!$G$16-P33)/(AC33^2+Tableau!$G$21^2)^(3/2))*Tableau!$G$20</f>
        <v>0.75383521045315904</v>
      </c>
      <c r="W33" s="101">
        <f>((Tableau!$H$16-Q33)/(AC33^2+Tableau!$G$21^2)^(3/2))*Tableau!$G$20</f>
        <v>-0.3297887271874459</v>
      </c>
      <c r="X33" s="101">
        <f>((Tableau!$G$25-P33)/(AD33^2+Tableau!$G$30^2)^(3/2))*Tableau!$G$29</f>
        <v>0.28242382125679216</v>
      </c>
      <c r="Y33" s="101">
        <f>((Tableau!$H$25-Q33)/(AD33^2+Tableau!$G$30^2)^(3/2))*Tableau!$G$29</f>
        <v>-0.12968700983775561</v>
      </c>
      <c r="Z33" s="101">
        <f>((Tableau!$G$35-P33)/(AE33^2+Tableau!$G$40^2)^(3/2))*Tableau!$G$39</f>
        <v>0.76567653883999209</v>
      </c>
      <c r="AA33" s="102">
        <f>((Tableau!$H$35-Q33)/(AE33^2+Tableau!$G$40^2)^(3/2))*Tableau!$G$39</f>
        <v>-0.37124082963491334</v>
      </c>
      <c r="AC33" s="113">
        <f>SQRT((Tableau!$G$16-P33)^2+(Tableau!$H$16-Q33)^2)</f>
        <v>797714.76931428397</v>
      </c>
      <c r="AD33" s="114">
        <f>SQRT((Tableau!$G$25-P33)^2+(Tableau!$H$25-Q33)^2)</f>
        <v>760190.42522614135</v>
      </c>
      <c r="AE33" s="115">
        <f>SQRT((Tableau!$G$35-P33)^2+(Tableau!$H$35-Q33)^2)</f>
        <v>784427.16646215064</v>
      </c>
    </row>
    <row r="34" spans="2:31" x14ac:dyDescent="0.25">
      <c r="B34" s="20">
        <v>31</v>
      </c>
      <c r="C34" s="21">
        <f>Tableau!$G$17*COS(B34*PI()/180)+Tableau!$G$16</f>
        <v>24285.83650351056</v>
      </c>
      <c r="D34" s="21">
        <f>Tableau!$G$17*SIN(B34*PI()/180)+Tableau!$H$16</f>
        <v>10075.190374550271</v>
      </c>
      <c r="F34" s="28">
        <v>31</v>
      </c>
      <c r="G34" s="29">
        <f>Tableau!$G$26*COS(F34*PI()/180)+Tableau!$G$25</f>
        <v>-16999.914447542607</v>
      </c>
      <c r="H34" s="29">
        <f>Tableau!$G$26*SIN(F34*PI()/180)+Tableau!$H$25</f>
        <v>11802.633262185189</v>
      </c>
      <c r="J34" s="36">
        <v>31</v>
      </c>
      <c r="K34" s="37">
        <f>Tableau!$G$36*COS(J34*PI()/180)+Tableau!$G$35</f>
        <v>-714.16349648943833</v>
      </c>
      <c r="L34" s="37">
        <f>Tableau!$G$36*SIN(J34*PI()/180)+Tableau!$H$35</f>
        <v>-12424.809625449729</v>
      </c>
      <c r="N34" s="92">
        <v>30</v>
      </c>
      <c r="O34" s="93">
        <v>15</v>
      </c>
      <c r="P34" s="96">
        <f>P33+R33*Tableau!$G$2+((1/2)*T33)*Tableau!$G$2^2</f>
        <v>-745195.21008859877</v>
      </c>
      <c r="Q34" s="96">
        <f>Q33+S33*Tableau!$G$2+((1/2)*U33)*Tableau!$G$2^2</f>
        <v>344132.1286500764</v>
      </c>
      <c r="R34" s="96">
        <f>R33+T33*Tableau!$G$2</f>
        <v>-68715.40115289246</v>
      </c>
      <c r="S34" s="96">
        <f>S33+U33*Tableau!$G$2</f>
        <v>33808.915611779994</v>
      </c>
      <c r="T34" s="96">
        <f t="shared" si="0"/>
        <v>1.6376189610903866</v>
      </c>
      <c r="U34" s="96">
        <f t="shared" si="1"/>
        <v>-0.75726034561793887</v>
      </c>
      <c r="V34" s="96">
        <f>((Tableau!$G$16-P34)/(AC34^2+Tableau!$G$21^2)^(3/2))*Tableau!$G$20</f>
        <v>0.68580344959807205</v>
      </c>
      <c r="W34" s="96">
        <f>((Tableau!$H$16-Q34)/(AC34^2+Tableau!$G$21^2)^(3/2))*Tableau!$G$20</f>
        <v>-0.30170533222108598</v>
      </c>
      <c r="X34" s="96">
        <f>((Tableau!$G$25-P34)/(AD34^2+Tableau!$G$30^2)^(3/2))*Tableau!$G$29</f>
        <v>0.25584319522279869</v>
      </c>
      <c r="Y34" s="96">
        <f>((Tableau!$H$25-Q34)/(AD34^2+Tableau!$G$30^2)^(3/2))*Tableau!$G$29</f>
        <v>-0.11787920029144543</v>
      </c>
      <c r="Z34" s="96">
        <f>((Tableau!$G$35-P34)/(AE34^2+Tableau!$G$40^2)^(3/2))*Tableau!$G$39</f>
        <v>0.69597231626951606</v>
      </c>
      <c r="AA34" s="97">
        <f>((Tableau!$H$35-Q34)/(AE34^2+Tableau!$G$40^2)^(3/2))*Tableau!$G$39</f>
        <v>-0.33767581310540745</v>
      </c>
      <c r="AC34" s="110">
        <f>SQRT((Tableau!$G$16-P34)^2+(Tableau!$H$16-Q34)^2)</f>
        <v>835969.43699038203</v>
      </c>
      <c r="AD34" s="111">
        <f>SQRT((Tableau!$G$25-P34)^2+(Tableau!$H$25-Q34)^2)</f>
        <v>798468.76716104441</v>
      </c>
      <c r="AE34" s="112">
        <f>SQRT((Tableau!$G$35-P34)^2+(Tableau!$H$35-Q34)^2)</f>
        <v>822717.95584321592</v>
      </c>
    </row>
    <row r="35" spans="2:31" x14ac:dyDescent="0.25">
      <c r="B35" s="18">
        <v>32</v>
      </c>
      <c r="C35" s="19">
        <f>Tableau!$G$17*COS(B35*PI()/180)+Tableau!$G$16</f>
        <v>24240.240480782129</v>
      </c>
      <c r="D35" s="19">
        <f>Tableau!$G$17*SIN(B35*PI()/180)+Tableau!$H$16</f>
        <v>10149.596321166024</v>
      </c>
      <c r="F35" s="26">
        <v>32</v>
      </c>
      <c r="G35" s="27">
        <f>Tableau!$G$26*COS(F35*PI()/180)+Tableau!$G$25</f>
        <v>-17031.831663452511</v>
      </c>
      <c r="H35" s="27">
        <f>Tableau!$G$26*SIN(F35*PI()/180)+Tableau!$H$25</f>
        <v>11854.717424816217</v>
      </c>
      <c r="J35" s="34">
        <v>32</v>
      </c>
      <c r="K35" s="35">
        <f>Tableau!$G$36*COS(J35*PI()/180)+Tableau!$G$35</f>
        <v>-759.75951921787055</v>
      </c>
      <c r="L35" s="35">
        <f>Tableau!$G$36*SIN(J35*PI()/180)+Tableau!$H$35</f>
        <v>-12350.403678833976</v>
      </c>
      <c r="N35" s="98">
        <v>31</v>
      </c>
      <c r="O35" s="99">
        <v>15.5</v>
      </c>
      <c r="P35" s="101">
        <f>P34+R34*Tableau!$G$2+((1/2)*T34)*Tableau!$G$2^2</f>
        <v>-779552.70596267493</v>
      </c>
      <c r="Q35" s="101">
        <f>Q34+S34*Tableau!$G$2+((1/2)*U34)*Tableau!$G$2^2</f>
        <v>361036.49179842323</v>
      </c>
      <c r="R35" s="101">
        <f>R34+T34*Tableau!$G$2</f>
        <v>-68714.582343411908</v>
      </c>
      <c r="S35" s="101">
        <f>S34+U34*Tableau!$G$2</f>
        <v>33808.536981607183</v>
      </c>
      <c r="T35" s="101">
        <f t="shared" si="0"/>
        <v>1.4947915486400738</v>
      </c>
      <c r="U35" s="101">
        <f t="shared" si="1"/>
        <v>-0.69312906845993094</v>
      </c>
      <c r="V35" s="101">
        <f>((Tableau!$G$16-P35)/(AC35^2+Tableau!$G$21^2)^(3/2))*Tableau!$G$20</f>
        <v>0.62657534415486105</v>
      </c>
      <c r="W35" s="101">
        <f>((Tableau!$H$16-Q35)/(AC35^2+Tableau!$G$21^2)^(3/2))*Tableau!$G$20</f>
        <v>-0.27705146561062377</v>
      </c>
      <c r="X35" s="101">
        <f>((Tableau!$G$25-P35)/(AD35^2+Tableau!$G$30^2)^(3/2))*Tableau!$G$29</f>
        <v>0.23284497652396621</v>
      </c>
      <c r="Y35" s="101">
        <f>((Tableau!$H$25-Q35)/(AD35^2+Tableau!$G$30^2)^(3/2))*Tableau!$G$29</f>
        <v>-0.10761212888875674</v>
      </c>
      <c r="Z35" s="101">
        <f>((Tableau!$G$35-P35)/(AE35^2+Tableau!$G$40^2)^(3/2))*Tableau!$G$39</f>
        <v>0.63537122796124657</v>
      </c>
      <c r="AA35" s="102">
        <f>((Tableau!$H$35-Q35)/(AE35^2+Tableau!$G$40^2)^(3/2))*Tableau!$G$39</f>
        <v>-0.30846547396055046</v>
      </c>
      <c r="AC35" s="113">
        <f>SQRT((Tableau!$G$16-P35)^2+(Tableau!$H$16-Q35)^2)</f>
        <v>874226.84736021026</v>
      </c>
      <c r="AD35" s="114">
        <f>SQRT((Tableau!$G$25-P35)^2+(Tableau!$H$25-Q35)^2)</f>
        <v>836747.83041808126</v>
      </c>
      <c r="AE35" s="115">
        <f>SQRT((Tableau!$G$35-P35)^2+(Tableau!$H$35-Q35)^2)</f>
        <v>861008.32602139656</v>
      </c>
    </row>
    <row r="36" spans="2:31" x14ac:dyDescent="0.25">
      <c r="B36" s="20">
        <v>33</v>
      </c>
      <c r="C36" s="21">
        <f>Tableau!$G$17*COS(B36*PI()/180)+Tableau!$G$16</f>
        <v>24193.352839727122</v>
      </c>
      <c r="D36" s="21">
        <f>Tableau!$G$17*SIN(B36*PI()/180)+Tableau!$H$16</f>
        <v>10223.195175075136</v>
      </c>
      <c r="F36" s="28">
        <v>33</v>
      </c>
      <c r="G36" s="29">
        <f>Tableau!$G$26*COS(F36*PI()/180)+Tableau!$G$25</f>
        <v>-17064.653012191015</v>
      </c>
      <c r="H36" s="29">
        <f>Tableau!$G$26*SIN(F36*PI()/180)+Tableau!$H$25</f>
        <v>11906.236622552595</v>
      </c>
      <c r="J36" s="36">
        <v>33</v>
      </c>
      <c r="K36" s="37">
        <f>Tableau!$G$36*COS(J36*PI()/180)+Tableau!$G$35</f>
        <v>-806.64716027287977</v>
      </c>
      <c r="L36" s="37">
        <f>Tableau!$G$36*SIN(J36*PI()/180)+Tableau!$H$35</f>
        <v>-12276.804824924864</v>
      </c>
      <c r="N36" s="92">
        <v>32</v>
      </c>
      <c r="O36" s="93">
        <v>16</v>
      </c>
      <c r="P36" s="96">
        <f>P35+R35*Tableau!$G$2+((1/2)*T35)*Tableau!$G$2^2</f>
        <v>-813909.81028543727</v>
      </c>
      <c r="Q36" s="96">
        <f>Q35+S35*Tableau!$G$2+((1/2)*U35)*Tableau!$G$2^2</f>
        <v>377940.6736480933</v>
      </c>
      <c r="R36" s="96">
        <f>R35+T35*Tableau!$G$2</f>
        <v>-68713.834947637588</v>
      </c>
      <c r="S36" s="96">
        <f>S35+U35*Tableau!$G$2</f>
        <v>33808.190417072954</v>
      </c>
      <c r="T36" s="96">
        <f t="shared" si="0"/>
        <v>1.3698637444240045</v>
      </c>
      <c r="U36" s="96">
        <f t="shared" si="1"/>
        <v>-0.6368093365905112</v>
      </c>
      <c r="V36" s="96">
        <f>((Tableau!$G$16-P36)/(AC36^2+Tableau!$G$21^2)^(3/2))*Tableau!$G$20</f>
        <v>0.57469598716966142</v>
      </c>
      <c r="W36" s="96">
        <f>((Tableau!$H$16-Q36)/(AC36^2+Tableau!$G$21^2)^(3/2))*Tableau!$G$20</f>
        <v>-0.25529231819099885</v>
      </c>
      <c r="X36" s="96">
        <f>((Tableau!$G$25-P36)/(AD36^2+Tableau!$G$30^2)^(3/2))*Tableau!$G$29</f>
        <v>0.21281331868756928</v>
      </c>
      <c r="Y36" s="96">
        <f>((Tableau!$H$25-Q36)/(AD36^2+Tableau!$G$30^2)^(3/2))*Tableau!$G$29</f>
        <v>-9.8629182842618068E-2</v>
      </c>
      <c r="Z36" s="96">
        <f>((Tableau!$G$35-P36)/(AE36^2+Tableau!$G$40^2)^(3/2))*Tableau!$G$39</f>
        <v>0.58235443856677382</v>
      </c>
      <c r="AA36" s="97">
        <f>((Tableau!$H$35-Q36)/(AE36^2+Tableau!$G$40^2)^(3/2))*Tableau!$G$39</f>
        <v>-0.28288783555689423</v>
      </c>
      <c r="AC36" s="110">
        <f>SQRT((Tableau!$G$16-P36)^2+(Tableau!$H$16-Q36)^2)</f>
        <v>912486.63792032981</v>
      </c>
      <c r="AD36" s="111">
        <f>SQRT((Tableau!$G$25-P36)^2+(Tableau!$H$25-Q36)^2)</f>
        <v>875027.5002490331</v>
      </c>
      <c r="AE36" s="112">
        <f>SQRT((Tableau!$G$35-P36)^2+(Tableau!$H$35-Q36)^2)</f>
        <v>899298.31212064414</v>
      </c>
    </row>
    <row r="37" spans="2:31" x14ac:dyDescent="0.25">
      <c r="B37" s="18">
        <v>34</v>
      </c>
      <c r="C37" s="19">
        <f>Tableau!$G$17*COS(B37*PI()/180)+Tableau!$G$16</f>
        <v>24145.187862775208</v>
      </c>
      <c r="D37" s="19">
        <f>Tableau!$G$17*SIN(B37*PI()/180)+Tableau!$H$16</f>
        <v>10295.964517353736</v>
      </c>
      <c r="F37" s="26">
        <v>34</v>
      </c>
      <c r="G37" s="27">
        <f>Tableau!$G$26*COS(F37*PI()/180)+Tableau!$G$25</f>
        <v>-17098.368496057356</v>
      </c>
      <c r="H37" s="27">
        <f>Tableau!$G$26*SIN(F37*PI()/180)+Tableau!$H$25</f>
        <v>11957.175162147614</v>
      </c>
      <c r="J37" s="34">
        <v>34</v>
      </c>
      <c r="K37" s="35">
        <f>Tableau!$G$36*COS(J37*PI()/180)+Tableau!$G$35</f>
        <v>-854.81213722479151</v>
      </c>
      <c r="L37" s="35">
        <f>Tableau!$G$36*SIN(J37*PI()/180)+Tableau!$H$35</f>
        <v>-12204.035482646264</v>
      </c>
      <c r="N37" s="98">
        <v>33</v>
      </c>
      <c r="O37" s="99">
        <v>16.5</v>
      </c>
      <c r="P37" s="101">
        <f>P36+R36*Tableau!$G$2+((1/2)*T36)*Tableau!$G$2^2</f>
        <v>-848266.55652628792</v>
      </c>
      <c r="Q37" s="101">
        <f>Q36+S36*Tableau!$G$2+((1/2)*U36)*Tableau!$G$2^2</f>
        <v>394844.68925546273</v>
      </c>
      <c r="R37" s="101">
        <f>R36+T36*Tableau!$G$2</f>
        <v>-68713.150015765379</v>
      </c>
      <c r="S37" s="101">
        <f>S36+U36*Tableau!$G$2</f>
        <v>33807.872012404659</v>
      </c>
      <c r="T37" s="101">
        <f t="shared" si="0"/>
        <v>1.2599652437980957</v>
      </c>
      <c r="U37" s="101">
        <f t="shared" si="1"/>
        <v>-0.58708264057611981</v>
      </c>
      <c r="V37" s="101">
        <f>((Tableau!$G$16-P37)/(AC37^2+Tableau!$G$21^2)^(3/2))*Tableau!$G$20</f>
        <v>0.52899886585535705</v>
      </c>
      <c r="W37" s="101">
        <f>((Tableau!$H$16-Q37)/(AC37^2+Tableau!$G$21^2)^(3/2))*Tableau!$G$20</f>
        <v>-0.23599308273602929</v>
      </c>
      <c r="X37" s="101">
        <f>((Tableau!$G$25-P37)/(AD37^2+Tableau!$G$30^2)^(3/2))*Tableau!$G$29</f>
        <v>0.19525921334540736</v>
      </c>
      <c r="Y37" s="101">
        <f>((Tableau!$H$25-Q37)/(AD37^2+Tableau!$G$30^2)^(3/2))*Tableau!$G$29</f>
        <v>-9.072498544349282E-2</v>
      </c>
      <c r="Z37" s="101">
        <f>((Tableau!$G$35-P37)/(AE37^2+Tableau!$G$40^2)^(3/2))*Tableau!$G$39</f>
        <v>0.53570716459733136</v>
      </c>
      <c r="AA37" s="102">
        <f>((Tableau!$H$35-Q37)/(AE37^2+Tableau!$G$40^2)^(3/2))*Tableau!$G$39</f>
        <v>-0.26036457239659766</v>
      </c>
      <c r="AC37" s="113">
        <f>SQRT((Tableau!$G$16-P37)^2+(Tableau!$H$16-Q37)^2)</f>
        <v>950748.50590281165</v>
      </c>
      <c r="AD37" s="114">
        <f>SQRT((Tableau!$G$25-P37)^2+(Tableau!$H$25-Q37)^2)</f>
        <v>913307.68282548035</v>
      </c>
      <c r="AE37" s="115">
        <f>SQRT((Tableau!$G$35-P37)^2+(Tableau!$H$35-Q37)^2)</f>
        <v>937587.94503055012</v>
      </c>
    </row>
    <row r="38" spans="2:31" x14ac:dyDescent="0.25">
      <c r="B38" s="20">
        <v>35</v>
      </c>
      <c r="C38" s="21">
        <f>Tableau!$G$17*COS(B38*PI()/180)+Tableau!$G$16</f>
        <v>24095.760221444958</v>
      </c>
      <c r="D38" s="21">
        <f>Tableau!$G$17*SIN(B38*PI()/180)+Tableau!$H$16</f>
        <v>10367.882181755231</v>
      </c>
      <c r="F38" s="28">
        <v>35</v>
      </c>
      <c r="G38" s="29">
        <f>Tableau!$G$26*COS(F38*PI()/180)+Tableau!$G$25</f>
        <v>-17132.967844988529</v>
      </c>
      <c r="H38" s="29">
        <f>Tableau!$G$26*SIN(F38*PI()/180)+Tableau!$H$25</f>
        <v>12007.517527228661</v>
      </c>
      <c r="J38" s="36">
        <v>35</v>
      </c>
      <c r="K38" s="37">
        <f>Tableau!$G$36*COS(J38*PI()/180)+Tableau!$G$35</f>
        <v>-904.23977855504108</v>
      </c>
      <c r="L38" s="37">
        <f>Tableau!$G$36*SIN(J38*PI()/180)+Tableau!$H$35</f>
        <v>-12132.117818244769</v>
      </c>
      <c r="N38" s="92">
        <v>34</v>
      </c>
      <c r="O38" s="93">
        <v>17</v>
      </c>
      <c r="P38" s="96">
        <f>P37+R37*Tableau!$G$2+((1/2)*T37)*Tableau!$G$2^2</f>
        <v>-882622.97403851512</v>
      </c>
      <c r="Q38" s="96">
        <f>Q37+S37*Tableau!$G$2+((1/2)*U37)*Tableau!$G$2^2</f>
        <v>411748.55187633494</v>
      </c>
      <c r="R38" s="96">
        <f>R37+T37*Tableau!$G$2</f>
        <v>-68712.520033143475</v>
      </c>
      <c r="S38" s="96">
        <f>S37+U37*Tableau!$G$2</f>
        <v>33807.578471084373</v>
      </c>
      <c r="T38" s="96">
        <f t="shared" si="0"/>
        <v>1.1627787722946776</v>
      </c>
      <c r="U38" s="96">
        <f t="shared" si="1"/>
        <v>-0.54295902938502516</v>
      </c>
      <c r="V38" s="96">
        <f>((Tableau!$G$16-P38)/(AC38^2+Tableau!$G$21^2)^(3/2))*Tableau!$G$20</f>
        <v>0.48853992724014611</v>
      </c>
      <c r="W38" s="96">
        <f>((Tableau!$H$16-Q38)/(AC38^2+Tableau!$G$21^2)^(3/2))*Tableau!$G$20</f>
        <v>-0.21879739802875006</v>
      </c>
      <c r="X38" s="96">
        <f>((Tableau!$G$25-P38)/(AD38^2+Tableau!$G$30^2)^(3/2))*Tableau!$G$29</f>
        <v>0.17979039257638788</v>
      </c>
      <c r="Y38" s="96">
        <f>((Tableau!$H$25-Q38)/(AD38^2+Tableau!$G$30^2)^(3/2))*Tableau!$G$29</f>
        <v>-8.37336032457867E-2</v>
      </c>
      <c r="Z38" s="96">
        <f>((Tableau!$G$35-P38)/(AE38^2+Tableau!$G$40^2)^(3/2))*Tableau!$G$39</f>
        <v>0.49444845247814356</v>
      </c>
      <c r="AA38" s="97">
        <f>((Tableau!$H$35-Q38)/(AE38^2+Tableau!$G$40^2)^(3/2))*Tableau!$G$39</f>
        <v>-0.24042802811048841</v>
      </c>
      <c r="AC38" s="110">
        <f>SQRT((Tableau!$G$16-P38)^2+(Tableau!$H$16-Q38)^2)</f>
        <v>989012.19656597148</v>
      </c>
      <c r="AD38" s="111">
        <f>SQRT((Tableau!$G$25-P38)^2+(Tableau!$H$25-Q38)^2)</f>
        <v>951588.30082855944</v>
      </c>
      <c r="AE38" s="112">
        <f>SQRT((Tableau!$G$35-P38)^2+(Tableau!$H$35-Q38)^2)</f>
        <v>975877.25206029729</v>
      </c>
    </row>
    <row r="39" spans="2:31" x14ac:dyDescent="0.25">
      <c r="B39" s="18">
        <v>36</v>
      </c>
      <c r="C39" s="19">
        <f>Tableau!$G$17*COS(B39*PI()/180)+Tableau!$G$16</f>
        <v>24045.084971874738</v>
      </c>
      <c r="D39" s="19">
        <f>Tableau!$G$17*SIN(B39*PI()/180)+Tableau!$H$16</f>
        <v>10438.926261462366</v>
      </c>
      <c r="F39" s="26">
        <v>36</v>
      </c>
      <c r="G39" s="27">
        <f>Tableau!$G$26*COS(F39*PI()/180)+Tableau!$G$25</f>
        <v>-17168.440519687683</v>
      </c>
      <c r="H39" s="27">
        <f>Tableau!$G$26*SIN(F39*PI()/180)+Tableau!$H$25</f>
        <v>12057.248383023656</v>
      </c>
      <c r="J39" s="34">
        <v>36</v>
      </c>
      <c r="K39" s="35">
        <f>Tableau!$G$36*COS(J39*PI()/180)+Tableau!$G$35</f>
        <v>-954.91502812526278</v>
      </c>
      <c r="L39" s="35">
        <f>Tableau!$G$36*SIN(J39*PI()/180)+Tableau!$H$35</f>
        <v>-12061.073738537634</v>
      </c>
      <c r="N39" s="98">
        <v>35</v>
      </c>
      <c r="O39" s="99">
        <v>17.5</v>
      </c>
      <c r="P39" s="101">
        <f>P38+R38*Tableau!$G$2+((1/2)*T38)*Tableau!$G$2^2</f>
        <v>-916979.0887077403</v>
      </c>
      <c r="Q39" s="101">
        <f>Q38+S38*Tableau!$G$2+((1/2)*U38)*Tableau!$G$2^2</f>
        <v>428652.27324199845</v>
      </c>
      <c r="R39" s="101">
        <f>R38+T38*Tableau!$G$2</f>
        <v>-68711.938643757327</v>
      </c>
      <c r="S39" s="101">
        <f>S38+U38*Tableau!$G$2</f>
        <v>33807.306991569683</v>
      </c>
      <c r="T39" s="101">
        <f t="shared" si="0"/>
        <v>1.0764169918699409</v>
      </c>
      <c r="U39" s="101">
        <f t="shared" si="1"/>
        <v>-0.50362754903074669</v>
      </c>
      <c r="V39" s="101">
        <f>((Tableau!$G$16-P39)/(AC39^2+Tableau!$G$21^2)^(3/2))*Tableau!$G$20</f>
        <v>0.45254857331018861</v>
      </c>
      <c r="W39" s="101">
        <f>((Tableau!$H$16-Q39)/(AC39^2+Tableau!$G$21^2)^(3/2))*Tableau!$G$20</f>
        <v>-0.20341100745894869</v>
      </c>
      <c r="X39" s="101">
        <f>((Tableau!$G$25-P39)/(AD39^2+Tableau!$G$30^2)^(3/2))*Tableau!$G$29</f>
        <v>0.16608924401671532</v>
      </c>
      <c r="Y39" s="101">
        <f>((Tableau!$H$25-Q39)/(AD39^2+Tableau!$G$30^2)^(3/2))*Tableau!$G$29</f>
        <v>-7.7519800008736636E-2</v>
      </c>
      <c r="Z39" s="101">
        <f>((Tableau!$G$35-P39)/(AE39^2+Tableau!$G$40^2)^(3/2))*Tableau!$G$39</f>
        <v>0.45777917454303685</v>
      </c>
      <c r="AA39" s="102">
        <f>((Tableau!$H$35-Q39)/(AE39^2+Tableau!$G$40^2)^(3/2))*Tableau!$G$39</f>
        <v>-0.22269674156306138</v>
      </c>
      <c r="AC39" s="113">
        <f>SQRT((Tableau!$G$16-P39)^2+(Tableau!$H$16-Q39)^2)</f>
        <v>1027277.4941234187</v>
      </c>
      <c r="AD39" s="114">
        <f>SQRT((Tableau!$G$25-P39)^2+(Tableau!$H$25-Q39)^2)</f>
        <v>989869.29009322298</v>
      </c>
      <c r="AE39" s="115">
        <f>SQRT((Tableau!$G$35-P39)^2+(Tableau!$H$35-Q39)^2)</f>
        <v>1014166.2574711276</v>
      </c>
    </row>
    <row r="40" spans="2:31" x14ac:dyDescent="0.25">
      <c r="B40" s="20">
        <v>37</v>
      </c>
      <c r="C40" s="21">
        <f>Tableau!$G$17*COS(B40*PI()/180)+Tableau!$G$16</f>
        <v>23993.177550236465</v>
      </c>
      <c r="D40" s="21">
        <f>Tableau!$G$17*SIN(B40*PI()/180)+Tableau!$H$16</f>
        <v>10509.075115760241</v>
      </c>
      <c r="F40" s="28">
        <v>37</v>
      </c>
      <c r="G40" s="29">
        <f>Tableau!$G$26*COS(F40*PI()/180)+Tableau!$G$25</f>
        <v>-17204.775714834475</v>
      </c>
      <c r="H40" s="29">
        <f>Tableau!$G$26*SIN(F40*PI()/180)+Tableau!$H$25</f>
        <v>12106.35258103217</v>
      </c>
      <c r="J40" s="36">
        <v>37</v>
      </c>
      <c r="K40" s="37">
        <f>Tableau!$G$36*COS(J40*PI()/180)+Tableau!$G$35</f>
        <v>-1006.822449763536</v>
      </c>
      <c r="L40" s="37">
        <f>Tableau!$G$36*SIN(J40*PI()/180)+Tableau!$H$35</f>
        <v>-11990.924884239759</v>
      </c>
      <c r="N40" s="92">
        <v>36</v>
      </c>
      <c r="O40" s="93">
        <v>18</v>
      </c>
      <c r="P40" s="96">
        <f>P39+R39*Tableau!$G$2+((1/2)*T39)*Tableau!$G$2^2</f>
        <v>-951334.92347749497</v>
      </c>
      <c r="Q40" s="96">
        <f>Q39+S39*Tableau!$G$2+((1/2)*U39)*Tableau!$G$2^2</f>
        <v>445555.86378433969</v>
      </c>
      <c r="R40" s="96">
        <f>R39+T39*Tableau!$G$2</f>
        <v>-68711.400435261385</v>
      </c>
      <c r="S40" s="96">
        <f>S39+U39*Tableau!$G$2</f>
        <v>33807.05517779517</v>
      </c>
      <c r="T40" s="96">
        <f t="shared" si="0"/>
        <v>0.99933022238149527</v>
      </c>
      <c r="U40" s="96">
        <f t="shared" si="1"/>
        <v>-0.46841877653403285</v>
      </c>
      <c r="V40" s="96">
        <f>((Tableau!$G$16-P40)/(AC40^2+Tableau!$G$21^2)^(3/2))*Tableau!$G$20</f>
        <v>0.42039079663752882</v>
      </c>
      <c r="W40" s="96">
        <f>((Tableau!$H$16-Q40)/(AC40^2+Tableau!$G$21^2)^(3/2))*Tableau!$G$20</f>
        <v>-0.18958924372732708</v>
      </c>
      <c r="X40" s="96">
        <f>((Tableau!$G$25-P40)/(AD40^2+Tableau!$G$30^2)^(3/2))*Tableau!$G$29</f>
        <v>0.15389639079426384</v>
      </c>
      <c r="Y40" s="96">
        <f>((Tableau!$H$25-Q40)/(AD40^2+Tableau!$G$30^2)^(3/2))*Tableau!$G$29</f>
        <v>-7.1972470628937635E-2</v>
      </c>
      <c r="Z40" s="96">
        <f>((Tableau!$G$35-P40)/(AE40^2+Tableau!$G$40^2)^(3/2))*Tableau!$G$39</f>
        <v>0.42504303494970269</v>
      </c>
      <c r="AA40" s="97">
        <f>((Tableau!$H$35-Q40)/(AE40^2+Tableau!$G$40^2)^(3/2))*Tableau!$G$39</f>
        <v>-0.20685706217776809</v>
      </c>
      <c r="AC40" s="110">
        <f>SQRT((Tableau!$G$16-P40)^2+(Tableau!$H$16-Q40)^2)</f>
        <v>1065544.2146447396</v>
      </c>
      <c r="AD40" s="111">
        <f>SQRT((Tableau!$G$25-P40)^2+(Tableau!$H$25-Q40)^2)</f>
        <v>1028150.5970264053</v>
      </c>
      <c r="AE40" s="112">
        <f>SQRT((Tableau!$G$35-P40)^2+(Tableau!$H$35-Q40)^2)</f>
        <v>1052454.9829134238</v>
      </c>
    </row>
    <row r="41" spans="2:31" x14ac:dyDescent="0.25">
      <c r="B41" s="18">
        <v>38</v>
      </c>
      <c r="C41" s="19">
        <f>Tableau!$G$17*COS(B41*PI()/180)+Tableau!$G$16</f>
        <v>23940.053768033609</v>
      </c>
      <c r="D41" s="19">
        <f>Tableau!$G$17*SIN(B41*PI()/180)+Tableau!$H$16</f>
        <v>10578.307376628291</v>
      </c>
      <c r="F41" s="26">
        <v>38</v>
      </c>
      <c r="G41" s="27">
        <f>Tableau!$G$26*COS(F41*PI()/180)+Tableau!$G$25</f>
        <v>-17241.962362376471</v>
      </c>
      <c r="H41" s="27">
        <f>Tableau!$G$26*SIN(F41*PI()/180)+Tableau!$H$25</f>
        <v>12154.815163639803</v>
      </c>
      <c r="J41" s="34">
        <v>38</v>
      </c>
      <c r="K41" s="35">
        <f>Tableau!$G$36*COS(J41*PI()/180)+Tableau!$G$35</f>
        <v>-1059.9462319663899</v>
      </c>
      <c r="L41" s="35">
        <f>Tableau!$G$36*SIN(J41*PI()/180)+Tableau!$H$35</f>
        <v>-11921.692623371709</v>
      </c>
      <c r="N41" s="98">
        <v>37</v>
      </c>
      <c r="O41" s="99">
        <v>18.5</v>
      </c>
      <c r="P41" s="101">
        <f>P40+R40*Tableau!$G$2+((1/2)*T40)*Tableau!$G$2^2</f>
        <v>-985690.49877884786</v>
      </c>
      <c r="Q41" s="101">
        <f>Q40+S40*Tableau!$G$2+((1/2)*U40)*Tableau!$G$2^2</f>
        <v>462459.33282089018</v>
      </c>
      <c r="R41" s="101">
        <f>R40+T40*Tableau!$G$2</f>
        <v>-68710.900770150198</v>
      </c>
      <c r="S41" s="101">
        <f>S40+U40*Tableau!$G$2</f>
        <v>33806.820968406901</v>
      </c>
      <c r="T41" s="101">
        <f t="shared" si="0"/>
        <v>0.93023646791381864</v>
      </c>
      <c r="U41" s="101">
        <f t="shared" si="1"/>
        <v>-0.43677619076980267</v>
      </c>
      <c r="V41" s="101">
        <f>((Tableau!$G$16-P41)/(AC41^2+Tableau!$G$21^2)^(3/2))*Tableau!$G$20</f>
        <v>0.39154113861027673</v>
      </c>
      <c r="W41" s="101">
        <f>((Tableau!$H$16-Q41)/(AC41^2+Tableau!$G$21^2)^(3/2))*Tableau!$G$20</f>
        <v>-0.17712735221259684</v>
      </c>
      <c r="X41" s="101">
        <f>((Tableau!$G$25-P41)/(AD41^2+Tableau!$G$30^2)^(3/2))*Tableau!$G$29</f>
        <v>0.14299833480070384</v>
      </c>
      <c r="Y41" s="101">
        <f>((Tableau!$H$25-Q41)/(AD41^2+Tableau!$G$30^2)^(3/2))*Tableau!$G$29</f>
        <v>-6.6999655935562702E-2</v>
      </c>
      <c r="Z41" s="101">
        <f>((Tableau!$G$35-P41)/(AE41^2+Tableau!$G$40^2)^(3/2))*Tableau!$G$39</f>
        <v>0.39569699450283813</v>
      </c>
      <c r="AA41" s="102">
        <f>((Tableau!$H$35-Q41)/(AE41^2+Tableau!$G$40^2)^(3/2))*Tableau!$G$39</f>
        <v>-0.19264918262164313</v>
      </c>
      <c r="AC41" s="113">
        <f>SQRT((Tableau!$G$16-P41)^2+(Tableau!$H$16-Q41)^2)</f>
        <v>1103812.2004466509</v>
      </c>
      <c r="AD41" s="114">
        <f>SQRT((Tableau!$G$25-P41)^2+(Tableau!$H$25-Q41)^2)</f>
        <v>1066432.1766003054</v>
      </c>
      <c r="AE41" s="115">
        <f>SQRT((Tableau!$G$35-P41)^2+(Tableau!$H$35-Q41)^2)</f>
        <v>1090743.4477881931</v>
      </c>
    </row>
    <row r="42" spans="2:31" x14ac:dyDescent="0.25">
      <c r="B42" s="20">
        <v>39</v>
      </c>
      <c r="C42" s="21">
        <f>Tableau!$G$17*COS(B42*PI()/180)+Tableau!$G$16</f>
        <v>23885.729807284853</v>
      </c>
      <c r="D42" s="21">
        <f>Tableau!$G$17*SIN(B42*PI()/180)+Tableau!$H$16</f>
        <v>10646.601955249187</v>
      </c>
      <c r="F42" s="28">
        <v>39</v>
      </c>
      <c r="G42" s="29">
        <f>Tableau!$G$26*COS(F42*PI()/180)+Tableau!$G$25</f>
        <v>-17279.989134900603</v>
      </c>
      <c r="H42" s="29">
        <f>Tableau!$G$26*SIN(F42*PI()/180)+Tableau!$H$25</f>
        <v>12202.62136867443</v>
      </c>
      <c r="J42" s="36">
        <v>39</v>
      </c>
      <c r="K42" s="37">
        <f>Tableau!$G$36*COS(J42*PI()/180)+Tableau!$G$35</f>
        <v>-1114.2701927151456</v>
      </c>
      <c r="L42" s="37">
        <f>Tableau!$G$36*SIN(J42*PI()/180)+Tableau!$H$35</f>
        <v>-11853.398044750813</v>
      </c>
      <c r="N42" s="92">
        <v>38</v>
      </c>
      <c r="O42" s="93">
        <v>19</v>
      </c>
      <c r="P42" s="96">
        <f>P41+R41*Tableau!$G$2+((1/2)*T41)*Tableau!$G$2^2</f>
        <v>-1020045.8328843644</v>
      </c>
      <c r="Q42" s="96">
        <f>Q41+S41*Tableau!$G$2+((1/2)*U41)*Tableau!$G$2^2</f>
        <v>479362.68870806973</v>
      </c>
      <c r="R42" s="96">
        <f>R41+T41*Tableau!$G$2</f>
        <v>-68710.435651916239</v>
      </c>
      <c r="S42" s="96">
        <f>S41+U41*Tableau!$G$2</f>
        <v>33806.602580311519</v>
      </c>
      <c r="T42" s="96">
        <f t="shared" si="0"/>
        <v>0.86806779306617077</v>
      </c>
      <c r="U42" s="96">
        <f t="shared" si="1"/>
        <v>-0.40823407672699508</v>
      </c>
      <c r="V42" s="96">
        <f>((Tableau!$G$16-P42)/(AC42^2+Tableau!$G$21^2)^(3/2))*Tableau!$G$20</f>
        <v>0.36556113822610697</v>
      </c>
      <c r="W42" s="96">
        <f>((Tableau!$H$16-Q42)/(AC42^2+Tableau!$G$21^2)^(3/2))*Tableau!$G$20</f>
        <v>-0.16585294235752365</v>
      </c>
      <c r="X42" s="96">
        <f>((Tableau!$G$25-P42)/(AD42^2+Tableau!$G$30^2)^(3/2))*Tableau!$G$29</f>
        <v>0.13321805365147008</v>
      </c>
      <c r="Y42" s="96">
        <f>((Tableau!$H$25-Q42)/(AD42^2+Tableau!$G$30^2)^(3/2))*Tableau!$G$29</f>
        <v>-6.2524718158132625E-2</v>
      </c>
      <c r="Z42" s="96">
        <f>((Tableau!$G$35-P42)/(AE42^2+Tableau!$G$40^2)^(3/2))*Tableau!$G$39</f>
        <v>0.36928860118859375</v>
      </c>
      <c r="AA42" s="97">
        <f>((Tableau!$H$35-Q42)/(AE42^2+Tableau!$G$40^2)^(3/2))*Tableau!$G$39</f>
        <v>-0.1798564162113388</v>
      </c>
      <c r="AC42" s="110">
        <f>SQRT((Tableau!$G$16-P42)^2+(Tableau!$H$16-Q42)^2)</f>
        <v>1142081.3156229025</v>
      </c>
      <c r="AD42" s="111">
        <f>SQRT((Tableau!$G$25-P42)^2+(Tableau!$H$25-Q42)^2)</f>
        <v>1104713.990777998</v>
      </c>
      <c r="AE42" s="112">
        <f>SQRT((Tableau!$G$35-P42)^2+(Tableau!$H$35-Q42)^2)</f>
        <v>1129031.6695481066</v>
      </c>
    </row>
    <row r="43" spans="2:31" x14ac:dyDescent="0.25">
      <c r="B43" s="18">
        <v>40</v>
      </c>
      <c r="C43" s="19">
        <f>Tableau!$G$17*COS(B43*PI()/180)+Tableau!$G$16</f>
        <v>23830.222215594891</v>
      </c>
      <c r="D43" s="19">
        <f>Tableau!$G$17*SIN(B43*PI()/180)+Tableau!$H$16</f>
        <v>10713.938048432696</v>
      </c>
      <c r="F43" s="26">
        <v>40</v>
      </c>
      <c r="G43" s="27">
        <f>Tableau!$G$26*COS(F43*PI()/180)+Tableau!$G$25</f>
        <v>-17318.844449083575</v>
      </c>
      <c r="H43" s="27">
        <f>Tableau!$G$26*SIN(F43*PI()/180)+Tableau!$H$25</f>
        <v>12249.756633902887</v>
      </c>
      <c r="J43" s="34">
        <v>40</v>
      </c>
      <c r="K43" s="35">
        <f>Tableau!$G$36*COS(J43*PI()/180)+Tableau!$G$35</f>
        <v>-1169.7777844051097</v>
      </c>
      <c r="L43" s="35">
        <f>Tableau!$G$36*SIN(J43*PI()/180)+Tableau!$H$35</f>
        <v>-11786.061951567304</v>
      </c>
      <c r="N43" s="98">
        <v>39</v>
      </c>
      <c r="O43" s="99">
        <v>19.5</v>
      </c>
      <c r="P43" s="101">
        <f>P42+R42*Tableau!$G$2+((1/2)*T42)*Tableau!$G$2^2</f>
        <v>-1054400.9422018484</v>
      </c>
      <c r="Q43" s="101">
        <f>Q42+S42*Tableau!$G$2+((1/2)*U42)*Tableau!$G$2^2</f>
        <v>496265.9389689659</v>
      </c>
      <c r="R43" s="101">
        <f>R42+T42*Tableau!$G$2</f>
        <v>-68710.001618019713</v>
      </c>
      <c r="S43" s="101">
        <f>S42+U42*Tableau!$G$2</f>
        <v>33806.398463273159</v>
      </c>
      <c r="T43" s="101">
        <f t="shared" si="0"/>
        <v>0.81192882483731565</v>
      </c>
      <c r="U43" s="101">
        <f t="shared" si="1"/>
        <v>-0.38240031362844007</v>
      </c>
      <c r="V43" s="101">
        <f>((Tableau!$G$16-P43)/(AC43^2+Tableau!$G$21^2)^(3/2))*Tableau!$G$20</f>
        <v>0.34208261034905191</v>
      </c>
      <c r="W43" s="101">
        <f>((Tableau!$H$16-Q43)/(AC43^2+Tableau!$G$21^2)^(3/2))*Tableau!$G$20</f>
        <v>-0.15562004991317069</v>
      </c>
      <c r="X43" s="101">
        <f>((Tableau!$G$25-P43)/(AD43^2+Tableau!$G$30^2)^(3/2))*Tableau!$G$29</f>
        <v>0.12440777126421931</v>
      </c>
      <c r="Y43" s="101">
        <f>((Tableau!$H$25-Q43)/(AD43^2+Tableau!$G$30^2)^(3/2))*Tableau!$G$29</f>
        <v>-5.8483378389099686E-2</v>
      </c>
      <c r="Z43" s="101">
        <f>((Tableau!$G$35-P43)/(AE43^2+Tableau!$G$40^2)^(3/2))*Tableau!$G$39</f>
        <v>0.34543844322404443</v>
      </c>
      <c r="AA43" s="102">
        <f>((Tableau!$H$35-Q43)/(AE43^2+Tableau!$G$40^2)^(3/2))*Tableau!$G$39</f>
        <v>-0.16829688532616968</v>
      </c>
      <c r="AC43" s="113">
        <f>SQRT((Tableau!$G$16-P43)^2+(Tableau!$H$16-Q43)^2)</f>
        <v>1180351.4424528121</v>
      </c>
      <c r="AD43" s="114">
        <f>SQRT((Tableau!$G$25-P43)^2+(Tableau!$H$25-Q43)^2)</f>
        <v>1142996.0072674977</v>
      </c>
      <c r="AE43" s="115">
        <f>SQRT((Tableau!$G$35-P43)^2+(Tableau!$H$35-Q43)^2)</f>
        <v>1167319.6639498307</v>
      </c>
    </row>
    <row r="44" spans="2:31" x14ac:dyDescent="0.25">
      <c r="B44" s="20">
        <v>41</v>
      </c>
      <c r="C44" s="21">
        <f>Tableau!$G$17*COS(B44*PI()/180)+Tableau!$G$16</f>
        <v>23773.54790111386</v>
      </c>
      <c r="D44" s="21">
        <f>Tableau!$G$17*SIN(B44*PI()/180)+Tableau!$H$16</f>
        <v>10780.295144952535</v>
      </c>
      <c r="F44" s="28">
        <v>41</v>
      </c>
      <c r="G44" s="29">
        <f>Tableau!$G$26*COS(F44*PI()/180)+Tableau!$G$25</f>
        <v>-17358.516469220296</v>
      </c>
      <c r="H44" s="29">
        <f>Tableau!$G$26*SIN(F44*PI()/180)+Tableau!$H$25</f>
        <v>12296.206601466776</v>
      </c>
      <c r="J44" s="36">
        <v>41</v>
      </c>
      <c r="K44" s="37">
        <f>Tableau!$G$36*COS(J44*PI()/180)+Tableau!$G$35</f>
        <v>-1226.4520988861395</v>
      </c>
      <c r="L44" s="37">
        <f>Tableau!$G$36*SIN(J44*PI()/180)+Tableau!$H$35</f>
        <v>-11719.704855047465</v>
      </c>
      <c r="N44" s="92">
        <v>40</v>
      </c>
      <c r="O44" s="93">
        <v>20</v>
      </c>
      <c r="P44" s="96">
        <f>P43+R43*Tableau!$G$2+((1/2)*T43)*Tableau!$G$2^2</f>
        <v>-1088755.8415197551</v>
      </c>
      <c r="Q44" s="96">
        <f>Q43+S43*Tableau!$G$2+((1/2)*U43)*Tableau!$G$2^2</f>
        <v>513169.09040056326</v>
      </c>
      <c r="R44" s="96">
        <f>R43+T43*Tableau!$G$2</f>
        <v>-68709.595653607292</v>
      </c>
      <c r="S44" s="96">
        <f>S43+U43*Tableau!$G$2</f>
        <v>33806.207263116346</v>
      </c>
      <c r="T44" s="96">
        <f t="shared" si="0"/>
        <v>0.76106434504009091</v>
      </c>
      <c r="U44" s="96">
        <f t="shared" si="1"/>
        <v>-0.35894285139590165</v>
      </c>
      <c r="V44" s="96">
        <f>((Tableau!$G$16-P44)/(AC44^2+Tableau!$G$21^2)^(3/2))*Tableau!$G$20</f>
        <v>0.32079455553373004</v>
      </c>
      <c r="W44" s="96">
        <f>((Tableau!$H$16-Q44)/(AC44^2+Tableau!$G$21^2)^(3/2))*Tableau!$G$20</f>
        <v>-0.14630442972895397</v>
      </c>
      <c r="X44" s="96">
        <f>((Tableau!$G$25-P44)/(AD44^2+Tableau!$G$30^2)^(3/2))*Tableau!$G$29</f>
        <v>0.11644334629868598</v>
      </c>
      <c r="Y44" s="96">
        <f>((Tableau!$H$25-Q44)/(AD44^2+Tableau!$G$30^2)^(3/2))*Tableau!$G$29</f>
        <v>-5.482140107603297E-2</v>
      </c>
      <c r="Z44" s="96">
        <f>((Tableau!$G$35-P44)/(AE44^2+Tableau!$G$40^2)^(3/2))*Tableau!$G$39</f>
        <v>0.3238264432076749</v>
      </c>
      <c r="AA44" s="97">
        <f>((Tableau!$H$35-Q44)/(AE44^2+Tableau!$G$40^2)^(3/2))*Tableau!$G$39</f>
        <v>-0.15781702059091474</v>
      </c>
      <c r="AC44" s="110">
        <f>SQRT((Tableau!$G$16-P44)^2+(Tableau!$H$16-Q44)^2)</f>
        <v>1218622.4784939399</v>
      </c>
      <c r="AD44" s="111">
        <f>SQRT((Tableau!$G$25-P44)^2+(Tableau!$H$25-Q44)^2)</f>
        <v>1181278.1985278192</v>
      </c>
      <c r="AE44" s="112">
        <f>SQRT((Tableau!$G$35-P44)^2+(Tableau!$H$35-Q44)^2)</f>
        <v>1205607.4452668044</v>
      </c>
    </row>
    <row r="45" spans="2:31" x14ac:dyDescent="0.25">
      <c r="B45" s="18">
        <v>42</v>
      </c>
      <c r="C45" s="19">
        <f>Tableau!$G$17*COS(B45*PI()/180)+Tableau!$G$16</f>
        <v>23715.724127386973</v>
      </c>
      <c r="D45" s="19">
        <f>Tableau!$G$17*SIN(B45*PI()/180)+Tableau!$H$16</f>
        <v>10845.653031794291</v>
      </c>
      <c r="F45" s="26">
        <v>42</v>
      </c>
      <c r="G45" s="27">
        <f>Tableau!$G$26*COS(F45*PI()/180)+Tableau!$G$25</f>
        <v>-17398.99311082912</v>
      </c>
      <c r="H45" s="27">
        <f>Tableau!$G$26*SIN(F45*PI()/180)+Tableau!$H$25</f>
        <v>12341.957122256004</v>
      </c>
      <c r="J45" s="34">
        <v>42</v>
      </c>
      <c r="K45" s="35">
        <f>Tableau!$G$36*COS(J45*PI()/180)+Tableau!$G$35</f>
        <v>-1284.2758726130287</v>
      </c>
      <c r="L45" s="35">
        <f>Tableau!$G$36*SIN(J45*PI()/180)+Tableau!$H$35</f>
        <v>-11654.346968205709</v>
      </c>
      <c r="N45" s="98">
        <v>41</v>
      </c>
      <c r="O45" s="99">
        <v>20.5</v>
      </c>
      <c r="P45" s="101">
        <f>P44+R44*Tableau!$G$2+((1/2)*T44)*Tableau!$G$2^2</f>
        <v>-1123110.5442135157</v>
      </c>
      <c r="Q45" s="101">
        <f>Q44+S44*Tableau!$G$2+((1/2)*U44)*Tableau!$G$2^2</f>
        <v>530072.14916426502</v>
      </c>
      <c r="R45" s="101">
        <f>R44+T44*Tableau!$G$2</f>
        <v>-68709.215121434769</v>
      </c>
      <c r="S45" s="101">
        <f>S44+U44*Tableau!$G$2</f>
        <v>33806.027791690649</v>
      </c>
      <c r="T45" s="101">
        <f t="shared" si="0"/>
        <v>0.71483376678027111</v>
      </c>
      <c r="U45" s="101">
        <f t="shared" si="1"/>
        <v>-0.3375789992917767</v>
      </c>
      <c r="V45" s="101">
        <f>((Tableau!$G$16-P45)/(AC45^2+Tableau!$G$21^2)^(3/2))*Tableau!$G$20</f>
        <v>0.30143282758476719</v>
      </c>
      <c r="W45" s="101">
        <f>((Tableau!$H$16-Q45)/(AC45^2+Tableau!$G$21^2)^(3/2))*Tableau!$G$20</f>
        <v>-0.13779979664872266</v>
      </c>
      <c r="X45" s="101">
        <f>((Tableau!$G$25-P45)/(AD45^2+Tableau!$G$30^2)^(3/2))*Tableau!$G$29</f>
        <v>0.10921987757761609</v>
      </c>
      <c r="Y45" s="101">
        <f>((Tableau!$H$25-Q45)/(AD45^2+Tableau!$G$30^2)^(3/2))*Tableau!$G$29</f>
        <v>-5.1492769025924749E-2</v>
      </c>
      <c r="Z45" s="101">
        <f>((Tableau!$G$35-P45)/(AE45^2+Tableau!$G$40^2)^(3/2))*Tableau!$G$39</f>
        <v>0.30418106161788777</v>
      </c>
      <c r="AA45" s="102">
        <f>((Tableau!$H$35-Q45)/(AE45^2+Tableau!$G$40^2)^(3/2))*Tableau!$G$39</f>
        <v>-0.14828643361712929</v>
      </c>
      <c r="AC45" s="113">
        <f>SQRT((Tableau!$G$16-P45)^2+(Tableau!$H$16-Q45)^2)</f>
        <v>1256894.3342120207</v>
      </c>
      <c r="AD45" s="114">
        <f>SQRT((Tableau!$G$25-P45)^2+(Tableau!$H$25-Q45)^2)</f>
        <v>1219560.5409701383</v>
      </c>
      <c r="AE45" s="115">
        <f>SQRT((Tableau!$G$35-P45)^2+(Tableau!$H$35-Q45)^2)</f>
        <v>1243895.0264696756</v>
      </c>
    </row>
    <row r="46" spans="2:31" x14ac:dyDescent="0.25">
      <c r="B46" s="20">
        <v>43</v>
      </c>
      <c r="C46" s="21">
        <f>Tableau!$G$17*COS(B46*PI()/180)+Tableau!$G$16</f>
        <v>23656.768508095854</v>
      </c>
      <c r="D46" s="21">
        <f>Tableau!$G$17*SIN(B46*PI()/180)+Tableau!$H$16</f>
        <v>10909.991800312491</v>
      </c>
      <c r="F46" s="28">
        <v>43</v>
      </c>
      <c r="G46" s="29">
        <f>Tableau!$G$26*COS(F46*PI()/180)+Tableau!$G$25</f>
        <v>-17440.262044332903</v>
      </c>
      <c r="H46" s="29">
        <f>Tableau!$G$26*SIN(F46*PI()/180)+Tableau!$H$25</f>
        <v>12386.994260218744</v>
      </c>
      <c r="J46" s="36">
        <v>43</v>
      </c>
      <c r="K46" s="37">
        <f>Tableau!$G$36*COS(J46*PI()/180)+Tableau!$G$35</f>
        <v>-1343.2314919041473</v>
      </c>
      <c r="L46" s="37">
        <f>Tableau!$G$36*SIN(J46*PI()/180)+Tableau!$H$35</f>
        <v>-11590.008199687509</v>
      </c>
      <c r="N46" s="92">
        <v>42</v>
      </c>
      <c r="O46" s="93">
        <v>21</v>
      </c>
      <c r="P46" s="96">
        <f>P45+R45*Tableau!$G$2+((1/2)*T45)*Tableau!$G$2^2</f>
        <v>-1157465.0624200124</v>
      </c>
      <c r="Q46" s="96">
        <f>Q45+S45*Tableau!$G$2+((1/2)*U45)*Tableau!$G$2^2</f>
        <v>546975.12086273544</v>
      </c>
      <c r="R46" s="96">
        <f>R45+T45*Tableau!$G$2</f>
        <v>-68708.857704551381</v>
      </c>
      <c r="S46" s="96">
        <f>S45+U45*Tableau!$G$2</f>
        <v>33805.859002191006</v>
      </c>
      <c r="T46" s="96">
        <f t="shared" si="0"/>
        <v>0.67269087321611842</v>
      </c>
      <c r="U46" s="96">
        <f t="shared" si="1"/>
        <v>-0.31806687789547589</v>
      </c>
      <c r="V46" s="96">
        <f>((Tableau!$G$16-P46)/(AC46^2+Tableau!$G$21^2)^(3/2))*Tableau!$G$20</f>
        <v>0.28377191455735762</v>
      </c>
      <c r="W46" s="96">
        <f>((Tableau!$H$16-Q46)/(AC46^2+Tableau!$G$21^2)^(3/2))*Tableau!$G$20</f>
        <v>-0.13001480280751845</v>
      </c>
      <c r="X46" s="96">
        <f>((Tableau!$G$25-P46)/(AD46^2+Tableau!$G$30^2)^(3/2))*Tableau!$G$29</f>
        <v>0.10264823397844745</v>
      </c>
      <c r="Y46" s="96">
        <f>((Tableau!$H$25-Q46)/(AD46^2+Tableau!$G$30^2)^(3/2))*Tableau!$G$29</f>
        <v>-4.8458233723375765E-2</v>
      </c>
      <c r="Z46" s="96">
        <f>((Tableau!$G$35-P46)/(AE46^2+Tableau!$G$40^2)^(3/2))*Tableau!$G$39</f>
        <v>0.28627072468031334</v>
      </c>
      <c r="AA46" s="97">
        <f>((Tableau!$H$35-Q46)/(AE46^2+Tableau!$G$40^2)^(3/2))*Tableau!$G$39</f>
        <v>-0.13959384136458167</v>
      </c>
      <c r="AC46" s="110">
        <f>SQRT((Tableau!$G$16-P46)^2+(Tableau!$H$16-Q46)^2)</f>
        <v>1295166.9310361606</v>
      </c>
      <c r="AD46" s="111">
        <f>SQRT((Tableau!$G$25-P46)^2+(Tableau!$H$25-Q46)^2)</f>
        <v>1257843.0143112901</v>
      </c>
      <c r="AE46" s="112">
        <f>SQRT((Tableau!$G$35-P46)^2+(Tableau!$H$35-Q46)^2)</f>
        <v>1282182.4193801165</v>
      </c>
    </row>
    <row r="47" spans="2:31" x14ac:dyDescent="0.25">
      <c r="B47" s="18">
        <v>44</v>
      </c>
      <c r="C47" s="19">
        <f>Tableau!$G$17*COS(B47*PI()/180)+Tableau!$G$16</f>
        <v>23596.699001693254</v>
      </c>
      <c r="D47" s="19">
        <f>Tableau!$G$17*SIN(B47*PI()/180)+Tableau!$H$16</f>
        <v>10973.291852294986</v>
      </c>
      <c r="F47" s="26">
        <v>44</v>
      </c>
      <c r="G47" s="27">
        <f>Tableau!$G$26*COS(F47*PI()/180)+Tableau!$G$25</f>
        <v>-17482.310698814719</v>
      </c>
      <c r="H47" s="27">
        <f>Tableau!$G$26*SIN(F47*PI()/180)+Tableau!$H$25</f>
        <v>12431.30429660649</v>
      </c>
      <c r="J47" s="34">
        <v>44</v>
      </c>
      <c r="K47" s="35">
        <f>Tableau!$G$36*COS(J47*PI()/180)+Tableau!$G$35</f>
        <v>-1403.3009983067441</v>
      </c>
      <c r="L47" s="35">
        <f>Tableau!$G$36*SIN(J47*PI()/180)+Tableau!$H$35</f>
        <v>-11526.708147705014</v>
      </c>
      <c r="N47" s="98">
        <v>43</v>
      </c>
      <c r="O47" s="99">
        <v>21.5</v>
      </c>
      <c r="P47" s="101">
        <f>P46+R46*Tableau!$G$2+((1/2)*T46)*Tableau!$G$2^2</f>
        <v>-1191819.4071859289</v>
      </c>
      <c r="Q47" s="101">
        <f>Q46+S46*Tableau!$G$2+((1/2)*U46)*Tableau!$G$2^2</f>
        <v>563878.01060547121</v>
      </c>
      <c r="R47" s="101">
        <f>R46+T46*Tableau!$G$2</f>
        <v>-68708.521359114777</v>
      </c>
      <c r="S47" s="101">
        <f>S46+U46*Tableau!$G$2</f>
        <v>33805.699968752058</v>
      </c>
      <c r="T47" s="101">
        <f t="shared" si="0"/>
        <v>0.63416761429353641</v>
      </c>
      <c r="U47" s="101">
        <f t="shared" si="1"/>
        <v>-0.30019854922024491</v>
      </c>
      <c r="V47" s="101">
        <f>((Tableau!$G$16-P47)/(AC47^2+Tableau!$G$21^2)^(3/2))*Tableau!$G$20</f>
        <v>0.26761835337535289</v>
      </c>
      <c r="W47" s="101">
        <f>((Tableau!$H$16-Q47)/(AC47^2+Tableau!$G$21^2)^(3/2))*Tableau!$G$20</f>
        <v>-0.12287059125274898</v>
      </c>
      <c r="X47" s="101">
        <f>((Tableau!$G$25-P47)/(AD47^2+Tableau!$G$30^2)^(3/2))*Tableau!$G$29</f>
        <v>9.6652293059632841E-2</v>
      </c>
      <c r="Y47" s="101">
        <f>((Tableau!$H$25-Q47)/(AD47^2+Tableau!$G$30^2)^(3/2))*Tableau!$G$29</f>
        <v>-4.5684155316120668E-2</v>
      </c>
      <c r="Z47" s="101">
        <f>((Tableau!$G$35-P47)/(AE47^2+Tableau!$G$40^2)^(3/2))*Tableau!$G$39</f>
        <v>0.26989696785855061</v>
      </c>
      <c r="AA47" s="102">
        <f>((Tableau!$H$35-Q47)/(AE47^2+Tableau!$G$40^2)^(3/2))*Tableau!$G$39</f>
        <v>-0.13164380265137524</v>
      </c>
      <c r="AC47" s="113">
        <f>SQRT((Tableau!$G$16-P47)^2+(Tableau!$H$16-Q47)^2)</f>
        <v>1333440.1997531638</v>
      </c>
      <c r="AD47" s="114">
        <f>SQRT((Tableau!$G$25-P47)^2+(Tableau!$H$25-Q47)^2)</f>
        <v>1296125.6010471578</v>
      </c>
      <c r="AE47" s="115">
        <f>SQRT((Tableau!$G$35-P47)^2+(Tableau!$H$35-Q47)^2)</f>
        <v>1320469.6348025985</v>
      </c>
    </row>
    <row r="48" spans="2:31" x14ac:dyDescent="0.25">
      <c r="B48" s="20">
        <v>45</v>
      </c>
      <c r="C48" s="21">
        <f>Tableau!$G$17*COS(B48*PI()/180)+Tableau!$G$16</f>
        <v>23535.533905932738</v>
      </c>
      <c r="D48" s="21">
        <f>Tableau!$G$17*SIN(B48*PI()/180)+Tableau!$H$16</f>
        <v>11035.533905932738</v>
      </c>
      <c r="F48" s="28">
        <v>45</v>
      </c>
      <c r="G48" s="29">
        <f>Tableau!$G$26*COS(F48*PI()/180)+Tableau!$G$25</f>
        <v>-17525.126265847084</v>
      </c>
      <c r="H48" s="29">
        <f>Tableau!$G$26*SIN(F48*PI()/180)+Tableau!$H$25</f>
        <v>12474.873734152916</v>
      </c>
      <c r="J48" s="36">
        <v>45</v>
      </c>
      <c r="K48" s="37">
        <f>Tableau!$G$36*COS(J48*PI()/180)+Tableau!$G$35</f>
        <v>-1464.466094067262</v>
      </c>
      <c r="L48" s="37">
        <f>Tableau!$G$36*SIN(J48*PI()/180)+Tableau!$H$35</f>
        <v>-11464.466094067262</v>
      </c>
      <c r="N48" s="92">
        <v>44</v>
      </c>
      <c r="O48" s="93">
        <v>22</v>
      </c>
      <c r="P48" s="96">
        <f>P47+R47*Tableau!$G$2+((1/2)*T47)*Tableau!$G$2^2</f>
        <v>-1226173.5885945347</v>
      </c>
      <c r="Q48" s="96">
        <f>Q47+S47*Tableau!$G$2+((1/2)*U47)*Tableau!$G$2^2</f>
        <v>580780.82306502853</v>
      </c>
      <c r="R48" s="96">
        <f>R47+T47*Tableau!$G$2</f>
        <v>-68708.204275307624</v>
      </c>
      <c r="S48" s="96">
        <f>S47+U47*Tableau!$G$2</f>
        <v>33805.549869477451</v>
      </c>
      <c r="T48" s="96">
        <f t="shared" si="0"/>
        <v>0.59886105855651195</v>
      </c>
      <c r="U48" s="96">
        <f t="shared" si="1"/>
        <v>-0.28379445882653398</v>
      </c>
      <c r="V48" s="96">
        <f>((Tableau!$G$16-P48)/(AC48^2+Tableau!$G$21^2)^(3/2))*Tableau!$G$20</f>
        <v>0.25280541736826978</v>
      </c>
      <c r="W48" s="96">
        <f>((Tableau!$H$16-Q48)/(AC48^2+Tableau!$G$21^2)^(3/2))*Tableau!$G$20</f>
        <v>-0.11629880385094159</v>
      </c>
      <c r="X48" s="96">
        <f>((Tableau!$G$25-P48)/(AD48^2+Tableau!$G$30^2)^(3/2))*Tableau!$G$29</f>
        <v>9.1166727708358902E-2</v>
      </c>
      <c r="Y48" s="96">
        <f>((Tableau!$H$25-Q48)/(AD48^2+Tableau!$G$30^2)^(3/2))*Tableau!$G$29</f>
        <v>-4.314156798786848E-2</v>
      </c>
      <c r="Z48" s="96">
        <f>((Tableau!$G$35-P48)/(AE48^2+Tableau!$G$40^2)^(3/2))*Tableau!$G$39</f>
        <v>0.25488891347988335</v>
      </c>
      <c r="AA48" s="97">
        <f>((Tableau!$H$35-Q48)/(AE48^2+Tableau!$G$40^2)^(3/2))*Tableau!$G$39</f>
        <v>-0.12435408698772391</v>
      </c>
      <c r="AC48" s="110">
        <f>SQRT((Tableau!$G$16-P48)^2+(Tableau!$H$16-Q48)^2)</f>
        <v>1371714.0791741903</v>
      </c>
      <c r="AD48" s="111">
        <f>SQRT((Tableau!$G$25-P48)^2+(Tableau!$H$25-Q48)^2)</f>
        <v>1334408.2860211148</v>
      </c>
      <c r="AE48" s="112">
        <f>SQRT((Tableau!$G$35-P48)^2+(Tableau!$H$35-Q48)^2)</f>
        <v>1358756.6826378063</v>
      </c>
    </row>
    <row r="49" spans="2:31" x14ac:dyDescent="0.25">
      <c r="B49" s="18">
        <v>46</v>
      </c>
      <c r="C49" s="19">
        <f>Tableau!$G$17*COS(B49*PI()/180)+Tableau!$G$16</f>
        <v>23473.291852294988</v>
      </c>
      <c r="D49" s="19">
        <f>Tableau!$G$17*SIN(B49*PI()/180)+Tableau!$H$16</f>
        <v>11096.699001693256</v>
      </c>
      <c r="F49" s="26">
        <v>46</v>
      </c>
      <c r="G49" s="27">
        <f>Tableau!$G$26*COS(F49*PI()/180)+Tableau!$G$25</f>
        <v>-17568.69570339351</v>
      </c>
      <c r="H49" s="27">
        <f>Tableau!$G$26*SIN(F49*PI()/180)+Tableau!$H$25</f>
        <v>12517.689301185279</v>
      </c>
      <c r="J49" s="34">
        <v>46</v>
      </c>
      <c r="K49" s="35">
        <f>Tableau!$G$36*COS(J49*PI()/180)+Tableau!$G$35</f>
        <v>-1526.7081477050133</v>
      </c>
      <c r="L49" s="35">
        <f>Tableau!$G$36*SIN(J49*PI()/180)+Tableau!$H$35</f>
        <v>-11403.300998306744</v>
      </c>
      <c r="N49" s="98">
        <v>45</v>
      </c>
      <c r="O49" s="99">
        <v>22.5</v>
      </c>
      <c r="P49" s="101">
        <f>P48+R48*Tableau!$G$2+((1/2)*T48)*Tableau!$G$2^2</f>
        <v>-1260527.6158745561</v>
      </c>
      <c r="Q49" s="101">
        <f>Q48+S48*Tableau!$G$2+((1/2)*U48)*Tableau!$G$2^2</f>
        <v>597683.56252545991</v>
      </c>
      <c r="R49" s="101">
        <f>R48+T48*Tableau!$G$2</f>
        <v>-68707.904844778343</v>
      </c>
      <c r="S49" s="101">
        <f>S48+U48*Tableau!$G$2</f>
        <v>33805.407972248038</v>
      </c>
      <c r="T49" s="101">
        <f t="shared" si="0"/>
        <v>0.56642281699889585</v>
      </c>
      <c r="U49" s="101">
        <f t="shared" si="1"/>
        <v>-0.26869891125156409</v>
      </c>
      <c r="V49" s="101">
        <f>((Tableau!$G$16-P49)/(AC49^2+Tableau!$G$21^2)^(3/2))*Tableau!$G$20</f>
        <v>0.23918880318644367</v>
      </c>
      <c r="W49" s="101">
        <f>((Tableau!$H$16-Q49)/(AC49^2+Tableau!$G$21^2)^(3/2))*Tableau!$G$20</f>
        <v>-0.1102399497135135</v>
      </c>
      <c r="X49" s="101">
        <f>((Tableau!$G$25-P49)/(AD49^2+Tableau!$G$30^2)^(3/2))*Tableau!$G$29</f>
        <v>8.6135219958681647E-2</v>
      </c>
      <c r="Y49" s="101">
        <f>((Tableau!$H$25-Q49)/(AD49^2+Tableau!$G$30^2)^(3/2))*Tableau!$G$29</f>
        <v>-4.0805422044994537E-2</v>
      </c>
      <c r="Z49" s="101">
        <f>((Tableau!$G$35-P49)/(AE49^2+Tableau!$G$40^2)^(3/2))*Tableau!$G$39</f>
        <v>0.2410987938537705</v>
      </c>
      <c r="AA49" s="102">
        <f>((Tableau!$H$35-Q49)/(AE49^2+Tableau!$G$40^2)^(3/2))*Tableau!$G$39</f>
        <v>-0.11765353949305604</v>
      </c>
      <c r="AC49" s="113">
        <f>SQRT((Tableau!$G$16-P49)^2+(Tableau!$H$16-Q49)^2)</f>
        <v>1409988.5150215295</v>
      </c>
      <c r="AD49" s="114">
        <f>SQRT((Tableau!$G$25-P49)^2+(Tableau!$H$25-Q49)^2)</f>
        <v>1372691.0560683443</v>
      </c>
      <c r="AE49" s="115">
        <f>SQRT((Tableau!$G$35-P49)^2+(Tableau!$H$35-Q49)^2)</f>
        <v>1397043.5719806796</v>
      </c>
    </row>
    <row r="50" spans="2:31" x14ac:dyDescent="0.25">
      <c r="B50" s="20">
        <v>47</v>
      </c>
      <c r="C50" s="21">
        <f>Tableau!$G$17*COS(B50*PI()/180)+Tableau!$G$16</f>
        <v>23409.991800312491</v>
      </c>
      <c r="D50" s="21">
        <f>Tableau!$G$17*SIN(B50*PI()/180)+Tableau!$H$16</f>
        <v>11156.768508095853</v>
      </c>
      <c r="F50" s="28">
        <v>47</v>
      </c>
      <c r="G50" s="29">
        <f>Tableau!$G$26*COS(F50*PI()/180)+Tableau!$G$25</f>
        <v>-17613.005739781256</v>
      </c>
      <c r="H50" s="29">
        <f>Tableau!$G$26*SIN(F50*PI()/180)+Tableau!$H$25</f>
        <v>12559.737955667097</v>
      </c>
      <c r="J50" s="36">
        <v>47</v>
      </c>
      <c r="K50" s="37">
        <f>Tableau!$G$36*COS(J50*PI()/180)+Tableau!$G$35</f>
        <v>-1590.0081996875078</v>
      </c>
      <c r="L50" s="37">
        <f>Tableau!$G$36*SIN(J50*PI()/180)+Tableau!$H$35</f>
        <v>-11343.231491904147</v>
      </c>
      <c r="N50" s="92">
        <v>46</v>
      </c>
      <c r="O50" s="93">
        <v>23</v>
      </c>
      <c r="P50" s="96">
        <f>P49+R49*Tableau!$G$2+((1/2)*T49)*Tableau!$G$2^2</f>
        <v>-1294881.4974940931</v>
      </c>
      <c r="Q50" s="96">
        <f>Q49+S49*Tableau!$G$2+((1/2)*U49)*Tableau!$G$2^2</f>
        <v>614586.23292422004</v>
      </c>
      <c r="R50" s="96">
        <f>R49+T49*Tableau!$G$2</f>
        <v>-68707.621633369839</v>
      </c>
      <c r="S50" s="96">
        <f>S49+U49*Tableau!$G$2</f>
        <v>33805.273622792411</v>
      </c>
      <c r="T50" s="96">
        <f t="shared" si="0"/>
        <v>0.53655041787474145</v>
      </c>
      <c r="U50" s="96">
        <f t="shared" si="1"/>
        <v>-0.25477636492986677</v>
      </c>
      <c r="V50" s="96">
        <f>((Tableau!$G$16-P50)/(AC50^2+Tableau!$G$21^2)^(3/2))*Tableau!$G$20</f>
        <v>0.22664310793076675</v>
      </c>
      <c r="W50" s="96">
        <f>((Tableau!$H$16-Q50)/(AC50^2+Tableau!$G$21^2)^(3/2))*Tableau!$G$20</f>
        <v>-0.10464206156535769</v>
      </c>
      <c r="X50" s="96">
        <f>((Tableau!$G$25-P50)/(AD50^2+Tableau!$G$30^2)^(3/2))*Tableau!$G$29</f>
        <v>8.1509010302014157E-2</v>
      </c>
      <c r="Y50" s="96">
        <f>((Tableau!$H$25-Q50)/(AD50^2+Tableau!$G$30^2)^(3/2))*Tableau!$G$29</f>
        <v>-3.8653965552672483E-2</v>
      </c>
      <c r="Z50" s="96">
        <f>((Tableau!$G$35-P50)/(AE50^2+Tableau!$G$40^2)^(3/2))*Tableau!$G$39</f>
        <v>0.22839829964196059</v>
      </c>
      <c r="AA50" s="97">
        <f>((Tableau!$H$35-Q50)/(AE50^2+Tableau!$G$40^2)^(3/2))*Tableau!$G$39</f>
        <v>-0.11148033781183662</v>
      </c>
      <c r="AC50" s="110">
        <f>SQRT((Tableau!$G$16-P50)^2+(Tableau!$H$16-Q50)^2)</f>
        <v>1448263.4589944019</v>
      </c>
      <c r="AD50" s="111">
        <f>SQRT((Tableau!$G$25-P50)^2+(Tableau!$H$25-Q50)^2)</f>
        <v>1410973.8997211396</v>
      </c>
      <c r="AE50" s="112">
        <f>SQRT((Tableau!$G$35-P50)^2+(Tableau!$H$35-Q50)^2)</f>
        <v>1435330.3112055128</v>
      </c>
    </row>
    <row r="51" spans="2:31" x14ac:dyDescent="0.25">
      <c r="B51" s="18">
        <v>48</v>
      </c>
      <c r="C51" s="19">
        <f>Tableau!$G$17*COS(B51*PI()/180)+Tableau!$G$16</f>
        <v>23345.653031794292</v>
      </c>
      <c r="D51" s="19">
        <f>Tableau!$G$17*SIN(B51*PI()/180)+Tableau!$H$16</f>
        <v>11215.724127386971</v>
      </c>
      <c r="F51" s="26">
        <v>48</v>
      </c>
      <c r="G51" s="27">
        <f>Tableau!$G$26*COS(F51*PI()/180)+Tableau!$G$25</f>
        <v>-17658.042877743996</v>
      </c>
      <c r="H51" s="27">
        <f>Tableau!$G$26*SIN(F51*PI()/180)+Tableau!$H$25</f>
        <v>12601.00688917088</v>
      </c>
      <c r="J51" s="34">
        <v>48</v>
      </c>
      <c r="K51" s="35">
        <f>Tableau!$G$36*COS(J51*PI()/180)+Tableau!$G$35</f>
        <v>-1654.3469682057089</v>
      </c>
      <c r="L51" s="35">
        <f>Tableau!$G$36*SIN(J51*PI()/180)+Tableau!$H$35</f>
        <v>-11284.275872613029</v>
      </c>
      <c r="N51" s="98">
        <v>47</v>
      </c>
      <c r="O51" s="99">
        <v>23.5</v>
      </c>
      <c r="P51" s="101">
        <f>P50+R50*Tableau!$G$2+((1/2)*T50)*Tableau!$G$2^2</f>
        <v>-1329235.2412419759</v>
      </c>
      <c r="Q51" s="101">
        <f>Q50+S50*Tableau!$G$2+((1/2)*U50)*Tableau!$G$2^2</f>
        <v>631488.83788857062</v>
      </c>
      <c r="R51" s="101">
        <f>R50+T50*Tableau!$G$2</f>
        <v>-68707.353358160908</v>
      </c>
      <c r="S51" s="101">
        <f>S50+U50*Tableau!$G$2</f>
        <v>33805.146234609943</v>
      </c>
      <c r="T51" s="101">
        <f t="shared" si="0"/>
        <v>0.50898023176865415</v>
      </c>
      <c r="U51" s="101">
        <f t="shared" si="1"/>
        <v>-0.24190838129099382</v>
      </c>
      <c r="V51" s="101">
        <f>((Tableau!$G$16-P51)/(AC51^2+Tableau!$G$21^2)^(3/2))*Tableau!$G$20</f>
        <v>0.21505893531051398</v>
      </c>
      <c r="W51" s="101">
        <f>((Tableau!$H$16-Q51)/(AC51^2+Tableau!$G$21^2)^(3/2))*Tableau!$G$20</f>
        <v>-9.9459583488520881E-2</v>
      </c>
      <c r="X51" s="101">
        <f>((Tableau!$G$25-P51)/(AD51^2+Tableau!$G$30^2)^(3/2))*Tableau!$G$29</f>
        <v>7.724571236554427E-2</v>
      </c>
      <c r="Y51" s="101">
        <f>((Tableau!$H$25-Q51)/(AD51^2+Tableau!$G$30^2)^(3/2))*Tableau!$G$29</f>
        <v>-3.6668236920047947E-2</v>
      </c>
      <c r="Z51" s="101">
        <f>((Tableau!$G$35-P51)/(AE51^2+Tableau!$G$40^2)^(3/2))*Tableau!$G$39</f>
        <v>0.21667558409259588</v>
      </c>
      <c r="AA51" s="102">
        <f>((Tableau!$H$35-Q51)/(AE51^2+Tableau!$G$40^2)^(3/2))*Tableau!$G$39</f>
        <v>-0.10578056088242499</v>
      </c>
      <c r="AC51" s="113">
        <f>SQRT((Tableau!$G$16-P51)^2+(Tableau!$H$16-Q51)^2)</f>
        <v>1486538.867981198</v>
      </c>
      <c r="AD51" s="114">
        <f>SQRT((Tableau!$G$25-P51)^2+(Tableau!$H$25-Q51)^2)</f>
        <v>1449256.8069634936</v>
      </c>
      <c r="AE51" s="115">
        <f>SQRT((Tableau!$G$35-P51)^2+(Tableau!$H$35-Q51)^2)</f>
        <v>1473616.9080401149</v>
      </c>
    </row>
    <row r="52" spans="2:31" x14ac:dyDescent="0.25">
      <c r="B52" s="20">
        <v>49</v>
      </c>
      <c r="C52" s="21">
        <f>Tableau!$G$17*COS(B52*PI()/180)+Tableau!$G$16</f>
        <v>23280.295144952535</v>
      </c>
      <c r="D52" s="21">
        <f>Tableau!$G$17*SIN(B52*PI()/180)+Tableau!$H$16</f>
        <v>11273.54790111386</v>
      </c>
      <c r="F52" s="28">
        <v>49</v>
      </c>
      <c r="G52" s="29">
        <f>Tableau!$G$26*COS(F52*PI()/180)+Tableau!$G$25</f>
        <v>-17703.793398533224</v>
      </c>
      <c r="H52" s="29">
        <f>Tableau!$G$26*SIN(F52*PI()/180)+Tableau!$H$25</f>
        <v>12641.483530779702</v>
      </c>
      <c r="J52" s="36">
        <v>49</v>
      </c>
      <c r="K52" s="37">
        <f>Tableau!$G$36*COS(J52*PI()/180)+Tableau!$G$35</f>
        <v>-1719.7048550474638</v>
      </c>
      <c r="L52" s="37">
        <f>Tableau!$G$36*SIN(J52*PI()/180)+Tableau!$H$35</f>
        <v>-11226.45209888614</v>
      </c>
      <c r="N52" s="92">
        <v>48</v>
      </c>
      <c r="O52" s="93">
        <v>24</v>
      </c>
      <c r="P52" s="96">
        <f>P51+R51*Tableau!$G$2+((1/2)*T51)*Tableau!$G$2^2</f>
        <v>-1363588.8542985274</v>
      </c>
      <c r="Q52" s="96">
        <f>Q51+S51*Tableau!$G$2+((1/2)*U51)*Tableau!$G$2^2</f>
        <v>648391.38076732785</v>
      </c>
      <c r="R52" s="96">
        <f>R51+T51*Tableau!$G$2</f>
        <v>-68707.098868045025</v>
      </c>
      <c r="S52" s="96">
        <f>S51+U51*Tableau!$G$2</f>
        <v>33805.025280419301</v>
      </c>
      <c r="T52" s="96">
        <f t="shared" si="0"/>
        <v>0.48348163648605069</v>
      </c>
      <c r="U52" s="96">
        <f t="shared" si="1"/>
        <v>-0.22999109930658754</v>
      </c>
      <c r="V52" s="96">
        <f>((Tableau!$G$16-P52)/(AC52^2+Tableau!$G$21^2)^(3/2))*Tableau!$G$20</f>
        <v>0.20434050570006934</v>
      </c>
      <c r="W52" s="96">
        <f>((Tableau!$H$16-Q52)/(AC52^2+Tableau!$G$21^2)^(3/2))*Tableau!$G$20</f>
        <v>-9.465244565822091E-2</v>
      </c>
      <c r="X52" s="96">
        <f>((Tableau!$G$25-P52)/(AD52^2+Tableau!$G$30^2)^(3/2))*Tableau!$G$29</f>
        <v>7.3308338901645217E-2</v>
      </c>
      <c r="Y52" s="96">
        <f>((Tableau!$H$25-Q52)/(AD52^2+Tableau!$G$30^2)^(3/2))*Tableau!$G$29</f>
        <v>-3.4831646261023759E-2</v>
      </c>
      <c r="Z52" s="96">
        <f>((Tableau!$G$35-P52)/(AE52^2+Tableau!$G$40^2)^(3/2))*Tableau!$G$39</f>
        <v>0.20583279188433612</v>
      </c>
      <c r="AA52" s="97">
        <f>((Tableau!$H$35-Q52)/(AE52^2+Tableau!$G$40^2)^(3/2))*Tableau!$G$39</f>
        <v>-0.10050700738734286</v>
      </c>
      <c r="AC52" s="110">
        <f>SQRT((Tableau!$G$16-P52)^2+(Tableau!$H$16-Q52)^2)</f>
        <v>1524814.7033921739</v>
      </c>
      <c r="AD52" s="111">
        <f>SQRT((Tableau!$G$25-P52)^2+(Tableau!$H$25-Q52)^2)</f>
        <v>1487539.7690257712</v>
      </c>
      <c r="AE52" s="112">
        <f>SQRT((Tableau!$G$35-P52)^2+(Tableau!$H$35-Q52)^2)</f>
        <v>1511903.3696306676</v>
      </c>
    </row>
    <row r="53" spans="2:31" x14ac:dyDescent="0.25">
      <c r="B53" s="18">
        <v>50</v>
      </c>
      <c r="C53" s="19">
        <f>Tableau!$G$17*COS(B53*PI()/180)+Tableau!$G$16</f>
        <v>23213.938048432698</v>
      </c>
      <c r="D53" s="19">
        <f>Tableau!$G$17*SIN(B53*PI()/180)+Tableau!$H$16</f>
        <v>11330.222215594891</v>
      </c>
      <c r="F53" s="26">
        <v>50</v>
      </c>
      <c r="G53" s="27">
        <f>Tableau!$G$26*COS(F53*PI()/180)+Tableau!$G$25</f>
        <v>-17750.243366097111</v>
      </c>
      <c r="H53" s="27">
        <f>Tableau!$G$26*SIN(F53*PI()/180)+Tableau!$H$25</f>
        <v>12681.155550916423</v>
      </c>
      <c r="J53" s="34">
        <v>50</v>
      </c>
      <c r="K53" s="35">
        <f>Tableau!$G$36*COS(J53*PI()/180)+Tableau!$G$35</f>
        <v>-1786.0619515673034</v>
      </c>
      <c r="L53" s="35">
        <f>Tableau!$G$36*SIN(J53*PI()/180)+Tableau!$H$35</f>
        <v>-11169.777784405109</v>
      </c>
      <c r="N53" s="98">
        <v>49</v>
      </c>
      <c r="O53" s="99">
        <v>24.5</v>
      </c>
      <c r="P53" s="101">
        <f>P52+R52*Tableau!$G$2+((1/2)*T52)*Tableau!$G$2^2</f>
        <v>-1397942.3432973453</v>
      </c>
      <c r="Q53" s="101">
        <f>Q52+S52*Tableau!$G$2+((1/2)*U52)*Tableau!$G$2^2</f>
        <v>665293.86465865013</v>
      </c>
      <c r="R53" s="101">
        <f>R52+T52*Tableau!$G$2</f>
        <v>-68706.857127226787</v>
      </c>
      <c r="S53" s="101">
        <f>S52+U52*Tableau!$G$2</f>
        <v>33804.910284869649</v>
      </c>
      <c r="T53" s="101">
        <f t="shared" si="0"/>
        <v>0.45985217954527491</v>
      </c>
      <c r="U53" s="101">
        <f t="shared" si="1"/>
        <v>-0.2189331345661793</v>
      </c>
      <c r="V53" s="101">
        <f>((Tableau!$G$16-P53)/(AC53^2+Tableau!$G$21^2)^(3/2))*Tableau!$G$20</f>
        <v>0.19440367228035879</v>
      </c>
      <c r="W53" s="101">
        <f>((Tableau!$H$16-Q53)/(AC53^2+Tableau!$G$21^2)^(3/2))*Tableau!$G$20</f>
        <v>-9.0185291029365025E-2</v>
      </c>
      <c r="X53" s="101">
        <f>((Tableau!$G$25-P53)/(AD53^2+Tableau!$G$30^2)^(3/2))*Tableau!$G$29</f>
        <v>6.966449711028512E-2</v>
      </c>
      <c r="Y53" s="101">
        <f>((Tableau!$H$25-Q53)/(AD53^2+Tableau!$G$30^2)^(3/2))*Tableau!$G$29</f>
        <v>-3.3129628219175172E-2</v>
      </c>
      <c r="Z53" s="101">
        <f>((Tableau!$G$35-P53)/(AE53^2+Tableau!$G$40^2)^(3/2))*Tableau!$G$39</f>
        <v>0.19578401015463101</v>
      </c>
      <c r="AA53" s="102">
        <f>((Tableau!$H$35-Q53)/(AE53^2+Tableau!$G$40^2)^(3/2))*Tableau!$G$39</f>
        <v>-9.5618215317639102E-2</v>
      </c>
      <c r="AC53" s="113">
        <f>SQRT((Tableau!$G$16-P53)^2+(Tableau!$H$16-Q53)^2)</f>
        <v>1563090.9305917327</v>
      </c>
      <c r="AD53" s="114">
        <f>SQRT((Tableau!$G$25-P53)^2+(Tableau!$H$25-Q53)^2)</f>
        <v>1525822.7782121515</v>
      </c>
      <c r="AE53" s="115">
        <f>SQRT((Tableau!$G$35-P53)^2+(Tableau!$H$35-Q53)^2)</f>
        <v>1550189.7025986533</v>
      </c>
    </row>
    <row r="54" spans="2:31" x14ac:dyDescent="0.25">
      <c r="B54" s="20">
        <v>51</v>
      </c>
      <c r="C54" s="21">
        <f>Tableau!$G$17*COS(B54*PI()/180)+Tableau!$G$16</f>
        <v>23146.601955249189</v>
      </c>
      <c r="D54" s="21">
        <f>Tableau!$G$17*SIN(B54*PI()/180)+Tableau!$H$16</f>
        <v>11385.729807284853</v>
      </c>
      <c r="F54" s="28">
        <v>51</v>
      </c>
      <c r="G54" s="29">
        <f>Tableau!$G$26*COS(F54*PI()/180)+Tableau!$G$25</f>
        <v>-17797.37863132557</v>
      </c>
      <c r="H54" s="29">
        <f>Tableau!$G$26*SIN(F54*PI()/180)+Tableau!$H$25</f>
        <v>12720.010865099397</v>
      </c>
      <c r="J54" s="36">
        <v>51</v>
      </c>
      <c r="K54" s="37">
        <f>Tableau!$G$36*COS(J54*PI()/180)+Tableau!$G$35</f>
        <v>-1853.3980447508125</v>
      </c>
      <c r="L54" s="37">
        <f>Tableau!$G$36*SIN(J54*PI()/180)+Tableau!$H$35</f>
        <v>-11114.270192715147</v>
      </c>
      <c r="N54" s="92">
        <v>50</v>
      </c>
      <c r="O54" s="93">
        <v>25</v>
      </c>
      <c r="P54" s="96">
        <f>P53+R53*Tableau!$G$2+((1/2)*T53)*Tableau!$G$2^2</f>
        <v>-1432295.7143794363</v>
      </c>
      <c r="Q54" s="96">
        <f>Q53+S53*Tableau!$G$2+((1/2)*U53)*Tableau!$G$2^2</f>
        <v>682196.29243444314</v>
      </c>
      <c r="R54" s="96">
        <f>R53+T53*Tableau!$G$2</f>
        <v>-68706.627201137017</v>
      </c>
      <c r="S54" s="96">
        <f>S53+U53*Tableau!$G$2</f>
        <v>33804.800818302363</v>
      </c>
      <c r="T54" s="96">
        <f t="shared" si="0"/>
        <v>0.43791354801598786</v>
      </c>
      <c r="U54" s="96">
        <f t="shared" si="1"/>
        <v>-0.20865382325190318</v>
      </c>
      <c r="V54" s="96">
        <f>((Tableau!$G$16-P54)/(AC54^2+Tableau!$G$21^2)^(3/2))*Tableau!$G$20</f>
        <v>0.18517426629939757</v>
      </c>
      <c r="W54" s="96">
        <f>((Tableau!$H$16-Q54)/(AC54^2+Tableau!$G$21^2)^(3/2))*Tableau!$G$20</f>
        <v>-8.6026826141160181E-2</v>
      </c>
      <c r="X54" s="96">
        <f>((Tableau!$G$25-P54)/(AD54^2+Tableau!$G$30^2)^(3/2))*Tableau!$G$29</f>
        <v>6.6285720469540066E-2</v>
      </c>
      <c r="Y54" s="96">
        <f>((Tableau!$H$25-Q54)/(AD54^2+Tableau!$G$30^2)^(3/2))*Tableau!$G$29</f>
        <v>-3.1549352651366713E-2</v>
      </c>
      <c r="Z54" s="96">
        <f>((Tableau!$G$35-P54)/(AE54^2+Tableau!$G$40^2)^(3/2))*Tableau!$G$39</f>
        <v>0.1864535612470502</v>
      </c>
      <c r="AA54" s="97">
        <f>((Tableau!$H$35-Q54)/(AE54^2+Tableau!$G$40^2)^(3/2))*Tableau!$G$39</f>
        <v>-9.1077644459376272E-2</v>
      </c>
      <c r="AC54" s="110">
        <f>SQRT((Tableau!$G$16-P54)^2+(Tableau!$H$16-Q54)^2)</f>
        <v>1601367.5184134531</v>
      </c>
      <c r="AD54" s="111">
        <f>SQRT((Tableau!$G$25-P54)^2+(Tableau!$H$25-Q54)^2)</f>
        <v>1564105.8277549937</v>
      </c>
      <c r="AE54" s="112">
        <f>SQRT((Tableau!$G$35-P54)^2+(Tableau!$H$35-Q54)^2)</f>
        <v>1588475.9130909853</v>
      </c>
    </row>
    <row r="55" spans="2:31" x14ac:dyDescent="0.25">
      <c r="B55" s="18">
        <v>52</v>
      </c>
      <c r="C55" s="19">
        <f>Tableau!$G$17*COS(B55*PI()/180)+Tableau!$G$16</f>
        <v>23078.307376628291</v>
      </c>
      <c r="D55" s="19">
        <f>Tableau!$G$17*SIN(B55*PI()/180)+Tableau!$H$16</f>
        <v>11440.053768033609</v>
      </c>
      <c r="F55" s="26">
        <v>52</v>
      </c>
      <c r="G55" s="27">
        <f>Tableau!$G$26*COS(F55*PI()/180)+Tableau!$G$25</f>
        <v>-17845.184836360197</v>
      </c>
      <c r="H55" s="27">
        <f>Tableau!$G$26*SIN(F55*PI()/180)+Tableau!$H$25</f>
        <v>12758.037637623527</v>
      </c>
      <c r="J55" s="34">
        <v>52</v>
      </c>
      <c r="K55" s="35">
        <f>Tableau!$G$36*COS(J55*PI()/180)+Tableau!$G$35</f>
        <v>-1921.6926233717086</v>
      </c>
      <c r="L55" s="35">
        <f>Tableau!$G$36*SIN(J55*PI()/180)+Tableau!$H$35</f>
        <v>-11059.946231966391</v>
      </c>
      <c r="N55" s="98">
        <v>51</v>
      </c>
      <c r="O55" s="99">
        <v>25.5</v>
      </c>
      <c r="P55" s="101">
        <f>P54+R54*Tableau!$G$2+((1/2)*T54)*Tableau!$G$2^2</f>
        <v>-1466648.9732408114</v>
      </c>
      <c r="Q55" s="101">
        <f>Q54+S54*Tableau!$G$2+((1/2)*U54)*Tableau!$G$2^2</f>
        <v>699098.66676186642</v>
      </c>
      <c r="R55" s="101">
        <f>R54+T54*Tableau!$G$2</f>
        <v>-68706.408244363003</v>
      </c>
      <c r="S55" s="101">
        <f>S54+U54*Tableau!$G$2</f>
        <v>33804.696491390736</v>
      </c>
      <c r="T55" s="101">
        <f t="shared" si="0"/>
        <v>0.41750819531388011</v>
      </c>
      <c r="U55" s="101">
        <f t="shared" si="1"/>
        <v>-0.19908174779755006</v>
      </c>
      <c r="V55" s="101">
        <f>((Tableau!$G$16-P55)/(AC55^2+Tableau!$G$21^2)^(3/2))*Tableau!$G$20</f>
        <v>0.17658671051286445</v>
      </c>
      <c r="W55" s="101">
        <f>((Tableau!$H$16-Q55)/(AC55^2+Tableau!$G$21^2)^(3/2))*Tableau!$G$20</f>
        <v>-8.2149273807609349E-2</v>
      </c>
      <c r="X55" s="101">
        <f>((Tableau!$G$25-P55)/(AD55^2+Tableau!$G$30^2)^(3/2))*Tableau!$G$29</f>
        <v>6.314691123754379E-2</v>
      </c>
      <c r="Y55" s="101">
        <f>((Tableau!$H$25-Q55)/(AD55^2+Tableau!$G$30^2)^(3/2))*Tableau!$G$29</f>
        <v>-3.0079482409916914E-2</v>
      </c>
      <c r="Z55" s="101">
        <f>((Tableau!$G$35-P55)/(AE55^2+Tableau!$G$40^2)^(3/2))*Tableau!$G$39</f>
        <v>0.17777457356347187</v>
      </c>
      <c r="AA55" s="102">
        <f>((Tableau!$H$35-Q55)/(AE55^2+Tableau!$G$40^2)^(3/2))*Tableau!$G$39</f>
        <v>-8.6852991580023797E-2</v>
      </c>
      <c r="AC55" s="113">
        <f>SQRT((Tableau!$G$16-P55)^2+(Tableau!$H$16-Q55)^2)</f>
        <v>1639644.4387441899</v>
      </c>
      <c r="AD55" s="114">
        <f>SQRT((Tableau!$G$25-P55)^2+(Tableau!$H$25-Q55)^2)</f>
        <v>1602388.9116914396</v>
      </c>
      <c r="AE55" s="115">
        <f>SQRT((Tableau!$G$35-P55)^2+(Tableau!$H$35-Q55)^2)</f>
        <v>1626762.0068242906</v>
      </c>
    </row>
    <row r="56" spans="2:31" x14ac:dyDescent="0.25">
      <c r="B56" s="20">
        <v>53</v>
      </c>
      <c r="C56" s="21">
        <f>Tableau!$G$17*COS(B56*PI()/180)+Tableau!$G$16</f>
        <v>23009.075115760243</v>
      </c>
      <c r="D56" s="21">
        <f>Tableau!$G$17*SIN(B56*PI()/180)+Tableau!$H$16</f>
        <v>11493.177550236464</v>
      </c>
      <c r="F56" s="28">
        <v>53</v>
      </c>
      <c r="G56" s="29">
        <f>Tableau!$G$26*COS(F56*PI()/180)+Tableau!$G$25</f>
        <v>-17893.64741896783</v>
      </c>
      <c r="H56" s="29">
        <f>Tableau!$G$26*SIN(F56*PI()/180)+Tableau!$H$25</f>
        <v>12795.224285165525</v>
      </c>
      <c r="J56" s="36">
        <v>53</v>
      </c>
      <c r="K56" s="37">
        <f>Tableau!$G$36*COS(J56*PI()/180)+Tableau!$G$35</f>
        <v>-1990.9248842397583</v>
      </c>
      <c r="L56" s="37">
        <f>Tableau!$G$36*SIN(J56*PI()/180)+Tableau!$H$35</f>
        <v>-11006.822449763536</v>
      </c>
      <c r="N56" s="92">
        <v>52</v>
      </c>
      <c r="O56" s="93">
        <v>26</v>
      </c>
      <c r="P56" s="96">
        <f>P55+R55*Tableau!$G$2+((1/2)*T55)*Tableau!$G$2^2</f>
        <v>-1501002.1251744684</v>
      </c>
      <c r="Q56" s="96">
        <f>Q55+S55*Tableau!$G$2+((1/2)*U55)*Tableau!$G$2^2</f>
        <v>716000.9901223433</v>
      </c>
      <c r="R56" s="96">
        <f>R55+T55*Tableau!$G$2</f>
        <v>-68706.199490265353</v>
      </c>
      <c r="S56" s="96">
        <f>S55+U55*Tableau!$G$2</f>
        <v>33804.59695051684</v>
      </c>
      <c r="T56" s="96">
        <f t="shared" si="0"/>
        <v>0.39849650535813269</v>
      </c>
      <c r="U56" s="96">
        <f t="shared" si="1"/>
        <v>-0.1901534937577426</v>
      </c>
      <c r="V56" s="96">
        <f>((Tableau!$G$16-P56)/(AC56^2+Tableau!$G$21^2)^(3/2))*Tableau!$G$20</f>
        <v>0.16858285226909384</v>
      </c>
      <c r="W56" s="96">
        <f>((Tableau!$H$16-Q56)/(AC56^2+Tableau!$G$21^2)^(3/2))*Tableau!$G$20</f>
        <v>-7.8527909838785451E-2</v>
      </c>
      <c r="X56" s="96">
        <f>((Tableau!$G$25-P56)/(AD56^2+Tableau!$G$30^2)^(3/2))*Tableau!$G$29</f>
        <v>6.0225873162779553E-2</v>
      </c>
      <c r="Y56" s="96">
        <f>((Tableau!$H$25-Q56)/(AD56^2+Tableau!$G$30^2)^(3/2))*Tableau!$G$29</f>
        <v>-2.8709969662532423E-2</v>
      </c>
      <c r="Z56" s="96">
        <f>((Tableau!$G$35-P56)/(AE56^2+Tableau!$G$40^2)^(3/2))*Tableau!$G$39</f>
        <v>0.1696877799262593</v>
      </c>
      <c r="AA56" s="97">
        <f>((Tableau!$H$35-Q56)/(AE56^2+Tableau!$G$40^2)^(3/2))*Tableau!$G$39</f>
        <v>-8.2915614256424741E-2</v>
      </c>
      <c r="AC56" s="110">
        <f>SQRT((Tableau!$G$16-P56)^2+(Tableau!$H$16-Q56)^2)</f>
        <v>1677921.6661660906</v>
      </c>
      <c r="AD56" s="111">
        <f>SQRT((Tableau!$G$25-P56)^2+(Tableau!$H$25-Q56)^2)</f>
        <v>1640672.0247584588</v>
      </c>
      <c r="AE56" s="112">
        <f>SQRT((Tableau!$G$35-P56)^2+(Tableau!$H$35-Q56)^2)</f>
        <v>1665047.9891241489</v>
      </c>
    </row>
    <row r="57" spans="2:31" x14ac:dyDescent="0.25">
      <c r="B57" s="18">
        <v>54</v>
      </c>
      <c r="C57" s="19">
        <f>Tableau!$G$17*COS(B57*PI()/180)+Tableau!$G$16</f>
        <v>22938.926261462366</v>
      </c>
      <c r="D57" s="19">
        <f>Tableau!$G$17*SIN(B57*PI()/180)+Tableau!$H$16</f>
        <v>11545.084971874738</v>
      </c>
      <c r="F57" s="26">
        <v>54</v>
      </c>
      <c r="G57" s="27">
        <f>Tableau!$G$26*COS(F57*PI()/180)+Tableau!$G$25</f>
        <v>-17942.751616976344</v>
      </c>
      <c r="H57" s="27">
        <f>Tableau!$G$26*SIN(F57*PI()/180)+Tableau!$H$25</f>
        <v>12831.559480312317</v>
      </c>
      <c r="J57" s="34">
        <v>54</v>
      </c>
      <c r="K57" s="35">
        <f>Tableau!$G$36*COS(J57*PI()/180)+Tableau!$G$35</f>
        <v>-2061.0737385376342</v>
      </c>
      <c r="L57" s="35">
        <f>Tableau!$G$36*SIN(J57*PI()/180)+Tableau!$H$35</f>
        <v>-10954.915028125262</v>
      </c>
      <c r="N57" s="98">
        <v>53</v>
      </c>
      <c r="O57" s="99">
        <v>26.5</v>
      </c>
      <c r="P57" s="101">
        <f>P56+R56*Tableau!$G$2+((1/2)*T56)*Tableau!$G$2^2</f>
        <v>-1535355.175107538</v>
      </c>
      <c r="Q57" s="101">
        <f>Q56+S56*Tableau!$G$2+((1/2)*U56)*Tableau!$G$2^2</f>
        <v>732903.26482841501</v>
      </c>
      <c r="R57" s="101">
        <f>R56+T56*Tableau!$G$2</f>
        <v>-68706.000242012669</v>
      </c>
      <c r="S57" s="101">
        <f>S56+U56*Tableau!$G$2</f>
        <v>33804.501873769957</v>
      </c>
      <c r="T57" s="101">
        <f t="shared" si="0"/>
        <v>0.380754398443505</v>
      </c>
      <c r="U57" s="101">
        <f t="shared" si="1"/>
        <v>-0.18181259736321315</v>
      </c>
      <c r="V57" s="101">
        <f>((Tableau!$G$16-P57)/(AC57^2+Tableau!$G$21^2)^(3/2))*Tableau!$G$20</f>
        <v>0.16111097736379429</v>
      </c>
      <c r="W57" s="101">
        <f>((Tableau!$H$16-Q57)/(AC57^2+Tableau!$G$21^2)^(3/2))*Tableau!$G$20</f>
        <v>-7.5140669378820676E-2</v>
      </c>
      <c r="X57" s="101">
        <f>((Tableau!$G$25-P57)/(AD57^2+Tableau!$G$30^2)^(3/2))*Tableau!$G$29</f>
        <v>5.750291809958593E-2</v>
      </c>
      <c r="Y57" s="101">
        <f>((Tableau!$H$25-Q57)/(AD57^2+Tableau!$G$30^2)^(3/2))*Tableau!$G$29</f>
        <v>-2.7431883900354687E-2</v>
      </c>
      <c r="Z57" s="101">
        <f>((Tableau!$G$35-P57)/(AE57^2+Tableau!$G$40^2)^(3/2))*Tableau!$G$39</f>
        <v>0.16214050298012478</v>
      </c>
      <c r="AA57" s="102">
        <f>((Tableau!$H$35-Q57)/(AE57^2+Tableau!$G$40^2)^(3/2))*Tableau!$G$39</f>
        <v>-7.92400440840378E-2</v>
      </c>
      <c r="AC57" s="113">
        <f>SQRT((Tableau!$G$16-P57)^2+(Tableau!$H$16-Q57)^2)</f>
        <v>1716199.1776473743</v>
      </c>
      <c r="AD57" s="114">
        <f>SQRT((Tableau!$G$25-P57)^2+(Tableau!$H$25-Q57)^2)</f>
        <v>1678955.1623032638</v>
      </c>
      <c r="AE57" s="115">
        <f>SQRT((Tableau!$G$35-P57)^2+(Tableau!$H$35-Q57)^2)</f>
        <v>1703333.8649599573</v>
      </c>
    </row>
    <row r="58" spans="2:31" x14ac:dyDescent="0.25">
      <c r="B58" s="20">
        <v>55</v>
      </c>
      <c r="C58" s="21">
        <f>Tableau!$G$17*COS(B58*PI()/180)+Tableau!$G$16</f>
        <v>22867.882181755231</v>
      </c>
      <c r="D58" s="21">
        <f>Tableau!$G$17*SIN(B58*PI()/180)+Tableau!$H$16</f>
        <v>11595.760221444958</v>
      </c>
      <c r="F58" s="28">
        <v>55</v>
      </c>
      <c r="G58" s="29">
        <f>Tableau!$G$26*COS(F58*PI()/180)+Tableau!$G$25</f>
        <v>-17992.482472771339</v>
      </c>
      <c r="H58" s="29">
        <f>Tableau!$G$26*SIN(F58*PI()/180)+Tableau!$H$25</f>
        <v>12867.032155011471</v>
      </c>
      <c r="J58" s="36">
        <v>55</v>
      </c>
      <c r="K58" s="37">
        <f>Tableau!$G$36*COS(J58*PI()/180)+Tableau!$G$35</f>
        <v>-2132.1178182447693</v>
      </c>
      <c r="L58" s="37">
        <f>Tableau!$G$36*SIN(J58*PI()/180)+Tableau!$H$35</f>
        <v>-10904.239778555042</v>
      </c>
      <c r="N58" s="92">
        <v>54</v>
      </c>
      <c r="O58" s="93">
        <v>27</v>
      </c>
      <c r="P58" s="96">
        <f>P57+R57*Tableau!$G$2+((1/2)*T57)*Tableau!$G$2^2</f>
        <v>-1569708.1276342445</v>
      </c>
      <c r="Q58" s="96">
        <f>Q57+S57*Tableau!$G$2+((1/2)*U57)*Tableau!$G$2^2</f>
        <v>749805.49303872534</v>
      </c>
      <c r="R58" s="96">
        <f>R57+T57*Tableau!$G$2</f>
        <v>-68705.809864813447</v>
      </c>
      <c r="S58" s="96">
        <f>S57+U57*Tableau!$G$2</f>
        <v>33804.410967471274</v>
      </c>
      <c r="T58" s="96">
        <f t="shared" si="0"/>
        <v>0.36417130191371117</v>
      </c>
      <c r="U58" s="96">
        <f t="shared" si="1"/>
        <v>-0.17400865105604085</v>
      </c>
      <c r="V58" s="96">
        <f>((Tableau!$G$16-P58)/(AC58^2+Tableau!$G$21^2)^(3/2))*Tableau!$G$20</f>
        <v>0.15412497336098294</v>
      </c>
      <c r="W58" s="96">
        <f>((Tableau!$H$16-Q58)/(AC58^2+Tableau!$G$21^2)^(3/2))*Tableau!$G$20</f>
        <v>-7.1967811167049311E-2</v>
      </c>
      <c r="X58" s="96">
        <f>((Tableau!$G$25-P58)/(AD58^2+Tableau!$G$30^2)^(3/2))*Tableau!$G$29</f>
        <v>5.4960533466908081E-2</v>
      </c>
      <c r="Y58" s="96">
        <f>((Tableau!$H$25-Q58)/(AD58^2+Tableau!$G$30^2)^(3/2))*Tableau!$G$29</f>
        <v>-2.6237266123930226E-2</v>
      </c>
      <c r="Z58" s="96">
        <f>((Tableau!$G$35-P58)/(AE58^2+Tableau!$G$40^2)^(3/2))*Tableau!$G$39</f>
        <v>0.15508579508582016</v>
      </c>
      <c r="AA58" s="97">
        <f>((Tableau!$H$35-Q58)/(AE58^2+Tableau!$G$40^2)^(3/2))*Tableau!$G$39</f>
        <v>-7.5803573765061305E-2</v>
      </c>
      <c r="AC58" s="110">
        <f>SQRT((Tableau!$G$16-P58)^2+(Tableau!$H$16-Q58)^2)</f>
        <v>1754476.9522743355</v>
      </c>
      <c r="AD58" s="111">
        <f>SQRT((Tableau!$G$25-P58)^2+(Tableau!$H$25-Q58)^2)</f>
        <v>1717238.3202065772</v>
      </c>
      <c r="AE58" s="112">
        <f>SQRT((Tableau!$G$35-P58)^2+(Tableau!$H$35-Q58)^2)</f>
        <v>1741619.6389759937</v>
      </c>
    </row>
    <row r="59" spans="2:31" x14ac:dyDescent="0.25">
      <c r="B59" s="18">
        <v>56</v>
      </c>
      <c r="C59" s="19">
        <f>Tableau!$G$17*COS(B59*PI()/180)+Tableau!$G$16</f>
        <v>22795.964517353736</v>
      </c>
      <c r="D59" s="19">
        <f>Tableau!$G$17*SIN(B59*PI()/180)+Tableau!$H$16</f>
        <v>11645.187862775208</v>
      </c>
      <c r="F59" s="26">
        <v>56</v>
      </c>
      <c r="G59" s="27">
        <f>Tableau!$G$26*COS(F59*PI()/180)+Tableau!$G$25</f>
        <v>-18042.824837852386</v>
      </c>
      <c r="H59" s="27">
        <f>Tableau!$G$26*SIN(F59*PI()/180)+Tableau!$H$25</f>
        <v>12901.631503942646</v>
      </c>
      <c r="J59" s="34">
        <v>56</v>
      </c>
      <c r="K59" s="35">
        <f>Tableau!$G$36*COS(J59*PI()/180)+Tableau!$G$35</f>
        <v>-2204.0354826462662</v>
      </c>
      <c r="L59" s="35">
        <f>Tableau!$G$36*SIN(J59*PI()/180)+Tableau!$H$35</f>
        <v>-10854.812137224792</v>
      </c>
      <c r="N59" s="98">
        <v>55</v>
      </c>
      <c r="O59" s="99">
        <v>27.5</v>
      </c>
      <c r="P59" s="101">
        <f>P58+R58*Tableau!$G$2+((1/2)*T58)*Tableau!$G$2^2</f>
        <v>-1604060.9870452385</v>
      </c>
      <c r="Q59" s="101">
        <f>Q58+S58*Tableau!$G$2+((1/2)*U58)*Tableau!$G$2^2</f>
        <v>766707.67677137966</v>
      </c>
      <c r="R59" s="101">
        <f>R58+T58*Tableau!$G$2</f>
        <v>-68705.627779162489</v>
      </c>
      <c r="S59" s="101">
        <f>S58+U58*Tableau!$G$2</f>
        <v>33804.323963145747</v>
      </c>
      <c r="T59" s="101">
        <f t="shared" si="0"/>
        <v>0.34864842346726033</v>
      </c>
      <c r="U59" s="101">
        <f t="shared" si="1"/>
        <v>-0.16669654047618376</v>
      </c>
      <c r="V59" s="101">
        <f>((Tableau!$G$16-P59)/(AC59^2+Tableau!$G$21^2)^(3/2))*Tableau!$G$20</f>
        <v>0.14758361704432665</v>
      </c>
      <c r="W59" s="101">
        <f>((Tableau!$H$16-Q59)/(AC59^2+Tableau!$G$21^2)^(3/2))*Tableau!$G$20</f>
        <v>-6.8991630190928993E-2</v>
      </c>
      <c r="X59" s="101">
        <f>((Tableau!$G$25-P59)/(AD59^2+Tableau!$G$30^2)^(3/2))*Tableau!$G$29</f>
        <v>5.2583100029079712E-2</v>
      </c>
      <c r="Y59" s="101">
        <f>((Tableau!$H$25-Q59)/(AD59^2+Tableau!$G$30^2)^(3/2))*Tableau!$G$29</f>
        <v>-2.5119004751617959E-2</v>
      </c>
      <c r="Z59" s="101">
        <f>((Tableau!$G$35-P59)/(AE59^2+Tableau!$G$40^2)^(3/2))*Tableau!$G$39</f>
        <v>0.148481706393854</v>
      </c>
      <c r="AA59" s="102">
        <f>((Tableau!$H$35-Q59)/(AE59^2+Tableau!$G$40^2)^(3/2))*Tableau!$G$39</f>
        <v>-7.2585905533636821E-2</v>
      </c>
      <c r="AC59" s="113">
        <f>SQRT((Tableau!$G$16-P59)^2+(Tableau!$H$16-Q59)^2)</f>
        <v>1792754.9710183346</v>
      </c>
      <c r="AD59" s="114">
        <f>SQRT((Tableau!$G$25-P59)^2+(Tableau!$H$25-Q59)^2)</f>
        <v>1755521.4948167037</v>
      </c>
      <c r="AE59" s="115">
        <f>SQRT((Tableau!$G$35-P59)^2+(Tableau!$H$35-Q59)^2)</f>
        <v>1779905.3155191711</v>
      </c>
    </row>
    <row r="60" spans="2:31" x14ac:dyDescent="0.25">
      <c r="B60" s="20">
        <v>57</v>
      </c>
      <c r="C60" s="21">
        <f>Tableau!$G$17*COS(B60*PI()/180)+Tableau!$G$16</f>
        <v>22723.195175075136</v>
      </c>
      <c r="D60" s="21">
        <f>Tableau!$G$17*SIN(B60*PI()/180)+Tableau!$H$16</f>
        <v>11693.352839727118</v>
      </c>
      <c r="F60" s="28">
        <v>57</v>
      </c>
      <c r="G60" s="29">
        <f>Tableau!$G$26*COS(F60*PI()/180)+Tableau!$G$25</f>
        <v>-18093.763377447405</v>
      </c>
      <c r="H60" s="29">
        <f>Tableau!$G$26*SIN(F60*PI()/180)+Tableau!$H$25</f>
        <v>12935.346987808984</v>
      </c>
      <c r="J60" s="36">
        <v>57</v>
      </c>
      <c r="K60" s="37">
        <f>Tableau!$G$36*COS(J60*PI()/180)+Tableau!$G$35</f>
        <v>-2276.8048249248641</v>
      </c>
      <c r="L60" s="37">
        <f>Tableau!$G$36*SIN(J60*PI()/180)+Tableau!$H$35</f>
        <v>-10806.647160272882</v>
      </c>
      <c r="N60" s="92">
        <v>56</v>
      </c>
      <c r="O60" s="93">
        <v>28</v>
      </c>
      <c r="P60" s="96">
        <f>P59+R59*Tableau!$G$2+((1/2)*T59)*Tableau!$G$2^2</f>
        <v>-1638413.7573537668</v>
      </c>
      <c r="Q60" s="96">
        <f>Q59+S59*Tableau!$G$2+((1/2)*U59)*Tableau!$G$2^2</f>
        <v>783609.81791588501</v>
      </c>
      <c r="R60" s="96">
        <f>R59+T59*Tableau!$G$2</f>
        <v>-68705.453454950752</v>
      </c>
      <c r="S60" s="96">
        <f>S59+U59*Tableau!$G$2</f>
        <v>33804.240614875511</v>
      </c>
      <c r="T60" s="96">
        <f t="shared" si="0"/>
        <v>0.33409727659650501</v>
      </c>
      <c r="U60" s="96">
        <f t="shared" si="1"/>
        <v>-0.15983579127850989</v>
      </c>
      <c r="V60" s="96">
        <f>((Tableau!$G$16-P60)/(AC60^2+Tableau!$G$21^2)^(3/2))*Tableau!$G$20</f>
        <v>0.14144996539330643</v>
      </c>
      <c r="W60" s="96">
        <f>((Tableau!$H$16-Q60)/(AC60^2+Tableau!$G$21^2)^(3/2))*Tableau!$G$20</f>
        <v>-6.6196210926745991E-2</v>
      </c>
      <c r="X60" s="96">
        <f>((Tableau!$G$25-P60)/(AD60^2+Tableau!$G$30^2)^(3/2))*Tableau!$G$29</f>
        <v>5.0356651480705707E-2</v>
      </c>
      <c r="Y60" s="96">
        <f>((Tableau!$H$25-Q60)/(AD60^2+Tableau!$G$30^2)^(3/2))*Tableau!$G$29</f>
        <v>-2.4070729630066408E-2</v>
      </c>
      <c r="Z60" s="96">
        <f>((Tableau!$G$35-P60)/(AE60^2+Tableau!$G$40^2)^(3/2))*Tableau!$G$39</f>
        <v>0.14229065972249291</v>
      </c>
      <c r="AA60" s="97">
        <f>((Tableau!$H$35-Q60)/(AE60^2+Tableau!$G$40^2)^(3/2))*Tableau!$G$39</f>
        <v>-6.9568850721697495E-2</v>
      </c>
      <c r="AC60" s="110">
        <f>SQRT((Tableau!$G$16-P60)^2+(Tableau!$H$16-Q60)^2)</f>
        <v>1831033.2165325857</v>
      </c>
      <c r="AD60" s="111">
        <f>SQRT((Tableau!$G$25-P60)^2+(Tableau!$H$25-Q60)^2)</f>
        <v>1793804.6828927016</v>
      </c>
      <c r="AE60" s="112">
        <f>SQRT((Tableau!$G$35-P60)^2+(Tableau!$H$35-Q60)^2)</f>
        <v>1818190.8986638871</v>
      </c>
    </row>
    <row r="61" spans="2:31" x14ac:dyDescent="0.25">
      <c r="B61" s="18">
        <v>58</v>
      </c>
      <c r="C61" s="19">
        <f>Tableau!$G$17*COS(B61*PI()/180)+Tableau!$G$16</f>
        <v>22649.596321166024</v>
      </c>
      <c r="D61" s="19">
        <f>Tableau!$G$17*SIN(B61*PI()/180)+Tableau!$H$16</f>
        <v>11740.240480782129</v>
      </c>
      <c r="F61" s="26">
        <v>58</v>
      </c>
      <c r="G61" s="27">
        <f>Tableau!$G$26*COS(F61*PI()/180)+Tableau!$G$25</f>
        <v>-18145.282575183785</v>
      </c>
      <c r="H61" s="27">
        <f>Tableau!$G$26*SIN(F61*PI()/180)+Tableau!$H$25</f>
        <v>12968.168336547491</v>
      </c>
      <c r="J61" s="34">
        <v>58</v>
      </c>
      <c r="K61" s="35">
        <f>Tableau!$G$36*COS(J61*PI()/180)+Tableau!$G$35</f>
        <v>-2350.4036788339754</v>
      </c>
      <c r="L61" s="35">
        <f>Tableau!$G$36*SIN(J61*PI()/180)+Tableau!$H$35</f>
        <v>-10759.759519217871</v>
      </c>
      <c r="N61" s="98">
        <v>57</v>
      </c>
      <c r="O61" s="99">
        <v>28.5</v>
      </c>
      <c r="P61" s="101">
        <f>P60+R60*Tableau!$G$2+((1/2)*T60)*Tableau!$G$2^2</f>
        <v>-1672766.4423190826</v>
      </c>
      <c r="Q61" s="101">
        <f>Q60+S60*Tableau!$G$2+((1/2)*U60)*Tableau!$G$2^2</f>
        <v>800511.91824384884</v>
      </c>
      <c r="R61" s="101">
        <f>R60+T60*Tableau!$G$2</f>
        <v>-68705.286406312458</v>
      </c>
      <c r="S61" s="101">
        <f>S60+U60*Tableau!$G$2</f>
        <v>33804.160696979874</v>
      </c>
      <c r="T61" s="101">
        <f t="shared" si="0"/>
        <v>0.32043841694634823</v>
      </c>
      <c r="U61" s="101">
        <f t="shared" si="1"/>
        <v>-0.15339000807906272</v>
      </c>
      <c r="V61" s="101">
        <f>((Tableau!$G$16-P61)/(AC61^2+Tableau!$G$21^2)^(3/2))*Tableau!$G$20</f>
        <v>0.13569083324766534</v>
      </c>
      <c r="W61" s="101">
        <f>((Tableau!$H$16-Q61)/(AC61^2+Tableau!$G$21^2)^(3/2))*Tableau!$G$20</f>
        <v>-6.3567214750795561E-2</v>
      </c>
      <c r="X61" s="101">
        <f>((Tableau!$G$25-P61)/(AD61^2+Tableau!$G$30^2)^(3/2))*Tableau!$G$29</f>
        <v>4.8268668906012044E-2</v>
      </c>
      <c r="Y61" s="101">
        <f>((Tableau!$H$25-Q61)/(AD61^2+Tableau!$G$30^2)^(3/2))*Tableau!$G$29</f>
        <v>-2.3086721191185842E-2</v>
      </c>
      <c r="Z61" s="101">
        <f>((Tableau!$G$35-P61)/(AE61^2+Tableau!$G$40^2)^(3/2))*Tableau!$G$39</f>
        <v>0.1364789147926708</v>
      </c>
      <c r="AA61" s="102">
        <f>((Tableau!$H$35-Q61)/(AE61^2+Tableau!$G$40^2)^(3/2))*Tableau!$G$39</f>
        <v>-6.6736072137081312E-2</v>
      </c>
      <c r="AC61" s="113">
        <f>SQRT((Tableau!$G$16-P61)^2+(Tableau!$H$16-Q61)^2)</f>
        <v>1869311.6729744114</v>
      </c>
      <c r="AD61" s="114">
        <f>SQRT((Tableau!$G$25-P61)^2+(Tableau!$H$25-Q61)^2)</f>
        <v>1832087.8815552616</v>
      </c>
      <c r="AE61" s="115">
        <f>SQRT((Tableau!$G$35-P61)^2+(Tableau!$H$35-Q61)^2)</f>
        <v>1856476.392234335</v>
      </c>
    </row>
    <row r="62" spans="2:31" x14ac:dyDescent="0.25">
      <c r="B62" s="20">
        <v>59</v>
      </c>
      <c r="C62" s="21">
        <f>Tableau!$G$17*COS(B62*PI()/180)+Tableau!$G$16</f>
        <v>22575.190374550271</v>
      </c>
      <c r="D62" s="21">
        <f>Tableau!$G$17*SIN(B62*PI()/180)+Tableau!$H$16</f>
        <v>11785.83650351056</v>
      </c>
      <c r="F62" s="28">
        <v>59</v>
      </c>
      <c r="G62" s="29">
        <f>Tableau!$G$26*COS(F62*PI()/180)+Tableau!$G$25</f>
        <v>-18197.366737814809</v>
      </c>
      <c r="H62" s="29">
        <f>Tableau!$G$26*SIN(F62*PI()/180)+Tableau!$H$25</f>
        <v>13000.085552457393</v>
      </c>
      <c r="J62" s="36">
        <v>59</v>
      </c>
      <c r="K62" s="37">
        <f>Tableau!$G$36*COS(J62*PI()/180)+Tableau!$G$35</f>
        <v>-2424.8096254497282</v>
      </c>
      <c r="L62" s="37">
        <f>Tableau!$G$36*SIN(J62*PI()/180)+Tableau!$H$35</f>
        <v>-10714.16349648944</v>
      </c>
      <c r="N62" s="92">
        <v>58</v>
      </c>
      <c r="O62" s="93">
        <v>29</v>
      </c>
      <c r="P62" s="96">
        <f>P61+R61*Tableau!$G$2+((1/2)*T61)*Tableau!$G$2^2</f>
        <v>-1707119.0454674368</v>
      </c>
      <c r="Q62" s="96">
        <f>Q61+S61*Tableau!$G$2+((1/2)*U61)*Tableau!$G$2^2</f>
        <v>817413.97941858775</v>
      </c>
      <c r="R62" s="96">
        <f>R61+T61*Tableau!$G$2</f>
        <v>-68705.12618710399</v>
      </c>
      <c r="S62" s="96">
        <f>S61+U61*Tableau!$G$2</f>
        <v>33804.084001975833</v>
      </c>
      <c r="T62" s="96">
        <f t="shared" si="0"/>
        <v>0.30760035580556788</v>
      </c>
      <c r="U62" s="96">
        <f t="shared" si="1"/>
        <v>-0.14732639097494837</v>
      </c>
      <c r="V62" s="96">
        <f>((Tableau!$G$16-P62)/(AC62^2+Tableau!$G$21^2)^(3/2))*Tableau!$G$20</f>
        <v>0.13027634384203934</v>
      </c>
      <c r="W62" s="96">
        <f>((Tableau!$H$16-Q62)/(AC62^2+Tableau!$G$21^2)^(3/2))*Tableau!$G$20</f>
        <v>-6.1091696222163892E-2</v>
      </c>
      <c r="X62" s="96">
        <f>((Tableau!$G$25-P62)/(AD62^2+Tableau!$G$30^2)^(3/2))*Tableau!$G$29</f>
        <v>4.6307904448952844E-2</v>
      </c>
      <c r="Y62" s="96">
        <f>((Tableau!$H$25-Q62)/(AD62^2+Tableau!$G$30^2)^(3/2))*Tableau!$G$29</f>
        <v>-2.2161832331935701E-2</v>
      </c>
      <c r="Z62" s="96">
        <f>((Tableau!$G$35-P62)/(AE62^2+Tableau!$G$40^2)^(3/2))*Tableau!$G$39</f>
        <v>0.13101610751457571</v>
      </c>
      <c r="AA62" s="97">
        <f>((Tableau!$H$35-Q62)/(AE62^2+Tableau!$G$40^2)^(3/2))*Tableau!$G$39</f>
        <v>-6.4072862420848767E-2</v>
      </c>
      <c r="AC62" s="110">
        <f>SQRT((Tableau!$G$16-P62)^2+(Tableau!$H$16-Q62)^2)</f>
        <v>1907590.3258493431</v>
      </c>
      <c r="AD62" s="111">
        <f>SQRT((Tableau!$G$25-P62)^2+(Tableau!$H$25-Q62)^2)</f>
        <v>1870371.0882441255</v>
      </c>
      <c r="AE62" s="112">
        <f>SQRT((Tableau!$G$35-P62)^2+(Tableau!$H$35-Q62)^2)</f>
        <v>1894761.7998245761</v>
      </c>
    </row>
    <row r="63" spans="2:31" x14ac:dyDescent="0.25">
      <c r="B63" s="18">
        <v>60</v>
      </c>
      <c r="C63" s="19">
        <f>Tableau!$G$17*COS(B63*PI()/180)+Tableau!$G$16</f>
        <v>22500</v>
      </c>
      <c r="D63" s="19">
        <f>Tableau!$G$17*SIN(B63*PI()/180)+Tableau!$H$16</f>
        <v>11830.127018922194</v>
      </c>
      <c r="F63" s="26">
        <v>60</v>
      </c>
      <c r="G63" s="27">
        <f>Tableau!$G$26*COS(F63*PI()/180)+Tableau!$G$25</f>
        <v>-18250</v>
      </c>
      <c r="H63" s="27">
        <f>Tableau!$G$26*SIN(F63*PI()/180)+Tableau!$H$25</f>
        <v>13031.088913245534</v>
      </c>
      <c r="J63" s="34">
        <v>60</v>
      </c>
      <c r="K63" s="35">
        <f>Tableau!$G$36*COS(J63*PI()/180)+Tableau!$G$35</f>
        <v>-2499.9999999999995</v>
      </c>
      <c r="L63" s="35">
        <f>Tableau!$G$36*SIN(J63*PI()/180)+Tableau!$H$35</f>
        <v>-10669.872981077806</v>
      </c>
      <c r="N63" s="98">
        <v>59</v>
      </c>
      <c r="O63" s="99">
        <v>29.5</v>
      </c>
      <c r="P63" s="101">
        <f>P62+R62*Tableau!$G$2+((1/2)*T62)*Tableau!$G$2^2</f>
        <v>-1741471.5701109441</v>
      </c>
      <c r="Q63" s="101">
        <f>Q62+S62*Tableau!$G$2+((1/2)*U62)*Tableau!$G$2^2</f>
        <v>834316.00300377677</v>
      </c>
      <c r="R63" s="101">
        <f>R62+T62*Tableau!$G$2</f>
        <v>-68704.972386926092</v>
      </c>
      <c r="S63" s="101">
        <f>S62+U62*Tableau!$G$2</f>
        <v>33804.010338780347</v>
      </c>
      <c r="T63" s="101">
        <f t="shared" si="0"/>
        <v>0.29551862291275455</v>
      </c>
      <c r="U63" s="101">
        <f t="shared" si="1"/>
        <v>-0.14161531761895291</v>
      </c>
      <c r="V63" s="101">
        <f>((Tableau!$G$16-P63)/(AC63^2+Tableau!$G$21^2)^(3/2))*Tableau!$G$20</f>
        <v>0.12517954082174784</v>
      </c>
      <c r="W63" s="101">
        <f>((Tableau!$H$16-Q63)/(AC63^2+Tableau!$G$21^2)^(3/2))*Tableau!$G$20</f>
        <v>-5.8757943844399828E-2</v>
      </c>
      <c r="X63" s="101">
        <f>((Tableau!$G$25-P63)/(AD63^2+Tableau!$G$30^2)^(3/2))*Tableau!$G$29</f>
        <v>4.4464229544483085E-2</v>
      </c>
      <c r="Y63" s="101">
        <f>((Tableau!$H$25-Q63)/(AD63^2+Tableau!$G$30^2)^(3/2))*Tableau!$G$29</f>
        <v>-2.1291421020905144E-2</v>
      </c>
      <c r="Z63" s="101">
        <f>((Tableau!$G$35-P63)/(AE63^2+Tableau!$G$40^2)^(3/2))*Tableau!$G$39</f>
        <v>0.12587485254652364</v>
      </c>
      <c r="AA63" s="102">
        <f>((Tableau!$H$35-Q63)/(AE63^2+Tableau!$G$40^2)^(3/2))*Tableau!$G$39</f>
        <v>-6.1565952753647936E-2</v>
      </c>
      <c r="AC63" s="113">
        <f>SQRT((Tableau!$G$16-P63)^2+(Tableau!$H$16-Q63)^2)</f>
        <v>1945869.1618740084</v>
      </c>
      <c r="AD63" s="114">
        <f>SQRT((Tableau!$G$25-P63)^2+(Tableau!$H$25-Q63)^2)</f>
        <v>1908654.3006810746</v>
      </c>
      <c r="AE63" s="115">
        <f>SQRT((Tableau!$G$35-P63)^2+(Tableau!$H$35-Q63)^2)</f>
        <v>1933047.12481664</v>
      </c>
    </row>
    <row r="64" spans="2:31" x14ac:dyDescent="0.25">
      <c r="B64" s="20">
        <v>61</v>
      </c>
      <c r="C64" s="21">
        <f>Tableau!$G$17*COS(B64*PI()/180)+Tableau!$G$16</f>
        <v>22424.048101231685</v>
      </c>
      <c r="D64" s="21">
        <f>Tableau!$G$17*SIN(B64*PI()/180)+Tableau!$H$16</f>
        <v>11873.09853569698</v>
      </c>
      <c r="F64" s="28">
        <v>61</v>
      </c>
      <c r="G64" s="29">
        <f>Tableau!$G$26*COS(F64*PI()/180)+Tableau!$G$25</f>
        <v>-18303.166329137821</v>
      </c>
      <c r="H64" s="29">
        <f>Tableau!$G$26*SIN(F64*PI()/180)+Tableau!$H$25</f>
        <v>13061.168974987886</v>
      </c>
      <c r="J64" s="36">
        <v>61</v>
      </c>
      <c r="K64" s="37">
        <f>Tableau!$G$36*COS(J64*PI()/180)+Tableau!$G$35</f>
        <v>-2575.9518987683145</v>
      </c>
      <c r="L64" s="37">
        <f>Tableau!$G$36*SIN(J64*PI()/180)+Tableau!$H$35</f>
        <v>-10626.90146430302</v>
      </c>
      <c r="N64" s="92">
        <v>60</v>
      </c>
      <c r="O64" s="93">
        <v>30</v>
      </c>
      <c r="P64" s="96">
        <f>P63+R63*Tableau!$G$2+((1/2)*T63)*Tableau!$G$2^2</f>
        <v>-1775824.0193645791</v>
      </c>
      <c r="Q64" s="96">
        <f>Q63+S63*Tableau!$G$2+((1/2)*U63)*Tableau!$G$2^2</f>
        <v>851217.99047125224</v>
      </c>
      <c r="R64" s="96">
        <f>R63+T63*Tableau!$G$2</f>
        <v>-68704.824627614638</v>
      </c>
      <c r="S64" s="96">
        <f>S63+U63*Tableau!$G$2</f>
        <v>33803.939531121534</v>
      </c>
      <c r="T64" s="96">
        <f t="shared" si="0"/>
        <v>0.28413495557865442</v>
      </c>
      <c r="U64" s="96">
        <f t="shared" si="1"/>
        <v>-0.13622998088481783</v>
      </c>
      <c r="V64" s="96">
        <f>((Tableau!$G$16-P64)/(AC64^2+Tableau!$G$21^2)^(3/2))*Tableau!$G$20</f>
        <v>0.12037605231446608</v>
      </c>
      <c r="W64" s="96">
        <f>((Tableau!$H$16-Q64)/(AC64^2+Tableau!$G$21^2)^(3/2))*Tableau!$G$20</f>
        <v>-5.6555341650659119E-2</v>
      </c>
      <c r="X64" s="96">
        <f>((Tableau!$G$25-P64)/(AD64^2+Tableau!$G$30^2)^(3/2))*Tableau!$G$29</f>
        <v>4.2728503877682414E-2</v>
      </c>
      <c r="Y64" s="96">
        <f>((Tableau!$H$25-Q64)/(AD64^2+Tableau!$G$30^2)^(3/2))*Tableau!$G$29</f>
        <v>-2.0471291981092158E-2</v>
      </c>
      <c r="Z64" s="96">
        <f>((Tableau!$G$35-P64)/(AE64^2+Tableau!$G$40^2)^(3/2))*Tableau!$G$39</f>
        <v>0.12103039938650592</v>
      </c>
      <c r="AA64" s="97">
        <f>((Tableau!$H$35-Q64)/(AE64^2+Tableau!$G$40^2)^(3/2))*Tableau!$G$39</f>
        <v>-5.9203347253066557E-2</v>
      </c>
      <c r="AC64" s="110">
        <f>SQRT((Tableau!$G$16-P64)^2+(Tableau!$H$16-Q64)^2)</f>
        <v>1984148.1688552396</v>
      </c>
      <c r="AD64" s="111">
        <f>SQRT((Tableau!$G$25-P64)^2+(Tableau!$H$25-Q64)^2)</f>
        <v>1946937.5168376816</v>
      </c>
      <c r="AE64" s="112">
        <f>SQRT((Tableau!$G$35-P64)^2+(Tableau!$H$35-Q64)^2)</f>
        <v>1971332.370396879</v>
      </c>
    </row>
    <row r="65" spans="2:31" x14ac:dyDescent="0.25">
      <c r="B65" s="18">
        <v>62</v>
      </c>
      <c r="C65" s="19">
        <f>Tableau!$G$17*COS(B65*PI()/180)+Tableau!$G$16</f>
        <v>22347.357813929455</v>
      </c>
      <c r="D65" s="19">
        <f>Tableau!$G$17*SIN(B65*PI()/180)+Tableau!$H$16</f>
        <v>11914.737964294634</v>
      </c>
      <c r="F65" s="26">
        <v>62</v>
      </c>
      <c r="G65" s="27">
        <f>Tableau!$G$26*COS(F65*PI()/180)+Tableau!$G$25</f>
        <v>-18356.849530249383</v>
      </c>
      <c r="H65" s="27">
        <f>Tableau!$G$26*SIN(F65*PI()/180)+Tableau!$H$25</f>
        <v>13090.316575006244</v>
      </c>
      <c r="J65" s="34">
        <v>62</v>
      </c>
      <c r="K65" s="35">
        <f>Tableau!$G$36*COS(J65*PI()/180)+Tableau!$G$35</f>
        <v>-2652.6421860705459</v>
      </c>
      <c r="L65" s="35">
        <f>Tableau!$G$36*SIN(J65*PI()/180)+Tableau!$H$35</f>
        <v>-10585.262035705366</v>
      </c>
      <c r="N65" s="98">
        <v>61</v>
      </c>
      <c r="O65" s="99">
        <v>30.5</v>
      </c>
      <c r="P65" s="101">
        <f>P64+R64*Tableau!$G$2+((1/2)*T64)*Tableau!$G$2^2</f>
        <v>-1810176.3961615169</v>
      </c>
      <c r="Q65" s="101">
        <f>Q64+S64*Tableau!$G$2+((1/2)*U64)*Tableau!$G$2^2</f>
        <v>868119.94320806547</v>
      </c>
      <c r="R65" s="101">
        <f>R64+T64*Tableau!$G$2</f>
        <v>-68704.682560136847</v>
      </c>
      <c r="S65" s="101">
        <f>S64+U64*Tableau!$G$2</f>
        <v>33803.871416131093</v>
      </c>
      <c r="T65" s="101">
        <f t="shared" si="0"/>
        <v>0.27339659503637531</v>
      </c>
      <c r="U65" s="101">
        <f t="shared" si="1"/>
        <v>-0.1311460738309829</v>
      </c>
      <c r="V65" s="101">
        <f>((Tableau!$G$16-P65)/(AC65^2+Tableau!$G$21^2)^(3/2))*Tableau!$G$20</f>
        <v>0.11584379922721745</v>
      </c>
      <c r="W65" s="101">
        <f>((Tableau!$H$16-Q65)/(AC65^2+Tableau!$G$21^2)^(3/2))*Tableau!$G$20</f>
        <v>-5.4474248559337177E-2</v>
      </c>
      <c r="X65" s="101">
        <f>((Tableau!$G$25-P65)/(AD65^2+Tableau!$G$30^2)^(3/2))*Tableau!$G$29</f>
        <v>4.1092461897568752E-2</v>
      </c>
      <c r="Y65" s="101">
        <f>((Tableau!$H$25-Q65)/(AD65^2+Tableau!$G$30^2)^(3/2))*Tableau!$G$29</f>
        <v>-1.9697646078582185E-2</v>
      </c>
      <c r="Z65" s="101">
        <f>((Tableau!$G$35-P65)/(AE65^2+Tableau!$G$40^2)^(3/2))*Tableau!$G$39</f>
        <v>0.1164603339115891</v>
      </c>
      <c r="AA65" s="102">
        <f>((Tableau!$H$35-Q65)/(AE65^2+Tableau!$G$40^2)^(3/2))*Tableau!$G$39</f>
        <v>-5.697417919306353E-2</v>
      </c>
      <c r="AC65" s="113">
        <f>SQRT((Tableau!$G$16-P65)^2+(Tableau!$H$16-Q65)^2)</f>
        <v>2022427.3355832126</v>
      </c>
      <c r="AD65" s="114">
        <f>SQRT((Tableau!$G$25-P65)^2+(Tableau!$H$25-Q65)^2)</f>
        <v>1985220.7349071412</v>
      </c>
      <c r="AE65" s="115">
        <f>SQRT((Tableau!$G$35-P65)^2+(Tableau!$H$35-Q65)^2)</f>
        <v>2009617.5395707758</v>
      </c>
    </row>
    <row r="66" spans="2:31" x14ac:dyDescent="0.25">
      <c r="B66" s="20">
        <v>63</v>
      </c>
      <c r="C66" s="21">
        <f>Tableau!$G$17*COS(B66*PI()/180)+Tableau!$G$16</f>
        <v>22269.952498697734</v>
      </c>
      <c r="D66" s="21">
        <f>Tableau!$G$17*SIN(B66*PI()/180)+Tableau!$H$16</f>
        <v>11955.032620941838</v>
      </c>
      <c r="F66" s="28">
        <v>63</v>
      </c>
      <c r="G66" s="29">
        <f>Tableau!$G$26*COS(F66*PI()/180)+Tableau!$G$25</f>
        <v>-18411.033250911587</v>
      </c>
      <c r="H66" s="29">
        <f>Tableau!$G$26*SIN(F66*PI()/180)+Tableau!$H$25</f>
        <v>13118.522834659287</v>
      </c>
      <c r="J66" s="36">
        <v>63</v>
      </c>
      <c r="K66" s="37">
        <f>Tableau!$G$36*COS(J66*PI()/180)+Tableau!$G$35</f>
        <v>-2730.047501302266</v>
      </c>
      <c r="L66" s="37">
        <f>Tableau!$G$36*SIN(J66*PI()/180)+Tableau!$H$35</f>
        <v>-10544.967379058162</v>
      </c>
      <c r="N66" s="92">
        <v>62</v>
      </c>
      <c r="O66" s="93">
        <v>31</v>
      </c>
      <c r="P66" s="96">
        <f>P65+R65*Tableau!$G$2+((1/2)*T65)*Tableau!$G$2^2</f>
        <v>-1844528.7032670111</v>
      </c>
      <c r="Q66" s="96">
        <f>Q65+S65*Tableau!$G$2+((1/2)*U65)*Tableau!$G$2^2</f>
        <v>885021.8625228717</v>
      </c>
      <c r="R66" s="96">
        <f>R65+T65*Tableau!$G$2</f>
        <v>-68704.545861839331</v>
      </c>
      <c r="S66" s="96">
        <f>S65+U65*Tableau!$G$2</f>
        <v>33803.805843094175</v>
      </c>
      <c r="T66" s="96">
        <f t="shared" si="0"/>
        <v>0.26325567411567524</v>
      </c>
      <c r="U66" s="96">
        <f t="shared" si="1"/>
        <v>-0.12634151503646346</v>
      </c>
      <c r="V66" s="96">
        <f>((Tableau!$G$16-P66)/(AC66^2+Tableau!$G$21^2)^(3/2))*Tableau!$G$20</f>
        <v>0.1115627412385697</v>
      </c>
      <c r="W66" s="96">
        <f>((Tableau!$H$16-Q66)/(AC66^2+Tableau!$G$21^2)^(3/2))*Tableau!$G$20</f>
        <v>-5.2505892941358066E-2</v>
      </c>
      <c r="X66" s="96">
        <f>((Tableau!$G$25-P66)/(AD66^2+Tableau!$G$30^2)^(3/2))*Tableau!$G$29</f>
        <v>3.954861424860779E-2</v>
      </c>
      <c r="Y66" s="96">
        <f>((Tableau!$H$25-Q66)/(AD66^2+Tableau!$G$30^2)^(3/2))*Tableau!$G$29</f>
        <v>-1.8967036275203481E-2</v>
      </c>
      <c r="Z66" s="96">
        <f>((Tableau!$G$35-P66)/(AE66^2+Tableau!$G$40^2)^(3/2))*Tableau!$G$39</f>
        <v>0.11214431862849773</v>
      </c>
      <c r="AA66" s="97">
        <f>((Tableau!$H$35-Q66)/(AE66^2+Tableau!$G$40^2)^(3/2))*Tableau!$G$39</f>
        <v>-5.4868585819901922E-2</v>
      </c>
      <c r="AC66" s="110">
        <f>SQRT((Tableau!$G$16-P66)^2+(Tableau!$H$16-Q66)^2)</f>
        <v>2060706.6517367705</v>
      </c>
      <c r="AD66" s="111">
        <f>SQRT((Tableau!$G$25-P66)^2+(Tableau!$H$25-Q66)^2)</f>
        <v>2023503.9532796065</v>
      </c>
      <c r="AE66" s="112">
        <f>SQRT((Tableau!$G$35-P66)^2+(Tableau!$H$35-Q66)^2)</f>
        <v>2047902.6351763774</v>
      </c>
    </row>
    <row r="67" spans="2:31" x14ac:dyDescent="0.25">
      <c r="B67" s="18">
        <v>64</v>
      </c>
      <c r="C67" s="19">
        <f>Tableau!$G$17*COS(B67*PI()/180)+Tableau!$G$16</f>
        <v>22191.855733945387</v>
      </c>
      <c r="D67" s="19">
        <f>Tableau!$G$17*SIN(B67*PI()/180)+Tableau!$H$16</f>
        <v>11993.970231495834</v>
      </c>
      <c r="F67" s="26">
        <v>64</v>
      </c>
      <c r="G67" s="27">
        <f>Tableau!$G$26*COS(F67*PI()/180)+Tableau!$G$25</f>
        <v>-18465.700986238229</v>
      </c>
      <c r="H67" s="27">
        <f>Tableau!$G$26*SIN(F67*PI()/180)+Tableau!$H$25</f>
        <v>13145.779162047085</v>
      </c>
      <c r="J67" s="34">
        <v>64</v>
      </c>
      <c r="K67" s="35">
        <f>Tableau!$G$36*COS(J67*PI()/180)+Tableau!$G$35</f>
        <v>-2808.1442660546127</v>
      </c>
      <c r="L67" s="35">
        <f>Tableau!$G$36*SIN(J67*PI()/180)+Tableau!$H$35</f>
        <v>-10506.029768504166</v>
      </c>
      <c r="N67" s="98">
        <v>63</v>
      </c>
      <c r="O67" s="99">
        <v>31.5</v>
      </c>
      <c r="P67" s="101">
        <f>P66+R66*Tableau!$G$2+((1/2)*T66)*Tableau!$G$2^2</f>
        <v>-1878880.9432909715</v>
      </c>
      <c r="Q67" s="101">
        <f>Q66+S66*Tableau!$G$2+((1/2)*U66)*Tableau!$G$2^2</f>
        <v>901923.74965172936</v>
      </c>
      <c r="R67" s="101">
        <f>R66+T66*Tableau!$G$2</f>
        <v>-68704.414234002266</v>
      </c>
      <c r="S67" s="101">
        <f>S66+U66*Tableau!$G$2</f>
        <v>33803.742672336659</v>
      </c>
      <c r="T67" s="101">
        <f t="shared" si="0"/>
        <v>0.25366868294282441</v>
      </c>
      <c r="U67" s="101">
        <f t="shared" si="1"/>
        <v>-0.12179620850298857</v>
      </c>
      <c r="V67" s="101">
        <f>((Tableau!$G$16-P67)/(AC67^2+Tableau!$G$21^2)^(3/2))*Tableau!$G$20</f>
        <v>0.10751465502084541</v>
      </c>
      <c r="W67" s="101">
        <f>((Tableau!$H$16-Q67)/(AC67^2+Tableau!$G$21^2)^(3/2))*Tableau!$G$20</f>
        <v>-5.0642280247225183E-2</v>
      </c>
      <c r="X67" s="101">
        <f>((Tableau!$G$25-P67)/(AD67^2+Tableau!$G$30^2)^(3/2))*Tableau!$G$29</f>
        <v>3.8090161920331503E-2</v>
      </c>
      <c r="Y67" s="101">
        <f>((Tableau!$H$25-Q67)/(AD67^2+Tableau!$G$30^2)^(3/2))*Tableau!$G$29</f>
        <v>-1.8276329190118387E-2</v>
      </c>
      <c r="Z67" s="101">
        <f>((Tableau!$G$35-P67)/(AE67^2+Tableau!$G$40^2)^(3/2))*Tableau!$G$39</f>
        <v>0.10806386600164748</v>
      </c>
      <c r="AA67" s="102">
        <f>((Tableau!$H$35-Q67)/(AE67^2+Tableau!$G$40^2)^(3/2))*Tableau!$G$39</f>
        <v>-5.2877599065645001E-2</v>
      </c>
      <c r="AC67" s="113">
        <f>SQRT((Tableau!$G$16-P67)^2+(Tableau!$H$16-Q67)^2)</f>
        <v>2098986.1077993512</v>
      </c>
      <c r="AD67" s="114">
        <f>SQRT((Tableau!$G$25-P67)^2+(Tableau!$H$25-Q67)^2)</f>
        <v>2061787.1705205494</v>
      </c>
      <c r="AE67" s="115">
        <f>SQRT((Tableau!$G$35-P67)^2+(Tableau!$H$35-Q67)^2)</f>
        <v>2086187.6598965032</v>
      </c>
    </row>
    <row r="68" spans="2:31" x14ac:dyDescent="0.25">
      <c r="B68" s="20">
        <v>65</v>
      </c>
      <c r="C68" s="21">
        <f>Tableau!$G$17*COS(B68*PI()/180)+Tableau!$G$16</f>
        <v>22113.091308703497</v>
      </c>
      <c r="D68" s="21">
        <f>Tableau!$G$17*SIN(B68*PI()/180)+Tableau!$H$16</f>
        <v>12031.538935183249</v>
      </c>
      <c r="F68" s="28">
        <v>65</v>
      </c>
      <c r="G68" s="29">
        <f>Tableau!$G$26*COS(F68*PI()/180)+Tableau!$G$25</f>
        <v>-18520.83608390755</v>
      </c>
      <c r="H68" s="29">
        <f>Tableau!$G$26*SIN(F68*PI()/180)+Tableau!$H$25</f>
        <v>13172.077254628275</v>
      </c>
      <c r="J68" s="36">
        <v>65</v>
      </c>
      <c r="K68" s="37">
        <f>Tableau!$G$36*COS(J68*PI()/180)+Tableau!$G$35</f>
        <v>-2886.9086912965026</v>
      </c>
      <c r="L68" s="37">
        <f>Tableau!$G$36*SIN(J68*PI()/180)+Tableau!$H$35</f>
        <v>-10468.461064816751</v>
      </c>
      <c r="N68" s="92">
        <v>64</v>
      </c>
      <c r="O68" s="93">
        <v>32</v>
      </c>
      <c r="P68" s="96">
        <f>P67+R67*Tableau!$G$2+((1/2)*T67)*Tableau!$G$2^2</f>
        <v>-1913233.1186993872</v>
      </c>
      <c r="Q68" s="96">
        <f>Q67+S67*Tableau!$G$2+((1/2)*U67)*Tableau!$G$2^2</f>
        <v>918825.60576337168</v>
      </c>
      <c r="R68" s="96">
        <f>R67+T67*Tableau!$G$2</f>
        <v>-68704.287399660796</v>
      </c>
      <c r="S68" s="96">
        <f>S67+U67*Tableau!$G$2</f>
        <v>33803.681774232406</v>
      </c>
      <c r="T68" s="96">
        <f t="shared" ref="T68:T131" si="2">V68+X68+Z68</f>
        <v>0.24459600150701041</v>
      </c>
      <c r="U68" s="96">
        <f t="shared" ref="U68:U131" si="3">W68+Y68+AA68</f>
        <v>-0.11749183324012327</v>
      </c>
      <c r="V68" s="96">
        <f>((Tableau!$G$16-P68)/(AC68^2+Tableau!$G$21^2)^(3/2))*Tableau!$G$20</f>
        <v>0.10368294010254323</v>
      </c>
      <c r="W68" s="96">
        <f>((Tableau!$H$16-Q68)/(AC68^2+Tableau!$G$21^2)^(3/2))*Tableau!$G$20</f>
        <v>-4.8876111878243887E-2</v>
      </c>
      <c r="X68" s="96">
        <f>((Tableau!$G$25-P68)/(AD68^2+Tableau!$G$30^2)^(3/2))*Tableau!$G$29</f>
        <v>3.6710921273703137E-2</v>
      </c>
      <c r="Y68" s="96">
        <f>((Tableau!$H$25-Q68)/(AD68^2+Tableau!$G$30^2)^(3/2))*Tableau!$G$29</f>
        <v>-1.7622671468807274E-2</v>
      </c>
      <c r="Z68" s="96">
        <f>((Tableau!$G$35-P68)/(AE68^2+Tableau!$G$40^2)^(3/2))*Tableau!$G$39</f>
        <v>0.10420214013076404</v>
      </c>
      <c r="AA68" s="97">
        <f>((Tableau!$H$35-Q68)/(AE68^2+Tableau!$G$40^2)^(3/2))*Tableau!$G$39</f>
        <v>-5.0993049893072122E-2</v>
      </c>
      <c r="AC68" s="110">
        <f>SQRT((Tableau!$G$16-P68)^2+(Tableau!$H$16-Q68)^2)</f>
        <v>2137265.6949841622</v>
      </c>
      <c r="AD68" s="111">
        <f>SQRT((Tableau!$G$25-P68)^2+(Tableau!$H$25-Q68)^2)</f>
        <v>2100070.385351731</v>
      </c>
      <c r="AE68" s="112">
        <f>SQRT((Tableau!$G$35-P68)^2+(Tableau!$H$35-Q68)^2)</f>
        <v>2124472.6162698632</v>
      </c>
    </row>
    <row r="69" spans="2:31" x14ac:dyDescent="0.25">
      <c r="B69" s="18">
        <v>66</v>
      </c>
      <c r="C69" s="19">
        <f>Tableau!$G$17*COS(B69*PI()/180)+Tableau!$G$16</f>
        <v>22033.683215379002</v>
      </c>
      <c r="D69" s="19">
        <f>Tableau!$G$17*SIN(B69*PI()/180)+Tableau!$H$16</f>
        <v>12067.727288213006</v>
      </c>
      <c r="F69" s="26">
        <v>66</v>
      </c>
      <c r="G69" s="27">
        <f>Tableau!$G$26*COS(F69*PI()/180)+Tableau!$G$25</f>
        <v>-18576.421749234698</v>
      </c>
      <c r="H69" s="27">
        <f>Tableau!$G$26*SIN(F69*PI()/180)+Tableau!$H$25</f>
        <v>13197.409101749103</v>
      </c>
      <c r="J69" s="34">
        <v>66</v>
      </c>
      <c r="K69" s="35">
        <f>Tableau!$G$36*COS(J69*PI()/180)+Tableau!$G$35</f>
        <v>-2966.316784620999</v>
      </c>
      <c r="L69" s="35">
        <f>Tableau!$G$36*SIN(J69*PI()/180)+Tableau!$H$35</f>
        <v>-10432.272711786994</v>
      </c>
      <c r="N69" s="98">
        <v>65</v>
      </c>
      <c r="O69" s="99">
        <v>32.5</v>
      </c>
      <c r="P69" s="101">
        <f>P68+R68*Tableau!$G$2+((1/2)*T68)*Tableau!$G$2^2</f>
        <v>-1947585.2318247175</v>
      </c>
      <c r="Q69" s="101">
        <f>Q68+S68*Tableau!$G$2+((1/2)*U68)*Tableau!$G$2^2</f>
        <v>935727.43196400872</v>
      </c>
      <c r="R69" s="101">
        <f>R68+T68*Tableau!$G$2</f>
        <v>-68704.165101660037</v>
      </c>
      <c r="S69" s="101">
        <f>S68+U68*Tableau!$G$2</f>
        <v>33803.623028315786</v>
      </c>
      <c r="T69" s="101">
        <f t="shared" si="2"/>
        <v>0.23600148969807633</v>
      </c>
      <c r="U69" s="101">
        <f t="shared" si="3"/>
        <v>-0.11341165841267033</v>
      </c>
      <c r="V69" s="101">
        <f>((Tableau!$G$16-P69)/(AC69^2+Tableau!$G$21^2)^(3/2))*Tableau!$G$20</f>
        <v>0.10005244850351347</v>
      </c>
      <c r="W69" s="101">
        <f>((Tableau!$H$16-Q69)/(AC69^2+Tableau!$G$21^2)^(3/2))*Tableau!$G$20</f>
        <v>-4.7200713765268285E-2</v>
      </c>
      <c r="X69" s="101">
        <f>((Tableau!$G$25-P69)/(AD69^2+Tableau!$G$30^2)^(3/2))*Tableau!$G$29</f>
        <v>3.5405258397447452E-2</v>
      </c>
      <c r="Y69" s="101">
        <f>((Tableau!$H$25-Q69)/(AD69^2+Tableau!$G$30^2)^(3/2))*Tableau!$G$29</f>
        <v>-1.7003460284484889E-2</v>
      </c>
      <c r="Z69" s="101">
        <f>((Tableau!$G$35-P69)/(AE69^2+Tableau!$G$40^2)^(3/2))*Tableau!$G$39</f>
        <v>0.10054378279711539</v>
      </c>
      <c r="AA69" s="102">
        <f>((Tableau!$H$35-Q69)/(AE69^2+Tableau!$G$40^2)^(3/2))*Tableau!$G$39</f>
        <v>-4.920748436291715E-2</v>
      </c>
      <c r="AC69" s="113">
        <f>SQRT((Tableau!$G$16-P69)^2+(Tableau!$H$16-Q69)^2)</f>
        <v>2175545.4051674549</v>
      </c>
      <c r="AD69" s="114">
        <f>SQRT((Tableau!$G$25-P69)^2+(Tableau!$H$25-Q69)^2)</f>
        <v>2138353.5966344359</v>
      </c>
      <c r="AE69" s="115">
        <f>SQRT((Tableau!$G$35-P69)^2+(Tableau!$H$35-Q69)^2)</f>
        <v>2162757.5067011951</v>
      </c>
    </row>
    <row r="70" spans="2:31" x14ac:dyDescent="0.25">
      <c r="B70" s="20">
        <v>67</v>
      </c>
      <c r="C70" s="21">
        <f>Tableau!$G$17*COS(B70*PI()/180)+Tableau!$G$16</f>
        <v>21953.655642446371</v>
      </c>
      <c r="D70" s="21">
        <f>Tableau!$G$17*SIN(B70*PI()/180)+Tableau!$H$16</f>
        <v>12102.524267262201</v>
      </c>
      <c r="F70" s="28">
        <v>67</v>
      </c>
      <c r="G70" s="29">
        <f>Tableau!$G$26*COS(F70*PI()/180)+Tableau!$G$25</f>
        <v>-18632.44105028754</v>
      </c>
      <c r="H70" s="29">
        <f>Tableau!$G$26*SIN(F70*PI()/180)+Tableau!$H$25</f>
        <v>13221.766987083542</v>
      </c>
      <c r="J70" s="36">
        <v>67</v>
      </c>
      <c r="K70" s="37">
        <f>Tableau!$G$36*COS(J70*PI()/180)+Tableau!$G$35</f>
        <v>-3046.3443575536303</v>
      </c>
      <c r="L70" s="37">
        <f>Tableau!$G$36*SIN(J70*PI()/180)+Tableau!$H$35</f>
        <v>-10397.475732737799</v>
      </c>
      <c r="N70" s="92">
        <v>66</v>
      </c>
      <c r="O70" s="93">
        <v>33</v>
      </c>
      <c r="P70" s="96">
        <f>P69+R69*Tableau!$G$2+((1/2)*T69)*Tableau!$G$2^2</f>
        <v>-1981937.2848753612</v>
      </c>
      <c r="Q70" s="96">
        <f>Q69+S69*Tableau!$G$2+((1/2)*U69)*Tableau!$G$2^2</f>
        <v>952629.22930170933</v>
      </c>
      <c r="R70" s="96">
        <f>R69+T69*Tableau!$G$2</f>
        <v>-68704.047100915195</v>
      </c>
      <c r="S70" s="96">
        <f>S69+U69*Tableau!$G$2</f>
        <v>33803.566322486578</v>
      </c>
      <c r="T70" s="96">
        <f t="shared" si="2"/>
        <v>0.22785212687980494</v>
      </c>
      <c r="U70" s="96">
        <f t="shared" si="3"/>
        <v>-0.10954038056217497</v>
      </c>
      <c r="V70" s="96">
        <f>((Tableau!$G$16-P70)/(AC70^2+Tableau!$G$21^2)^(3/2))*Tableau!$G$20</f>
        <v>9.6609334873678232E-2</v>
      </c>
      <c r="W70" s="96">
        <f>((Tableau!$H$16-Q70)/(AC70^2+Tableau!$G$21^2)^(3/2))*Tableau!$G$20</f>
        <v>-4.5609973350486367E-2</v>
      </c>
      <c r="X70" s="96">
        <f>((Tableau!$G$25-P70)/(AD70^2+Tableau!$G$30^2)^(3/2))*Tableau!$G$29</f>
        <v>3.4168031490687034E-2</v>
      </c>
      <c r="Y70" s="96">
        <f>((Tableau!$H$25-Q70)/(AD70^2+Tableau!$G$30^2)^(3/2))*Tableau!$G$29</f>
        <v>-1.6416317401740477E-2</v>
      </c>
      <c r="Z70" s="96">
        <f>((Tableau!$G$35-P70)/(AE70^2+Tableau!$G$40^2)^(3/2))*Tableau!$G$39</f>
        <v>9.7074760515439673E-2</v>
      </c>
      <c r="AA70" s="97">
        <f>((Tableau!$H$35-Q70)/(AE70^2+Tableau!$G$40^2)^(3/2))*Tableau!$G$39</f>
        <v>-4.7514089809948118E-2</v>
      </c>
      <c r="AC70" s="110">
        <f>SQRT((Tableau!$G$16-P70)^2+(Tableau!$H$16-Q70)^2)</f>
        <v>2213825.2308288873</v>
      </c>
      <c r="AD70" s="111">
        <f>SQRT((Tableau!$G$25-P70)^2+(Tableau!$H$25-Q70)^2)</f>
        <v>2176636.8033546708</v>
      </c>
      <c r="AE70" s="112">
        <f>SQRT((Tableau!$G$35-P70)^2+(Tableau!$H$35-Q70)^2)</f>
        <v>2201042.3334705275</v>
      </c>
    </row>
    <row r="71" spans="2:31" x14ac:dyDescent="0.25">
      <c r="B71" s="18">
        <v>68</v>
      </c>
      <c r="C71" s="19">
        <f>Tableau!$G$17*COS(B71*PI()/180)+Tableau!$G$16</f>
        <v>21873.032967079558</v>
      </c>
      <c r="D71" s="19">
        <f>Tableau!$G$17*SIN(B71*PI()/180)+Tableau!$H$16</f>
        <v>12135.919272833937</v>
      </c>
      <c r="F71" s="26">
        <v>68</v>
      </c>
      <c r="G71" s="27">
        <f>Tableau!$G$26*COS(F71*PI()/180)+Tableau!$G$25</f>
        <v>-18688.876923044307</v>
      </c>
      <c r="H71" s="27">
        <f>Tableau!$G$26*SIN(F71*PI()/180)+Tableau!$H$25</f>
        <v>13245.143490983755</v>
      </c>
      <c r="J71" s="34">
        <v>68</v>
      </c>
      <c r="K71" s="35">
        <f>Tableau!$G$36*COS(J71*PI()/180)+Tableau!$G$35</f>
        <v>-3126.96703292044</v>
      </c>
      <c r="L71" s="35">
        <f>Tableau!$G$36*SIN(J71*PI()/180)+Tableau!$H$35</f>
        <v>-10364.080727166063</v>
      </c>
      <c r="N71" s="98">
        <v>67</v>
      </c>
      <c r="O71" s="99">
        <v>33.5</v>
      </c>
      <c r="P71" s="101">
        <f>P70+R70*Tableau!$G$2+((1/2)*T70)*Tableau!$G$2^2</f>
        <v>-2016289.279944303</v>
      </c>
      <c r="Q71" s="101">
        <f>Q70+S70*Tableau!$G$2+((1/2)*U70)*Tableau!$G$2^2</f>
        <v>969530.99877040507</v>
      </c>
      <c r="R71" s="101">
        <f>R70+T70*Tableau!$G$2</f>
        <v>-68703.933174851758</v>
      </c>
      <c r="S71" s="101">
        <f>S70+U70*Tableau!$G$2</f>
        <v>33803.511552296295</v>
      </c>
      <c r="T71" s="101">
        <f t="shared" si="2"/>
        <v>0.22011769427469771</v>
      </c>
      <c r="U71" s="101">
        <f t="shared" si="3"/>
        <v>-0.1058639799407862</v>
      </c>
      <c r="V71" s="101">
        <f>((Tableau!$G$16-P71)/(AC71^2+Tableau!$G$21^2)^(3/2))*Tableau!$G$20</f>
        <v>9.3340924363215477E-2</v>
      </c>
      <c r="W71" s="101">
        <f>((Tableau!$H$16-Q71)/(AC71^2+Tableau!$G$21^2)^(3/2))*Tableau!$G$20</f>
        <v>-4.4098283861590218E-2</v>
      </c>
      <c r="X71" s="101">
        <f>((Tableau!$G$25-P71)/(AD71^2+Tableau!$G$30^2)^(3/2))*Tableau!$G$29</f>
        <v>3.2994540169623256E-2</v>
      </c>
      <c r="Y71" s="101">
        <f>((Tableau!$H$25-Q71)/(AD71^2+Tableau!$G$30^2)^(3/2))*Tableau!$G$29</f>
        <v>-1.5859066319192056E-2</v>
      </c>
      <c r="Z71" s="101">
        <f>((Tableau!$G$35-P71)/(AE71^2+Tableau!$G$40^2)^(3/2))*Tableau!$G$39</f>
        <v>9.3782229741858986E-2</v>
      </c>
      <c r="AA71" s="102">
        <f>((Tableau!$H$35-Q71)/(AE71^2+Tableau!$G$40^2)^(3/2))*Tableau!$G$39</f>
        <v>-4.5906629760003925E-2</v>
      </c>
      <c r="AC71" s="113">
        <f>SQRT((Tableau!$G$16-P71)^2+(Tableau!$H$16-Q71)^2)</f>
        <v>2252105.1649981337</v>
      </c>
      <c r="AD71" s="114">
        <f>SQRT((Tableau!$G$25-P71)^2+(Tableau!$H$25-Q71)^2)</f>
        <v>2214920.0046100705</v>
      </c>
      <c r="AE71" s="115">
        <f>SQRT((Tableau!$G$35-P71)^2+(Tableau!$H$35-Q71)^2)</f>
        <v>2239327.0987416562</v>
      </c>
    </row>
    <row r="72" spans="2:31" x14ac:dyDescent="0.25">
      <c r="B72" s="20">
        <v>69</v>
      </c>
      <c r="C72" s="21">
        <f>Tableau!$G$17*COS(B72*PI()/180)+Tableau!$G$16</f>
        <v>21791.839747726503</v>
      </c>
      <c r="D72" s="21">
        <f>Tableau!$G$17*SIN(B72*PI()/180)+Tableau!$H$16</f>
        <v>12167.902132486008</v>
      </c>
      <c r="F72" s="28">
        <v>69</v>
      </c>
      <c r="G72" s="29">
        <f>Tableau!$G$26*COS(F72*PI()/180)+Tableau!$G$25</f>
        <v>-18745.712176591449</v>
      </c>
      <c r="H72" s="29">
        <f>Tableau!$G$26*SIN(F72*PI()/180)+Tableau!$H$25</f>
        <v>13267.531492740207</v>
      </c>
      <c r="J72" s="36">
        <v>69</v>
      </c>
      <c r="K72" s="37">
        <f>Tableau!$G$36*COS(J72*PI()/180)+Tableau!$G$35</f>
        <v>-3208.1602522734984</v>
      </c>
      <c r="L72" s="37">
        <f>Tableau!$G$36*SIN(J72*PI()/180)+Tableau!$H$35</f>
        <v>-10332.097867513992</v>
      </c>
      <c r="N72" s="92">
        <v>68</v>
      </c>
      <c r="O72" s="93">
        <v>34</v>
      </c>
      <c r="P72" s="96">
        <f>P71+R71*Tableau!$G$2+((1/2)*T71)*Tableau!$G$2^2</f>
        <v>-2050641.2190170172</v>
      </c>
      <c r="Q72" s="96">
        <f>Q71+S71*Tableau!$G$2+((1/2)*U71)*Tableau!$G$2^2</f>
        <v>986432.74131355574</v>
      </c>
      <c r="R72" s="96">
        <f>R71+T71*Tableau!$G$2</f>
        <v>-68703.823116004627</v>
      </c>
      <c r="S72" s="96">
        <f>S71+U71*Tableau!$G$2</f>
        <v>33803.458620306323</v>
      </c>
      <c r="T72" s="96">
        <f t="shared" si="2"/>
        <v>0.21277049444590526</v>
      </c>
      <c r="U72" s="96">
        <f t="shared" si="3"/>
        <v>-0.10236959343540185</v>
      </c>
      <c r="V72" s="96">
        <f>((Tableau!$G$16-P72)/(AC72^2+Tableau!$G$21^2)^(3/2))*Tableau!$G$20</f>
        <v>9.0235595866722473E-2</v>
      </c>
      <c r="W72" s="96">
        <f>((Tableau!$H$16-Q72)/(AC72^2+Tableau!$G$21^2)^(3/2))*Tableau!$G$20</f>
        <v>-4.2660494930071624E-2</v>
      </c>
      <c r="X72" s="96">
        <f>((Tableau!$G$25-P72)/(AD72^2+Tableau!$G$30^2)^(3/2))*Tableau!$G$29</f>
        <v>3.1880480763413835E-2</v>
      </c>
      <c r="Y72" s="96">
        <f>((Tableau!$H$25-Q72)/(AD72^2+Tableau!$G$30^2)^(3/2))*Tableau!$G$29</f>
        <v>-1.5329712080444766E-2</v>
      </c>
      <c r="Z72" s="96">
        <f>((Tableau!$G$35-P72)/(AE72^2+Tableau!$G$40^2)^(3/2))*Tableau!$G$39</f>
        <v>9.0654417815768953E-2</v>
      </c>
      <c r="AA72" s="97">
        <f>((Tableau!$H$35-Q72)/(AE72^2+Tableau!$G$40^2)^(3/2))*Tableau!$G$39</f>
        <v>-4.437938642488546E-2</v>
      </c>
      <c r="AC72" s="110">
        <f>SQRT((Tableau!$G$16-P72)^2+(Tableau!$H$16-Q72)^2)</f>
        <v>2290385.2012069831</v>
      </c>
      <c r="AD72" s="111">
        <f>SQRT((Tableau!$G$25-P72)^2+(Tableau!$H$25-Q72)^2)</f>
        <v>2253203.1995983012</v>
      </c>
      <c r="AE72" s="112">
        <f>SQRT((Tableau!$G$35-P72)^2+(Tableau!$H$35-Q72)^2)</f>
        <v>2277611.8045699121</v>
      </c>
    </row>
    <row r="73" spans="2:31" x14ac:dyDescent="0.25">
      <c r="B73" s="18">
        <v>70</v>
      </c>
      <c r="C73" s="19">
        <f>Tableau!$G$17*COS(B73*PI()/180)+Tableau!$G$16</f>
        <v>21710.100716628345</v>
      </c>
      <c r="D73" s="19">
        <f>Tableau!$G$17*SIN(B73*PI()/180)+Tableau!$H$16</f>
        <v>12198.463103929542</v>
      </c>
      <c r="F73" s="26">
        <v>70</v>
      </c>
      <c r="G73" s="27">
        <f>Tableau!$G$26*COS(F73*PI()/180)+Tableau!$G$25</f>
        <v>-18802.929498360158</v>
      </c>
      <c r="H73" s="27">
        <f>Tableau!$G$26*SIN(F73*PI()/180)+Tableau!$H$25</f>
        <v>13288.92417275068</v>
      </c>
      <c r="J73" s="34">
        <v>70</v>
      </c>
      <c r="K73" s="35">
        <f>Tableau!$G$36*COS(J73*PI()/180)+Tableau!$G$35</f>
        <v>-3289.8992833716557</v>
      </c>
      <c r="L73" s="35">
        <f>Tableau!$G$36*SIN(J73*PI()/180)+Tableau!$H$35</f>
        <v>-10301.536896070458</v>
      </c>
      <c r="N73" s="98">
        <v>69</v>
      </c>
      <c r="O73" s="99">
        <v>34.5</v>
      </c>
      <c r="P73" s="101">
        <f>P72+R72*Tableau!$G$2+((1/2)*T72)*Tableau!$G$2^2</f>
        <v>-2084993.1039787077</v>
      </c>
      <c r="Q73" s="101">
        <f>Q72+S72*Tableau!$G$2+((1/2)*U72)*Tableau!$G$2^2</f>
        <v>1003334.4578275097</v>
      </c>
      <c r="R73" s="101">
        <f>R72+T72*Tableau!$G$2</f>
        <v>-68703.716730757398</v>
      </c>
      <c r="S73" s="101">
        <f>S72+U72*Tableau!$G$2</f>
        <v>33803.407435509602</v>
      </c>
      <c r="T73" s="101">
        <f t="shared" si="2"/>
        <v>0.2057851030058882</v>
      </c>
      <c r="U73" s="101">
        <f t="shared" si="3"/>
        <v>-9.9045401928313972E-2</v>
      </c>
      <c r="V73" s="101">
        <f>((Tableau!$G$16-P73)/(AC73^2+Tableau!$G$21^2)^(3/2))*Tableau!$G$20</f>
        <v>8.7282678630661817E-2</v>
      </c>
      <c r="W73" s="101">
        <f>((Tableau!$H$16-Q73)/(AC73^2+Tableau!$G$21^2)^(3/2))*Tableau!$G$20</f>
        <v>-4.1291868741807097E-2</v>
      </c>
      <c r="X73" s="101">
        <f>((Tableau!$G$25-P73)/(AD73^2+Tableau!$G$30^2)^(3/2))*Tableau!$G$29</f>
        <v>3.0821906804030106E-2</v>
      </c>
      <c r="Y73" s="101">
        <f>((Tableau!$H$25-Q73)/(AD73^2+Tableau!$G$30^2)^(3/2))*Tableau!$G$29</f>
        <v>-1.4826423403255571E-2</v>
      </c>
      <c r="Z73" s="101">
        <f>((Tableau!$G$35-P73)/(AE73^2+Tableau!$G$40^2)^(3/2))*Tableau!$G$39</f>
        <v>8.7680517571196298E-2</v>
      </c>
      <c r="AA73" s="102">
        <f>((Tableau!$H$35-Q73)/(AE73^2+Tableau!$G$40^2)^(3/2))*Tableau!$G$39</f>
        <v>-4.2927109783251302E-2</v>
      </c>
      <c r="AC73" s="113">
        <f>SQRT((Tableau!$G$16-P73)^2+(Tableau!$H$16-Q73)^2)</f>
        <v>2328665.3334462903</v>
      </c>
      <c r="AD73" s="114">
        <f>SQRT((Tableau!$G$25-P73)^2+(Tableau!$H$25-Q73)^2)</f>
        <v>2291486.3876067623</v>
      </c>
      <c r="AE73" s="115">
        <f>SQRT((Tableau!$G$35-P73)^2+(Tableau!$H$35-Q73)^2)</f>
        <v>2315896.4529092889</v>
      </c>
    </row>
    <row r="74" spans="2:31" x14ac:dyDescent="0.25">
      <c r="B74" s="20">
        <v>71</v>
      </c>
      <c r="C74" s="21">
        <f>Tableau!$G$17*COS(B74*PI()/180)+Tableau!$G$16</f>
        <v>21627.840772285785</v>
      </c>
      <c r="D74" s="21">
        <f>Tableau!$G$17*SIN(B74*PI()/180)+Tableau!$H$16</f>
        <v>12227.592877996583</v>
      </c>
      <c r="F74" s="28">
        <v>71</v>
      </c>
      <c r="G74" s="29">
        <f>Tableau!$G$26*COS(F74*PI()/180)+Tableau!$G$25</f>
        <v>-18860.51145939995</v>
      </c>
      <c r="H74" s="29">
        <f>Tableau!$G$26*SIN(F74*PI()/180)+Tableau!$H$25</f>
        <v>13309.315014597609</v>
      </c>
      <c r="J74" s="36">
        <v>71</v>
      </c>
      <c r="K74" s="37">
        <f>Tableau!$G$36*COS(J74*PI()/180)+Tableau!$G$35</f>
        <v>-3372.1592277142163</v>
      </c>
      <c r="L74" s="37">
        <f>Tableau!$G$36*SIN(J74*PI()/180)+Tableau!$H$35</f>
        <v>-10272.407122003417</v>
      </c>
      <c r="N74" s="92">
        <v>70</v>
      </c>
      <c r="O74" s="93">
        <v>35</v>
      </c>
      <c r="P74" s="96">
        <f>P73+R73*Tableau!$G$2+((1/2)*T73)*Tableau!$G$2^2</f>
        <v>-2119344.9366209484</v>
      </c>
      <c r="Q74" s="96">
        <f>Q73+S73*Tableau!$G$2+((1/2)*U73)*Tableau!$G$2^2</f>
        <v>1020236.1491645892</v>
      </c>
      <c r="R74" s="96">
        <f>R73+T73*Tableau!$G$2</f>
        <v>-68703.6138382059</v>
      </c>
      <c r="S74" s="96">
        <f>S73+U73*Tableau!$G$2</f>
        <v>33803.357912808635</v>
      </c>
      <c r="T74" s="96">
        <f t="shared" si="2"/>
        <v>0.19913814838910474</v>
      </c>
      <c r="U74" s="96">
        <f t="shared" si="3"/>
        <v>-9.5880530250084584E-2</v>
      </c>
      <c r="V74" s="96">
        <f>((Tableau!$G$16-P74)/(AC74^2+Tableau!$G$21^2)^(3/2))*Tableau!$G$20</f>
        <v>8.4472360504447355E-2</v>
      </c>
      <c r="W74" s="96">
        <f>((Tableau!$H$16-Q74)/(AC74^2+Tableau!$G$21^2)^(3/2))*Tableau!$G$20</f>
        <v>-3.9988041023079984E-2</v>
      </c>
      <c r="X74" s="96">
        <f>((Tableau!$G$25-P74)/(AD74^2+Tableau!$G$30^2)^(3/2))*Tableau!$G$29</f>
        <v>2.981519403171665E-2</v>
      </c>
      <c r="Y74" s="96">
        <f>((Tableau!$H$25-Q74)/(AD74^2+Tableau!$G$30^2)^(3/2))*Tableau!$G$29</f>
        <v>-1.4347516827643137E-2</v>
      </c>
      <c r="Z74" s="96">
        <f>((Tableau!$G$35-P74)/(AE74^2+Tableau!$G$40^2)^(3/2))*Tableau!$G$39</f>
        <v>8.4850593852940734E-2</v>
      </c>
      <c r="AA74" s="97">
        <f>((Tableau!$H$35-Q74)/(AE74^2+Tableau!$G$40^2)^(3/2))*Tableau!$G$39</f>
        <v>-4.1544972399361453E-2</v>
      </c>
      <c r="AC74" s="110">
        <f>SQRT((Tableau!$G$16-P74)^2+(Tableau!$H$16-Q74)^2)</f>
        <v>2366945.5561272232</v>
      </c>
      <c r="AD74" s="111">
        <f>SQRT((Tableau!$G$25-P74)^2+(Tableau!$H$25-Q74)^2)</f>
        <v>2329769.5680034352</v>
      </c>
      <c r="AE74" s="112">
        <f>SQRT((Tableau!$G$35-P74)^2+(Tableau!$H$35-Q74)^2)</f>
        <v>2354181.0456190007</v>
      </c>
    </row>
    <row r="75" spans="2:31" x14ac:dyDescent="0.25">
      <c r="B75" s="18">
        <v>72</v>
      </c>
      <c r="C75" s="19">
        <f>Tableau!$G$17*COS(B75*PI()/180)+Tableau!$G$16</f>
        <v>21545.084971874738</v>
      </c>
      <c r="D75" s="19">
        <f>Tableau!$G$17*SIN(B75*PI()/180)+Tableau!$H$16</f>
        <v>12255.282581475767</v>
      </c>
      <c r="F75" s="26">
        <v>72</v>
      </c>
      <c r="G75" s="27">
        <f>Tableau!$G$26*COS(F75*PI()/180)+Tableau!$G$25</f>
        <v>-18918.440519687683</v>
      </c>
      <c r="H75" s="27">
        <f>Tableau!$G$26*SIN(F75*PI()/180)+Tableau!$H$25</f>
        <v>13328.697807033037</v>
      </c>
      <c r="J75" s="34">
        <v>72</v>
      </c>
      <c r="K75" s="35">
        <f>Tableau!$G$36*COS(J75*PI()/180)+Tableau!$G$35</f>
        <v>-3454.9150281252628</v>
      </c>
      <c r="L75" s="35">
        <f>Tableau!$G$36*SIN(J75*PI()/180)+Tableau!$H$35</f>
        <v>-10244.717418524233</v>
      </c>
      <c r="N75" s="98">
        <v>71</v>
      </c>
      <c r="O75" s="99">
        <v>35.5</v>
      </c>
      <c r="P75" s="101">
        <f>P74+R74*Tableau!$G$2+((1/2)*T74)*Tableau!$G$2^2</f>
        <v>-2153696.7186477827</v>
      </c>
      <c r="Q75" s="101">
        <f>Q74+S74*Tableau!$G$2+((1/2)*U74)*Tableau!$G$2^2</f>
        <v>1037137.8161359273</v>
      </c>
      <c r="R75" s="101">
        <f>R74+T74*Tableau!$G$2</f>
        <v>-68703.514269131701</v>
      </c>
      <c r="S75" s="101">
        <f>S74+U74*Tableau!$G$2</f>
        <v>33803.30997254351</v>
      </c>
      <c r="T75" s="101">
        <f t="shared" si="2"/>
        <v>0.19280811612128745</v>
      </c>
      <c r="U75" s="101">
        <f t="shared" si="3"/>
        <v>-9.2864958141249593E-2</v>
      </c>
      <c r="V75" s="101">
        <f>((Tableau!$G$16-P75)/(AC75^2+Tableau!$G$21^2)^(3/2))*Tableau!$G$20</f>
        <v>8.1795606360498888E-2</v>
      </c>
      <c r="W75" s="101">
        <f>((Tableau!$H$16-Q75)/(AC75^2+Tableau!$G$21^2)^(3/2))*Tableau!$G$20</f>
        <v>-3.8744986262356639E-2</v>
      </c>
      <c r="X75" s="101">
        <f>((Tableau!$G$25-P75)/(AD75^2+Tableau!$G$30^2)^(3/2))*Tableau!$G$29</f>
        <v>2.8857009335740452E-2</v>
      </c>
      <c r="Y75" s="101">
        <f>((Tableau!$H$25-Q75)/(AD75^2+Tableau!$G$30^2)^(3/2))*Tableau!$G$29</f>
        <v>-1.389144262644354E-2</v>
      </c>
      <c r="Z75" s="101">
        <f>((Tableau!$G$35-P75)/(AE75^2+Tableau!$G$40^2)^(3/2))*Tableau!$G$39</f>
        <v>8.2155500425048128E-2</v>
      </c>
      <c r="AA75" s="102">
        <f>((Tableau!$H$35-Q75)/(AE75^2+Tableau!$G$40^2)^(3/2))*Tableau!$G$39</f>
        <v>-4.0228529252449415E-2</v>
      </c>
      <c r="AC75" s="113">
        <f>SQRT((Tableau!$G$16-P75)^2+(Tableau!$H$16-Q75)^2)</f>
        <v>2405225.8640463059</v>
      </c>
      <c r="AD75" s="114">
        <f>SQRT((Tableau!$G$25-P75)^2+(Tableau!$H$25-Q75)^2)</f>
        <v>2368052.7402287303</v>
      </c>
      <c r="AE75" s="115">
        <f>SQRT((Tableau!$G$35-P75)^2+(Tableau!$H$35-Q75)^2)</f>
        <v>2392465.5844695084</v>
      </c>
    </row>
    <row r="76" spans="2:31" x14ac:dyDescent="0.25">
      <c r="B76" s="20">
        <v>73</v>
      </c>
      <c r="C76" s="21">
        <f>Tableau!$G$17*COS(B76*PI()/180)+Tableau!$G$16</f>
        <v>21461.858523613682</v>
      </c>
      <c r="D76" s="21">
        <f>Tableau!$G$17*SIN(B76*PI()/180)+Tableau!$H$16</f>
        <v>12281.523779815177</v>
      </c>
      <c r="F76" s="28">
        <v>73</v>
      </c>
      <c r="G76" s="29">
        <f>Tableau!$G$26*COS(F76*PI()/180)+Tableau!$G$25</f>
        <v>-18976.699033470421</v>
      </c>
      <c r="H76" s="29">
        <f>Tableau!$G$26*SIN(F76*PI()/180)+Tableau!$H$25</f>
        <v>13347.066645870624</v>
      </c>
      <c r="J76" s="36">
        <v>73</v>
      </c>
      <c r="K76" s="37">
        <f>Tableau!$G$36*COS(J76*PI()/180)+Tableau!$G$35</f>
        <v>-3538.1414763863158</v>
      </c>
      <c r="L76" s="37">
        <f>Tableau!$G$36*SIN(J76*PI()/180)+Tableau!$H$35</f>
        <v>-10218.476220184823</v>
      </c>
      <c r="N76" s="92">
        <v>72</v>
      </c>
      <c r="O76" s="93">
        <v>36</v>
      </c>
      <c r="P76" s="96">
        <f>P75+R75*Tableau!$G$2+((1/2)*T75)*Tableau!$G$2^2</f>
        <v>-2188048.4516813341</v>
      </c>
      <c r="Q76" s="96">
        <f>Q75+S75*Tableau!$G$2+((1/2)*U75)*Tableau!$G$2^2</f>
        <v>1054039.4595140794</v>
      </c>
      <c r="R76" s="96">
        <f>R75+T75*Tableau!$G$2</f>
        <v>-68703.417865073643</v>
      </c>
      <c r="S76" s="96">
        <f>S75+U75*Tableau!$G$2</f>
        <v>33803.263540064436</v>
      </c>
      <c r="T76" s="96">
        <f t="shared" si="2"/>
        <v>0.18677517452006659</v>
      </c>
      <c r="U76" s="96">
        <f t="shared" si="3"/>
        <v>-8.9989440859967768E-2</v>
      </c>
      <c r="V76" s="96">
        <f>((Tableau!$G$16-P76)/(AC76^2+Tableau!$G$21^2)^(3/2))*Tableau!$G$20</f>
        <v>7.9244085415421883E-2</v>
      </c>
      <c r="W76" s="96">
        <f>((Tableau!$H$16-Q76)/(AC76^2+Tableau!$G$21^2)^(3/2))*Tableau!$G$20</f>
        <v>-3.7558986650493995E-2</v>
      </c>
      <c r="X76" s="96">
        <f>((Tableau!$G$25-P76)/(AD76^2+Tableau!$G$30^2)^(3/2))*Tableau!$G$29</f>
        <v>2.7944283132694325E-2</v>
      </c>
      <c r="Y76" s="96">
        <f>((Tableau!$H$25-Q76)/(AD76^2+Tableau!$G$30^2)^(3/2))*Tableau!$G$29</f>
        <v>-1.3456772257899152E-2</v>
      </c>
      <c r="Z76" s="96">
        <f>((Tableau!$G$35-P76)/(AE76^2+Tableau!$G$40^2)^(3/2))*Tableau!$G$39</f>
        <v>7.9586805971950392E-2</v>
      </c>
      <c r="AA76" s="97">
        <f>((Tableau!$H$35-Q76)/(AE76^2+Tableau!$G$40^2)^(3/2))*Tableau!$G$39</f>
        <v>-3.8973681951574628E-2</v>
      </c>
      <c r="AC76" s="110">
        <f>SQRT((Tableau!$G$16-P76)^2+(Tableau!$H$16-Q76)^2)</f>
        <v>2443506.2523538503</v>
      </c>
      <c r="AD76" s="111">
        <f>SQRT((Tableau!$G$25-P76)^2+(Tableau!$H$25-Q76)^2)</f>
        <v>2406335.9037882225</v>
      </c>
      <c r="AE76" s="112">
        <f>SQRT((Tableau!$G$35-P76)^2+(Tableau!$H$35-Q76)^2)</f>
        <v>2430750.0711480859</v>
      </c>
    </row>
    <row r="77" spans="2:31" x14ac:dyDescent="0.25">
      <c r="B77" s="18">
        <v>74</v>
      </c>
      <c r="C77" s="19">
        <f>Tableau!$G$17*COS(B77*PI()/180)+Tableau!$G$16</f>
        <v>21378.186779084997</v>
      </c>
      <c r="D77" s="19">
        <f>Tableau!$G$17*SIN(B77*PI()/180)+Tableau!$H$16</f>
        <v>12306.308479691594</v>
      </c>
      <c r="F77" s="26">
        <v>74</v>
      </c>
      <c r="G77" s="27">
        <f>Tableau!$G$26*COS(F77*PI()/180)+Tableau!$G$25</f>
        <v>-19035.269254640501</v>
      </c>
      <c r="H77" s="27">
        <f>Tableau!$G$26*SIN(F77*PI()/180)+Tableau!$H$25</f>
        <v>13364.415935784116</v>
      </c>
      <c r="J77" s="34">
        <v>74</v>
      </c>
      <c r="K77" s="35">
        <f>Tableau!$G$36*COS(J77*PI()/180)+Tableau!$G$35</f>
        <v>-3621.8132209150044</v>
      </c>
      <c r="L77" s="35">
        <f>Tableau!$G$36*SIN(J77*PI()/180)+Tableau!$H$35</f>
        <v>-10193.691520308406</v>
      </c>
      <c r="N77" s="98">
        <v>73</v>
      </c>
      <c r="O77" s="99">
        <v>36.5</v>
      </c>
      <c r="P77" s="101">
        <f>P76+R76*Tableau!$G$2+((1/2)*T76)*Tableau!$G$2^2</f>
        <v>-2222400.137266974</v>
      </c>
      <c r="Q77" s="101">
        <f>Q76+S76*Tableau!$G$2+((1/2)*U76)*Tableau!$G$2^2</f>
        <v>1070941.0800354315</v>
      </c>
      <c r="R77" s="101">
        <f>R76+T76*Tableau!$G$2</f>
        <v>-68703.324477486385</v>
      </c>
      <c r="S77" s="101">
        <f>S76+U76*Tableau!$G$2</f>
        <v>33803.218545344003</v>
      </c>
      <c r="T77" s="101">
        <f t="shared" si="2"/>
        <v>0.181021019186481</v>
      </c>
      <c r="U77" s="101">
        <f t="shared" si="3"/>
        <v>-8.7245438259615768E-2</v>
      </c>
      <c r="V77" s="101">
        <f>((Tableau!$G$16-P77)/(AC77^2+Tableau!$G$21^2)^(3/2))*Tableau!$G$20</f>
        <v>7.6810106359528785E-2</v>
      </c>
      <c r="W77" s="101">
        <f>((Tableau!$H$16-Q77)/(AC77^2+Tableau!$G$21^2)^(3/2))*Tableau!$G$20</f>
        <v>-3.6426604292028146E-2</v>
      </c>
      <c r="X77" s="101">
        <f>((Tableau!$G$25-P77)/(AD77^2+Tableau!$G$30^2)^(3/2))*Tableau!$G$29</f>
        <v>2.7074184754329895E-2</v>
      </c>
      <c r="Y77" s="101">
        <f>((Tableau!$H$25-Q77)/(AD77^2+Tableau!$G$30^2)^(3/2))*Tableau!$G$29</f>
        <v>-1.3042187170394119E-2</v>
      </c>
      <c r="Z77" s="101">
        <f>((Tableau!$G$35-P77)/(AE77^2+Tableau!$G$40^2)^(3/2))*Tableau!$G$39</f>
        <v>7.7136728072622326E-2</v>
      </c>
      <c r="AA77" s="102">
        <f>((Tableau!$H$35-Q77)/(AE77^2+Tableau!$G$40^2)^(3/2))*Tableau!$G$39</f>
        <v>-3.7776646797193503E-2</v>
      </c>
      <c r="AC77" s="113">
        <f>SQRT((Tableau!$G$16-P77)^2+(Tableau!$H$16-Q77)^2)</f>
        <v>2481786.7165253884</v>
      </c>
      <c r="AD77" s="114">
        <f>SQRT((Tableau!$G$25-P77)^2+(Tableau!$H$25-Q77)^2)</f>
        <v>2444619.0582461585</v>
      </c>
      <c r="AE77" s="115">
        <f>SQRT((Tableau!$G$35-P77)^2+(Tableau!$H$35-Q77)^2)</f>
        <v>2469034.5072639454</v>
      </c>
    </row>
    <row r="78" spans="2:31" x14ac:dyDescent="0.25">
      <c r="B78" s="20">
        <v>75</v>
      </c>
      <c r="C78" s="21">
        <f>Tableau!$G$17*COS(B78*PI()/180)+Tableau!$G$16</f>
        <v>21294.095225512603</v>
      </c>
      <c r="D78" s="21">
        <f>Tableau!$G$17*SIN(B78*PI()/180)+Tableau!$H$16</f>
        <v>12329.629131445341</v>
      </c>
      <c r="F78" s="28">
        <v>75</v>
      </c>
      <c r="G78" s="29">
        <f>Tableau!$G$26*COS(F78*PI()/180)+Tableau!$G$25</f>
        <v>-19094.133342141176</v>
      </c>
      <c r="H78" s="29">
        <f>Tableau!$G$26*SIN(F78*PI()/180)+Tableau!$H$25</f>
        <v>13380.740392011739</v>
      </c>
      <c r="J78" s="36">
        <v>75</v>
      </c>
      <c r="K78" s="37">
        <f>Tableau!$G$36*COS(J78*PI()/180)+Tableau!$G$35</f>
        <v>-3705.904774487396</v>
      </c>
      <c r="L78" s="37">
        <f>Tableau!$G$36*SIN(J78*PI()/180)+Tableau!$H$35</f>
        <v>-10170.370868554659</v>
      </c>
      <c r="N78" s="92">
        <v>74</v>
      </c>
      <c r="O78" s="93">
        <v>37</v>
      </c>
      <c r="P78" s="96">
        <f>P77+R77*Tableau!$G$2+((1/2)*T77)*Tableau!$G$2^2</f>
        <v>-2256751.7768780896</v>
      </c>
      <c r="Q78" s="96">
        <f>Q77+S77*Tableau!$G$2+((1/2)*U77)*Tableau!$G$2^2</f>
        <v>1087842.6784024239</v>
      </c>
      <c r="R78" s="96">
        <f>R77+T77*Tableau!$G$2</f>
        <v>-68703.233966976797</v>
      </c>
      <c r="S78" s="96">
        <f>S77+U77*Tableau!$G$2</f>
        <v>33803.174922624872</v>
      </c>
      <c r="T78" s="96">
        <f t="shared" si="2"/>
        <v>0.17552873400740171</v>
      </c>
      <c r="U78" s="96">
        <f t="shared" si="3"/>
        <v>-8.4625051319222072E-2</v>
      </c>
      <c r="V78" s="96">
        <f>((Tableau!$G$16-P78)/(AC78^2+Tableau!$G$21^2)^(3/2))*Tableau!$G$20</f>
        <v>7.4486559350575313E-2</v>
      </c>
      <c r="W78" s="96">
        <f>((Tableau!$H$16-Q78)/(AC78^2+Tableau!$G$21^2)^(3/2))*Tableau!$G$20</f>
        <v>-3.5344656299829261E-2</v>
      </c>
      <c r="X78" s="96">
        <f>((Tableau!$G$25-P78)/(AD78^2+Tableau!$G$30^2)^(3/2))*Tableau!$G$29</f>
        <v>2.6244100475934517E-2</v>
      </c>
      <c r="Y78" s="96">
        <f>((Tableau!$H$25-Q78)/(AD78^2+Tableau!$G$30^2)^(3/2))*Tableau!$G$29</f>
        <v>-1.2646468795354989E-2</v>
      </c>
      <c r="Z78" s="96">
        <f>((Tableau!$G$35-P78)/(AE78^2+Tableau!$G$40^2)^(3/2))*Tableau!$G$39</f>
        <v>7.4798074180891891E-2</v>
      </c>
      <c r="AA78" s="97">
        <f>((Tableau!$H$35-Q78)/(AE78^2+Tableau!$G$40^2)^(3/2))*Tableau!$G$39</f>
        <v>-3.663392622403782E-2</v>
      </c>
      <c r="AC78" s="110">
        <f>SQRT((Tableau!$G$16-P78)^2+(Tableau!$H$16-Q78)^2)</f>
        <v>2520067.2523357905</v>
      </c>
      <c r="AD78" s="111">
        <f>SQRT((Tableau!$G$25-P78)^2+(Tableau!$H$25-Q78)^2)</f>
        <v>2482902.2032196522</v>
      </c>
      <c r="AE78" s="112">
        <f>SQRT((Tableau!$G$35-P78)^2+(Tableau!$H$35-Q78)^2)</f>
        <v>2507318.8943529832</v>
      </c>
    </row>
    <row r="79" spans="2:31" x14ac:dyDescent="0.25">
      <c r="B79" s="18">
        <v>76</v>
      </c>
      <c r="C79" s="19">
        <f>Tableau!$G$17*COS(B79*PI()/180)+Tableau!$G$16</f>
        <v>21209.60947799834</v>
      </c>
      <c r="D79" s="19">
        <f>Tableau!$G$17*SIN(B79*PI()/180)+Tableau!$H$16</f>
        <v>12351.478631379981</v>
      </c>
      <c r="F79" s="26">
        <v>76</v>
      </c>
      <c r="G79" s="27">
        <f>Tableau!$G$26*COS(F79*PI()/180)+Tableau!$G$25</f>
        <v>-19153.273365401161</v>
      </c>
      <c r="H79" s="27">
        <f>Tableau!$G$26*SIN(F79*PI()/180)+Tableau!$H$25</f>
        <v>13396.035041965988</v>
      </c>
      <c r="J79" s="34">
        <v>76</v>
      </c>
      <c r="K79" s="35">
        <f>Tableau!$G$36*COS(J79*PI()/180)+Tableau!$G$35</f>
        <v>-3790.3905220016604</v>
      </c>
      <c r="L79" s="35">
        <f>Tableau!$G$36*SIN(J79*PI()/180)+Tableau!$H$35</f>
        <v>-10148.521368620019</v>
      </c>
      <c r="N79" s="98">
        <v>75</v>
      </c>
      <c r="O79" s="99">
        <v>37.5</v>
      </c>
      <c r="P79" s="101">
        <f>P78+R78*Tableau!$G$2+((1/2)*T78)*Tableau!$G$2^2</f>
        <v>-2291103.371920486</v>
      </c>
      <c r="Q79" s="101">
        <f>Q78+S78*Tableau!$G$2+((1/2)*U78)*Tableau!$G$2^2</f>
        <v>1104744.2552856051</v>
      </c>
      <c r="R79" s="101">
        <f>R78+T78*Tableau!$G$2</f>
        <v>-68703.146202609787</v>
      </c>
      <c r="S79" s="101">
        <f>S78+U78*Tableau!$G$2</f>
        <v>33803.132610099216</v>
      </c>
      <c r="T79" s="101">
        <f t="shared" si="2"/>
        <v>0.17028266669538197</v>
      </c>
      <c r="U79" s="101">
        <f t="shared" si="3"/>
        <v>-8.2120965244964733E-2</v>
      </c>
      <c r="V79" s="101">
        <f>((Tableau!$G$16-P79)/(AC79^2+Tableau!$G$21^2)^(3/2))*Tableau!$G$20</f>
        <v>7.2266864054058841E-2</v>
      </c>
      <c r="W79" s="101">
        <f>((Tableau!$H$16-Q79)/(AC79^2+Tableau!$G$21^2)^(3/2))*Tableau!$G$20</f>
        <v>-3.4310192436320844E-2</v>
      </c>
      <c r="X79" s="101">
        <f>((Tableau!$G$25-P79)/(AD79^2+Tableau!$G$30^2)^(3/2))*Tableau!$G$29</f>
        <v>2.5451613866387526E-2</v>
      </c>
      <c r="Y79" s="101">
        <f>((Tableau!$H$25-Q79)/(AD79^2+Tableau!$G$30^2)^(3/2))*Tableau!$G$29</f>
        <v>-1.2268489586369523E-2</v>
      </c>
      <c r="Z79" s="101">
        <f>((Tableau!$G$35-P79)/(AE79^2+Tableau!$G$40^2)^(3/2))*Tableau!$G$39</f>
        <v>7.2564188774935603E-2</v>
      </c>
      <c r="AA79" s="102">
        <f>((Tableau!$H$35-Q79)/(AE79^2+Tableau!$G$40^2)^(3/2))*Tableau!$G$39</f>
        <v>-3.554228322227436E-2</v>
      </c>
      <c r="AC79" s="113">
        <f>SQRT((Tableau!$G$16-P79)^2+(Tableau!$H$16-Q79)^2)</f>
        <v>2558347.855835774</v>
      </c>
      <c r="AD79" s="114">
        <f>SQRT((Tableau!$G$25-P79)^2+(Tableau!$H$25-Q79)^2)</f>
        <v>2521185.3383734873</v>
      </c>
      <c r="AE79" s="115">
        <f>SQRT((Tableau!$G$35-P79)^2+(Tableau!$H$35-Q79)^2)</f>
        <v>2545603.2338821637</v>
      </c>
    </row>
    <row r="80" spans="2:31" x14ac:dyDescent="0.25">
      <c r="B80" s="20">
        <v>77</v>
      </c>
      <c r="C80" s="21">
        <f>Tableau!$G$17*COS(B80*PI()/180)+Tableau!$G$16</f>
        <v>21124.755271719325</v>
      </c>
      <c r="D80" s="21">
        <f>Tableau!$G$17*SIN(B80*PI()/180)+Tableau!$H$16</f>
        <v>12371.850323926177</v>
      </c>
      <c r="F80" s="28">
        <v>77</v>
      </c>
      <c r="G80" s="29">
        <f>Tableau!$G$26*COS(F80*PI()/180)+Tableau!$G$25</f>
        <v>-19212.671309796471</v>
      </c>
      <c r="H80" s="29">
        <f>Tableau!$G$26*SIN(F80*PI()/180)+Tableau!$H$25</f>
        <v>13410.295226748323</v>
      </c>
      <c r="J80" s="36">
        <v>77</v>
      </c>
      <c r="K80" s="37">
        <f>Tableau!$G$36*COS(J80*PI()/180)+Tableau!$G$35</f>
        <v>-3875.2447282806752</v>
      </c>
      <c r="L80" s="37">
        <f>Tableau!$G$36*SIN(J80*PI()/180)+Tableau!$H$35</f>
        <v>-10128.149676073823</v>
      </c>
      <c r="N80" s="92">
        <v>76</v>
      </c>
      <c r="O80" s="93">
        <v>38</v>
      </c>
      <c r="P80" s="96">
        <f>P79+R79*Tableau!$G$2+((1/2)*T79)*Tableau!$G$2^2</f>
        <v>-2325454.9237364577</v>
      </c>
      <c r="Q80" s="96">
        <f>Q79+S79*Tableau!$G$2+((1/2)*U79)*Tableau!$G$2^2</f>
        <v>1121645.811325534</v>
      </c>
      <c r="R80" s="96">
        <f>R79+T79*Tableau!$G$2</f>
        <v>-68703.061061276443</v>
      </c>
      <c r="S80" s="96">
        <f>S79+U79*Tableau!$G$2</f>
        <v>33803.091549616591</v>
      </c>
      <c r="T80" s="96">
        <f t="shared" si="2"/>
        <v>0.16526831715396739</v>
      </c>
      <c r="U80" s="96">
        <f t="shared" si="3"/>
        <v>-7.9726398376637947E-2</v>
      </c>
      <c r="V80" s="96">
        <f>((Tableau!$G$16-P80)/(AC80^2+Tableau!$G$21^2)^(3/2))*Tableau!$G$20</f>
        <v>7.0144923020400873E-2</v>
      </c>
      <c r="W80" s="96">
        <f>((Tableau!$H$16-Q80)/(AC80^2+Tableau!$G$21^2)^(3/2))*Tableau!$G$20</f>
        <v>-3.3320475008076944E-2</v>
      </c>
      <c r="X80" s="96">
        <f>((Tableau!$G$25-P80)/(AD80^2+Tableau!$G$30^2)^(3/2))*Tableau!$G$29</f>
        <v>2.4694488183708049E-2</v>
      </c>
      <c r="Y80" s="96">
        <f>((Tableau!$H$25-Q80)/(AD80^2+Tableau!$G$30^2)^(3/2))*Tableau!$G$29</f>
        <v>-1.190720498137356E-2</v>
      </c>
      <c r="Z80" s="96">
        <f>((Tableau!$G$35-P80)/(AE80^2+Tableau!$G$40^2)^(3/2))*Tableau!$G$39</f>
        <v>7.0428905949858456E-2</v>
      </c>
      <c r="AA80" s="97">
        <f>((Tableau!$H$35-Q80)/(AE80^2+Tableau!$G$40^2)^(3/2))*Tableau!$G$39</f>
        <v>-3.4498718387187453E-2</v>
      </c>
      <c r="AC80" s="110">
        <f>SQRT((Tableau!$G$16-P80)^2+(Tableau!$H$16-Q80)^2)</f>
        <v>2596628.5233305562</v>
      </c>
      <c r="AD80" s="111">
        <f>SQRT((Tableau!$G$25-P80)^2+(Tableau!$H$25-Q80)^2)</f>
        <v>2559468.4634154569</v>
      </c>
      <c r="AE80" s="112">
        <f>SQRT((Tableau!$G$35-P80)^2+(Tableau!$H$35-Q80)^2)</f>
        <v>2583887.5272535859</v>
      </c>
    </row>
    <row r="81" spans="2:31" x14ac:dyDescent="0.25">
      <c r="B81" s="18">
        <v>78</v>
      </c>
      <c r="C81" s="19">
        <f>Tableau!$G$17*COS(B81*PI()/180)+Tableau!$G$16</f>
        <v>21039.558454088798</v>
      </c>
      <c r="D81" s="19">
        <f>Tableau!$G$17*SIN(B81*PI()/180)+Tableau!$H$16</f>
        <v>12390.738003669028</v>
      </c>
      <c r="F81" s="26">
        <v>78</v>
      </c>
      <c r="G81" s="27">
        <f>Tableau!$G$26*COS(F81*PI()/180)+Tableau!$G$25</f>
        <v>-19272.309082137843</v>
      </c>
      <c r="H81" s="27">
        <f>Tableau!$G$26*SIN(F81*PI()/180)+Tableau!$H$25</f>
        <v>13423.516602568319</v>
      </c>
      <c r="J81" s="34">
        <v>78</v>
      </c>
      <c r="K81" s="35">
        <f>Tableau!$G$36*COS(J81*PI()/180)+Tableau!$G$35</f>
        <v>-3960.4415459112024</v>
      </c>
      <c r="L81" s="35">
        <f>Tableau!$G$36*SIN(J81*PI()/180)+Tableau!$H$35</f>
        <v>-10109.261996330972</v>
      </c>
      <c r="N81" s="98">
        <v>77</v>
      </c>
      <c r="O81" s="99">
        <v>38.5</v>
      </c>
      <c r="P81" s="101">
        <f>P80+R80*Tableau!$G$2+((1/2)*T80)*Tableau!$G$2^2</f>
        <v>-2359806.4336085562</v>
      </c>
      <c r="Q81" s="101">
        <f>Q80+S80*Tableau!$G$2+((1/2)*U80)*Tableau!$G$2^2</f>
        <v>1138547.3471345427</v>
      </c>
      <c r="R81" s="101">
        <f>R80+T80*Tableau!$G$2</f>
        <v>-68702.978427117865</v>
      </c>
      <c r="S81" s="101">
        <f>S80+U80*Tableau!$G$2</f>
        <v>33803.051686417406</v>
      </c>
      <c r="T81" s="101">
        <f t="shared" si="2"/>
        <v>0.16047223717994916</v>
      </c>
      <c r="U81" s="101">
        <f t="shared" si="3"/>
        <v>-7.7435056231994842E-2</v>
      </c>
      <c r="V81" s="101">
        <f>((Tableau!$G$16-P81)/(AC81^2+Tableau!$G$21^2)^(3/2))*Tableau!$G$20</f>
        <v>6.8115079781662397E-2</v>
      </c>
      <c r="W81" s="101">
        <f>((Tableau!$H$16-Q81)/(AC81^2+Tableau!$G$21^2)^(3/2))*Tableau!$G$20</f>
        <v>-3.2372960758025739E-2</v>
      </c>
      <c r="X81" s="101">
        <f>((Tableau!$G$25-P81)/(AD81^2+Tableau!$G$30^2)^(3/2))*Tableau!$G$29</f>
        <v>2.3970650576319977E-2</v>
      </c>
      <c r="Y81" s="101">
        <f>((Tableau!$H$25-Q81)/(AD81^2+Tableau!$G$30^2)^(3/2))*Tableau!$G$29</f>
        <v>-1.1561646180822812E-2</v>
      </c>
      <c r="Z81" s="101">
        <f>((Tableau!$G$35-P81)/(AE81^2+Tableau!$G$40^2)^(3/2))*Tableau!$G$39</f>
        <v>6.8386506821966786E-2</v>
      </c>
      <c r="AA81" s="102">
        <f>((Tableau!$H$35-Q81)/(AE81^2+Tableau!$G$40^2)^(3/2))*Tableau!$G$39</f>
        <v>-3.3500449293146287E-2</v>
      </c>
      <c r="AC81" s="113">
        <f>SQRT((Tableau!$G$16-P81)^2+(Tableau!$H$16-Q81)^2)</f>
        <v>2634909.2513604262</v>
      </c>
      <c r="AD81" s="114">
        <f>SQRT((Tableau!$G$25-P81)^2+(Tableau!$H$25-Q81)^2)</f>
        <v>2597751.5780921788</v>
      </c>
      <c r="AE81" s="115">
        <f>SQRT((Tableau!$G$35-P81)^2+(Tableau!$H$35-Q81)^2)</f>
        <v>2622171.7758082496</v>
      </c>
    </row>
    <row r="82" spans="2:31" x14ac:dyDescent="0.25">
      <c r="B82" s="20">
        <v>79</v>
      </c>
      <c r="C82" s="21">
        <f>Tableau!$G$17*COS(B82*PI()/180)+Tableau!$G$16</f>
        <v>20954.044976882724</v>
      </c>
      <c r="D82" s="21">
        <f>Tableau!$G$17*SIN(B82*PI()/180)+Tableau!$H$16</f>
        <v>12408.13591723832</v>
      </c>
      <c r="F82" s="28">
        <v>79</v>
      </c>
      <c r="G82" s="29">
        <f>Tableau!$G$26*COS(F82*PI()/180)+Tableau!$G$25</f>
        <v>-19332.168516182093</v>
      </c>
      <c r="H82" s="29">
        <f>Tableau!$G$26*SIN(F82*PI()/180)+Tableau!$H$25</f>
        <v>13435.695142066823</v>
      </c>
      <c r="J82" s="36">
        <v>79</v>
      </c>
      <c r="K82" s="37">
        <f>Tableau!$G$36*COS(J82*PI()/180)+Tableau!$G$35</f>
        <v>-4045.9550231172752</v>
      </c>
      <c r="L82" s="37">
        <f>Tableau!$G$36*SIN(J82*PI()/180)+Tableau!$H$35</f>
        <v>-10091.86408276168</v>
      </c>
      <c r="N82" s="92">
        <v>78</v>
      </c>
      <c r="O82" s="93">
        <v>39</v>
      </c>
      <c r="P82" s="96">
        <f>P81+R81*Tableau!$G$2+((1/2)*T81)*Tableau!$G$2^2</f>
        <v>-2394157.9027630854</v>
      </c>
      <c r="Q82" s="96">
        <f>Q81+S81*Tableau!$G$2+((1/2)*U81)*Tableau!$G$2^2</f>
        <v>1155448.8632983693</v>
      </c>
      <c r="R82" s="96">
        <f>R81+T81*Tableau!$G$2</f>
        <v>-68702.898190999273</v>
      </c>
      <c r="S82" s="96">
        <f>S81+U81*Tableau!$G$2</f>
        <v>33803.012968889292</v>
      </c>
      <c r="T82" s="96">
        <f t="shared" si="2"/>
        <v>0.15588194020565235</v>
      </c>
      <c r="U82" s="96">
        <f t="shared" si="3"/>
        <v>-7.5241090106910186E-2</v>
      </c>
      <c r="V82" s="96">
        <f>((Tableau!$G$16-P82)/(AC82^2+Tableau!$G$21^2)^(3/2))*Tableau!$G$20</f>
        <v>6.6172081129631508E-2</v>
      </c>
      <c r="W82" s="96">
        <f>((Tableau!$H$16-Q82)/(AC82^2+Tableau!$G$21^2)^(3/2))*Tableau!$G$20</f>
        <v>-3.1465284531681501E-2</v>
      </c>
      <c r="X82" s="96">
        <f>((Tableau!$G$25-P82)/(AD82^2+Tableau!$G$30^2)^(3/2))*Tableau!$G$29</f>
        <v>2.3278177881428695E-2</v>
      </c>
      <c r="Y82" s="96">
        <f>((Tableau!$H$25-Q82)/(AD82^2+Tableau!$G$30^2)^(3/2))*Tableau!$G$29</f>
        <v>-1.1230913648543665E-2</v>
      </c>
      <c r="Z82" s="96">
        <f>((Tableau!$G$35-P82)/(AE82^2+Tableau!$G$40^2)^(3/2))*Tableau!$G$39</f>
        <v>6.6431681194592154E-2</v>
      </c>
      <c r="AA82" s="97">
        <f>((Tableau!$H$35-Q82)/(AE82^2+Tableau!$G$40^2)^(3/2))*Tableau!$G$39</f>
        <v>-3.254489192668502E-2</v>
      </c>
      <c r="AC82" s="110">
        <f>SQRT((Tableau!$G$16-P82)^2+(Tableau!$H$16-Q82)^2)</f>
        <v>2673190.0366830407</v>
      </c>
      <c r="AD82" s="111">
        <f>SQRT((Tableau!$G$25-P82)^2+(Tableau!$H$25-Q82)^2)</f>
        <v>2636034.6821853346</v>
      </c>
      <c r="AE82" s="112">
        <f>SQRT((Tableau!$G$35-P82)^2+(Tableau!$H$35-Q82)^2)</f>
        <v>2660455.9808295551</v>
      </c>
    </row>
    <row r="83" spans="2:31" x14ac:dyDescent="0.25">
      <c r="B83" s="18">
        <v>80</v>
      </c>
      <c r="C83" s="19">
        <f>Tableau!$G$17*COS(B83*PI()/180)+Tableau!$G$16</f>
        <v>20868.240888334651</v>
      </c>
      <c r="D83" s="19">
        <f>Tableau!$G$17*SIN(B83*PI()/180)+Tableau!$H$16</f>
        <v>12424.038765061039</v>
      </c>
      <c r="F83" s="26">
        <v>80</v>
      </c>
      <c r="G83" s="27">
        <f>Tableau!$G$26*COS(F83*PI()/180)+Tableau!$G$25</f>
        <v>-19392.231378165743</v>
      </c>
      <c r="H83" s="27">
        <f>Tableau!$G$26*SIN(F83*PI()/180)+Tableau!$H$25</f>
        <v>13446.827135542728</v>
      </c>
      <c r="J83" s="34">
        <v>80</v>
      </c>
      <c r="K83" s="35">
        <f>Tableau!$G$36*COS(J83*PI()/180)+Tableau!$G$35</f>
        <v>-4131.7591116653475</v>
      </c>
      <c r="L83" s="35">
        <f>Tableau!$G$36*SIN(J83*PI()/180)+Tableau!$H$35</f>
        <v>-10075.961234938961</v>
      </c>
      <c r="N83" s="98">
        <v>79</v>
      </c>
      <c r="O83" s="99">
        <v>39.5</v>
      </c>
      <c r="P83" s="101">
        <f>P82+R82*Tableau!$G$2+((1/2)*T82)*Tableau!$G$2^2</f>
        <v>-2428509.3323733425</v>
      </c>
      <c r="Q83" s="101">
        <f>Q82+S82*Tableau!$G$2+((1/2)*U82)*Tableau!$G$2^2</f>
        <v>1172350.3603776777</v>
      </c>
      <c r="R83" s="101">
        <f>R82+T82*Tableau!$G$2</f>
        <v>-68702.820250029166</v>
      </c>
      <c r="S83" s="101">
        <f>S82+U82*Tableau!$G$2</f>
        <v>33802.97534834424</v>
      </c>
      <c r="T83" s="101">
        <f t="shared" si="2"/>
        <v>0.15148581994887658</v>
      </c>
      <c r="U83" s="101">
        <f t="shared" si="3"/>
        <v>-7.3139059722438754E-2</v>
      </c>
      <c r="V83" s="101">
        <f>((Tableau!$G$16-P83)/(AC83^2+Tableau!$G$21^2)^(3/2))*Tableau!$G$20</f>
        <v>6.4311043105187371E-2</v>
      </c>
      <c r="W83" s="101">
        <f>((Tableau!$H$16-Q83)/(AC83^2+Tableau!$G$21^2)^(3/2))*Tableau!$G$20</f>
        <v>-3.0595244521583621E-2</v>
      </c>
      <c r="X83" s="101">
        <f>((Tableau!$G$25-P83)/(AD83^2+Tableau!$G$30^2)^(3/2))*Tableau!$G$29</f>
        <v>2.2615283838620839E-2</v>
      </c>
      <c r="Y83" s="101">
        <f>((Tableau!$H$25-Q83)/(AD83^2+Tableau!$G$30^2)^(3/2))*Tableau!$G$29</f>
        <v>-1.0914171253785982E-2</v>
      </c>
      <c r="Z83" s="101">
        <f>((Tableau!$G$35-P83)/(AE83^2+Tableau!$G$40^2)^(3/2))*Tableau!$G$39</f>
        <v>6.4559493005068372E-2</v>
      </c>
      <c r="AA83" s="102">
        <f>((Tableau!$H$35-Q83)/(AE83^2+Tableau!$G$40^2)^(3/2))*Tableau!$G$39</f>
        <v>-3.1629643947069151E-2</v>
      </c>
      <c r="AC83" s="113">
        <f>SQRT((Tableau!$G$16-P83)^2+(Tableau!$H$16-Q83)^2)</f>
        <v>2711470.8762572682</v>
      </c>
      <c r="AD83" s="114">
        <f>SQRT((Tableau!$G$25-P83)^2+(Tableau!$H$25-Q83)^2)</f>
        <v>2674317.7755082888</v>
      </c>
      <c r="AE83" s="115">
        <f>SQRT((Tableau!$G$35-P83)^2+(Tableau!$H$35-Q83)^2)</f>
        <v>2698740.1435465561</v>
      </c>
    </row>
    <row r="84" spans="2:31" x14ac:dyDescent="0.25">
      <c r="B84" s="20">
        <v>81</v>
      </c>
      <c r="C84" s="21">
        <f>Tableau!$G$17*COS(B84*PI()/180)+Tableau!$G$16</f>
        <v>20782.172325201154</v>
      </c>
      <c r="D84" s="21">
        <f>Tableau!$G$17*SIN(B84*PI()/180)+Tableau!$H$16</f>
        <v>12438.441702975688</v>
      </c>
      <c r="F84" s="28">
        <v>81</v>
      </c>
      <c r="G84" s="29">
        <f>Tableau!$G$26*COS(F84*PI()/180)+Tableau!$G$25</f>
        <v>-19452.47937235919</v>
      </c>
      <c r="H84" s="29">
        <f>Tableau!$G$26*SIN(F84*PI()/180)+Tableau!$H$25</f>
        <v>13456.909192082981</v>
      </c>
      <c r="J84" s="36">
        <v>81</v>
      </c>
      <c r="K84" s="37">
        <f>Tableau!$G$36*COS(J84*PI()/180)+Tableau!$G$35</f>
        <v>-4217.8276747988457</v>
      </c>
      <c r="L84" s="37">
        <f>Tableau!$G$36*SIN(J84*PI()/180)+Tableau!$H$35</f>
        <v>-10061.558297024312</v>
      </c>
      <c r="N84" s="92">
        <v>80</v>
      </c>
      <c r="O84" s="93">
        <v>40</v>
      </c>
      <c r="P84" s="96">
        <f>P83+R83*Tableau!$G$2+((1/2)*T83)*Tableau!$G$2^2</f>
        <v>-2462860.7235626294</v>
      </c>
      <c r="Q84" s="96">
        <f>Q83+S83*Tableau!$G$2+((1/2)*U83)*Tableau!$G$2^2</f>
        <v>1189251.8389094672</v>
      </c>
      <c r="R84" s="96">
        <f>R83+T83*Tableau!$G$2</f>
        <v>-68702.744507119191</v>
      </c>
      <c r="S84" s="96">
        <f>S83+U83*Tableau!$G$2</f>
        <v>33802.938778814379</v>
      </c>
      <c r="T84" s="96">
        <f t="shared" si="2"/>
        <v>0.14727307697979478</v>
      </c>
      <c r="U84" s="96">
        <f t="shared" si="3"/>
        <v>-7.112389947291986E-2</v>
      </c>
      <c r="V84" s="96">
        <f>((Tableau!$G$16-P84)/(AC84^2+Tableau!$G$21^2)^(3/2))*Tableau!$G$20</f>
        <v>6.2527420287462804E-2</v>
      </c>
      <c r="W84" s="96">
        <f>((Tableau!$H$16-Q84)/(AC84^2+Tableau!$G$21^2)^(3/2))*Tableau!$G$20</f>
        <v>-2.9760788918094302E-2</v>
      </c>
      <c r="X84" s="96">
        <f>((Tableau!$G$25-P84)/(AD84^2+Tableau!$G$30^2)^(3/2))*Tableau!$G$29</f>
        <v>2.1980307559780046E-2</v>
      </c>
      <c r="Y84" s="96">
        <f>((Tableau!$H$25-Q84)/(AD84^2+Tableau!$G$30^2)^(3/2))*Tableau!$G$29</f>
        <v>-1.0610640983193056E-2</v>
      </c>
      <c r="Z84" s="96">
        <f>((Tableau!$G$35-P84)/(AE84^2+Tableau!$G$40^2)^(3/2))*Tableau!$G$39</f>
        <v>6.2765349132551926E-2</v>
      </c>
      <c r="AA84" s="97">
        <f>((Tableau!$H$35-Q84)/(AE84^2+Tableau!$G$40^2)^(3/2))*Tableau!$G$39</f>
        <v>-3.0752469571632496E-2</v>
      </c>
      <c r="AC84" s="110">
        <f>SQRT((Tableau!$G$16-P84)^2+(Tableau!$H$16-Q84)^2)</f>
        <v>2749751.7672284259</v>
      </c>
      <c r="AD84" s="111">
        <f>SQRT((Tableau!$G$25-P84)^2+(Tableau!$H$25-Q84)^2)</f>
        <v>2712600.8579030372</v>
      </c>
      <c r="AE84" s="112">
        <f>SQRT((Tableau!$G$35-P84)^2+(Tableau!$H$35-Q84)^2)</f>
        <v>2737024.2651369837</v>
      </c>
    </row>
    <row r="85" spans="2:31" x14ac:dyDescent="0.25">
      <c r="B85" s="18">
        <v>82</v>
      </c>
      <c r="C85" s="19">
        <f>Tableau!$G$17*COS(B85*PI()/180)+Tableau!$G$16</f>
        <v>20695.865504800327</v>
      </c>
      <c r="D85" s="19">
        <f>Tableau!$G$17*SIN(B85*PI()/180)+Tableau!$H$16</f>
        <v>12451.340343707852</v>
      </c>
      <c r="F85" s="26">
        <v>82</v>
      </c>
      <c r="G85" s="27">
        <f>Tableau!$G$26*COS(F85*PI()/180)+Tableau!$G$25</f>
        <v>-19512.89414663977</v>
      </c>
      <c r="H85" s="27">
        <f>Tableau!$G$26*SIN(F85*PI()/180)+Tableau!$H$25</f>
        <v>13465.938240595497</v>
      </c>
      <c r="J85" s="34">
        <v>82</v>
      </c>
      <c r="K85" s="35">
        <f>Tableau!$G$36*COS(J85*PI()/180)+Tableau!$G$35</f>
        <v>-4304.1344951996716</v>
      </c>
      <c r="L85" s="35">
        <f>Tableau!$G$36*SIN(J85*PI()/180)+Tableau!$H$35</f>
        <v>-10048.659656292148</v>
      </c>
      <c r="N85" s="98">
        <v>81</v>
      </c>
      <c r="O85" s="99">
        <v>40.5</v>
      </c>
      <c r="P85" s="101">
        <f>P84+R84*Tableau!$G$2+((1/2)*T84)*Tableau!$G$2^2</f>
        <v>-2497212.0774070541</v>
      </c>
      <c r="Q85" s="101">
        <f>Q84+S84*Tableau!$G$2+((1/2)*U84)*Tableau!$G$2^2</f>
        <v>1206153.2994083869</v>
      </c>
      <c r="R85" s="101">
        <f>R84+T84*Tableau!$G$2</f>
        <v>-68702.670870580696</v>
      </c>
      <c r="S85" s="101">
        <f>S84+U84*Tableau!$G$2</f>
        <v>33802.903216864644</v>
      </c>
      <c r="T85" s="101">
        <f t="shared" si="2"/>
        <v>0.14323365233636462</v>
      </c>
      <c r="U85" s="101">
        <f t="shared" si="3"/>
        <v>-6.9190887883783497E-2</v>
      </c>
      <c r="V85" s="101">
        <f>((Tableau!$G$16-P85)/(AC85^2+Tableau!$G$21^2)^(3/2))*Tableau!$G$20</f>
        <v>6.0816978021950199E-2</v>
      </c>
      <c r="W85" s="101">
        <f>((Tableau!$H$16-Q85)/(AC85^2+Tableau!$G$21^2)^(3/2))*Tableau!$G$20</f>
        <v>-2.8960003815470998E-2</v>
      </c>
      <c r="X85" s="101">
        <f>((Tableau!$G$25-P85)/(AD85^2+Tableau!$G$30^2)^(3/2))*Tableau!$G$29</f>
        <v>2.1371703116206224E-2</v>
      </c>
      <c r="Y85" s="101">
        <f>((Tableau!$H$25-Q85)/(AD85^2+Tableau!$G$30^2)^(3/2))*Tableau!$G$29</f>
        <v>-1.0319598160196577E-2</v>
      </c>
      <c r="Z85" s="101">
        <f>((Tableau!$G$35-P85)/(AE85^2+Tableau!$G$40^2)^(3/2))*Tableau!$G$39</f>
        <v>6.104497119820821E-2</v>
      </c>
      <c r="AA85" s="102">
        <f>((Tableau!$H$35-Q85)/(AE85^2+Tableau!$G$40^2)^(3/2))*Tableau!$G$39</f>
        <v>-2.9911285908115919E-2</v>
      </c>
      <c r="AC85" s="113">
        <f>SQRT((Tableau!$G$16-P85)^2+(Tableau!$H$16-Q85)^2)</f>
        <v>2788032.7069147788</v>
      </c>
      <c r="AD85" s="114">
        <f>SQRT((Tableau!$G$25-P85)^2+(Tableau!$H$25-Q85)^2)</f>
        <v>2750883.929237463</v>
      </c>
      <c r="AE85" s="115">
        <f>SQRT((Tableau!$G$35-P85)^2+(Tableau!$H$35-Q85)^2)</f>
        <v>2775308.346730066</v>
      </c>
    </row>
    <row r="86" spans="2:31" x14ac:dyDescent="0.25">
      <c r="B86" s="20">
        <v>83</v>
      </c>
      <c r="C86" s="21">
        <f>Tableau!$G$17*COS(B86*PI()/180)+Tableau!$G$16</f>
        <v>20609.346717025739</v>
      </c>
      <c r="D86" s="21">
        <f>Tableau!$G$17*SIN(B86*PI()/180)+Tableau!$H$16</f>
        <v>12462.73075820661</v>
      </c>
      <c r="F86" s="28">
        <v>83</v>
      </c>
      <c r="G86" s="29">
        <f>Tableau!$G$26*COS(F86*PI()/180)+Tableau!$G$25</f>
        <v>-19573.457298081983</v>
      </c>
      <c r="H86" s="29">
        <f>Tableau!$G$26*SIN(F86*PI()/180)+Tableau!$H$25</f>
        <v>13473.911530744626</v>
      </c>
      <c r="J86" s="36">
        <v>83</v>
      </c>
      <c r="K86" s="37">
        <f>Tableau!$G$36*COS(J86*PI()/180)+Tableau!$G$35</f>
        <v>-4390.6532829742628</v>
      </c>
      <c r="L86" s="37">
        <f>Tableau!$G$36*SIN(J86*PI()/180)+Tableau!$H$35</f>
        <v>-10037.26924179339</v>
      </c>
      <c r="N86" s="92">
        <v>82</v>
      </c>
      <c r="O86" s="93">
        <v>41</v>
      </c>
      <c r="P86" s="96">
        <f>P85+R85*Tableau!$G$2+((1/2)*T85)*Tableau!$G$2^2</f>
        <v>-2531563.3949381378</v>
      </c>
      <c r="Q86" s="96">
        <f>Q85+S85*Tableau!$G$2+((1/2)*U85)*Tableau!$G$2^2</f>
        <v>1223054.7423679582</v>
      </c>
      <c r="R86" s="96">
        <f>R85+T85*Tableau!$G$2</f>
        <v>-68702.599253754524</v>
      </c>
      <c r="S86" s="96">
        <f>S85+U85*Tableau!$G$2</f>
        <v>33802.868621420705</v>
      </c>
      <c r="T86" s="96">
        <f t="shared" si="2"/>
        <v>0.1393581674255327</v>
      </c>
      <c r="U86" s="96">
        <f t="shared" si="3"/>
        <v>-6.7335619934917934E-2</v>
      </c>
      <c r="V86" s="96">
        <f>((Tableau!$G$16-P86)/(AC86^2+Tableau!$G$21^2)^(3/2))*Tableau!$G$20</f>
        <v>5.9175767270492272E-2</v>
      </c>
      <c r="W86" s="96">
        <f>((Tableau!$H$16-Q86)/(AC86^2+Tableau!$G$21^2)^(3/2))*Tableau!$G$20</f>
        <v>-2.819110224014381E-2</v>
      </c>
      <c r="X86" s="96">
        <f>((Tableau!$G$25-P86)/(AD86^2+Tableau!$G$30^2)^(3/2))*Tableau!$G$29</f>
        <v>2.0788030120911606E-2</v>
      </c>
      <c r="Y86" s="96">
        <f>((Tableau!$H$25-Q86)/(AD86^2+Tableau!$G$30^2)^(3/2))*Tableau!$G$29</f>
        <v>-1.0040367116945063E-2</v>
      </c>
      <c r="Z86" s="96">
        <f>((Tableau!$G$35-P86)/(AE86^2+Tableau!$G$40^2)^(3/2))*Tableau!$G$39</f>
        <v>5.9394370034128827E-2</v>
      </c>
      <c r="AA86" s="97">
        <f>((Tableau!$H$35-Q86)/(AE86^2+Tableau!$G$40^2)^(3/2))*Tableau!$G$39</f>
        <v>-2.9104150577829054E-2</v>
      </c>
      <c r="AC86" s="110">
        <f>SQRT((Tableau!$G$16-P86)^2+(Tableau!$H$16-Q86)^2)</f>
        <v>2826313.6927951695</v>
      </c>
      <c r="AD86" s="111">
        <f>SQRT((Tableau!$G$25-P86)^2+(Tableau!$H$25-Q86)^2)</f>
        <v>2789166.9894028534</v>
      </c>
      <c r="AE86" s="112">
        <f>SQRT((Tableau!$G$35-P86)^2+(Tableau!$H$35-Q86)^2)</f>
        <v>2813592.3894091556</v>
      </c>
    </row>
    <row r="87" spans="2:31" x14ac:dyDescent="0.25">
      <c r="B87" s="18">
        <v>84</v>
      </c>
      <c r="C87" s="19">
        <f>Tableau!$G$17*COS(B87*PI()/180)+Tableau!$G$16</f>
        <v>20522.642316338268</v>
      </c>
      <c r="D87" s="19">
        <f>Tableau!$G$17*SIN(B87*PI()/180)+Tableau!$H$16</f>
        <v>12472.609476841368</v>
      </c>
      <c r="F87" s="26">
        <v>84</v>
      </c>
      <c r="G87" s="27">
        <f>Tableau!$G$26*COS(F87*PI()/180)+Tableau!$G$25</f>
        <v>-19634.150378563212</v>
      </c>
      <c r="H87" s="27">
        <f>Tableau!$G$26*SIN(F87*PI()/180)+Tableau!$H$25</f>
        <v>13480.826633788956</v>
      </c>
      <c r="J87" s="34">
        <v>84</v>
      </c>
      <c r="K87" s="35">
        <f>Tableau!$G$36*COS(J87*PI()/180)+Tableau!$G$35</f>
        <v>-4477.3576836617331</v>
      </c>
      <c r="L87" s="35">
        <f>Tableau!$G$36*SIN(J87*PI()/180)+Tableau!$H$35</f>
        <v>-10027.390523158632</v>
      </c>
      <c r="N87" s="98">
        <v>83</v>
      </c>
      <c r="O87" s="99">
        <v>41.5</v>
      </c>
      <c r="P87" s="101">
        <f>P86+R86*Tableau!$G$2+((1/2)*T86)*Tableau!$G$2^2</f>
        <v>-2565914.6771452441</v>
      </c>
      <c r="Q87" s="101">
        <f>Q86+S86*Tableau!$G$2+((1/2)*U86)*Tableau!$G$2^2</f>
        <v>1239956.1682617159</v>
      </c>
      <c r="R87" s="101">
        <f>R86+T86*Tableau!$G$2</f>
        <v>-68702.529574670814</v>
      </c>
      <c r="S87" s="101">
        <f>S86+U86*Tableau!$G$2</f>
        <v>33802.834953610734</v>
      </c>
      <c r="T87" s="101">
        <f t="shared" si="2"/>
        <v>0.13563786953911344</v>
      </c>
      <c r="U87" s="101">
        <f t="shared" si="3"/>
        <v>-6.5553981946414763E-2</v>
      </c>
      <c r="V87" s="101">
        <f>((Tableau!$G$16-P87)/(AC87^2+Tableau!$G$21^2)^(3/2))*Tableau!$G$20</f>
        <v>5.7600101804053068E-2</v>
      </c>
      <c r="W87" s="101">
        <f>((Tableau!$H$16-Q87)/(AC87^2+Tableau!$G$21^2)^(3/2))*Tableau!$G$20</f>
        <v>-2.7452414183780395E-2</v>
      </c>
      <c r="X87" s="101">
        <f>((Tableau!$G$25-P87)/(AD87^2+Tableau!$G$30^2)^(3/2))*Tableau!$G$29</f>
        <v>2.0227945198869071E-2</v>
      </c>
      <c r="Y87" s="101">
        <f>((Tableau!$H$25-Q87)/(AD87^2+Tableau!$G$30^2)^(3/2))*Tableau!$G$29</f>
        <v>-9.7723172704697863E-3</v>
      </c>
      <c r="Z87" s="101">
        <f>((Tableau!$G$35-P87)/(AE87^2+Tableau!$G$40^2)^(3/2))*Tableau!$G$39</f>
        <v>5.780982253619129E-2</v>
      </c>
      <c r="AA87" s="102">
        <f>((Tableau!$H$35-Q87)/(AE87^2+Tableau!$G$40^2)^(3/2))*Tableau!$G$39</f>
        <v>-2.8329250492164587E-2</v>
      </c>
      <c r="AC87" s="113">
        <f>SQRT((Tableau!$G$16-P87)^2+(Tableau!$H$16-Q87)^2)</f>
        <v>2864594.722497677</v>
      </c>
      <c r="AD87" s="114">
        <f>SQRT((Tableau!$G$25-P87)^2+(Tableau!$H$25-Q87)^2)</f>
        <v>2827450.0383116612</v>
      </c>
      <c r="AE87" s="115">
        <f>SQRT((Tableau!$G$35-P87)^2+(Tableau!$H$35-Q87)^2)</f>
        <v>2851876.3942141775</v>
      </c>
    </row>
    <row r="88" spans="2:31" x14ac:dyDescent="0.25">
      <c r="B88" s="20">
        <v>85</v>
      </c>
      <c r="C88" s="21">
        <f>Tableau!$G$17*COS(B88*PI()/180)+Tableau!$G$16</f>
        <v>20435.778713738291</v>
      </c>
      <c r="D88" s="21">
        <f>Tableau!$G$17*SIN(B88*PI()/180)+Tableau!$H$16</f>
        <v>12480.973490458728</v>
      </c>
      <c r="F88" s="28">
        <v>85</v>
      </c>
      <c r="G88" s="29">
        <f>Tableau!$G$26*COS(F88*PI()/180)+Tableau!$G$25</f>
        <v>-19694.954900383196</v>
      </c>
      <c r="H88" s="29">
        <f>Tableau!$G$26*SIN(F88*PI()/180)+Tableau!$H$25</f>
        <v>13486.681443321109</v>
      </c>
      <c r="J88" s="36">
        <v>85</v>
      </c>
      <c r="K88" s="37">
        <f>Tableau!$G$36*COS(J88*PI()/180)+Tableau!$G$35</f>
        <v>-4564.2212862617089</v>
      </c>
      <c r="L88" s="37">
        <f>Tableau!$G$36*SIN(J88*PI()/180)+Tableau!$H$35</f>
        <v>-10019.026509541272</v>
      </c>
      <c r="N88" s="92">
        <v>84</v>
      </c>
      <c r="O88" s="93">
        <v>42</v>
      </c>
      <c r="P88" s="96">
        <f>P87+R87*Tableau!$G$2+((1/2)*T87)*Tableau!$G$2^2</f>
        <v>-2600265.924977846</v>
      </c>
      <c r="Q88" s="96">
        <f>Q87+S87*Tableau!$G$2+((1/2)*U87)*Tableau!$G$2^2</f>
        <v>1256857.5775442736</v>
      </c>
      <c r="R88" s="96">
        <f>R87+T87*Tableau!$G$2</f>
        <v>-68702.461755736047</v>
      </c>
      <c r="S88" s="96">
        <f>S87+U87*Tableau!$G$2</f>
        <v>33802.802176619763</v>
      </c>
      <c r="T88" s="96">
        <f t="shared" si="2"/>
        <v>0.13206458239277458</v>
      </c>
      <c r="U88" s="96">
        <f t="shared" si="3"/>
        <v>-6.3842128759123068E-2</v>
      </c>
      <c r="V88" s="96">
        <f>((Tableau!$G$16-P88)/(AC88^2+Tableau!$G$21^2)^(3/2))*Tableau!$G$20</f>
        <v>5.608653749215993E-2</v>
      </c>
      <c r="W88" s="96">
        <f>((Tableau!$H$16-Q88)/(AC88^2+Tableau!$G$21^2)^(3/2))*Tableau!$G$20</f>
        <v>-2.6742377537365206E-2</v>
      </c>
      <c r="X88" s="96">
        <f>((Tableau!$G$25-P88)/(AD88^2+Tableau!$G$30^2)^(3/2))*Tableau!$G$29</f>
        <v>1.9690194250801055E-2</v>
      </c>
      <c r="Y88" s="96">
        <f>((Tableau!$H$25-Q88)/(AD88^2+Tableau!$G$30^2)^(3/2))*Tableau!$G$29</f>
        <v>-9.5148595605085862E-3</v>
      </c>
      <c r="Z88" s="96">
        <f>((Tableau!$G$35-P88)/(AE88^2+Tableau!$G$40^2)^(3/2))*Tableau!$G$39</f>
        <v>5.6287850649813585E-2</v>
      </c>
      <c r="AA88" s="97">
        <f>((Tableau!$H$35-Q88)/(AE88^2+Tableau!$G$40^2)^(3/2))*Tableau!$G$39</f>
        <v>-2.7584891661249274E-2</v>
      </c>
      <c r="AC88" s="110">
        <f>SQRT((Tableau!$G$16-P88)^2+(Tableau!$H$16-Q88)^2)</f>
        <v>2902875.7937892042</v>
      </c>
      <c r="AD88" s="111">
        <f>SQRT((Tableau!$G$25-P88)^2+(Tableau!$H$25-Q88)^2)</f>
        <v>2865733.0758954771</v>
      </c>
      <c r="AE88" s="112">
        <f>SQRT((Tableau!$G$35-P88)^2+(Tableau!$H$35-Q88)^2)</f>
        <v>2890160.3621439249</v>
      </c>
    </row>
    <row r="89" spans="2:31" x14ac:dyDescent="0.25">
      <c r="B89" s="18">
        <v>86</v>
      </c>
      <c r="C89" s="19">
        <f>Tableau!$G$17*COS(B89*PI()/180)+Tableau!$G$16</f>
        <v>20348.782368720626</v>
      </c>
      <c r="D89" s="19">
        <f>Tableau!$G$17*SIN(B89*PI()/180)+Tableau!$H$16</f>
        <v>12487.820251299121</v>
      </c>
      <c r="F89" s="26">
        <v>86</v>
      </c>
      <c r="G89" s="27">
        <f>Tableau!$G$26*COS(F89*PI()/180)+Tableau!$G$25</f>
        <v>-19755.852341895559</v>
      </c>
      <c r="H89" s="27">
        <f>Tableau!$G$26*SIN(F89*PI()/180)+Tableau!$H$25</f>
        <v>13491.474175909385</v>
      </c>
      <c r="J89" s="34">
        <v>86</v>
      </c>
      <c r="K89" s="35">
        <f>Tableau!$G$36*COS(J89*PI()/180)+Tableau!$G$35</f>
        <v>-4651.2176312793727</v>
      </c>
      <c r="L89" s="35">
        <f>Tableau!$G$36*SIN(J89*PI()/180)+Tableau!$H$35</f>
        <v>-10012.179748700879</v>
      </c>
      <c r="N89" s="98">
        <v>85</v>
      </c>
      <c r="O89" s="99">
        <v>42.5</v>
      </c>
      <c r="P89" s="101">
        <f>P88+R88*Tableau!$G$2+((1/2)*T88)*Tableau!$G$2^2</f>
        <v>-2634617.1393476413</v>
      </c>
      <c r="Q89" s="101">
        <f>Q88+S88*Tableau!$G$2+((1/2)*U88)*Tableau!$G$2^2</f>
        <v>1273758.9706523174</v>
      </c>
      <c r="R89" s="101">
        <f>R88+T88*Tableau!$G$2</f>
        <v>-68702.395723444846</v>
      </c>
      <c r="S89" s="101">
        <f>S88+U88*Tableau!$G$2</f>
        <v>33802.770255555384</v>
      </c>
      <c r="T89" s="101">
        <f t="shared" si="2"/>
        <v>0.12863066116576355</v>
      </c>
      <c r="U89" s="101">
        <f t="shared" si="3"/>
        <v>-6.2196462973468807E-2</v>
      </c>
      <c r="V89" s="101">
        <f>((Tableau!$G$16-P89)/(AC89^2+Tableau!$G$21^2)^(3/2))*Tableau!$G$20</f>
        <v>5.463185347160452E-2</v>
      </c>
      <c r="W89" s="101">
        <f>((Tableau!$H$16-Q89)/(AC89^2+Tableau!$G$21^2)^(3/2))*Tableau!$G$20</f>
        <v>-2.6059529834416093E-2</v>
      </c>
      <c r="X89" s="101">
        <f>((Tableau!$G$25-P89)/(AD89^2+Tableau!$G$30^2)^(3/2))*Tableau!$G$29</f>
        <v>1.9173605427251446E-2</v>
      </c>
      <c r="Y89" s="101">
        <f>((Tableau!$H$25-Q89)/(AD89^2+Tableau!$G$30^2)^(3/2))*Tableau!$G$29</f>
        <v>-9.2674432113921939E-3</v>
      </c>
      <c r="Z89" s="101">
        <f>((Tableau!$G$35-P89)/(AE89^2+Tableau!$G$40^2)^(3/2))*Tableau!$G$39</f>
        <v>5.4825202266907583E-2</v>
      </c>
      <c r="AA89" s="102">
        <f>((Tableau!$H$35-Q89)/(AE89^2+Tableau!$G$40^2)^(3/2))*Tableau!$G$39</f>
        <v>-2.6869489927660521E-2</v>
      </c>
      <c r="AC89" s="113">
        <f>SQRT((Tableau!$G$16-P89)^2+(Tableau!$H$16-Q89)^2)</f>
        <v>2941156.9045659094</v>
      </c>
      <c r="AD89" s="114">
        <f>SQRT((Tableau!$G$25-P89)^2+(Tableau!$H$25-Q89)^2)</f>
        <v>2904016.1021031975</v>
      </c>
      <c r="AE89" s="115">
        <f>SQRT((Tableau!$G$35-P89)^2+(Tableau!$H$35-Q89)^2)</f>
        <v>2928444.2941581956</v>
      </c>
    </row>
    <row r="90" spans="2:31" x14ac:dyDescent="0.25">
      <c r="B90" s="20">
        <v>87</v>
      </c>
      <c r="C90" s="21">
        <f>Tableau!$G$17*COS(B90*PI()/180)+Tableau!$G$16</f>
        <v>20261.67978121472</v>
      </c>
      <c r="D90" s="21">
        <f>Tableau!$G$17*SIN(B90*PI()/180)+Tableau!$H$16</f>
        <v>12493.14767377287</v>
      </c>
      <c r="F90" s="28">
        <v>87</v>
      </c>
      <c r="G90" s="29">
        <f>Tableau!$G$26*COS(F90*PI()/180)+Tableau!$G$25</f>
        <v>-19816.824153149697</v>
      </c>
      <c r="H90" s="29">
        <f>Tableau!$G$26*SIN(F90*PI()/180)+Tableau!$H$25</f>
        <v>13495.203371641008</v>
      </c>
      <c r="J90" s="36">
        <v>87</v>
      </c>
      <c r="K90" s="37">
        <f>Tableau!$G$36*COS(J90*PI()/180)+Tableau!$G$35</f>
        <v>-4738.3202187852803</v>
      </c>
      <c r="L90" s="37">
        <f>Tableau!$G$36*SIN(J90*PI()/180)+Tableau!$H$35</f>
        <v>-10006.85232622713</v>
      </c>
      <c r="N90" s="92">
        <v>86</v>
      </c>
      <c r="O90" s="93">
        <v>43</v>
      </c>
      <c r="P90" s="96">
        <f>P89+R89*Tableau!$G$2+((1/2)*T89)*Tableau!$G$2^2</f>
        <v>-2668968.3211305309</v>
      </c>
      <c r="Q90" s="96">
        <f>Q89+S89*Tableau!$G$2+((1/2)*U89)*Tableau!$G$2^2</f>
        <v>1290660.3480055372</v>
      </c>
      <c r="R90" s="96">
        <f>R89+T89*Tableau!$G$2</f>
        <v>-68702.33140811426</v>
      </c>
      <c r="S90" s="96">
        <f>S89+U89*Tableau!$G$2</f>
        <v>33802.7391573239</v>
      </c>
      <c r="T90" s="96">
        <f t="shared" si="2"/>
        <v>0.12532895157934459</v>
      </c>
      <c r="U90" s="96">
        <f t="shared" si="3"/>
        <v>-6.0613616037079959E-2</v>
      </c>
      <c r="V90" s="96">
        <f>((Tableau!$G$16-P90)/(AC90^2+Tableau!$G$21^2)^(3/2))*Tableau!$G$20</f>
        <v>5.3233035002028237E-2</v>
      </c>
      <c r="W90" s="96">
        <f>((Tableau!$H$16-Q90)/(AC90^2+Tableau!$G$21^2)^(3/2))*Tableau!$G$20</f>
        <v>-2.5402500721866138E-2</v>
      </c>
      <c r="X90" s="96">
        <f>((Tableau!$G$25-P90)/(AD90^2+Tableau!$G$30^2)^(3/2))*Tableau!$G$29</f>
        <v>1.8677082739375888E-2</v>
      </c>
      <c r="Y90" s="96">
        <f>((Tableau!$H$25-Q90)/(AD90^2+Tableau!$G$30^2)^(3/2))*Tableau!$G$29</f>
        <v>-9.0295527847343796E-3</v>
      </c>
      <c r="Z90" s="96">
        <f>((Tableau!$G$35-P90)/(AE90^2+Tableau!$G$40^2)^(3/2))*Tableau!$G$39</f>
        <v>5.341883383794048E-2</v>
      </c>
      <c r="AA90" s="97">
        <f>((Tableau!$H$35-Q90)/(AE90^2+Tableau!$G$40^2)^(3/2))*Tableau!$G$39</f>
        <v>-2.618156253047944E-2</v>
      </c>
      <c r="AC90" s="110">
        <f>SQRT((Tableau!$G$16-P90)^2+(Tableau!$H$16-Q90)^2)</f>
        <v>2979438.052844401</v>
      </c>
      <c r="AD90" s="111">
        <f>SQRT((Tableau!$G$25-P90)^2+(Tableau!$H$25-Q90)^2)</f>
        <v>2942299.1168993623</v>
      </c>
      <c r="AE90" s="112">
        <f>SQRT((Tableau!$G$35-P90)^2+(Tableau!$H$35-Q90)^2)</f>
        <v>2966728.1911797989</v>
      </c>
    </row>
    <row r="91" spans="2:31" x14ac:dyDescent="0.25">
      <c r="B91" s="18">
        <v>88</v>
      </c>
      <c r="C91" s="19">
        <f>Tableau!$G$17*COS(B91*PI()/180)+Tableau!$G$16</f>
        <v>20174.497483512507</v>
      </c>
      <c r="D91" s="19">
        <f>Tableau!$G$17*SIN(B91*PI()/180)+Tableau!$H$16</f>
        <v>12496.954135095479</v>
      </c>
      <c r="F91" s="26">
        <v>88</v>
      </c>
      <c r="G91" s="27">
        <f>Tableau!$G$26*COS(F91*PI()/180)+Tableau!$G$25</f>
        <v>-19877.851761541246</v>
      </c>
      <c r="H91" s="27">
        <f>Tableau!$G$26*SIN(F91*PI()/180)+Tableau!$H$25</f>
        <v>13497.867894566836</v>
      </c>
      <c r="J91" s="34">
        <v>88</v>
      </c>
      <c r="K91" s="35">
        <f>Tableau!$G$36*COS(J91*PI()/180)+Tableau!$G$35</f>
        <v>-4825.5025164874942</v>
      </c>
      <c r="L91" s="35">
        <f>Tableau!$G$36*SIN(J91*PI()/180)+Tableau!$H$35</f>
        <v>-10003.045864904521</v>
      </c>
      <c r="N91" s="98">
        <v>87</v>
      </c>
      <c r="O91" s="99">
        <v>43.5</v>
      </c>
      <c r="P91" s="101">
        <f>P90+R90*Tableau!$G$2+((1/2)*T90)*Tableau!$G$2^2</f>
        <v>-2703319.4711684692</v>
      </c>
      <c r="Q91" s="101">
        <f>Q90+S90*Tableau!$G$2+((1/2)*U90)*Tableau!$G$2^2</f>
        <v>1307561.7100074971</v>
      </c>
      <c r="R91" s="101">
        <f>R90+T90*Tableau!$G$2</f>
        <v>-68702.268743638473</v>
      </c>
      <c r="S91" s="101">
        <f>S90+U90*Tableau!$G$2</f>
        <v>33802.708850515883</v>
      </c>
      <c r="T91" s="101">
        <f t="shared" si="2"/>
        <v>0.12215275260458619</v>
      </c>
      <c r="U91" s="101">
        <f t="shared" si="3"/>
        <v>-5.9090430995429141E-2</v>
      </c>
      <c r="V91" s="101">
        <f>((Tableau!$G$16-P91)/(AC91^2+Tableau!$G$21^2)^(3/2))*Tableau!$G$20</f>
        <v>5.1887257837899083E-2</v>
      </c>
      <c r="W91" s="101">
        <f>((Tableau!$H$16-Q91)/(AC91^2+Tableau!$G$21^2)^(3/2))*Tableau!$G$20</f>
        <v>-2.4770005086254536E-2</v>
      </c>
      <c r="X91" s="101">
        <f>((Tableau!$G$25-P91)/(AD91^2+Tableau!$G$30^2)^(3/2))*Tableau!$G$29</f>
        <v>1.8199600241351983E-2</v>
      </c>
      <c r="Y91" s="101">
        <f>((Tableau!$H$25-Q91)/(AD91^2+Tableau!$G$30^2)^(3/2))*Tableau!$G$29</f>
        <v>-8.8007054934603757E-3</v>
      </c>
      <c r="Z91" s="101">
        <f>((Tableau!$G$35-P91)/(AE91^2+Tableau!$G$40^2)^(3/2))*Tableau!$G$39</f>
        <v>5.2065894525335117E-2</v>
      </c>
      <c r="AA91" s="102">
        <f>((Tableau!$H$35-Q91)/(AE91^2+Tableau!$G$40^2)^(3/2))*Tableau!$G$39</f>
        <v>-2.5519720415714226E-2</v>
      </c>
      <c r="AC91" s="113">
        <f>SQRT((Tableau!$G$16-P91)^2+(Tableau!$H$16-Q91)^2)</f>
        <v>3017719.2367536328</v>
      </c>
      <c r="AD91" s="114">
        <f>SQRT((Tableau!$G$25-P91)^2+(Tableau!$H$25-Q91)^2)</f>
        <v>2980582.1202626536</v>
      </c>
      <c r="AE91" s="115">
        <f>SQRT((Tableau!$G$35-P91)^2+(Tableau!$H$35-Q91)^2)</f>
        <v>3005012.0540964296</v>
      </c>
    </row>
    <row r="92" spans="2:31" x14ac:dyDescent="0.25">
      <c r="B92" s="20">
        <v>89</v>
      </c>
      <c r="C92" s="21">
        <f>Tableau!$G$17*COS(B92*PI()/180)+Tableau!$G$16</f>
        <v>20087.262032186416</v>
      </c>
      <c r="D92" s="21">
        <f>Tableau!$G$17*SIN(B92*PI()/180)+Tableau!$H$16</f>
        <v>12499.238475781956</v>
      </c>
      <c r="F92" s="28">
        <v>89</v>
      </c>
      <c r="G92" s="29">
        <f>Tableau!$G$26*COS(F92*PI()/180)+Tableau!$G$25</f>
        <v>-19938.916577469507</v>
      </c>
      <c r="H92" s="29">
        <f>Tableau!$G$26*SIN(F92*PI()/180)+Tableau!$H$25</f>
        <v>13499.46693304737</v>
      </c>
      <c r="J92" s="36">
        <v>89</v>
      </c>
      <c r="K92" s="37">
        <f>Tableau!$G$36*COS(J92*PI()/180)+Tableau!$G$35</f>
        <v>-4912.7379678135831</v>
      </c>
      <c r="L92" s="37">
        <f>Tableau!$G$36*SIN(J92*PI()/180)+Tableau!$H$35</f>
        <v>-10000.761524218044</v>
      </c>
      <c r="N92" s="92">
        <v>88</v>
      </c>
      <c r="O92" s="93">
        <v>44</v>
      </c>
      <c r="P92" s="96">
        <f>P91+R91*Tableau!$G$2+((1/2)*T91)*Tableau!$G$2^2</f>
        <v>-2737670.5902711945</v>
      </c>
      <c r="Q92" s="96">
        <f>Q91+S91*Tableau!$G$2+((1/2)*U91)*Tableau!$G$2^2</f>
        <v>1324463.0570464511</v>
      </c>
      <c r="R92" s="96">
        <f>R91+T91*Tableau!$G$2</f>
        <v>-68702.207667262177</v>
      </c>
      <c r="S92" s="96">
        <f>S91+U91*Tableau!$G$2</f>
        <v>33802.679305300386</v>
      </c>
      <c r="T92" s="96">
        <f t="shared" si="2"/>
        <v>0.1190957824362366</v>
      </c>
      <c r="U92" s="96">
        <f t="shared" si="3"/>
        <v>-5.7623946740450585E-2</v>
      </c>
      <c r="V92" s="96">
        <f>((Tableau!$G$16-P92)/(AC92^2+Tableau!$G$21^2)^(3/2))*Tableau!$G$20</f>
        <v>5.0591873965511451E-2</v>
      </c>
      <c r="W92" s="96">
        <f>((Tableau!$H$16-Q92)/(AC92^2+Tableau!$G$21^2)^(3/2))*Tableau!$G$20</f>
        <v>-2.4160836770854649E-2</v>
      </c>
      <c r="X92" s="96">
        <f>((Tableau!$G$25-P92)/(AD92^2+Tableau!$G$30^2)^(3/2))*Tableau!$G$29</f>
        <v>1.7740196726700075E-2</v>
      </c>
      <c r="Y92" s="96">
        <f>((Tableau!$H$25-Q92)/(AD92^2+Tableau!$G$30^2)^(3/2))*Tableau!$G$29</f>
        <v>-8.580448751022712E-3</v>
      </c>
      <c r="Z92" s="96">
        <f>((Tableau!$G$35-P92)/(AE92^2+Tableau!$G$40^2)^(3/2))*Tableau!$G$39</f>
        <v>5.0763711744025067E-2</v>
      </c>
      <c r="AA92" s="97">
        <f>((Tableau!$H$35-Q92)/(AE92^2+Tableau!$G$40^2)^(3/2))*Tableau!$G$39</f>
        <v>-2.4882661218573222E-2</v>
      </c>
      <c r="AC92" s="110">
        <f>SQRT((Tableau!$G$16-P92)^2+(Tableau!$H$16-Q92)^2)</f>
        <v>3056000.4545274223</v>
      </c>
      <c r="AD92" s="111">
        <f>SQRT((Tableau!$G$25-P92)^2+(Tableau!$H$25-Q92)^2)</f>
        <v>3018865.112184525</v>
      </c>
      <c r="AE92" s="112">
        <f>SQRT((Tableau!$G$35-P92)^2+(Tableau!$H$35-Q92)^2)</f>
        <v>3043295.8837624285</v>
      </c>
    </row>
    <row r="93" spans="2:31" x14ac:dyDescent="0.25">
      <c r="B93" s="18">
        <v>90</v>
      </c>
      <c r="C93" s="19">
        <f>Tableau!$G$17*COS(B93*PI()/180)+Tableau!$G$16</f>
        <v>20000</v>
      </c>
      <c r="D93" s="19">
        <f>Tableau!$G$17*SIN(B93*PI()/180)+Tableau!$H$16</f>
        <v>12500</v>
      </c>
      <c r="F93" s="26">
        <v>90</v>
      </c>
      <c r="G93" s="27">
        <f>Tableau!$G$26*COS(F93*PI()/180)+Tableau!$G$25</f>
        <v>-20000</v>
      </c>
      <c r="H93" s="27">
        <f>Tableau!$G$26*SIN(F93*PI()/180)+Tableau!$H$25</f>
        <v>13500</v>
      </c>
      <c r="J93" s="34">
        <v>90</v>
      </c>
      <c r="K93" s="35">
        <f>Tableau!$G$36*COS(J93*PI()/180)+Tableau!$G$35</f>
        <v>-5000</v>
      </c>
      <c r="L93" s="35">
        <f>Tableau!$G$36*SIN(J93*PI()/180)+Tableau!$H$35</f>
        <v>-10000</v>
      </c>
      <c r="N93" s="98">
        <v>89</v>
      </c>
      <c r="O93" s="99">
        <v>44.5</v>
      </c>
      <c r="P93" s="101">
        <f>P92+R92*Tableau!$G$2+((1/2)*T92)*Tableau!$G$2^2</f>
        <v>-2772021.6792178527</v>
      </c>
      <c r="Q93" s="101">
        <f>Q92+S92*Tableau!$G$2+((1/2)*U92)*Tableau!$G$2^2</f>
        <v>1341364.3894961081</v>
      </c>
      <c r="R93" s="101">
        <f>R92+T92*Tableau!$G$2</f>
        <v>-68702.148119370962</v>
      </c>
      <c r="S93" s="101">
        <f>S92+U92*Tableau!$G$2</f>
        <v>33802.650493327019</v>
      </c>
      <c r="T93" s="101">
        <f t="shared" si="2"/>
        <v>0.11615214740983161</v>
      </c>
      <c r="U93" s="101">
        <f t="shared" si="3"/>
        <v>-5.6211383610292161E-2</v>
      </c>
      <c r="V93" s="101">
        <f>((Tableau!$G$16-P93)/(AC93^2+Tableau!$G$21^2)^(3/2))*Tableau!$G$20</f>
        <v>4.9344398570447763E-2</v>
      </c>
      <c r="W93" s="101">
        <f>((Tableau!$H$16-Q93)/(AC93^2+Tableau!$G$21^2)^(3/2))*Tableau!$G$20</f>
        <v>-2.3573862826402253E-2</v>
      </c>
      <c r="X93" s="101">
        <f>((Tableau!$G$25-P93)/(AD93^2+Tableau!$G$30^2)^(3/2))*Tableau!$G$29</f>
        <v>1.7297970887281116E-2</v>
      </c>
      <c r="Y93" s="101">
        <f>((Tableau!$H$25-Q93)/(AD93^2+Tableau!$G$30^2)^(3/2))*Tableau!$G$29</f>
        <v>-8.368357932562423E-3</v>
      </c>
      <c r="Z93" s="101">
        <f>((Tableau!$G$35-P93)/(AE93^2+Tableau!$G$40^2)^(3/2))*Tableau!$G$39</f>
        <v>4.9509777952102735E-2</v>
      </c>
      <c r="AA93" s="102">
        <f>((Tableau!$H$35-Q93)/(AE93^2+Tableau!$G$40^2)^(3/2))*Tableau!$G$39</f>
        <v>-2.4269162851327485E-2</v>
      </c>
      <c r="AC93" s="113">
        <f>SQRT((Tableau!$G$16-P93)^2+(Tableau!$H$16-Q93)^2)</f>
        <v>3094281.7044975562</v>
      </c>
      <c r="AD93" s="114">
        <f>SQRT((Tableau!$G$25-P93)^2+(Tableau!$H$25-Q93)^2)</f>
        <v>3057148.092667968</v>
      </c>
      <c r="AE93" s="115">
        <f>SQRT((Tableau!$G$35-P93)^2+(Tableau!$H$35-Q93)^2)</f>
        <v>3081579.6810004339</v>
      </c>
    </row>
    <row r="94" spans="2:31" x14ac:dyDescent="0.25">
      <c r="B94" s="20">
        <v>91</v>
      </c>
      <c r="C94" s="21">
        <f>Tableau!$G$17*COS(B94*PI()/180)+Tableau!$G$16</f>
        <v>19912.737967813584</v>
      </c>
      <c r="D94" s="21">
        <f>Tableau!$G$17*SIN(B94*PI()/180)+Tableau!$H$16</f>
        <v>12499.238475781956</v>
      </c>
      <c r="F94" s="28">
        <v>91</v>
      </c>
      <c r="G94" s="29">
        <f>Tableau!$G$26*COS(F94*PI()/180)+Tableau!$G$25</f>
        <v>-20061.083422530493</v>
      </c>
      <c r="H94" s="29">
        <f>Tableau!$G$26*SIN(F94*PI()/180)+Tableau!$H$25</f>
        <v>13499.46693304737</v>
      </c>
      <c r="J94" s="36">
        <v>91</v>
      </c>
      <c r="K94" s="37">
        <f>Tableau!$G$36*COS(J94*PI()/180)+Tableau!$G$35</f>
        <v>-5087.2620321864169</v>
      </c>
      <c r="L94" s="37">
        <f>Tableau!$G$36*SIN(J94*PI()/180)+Tableau!$H$35</f>
        <v>-10000.761524218044</v>
      </c>
      <c r="N94" s="92">
        <v>90</v>
      </c>
      <c r="O94" s="93">
        <v>45</v>
      </c>
      <c r="P94" s="96">
        <f>P93+R93*Tableau!$G$2+((1/2)*T93)*Tableau!$G$2^2</f>
        <v>-2806372.7387585198</v>
      </c>
      <c r="Q94" s="96">
        <f>Q93+S93*Tableau!$G$2+((1/2)*U93)*Tableau!$G$2^2</f>
        <v>1358265.7077163486</v>
      </c>
      <c r="R94" s="96">
        <f>R93+T93*Tableau!$G$2</f>
        <v>-68702.090043297256</v>
      </c>
      <c r="S94" s="96">
        <f>S93+U93*Tableau!$G$2</f>
        <v>33802.622387635216</v>
      </c>
      <c r="T94" s="96">
        <f t="shared" si="2"/>
        <v>0.11331631357462973</v>
      </c>
      <c r="U94" s="96">
        <f t="shared" si="3"/>
        <v>-5.4850130209353178E-2</v>
      </c>
      <c r="V94" s="96">
        <f>((Tableau!$G$16-P94)/(AC94^2+Tableau!$G$21^2)^(3/2))*Tableau!$G$20</f>
        <v>4.8142498115666371E-2</v>
      </c>
      <c r="W94" s="96">
        <f>((Tableau!$H$16-Q94)/(AC94^2+Tableau!$G$21^2)^(3/2))*Tableau!$G$20</f>
        <v>-2.3008018244262105E-2</v>
      </c>
      <c r="X94" s="96">
        <f>((Tableau!$G$25-P94)/(AD94^2+Tableau!$G$30^2)^(3/2))*Tableau!$G$29</f>
        <v>1.6872076889412613E-2</v>
      </c>
      <c r="Y94" s="96">
        <f>((Tableau!$H$25-Q94)/(AD94^2+Tableau!$G$30^2)^(3/2))*Tableau!$G$29</f>
        <v>-8.1640343273255093E-3</v>
      </c>
      <c r="Z94" s="96">
        <f>((Tableau!$G$35-P94)/(AE94^2+Tableau!$G$40^2)^(3/2))*Tableau!$G$39</f>
        <v>4.8301738569550758E-2</v>
      </c>
      <c r="AA94" s="97">
        <f>((Tableau!$H$35-Q94)/(AE94^2+Tableau!$G$40^2)^(3/2))*Tableau!$G$39</f>
        <v>-2.3678077637765561E-2</v>
      </c>
      <c r="AC94" s="110">
        <f>SQRT((Tableau!$G$16-P94)^2+(Tableau!$H$16-Q94)^2)</f>
        <v>3132562.9850874161</v>
      </c>
      <c r="AD94" s="111">
        <f>SQRT((Tableau!$G$25-P94)^2+(Tableau!$H$25-Q94)^2)</f>
        <v>3095431.0617263825</v>
      </c>
      <c r="AE94" s="112">
        <f>SQRT((Tableau!$G$35-P94)^2+(Tableau!$H$35-Q94)^2)</f>
        <v>3119863.4466029271</v>
      </c>
    </row>
    <row r="95" spans="2:31" x14ac:dyDescent="0.25">
      <c r="B95" s="18">
        <v>92</v>
      </c>
      <c r="C95" s="19">
        <f>Tableau!$G$17*COS(B95*PI()/180)+Tableau!$G$16</f>
        <v>19825.502516487497</v>
      </c>
      <c r="D95" s="19">
        <f>Tableau!$G$17*SIN(B95*PI()/180)+Tableau!$H$16</f>
        <v>12496.954135095479</v>
      </c>
      <c r="F95" s="26">
        <v>92</v>
      </c>
      <c r="G95" s="27">
        <f>Tableau!$G$26*COS(F95*PI()/180)+Tableau!$G$25</f>
        <v>-20122.148238458754</v>
      </c>
      <c r="H95" s="27">
        <f>Tableau!$G$26*SIN(F95*PI()/180)+Tableau!$H$25</f>
        <v>13497.867894566836</v>
      </c>
      <c r="J95" s="34">
        <v>92</v>
      </c>
      <c r="K95" s="35">
        <f>Tableau!$G$36*COS(J95*PI()/180)+Tableau!$G$35</f>
        <v>-5174.497483512504</v>
      </c>
      <c r="L95" s="35">
        <f>Tableau!$G$36*SIN(J95*PI()/180)+Tableau!$H$35</f>
        <v>-10003.045864904521</v>
      </c>
      <c r="N95" s="98">
        <v>91</v>
      </c>
      <c r="O95" s="99">
        <v>45.5</v>
      </c>
      <c r="P95" s="101">
        <f>P94+R94*Tableau!$G$2+((1/2)*T94)*Tableau!$G$2^2</f>
        <v>-2840723.7696156292</v>
      </c>
      <c r="Q95" s="101">
        <f>Q94+S94*Tableau!$G$2+((1/2)*U94)*Tableau!$G$2^2</f>
        <v>1375167.0120538999</v>
      </c>
      <c r="R95" s="101">
        <f>R94+T94*Tableau!$G$2</f>
        <v>-68702.033385140472</v>
      </c>
      <c r="S95" s="101">
        <f>S94+U94*Tableau!$G$2</f>
        <v>33802.594962570111</v>
      </c>
      <c r="T95" s="101">
        <f t="shared" si="2"/>
        <v>0.11058308066616734</v>
      </c>
      <c r="U95" s="101">
        <f t="shared" si="3"/>
        <v>-5.3537731331846514E-2</v>
      </c>
      <c r="V95" s="101">
        <f>((Tableau!$G$16-P95)/(AC95^2+Tableau!$G$21^2)^(3/2))*Tableau!$G$20</f>
        <v>4.6983979423360051E-2</v>
      </c>
      <c r="W95" s="101">
        <f>((Tableau!$H$16-Q95)/(AC95^2+Tableau!$G$21^2)^(3/2))*Tableau!$G$20</f>
        <v>-2.2462301126327414E-2</v>
      </c>
      <c r="X95" s="101">
        <f>((Tableau!$G$25-P95)/(AD95^2+Tableau!$G$30^2)^(3/2))*Tableau!$G$29</f>
        <v>1.6461720326527089E-2</v>
      </c>
      <c r="Y95" s="101">
        <f>((Tableau!$H$25-Q95)/(AD95^2+Tableau!$G$30^2)^(3/2))*Tableau!$G$29</f>
        <v>-7.9671032638882807E-3</v>
      </c>
      <c r="Z95" s="101">
        <f>((Tableau!$G$35-P95)/(AE95^2+Tableau!$G$40^2)^(3/2))*Tableau!$G$39</f>
        <v>4.7137380916280197E-2</v>
      </c>
      <c r="AA95" s="102">
        <f>((Tableau!$H$35-Q95)/(AE95^2+Tableau!$G$40^2)^(3/2))*Tableau!$G$39</f>
        <v>-2.310832694163082E-2</v>
      </c>
      <c r="AC95" s="113">
        <f>SQRT((Tableau!$G$16-P95)^2+(Tableau!$H$16-Q95)^2)</f>
        <v>3170844.2948060846</v>
      </c>
      <c r="AD95" s="114">
        <f>SQRT((Tableau!$G$25-P95)^2+(Tableau!$H$25-Q95)^2)</f>
        <v>3133714.0193825564</v>
      </c>
      <c r="AE95" s="115">
        <f>SQRT((Tableau!$G$35-P95)^2+(Tableau!$H$35-Q95)^2)</f>
        <v>3158147.1813336918</v>
      </c>
    </row>
    <row r="96" spans="2:31" x14ac:dyDescent="0.25">
      <c r="B96" s="20">
        <v>93</v>
      </c>
      <c r="C96" s="21">
        <f>Tableau!$G$17*COS(B96*PI()/180)+Tableau!$G$16</f>
        <v>19738.32021878528</v>
      </c>
      <c r="D96" s="21">
        <f>Tableau!$G$17*SIN(B96*PI()/180)+Tableau!$H$16</f>
        <v>12493.14767377287</v>
      </c>
      <c r="F96" s="28">
        <v>93</v>
      </c>
      <c r="G96" s="29">
        <f>Tableau!$G$26*COS(F96*PI()/180)+Tableau!$G$25</f>
        <v>-20183.175846850303</v>
      </c>
      <c r="H96" s="29">
        <f>Tableau!$G$26*SIN(F96*PI()/180)+Tableau!$H$25</f>
        <v>13495.203371641008</v>
      </c>
      <c r="J96" s="36">
        <v>93</v>
      </c>
      <c r="K96" s="37">
        <f>Tableau!$G$36*COS(J96*PI()/180)+Tableau!$G$35</f>
        <v>-5261.6797812147179</v>
      </c>
      <c r="L96" s="37">
        <f>Tableau!$G$36*SIN(J96*PI()/180)+Tableau!$H$35</f>
        <v>-10006.85232622713</v>
      </c>
      <c r="N96" s="92">
        <v>92</v>
      </c>
      <c r="O96" s="93">
        <v>46</v>
      </c>
      <c r="P96" s="96">
        <f>P95+R95*Tableau!$G$2+((1/2)*T95)*Tableau!$G$2^2</f>
        <v>-2875074.7724853144</v>
      </c>
      <c r="Q96" s="96">
        <f>Q95+S95*Tableau!$G$2+((1/2)*U95)*Tableau!$G$2^2</f>
        <v>1392068.3028429684</v>
      </c>
      <c r="R96" s="96">
        <f>R95+T95*Tableau!$G$2</f>
        <v>-68701.978093600133</v>
      </c>
      <c r="S96" s="96">
        <f>S95+U95*Tableau!$G$2</f>
        <v>33802.568193704443</v>
      </c>
      <c r="T96" s="96">
        <f t="shared" si="2"/>
        <v>0.10794755824970298</v>
      </c>
      <c r="U96" s="96">
        <f t="shared" si="3"/>
        <v>-5.2271876884544176E-2</v>
      </c>
      <c r="V96" s="96">
        <f>((Tableau!$G$16-P96)/(AC96^2+Tableau!$G$21^2)^(3/2))*Tableau!$G$20</f>
        <v>4.5866779665149161E-2</v>
      </c>
      <c r="W96" s="96">
        <f>((Tableau!$H$16-Q96)/(AC96^2+Tableau!$G$21^2)^(3/2))*Tableau!$G$20</f>
        <v>-2.193576825075598E-2</v>
      </c>
      <c r="X96" s="96">
        <f>((Tableau!$G$25-P96)/(AD96^2+Tableau!$G$30^2)^(3/2))*Tableau!$G$29</f>
        <v>1.6066154512185928E-2</v>
      </c>
      <c r="Y96" s="96">
        <f>((Tableau!$H$25-Q96)/(AD96^2+Tableau!$G$30^2)^(3/2))*Tableau!$G$29</f>
        <v>-7.7772123917234188E-3</v>
      </c>
      <c r="Z96" s="96">
        <f>((Tableau!$G$35-P96)/(AE96^2+Tableau!$G$40^2)^(3/2))*Tableau!$G$39</f>
        <v>4.6014624072367886E-2</v>
      </c>
      <c r="AA96" s="97">
        <f>((Tableau!$H$35-Q96)/(AE96^2+Tableau!$G$40^2)^(3/2))*Tableau!$G$39</f>
        <v>-2.2558896242064776E-2</v>
      </c>
      <c r="AC96" s="110">
        <f>SQRT((Tableau!$G$16-P96)^2+(Tableau!$H$16-Q96)^2)</f>
        <v>3209125.6322428938</v>
      </c>
      <c r="AD96" s="111">
        <f>SQRT((Tableau!$G$25-P96)^2+(Tableau!$H$25-Q96)^2)</f>
        <v>3171996.9656677339</v>
      </c>
      <c r="AE96" s="112">
        <f>SQRT((Tableau!$G$35-P96)^2+(Tableau!$H$35-Q96)^2)</f>
        <v>3196430.8859291826</v>
      </c>
    </row>
    <row r="97" spans="2:31" x14ac:dyDescent="0.25">
      <c r="B97" s="18">
        <v>94</v>
      </c>
      <c r="C97" s="19">
        <f>Tableau!$G$17*COS(B97*PI()/180)+Tableau!$G$16</f>
        <v>19651.217631279374</v>
      </c>
      <c r="D97" s="19">
        <f>Tableau!$G$17*SIN(B97*PI()/180)+Tableau!$H$16</f>
        <v>12487.820251299121</v>
      </c>
      <c r="F97" s="26">
        <v>94</v>
      </c>
      <c r="G97" s="27">
        <f>Tableau!$G$26*COS(F97*PI()/180)+Tableau!$G$25</f>
        <v>-20244.147658104437</v>
      </c>
      <c r="H97" s="27">
        <f>Tableau!$G$26*SIN(F97*PI()/180)+Tableau!$H$25</f>
        <v>13491.474175909385</v>
      </c>
      <c r="J97" s="34">
        <v>94</v>
      </c>
      <c r="K97" s="35">
        <f>Tableau!$G$36*COS(J97*PI()/180)+Tableau!$G$35</f>
        <v>-5348.7823687206264</v>
      </c>
      <c r="L97" s="35">
        <f>Tableau!$G$36*SIN(J97*PI()/180)+Tableau!$H$35</f>
        <v>-10012.179748700879</v>
      </c>
      <c r="N97" s="98">
        <v>93</v>
      </c>
      <c r="O97" s="99">
        <v>46.5</v>
      </c>
      <c r="P97" s="101">
        <f>P96+R96*Tableau!$G$2+((1/2)*T96)*Tableau!$G$2^2</f>
        <v>-2909425.7480386696</v>
      </c>
      <c r="Q97" s="101">
        <f>Q96+S96*Tableau!$G$2+((1/2)*U96)*Tableau!$G$2^2</f>
        <v>1408969.580405836</v>
      </c>
      <c r="R97" s="101">
        <f>R96+T96*Tableau!$G$2</f>
        <v>-68701.924119821007</v>
      </c>
      <c r="S97" s="101">
        <f>S96+U96*Tableau!$G$2</f>
        <v>33802.542057765997</v>
      </c>
      <c r="T97" s="101">
        <f t="shared" si="2"/>
        <v>0.1054051438300603</v>
      </c>
      <c r="U97" s="101">
        <f t="shared" si="3"/>
        <v>-5.1050391715335007E-2</v>
      </c>
      <c r="V97" s="101">
        <f>((Tableau!$G$16-P97)/(AC97^2+Tableau!$G$21^2)^(3/2))*Tableau!$G$20</f>
        <v>4.4788957175271649E-2</v>
      </c>
      <c r="W97" s="101">
        <f>((Tableau!$H$16-Q97)/(AC97^2+Tableau!$G$21^2)^(3/2))*Tableau!$G$20</f>
        <v>-2.1427530996909337E-2</v>
      </c>
      <c r="X97" s="101">
        <f>((Tableau!$G$25-P97)/(AD97^2+Tableau!$G$30^2)^(3/2))*Tableau!$G$29</f>
        <v>1.5684677081129021E-2</v>
      </c>
      <c r="Y97" s="101">
        <f>((Tableau!$H$25-Q97)/(AD97^2+Tableau!$G$30^2)^(3/2))*Tableau!$G$29</f>
        <v>-7.5940301043840646E-3</v>
      </c>
      <c r="Z97" s="101">
        <f>((Tableau!$G$35-P97)/(AE97^2+Tableau!$G$40^2)^(3/2))*Tableau!$G$39</f>
        <v>4.4931509573659642E-2</v>
      </c>
      <c r="AA97" s="102">
        <f>((Tableau!$H$35-Q97)/(AE97^2+Tableau!$G$40^2)^(3/2))*Tableau!$G$39</f>
        <v>-2.2028830614041605E-2</v>
      </c>
      <c r="AC97" s="113">
        <f>SQRT((Tableau!$G$16-P97)^2+(Tableau!$H$16-Q97)^2)</f>
        <v>3247406.9960623705</v>
      </c>
      <c r="AD97" s="114">
        <f>SQRT((Tableau!$G$25-P97)^2+(Tableau!$H$25-Q97)^2)</f>
        <v>3210279.9006207711</v>
      </c>
      <c r="AE97" s="115">
        <f>SQRT((Tableau!$G$35-P97)^2+(Tableau!$H$35-Q97)^2)</f>
        <v>3234714.5610998133</v>
      </c>
    </row>
    <row r="98" spans="2:31" x14ac:dyDescent="0.25">
      <c r="B98" s="20">
        <v>95</v>
      </c>
      <c r="C98" s="21">
        <f>Tableau!$G$17*COS(B98*PI()/180)+Tableau!$G$16</f>
        <v>19564.221286261709</v>
      </c>
      <c r="D98" s="21">
        <f>Tableau!$G$17*SIN(B98*PI()/180)+Tableau!$H$16</f>
        <v>12480.973490458728</v>
      </c>
      <c r="F98" s="28">
        <v>95</v>
      </c>
      <c r="G98" s="29">
        <f>Tableau!$G$26*COS(F98*PI()/180)+Tableau!$G$25</f>
        <v>-20305.045099616804</v>
      </c>
      <c r="H98" s="29">
        <f>Tableau!$G$26*SIN(F98*PI()/180)+Tableau!$H$25</f>
        <v>13486.681443321109</v>
      </c>
      <c r="J98" s="36">
        <v>95</v>
      </c>
      <c r="K98" s="37">
        <f>Tableau!$G$36*COS(J98*PI()/180)+Tableau!$G$35</f>
        <v>-5435.7787137382911</v>
      </c>
      <c r="L98" s="37">
        <f>Tableau!$G$36*SIN(J98*PI()/180)+Tableau!$H$35</f>
        <v>-10019.026509541272</v>
      </c>
      <c r="N98" s="92">
        <v>94</v>
      </c>
      <c r="O98" s="93">
        <v>47</v>
      </c>
      <c r="P98" s="96">
        <f>P97+R97*Tableau!$G$2+((1/2)*T97)*Tableau!$G$2^2</f>
        <v>-2943776.6969229369</v>
      </c>
      <c r="Q98" s="96">
        <f>Q97+S97*Tableau!$G$2+((1/2)*U97)*Tableau!$G$2^2</f>
        <v>1425870.8450534202</v>
      </c>
      <c r="R98" s="96">
        <f>R97+T97*Tableau!$G$2</f>
        <v>-68701.871417249087</v>
      </c>
      <c r="S98" s="96">
        <f>S97+U97*Tableau!$G$2</f>
        <v>33802.516532570138</v>
      </c>
      <c r="T98" s="96">
        <f t="shared" si="2"/>
        <v>0.10295150274477882</v>
      </c>
      <c r="U98" s="96">
        <f t="shared" si="3"/>
        <v>-4.9871226263917379E-2</v>
      </c>
      <c r="V98" s="96">
        <f>((Tableau!$G$16-P98)/(AC98^2+Tableau!$G$21^2)^(3/2))*Tableau!$G$20</f>
        <v>4.3748683010331947E-2</v>
      </c>
      <c r="W98" s="96">
        <f>((Tableau!$H$16-Q98)/(AC98^2+Tableau!$G$21^2)^(3/2))*Tableau!$G$20</f>
        <v>-2.0936751596624142E-2</v>
      </c>
      <c r="X98" s="96">
        <f>((Tableau!$G$25-P98)/(AD98^2+Tableau!$G$30^2)^(3/2))*Tableau!$G$29</f>
        <v>1.5316626869448211E-2</v>
      </c>
      <c r="Y98" s="96">
        <f>((Tableau!$H$25-Q98)/(AD98^2+Tableau!$G$30^2)^(3/2))*Tableau!$G$29</f>
        <v>-7.4172440911225842E-3</v>
      </c>
      <c r="Z98" s="96">
        <f>((Tableau!$G$35-P98)/(AE98^2+Tableau!$G$40^2)^(3/2))*Tableau!$G$39</f>
        <v>4.388619286499866E-2</v>
      </c>
      <c r="AA98" s="97">
        <f>((Tableau!$H$35-Q98)/(AE98^2+Tableau!$G$40^2)^(3/2))*Tableau!$G$39</f>
        <v>-2.1517230576170648E-2</v>
      </c>
      <c r="AC98" s="110">
        <f>SQRT((Tableau!$G$16-P98)^2+(Tableau!$H$16-Q98)^2)</f>
        <v>3285688.3849995555</v>
      </c>
      <c r="AD98" s="111">
        <f>SQRT((Tableau!$G$25-P98)^2+(Tableau!$H$25-Q98)^2)</f>
        <v>3248562.8242873629</v>
      </c>
      <c r="AE98" s="112">
        <f>SQRT((Tableau!$G$35-P98)^2+(Tableau!$H$35-Q98)^2)</f>
        <v>3272998.2075311691</v>
      </c>
    </row>
    <row r="99" spans="2:31" x14ac:dyDescent="0.25">
      <c r="B99" s="18">
        <v>96</v>
      </c>
      <c r="C99" s="19">
        <f>Tableau!$G$17*COS(B99*PI()/180)+Tableau!$G$16</f>
        <v>19477.357683661732</v>
      </c>
      <c r="D99" s="19">
        <f>Tableau!$G$17*SIN(B99*PI()/180)+Tableau!$H$16</f>
        <v>12472.609476841368</v>
      </c>
      <c r="F99" s="26">
        <v>96</v>
      </c>
      <c r="G99" s="27">
        <f>Tableau!$G$26*COS(F99*PI()/180)+Tableau!$G$25</f>
        <v>-20365.849621436788</v>
      </c>
      <c r="H99" s="27">
        <f>Tableau!$G$26*SIN(F99*PI()/180)+Tableau!$H$25</f>
        <v>13480.826633788956</v>
      </c>
      <c r="J99" s="34">
        <v>96</v>
      </c>
      <c r="K99" s="35">
        <f>Tableau!$G$36*COS(J99*PI()/180)+Tableau!$G$35</f>
        <v>-5522.6423163382669</v>
      </c>
      <c r="L99" s="35">
        <f>Tableau!$G$36*SIN(J99*PI()/180)+Tableau!$H$35</f>
        <v>-10027.390523158632</v>
      </c>
      <c r="N99" s="98">
        <v>95</v>
      </c>
      <c r="O99" s="99">
        <v>47.5</v>
      </c>
      <c r="P99" s="101">
        <f>P98+R98*Tableau!$G$2+((1/2)*T98)*Tableau!$G$2^2</f>
        <v>-2978127.6197626237</v>
      </c>
      <c r="Q99" s="101">
        <f>Q98+S98*Tableau!$G$2+((1/2)*U98)*Tableau!$G$2^2</f>
        <v>1442772.0970858019</v>
      </c>
      <c r="R99" s="101">
        <f>R98+T98*Tableau!$G$2</f>
        <v>-68701.819941497713</v>
      </c>
      <c r="S99" s="101">
        <f>S98+U98*Tableau!$G$2</f>
        <v>33802.491596957007</v>
      </c>
      <c r="T99" s="101">
        <f t="shared" si="2"/>
        <v>0.10058254967646955</v>
      </c>
      <c r="U99" s="101">
        <f t="shared" si="3"/>
        <v>-4.8732447959560513E-2</v>
      </c>
      <c r="V99" s="101">
        <f>((Tableau!$G$16-P99)/(AC99^2+Tableau!$G$21^2)^(3/2))*Tableau!$G$20</f>
        <v>4.274423318708321E-2</v>
      </c>
      <c r="W99" s="101">
        <f>((Tableau!$H$16-Q99)/(AC99^2+Tableau!$G$21^2)^(3/2))*Tableau!$G$20</f>
        <v>-2.0462639682298379E-2</v>
      </c>
      <c r="X99" s="101">
        <f>((Tableau!$G$25-P99)/(AD99^2+Tableau!$G$30^2)^(3/2))*Tableau!$G$29</f>
        <v>1.4961381047995012E-2</v>
      </c>
      <c r="Y99" s="101">
        <f>((Tableau!$H$25-Q99)/(AD99^2+Tableau!$G$30^2)^(3/2))*Tableau!$G$29</f>
        <v>-7.2465600051277524E-3</v>
      </c>
      <c r="Z99" s="101">
        <f>((Tableau!$G$35-P99)/(AE99^2+Tableau!$G$40^2)^(3/2))*Tableau!$G$39</f>
        <v>4.2876935441391331E-2</v>
      </c>
      <c r="AA99" s="102">
        <f>((Tableau!$H$35-Q99)/(AE99^2+Tableau!$G$40^2)^(3/2))*Tableau!$G$39</f>
        <v>-2.1023248272134379E-2</v>
      </c>
      <c r="AC99" s="113">
        <f>SQRT((Tableau!$G$16-P99)^2+(Tableau!$H$16-Q99)^2)</f>
        <v>3323969.7978556561</v>
      </c>
      <c r="AD99" s="114">
        <f>SQRT((Tableau!$G$25-P99)^2+(Tableau!$H$25-Q99)^2)</f>
        <v>3286845.7367193447</v>
      </c>
      <c r="AE99" s="115">
        <f>SQRT((Tableau!$G$35-P99)^2+(Tableau!$H$35-Q99)^2)</f>
        <v>3311281.825885151</v>
      </c>
    </row>
    <row r="100" spans="2:31" x14ac:dyDescent="0.25">
      <c r="B100" s="20">
        <v>97</v>
      </c>
      <c r="C100" s="21">
        <f>Tableau!$G$17*COS(B100*PI()/180)+Tableau!$G$16</f>
        <v>19390.653282974265</v>
      </c>
      <c r="D100" s="21">
        <f>Tableau!$G$17*SIN(B100*PI()/180)+Tableau!$H$16</f>
        <v>12462.73075820661</v>
      </c>
      <c r="F100" s="28">
        <v>97</v>
      </c>
      <c r="G100" s="29">
        <f>Tableau!$G$26*COS(F100*PI()/180)+Tableau!$G$25</f>
        <v>-20426.542701918017</v>
      </c>
      <c r="H100" s="29">
        <f>Tableau!$G$26*SIN(F100*PI()/180)+Tableau!$H$25</f>
        <v>13473.911530744626</v>
      </c>
      <c r="J100" s="36">
        <v>97</v>
      </c>
      <c r="K100" s="37">
        <f>Tableau!$G$36*COS(J100*PI()/180)+Tableau!$G$35</f>
        <v>-5609.3467170257372</v>
      </c>
      <c r="L100" s="37">
        <f>Tableau!$G$36*SIN(J100*PI()/180)+Tableau!$H$35</f>
        <v>-10037.26924179339</v>
      </c>
      <c r="N100" s="92">
        <v>96</v>
      </c>
      <c r="O100" s="93">
        <v>48</v>
      </c>
      <c r="P100" s="96">
        <f>P99+R99*Tableau!$G$2+((1/2)*T99)*Tableau!$G$2^2</f>
        <v>-3012478.5171605535</v>
      </c>
      <c r="Q100" s="96">
        <f>Q99+S99*Tableau!$G$2+((1/2)*U99)*Tableau!$G$2^2</f>
        <v>1459673.3367927244</v>
      </c>
      <c r="R100" s="96">
        <f>R99+T99*Tableau!$G$2</f>
        <v>-68701.769650222879</v>
      </c>
      <c r="S100" s="96">
        <f>S99+U99*Tableau!$G$2</f>
        <v>33802.467230733026</v>
      </c>
      <c r="T100" s="96">
        <f t="shared" si="2"/>
        <v>9.8294431637037938E-2</v>
      </c>
      <c r="U100" s="96">
        <f t="shared" si="3"/>
        <v>-4.763223329847735E-2</v>
      </c>
      <c r="V100" s="96">
        <f>((Tableau!$G$16-P100)/(AC100^2+Tableau!$G$21^2)^(3/2))*Tableau!$G$20</f>
        <v>4.1773981536692595E-2</v>
      </c>
      <c r="W100" s="96">
        <f>((Tableau!$H$16-Q100)/(AC100^2+Tableau!$G$21^2)^(3/2))*Tableau!$G$20</f>
        <v>-2.0004449105234919E-2</v>
      </c>
      <c r="X100" s="96">
        <f>((Tableau!$G$25-P100)/(AD100^2+Tableau!$G$30^2)^(3/2))*Tableau!$G$29</f>
        <v>1.461835248579957E-2</v>
      </c>
      <c r="Y100" s="96">
        <f>((Tableau!$H$25-Q100)/(AD100^2+Tableau!$G$30^2)^(3/2))*Tableau!$G$29</f>
        <v>-7.0817002377712599E-3</v>
      </c>
      <c r="Z100" s="96">
        <f>((Tableau!$G$35-P100)/(AE100^2+Tableau!$G$40^2)^(3/2))*Tableau!$G$39</f>
        <v>4.1902097614545782E-2</v>
      </c>
      <c r="AA100" s="97">
        <f>((Tableau!$H$35-Q100)/(AE100^2+Tableau!$G$40^2)^(3/2))*Tableau!$G$39</f>
        <v>-2.0546083955471174E-2</v>
      </c>
      <c r="AC100" s="110">
        <f>SQRT((Tableau!$G$16-P100)^2+(Tableau!$H$16-Q100)^2)</f>
        <v>3362251.2334940089</v>
      </c>
      <c r="AD100" s="111">
        <f>SQRT((Tableau!$G$25-P100)^2+(Tableau!$H$25-Q100)^2)</f>
        <v>3325128.6379740527</v>
      </c>
      <c r="AE100" s="112">
        <f>SQRT((Tableau!$G$35-P100)^2+(Tableau!$H$35-Q100)^2)</f>
        <v>3349565.4168010559</v>
      </c>
    </row>
    <row r="101" spans="2:31" x14ac:dyDescent="0.25">
      <c r="B101" s="18">
        <v>98</v>
      </c>
      <c r="C101" s="19">
        <f>Tableau!$G$17*COS(B101*PI()/180)+Tableau!$G$16</f>
        <v>19304.134495199673</v>
      </c>
      <c r="D101" s="19">
        <f>Tableau!$G$17*SIN(B101*PI()/180)+Tableau!$H$16</f>
        <v>12451.340343707852</v>
      </c>
      <c r="F101" s="26">
        <v>98</v>
      </c>
      <c r="G101" s="27">
        <f>Tableau!$G$26*COS(F101*PI()/180)+Tableau!$G$25</f>
        <v>-20487.10585336023</v>
      </c>
      <c r="H101" s="27">
        <f>Tableau!$G$26*SIN(F101*PI()/180)+Tableau!$H$25</f>
        <v>13465.938240595497</v>
      </c>
      <c r="J101" s="34">
        <v>98</v>
      </c>
      <c r="K101" s="35">
        <f>Tableau!$G$36*COS(J101*PI()/180)+Tableau!$G$35</f>
        <v>-5695.8655048003266</v>
      </c>
      <c r="L101" s="35">
        <f>Tableau!$G$36*SIN(J101*PI()/180)+Tableau!$H$35</f>
        <v>-10048.659656292148</v>
      </c>
      <c r="N101" s="98">
        <v>97</v>
      </c>
      <c r="O101" s="99">
        <v>48.5</v>
      </c>
      <c r="P101" s="101">
        <f>P100+R100*Tableau!$G$2+((1/2)*T100)*Tableau!$G$2^2</f>
        <v>-3046829.3896988607</v>
      </c>
      <c r="Q101" s="101">
        <f>Q100+S100*Tableau!$G$2+((1/2)*U100)*Tableau!$G$2^2</f>
        <v>1476574.5644540617</v>
      </c>
      <c r="R101" s="101">
        <f>R100+T100*Tableau!$G$2</f>
        <v>-68701.720503007062</v>
      </c>
      <c r="S101" s="101">
        <f>S100+U100*Tableau!$G$2</f>
        <v>33802.443414616377</v>
      </c>
      <c r="T101" s="101">
        <f t="shared" si="2"/>
        <v>9.6083512291369771E-2</v>
      </c>
      <c r="U101" s="101">
        <f t="shared" si="3"/>
        <v>-4.6568860540137452E-2</v>
      </c>
      <c r="V101" s="101">
        <f>((Tableau!$G$16-P101)/(AC101^2+Tableau!$G$21^2)^(3/2))*Tableau!$G$20</f>
        <v>4.0836393120175146E-2</v>
      </c>
      <c r="W101" s="101">
        <f>((Tableau!$H$16-Q101)/(AC101^2+Tableau!$G$21^2)^(3/2))*Tableau!$G$20</f>
        <v>-1.9561475000338009E-2</v>
      </c>
      <c r="X101" s="101">
        <f>((Tableau!$G$25-P101)/(AD101^2+Tableau!$G$30^2)^(3/2))*Tableau!$G$29</f>
        <v>1.4286987322648902E-2</v>
      </c>
      <c r="Y101" s="101">
        <f>((Tableau!$H$25-Q101)/(AD101^2+Tableau!$G$30^2)^(3/2))*Tableau!$G$29</f>
        <v>-6.9224027893290416E-3</v>
      </c>
      <c r="Z101" s="101">
        <f>((Tableau!$G$35-P101)/(AE101^2+Tableau!$G$40^2)^(3/2))*Tableau!$G$39</f>
        <v>4.0960131848545717E-2</v>
      </c>
      <c r="AA101" s="102">
        <f>((Tableau!$H$35-Q101)/(AE101^2+Tableau!$G$40^2)^(3/2))*Tableau!$G$39</f>
        <v>-2.0084982750470399E-2</v>
      </c>
      <c r="AC101" s="113">
        <f>SQRT((Tableau!$G$16-P101)^2+(Tableau!$H$16-Q101)^2)</f>
        <v>3400532.6908363309</v>
      </c>
      <c r="AD101" s="114">
        <f>SQRT((Tableau!$G$25-P101)^2+(Tableau!$H$25-Q101)^2)</f>
        <v>3363411.5281137391</v>
      </c>
      <c r="AE101" s="115">
        <f>SQRT((Tableau!$G$35-P101)^2+(Tableau!$H$35-Q101)^2)</f>
        <v>3387848.9808965907</v>
      </c>
    </row>
    <row r="102" spans="2:31" x14ac:dyDescent="0.25">
      <c r="B102" s="20">
        <v>99</v>
      </c>
      <c r="C102" s="21">
        <f>Tableau!$G$17*COS(B102*PI()/180)+Tableau!$G$16</f>
        <v>19217.827674798846</v>
      </c>
      <c r="D102" s="21">
        <f>Tableau!$G$17*SIN(B102*PI()/180)+Tableau!$H$16</f>
        <v>12438.441702975688</v>
      </c>
      <c r="F102" s="28">
        <v>99</v>
      </c>
      <c r="G102" s="29">
        <f>Tableau!$G$26*COS(F102*PI()/180)+Tableau!$G$25</f>
        <v>-20547.52062764081</v>
      </c>
      <c r="H102" s="29">
        <f>Tableau!$G$26*SIN(F102*PI()/180)+Tableau!$H$25</f>
        <v>13456.909192082981</v>
      </c>
      <c r="J102" s="36">
        <v>99</v>
      </c>
      <c r="K102" s="37">
        <f>Tableau!$G$36*COS(J102*PI()/180)+Tableau!$G$35</f>
        <v>-5782.1723252011552</v>
      </c>
      <c r="L102" s="37">
        <f>Tableau!$G$36*SIN(J102*PI()/180)+Tableau!$H$35</f>
        <v>-10061.558297024312</v>
      </c>
      <c r="N102" s="92">
        <v>98</v>
      </c>
      <c r="O102" s="93">
        <v>49</v>
      </c>
      <c r="P102" s="96">
        <f>P101+R101*Tableau!$G$2+((1/2)*T101)*Tableau!$G$2^2</f>
        <v>-3081180.2379399254</v>
      </c>
      <c r="Q102" s="96">
        <f>Q101+S101*Tableau!$G$2+((1/2)*U101)*Tableau!$G$2^2</f>
        <v>1493475.7803402622</v>
      </c>
      <c r="R102" s="96">
        <f>R101+T101*Tableau!$G$2</f>
        <v>-68701.672461250913</v>
      </c>
      <c r="S102" s="96">
        <f>S101+U101*Tableau!$G$2</f>
        <v>33802.420130186103</v>
      </c>
      <c r="T102" s="96">
        <f t="shared" si="2"/>
        <v>9.3946357501312888E-2</v>
      </c>
      <c r="U102" s="96">
        <f t="shared" si="3"/>
        <v>-4.5540702967868316E-2</v>
      </c>
      <c r="V102" s="96">
        <f>((Tableau!$G$16-P102)/(AC102^2+Tableau!$G$21^2)^(3/2))*Tableau!$G$20</f>
        <v>3.9930018155183114E-2</v>
      </c>
      <c r="W102" s="96">
        <f>((Tableau!$H$16-Q102)/(AC102^2+Tableau!$G$21^2)^(3/2))*Tableau!$G$20</f>
        <v>-1.9133051075601003E-2</v>
      </c>
      <c r="X102" s="96">
        <f>((Tableau!$G$25-P102)/(AD102^2+Tableau!$G$30^2)^(3/2))*Tableau!$G$29</f>
        <v>1.3966762732074169E-2</v>
      </c>
      <c r="Y102" s="96">
        <f>((Tableau!$H$25-Q102)/(AD102^2+Tableau!$G$30^2)^(3/2))*Tableau!$G$29</f>
        <v>-6.7684202275964224E-3</v>
      </c>
      <c r="Z102" s="96">
        <f>((Tableau!$G$35-P102)/(AE102^2+Tableau!$G$40^2)^(3/2))*Tableau!$G$39</f>
        <v>4.0049576614055594E-2</v>
      </c>
      <c r="AA102" s="97">
        <f>((Tableau!$H$35-Q102)/(AE102^2+Tableau!$G$40^2)^(3/2))*Tableau!$G$39</f>
        <v>-1.9639231664670895E-2</v>
      </c>
      <c r="AC102" s="110">
        <f>SQRT((Tableau!$G$16-P102)^2+(Tableau!$H$16-Q102)^2)</f>
        <v>3438814.168859228</v>
      </c>
      <c r="AD102" s="111">
        <f>SQRT((Tableau!$G$25-P102)^2+(Tableau!$H$25-Q102)^2)</f>
        <v>3401694.4072050457</v>
      </c>
      <c r="AE102" s="112">
        <f>SQRT((Tableau!$G$35-P102)^2+(Tableau!$H$35-Q102)^2)</f>
        <v>3426132.5187688377</v>
      </c>
    </row>
    <row r="103" spans="2:31" x14ac:dyDescent="0.25">
      <c r="B103" s="18">
        <v>100</v>
      </c>
      <c r="C103" s="19">
        <f>Tableau!$G$17*COS(B103*PI()/180)+Tableau!$G$16</f>
        <v>19131.759111665349</v>
      </c>
      <c r="D103" s="19">
        <f>Tableau!$G$17*SIN(B103*PI()/180)+Tableau!$H$16</f>
        <v>12424.038765061039</v>
      </c>
      <c r="F103" s="26">
        <v>100</v>
      </c>
      <c r="G103" s="27">
        <f>Tableau!$G$26*COS(F103*PI()/180)+Tableau!$G$25</f>
        <v>-20607.768621834257</v>
      </c>
      <c r="H103" s="27">
        <f>Tableau!$G$26*SIN(F103*PI()/180)+Tableau!$H$25</f>
        <v>13446.827135542728</v>
      </c>
      <c r="J103" s="34">
        <v>100</v>
      </c>
      <c r="K103" s="35">
        <f>Tableau!$G$36*COS(J103*PI()/180)+Tableau!$G$35</f>
        <v>-5868.2408883346516</v>
      </c>
      <c r="L103" s="35">
        <f>Tableau!$G$36*SIN(J103*PI()/180)+Tableau!$H$35</f>
        <v>-10075.961234938961</v>
      </c>
      <c r="N103" s="98">
        <v>99</v>
      </c>
      <c r="O103" s="99">
        <v>49.5</v>
      </c>
      <c r="P103" s="101">
        <f>P102+R102*Tableau!$G$2+((1/2)*T102)*Tableau!$G$2^2</f>
        <v>-3115531.0624272563</v>
      </c>
      <c r="Q103" s="101">
        <f>Q102+S102*Tableau!$G$2+((1/2)*U102)*Tableau!$G$2^2</f>
        <v>1510376.9847127674</v>
      </c>
      <c r="R103" s="101">
        <f>R102+T102*Tableau!$G$2</f>
        <v>-68701.625488072168</v>
      </c>
      <c r="S103" s="101">
        <f>S102+U102*Tableau!$G$2</f>
        <v>33802.39735983462</v>
      </c>
      <c r="T103" s="101">
        <f t="shared" si="2"/>
        <v>9.1879721982593074E-2</v>
      </c>
      <c r="U103" s="101">
        <f t="shared" si="3"/>
        <v>-4.4546222664467283E-2</v>
      </c>
      <c r="V103" s="101">
        <f>((Tableau!$G$16-P103)/(AC103^2+Tableau!$G$21^2)^(3/2))*Tableau!$G$20</f>
        <v>3.9053486409274273E-2</v>
      </c>
      <c r="W103" s="101">
        <f>((Tableau!$H$16-Q103)/(AC103^2+Tableau!$G$21^2)^(3/2))*Tableau!$G$20</f>
        <v>-1.8718547106931369E-2</v>
      </c>
      <c r="X103" s="101">
        <f>((Tableau!$G$25-P103)/(AD103^2+Tableau!$G$30^2)^(3/2))*Tableau!$G$29</f>
        <v>1.3657184857866928E-2</v>
      </c>
      <c r="Y103" s="101">
        <f>((Tableau!$H$25-Q103)/(AD103^2+Tableau!$G$30^2)^(3/2))*Tableau!$G$29</f>
        <v>-6.6195187266652657E-3</v>
      </c>
      <c r="Z103" s="101">
        <f>((Tableau!$G$35-P103)/(AE103^2+Tableau!$G$40^2)^(3/2))*Tableau!$G$39</f>
        <v>3.9169050715451875E-2</v>
      </c>
      <c r="AA103" s="102">
        <f>((Tableau!$H$35-Q103)/(AE103^2+Tableau!$G$40^2)^(3/2))*Tableau!$G$39</f>
        <v>-1.9208156830870651E-2</v>
      </c>
      <c r="AC103" s="113">
        <f>SQRT((Tableau!$G$16-P103)^2+(Tableau!$H$16-Q103)^2)</f>
        <v>3477095.6665909467</v>
      </c>
      <c r="AD103" s="114">
        <f>SQRT((Tableau!$G$25-P103)^2+(Tableau!$H$25-Q103)^2)</f>
        <v>3439977.275318515</v>
      </c>
      <c r="AE103" s="115">
        <f>SQRT((Tableau!$G$35-P103)^2+(Tableau!$H$35-Q103)^2)</f>
        <v>3464416.0309951589</v>
      </c>
    </row>
    <row r="104" spans="2:31" x14ac:dyDescent="0.25">
      <c r="B104" s="20">
        <v>101</v>
      </c>
      <c r="C104" s="21">
        <f>Tableau!$G$17*COS(B104*PI()/180)+Tableau!$G$16</f>
        <v>19045.955023117276</v>
      </c>
      <c r="D104" s="21">
        <f>Tableau!$G$17*SIN(B104*PI()/180)+Tableau!$H$16</f>
        <v>12408.13591723832</v>
      </c>
      <c r="F104" s="28">
        <v>101</v>
      </c>
      <c r="G104" s="29">
        <f>Tableau!$G$26*COS(F104*PI()/180)+Tableau!$G$25</f>
        <v>-20667.831483817907</v>
      </c>
      <c r="H104" s="29">
        <f>Tableau!$G$26*SIN(F104*PI()/180)+Tableau!$H$25</f>
        <v>13435.695142066823</v>
      </c>
      <c r="J104" s="36">
        <v>101</v>
      </c>
      <c r="K104" s="37">
        <f>Tableau!$G$36*COS(J104*PI()/180)+Tableau!$G$35</f>
        <v>-5954.0449768827239</v>
      </c>
      <c r="L104" s="37">
        <f>Tableau!$G$36*SIN(J104*PI()/180)+Tableau!$H$35</f>
        <v>-10091.86408276168</v>
      </c>
      <c r="N104" s="92">
        <v>100</v>
      </c>
      <c r="O104" s="93">
        <v>50</v>
      </c>
      <c r="P104" s="96">
        <f>P103+R103*Tableau!$G$2+((1/2)*T103)*Tableau!$G$2^2</f>
        <v>-3149881.8636863274</v>
      </c>
      <c r="Q104" s="96">
        <f>Q103+S103*Tableau!$G$2+((1/2)*U103)*Tableau!$G$2^2</f>
        <v>1527278.1778244069</v>
      </c>
      <c r="R104" s="96">
        <f>R103+T103*Tableau!$G$2</f>
        <v>-68701.579548211172</v>
      </c>
      <c r="S104" s="96">
        <f>S103+U103*Tableau!$G$2</f>
        <v>33802.375086723288</v>
      </c>
      <c r="T104" s="96">
        <f t="shared" si="2"/>
        <v>8.9880536977806222E-2</v>
      </c>
      <c r="U104" s="96">
        <f t="shared" si="3"/>
        <v>-4.3583964758331789E-2</v>
      </c>
      <c r="V104" s="96">
        <f>((Tableau!$G$16-P104)/(AC104^2+Tableau!$G$21^2)^(3/2))*Tableau!$G$20</f>
        <v>3.8205502019152945E-2</v>
      </c>
      <c r="W104" s="96">
        <f>((Tableau!$H$16-Q104)/(AC104^2+Tableau!$G$21^2)^(3/2))*Tableau!$G$20</f>
        <v>-1.8317366620726729E-2</v>
      </c>
      <c r="X104" s="96">
        <f>((Tableau!$G$25-P104)/(AD104^2+Tableau!$G$30^2)^(3/2))*Tableau!$G$29</f>
        <v>1.3357786908909267E-2</v>
      </c>
      <c r="Y104" s="96">
        <f>((Tableau!$H$25-Q104)/(AD104^2+Tableau!$G$30^2)^(3/2))*Tableau!$G$29</f>
        <v>-6.4754771788881017E-3</v>
      </c>
      <c r="Z104" s="96">
        <f>((Tableau!$G$35-P104)/(AE104^2+Tableau!$G$40^2)^(3/2))*Tableau!$G$39</f>
        <v>3.8317248049744013E-2</v>
      </c>
      <c r="AA104" s="97">
        <f>((Tableau!$H$35-Q104)/(AE104^2+Tableau!$G$40^2)^(3/2))*Tableau!$G$39</f>
        <v>-1.8791120958716961E-2</v>
      </c>
      <c r="AC104" s="110">
        <f>SQRT((Tableau!$G$16-P104)^2+(Tableau!$H$16-Q104)^2)</f>
        <v>3515377.183108347</v>
      </c>
      <c r="AD104" s="111">
        <f>SQRT((Tableau!$G$25-P104)^2+(Tableau!$H$25-Q104)^2)</f>
        <v>3478260.1325281509</v>
      </c>
      <c r="AE104" s="112">
        <f>SQRT((Tableau!$G$35-P104)^2+(Tableau!$H$35-Q104)^2)</f>
        <v>3502699.518134058</v>
      </c>
    </row>
    <row r="105" spans="2:31" x14ac:dyDescent="0.25">
      <c r="B105" s="18">
        <v>102</v>
      </c>
      <c r="C105" s="19">
        <f>Tableau!$G$17*COS(B105*PI()/180)+Tableau!$G$16</f>
        <v>18960.441545911206</v>
      </c>
      <c r="D105" s="19">
        <f>Tableau!$G$17*SIN(B105*PI()/180)+Tableau!$H$16</f>
        <v>12390.738003669028</v>
      </c>
      <c r="F105" s="26">
        <v>102</v>
      </c>
      <c r="G105" s="27">
        <f>Tableau!$G$26*COS(F105*PI()/180)+Tableau!$G$25</f>
        <v>-20727.690917862157</v>
      </c>
      <c r="H105" s="27">
        <f>Tableau!$G$26*SIN(F105*PI()/180)+Tableau!$H$25</f>
        <v>13423.516602568319</v>
      </c>
      <c r="J105" s="34">
        <v>102</v>
      </c>
      <c r="K105" s="35">
        <f>Tableau!$G$36*COS(J105*PI()/180)+Tableau!$G$35</f>
        <v>-6039.5584540887958</v>
      </c>
      <c r="L105" s="35">
        <f>Tableau!$G$36*SIN(J105*PI()/180)+Tableau!$H$35</f>
        <v>-10109.261996330972</v>
      </c>
      <c r="N105" s="98">
        <v>101</v>
      </c>
      <c r="O105" s="99">
        <v>50.5</v>
      </c>
      <c r="P105" s="101">
        <f>P104+R104*Tableau!$G$2+((1/2)*T104)*Tableau!$G$2^2</f>
        <v>-3184232.6422253656</v>
      </c>
      <c r="Q105" s="101">
        <f>Q104+S104*Tableau!$G$2+((1/2)*U104)*Tableau!$G$2^2</f>
        <v>1544179.3599197729</v>
      </c>
      <c r="R105" s="101">
        <f>R104+T104*Tableau!$G$2</f>
        <v>-68701.534607942682</v>
      </c>
      <c r="S105" s="101">
        <f>S104+U104*Tableau!$G$2</f>
        <v>33802.353294740911</v>
      </c>
      <c r="T105" s="101">
        <f t="shared" si="2"/>
        <v>8.7945898858012614E-2</v>
      </c>
      <c r="U105" s="101">
        <f t="shared" si="3"/>
        <v>-4.2652552099895213E-2</v>
      </c>
      <c r="V105" s="101">
        <f>((Tableau!$G$16-P105)/(AC105^2+Tableau!$G$21^2)^(3/2))*Tableau!$G$20</f>
        <v>3.7384838699296943E-2</v>
      </c>
      <c r="W105" s="101">
        <f>((Tableau!$H$16-Q105)/(AC105^2+Tableau!$G$21^2)^(3/2))*Tableau!$G$20</f>
        <v>-1.7928944748294286E-2</v>
      </c>
      <c r="X105" s="101">
        <f>((Tableau!$G$25-P105)/(AD105^2+Tableau!$G$30^2)^(3/2))*Tableau!$G$29</f>
        <v>1.3068127398587853E-2</v>
      </c>
      <c r="Y105" s="101">
        <f>((Tableau!$H$25-Q105)/(AD105^2+Tableau!$G$30^2)^(3/2))*Tableau!$G$29</f>
        <v>-6.3360863737299197E-3</v>
      </c>
      <c r="Z105" s="101">
        <f>((Tableau!$G$35-P105)/(AE105^2+Tableau!$G$40^2)^(3/2))*Tableau!$G$39</f>
        <v>3.7492932760127815E-2</v>
      </c>
      <c r="AA105" s="102">
        <f>((Tableau!$H$35-Q105)/(AE105^2+Tableau!$G$40^2)^(3/2))*Tableau!$G$39</f>
        <v>-1.8387520977871004E-2</v>
      </c>
      <c r="AC105" s="113">
        <f>SQRT((Tableau!$G$16-P105)^2+(Tableau!$H$16-Q105)^2)</f>
        <v>3553658.7175340843</v>
      </c>
      <c r="AD105" s="114">
        <f>SQRT((Tableau!$G$25-P105)^2+(Tableau!$H$25-Q105)^2)</f>
        <v>3516542.9789110161</v>
      </c>
      <c r="AE105" s="115">
        <f>SQRT((Tableau!$G$35-P105)^2+(Tableau!$H$35-Q105)^2)</f>
        <v>3540982.9807259897</v>
      </c>
    </row>
    <row r="106" spans="2:31" x14ac:dyDescent="0.25">
      <c r="B106" s="20">
        <v>103</v>
      </c>
      <c r="C106" s="21">
        <f>Tableau!$G$17*COS(B106*PI()/180)+Tableau!$G$16</f>
        <v>18875.244728280675</v>
      </c>
      <c r="D106" s="21">
        <f>Tableau!$G$17*SIN(B106*PI()/180)+Tableau!$H$16</f>
        <v>12371.850323926177</v>
      </c>
      <c r="F106" s="28">
        <v>103</v>
      </c>
      <c r="G106" s="29">
        <f>Tableau!$G$26*COS(F106*PI()/180)+Tableau!$G$25</f>
        <v>-20787.328690203525</v>
      </c>
      <c r="H106" s="29">
        <f>Tableau!$G$26*SIN(F106*PI()/180)+Tableau!$H$25</f>
        <v>13410.295226748323</v>
      </c>
      <c r="J106" s="36">
        <v>103</v>
      </c>
      <c r="K106" s="37">
        <f>Tableau!$G$36*COS(J106*PI()/180)+Tableau!$G$35</f>
        <v>-6124.7552717193239</v>
      </c>
      <c r="L106" s="37">
        <f>Tableau!$G$36*SIN(J106*PI()/180)+Tableau!$H$35</f>
        <v>-10128.149676073823</v>
      </c>
      <c r="N106" s="92">
        <v>102</v>
      </c>
      <c r="O106" s="93">
        <v>51</v>
      </c>
      <c r="P106" s="96">
        <f>P105+R105*Tableau!$G$2+((1/2)*T105)*Tableau!$G$2^2</f>
        <v>-3218583.3985360996</v>
      </c>
      <c r="Q106" s="96">
        <f>Q105+S105*Tableau!$G$2+((1/2)*U105)*Tableau!$G$2^2</f>
        <v>1561080.5312355743</v>
      </c>
      <c r="R106" s="96">
        <f>R105+T105*Tableau!$G$2</f>
        <v>-68701.490634993257</v>
      </c>
      <c r="S106" s="96">
        <f>S105+U105*Tableau!$G$2</f>
        <v>33802.33196846486</v>
      </c>
      <c r="T106" s="96">
        <f t="shared" si="2"/>
        <v>8.6073058573842037E-2</v>
      </c>
      <c r="U106" s="96">
        <f t="shared" si="3"/>
        <v>-4.1750680331980941E-2</v>
      </c>
      <c r="V106" s="96">
        <f>((Tableau!$G$16-P106)/(AC106^2+Tableau!$G$21^2)^(3/2))*Tableau!$G$20</f>
        <v>3.6590335306883374E-2</v>
      </c>
      <c r="W106" s="96">
        <f>((Tableau!$H$16-Q106)/(AC106^2+Tableau!$G$21^2)^(3/2))*Tableau!$G$20</f>
        <v>-1.7552746237707244E-2</v>
      </c>
      <c r="X106" s="96">
        <f>((Tableau!$G$25-P106)/(AD106^2+Tableau!$G$30^2)^(3/2))*Tableau!$G$29</f>
        <v>1.278778851638592E-2</v>
      </c>
      <c r="Y106" s="96">
        <f>((Tableau!$H$25-Q106)/(AD106^2+Tableau!$G$30^2)^(3/2))*Tableau!$G$29</f>
        <v>-6.2011482378111233E-3</v>
      </c>
      <c r="Z106" s="96">
        <f>((Tableau!$G$35-P106)/(AE106^2+Tableau!$G$40^2)^(3/2))*Tableau!$G$39</f>
        <v>3.6694934750572734E-2</v>
      </c>
      <c r="AA106" s="97">
        <f>((Tableau!$H$35-Q106)/(AE106^2+Tableau!$G$40^2)^(3/2))*Tableau!$G$39</f>
        <v>-1.7996785856462576E-2</v>
      </c>
      <c r="AC106" s="110">
        <f>SQRT((Tableau!$G$16-P106)^2+(Tableau!$H$16-Q106)^2)</f>
        <v>3591940.2690339717</v>
      </c>
      <c r="AD106" s="111">
        <f>SQRT((Tableau!$G$25-P106)^2+(Tableau!$H$25-Q106)^2)</f>
        <v>3554825.814546864</v>
      </c>
      <c r="AE106" s="112">
        <f>SQRT((Tableau!$G$35-P106)^2+(Tableau!$H$35-Q106)^2)</f>
        <v>3579266.4192941324</v>
      </c>
    </row>
    <row r="107" spans="2:31" x14ac:dyDescent="0.25">
      <c r="B107" s="18">
        <v>104</v>
      </c>
      <c r="C107" s="19">
        <f>Tableau!$G$17*COS(B107*PI()/180)+Tableau!$G$16</f>
        <v>18790.39052200166</v>
      </c>
      <c r="D107" s="19">
        <f>Tableau!$G$17*SIN(B107*PI()/180)+Tableau!$H$16</f>
        <v>12351.478631379981</v>
      </c>
      <c r="F107" s="26">
        <v>104</v>
      </c>
      <c r="G107" s="27">
        <f>Tableau!$G$26*COS(F107*PI()/180)+Tableau!$G$25</f>
        <v>-20846.726634598836</v>
      </c>
      <c r="H107" s="27">
        <f>Tableau!$G$26*SIN(F107*PI()/180)+Tableau!$H$25</f>
        <v>13396.035041965988</v>
      </c>
      <c r="J107" s="34">
        <v>104</v>
      </c>
      <c r="K107" s="35">
        <f>Tableau!$G$36*COS(J107*PI()/180)+Tableau!$G$35</f>
        <v>-6209.6094779983387</v>
      </c>
      <c r="L107" s="35">
        <f>Tableau!$G$36*SIN(J107*PI()/180)+Tableau!$H$35</f>
        <v>-10148.521368620019</v>
      </c>
      <c r="N107" s="98">
        <v>103</v>
      </c>
      <c r="O107" s="99">
        <v>51.5</v>
      </c>
      <c r="P107" s="101">
        <f>P106+R106*Tableau!$G$2+((1/2)*T106)*Tableau!$G$2^2</f>
        <v>-3252934.133094464</v>
      </c>
      <c r="Q107" s="101">
        <f>Q106+S106*Tableau!$G$2+((1/2)*U106)*Tableau!$G$2^2</f>
        <v>1577981.6920009716</v>
      </c>
      <c r="R107" s="101">
        <f>R106+T106*Tableau!$G$2</f>
        <v>-68701.447598463972</v>
      </c>
      <c r="S107" s="101">
        <f>S106+U106*Tableau!$G$2</f>
        <v>33802.311093124692</v>
      </c>
      <c r="T107" s="101">
        <f t="shared" si="2"/>
        <v>8.4259411884509944E-2</v>
      </c>
      <c r="U107" s="101">
        <f t="shared" si="3"/>
        <v>-4.0877113321109826E-2</v>
      </c>
      <c r="V107" s="101">
        <f>((Tableau!$G$16-P107)/(AC107^2+Tableau!$G$21^2)^(3/2))*Tableau!$G$20</f>
        <v>3.5820891733047568E-2</v>
      </c>
      <c r="W107" s="101">
        <f>((Tableau!$H$16-Q107)/(AC107^2+Tableau!$G$21^2)^(3/2))*Tableau!$G$20</f>
        <v>-1.7188263610032291E-2</v>
      </c>
      <c r="X107" s="101">
        <f>((Tableau!$G$25-P107)/(AD107^2+Tableau!$G$30^2)^(3/2))*Tableau!$G$29</f>
        <v>1.25163746204333E-2</v>
      </c>
      <c r="Y107" s="101">
        <f>((Tableau!$H$25-Q107)/(AD107^2+Tableau!$G$30^2)^(3/2))*Tableau!$G$29</f>
        <v>-6.0704751309857835E-3</v>
      </c>
      <c r="Z107" s="101">
        <f>((Tableau!$G$35-P107)/(AE107^2+Tableau!$G$40^2)^(3/2))*Tableau!$G$39</f>
        <v>3.5922145531029084E-2</v>
      </c>
      <c r="AA107" s="102">
        <f>((Tableau!$H$35-Q107)/(AE107^2+Tableau!$G$40^2)^(3/2))*Tableau!$G$39</f>
        <v>-1.7618374580091755E-2</v>
      </c>
      <c r="AC107" s="113">
        <f>SQRT((Tableau!$G$16-P107)^2+(Tableau!$H$16-Q107)^2)</f>
        <v>3630221.8368145279</v>
      </c>
      <c r="AD107" s="114">
        <f>SQRT((Tableau!$G$25-P107)^2+(Tableau!$H$25-Q107)^2)</f>
        <v>3593108.6395178041</v>
      </c>
      <c r="AE107" s="115">
        <f>SQRT((Tableau!$G$35-P107)^2+(Tableau!$H$35-Q107)^2)</f>
        <v>3617549.8343451149</v>
      </c>
    </row>
    <row r="108" spans="2:31" x14ac:dyDescent="0.25">
      <c r="B108" s="20">
        <v>105</v>
      </c>
      <c r="C108" s="21">
        <f>Tableau!$G$17*COS(B108*PI()/180)+Tableau!$G$16</f>
        <v>18705.904774487397</v>
      </c>
      <c r="D108" s="21">
        <f>Tableau!$G$17*SIN(B108*PI()/180)+Tableau!$H$16</f>
        <v>12329.629131445341</v>
      </c>
      <c r="F108" s="28">
        <v>105</v>
      </c>
      <c r="G108" s="29">
        <f>Tableau!$G$26*COS(F108*PI()/180)+Tableau!$G$25</f>
        <v>-20905.866657858824</v>
      </c>
      <c r="H108" s="29">
        <f>Tableau!$G$26*SIN(F108*PI()/180)+Tableau!$H$25</f>
        <v>13380.740392011739</v>
      </c>
      <c r="J108" s="36">
        <v>105</v>
      </c>
      <c r="K108" s="37">
        <f>Tableau!$G$36*COS(J108*PI()/180)+Tableau!$G$35</f>
        <v>-6294.095225512604</v>
      </c>
      <c r="L108" s="37">
        <f>Tableau!$G$36*SIN(J108*PI()/180)+Tableau!$H$35</f>
        <v>-10170.370868554659</v>
      </c>
      <c r="N108" s="92">
        <v>104</v>
      </c>
      <c r="O108" s="93">
        <v>52</v>
      </c>
      <c r="P108" s="96">
        <f>P107+R107*Tableau!$G$2+((1/2)*T107)*Tableau!$G$2^2</f>
        <v>-3287284.8463612692</v>
      </c>
      <c r="Q108" s="96">
        <f>Q107+S107*Tableau!$G$2+((1/2)*U107)*Tableau!$G$2^2</f>
        <v>1594882.8424378948</v>
      </c>
      <c r="R108" s="96">
        <f>R107+T107*Tableau!$G$2</f>
        <v>-68701.405468758036</v>
      </c>
      <c r="S108" s="96">
        <f>S107+U107*Tableau!$G$2</f>
        <v>33802.290654568031</v>
      </c>
      <c r="T108" s="96">
        <f t="shared" si="2"/>
        <v>8.2502490299878689E-2</v>
      </c>
      <c r="U108" s="96">
        <f t="shared" si="3"/>
        <v>-4.0030678919874406E-2</v>
      </c>
      <c r="V108" s="96">
        <f>((Tableau!$G$16-P108)/(AC108^2+Tableau!$G$21^2)^(3/2))*Tableau!$G$20</f>
        <v>3.5075465093326159E-2</v>
      </c>
      <c r="W108" s="96">
        <f>((Tableau!$H$16-Q108)/(AC108^2+Tableau!$G$21^2)^(3/2))*Tableau!$G$20</f>
        <v>-1.6835015448074673E-2</v>
      </c>
      <c r="X108" s="96">
        <f>((Tableau!$G$25-P108)/(AD108^2+Tableau!$G$30^2)^(3/2))*Tableau!$G$29</f>
        <v>1.2253510840853772E-2</v>
      </c>
      <c r="Y108" s="96">
        <f>((Tableau!$H$25-Q108)/(AD108^2+Tableau!$G$30^2)^(3/2))*Tableau!$G$29</f>
        <v>-5.943889193782444E-3</v>
      </c>
      <c r="Z108" s="96">
        <f>((Tableau!$G$35-P108)/(AE108^2+Tableau!$G$40^2)^(3/2))*Tableau!$G$39</f>
        <v>3.5173514365698766E-2</v>
      </c>
      <c r="AA108" s="97">
        <f>((Tableau!$H$35-Q108)/(AE108^2+Tableau!$G$40^2)^(3/2))*Tableau!$G$39</f>
        <v>-1.7251774278017287E-2</v>
      </c>
      <c r="AC108" s="110">
        <f>SQRT((Tableau!$G$16-P108)^2+(Tableau!$H$16-Q108)^2)</f>
        <v>3668503.420120676</v>
      </c>
      <c r="AD108" s="111">
        <f>SQRT((Tableau!$G$25-P108)^2+(Tableau!$H$25-Q108)^2)</f>
        <v>3631391.4539079927</v>
      </c>
      <c r="AE108" s="112">
        <f>SQRT((Tableau!$G$35-P108)^2+(Tableau!$H$35-Q108)^2)</f>
        <v>3655833.2263697064</v>
      </c>
    </row>
    <row r="109" spans="2:31" x14ac:dyDescent="0.25">
      <c r="B109" s="18">
        <v>106</v>
      </c>
      <c r="C109" s="19">
        <f>Tableau!$G$17*COS(B109*PI()/180)+Tableau!$G$16</f>
        <v>18621.813220915006</v>
      </c>
      <c r="D109" s="19">
        <f>Tableau!$G$17*SIN(B109*PI()/180)+Tableau!$H$16</f>
        <v>12306.308479691594</v>
      </c>
      <c r="F109" s="26">
        <v>106</v>
      </c>
      <c r="G109" s="27">
        <f>Tableau!$G$26*COS(F109*PI()/180)+Tableau!$G$25</f>
        <v>-20964.730745359499</v>
      </c>
      <c r="H109" s="27">
        <f>Tableau!$G$26*SIN(F109*PI()/180)+Tableau!$H$25</f>
        <v>13364.415935784116</v>
      </c>
      <c r="J109" s="34">
        <v>106</v>
      </c>
      <c r="K109" s="35">
        <f>Tableau!$G$36*COS(J109*PI()/180)+Tableau!$G$35</f>
        <v>-6378.1867790849956</v>
      </c>
      <c r="L109" s="35">
        <f>Tableau!$G$36*SIN(J109*PI()/180)+Tableau!$H$35</f>
        <v>-10193.691520308406</v>
      </c>
      <c r="N109" s="98">
        <v>105</v>
      </c>
      <c r="O109" s="99">
        <v>52.5</v>
      </c>
      <c r="P109" s="101">
        <f>P108+R108*Tableau!$G$2+((1/2)*T108)*Tableau!$G$2^2</f>
        <v>-3321635.5387828369</v>
      </c>
      <c r="Q109" s="101">
        <f>Q108+S108*Tableau!$G$2+((1/2)*U108)*Tableau!$G$2^2</f>
        <v>1611783.9827613439</v>
      </c>
      <c r="R109" s="101">
        <f>R108+T108*Tableau!$G$2</f>
        <v>-68701.364217512892</v>
      </c>
      <c r="S109" s="101">
        <f>S108+U108*Tableau!$G$2</f>
        <v>33802.270639228569</v>
      </c>
      <c r="T109" s="101">
        <f t="shared" si="2"/>
        <v>8.0799952676697678E-2</v>
      </c>
      <c r="U109" s="101">
        <f t="shared" si="3"/>
        <v>-3.9210265033238371E-2</v>
      </c>
      <c r="V109" s="101">
        <f>((Tableau!$G$16-P109)/(AC109^2+Tableau!$G$21^2)^(3/2))*Tableau!$G$20</f>
        <v>3.435306619263901E-2</v>
      </c>
      <c r="W109" s="101">
        <f>((Tableau!$H$16-Q109)/(AC109^2+Tableau!$G$21^2)^(3/2))*Tableau!$G$20</f>
        <v>-1.6492544806865777E-2</v>
      </c>
      <c r="X109" s="101">
        <f>((Tableau!$G$25-P109)/(AD109^2+Tableau!$G$30^2)^(3/2))*Tableau!$G$29</f>
        <v>1.1998841784700303E-2</v>
      </c>
      <c r="Y109" s="101">
        <f>((Tableau!$H$25-Q109)/(AD109^2+Tableau!$G$30^2)^(3/2))*Tableau!$G$29</f>
        <v>-5.8212217419690909E-3</v>
      </c>
      <c r="Z109" s="101">
        <f>((Tableau!$G$35-P109)/(AE109^2+Tableau!$G$40^2)^(3/2))*Tableau!$G$39</f>
        <v>3.444804469935836E-2</v>
      </c>
      <c r="AA109" s="102">
        <f>((Tableau!$H$35-Q109)/(AE109^2+Tableau!$G$40^2)^(3/2))*Tableau!$G$39</f>
        <v>-1.6896498484403503E-2</v>
      </c>
      <c r="AC109" s="113">
        <f>SQRT((Tableau!$G$16-P109)^2+(Tableau!$H$16-Q109)^2)</f>
        <v>3706785.0182335987</v>
      </c>
      <c r="AD109" s="114">
        <f>SQRT((Tableau!$G$25-P109)^2+(Tableau!$H$25-Q109)^2)</f>
        <v>3669674.2578033581</v>
      </c>
      <c r="AE109" s="115">
        <f>SQRT((Tableau!$G$35-P109)^2+(Tableau!$H$35-Q109)^2)</f>
        <v>3694116.5958434744</v>
      </c>
    </row>
    <row r="110" spans="2:31" x14ac:dyDescent="0.25">
      <c r="B110" s="20">
        <v>107</v>
      </c>
      <c r="C110" s="21">
        <f>Tableau!$G$17*COS(B110*PI()/180)+Tableau!$G$16</f>
        <v>18538.141476386318</v>
      </c>
      <c r="D110" s="21">
        <f>Tableau!$G$17*SIN(B110*PI()/180)+Tableau!$H$16</f>
        <v>12281.523779815177</v>
      </c>
      <c r="F110" s="28">
        <v>107</v>
      </c>
      <c r="G110" s="29">
        <f>Tableau!$G$26*COS(F110*PI()/180)+Tableau!$G$25</f>
        <v>-21023.300966529579</v>
      </c>
      <c r="H110" s="29">
        <f>Tableau!$G$26*SIN(F110*PI()/180)+Tableau!$H$25</f>
        <v>13347.066645870626</v>
      </c>
      <c r="J110" s="36">
        <v>107</v>
      </c>
      <c r="K110" s="37">
        <f>Tableau!$G$36*COS(J110*PI()/180)+Tableau!$G$35</f>
        <v>-6461.8585236136832</v>
      </c>
      <c r="L110" s="37">
        <f>Tableau!$G$36*SIN(J110*PI()/180)+Tableau!$H$35</f>
        <v>-10218.476220184823</v>
      </c>
      <c r="N110" s="92">
        <v>106</v>
      </c>
      <c r="O110" s="93">
        <v>53</v>
      </c>
      <c r="P110" s="96">
        <f>P109+R109*Tableau!$G$2+((1/2)*T109)*Tableau!$G$2^2</f>
        <v>-3355986.2107915995</v>
      </c>
      <c r="Q110" s="96">
        <f>Q109+S109*Tableau!$G$2+((1/2)*U109)*Tableau!$G$2^2</f>
        <v>1628685.1131796751</v>
      </c>
      <c r="R110" s="96">
        <f>R109+T109*Tableau!$G$2</f>
        <v>-68701.323817536555</v>
      </c>
      <c r="S110" s="96">
        <f>S109+U109*Tableau!$G$2</f>
        <v>33802.251034096051</v>
      </c>
      <c r="T110" s="96">
        <f t="shared" si="2"/>
        <v>7.9149577415588257E-2</v>
      </c>
      <c r="U110" s="96">
        <f t="shared" si="3"/>
        <v>-3.8414815964107243E-2</v>
      </c>
      <c r="V110" s="96">
        <f>((Tableau!$G$16-P110)/(AC110^2+Tableau!$G$21^2)^(3/2))*Tableau!$G$20</f>
        <v>3.3652756242433773E-2</v>
      </c>
      <c r="W110" s="96">
        <f>((Tableau!$H$16-Q110)/(AC110^2+Tableau!$G$21^2)^(3/2))*Tableau!$G$20</f>
        <v>-1.6160417736097756E-2</v>
      </c>
      <c r="X110" s="96">
        <f>((Tableau!$G$25-P110)/(AD110^2+Tableau!$G$30^2)^(3/2))*Tableau!$G$29</f>
        <v>1.1752030334119245E-2</v>
      </c>
      <c r="Y110" s="96">
        <f>((Tableau!$H$25-Q110)/(AD110^2+Tableau!$G$30^2)^(3/2))*Tableau!$G$29</f>
        <v>-5.7023127043923953E-3</v>
      </c>
      <c r="Z110" s="96">
        <f>((Tableau!$G$35-P110)/(AE110^2+Tableau!$G$40^2)^(3/2))*Tableau!$G$39</f>
        <v>3.3744790839035248E-2</v>
      </c>
      <c r="AA110" s="97">
        <f>((Tableau!$H$35-Q110)/(AE110^2+Tableau!$G$40^2)^(3/2))*Tableau!$G$39</f>
        <v>-1.6552085523617088E-2</v>
      </c>
      <c r="AC110" s="110">
        <f>SQRT((Tableau!$G$16-P110)^2+(Tableau!$H$16-Q110)^2)</f>
        <v>3745066.6304687313</v>
      </c>
      <c r="AD110" s="111">
        <f>SQRT((Tableau!$G$25-P110)^2+(Tableau!$H$25-Q110)^2)</f>
        <v>3707957.0512913428</v>
      </c>
      <c r="AE110" s="112">
        <f>SQRT((Tableau!$G$35-P110)^2+(Tableau!$H$35-Q110)^2)</f>
        <v>3732399.9432274029</v>
      </c>
    </row>
    <row r="111" spans="2:31" x14ac:dyDescent="0.25">
      <c r="B111" s="18">
        <v>108</v>
      </c>
      <c r="C111" s="19">
        <f>Tableau!$G$17*COS(B111*PI()/180)+Tableau!$G$16</f>
        <v>18454.915028125262</v>
      </c>
      <c r="D111" s="19">
        <f>Tableau!$G$17*SIN(B111*PI()/180)+Tableau!$H$16</f>
        <v>12255.282581475767</v>
      </c>
      <c r="F111" s="26">
        <v>108</v>
      </c>
      <c r="G111" s="27">
        <f>Tableau!$G$26*COS(F111*PI()/180)+Tableau!$G$25</f>
        <v>-21081.559480312317</v>
      </c>
      <c r="H111" s="27">
        <f>Tableau!$G$26*SIN(F111*PI()/180)+Tableau!$H$25</f>
        <v>13328.697807033037</v>
      </c>
      <c r="J111" s="34">
        <v>108</v>
      </c>
      <c r="K111" s="35">
        <f>Tableau!$G$36*COS(J111*PI()/180)+Tableau!$G$35</f>
        <v>-6545.0849718747368</v>
      </c>
      <c r="L111" s="35">
        <f>Tableau!$G$36*SIN(J111*PI()/180)+Tableau!$H$35</f>
        <v>-10244.717418524233</v>
      </c>
      <c r="N111" s="98">
        <v>107</v>
      </c>
      <c r="O111" s="99">
        <v>53.5</v>
      </c>
      <c r="P111" s="101">
        <f>P110+R110*Tableau!$G$2+((1/2)*T110)*Tableau!$G$2^2</f>
        <v>-3390336.8628066704</v>
      </c>
      <c r="Q111" s="101">
        <f>Q110+S110*Tableau!$G$2+((1/2)*U110)*Tableau!$G$2^2</f>
        <v>1645586.2338948711</v>
      </c>
      <c r="R111" s="101">
        <f>R110+T110*Tableau!$G$2</f>
        <v>-68701.284242747846</v>
      </c>
      <c r="S111" s="101">
        <f>S110+U110*Tableau!$G$2</f>
        <v>33802.231826688068</v>
      </c>
      <c r="T111" s="101">
        <f t="shared" si="2"/>
        <v>7.7549255210186657E-2</v>
      </c>
      <c r="U111" s="101">
        <f t="shared" si="3"/>
        <v>-3.7643329015737047E-2</v>
      </c>
      <c r="V111" s="101">
        <f>((Tableau!$G$16-P111)/(AC111^2+Tableau!$G$21^2)^(3/2))*Tableau!$G$20</f>
        <v>3.2973643809642454E-2</v>
      </c>
      <c r="W111" s="101">
        <f>((Tableau!$H$16-Q111)/(AC111^2+Tableau!$G$21^2)^(3/2))*Tableau!$G$20</f>
        <v>-1.5838221905584857E-2</v>
      </c>
      <c r="X111" s="101">
        <f>((Tableau!$G$25-P111)/(AD111^2+Tableau!$G$30^2)^(3/2))*Tableau!$G$29</f>
        <v>1.1512756530153295E-2</v>
      </c>
      <c r="Y111" s="101">
        <f>((Tableau!$H$25-Q111)/(AD111^2+Tableau!$G$30^2)^(3/2))*Tableau!$G$29</f>
        <v>-5.587010100593065E-3</v>
      </c>
      <c r="Z111" s="101">
        <f>((Tableau!$G$35-P111)/(AE111^2+Tableau!$G$40^2)^(3/2))*Tableau!$G$39</f>
        <v>3.3062854870390908E-2</v>
      </c>
      <c r="AA111" s="102">
        <f>((Tableau!$H$35-Q111)/(AE111^2+Tableau!$G$40^2)^(3/2))*Tableau!$G$39</f>
        <v>-1.6218097009559125E-2</v>
      </c>
      <c r="AC111" s="113">
        <f>SQRT((Tableau!$G$16-P111)^2+(Tableau!$H$16-Q111)^2)</f>
        <v>3783348.2561738784</v>
      </c>
      <c r="AD111" s="114">
        <f>SQRT((Tableau!$G$25-P111)^2+(Tableau!$H$25-Q111)^2)</f>
        <v>3746239.8344606715</v>
      </c>
      <c r="AE111" s="115">
        <f>SQRT((Tableau!$G$35-P111)^2+(Tableau!$H$35-Q111)^2)</f>
        <v>3770683.2689684848</v>
      </c>
    </row>
    <row r="112" spans="2:31" x14ac:dyDescent="0.25">
      <c r="B112" s="20">
        <v>109</v>
      </c>
      <c r="C112" s="21">
        <f>Tableau!$G$17*COS(B112*PI()/180)+Tableau!$G$16</f>
        <v>18372.159227714219</v>
      </c>
      <c r="D112" s="21">
        <f>Tableau!$G$17*SIN(B112*PI()/180)+Tableau!$H$16</f>
        <v>12227.592877996583</v>
      </c>
      <c r="F112" s="28">
        <v>109</v>
      </c>
      <c r="G112" s="29">
        <f>Tableau!$G$26*COS(F112*PI()/180)+Tableau!$G$25</f>
        <v>-21139.488540600047</v>
      </c>
      <c r="H112" s="29">
        <f>Tableau!$G$26*SIN(F112*PI()/180)+Tableau!$H$25</f>
        <v>13309.315014597609</v>
      </c>
      <c r="J112" s="36">
        <v>109</v>
      </c>
      <c r="K112" s="37">
        <f>Tableau!$G$36*COS(J112*PI()/180)+Tableau!$G$35</f>
        <v>-6627.8407722857819</v>
      </c>
      <c r="L112" s="37">
        <f>Tableau!$G$36*SIN(J112*PI()/180)+Tableau!$H$35</f>
        <v>-10272.407122003417</v>
      </c>
      <c r="N112" s="92">
        <v>108</v>
      </c>
      <c r="O112" s="93">
        <v>54</v>
      </c>
      <c r="P112" s="96">
        <f>P111+R111*Tableau!$G$2+((1/2)*T111)*Tableau!$G$2^2</f>
        <v>-3424687.4952343875</v>
      </c>
      <c r="Q112" s="96">
        <f>Q111+S111*Tableau!$G$2+((1/2)*U111)*Tableau!$G$2^2</f>
        <v>1662487.3451027991</v>
      </c>
      <c r="R112" s="96">
        <f>R111+T111*Tableau!$G$2</f>
        <v>-68701.245468120236</v>
      </c>
      <c r="S112" s="96">
        <f>S111+U111*Tableau!$G$2</f>
        <v>33802.213005023557</v>
      </c>
      <c r="T112" s="96">
        <f t="shared" si="2"/>
        <v>7.5996982304241095E-2</v>
      </c>
      <c r="U112" s="96">
        <f t="shared" si="3"/>
        <v>-3.6894851330558434E-2</v>
      </c>
      <c r="V112" s="96">
        <f>((Tableau!$G$16-P112)/(AC112^2+Tableau!$G$21^2)^(3/2))*Tableau!$G$20</f>
        <v>3.2314881978931488E-2</v>
      </c>
      <c r="W112" s="96">
        <f>((Tableau!$H$16-Q112)/(AC112^2+Tableau!$G$21^2)^(3/2))*Tableau!$G$20</f>
        <v>-1.5525565325624151E-2</v>
      </c>
      <c r="X112" s="96">
        <f>((Tableau!$G$25-P112)/(AD112^2+Tableau!$G$30^2)^(3/2))*Tableau!$G$29</f>
        <v>1.1280716535277931E-2</v>
      </c>
      <c r="Y112" s="96">
        <f>((Tableau!$H$25-Q112)/(AD112^2+Tableau!$G$30^2)^(3/2))*Tableau!$G$29</f>
        <v>-5.47516955501238E-3</v>
      </c>
      <c r="Z112" s="96">
        <f>((Tableau!$G$35-P112)/(AE112^2+Tableau!$G$40^2)^(3/2))*Tableau!$G$39</f>
        <v>3.2401383790031671E-2</v>
      </c>
      <c r="AA112" s="97">
        <f>((Tableau!$H$35-Q112)/(AE112^2+Tableau!$G$40^2)^(3/2))*Tableau!$G$39</f>
        <v>-1.5894116449921902E-2</v>
      </c>
      <c r="AC112" s="110">
        <f>SQRT((Tableau!$G$16-P112)^2+(Tableau!$H$16-Q112)^2)</f>
        <v>3821629.8947274541</v>
      </c>
      <c r="AD112" s="111">
        <f>SQRT((Tableau!$G$25-P112)^2+(Tableau!$H$25-Q112)^2)</f>
        <v>3784522.6074011377</v>
      </c>
      <c r="AE112" s="112">
        <f>SQRT((Tableau!$G$35-P112)^2+(Tableau!$H$35-Q112)^2)</f>
        <v>3808966.5735002817</v>
      </c>
    </row>
    <row r="113" spans="2:31" x14ac:dyDescent="0.25">
      <c r="B113" s="18">
        <v>110</v>
      </c>
      <c r="C113" s="19">
        <f>Tableau!$G$17*COS(B113*PI()/180)+Tableau!$G$16</f>
        <v>18289.899283371655</v>
      </c>
      <c r="D113" s="19">
        <f>Tableau!$G$17*SIN(B113*PI()/180)+Tableau!$H$16</f>
        <v>12198.463103929542</v>
      </c>
      <c r="F113" s="26">
        <v>110</v>
      </c>
      <c r="G113" s="27">
        <f>Tableau!$G$26*COS(F113*PI()/180)+Tableau!$G$25</f>
        <v>-21197.070501639842</v>
      </c>
      <c r="H113" s="27">
        <f>Tableau!$G$26*SIN(F113*PI()/180)+Tableau!$H$25</f>
        <v>13288.92417275068</v>
      </c>
      <c r="J113" s="34">
        <v>110</v>
      </c>
      <c r="K113" s="35">
        <f>Tableau!$G$36*COS(J113*PI()/180)+Tableau!$G$35</f>
        <v>-6710.1007166283434</v>
      </c>
      <c r="L113" s="35">
        <f>Tableau!$G$36*SIN(J113*PI()/180)+Tableau!$H$35</f>
        <v>-10301.536896070458</v>
      </c>
      <c r="N113" s="98">
        <v>109</v>
      </c>
      <c r="O113" s="99">
        <v>54.5</v>
      </c>
      <c r="P113" s="101">
        <f>P112+R112*Tableau!$G$2+((1/2)*T112)*Tableau!$G$2^2</f>
        <v>-3459038.1084688245</v>
      </c>
      <c r="Q113" s="101">
        <f>Q112+S112*Tableau!$G$2+((1/2)*U112)*Tableau!$G$2^2</f>
        <v>1679388.4469934546</v>
      </c>
      <c r="R113" s="101">
        <f>R112+T112*Tableau!$G$2</f>
        <v>-68701.20746962908</v>
      </c>
      <c r="S113" s="101">
        <f>S112+U112*Tableau!$G$2</f>
        <v>33802.19455759789</v>
      </c>
      <c r="T113" s="101">
        <f t="shared" si="2"/>
        <v>7.4490854216396868E-2</v>
      </c>
      <c r="U113" s="101">
        <f t="shared" si="3"/>
        <v>-3.6168476946799963E-2</v>
      </c>
      <c r="V113" s="101">
        <f>((Tableau!$G$16-P113)/(AC113^2+Tableau!$G$21^2)^(3/2))*Tableau!$G$20</f>
        <v>3.1675665711372578E-2</v>
      </c>
      <c r="W113" s="101">
        <f>((Tableau!$H$16-Q113)/(AC113^2+Tableau!$G$21^2)^(3/2))*Tableau!$G$20</f>
        <v>-1.5222075154841631E-2</v>
      </c>
      <c r="X113" s="101">
        <f>((Tableau!$G$25-P113)/(AD113^2+Tableau!$G$30^2)^(3/2))*Tableau!$G$29</f>
        <v>1.1055621668388558E-2</v>
      </c>
      <c r="Y113" s="101">
        <f>((Tableau!$H$25-Q113)/(AD113^2+Tableau!$G$30^2)^(3/2))*Tableau!$G$29</f>
        <v>-5.3666538448902644E-3</v>
      </c>
      <c r="Z113" s="101">
        <f>((Tableau!$G$35-P113)/(AE113^2+Tableau!$G$40^2)^(3/2))*Tableau!$G$39</f>
        <v>3.1759566836635736E-2</v>
      </c>
      <c r="AA113" s="102">
        <f>((Tableau!$H$35-Q113)/(AE113^2+Tableau!$G$40^2)^(3/2))*Tableau!$G$39</f>
        <v>-1.5579747947068069E-2</v>
      </c>
      <c r="AC113" s="113">
        <f>SQRT((Tableau!$G$16-P113)^2+(Tableau!$H$16-Q113)^2)</f>
        <v>3859911.5455368301</v>
      </c>
      <c r="AD113" s="114">
        <f>SQRT((Tableau!$G$25-P113)^2+(Tableau!$H$25-Q113)^2)</f>
        <v>3822805.3702034126</v>
      </c>
      <c r="AE113" s="115">
        <f>SQRT((Tableau!$G$35-P113)^2+(Tableau!$H$35-Q113)^2)</f>
        <v>3847249.857243455</v>
      </c>
    </row>
    <row r="114" spans="2:31" x14ac:dyDescent="0.25">
      <c r="B114" s="20">
        <v>111</v>
      </c>
      <c r="C114" s="21">
        <f>Tableau!$G$17*COS(B114*PI()/180)+Tableau!$G$16</f>
        <v>18208.160252273497</v>
      </c>
      <c r="D114" s="21">
        <f>Tableau!$G$17*SIN(B114*PI()/180)+Tableau!$H$16</f>
        <v>12167.902132486008</v>
      </c>
      <c r="F114" s="28">
        <v>111</v>
      </c>
      <c r="G114" s="29">
        <f>Tableau!$G$26*COS(F114*PI()/180)+Tableau!$G$25</f>
        <v>-21254.287823408551</v>
      </c>
      <c r="H114" s="29">
        <f>Tableau!$G$26*SIN(F114*PI()/180)+Tableau!$H$25</f>
        <v>13267.531492740207</v>
      </c>
      <c r="J114" s="36">
        <v>111</v>
      </c>
      <c r="K114" s="37">
        <f>Tableau!$G$36*COS(J114*PI()/180)+Tableau!$G$35</f>
        <v>-6791.8397477265016</v>
      </c>
      <c r="L114" s="37">
        <f>Tableau!$G$36*SIN(J114*PI()/180)+Tableau!$H$35</f>
        <v>-10332.097867513992</v>
      </c>
      <c r="N114" s="92">
        <v>110</v>
      </c>
      <c r="O114" s="93">
        <v>55</v>
      </c>
      <c r="P114" s="96">
        <f>P113+R113*Tableau!$G$2+((1/2)*T113)*Tableau!$G$2^2</f>
        <v>-3493388.7028922825</v>
      </c>
      <c r="Q114" s="96">
        <f>Q113+S113*Tableau!$G$2+((1/2)*U113)*Tableau!$G$2^2</f>
        <v>1696289.539751194</v>
      </c>
      <c r="R114" s="96">
        <f>R113+T113*Tableau!$G$2</f>
        <v>-68701.170224201967</v>
      </c>
      <c r="S114" s="96">
        <f>S113+U113*Tableau!$G$2</f>
        <v>33802.176473359417</v>
      </c>
      <c r="T114" s="96">
        <f t="shared" si="2"/>
        <v>7.3029059895961757E-2</v>
      </c>
      <c r="U114" s="96">
        <f t="shared" si="3"/>
        <v>-3.5463344055929269E-2</v>
      </c>
      <c r="V114" s="96">
        <f>((Tableau!$G$16-P114)/(AC114^2+Tableau!$G$21^2)^(3/2))*Tableau!$G$20</f>
        <v>3.1055229384149594E-2</v>
      </c>
      <c r="W114" s="96">
        <f>((Tableau!$H$16-Q114)/(AC114^2+Tableau!$G$21^2)^(3/2))*Tableau!$G$20</f>
        <v>-1.4927396588755323E-2</v>
      </c>
      <c r="X114" s="96">
        <f>((Tableau!$G$25-P114)/(AD114^2+Tableau!$G$30^2)^(3/2))*Tableau!$G$29</f>
        <v>1.0837197506512783E-2</v>
      </c>
      <c r="Y114" s="96">
        <f>((Tableau!$H$25-Q114)/(AD114^2+Tableau!$G$30^2)^(3/2))*Tableau!$G$29</f>
        <v>-5.2613324792105667E-3</v>
      </c>
      <c r="Z114" s="96">
        <f>((Tableau!$G$35-P114)/(AE114^2+Tableau!$G$40^2)^(3/2))*Tableau!$G$39</f>
        <v>3.1136633005299376E-2</v>
      </c>
      <c r="AA114" s="97">
        <f>((Tableau!$H$35-Q114)/(AE114^2+Tableau!$G$40^2)^(3/2))*Tableau!$G$39</f>
        <v>-1.5274614987963384E-2</v>
      </c>
      <c r="AC114" s="110">
        <f>SQRT((Tableau!$G$16-P114)^2+(Tableau!$H$16-Q114)^2)</f>
        <v>3898193.2080367906</v>
      </c>
      <c r="AD114" s="111">
        <f>SQRT((Tableau!$G$25-P114)^2+(Tableau!$H$25-Q114)^2)</f>
        <v>3861088.1229588669</v>
      </c>
      <c r="AE114" s="112">
        <f>SQRT((Tableau!$G$35-P114)^2+(Tableau!$H$35-Q114)^2)</f>
        <v>3885533.1206062771</v>
      </c>
    </row>
    <row r="115" spans="2:31" x14ac:dyDescent="0.25">
      <c r="B115" s="18">
        <v>112</v>
      </c>
      <c r="C115" s="19">
        <f>Tableau!$G$17*COS(B115*PI()/180)+Tableau!$G$16</f>
        <v>18126.967032920438</v>
      </c>
      <c r="D115" s="19">
        <f>Tableau!$G$17*SIN(B115*PI()/180)+Tableau!$H$16</f>
        <v>12135.919272833937</v>
      </c>
      <c r="F115" s="26">
        <v>112</v>
      </c>
      <c r="G115" s="27">
        <f>Tableau!$G$26*COS(F115*PI()/180)+Tableau!$G$25</f>
        <v>-21311.123076955693</v>
      </c>
      <c r="H115" s="27">
        <f>Tableau!$G$26*SIN(F115*PI()/180)+Tableau!$H$25</f>
        <v>13245.143490983755</v>
      </c>
      <c r="J115" s="34">
        <v>112</v>
      </c>
      <c r="K115" s="35">
        <f>Tableau!$G$36*COS(J115*PI()/180)+Tableau!$G$35</f>
        <v>-6873.03296707956</v>
      </c>
      <c r="L115" s="35">
        <f>Tableau!$G$36*SIN(J115*PI()/180)+Tableau!$H$35</f>
        <v>-10364.080727166063</v>
      </c>
      <c r="N115" s="98">
        <v>111</v>
      </c>
      <c r="O115" s="99">
        <v>55.5</v>
      </c>
      <c r="P115" s="101">
        <f>P114+R114*Tableau!$G$2+((1/2)*T114)*Tableau!$G$2^2</f>
        <v>-3527739.278875751</v>
      </c>
      <c r="Q115" s="101">
        <f>Q114+S114*Tableau!$G$2+((1/2)*U114)*Tableau!$G$2^2</f>
        <v>1713190.6235549557</v>
      </c>
      <c r="R115" s="101">
        <f>R114+T114*Tableau!$G$2</f>
        <v>-68701.133709672024</v>
      </c>
      <c r="S115" s="101">
        <f>S114+U114*Tableau!$G$2</f>
        <v>33802.158741687388</v>
      </c>
      <c r="T115" s="101">
        <f t="shared" si="2"/>
        <v>7.1609876276152562E-2</v>
      </c>
      <c r="U115" s="101">
        <f t="shared" si="3"/>
        <v>-3.4778632445404981E-2</v>
      </c>
      <c r="V115" s="101">
        <f>((Tableau!$G$16-P115)/(AC115^2+Tableau!$G$21^2)^(3/2))*Tableau!$G$20</f>
        <v>3.0452844497259664E-2</v>
      </c>
      <c r="W115" s="101">
        <f>((Tableau!$H$16-Q115)/(AC115^2+Tableau!$G$21^2)^(3/2))*Tableau!$G$20</f>
        <v>-1.4641191822870728E-2</v>
      </c>
      <c r="X115" s="101">
        <f>((Tableau!$G$25-P115)/(AD115^2+Tableau!$G$30^2)^(3/2))*Tableau!$G$29</f>
        <v>1.0625183048027563E-2</v>
      </c>
      <c r="Y115" s="101">
        <f>((Tableau!$H$25-Q115)/(AD115^2+Tableau!$G$30^2)^(3/2))*Tableau!$G$29</f>
        <v>-5.1590813062810372E-3</v>
      </c>
      <c r="Z115" s="101">
        <f>((Tableau!$G$35-P115)/(AE115^2+Tableau!$G$40^2)^(3/2))*Tableau!$G$39</f>
        <v>3.0531848730865337E-2</v>
      </c>
      <c r="AA115" s="102">
        <f>((Tableau!$H$35-Q115)/(AE115^2+Tableau!$G$40^2)^(3/2))*Tableau!$G$39</f>
        <v>-1.4978359316253218E-2</v>
      </c>
      <c r="AC115" s="113">
        <f>SQRT((Tableau!$G$16-P115)^2+(Tableau!$H$16-Q115)^2)</f>
        <v>3936474.8816880728</v>
      </c>
      <c r="AD115" s="114">
        <f>SQRT((Tableau!$G$25-P115)^2+(Tableau!$H$25-Q115)^2)</f>
        <v>3899370.8657594104</v>
      </c>
      <c r="AE115" s="115">
        <f>SQRT((Tableau!$G$35-P115)^2+(Tableau!$H$35-Q115)^2)</f>
        <v>3923816.3639851077</v>
      </c>
    </row>
    <row r="116" spans="2:31" x14ac:dyDescent="0.25">
      <c r="B116" s="20">
        <v>113</v>
      </c>
      <c r="C116" s="21">
        <f>Tableau!$G$17*COS(B116*PI()/180)+Tableau!$G$16</f>
        <v>18046.344357553633</v>
      </c>
      <c r="D116" s="21">
        <f>Tableau!$G$17*SIN(B116*PI()/180)+Tableau!$H$16</f>
        <v>12102.524267262201</v>
      </c>
      <c r="F116" s="28">
        <v>113</v>
      </c>
      <c r="G116" s="29">
        <f>Tableau!$G$26*COS(F116*PI()/180)+Tableau!$G$25</f>
        <v>-21367.558949712457</v>
      </c>
      <c r="H116" s="29">
        <f>Tableau!$G$26*SIN(F116*PI()/180)+Tableau!$H$25</f>
        <v>13221.766987083542</v>
      </c>
      <c r="J116" s="36">
        <v>113</v>
      </c>
      <c r="K116" s="37">
        <f>Tableau!$G$36*COS(J116*PI()/180)+Tableau!$G$35</f>
        <v>-6953.6556424463679</v>
      </c>
      <c r="L116" s="37">
        <f>Tableau!$G$36*SIN(J116*PI()/180)+Tableau!$H$35</f>
        <v>-10397.475732737799</v>
      </c>
      <c r="N116" s="92">
        <v>112</v>
      </c>
      <c r="O116" s="93">
        <v>56</v>
      </c>
      <c r="P116" s="96">
        <f>P115+R115*Tableau!$G$2+((1/2)*T115)*Tableau!$G$2^2</f>
        <v>-3562089.8367793523</v>
      </c>
      <c r="Q116" s="96">
        <f>Q115+S115*Tableau!$G$2+((1/2)*U115)*Tableau!$G$2^2</f>
        <v>1730091.6985784704</v>
      </c>
      <c r="R116" s="96">
        <f>R115+T115*Tableau!$G$2</f>
        <v>-68701.097904733891</v>
      </c>
      <c r="S116" s="96">
        <f>S115+U115*Tableau!$G$2</f>
        <v>33802.141352371167</v>
      </c>
      <c r="T116" s="96">
        <f t="shared" si="2"/>
        <v>7.0231663194226773E-2</v>
      </c>
      <c r="U116" s="96">
        <f t="shared" si="3"/>
        <v>-3.4113561112567511E-2</v>
      </c>
      <c r="V116" s="96">
        <f>((Tableau!$G$16-P116)/(AC116^2+Tableau!$G$21^2)^(3/2))*Tableau!$G$20</f>
        <v>2.9867817534378525E-2</v>
      </c>
      <c r="W116" s="96">
        <f>((Tableau!$H$16-Q116)/(AC116^2+Tableau!$G$21^2)^(3/2))*Tableau!$G$20</f>
        <v>-1.4363139084651083E-2</v>
      </c>
      <c r="X116" s="96">
        <f>((Tableau!$G$25-P116)/(AD116^2+Tableau!$G$30^2)^(3/2))*Tableau!$G$29</f>
        <v>1.0419329932614204E-2</v>
      </c>
      <c r="Y116" s="96">
        <f>((Tableau!$H$25-Q116)/(AD116^2+Tableau!$G$30^2)^(3/2))*Tableau!$G$29</f>
        <v>-5.0597821477435028E-3</v>
      </c>
      <c r="Z116" s="96">
        <f>((Tableau!$G$35-P116)/(AE116^2+Tableau!$G$40^2)^(3/2))*Tableau!$G$39</f>
        <v>2.9944515727234035E-2</v>
      </c>
      <c r="AA116" s="97">
        <f>((Tableau!$H$35-Q116)/(AE116^2+Tableau!$G$40^2)^(3/2))*Tableau!$G$39</f>
        <v>-1.4690639880172926E-2</v>
      </c>
      <c r="AC116" s="110">
        <f>SQRT((Tableau!$G$16-P116)^2+(Tableau!$H$16-Q116)^2)</f>
        <v>3974756.5659760078</v>
      </c>
      <c r="AD116" s="111">
        <f>SQRT((Tableau!$G$25-P116)^2+(Tableau!$H$25-Q116)^2)</f>
        <v>3937653.5986973443</v>
      </c>
      <c r="AE116" s="112">
        <f>SQRT((Tableau!$G$35-P116)^2+(Tableau!$H$35-Q116)^2)</f>
        <v>3962099.5877648569</v>
      </c>
    </row>
    <row r="117" spans="2:31" x14ac:dyDescent="0.25">
      <c r="B117" s="18">
        <v>114</v>
      </c>
      <c r="C117" s="19">
        <f>Tableau!$G$17*COS(B117*PI()/180)+Tableau!$G$16</f>
        <v>17966.316784620998</v>
      </c>
      <c r="D117" s="19">
        <f>Tableau!$G$17*SIN(B117*PI()/180)+Tableau!$H$16</f>
        <v>12067.727288213006</v>
      </c>
      <c r="F117" s="26">
        <v>114</v>
      </c>
      <c r="G117" s="27">
        <f>Tableau!$G$26*COS(F117*PI()/180)+Tableau!$G$25</f>
        <v>-21423.578250765298</v>
      </c>
      <c r="H117" s="27">
        <f>Tableau!$G$26*SIN(F117*PI()/180)+Tableau!$H$25</f>
        <v>13197.409101749103</v>
      </c>
      <c r="J117" s="34">
        <v>114</v>
      </c>
      <c r="K117" s="35">
        <f>Tableau!$G$36*COS(J117*PI()/180)+Tableau!$G$35</f>
        <v>-7033.6832153790001</v>
      </c>
      <c r="L117" s="35">
        <f>Tableau!$G$36*SIN(J117*PI()/180)+Tableau!$H$35</f>
        <v>-10432.272711786994</v>
      </c>
      <c r="N117" s="98">
        <v>113</v>
      </c>
      <c r="O117" s="99">
        <v>56.5</v>
      </c>
      <c r="P117" s="101">
        <f>P116+R116*Tableau!$G$2+((1/2)*T116)*Tableau!$G$2^2</f>
        <v>-3596440.3769527613</v>
      </c>
      <c r="Q117" s="101">
        <f>Q116+S116*Tableau!$G$2+((1/2)*U116)*Tableau!$G$2^2</f>
        <v>1746992.7649904608</v>
      </c>
      <c r="R117" s="101">
        <f>R116+T116*Tableau!$G$2</f>
        <v>-68701.062788902287</v>
      </c>
      <c r="S117" s="101">
        <f>S116+U116*Tableau!$G$2</f>
        <v>33802.124295590613</v>
      </c>
      <c r="T117" s="101">
        <f t="shared" si="2"/>
        <v>6.8892858650518793E-2</v>
      </c>
      <c r="U117" s="101">
        <f t="shared" si="3"/>
        <v>-3.3467386036700589E-2</v>
      </c>
      <c r="V117" s="101">
        <f>((Tableau!$G$16-P117)/(AC117^2+Tableau!$G$21^2)^(3/2))*Tableau!$G$20</f>
        <v>2.9299487966157833E-2</v>
      </c>
      <c r="W117" s="101">
        <f>((Tableau!$H$16-Q117)/(AC117^2+Tableau!$G$21^2)^(3/2))*Tableau!$G$20</f>
        <v>-1.4092931729183146E-2</v>
      </c>
      <c r="X117" s="101">
        <f>((Tableau!$G$25-P117)/(AD117^2+Tableau!$G$30^2)^(3/2))*Tableau!$G$29</f>
        <v>1.0219401713597009E-2</v>
      </c>
      <c r="Y117" s="101">
        <f>((Tableau!$H$25-Q117)/(AD117^2+Tableau!$G$30^2)^(3/2))*Tableau!$G$29</f>
        <v>-4.9633224569994236E-3</v>
      </c>
      <c r="Z117" s="101">
        <f>((Tableau!$G$35-P117)/(AE117^2+Tableau!$G$40^2)^(3/2))*Tableau!$G$39</f>
        <v>2.9373968970763949E-2</v>
      </c>
      <c r="AA117" s="102">
        <f>((Tableau!$H$35-Q117)/(AE117^2+Tableau!$G$40^2)^(3/2))*Tableau!$G$39</f>
        <v>-1.4411131850518018E-2</v>
      </c>
      <c r="AC117" s="113">
        <f>SQRT((Tableau!$G$16-P117)^2+(Tableau!$H$16-Q117)^2)</f>
        <v>4013038.2604092364</v>
      </c>
      <c r="AD117" s="114">
        <f>SQRT((Tableau!$G$25-P117)^2+(Tableau!$H$25-Q117)^2)</f>
        <v>3975936.3218652303</v>
      </c>
      <c r="AE117" s="115">
        <f>SQRT((Tableau!$G$35-P117)^2+(Tableau!$H$35-Q117)^2)</f>
        <v>4000382.7923194203</v>
      </c>
    </row>
    <row r="118" spans="2:31" x14ac:dyDescent="0.25">
      <c r="B118" s="20">
        <v>115</v>
      </c>
      <c r="C118" s="21">
        <f>Tableau!$G$17*COS(B118*PI()/180)+Tableau!$G$16</f>
        <v>17886.908691296503</v>
      </c>
      <c r="D118" s="21">
        <f>Tableau!$G$17*SIN(B118*PI()/180)+Tableau!$H$16</f>
        <v>12031.538935183249</v>
      </c>
      <c r="F118" s="28">
        <v>115</v>
      </c>
      <c r="G118" s="29">
        <f>Tableau!$G$26*COS(F118*PI()/180)+Tableau!$G$25</f>
        <v>-21479.163916092446</v>
      </c>
      <c r="H118" s="29">
        <f>Tableau!$G$26*SIN(F118*PI()/180)+Tableau!$H$25</f>
        <v>13172.077254628275</v>
      </c>
      <c r="J118" s="36">
        <v>115</v>
      </c>
      <c r="K118" s="37">
        <f>Tableau!$G$36*COS(J118*PI()/180)+Tableau!$G$35</f>
        <v>-7113.0913087034969</v>
      </c>
      <c r="L118" s="37">
        <f>Tableau!$G$36*SIN(J118*PI()/180)+Tableau!$H$35</f>
        <v>-10468.461064816751</v>
      </c>
      <c r="N118" s="92">
        <v>114</v>
      </c>
      <c r="O118" s="93">
        <v>57</v>
      </c>
      <c r="P118" s="96">
        <f>P117+R117*Tableau!$G$2+((1/2)*T117)*Tableau!$G$2^2</f>
        <v>-3630790.8997356049</v>
      </c>
      <c r="Q118" s="96">
        <f>Q117+S117*Tableau!$G$2+((1/2)*U117)*Tableau!$G$2^2</f>
        <v>1763893.8229548328</v>
      </c>
      <c r="R118" s="96">
        <f>R117+T117*Tableau!$G$2</f>
        <v>-68701.028342472957</v>
      </c>
      <c r="S118" s="96">
        <f>S117+U117*Tableau!$G$2</f>
        <v>33802.107561897596</v>
      </c>
      <c r="T118" s="96">
        <f t="shared" si="2"/>
        <v>6.7591974380796935E-2</v>
      </c>
      <c r="U118" s="96">
        <f t="shared" si="3"/>
        <v>-3.2839398097399143E-2</v>
      </c>
      <c r="V118" s="96">
        <f>((Tableau!$G$16-P118)/(AC118^2+Tableau!$G$21^2)^(3/2))*Tableau!$G$20</f>
        <v>2.8747226385223347E-2</v>
      </c>
      <c r="W118" s="96">
        <f>((Tableau!$H$16-Q118)/(AC118^2+Tableau!$G$21^2)^(3/2))*Tableau!$G$20</f>
        <v>-1.3830277393796267E-2</v>
      </c>
      <c r="X118" s="96">
        <f>((Tableau!$G$25-P118)/(AD118^2+Tableau!$G$30^2)^(3/2))*Tableau!$G$29</f>
        <v>1.0025173178683865E-2</v>
      </c>
      <c r="Y118" s="96">
        <f>((Tableau!$H$25-Q118)/(AD118^2+Tableau!$G$30^2)^(3/2))*Tableau!$G$29</f>
        <v>-4.8695950002071824E-3</v>
      </c>
      <c r="Z118" s="96">
        <f>((Tableau!$G$35-P118)/(AE118^2+Tableau!$G$40^2)^(3/2))*Tableau!$G$39</f>
        <v>2.8819574816889723E-2</v>
      </c>
      <c r="AA118" s="97">
        <f>((Tableau!$H$35-Q118)/(AE118^2+Tableau!$G$40^2)^(3/2))*Tableau!$G$39</f>
        <v>-1.4139525703395694E-2</v>
      </c>
      <c r="AC118" s="110">
        <f>SQRT((Tableau!$G$16-P118)^2+(Tableau!$H$16-Q118)^2)</f>
        <v>4051319.9645185024</v>
      </c>
      <c r="AD118" s="111">
        <f>SQRT((Tableau!$G$25-P118)^2+(Tableau!$H$25-Q118)^2)</f>
        <v>4014219.0353557663</v>
      </c>
      <c r="AE118" s="112">
        <f>SQRT((Tableau!$G$35-P118)^2+(Tableau!$H$35-Q118)^2)</f>
        <v>4038665.9780120943</v>
      </c>
    </row>
    <row r="119" spans="2:31" x14ac:dyDescent="0.25">
      <c r="B119" s="18">
        <v>116</v>
      </c>
      <c r="C119" s="19">
        <f>Tableau!$G$17*COS(B119*PI()/180)+Tableau!$G$16</f>
        <v>17808.144266054613</v>
      </c>
      <c r="D119" s="19">
        <f>Tableau!$G$17*SIN(B119*PI()/180)+Tableau!$H$16</f>
        <v>11993.970231495834</v>
      </c>
      <c r="F119" s="26">
        <v>116</v>
      </c>
      <c r="G119" s="27">
        <f>Tableau!$G$26*COS(F119*PI()/180)+Tableau!$G$25</f>
        <v>-21534.299013761771</v>
      </c>
      <c r="H119" s="27">
        <f>Tableau!$G$26*SIN(F119*PI()/180)+Tableau!$H$25</f>
        <v>13145.779162047085</v>
      </c>
      <c r="J119" s="34">
        <v>116</v>
      </c>
      <c r="K119" s="35">
        <f>Tableau!$G$36*COS(J119*PI()/180)+Tableau!$G$35</f>
        <v>-7191.8557339453873</v>
      </c>
      <c r="L119" s="35">
        <f>Tableau!$G$36*SIN(J119*PI()/180)+Tableau!$H$35</f>
        <v>-10506.029768504166</v>
      </c>
      <c r="N119" s="98">
        <v>115</v>
      </c>
      <c r="O119" s="99">
        <v>57.5</v>
      </c>
      <c r="P119" s="101">
        <f>P118+R118*Tableau!$G$2+((1/2)*T118)*Tableau!$G$2^2</f>
        <v>-3665141.405457845</v>
      </c>
      <c r="Q119" s="101">
        <f>Q118+S118*Tableau!$G$2+((1/2)*U118)*Tableau!$G$2^2</f>
        <v>1780794.8726308567</v>
      </c>
      <c r="R119" s="101">
        <f>R118+T118*Tableau!$G$2</f>
        <v>-68700.994546485759</v>
      </c>
      <c r="S119" s="101">
        <f>S118+U118*Tableau!$G$2</f>
        <v>33802.091142198544</v>
      </c>
      <c r="T119" s="101">
        <f t="shared" si="2"/>
        <v>6.6327591718483431E-2</v>
      </c>
      <c r="U119" s="101">
        <f t="shared" si="3"/>
        <v>-3.2228921128358755E-2</v>
      </c>
      <c r="V119" s="101">
        <f>((Tableau!$G$16-P119)/(AC119^2+Tableau!$G$21^2)^(3/2))*Tableau!$G$20</f>
        <v>2.8210432763031965E-2</v>
      </c>
      <c r="W119" s="101">
        <f>((Tableau!$H$16-Q119)/(AC119^2+Tableau!$G$21^2)^(3/2))*Tableau!$G$20</f>
        <v>-1.357489720728014E-2</v>
      </c>
      <c r="X119" s="101">
        <f>((Tableau!$G$25-P119)/(AD119^2+Tableau!$G$30^2)^(3/2))*Tableau!$G$29</f>
        <v>9.836429715463604E-3</v>
      </c>
      <c r="Y119" s="101">
        <f>((Tableau!$H$25-Q119)/(AD119^2+Tableau!$G$30^2)^(3/2))*Tableau!$G$29</f>
        <v>-4.778497558162338E-3</v>
      </c>
      <c r="Z119" s="101">
        <f>((Tableau!$G$35-P119)/(AE119^2+Tableau!$G$40^2)^(3/2))*Tableau!$G$39</f>
        <v>2.8280729239987864E-2</v>
      </c>
      <c r="AA119" s="102">
        <f>((Tableau!$H$35-Q119)/(AE119^2+Tableau!$G$40^2)^(3/2))*Tableau!$G$39</f>
        <v>-1.3875526362916274E-2</v>
      </c>
      <c r="AC119" s="113">
        <f>SQRT((Tableau!$G$16-P119)^2+(Tableau!$H$16-Q119)^2)</f>
        <v>4089601.6778555228</v>
      </c>
      <c r="AD119" s="114">
        <f>SQRT((Tableau!$G$25-P119)^2+(Tableau!$H$25-Q119)^2)</f>
        <v>4052501.739261678</v>
      </c>
      <c r="AE119" s="115">
        <f>SQRT((Tableau!$G$35-P119)^2+(Tableau!$H$35-Q119)^2)</f>
        <v>4076949.1451959764</v>
      </c>
    </row>
    <row r="120" spans="2:31" x14ac:dyDescent="0.25">
      <c r="B120" s="20">
        <v>117</v>
      </c>
      <c r="C120" s="21">
        <f>Tableau!$G$17*COS(B120*PI()/180)+Tableau!$G$16</f>
        <v>17730.047501302266</v>
      </c>
      <c r="D120" s="21">
        <f>Tableau!$G$17*SIN(B120*PI()/180)+Tableau!$H$16</f>
        <v>11955.03262094184</v>
      </c>
      <c r="F120" s="28">
        <v>117</v>
      </c>
      <c r="G120" s="29">
        <f>Tableau!$G$26*COS(F120*PI()/180)+Tableau!$G$25</f>
        <v>-21588.966749088413</v>
      </c>
      <c r="H120" s="29">
        <f>Tableau!$G$26*SIN(F120*PI()/180)+Tableau!$H$25</f>
        <v>13118.522834659288</v>
      </c>
      <c r="J120" s="36">
        <v>117</v>
      </c>
      <c r="K120" s="37">
        <f>Tableau!$G$36*COS(J120*PI()/180)+Tableau!$G$35</f>
        <v>-7269.952498697734</v>
      </c>
      <c r="L120" s="37">
        <f>Tableau!$G$36*SIN(J120*PI()/180)+Tableau!$H$35</f>
        <v>-10544.96737905816</v>
      </c>
      <c r="N120" s="92">
        <v>116</v>
      </c>
      <c r="O120" s="93">
        <v>58</v>
      </c>
      <c r="P120" s="96">
        <f>P119+R119*Tableau!$G$2+((1/2)*T119)*Tableau!$G$2^2</f>
        <v>-3699491.8944401392</v>
      </c>
      <c r="Q120" s="96">
        <f>Q119+S119*Tableau!$G$2+((1/2)*U119)*Tableau!$G$2^2</f>
        <v>1797695.9141733409</v>
      </c>
      <c r="R120" s="96">
        <f>R119+T119*Tableau!$G$2</f>
        <v>-68700.9613826899</v>
      </c>
      <c r="S120" s="96">
        <f>S119+U119*Tableau!$G$2</f>
        <v>33802.075027737978</v>
      </c>
      <c r="T120" s="96">
        <f t="shared" si="2"/>
        <v>6.5098357725265871E-2</v>
      </c>
      <c r="U120" s="96">
        <f t="shared" si="3"/>
        <v>-3.1635310096617936E-2</v>
      </c>
      <c r="V120" s="96">
        <f>((Tableau!$G$16-P120)/(AC120^2+Tableau!$G$21^2)^(3/2))*Tableau!$G$20</f>
        <v>2.7688534819580567E-2</v>
      </c>
      <c r="W120" s="96">
        <f>((Tableau!$H$16-Q120)/(AC120^2+Tableau!$G$21^2)^(3/2))*Tableau!$G$20</f>
        <v>-1.3326525049712578E-2</v>
      </c>
      <c r="X120" s="96">
        <f>((Tableau!$G$25-P120)/(AD120^2+Tableau!$G$30^2)^(3/2))*Tableau!$G$29</f>
        <v>9.6529667183215644E-3</v>
      </c>
      <c r="Y120" s="96">
        <f>((Tableau!$H$25-Q120)/(AD120^2+Tableau!$G$30^2)^(3/2))*Tableau!$G$29</f>
        <v>-4.6899326475131195E-3</v>
      </c>
      <c r="Z120" s="96">
        <f>((Tableau!$G$35-P120)/(AE120^2+Tableau!$G$40^2)^(3/2))*Tableau!$G$39</f>
        <v>2.7756856187363736E-2</v>
      </c>
      <c r="AA120" s="97">
        <f>((Tableau!$H$35-Q120)/(AE120^2+Tableau!$G$40^2)^(3/2))*Tableau!$G$39</f>
        <v>-1.3618852399392235E-2</v>
      </c>
      <c r="AC120" s="110">
        <f>SQRT((Tableau!$G$16-P120)^2+(Tableau!$H$16-Q120)^2)</f>
        <v>4127883.3999919156</v>
      </c>
      <c r="AD120" s="111">
        <f>SQRT((Tableau!$G$25-P120)^2+(Tableau!$H$25-Q120)^2)</f>
        <v>4090784.433675617</v>
      </c>
      <c r="AE120" s="112">
        <f>SQRT((Tableau!$G$35-P120)^2+(Tableau!$H$35-Q120)^2)</f>
        <v>4115232.294214339</v>
      </c>
    </row>
    <row r="121" spans="2:31" x14ac:dyDescent="0.25">
      <c r="B121" s="18">
        <v>118</v>
      </c>
      <c r="C121" s="19">
        <f>Tableau!$G$17*COS(B121*PI()/180)+Tableau!$G$16</f>
        <v>17652.642186070549</v>
      </c>
      <c r="D121" s="19">
        <f>Tableau!$G$17*SIN(B121*PI()/180)+Tableau!$H$16</f>
        <v>11914.737964294636</v>
      </c>
      <c r="F121" s="26">
        <v>118</v>
      </c>
      <c r="G121" s="27">
        <f>Tableau!$G$26*COS(F121*PI()/180)+Tableau!$G$25</f>
        <v>-21643.150469750617</v>
      </c>
      <c r="H121" s="27">
        <f>Tableau!$G$26*SIN(F121*PI()/180)+Tableau!$H$25</f>
        <v>13090.316575006245</v>
      </c>
      <c r="J121" s="34">
        <v>118</v>
      </c>
      <c r="K121" s="35">
        <f>Tableau!$G$36*COS(J121*PI()/180)+Tableau!$G$35</f>
        <v>-7347.3578139294532</v>
      </c>
      <c r="L121" s="35">
        <f>Tableau!$G$36*SIN(J121*PI()/180)+Tableau!$H$35</f>
        <v>-10585.262035705364</v>
      </c>
      <c r="N121" s="98">
        <v>117</v>
      </c>
      <c r="O121" s="99">
        <v>58.5</v>
      </c>
      <c r="P121" s="101">
        <f>P120+R120*Tableau!$G$2+((1/2)*T120)*Tableau!$G$2^2</f>
        <v>-3733842.3669941896</v>
      </c>
      <c r="Q121" s="101">
        <f>Q120+S120*Tableau!$G$2+((1/2)*U120)*Tableau!$G$2^2</f>
        <v>1814596.947732796</v>
      </c>
      <c r="R121" s="101">
        <f>R120+T120*Tableau!$G$2</f>
        <v>-68700.928833511032</v>
      </c>
      <c r="S121" s="101">
        <f>S120+U120*Tableau!$G$2</f>
        <v>33802.059210082931</v>
      </c>
      <c r="T121" s="101">
        <f t="shared" si="2"/>
        <v>6.390298157037444E-2</v>
      </c>
      <c r="U121" s="101">
        <f t="shared" si="3"/>
        <v>-3.1057949398089861E-2</v>
      </c>
      <c r="V121" s="101">
        <f>((Tableau!$G$16-P121)/(AC121^2+Tableau!$G$21^2)^(3/2))*Tableau!$G$20</f>
        <v>2.7180986497686344E-2</v>
      </c>
      <c r="W121" s="101">
        <f>((Tableau!$H$16-Q121)/(AC121^2+Tableau!$G$21^2)^(3/2))*Tableau!$G$20</f>
        <v>-1.3084906859225974E-2</v>
      </c>
      <c r="X121" s="101">
        <f>((Tableau!$G$25-P121)/(AD121^2+Tableau!$G$30^2)^(3/2))*Tableau!$G$29</f>
        <v>9.4745890337116761E-3</v>
      </c>
      <c r="Y121" s="101">
        <f>((Tableau!$H$25-Q121)/(AD121^2+Tableau!$G$30^2)^(3/2))*Tableau!$G$29</f>
        <v>-4.6038072598910225E-3</v>
      </c>
      <c r="Z121" s="101">
        <f>((Tableau!$G$35-P121)/(AE121^2+Tableau!$G$40^2)^(3/2))*Tableau!$G$39</f>
        <v>2.7247406038976414E-2</v>
      </c>
      <c r="AA121" s="102">
        <f>((Tableau!$H$35-Q121)/(AE121^2+Tableau!$G$40^2)^(3/2))*Tableau!$G$39</f>
        <v>-1.3369235278972866E-2</v>
      </c>
      <c r="AC121" s="113">
        <f>SQRT((Tableau!$G$16-P121)^2+(Tableau!$H$16-Q121)^2)</f>
        <v>4166165.1305181994</v>
      </c>
      <c r="AD121" s="114">
        <f>SQRT((Tableau!$G$25-P121)^2+(Tableau!$H$25-Q121)^2)</f>
        <v>4129067.1186900712</v>
      </c>
      <c r="AE121" s="115">
        <f>SQRT((Tableau!$G$35-P121)^2+(Tableau!$H$35-Q121)^2)</f>
        <v>4153515.4254009929</v>
      </c>
    </row>
    <row r="122" spans="2:31" x14ac:dyDescent="0.25">
      <c r="B122" s="20">
        <v>119</v>
      </c>
      <c r="C122" s="21">
        <f>Tableau!$G$17*COS(B122*PI()/180)+Tableau!$G$16</f>
        <v>17575.951898768315</v>
      </c>
      <c r="D122" s="21">
        <f>Tableau!$G$17*SIN(B122*PI()/180)+Tableau!$H$16</f>
        <v>11873.09853569698</v>
      </c>
      <c r="F122" s="28">
        <v>119</v>
      </c>
      <c r="G122" s="29">
        <f>Tableau!$G$26*COS(F122*PI()/180)+Tableau!$G$25</f>
        <v>-21696.833670862179</v>
      </c>
      <c r="H122" s="29">
        <f>Tableau!$G$26*SIN(F122*PI()/180)+Tableau!$H$25</f>
        <v>13061.168974987886</v>
      </c>
      <c r="J122" s="36">
        <v>119</v>
      </c>
      <c r="K122" s="37">
        <f>Tableau!$G$36*COS(J122*PI()/180)+Tableau!$G$35</f>
        <v>-7424.048101231685</v>
      </c>
      <c r="L122" s="37">
        <f>Tableau!$G$36*SIN(J122*PI()/180)+Tableau!$H$35</f>
        <v>-10626.90146430302</v>
      </c>
      <c r="N122" s="92">
        <v>118</v>
      </c>
      <c r="O122" s="93">
        <v>59</v>
      </c>
      <c r="P122" s="96">
        <f>P121+R121*Tableau!$G$2+((1/2)*T121)*Tableau!$G$2^2</f>
        <v>-3768192.8234230722</v>
      </c>
      <c r="Q122" s="96">
        <f>Q121+S121*Tableau!$G$2+((1/2)*U121)*Tableau!$G$2^2</f>
        <v>1831497.9734555937</v>
      </c>
      <c r="R122" s="96">
        <f>R121+T121*Tableau!$G$2</f>
        <v>-68700.896882020243</v>
      </c>
      <c r="S122" s="96">
        <f>S121+U121*Tableau!$G$2</f>
        <v>33802.043681108233</v>
      </c>
      <c r="T122" s="96">
        <f t="shared" si="2"/>
        <v>6.2740231140438141E-2</v>
      </c>
      <c r="U122" s="96">
        <f t="shared" si="3"/>
        <v>-3.0496251260977068E-2</v>
      </c>
      <c r="V122" s="96">
        <f>((Tableau!$G$16-P122)/(AC122^2+Tableau!$G$21^2)^(3/2))*Tableau!$G$20</f>
        <v>2.6687266534248508E-2</v>
      </c>
      <c r="W122" s="96">
        <f>((Tableau!$H$16-Q122)/(AC122^2+Tableau!$G$21^2)^(3/2))*Tableau!$G$20</f>
        <v>-1.284979998234429E-2</v>
      </c>
      <c r="X122" s="96">
        <f>((Tableau!$G$25-P122)/(AD122^2+Tableau!$G$30^2)^(3/2))*Tableau!$G$29</f>
        <v>9.3011104409763089E-3</v>
      </c>
      <c r="Y122" s="96">
        <f>((Tableau!$H$25-Q122)/(AD122^2+Tableau!$G$30^2)^(3/2))*Tableau!$G$29</f>
        <v>-4.5200326176529559E-3</v>
      </c>
      <c r="Z122" s="96">
        <f>((Tableau!$G$35-P122)/(AE122^2+Tableau!$G$40^2)^(3/2))*Tableau!$G$39</f>
        <v>2.6751854165213314E-2</v>
      </c>
      <c r="AA122" s="97">
        <f>((Tableau!$H$35-Q122)/(AE122^2+Tableau!$G$40^2)^(3/2))*Tableau!$G$39</f>
        <v>-1.3126418660979824E-2</v>
      </c>
      <c r="AC122" s="110">
        <f>SQRT((Tableau!$G$16-P122)^2+(Tableau!$H$16-Q122)^2)</f>
        <v>4204446.8690428445</v>
      </c>
      <c r="AD122" s="111">
        <f>SQRT((Tableau!$G$25-P122)^2+(Tableau!$H$25-Q122)^2)</f>
        <v>4167349.7943972806</v>
      </c>
      <c r="AE122" s="112">
        <f>SQRT((Tableau!$G$35-P122)^2+(Tableau!$H$35-Q122)^2)</f>
        <v>4191798.5390806329</v>
      </c>
    </row>
    <row r="123" spans="2:31" x14ac:dyDescent="0.25">
      <c r="B123" s="18">
        <v>120</v>
      </c>
      <c r="C123" s="19">
        <f>Tableau!$G$17*COS(B123*PI()/180)+Tableau!$G$16</f>
        <v>17500</v>
      </c>
      <c r="D123" s="19">
        <f>Tableau!$G$17*SIN(B123*PI()/180)+Tableau!$H$16</f>
        <v>11830.127018922194</v>
      </c>
      <c r="F123" s="26">
        <v>120</v>
      </c>
      <c r="G123" s="27">
        <f>Tableau!$G$26*COS(F123*PI()/180)+Tableau!$G$25</f>
        <v>-21750</v>
      </c>
      <c r="H123" s="27">
        <f>Tableau!$G$26*SIN(F123*PI()/180)+Tableau!$H$25</f>
        <v>13031.088913245536</v>
      </c>
      <c r="J123" s="34">
        <v>120</v>
      </c>
      <c r="K123" s="35">
        <f>Tableau!$G$36*COS(J123*PI()/180)+Tableau!$G$35</f>
        <v>-7499.9999999999991</v>
      </c>
      <c r="L123" s="35">
        <f>Tableau!$G$36*SIN(J123*PI()/180)+Tableau!$H$35</f>
        <v>-10669.872981077806</v>
      </c>
      <c r="N123" s="98">
        <v>119</v>
      </c>
      <c r="O123" s="99">
        <v>59.5</v>
      </c>
      <c r="P123" s="101">
        <f>P122+R122*Tableau!$G$2+((1/2)*T122)*Tableau!$G$2^2</f>
        <v>-3802543.2640215531</v>
      </c>
      <c r="Q123" s="101">
        <f>Q122+S122*Tableau!$G$2+((1/2)*U122)*Tableau!$G$2^2</f>
        <v>1848398.9914841165</v>
      </c>
      <c r="R123" s="101">
        <f>R122+T122*Tableau!$G$2</f>
        <v>-68700.865511904674</v>
      </c>
      <c r="S123" s="101">
        <f>S122+U122*Tableau!$G$2</f>
        <v>33802.028432982603</v>
      </c>
      <c r="T123" s="101">
        <f t="shared" si="2"/>
        <v>6.1608929863281175E-2</v>
      </c>
      <c r="U123" s="101">
        <f t="shared" si="3"/>
        <v>-2.9949654249331277E-2</v>
      </c>
      <c r="V123" s="101">
        <f>((Tableau!$G$16-P123)/(AC123^2+Tableau!$G$21^2)^(3/2))*Tableau!$G$20</f>
        <v>2.620687712150449E-2</v>
      </c>
      <c r="W123" s="101">
        <f>((Tableau!$H$16-Q123)/(AC123^2+Tableau!$G$21^2)^(3/2))*Tableau!$G$20</f>
        <v>-1.2620972564786583E-2</v>
      </c>
      <c r="X123" s="101">
        <f>((Tableau!$G$25-P123)/(AD123^2+Tableau!$G$30^2)^(3/2))*Tableau!$G$29</f>
        <v>9.1323531661343677E-3</v>
      </c>
      <c r="Y123" s="101">
        <f>((Tableau!$H$25-Q123)/(AD123^2+Tableau!$G$30^2)^(3/2))*Tableau!$G$29</f>
        <v>-4.4385239450370328E-3</v>
      </c>
      <c r="Z123" s="101">
        <f>((Tableau!$G$35-P123)/(AE123^2+Tableau!$G$40^2)^(3/2))*Tableau!$G$39</f>
        <v>2.6269699575642319E-2</v>
      </c>
      <c r="AA123" s="102">
        <f>((Tableau!$H$35-Q123)/(AE123^2+Tableau!$G$40^2)^(3/2))*Tableau!$G$39</f>
        <v>-1.2890157739507664E-2</v>
      </c>
      <c r="AC123" s="113">
        <f>SQRT((Tableau!$G$16-P123)^2+(Tableau!$H$16-Q123)^2)</f>
        <v>4242728.6151913824</v>
      </c>
      <c r="AD123" s="114">
        <f>SQRT((Tableau!$G$25-P123)^2+(Tableau!$H$25-Q123)^2)</f>
        <v>4205632.4608891634</v>
      </c>
      <c r="AE123" s="115">
        <f>SQRT((Tableau!$G$35-P123)^2+(Tableau!$H$35-Q123)^2)</f>
        <v>4230081.6355691636</v>
      </c>
    </row>
    <row r="124" spans="2:31" x14ac:dyDescent="0.25">
      <c r="B124" s="20">
        <v>121</v>
      </c>
      <c r="C124" s="21">
        <f>Tableau!$G$17*COS(B124*PI()/180)+Tableau!$G$16</f>
        <v>17424.809625449729</v>
      </c>
      <c r="D124" s="21">
        <f>Tableau!$G$17*SIN(B124*PI()/180)+Tableau!$H$16</f>
        <v>11785.836503510562</v>
      </c>
      <c r="F124" s="28">
        <v>121</v>
      </c>
      <c r="G124" s="29">
        <f>Tableau!$G$26*COS(F124*PI()/180)+Tableau!$G$25</f>
        <v>-21802.633262185191</v>
      </c>
      <c r="H124" s="29">
        <f>Tableau!$G$26*SIN(F124*PI()/180)+Tableau!$H$25</f>
        <v>13000.085552457393</v>
      </c>
      <c r="J124" s="36">
        <v>121</v>
      </c>
      <c r="K124" s="37">
        <f>Tableau!$G$36*COS(J124*PI()/180)+Tableau!$G$35</f>
        <v>-7575.1903745502714</v>
      </c>
      <c r="L124" s="37">
        <f>Tableau!$G$36*SIN(J124*PI()/180)+Tableau!$H$35</f>
        <v>-10714.163496489438</v>
      </c>
      <c r="N124" s="92">
        <v>120</v>
      </c>
      <c r="O124" s="93">
        <v>60</v>
      </c>
      <c r="P124" s="96">
        <f>P123+R123*Tableau!$G$2+((1/2)*T123)*Tableau!$G$2^2</f>
        <v>-3836893.6890763892</v>
      </c>
      <c r="Q124" s="96">
        <f>Q123+S123*Tableau!$G$2+((1/2)*U123)*Tableau!$G$2^2</f>
        <v>1865300.001956901</v>
      </c>
      <c r="R124" s="96">
        <f>R123+T123*Tableau!$G$2</f>
        <v>-68700.834707439746</v>
      </c>
      <c r="S124" s="96">
        <f>S123+U123*Tableau!$G$2</f>
        <v>33802.013458155481</v>
      </c>
      <c r="T124" s="96">
        <f t="shared" si="2"/>
        <v>6.0507953730376166E-2</v>
      </c>
      <c r="U124" s="96">
        <f t="shared" si="3"/>
        <v>-2.9417621859647275E-2</v>
      </c>
      <c r="V124" s="96">
        <f>((Tableau!$G$16-P124)/(AC124^2+Tableau!$G$21^2)^(3/2))*Tableau!$G$20</f>
        <v>2.57393426518676E-2</v>
      </c>
      <c r="W124" s="96">
        <f>((Tableau!$H$16-Q124)/(AC124^2+Tableau!$G$21^2)^(3/2))*Tableau!$G$20</f>
        <v>-1.2398202979885631E-2</v>
      </c>
      <c r="X124" s="96">
        <f>((Tableau!$G$25-P124)/(AD124^2+Tableau!$G$30^2)^(3/2))*Tableau!$G$29</f>
        <v>8.9681474262660529E-3</v>
      </c>
      <c r="Y124" s="96">
        <f>((Tableau!$H$25-Q124)/(AD124^2+Tableau!$G$30^2)^(3/2))*Tableau!$G$29</f>
        <v>-4.3592002536301687E-3</v>
      </c>
      <c r="Z124" s="96">
        <f>((Tableau!$G$35-P124)/(AE124^2+Tableau!$G$40^2)^(3/2))*Tableau!$G$39</f>
        <v>2.5800463652242513E-2</v>
      </c>
      <c r="AA124" s="97">
        <f>((Tableau!$H$35-Q124)/(AE124^2+Tableau!$G$40^2)^(3/2))*Tableau!$G$39</f>
        <v>-1.2660218626131472E-2</v>
      </c>
      <c r="AC124" s="110">
        <f>SQRT((Tableau!$G$16-P124)^2+(Tableau!$H$16-Q124)^2)</f>
        <v>4281010.3686055634</v>
      </c>
      <c r="AD124" s="111">
        <f>SQRT((Tableau!$G$25-P124)^2+(Tableau!$H$25-Q124)^2)</f>
        <v>4243915.1182572497</v>
      </c>
      <c r="AE124" s="112">
        <f>SQRT((Tableau!$G$35-P124)^2+(Tableau!$H$35-Q124)^2)</f>
        <v>4268364.7151740184</v>
      </c>
    </row>
    <row r="125" spans="2:31" x14ac:dyDescent="0.25">
      <c r="B125" s="18">
        <v>122</v>
      </c>
      <c r="C125" s="19">
        <f>Tableau!$G$17*COS(B125*PI()/180)+Tableau!$G$16</f>
        <v>17350.403678833976</v>
      </c>
      <c r="D125" s="19">
        <f>Tableau!$G$17*SIN(B125*PI()/180)+Tableau!$H$16</f>
        <v>11740.240480782129</v>
      </c>
      <c r="F125" s="26">
        <v>122</v>
      </c>
      <c r="G125" s="27">
        <f>Tableau!$G$26*COS(F125*PI()/180)+Tableau!$G$25</f>
        <v>-21854.717424816215</v>
      </c>
      <c r="H125" s="27">
        <f>Tableau!$G$26*SIN(F125*PI()/180)+Tableau!$H$25</f>
        <v>12968.168336547491</v>
      </c>
      <c r="J125" s="34">
        <v>122</v>
      </c>
      <c r="K125" s="35">
        <f>Tableau!$G$36*COS(J125*PI()/180)+Tableau!$G$35</f>
        <v>-7649.5963211660237</v>
      </c>
      <c r="L125" s="35">
        <f>Tableau!$G$36*SIN(J125*PI()/180)+Tableau!$H$35</f>
        <v>-10759.759519217871</v>
      </c>
      <c r="N125" s="98">
        <v>121</v>
      </c>
      <c r="O125" s="99">
        <v>60.5</v>
      </c>
      <c r="P125" s="101">
        <f>P124+R124*Tableau!$G$2+((1/2)*T124)*Tableau!$G$2^2</f>
        <v>-3871244.098866615</v>
      </c>
      <c r="Q125" s="101">
        <f>Q124+S124*Tableau!$G$2+((1/2)*U124)*Tableau!$G$2^2</f>
        <v>1882201.0050087762</v>
      </c>
      <c r="R125" s="101">
        <f>R124+T124*Tableau!$G$2</f>
        <v>-68700.804453462886</v>
      </c>
      <c r="S125" s="101">
        <f>S124+U124*Tableau!$G$2</f>
        <v>33801.998749344551</v>
      </c>
      <c r="T125" s="101">
        <f t="shared" si="2"/>
        <v>5.9436228503871952E-2</v>
      </c>
      <c r="U125" s="101">
        <f t="shared" si="3"/>
        <v>-2.8899641203935234E-2</v>
      </c>
      <c r="V125" s="101">
        <f>((Tableau!$G$16-P125)/(AC125^2+Tableau!$G$21^2)^(3/2))*Tableau!$G$20</f>
        <v>2.5284208540425856E-2</v>
      </c>
      <c r="W125" s="101">
        <f>((Tableau!$H$16-Q125)/(AC125^2+Tableau!$G$21^2)^(3/2))*Tableau!$G$20</f>
        <v>-1.2181279291986313E-2</v>
      </c>
      <c r="X125" s="101">
        <f>((Tableau!$G$25-P125)/(AD125^2+Tableau!$G$30^2)^(3/2))*Tableau!$G$29</f>
        <v>8.8083310023140508E-3</v>
      </c>
      <c r="Y125" s="101">
        <f>((Tableau!$H$25-Q125)/(AD125^2+Tableau!$G$30^2)^(3/2))*Tableau!$G$29</f>
        <v>-4.281984141133891E-3</v>
      </c>
      <c r="Z125" s="101">
        <f>((Tableau!$G$35-P125)/(AE125^2+Tableau!$G$40^2)^(3/2))*Tableau!$G$39</f>
        <v>2.5343688961132049E-2</v>
      </c>
      <c r="AA125" s="102">
        <f>((Tableau!$H$35-Q125)/(AE125^2+Tableau!$G$40^2)^(3/2))*Tableau!$G$39</f>
        <v>-1.2436377770815028E-2</v>
      </c>
      <c r="AC125" s="113">
        <f>SQRT((Tableau!$G$16-P125)^2+(Tableau!$H$16-Q125)^2)</f>
        <v>4319292.1289425623</v>
      </c>
      <c r="AD125" s="114">
        <f>SQRT((Tableau!$G$25-P125)^2+(Tableau!$H$25-Q125)^2)</f>
        <v>4282197.7665926171</v>
      </c>
      <c r="AE125" s="115">
        <f>SQRT((Tableau!$G$35-P125)^2+(Tableau!$H$35-Q125)^2)</f>
        <v>4306647.7781944545</v>
      </c>
    </row>
    <row r="126" spans="2:31" x14ac:dyDescent="0.25">
      <c r="B126" s="20">
        <v>123</v>
      </c>
      <c r="C126" s="21">
        <f>Tableau!$G$17*COS(B126*PI()/180)+Tableau!$G$16</f>
        <v>17276.804824924864</v>
      </c>
      <c r="D126" s="21">
        <f>Tableau!$G$17*SIN(B126*PI()/180)+Tableau!$H$16</f>
        <v>11693.352839727118</v>
      </c>
      <c r="F126" s="28">
        <v>123</v>
      </c>
      <c r="G126" s="29">
        <f>Tableau!$G$26*COS(F126*PI()/180)+Tableau!$G$25</f>
        <v>-21906.236622552595</v>
      </c>
      <c r="H126" s="29">
        <f>Tableau!$G$26*SIN(F126*PI()/180)+Tableau!$H$25</f>
        <v>12935.346987808984</v>
      </c>
      <c r="J126" s="36">
        <v>123</v>
      </c>
      <c r="K126" s="37">
        <f>Tableau!$G$36*COS(J126*PI()/180)+Tableau!$G$35</f>
        <v>-7723.1951750751359</v>
      </c>
      <c r="L126" s="37">
        <f>Tableau!$G$36*SIN(J126*PI()/180)+Tableau!$H$35</f>
        <v>-10806.647160272882</v>
      </c>
      <c r="N126" s="92">
        <v>122</v>
      </c>
      <c r="O126" s="93">
        <v>61</v>
      </c>
      <c r="P126" s="96">
        <f>P125+R125*Tableau!$G$2+((1/2)*T125)*Tableau!$G$2^2</f>
        <v>-3905594.4936638181</v>
      </c>
      <c r="Q126" s="96">
        <f>Q125+S125*Tableau!$G$2+((1/2)*U125)*Tableau!$G$2^2</f>
        <v>1899102.0007709933</v>
      </c>
      <c r="R126" s="96">
        <f>R125+T125*Tableau!$G$2</f>
        <v>-68700.774735348634</v>
      </c>
      <c r="S126" s="96">
        <f>S125+U125*Tableau!$G$2</f>
        <v>33801.984299523952</v>
      </c>
      <c r="T126" s="96">
        <f t="shared" si="2"/>
        <v>5.8392727095241306E-2</v>
      </c>
      <c r="U126" s="96">
        <f t="shared" si="3"/>
        <v>-2.8395221773237583E-2</v>
      </c>
      <c r="V126" s="96">
        <f>((Tableau!$G$16-P126)/(AC126^2+Tableau!$G$21^2)^(3/2))*Tableau!$G$20</f>
        <v>2.4841040119667736E-2</v>
      </c>
      <c r="W126" s="96">
        <f>((Tableau!$H$16-Q126)/(AC126^2+Tableau!$G$21^2)^(3/2))*Tableau!$G$20</f>
        <v>-1.1969998752403005E-2</v>
      </c>
      <c r="X126" s="96">
        <f>((Tableau!$G$25-P126)/(AD126^2+Tableau!$G$30^2)^(3/2))*Tableau!$G$29</f>
        <v>8.6527488382930617E-3</v>
      </c>
      <c r="Y126" s="96">
        <f>((Tableau!$H$25-Q126)/(AD126^2+Tableau!$G$30^2)^(3/2))*Tableau!$G$29</f>
        <v>-4.2068016024943864E-3</v>
      </c>
      <c r="Z126" s="96">
        <f>((Tableau!$G$35-P126)/(AE126^2+Tableau!$G$40^2)^(3/2))*Tableau!$G$39</f>
        <v>2.4898938137280505E-2</v>
      </c>
      <c r="AA126" s="97">
        <f>((Tableau!$H$35-Q126)/(AE126^2+Tableau!$G$40^2)^(3/2))*Tableau!$G$39</f>
        <v>-1.2218421418340191E-2</v>
      </c>
      <c r="AC126" s="110">
        <f>SQRT((Tableau!$G$16-P126)^2+(Tableau!$H$16-Q126)^2)</f>
        <v>4357573.8958742302</v>
      </c>
      <c r="AD126" s="111">
        <f>SQRT((Tableau!$G$25-P126)^2+(Tableau!$H$25-Q126)^2)</f>
        <v>4320480.4059858387</v>
      </c>
      <c r="AE126" s="112">
        <f>SQRT((Tableau!$G$35-P126)^2+(Tableau!$H$35-Q126)^2)</f>
        <v>4344930.8249218436</v>
      </c>
    </row>
    <row r="127" spans="2:31" x14ac:dyDescent="0.25">
      <c r="B127" s="18">
        <v>124</v>
      </c>
      <c r="C127" s="19">
        <f>Tableau!$G$17*COS(B127*PI()/180)+Tableau!$G$16</f>
        <v>17204.035482646268</v>
      </c>
      <c r="D127" s="19">
        <f>Tableau!$G$17*SIN(B127*PI()/180)+Tableau!$H$16</f>
        <v>11645.187862775208</v>
      </c>
      <c r="F127" s="26">
        <v>124</v>
      </c>
      <c r="G127" s="27">
        <f>Tableau!$G$26*COS(F127*PI()/180)+Tableau!$G$25</f>
        <v>-21957.175162147614</v>
      </c>
      <c r="H127" s="27">
        <f>Tableau!$G$26*SIN(F127*PI()/180)+Tableau!$H$25</f>
        <v>12901.631503942646</v>
      </c>
      <c r="J127" s="34">
        <v>124</v>
      </c>
      <c r="K127" s="35">
        <f>Tableau!$G$36*COS(J127*PI()/180)+Tableau!$G$35</f>
        <v>-7795.9645173537338</v>
      </c>
      <c r="L127" s="35">
        <f>Tableau!$G$36*SIN(J127*PI()/180)+Tableau!$H$35</f>
        <v>-10854.812137224792</v>
      </c>
      <c r="N127" s="98">
        <v>123</v>
      </c>
      <c r="O127" s="99">
        <v>61.5</v>
      </c>
      <c r="P127" s="101">
        <f>P126+R126*Tableau!$G$2+((1/2)*T126)*Tableau!$G$2^2</f>
        <v>-3939944.8737324015</v>
      </c>
      <c r="Q127" s="101">
        <f>Q126+S126*Tableau!$G$2+((1/2)*U126)*Tableau!$G$2^2</f>
        <v>1916002.9893713524</v>
      </c>
      <c r="R127" s="101">
        <f>R126+T126*Tableau!$G$2</f>
        <v>-68700.74553898508</v>
      </c>
      <c r="S127" s="101">
        <f>S126+U126*Tableau!$G$2</f>
        <v>33801.970101913066</v>
      </c>
      <c r="T127" s="101">
        <f t="shared" si="2"/>
        <v>5.7376467103597936E-2</v>
      </c>
      <c r="U127" s="101">
        <f t="shared" si="3"/>
        <v>-2.7903894276021617E-2</v>
      </c>
      <c r="V127" s="101">
        <f>((Tableau!$G$16-P127)/(AC127^2+Tableau!$G$21^2)^(3/2))*Tableau!$G$20</f>
        <v>2.4409421601409464E-2</v>
      </c>
      <c r="W127" s="101">
        <f>((Tableau!$H$16-Q127)/(AC127^2+Tableau!$G$21^2)^(3/2))*Tableau!$G$20</f>
        <v>-1.1764167325694873E-2</v>
      </c>
      <c r="X127" s="101">
        <f>((Tableau!$G$25-P127)/(AD127^2+Tableau!$G$30^2)^(3/2))*Tableau!$G$29</f>
        <v>8.5012526650587294E-3</v>
      </c>
      <c r="Y127" s="101">
        <f>((Tableau!$H$25-Q127)/(AD127^2+Tableau!$G$30^2)^(3/2))*Tableau!$G$29</f>
        <v>-4.1335818525363409E-3</v>
      </c>
      <c r="Z127" s="101">
        <f>((Tableau!$G$35-P127)/(AE127^2+Tableau!$G$40^2)^(3/2))*Tableau!$G$39</f>
        <v>2.4465792837129741E-2</v>
      </c>
      <c r="AA127" s="102">
        <f>((Tableau!$H$35-Q127)/(AE127^2+Tableau!$G$40^2)^(3/2))*Tableau!$G$39</f>
        <v>-1.2006145097790404E-2</v>
      </c>
      <c r="AC127" s="113">
        <f>SQRT((Tableau!$G$16-P127)^2+(Tableau!$H$16-Q127)^2)</f>
        <v>4395855.6690863855</v>
      </c>
      <c r="AD127" s="114">
        <f>SQRT((Tableau!$G$25-P127)^2+(Tableau!$H$25-Q127)^2)</f>
        <v>4358763.0365269305</v>
      </c>
      <c r="AE127" s="115">
        <f>SQRT((Tableau!$G$35-P127)^2+(Tableau!$H$35-Q127)^2)</f>
        <v>4383213.8556399466</v>
      </c>
    </row>
    <row r="128" spans="2:31" x14ac:dyDescent="0.25">
      <c r="B128" s="20">
        <v>125</v>
      </c>
      <c r="C128" s="21">
        <f>Tableau!$G$17*COS(B128*PI()/180)+Tableau!$G$16</f>
        <v>17132.117818244769</v>
      </c>
      <c r="D128" s="21">
        <f>Tableau!$G$17*SIN(B128*PI()/180)+Tableau!$H$16</f>
        <v>11595.76022144496</v>
      </c>
      <c r="F128" s="28">
        <v>125</v>
      </c>
      <c r="G128" s="29">
        <f>Tableau!$G$26*COS(F128*PI()/180)+Tableau!$G$25</f>
        <v>-22007.517527228661</v>
      </c>
      <c r="H128" s="29">
        <f>Tableau!$G$26*SIN(F128*PI()/180)+Tableau!$H$25</f>
        <v>12867.032155011471</v>
      </c>
      <c r="J128" s="36">
        <v>125</v>
      </c>
      <c r="K128" s="37">
        <f>Tableau!$G$36*COS(J128*PI()/180)+Tableau!$G$35</f>
        <v>-7867.8821817552289</v>
      </c>
      <c r="L128" s="37">
        <f>Tableau!$G$36*SIN(J128*PI()/180)+Tableau!$H$35</f>
        <v>-10904.23977855504</v>
      </c>
      <c r="N128" s="92">
        <v>124</v>
      </c>
      <c r="O128" s="93">
        <v>62</v>
      </c>
      <c r="P128" s="96">
        <f>P127+R127*Tableau!$G$2+((1/2)*T127)*Tableau!$G$2^2</f>
        <v>-3974295.2393298359</v>
      </c>
      <c r="Q128" s="96">
        <f>Q127+S127*Tableau!$G$2+((1/2)*U127)*Tableau!$G$2^2</f>
        <v>1932903.9709343221</v>
      </c>
      <c r="R128" s="96">
        <f>R127+T127*Tableau!$G$2</f>
        <v>-68700.716850751531</v>
      </c>
      <c r="S128" s="96">
        <f>S127+U127*Tableau!$G$2</f>
        <v>33801.956149965925</v>
      </c>
      <c r="T128" s="96">
        <f t="shared" si="2"/>
        <v>5.638650850266462E-2</v>
      </c>
      <c r="U128" s="96">
        <f t="shared" si="3"/>
        <v>-2.7425209546310787E-2</v>
      </c>
      <c r="V128" s="96">
        <f>((Tableau!$G$16-P128)/(AC128^2+Tableau!$G$21^2)^(3/2))*Tableau!$G$20</f>
        <v>2.3988955101298531E-2</v>
      </c>
      <c r="W128" s="96">
        <f>((Tableau!$H$16-Q128)/(AC128^2+Tableau!$G$21^2)^(3/2))*Tableau!$G$20</f>
        <v>-1.1563599244194795E-2</v>
      </c>
      <c r="X128" s="96">
        <f>((Tableau!$G$25-P128)/(AD128^2+Tableau!$G$30^2)^(3/2))*Tableau!$G$29</f>
        <v>8.3537006469303812E-3</v>
      </c>
      <c r="Y128" s="96">
        <f>((Tableau!$H$25-Q128)/(AD128^2+Tableau!$G$30^2)^(3/2))*Tableau!$G$29</f>
        <v>-4.0622571593064523E-3</v>
      </c>
      <c r="Z128" s="96">
        <f>((Tableau!$G$35-P128)/(AE128^2+Tableau!$G$40^2)^(3/2))*Tableau!$G$39</f>
        <v>2.4043852754435706E-2</v>
      </c>
      <c r="AA128" s="97">
        <f>((Tableau!$H$35-Q128)/(AE128^2+Tableau!$G$40^2)^(3/2))*Tableau!$G$39</f>
        <v>-1.1799353142809541E-2</v>
      </c>
      <c r="AC128" s="110">
        <f>SQRT((Tableau!$G$16-P128)^2+(Tableau!$H$16-Q128)^2)</f>
        <v>4434137.4482781477</v>
      </c>
      <c r="AD128" s="111">
        <f>SQRT((Tableau!$G$25-P128)^2+(Tableau!$H$25-Q128)^2)</f>
        <v>4397045.6583053106</v>
      </c>
      <c r="AE128" s="112">
        <f>SQRT((Tableau!$G$35-P128)^2+(Tableau!$H$35-Q128)^2)</f>
        <v>4421496.8706251727</v>
      </c>
    </row>
    <row r="129" spans="2:31" x14ac:dyDescent="0.25">
      <c r="B129" s="18">
        <v>126</v>
      </c>
      <c r="C129" s="19">
        <f>Tableau!$G$17*COS(B129*PI()/180)+Tableau!$G$16</f>
        <v>17061.073738537634</v>
      </c>
      <c r="D129" s="19">
        <f>Tableau!$G$17*SIN(B129*PI()/180)+Tableau!$H$16</f>
        <v>11545.084971874738</v>
      </c>
      <c r="F129" s="26">
        <v>126</v>
      </c>
      <c r="G129" s="27">
        <f>Tableau!$G$26*COS(F129*PI()/180)+Tableau!$G$25</f>
        <v>-22057.248383023656</v>
      </c>
      <c r="H129" s="27">
        <f>Tableau!$G$26*SIN(F129*PI()/180)+Tableau!$H$25</f>
        <v>12831.559480312317</v>
      </c>
      <c r="J129" s="34">
        <v>126</v>
      </c>
      <c r="K129" s="35">
        <f>Tableau!$G$36*COS(J129*PI()/180)+Tableau!$G$35</f>
        <v>-7938.9262614623658</v>
      </c>
      <c r="L129" s="35">
        <f>Tableau!$G$36*SIN(J129*PI()/180)+Tableau!$H$35</f>
        <v>-10954.915028125262</v>
      </c>
      <c r="N129" s="98">
        <v>125</v>
      </c>
      <c r="O129" s="99">
        <v>62.5</v>
      </c>
      <c r="P129" s="101">
        <f>P128+R128*Tableau!$G$2+((1/2)*T128)*Tableau!$G$2^2</f>
        <v>-4008645.5907068979</v>
      </c>
      <c r="Q129" s="101">
        <f>Q128+S128*Tableau!$G$2+((1/2)*U128)*Tableau!$G$2^2</f>
        <v>1949804.945581154</v>
      </c>
      <c r="R129" s="101">
        <f>R128+T128*Tableau!$G$2</f>
        <v>-68700.688657497274</v>
      </c>
      <c r="S129" s="101">
        <f>S128+U128*Tableau!$G$2</f>
        <v>33801.942437361155</v>
      </c>
      <c r="T129" s="101">
        <f t="shared" si="2"/>
        <v>5.5421951466220809E-2</v>
      </c>
      <c r="U129" s="101">
        <f t="shared" si="3"/>
        <v>-2.6958737516810247E-2</v>
      </c>
      <c r="V129" s="101">
        <f>((Tableau!$G$16-P129)/(AC129^2+Tableau!$G$21^2)^(3/2))*Tableau!$G$20</f>
        <v>2.3579259721616019E-2</v>
      </c>
      <c r="W129" s="101">
        <f>((Tableau!$H$16-Q129)/(AC129^2+Tableau!$G$21^2)^(3/2))*Tableau!$G$20</f>
        <v>-1.1368116588880978E-2</v>
      </c>
      <c r="X129" s="101">
        <f>((Tableau!$G$25-P129)/(AD129^2+Tableau!$G$30^2)^(3/2))*Tableau!$G$29</f>
        <v>8.2099570495957116E-3</v>
      </c>
      <c r="Y129" s="101">
        <f>((Tableau!$H$25-Q129)/(AD129^2+Tableau!$G$30^2)^(3/2))*Tableau!$G$29</f>
        <v>-3.9927626873943805E-3</v>
      </c>
      <c r="Z129" s="101">
        <f>((Tableau!$G$35-P129)/(AE129^2+Tableau!$G$40^2)^(3/2))*Tableau!$G$39</f>
        <v>2.3632734695009084E-2</v>
      </c>
      <c r="AA129" s="102">
        <f>((Tableau!$H$35-Q129)/(AE129^2+Tableau!$G$40^2)^(3/2))*Tableau!$G$39</f>
        <v>-1.159785824053489E-2</v>
      </c>
      <c r="AC129" s="113">
        <f>SQRT((Tableau!$G$16-P129)^2+(Tableau!$H$16-Q129)^2)</f>
        <v>4472419.2331613032</v>
      </c>
      <c r="AD129" s="114">
        <f>SQRT((Tableau!$G$25-P129)^2+(Tableau!$H$25-Q129)^2)</f>
        <v>4435328.2714097593</v>
      </c>
      <c r="AE129" s="115">
        <f>SQRT((Tableau!$G$35-P129)^2+(Tableau!$H$35-Q129)^2)</f>
        <v>4459779.870146838</v>
      </c>
    </row>
    <row r="130" spans="2:31" x14ac:dyDescent="0.25">
      <c r="B130" s="20">
        <v>127</v>
      </c>
      <c r="C130" s="21">
        <f>Tableau!$G$17*COS(B130*PI()/180)+Tableau!$G$16</f>
        <v>16990.924884239757</v>
      </c>
      <c r="D130" s="21">
        <f>Tableau!$G$17*SIN(B130*PI()/180)+Tableau!$H$16</f>
        <v>11493.177550236464</v>
      </c>
      <c r="F130" s="28">
        <v>127</v>
      </c>
      <c r="G130" s="29">
        <f>Tableau!$G$26*COS(F130*PI()/180)+Tableau!$G$25</f>
        <v>-22106.35258103217</v>
      </c>
      <c r="H130" s="29">
        <f>Tableau!$G$26*SIN(F130*PI()/180)+Tableau!$H$25</f>
        <v>12795.224285165525</v>
      </c>
      <c r="J130" s="36">
        <v>127</v>
      </c>
      <c r="K130" s="37">
        <f>Tableau!$G$36*COS(J130*PI()/180)+Tableau!$G$35</f>
        <v>-8009.0751157602417</v>
      </c>
      <c r="L130" s="37">
        <f>Tableau!$G$36*SIN(J130*PI()/180)+Tableau!$H$35</f>
        <v>-11006.822449763536</v>
      </c>
      <c r="N130" s="92">
        <v>126</v>
      </c>
      <c r="O130" s="93">
        <v>63</v>
      </c>
      <c r="P130" s="96">
        <f>P129+R129*Tableau!$G$2+((1/2)*T129)*Tableau!$G$2^2</f>
        <v>-4042995.9281079024</v>
      </c>
      <c r="Q130" s="96">
        <f>Q129+S129*Tableau!$G$2+((1/2)*U129)*Tableau!$G$2^2</f>
        <v>1966705.9134299923</v>
      </c>
      <c r="R130" s="96">
        <f>R129+T129*Tableau!$G$2</f>
        <v>-68700.660946521544</v>
      </c>
      <c r="S130" s="96">
        <f>S129+U129*Tableau!$G$2</f>
        <v>33801.928957992393</v>
      </c>
      <c r="T130" s="96">
        <f t="shared" si="2"/>
        <v>5.448193432263914E-2</v>
      </c>
      <c r="U130" s="96">
        <f t="shared" si="3"/>
        <v>-2.6504066252644412E-2</v>
      </c>
      <c r="V130" s="96">
        <f>((Tableau!$G$16-P130)/(AC130^2+Tableau!$G$21^2)^(3/2))*Tableau!$G$20</f>
        <v>2.3179970688433475E-2</v>
      </c>
      <c r="W130" s="96">
        <f>((Tableau!$H$16-Q130)/(AC130^2+Tableau!$G$21^2)^(3/2))*Tableau!$G$20</f>
        <v>-1.1177548894827903E-2</v>
      </c>
      <c r="X130" s="96">
        <f>((Tableau!$G$25-P130)/(AD130^2+Tableau!$G$30^2)^(3/2))*Tableau!$G$29</f>
        <v>8.0698919278443804E-3</v>
      </c>
      <c r="Y130" s="96">
        <f>((Tableau!$H$25-Q130)/(AD130^2+Tableau!$G$30^2)^(3/2))*Tableau!$G$29</f>
        <v>-3.9250363505539546E-3</v>
      </c>
      <c r="Z130" s="96">
        <f>((Tableau!$G$35-P130)/(AE130^2+Tableau!$G$40^2)^(3/2))*Tableau!$G$39</f>
        <v>2.3232071706361285E-2</v>
      </c>
      <c r="AA130" s="97">
        <f>((Tableau!$H$35-Q130)/(AE130^2+Tableau!$G$40^2)^(3/2))*Tableau!$G$39</f>
        <v>-1.1401481007262551E-2</v>
      </c>
      <c r="AC130" s="110">
        <f>SQRT((Tableau!$G$16-P130)^2+(Tableau!$H$16-Q130)^2)</f>
        <v>4510701.0234597065</v>
      </c>
      <c r="AD130" s="111">
        <f>SQRT((Tableau!$G$25-P130)^2+(Tableau!$H$25-Q130)^2)</f>
        <v>4473610.8759283777</v>
      </c>
      <c r="AE130" s="112">
        <f>SQRT((Tableau!$G$35-P130)^2+(Tableau!$H$35-Q130)^2)</f>
        <v>4498062.8544673985</v>
      </c>
    </row>
    <row r="131" spans="2:31" x14ac:dyDescent="0.25">
      <c r="B131" s="18">
        <v>128</v>
      </c>
      <c r="C131" s="19">
        <f>Tableau!$G$17*COS(B131*PI()/180)+Tableau!$G$16</f>
        <v>16921.692623371709</v>
      </c>
      <c r="D131" s="19">
        <f>Tableau!$G$17*SIN(B131*PI()/180)+Tableau!$H$16</f>
        <v>11440.053768033609</v>
      </c>
      <c r="F131" s="26">
        <v>128</v>
      </c>
      <c r="G131" s="27">
        <f>Tableau!$G$26*COS(F131*PI()/180)+Tableau!$G$25</f>
        <v>-22154.815163639803</v>
      </c>
      <c r="H131" s="27">
        <f>Tableau!$G$26*SIN(F131*PI()/180)+Tableau!$H$25</f>
        <v>12758.037637623527</v>
      </c>
      <c r="J131" s="34">
        <v>128</v>
      </c>
      <c r="K131" s="35">
        <f>Tableau!$G$36*COS(J131*PI()/180)+Tableau!$G$35</f>
        <v>-8078.3073766282914</v>
      </c>
      <c r="L131" s="35">
        <f>Tableau!$G$36*SIN(J131*PI()/180)+Tableau!$H$35</f>
        <v>-11059.946231966391</v>
      </c>
      <c r="N131" s="98">
        <v>127</v>
      </c>
      <c r="O131" s="99">
        <v>63.5</v>
      </c>
      <c r="P131" s="101">
        <f>P130+R130*Tableau!$G$2+((1/2)*T130)*Tableau!$G$2^2</f>
        <v>-4077346.2517709215</v>
      </c>
      <c r="Q131" s="101">
        <f>Q130+S130*Tableau!$G$2+((1/2)*U130)*Tableau!$G$2^2</f>
        <v>1983606.8745959802</v>
      </c>
      <c r="R131" s="101">
        <f>R130+T130*Tableau!$G$2</f>
        <v>-68700.633705554385</v>
      </c>
      <c r="S131" s="101">
        <f>S130+U130*Tableau!$G$2</f>
        <v>33801.915705959269</v>
      </c>
      <c r="T131" s="101">
        <f t="shared" si="2"/>
        <v>5.3565631629818929E-2</v>
      </c>
      <c r="U131" s="101">
        <f t="shared" si="3"/>
        <v>-2.606080104164829E-2</v>
      </c>
      <c r="V131" s="101">
        <f>((Tableau!$G$16-P131)/(AC131^2+Tableau!$G$21^2)^(3/2))*Tableau!$G$20</f>
        <v>2.2790738539470484E-2</v>
      </c>
      <c r="W131" s="101">
        <f>((Tableau!$H$16-Q131)/(AC131^2+Tableau!$G$21^2)^(3/2))*Tableau!$G$20</f>
        <v>-1.0991732779601353E-2</v>
      </c>
      <c r="X131" s="101">
        <f>((Tableau!$G$25-P131)/(AD131^2+Tableau!$G$30^2)^(3/2))*Tableau!$G$29</f>
        <v>7.9333808317883104E-3</v>
      </c>
      <c r="Y131" s="101">
        <f>((Tableau!$H$25-Q131)/(AD131^2+Tableau!$G$30^2)^(3/2))*Tableau!$G$29</f>
        <v>-3.859018672998728E-3</v>
      </c>
      <c r="Z131" s="101">
        <f>((Tableau!$G$35-P131)/(AE131^2+Tableau!$G$40^2)^(3/2))*Tableau!$G$39</f>
        <v>2.2841512258560133E-2</v>
      </c>
      <c r="AA131" s="102">
        <f>((Tableau!$H$35-Q131)/(AE131^2+Tableau!$G$40^2)^(3/2))*Tableau!$G$39</f>
        <v>-1.1210049589048207E-2</v>
      </c>
      <c r="AC131" s="113">
        <f>SQRT((Tableau!$G$16-P131)^2+(Tableau!$H$16-Q131)^2)</f>
        <v>4548982.8189087193</v>
      </c>
      <c r="AD131" s="114">
        <f>SQRT((Tableau!$G$25-P131)^2+(Tableau!$H$25-Q131)^2)</f>
        <v>4511893.4719485631</v>
      </c>
      <c r="AE131" s="115">
        <f>SQRT((Tableau!$G$35-P131)^2+(Tableau!$H$35-Q131)^2)</f>
        <v>4536345.8238426866</v>
      </c>
    </row>
    <row r="132" spans="2:31" x14ac:dyDescent="0.25">
      <c r="B132" s="20">
        <v>129</v>
      </c>
      <c r="C132" s="21">
        <f>Tableau!$G$17*COS(B132*PI()/180)+Tableau!$G$16</f>
        <v>16853.398044750815</v>
      </c>
      <c r="D132" s="21">
        <f>Tableau!$G$17*SIN(B132*PI()/180)+Tableau!$H$16</f>
        <v>11385.729807284855</v>
      </c>
      <c r="F132" s="28">
        <v>129</v>
      </c>
      <c r="G132" s="29">
        <f>Tableau!$G$26*COS(F132*PI()/180)+Tableau!$G$25</f>
        <v>-22202.62136867443</v>
      </c>
      <c r="H132" s="29">
        <f>Tableau!$G$26*SIN(F132*PI()/180)+Tableau!$H$25</f>
        <v>12720.010865099399</v>
      </c>
      <c r="J132" s="36">
        <v>129</v>
      </c>
      <c r="K132" s="37">
        <f>Tableau!$G$36*COS(J132*PI()/180)+Tableau!$G$35</f>
        <v>-8146.6019552491862</v>
      </c>
      <c r="L132" s="37">
        <f>Tableau!$G$36*SIN(J132*PI()/180)+Tableau!$H$35</f>
        <v>-11114.270192715145</v>
      </c>
      <c r="N132" s="92">
        <v>128</v>
      </c>
      <c r="O132" s="93">
        <v>64</v>
      </c>
      <c r="P132" s="96">
        <f>P131+R131*Tableau!$G$2+((1/2)*T131)*Tableau!$G$2^2</f>
        <v>-4111696.5619279947</v>
      </c>
      <c r="Q132" s="96">
        <f>Q131+S131*Tableau!$G$2+((1/2)*U131)*Tableau!$G$2^2</f>
        <v>2000507.8291913597</v>
      </c>
      <c r="R132" s="96">
        <f>R131+T131*Tableau!$G$2</f>
        <v>-68700.606922738574</v>
      </c>
      <c r="S132" s="96">
        <f>S131+U131*Tableau!$G$2</f>
        <v>33801.902675558747</v>
      </c>
      <c r="T132" s="96">
        <f t="shared" ref="T132:T195" si="4">V132+X132+Z132</f>
        <v>5.2672252362493455E-2</v>
      </c>
      <c r="U132" s="96">
        <f t="shared" ref="U132:U195" si="5">W132+Y132+AA132</f>
        <v>-2.562856353746517E-2</v>
      </c>
      <c r="V132" s="96">
        <f>((Tableau!$G$16-P132)/(AC132^2+Tableau!$G$21^2)^(3/2))*Tableau!$G$20</f>
        <v>2.2411228359278598E-2</v>
      </c>
      <c r="W132" s="96">
        <f>((Tableau!$H$16-Q132)/(AC132^2+Tableau!$G$21^2)^(3/2))*Tableau!$G$20</f>
        <v>-1.0810511593086368E-2</v>
      </c>
      <c r="X132" s="96">
        <f>((Tableau!$G$25-P132)/(AD132^2+Tableau!$G$30^2)^(3/2))*Tableau!$G$29</f>
        <v>7.800304530330285E-3</v>
      </c>
      <c r="Y132" s="96">
        <f>((Tableau!$H$25-Q132)/(AD132^2+Tableau!$G$30^2)^(3/2))*Tableau!$G$29</f>
        <v>-3.7946526587942279E-3</v>
      </c>
      <c r="Z132" s="96">
        <f>((Tableau!$G$35-P132)/(AE132^2+Tableau!$G$40^2)^(3/2))*Tableau!$G$39</f>
        <v>2.2460719472884572E-2</v>
      </c>
      <c r="AA132" s="97">
        <f>((Tableau!$H$35-Q132)/(AE132^2+Tableau!$G$40^2)^(3/2))*Tableau!$G$39</f>
        <v>-1.1023399285584575E-2</v>
      </c>
      <c r="AC132" s="110">
        <f>SQRT((Tableau!$G$16-P132)^2+(Tableau!$H$16-Q132)^2)</f>
        <v>4587264.6192546673</v>
      </c>
      <c r="AD132" s="111">
        <f>SQRT((Tableau!$G$25-P132)^2+(Tableau!$H$25-Q132)^2)</f>
        <v>4550176.0595569788</v>
      </c>
      <c r="AE132" s="112">
        <f>SQRT((Tableau!$G$35-P132)^2+(Tableau!$H$35-Q132)^2)</f>
        <v>4574628.7785221301</v>
      </c>
    </row>
    <row r="133" spans="2:31" x14ac:dyDescent="0.25">
      <c r="B133" s="18">
        <v>130</v>
      </c>
      <c r="C133" s="19">
        <f>Tableau!$G$17*COS(B133*PI()/180)+Tableau!$G$16</f>
        <v>16786.061951567302</v>
      </c>
      <c r="D133" s="19">
        <f>Tableau!$G$17*SIN(B133*PI()/180)+Tableau!$H$16</f>
        <v>11330.222215594891</v>
      </c>
      <c r="F133" s="26">
        <v>130</v>
      </c>
      <c r="G133" s="27">
        <f>Tableau!$G$26*COS(F133*PI()/180)+Tableau!$G$25</f>
        <v>-22249.756633902889</v>
      </c>
      <c r="H133" s="27">
        <f>Tableau!$G$26*SIN(F133*PI()/180)+Tableau!$H$25</f>
        <v>12681.155550916423</v>
      </c>
      <c r="J133" s="34">
        <v>130</v>
      </c>
      <c r="K133" s="35">
        <f>Tableau!$G$36*COS(J133*PI()/180)+Tableau!$G$35</f>
        <v>-8213.9380484326975</v>
      </c>
      <c r="L133" s="35">
        <f>Tableau!$G$36*SIN(J133*PI()/180)+Tableau!$H$35</f>
        <v>-11169.777784405109</v>
      </c>
      <c r="N133" s="98">
        <v>129</v>
      </c>
      <c r="O133" s="99">
        <v>64.5</v>
      </c>
      <c r="P133" s="101">
        <f>P132+R132*Tableau!$G$2+((1/2)*T132)*Tableau!$G$2^2</f>
        <v>-4146046.8588053323</v>
      </c>
      <c r="Q133" s="101">
        <f>Q132+S132*Tableau!$G$2+((1/2)*U132)*Tableau!$G$2^2</f>
        <v>2017408.7773255687</v>
      </c>
      <c r="R133" s="101">
        <f>R132+T132*Tableau!$G$2</f>
        <v>-68700.580586612399</v>
      </c>
      <c r="S133" s="101">
        <f>S132+U132*Tableau!$G$2</f>
        <v>33801.889861276977</v>
      </c>
      <c r="T133" s="101">
        <f t="shared" si="4"/>
        <v>5.1801038204470989E-2</v>
      </c>
      <c r="U133" s="101">
        <f t="shared" si="5"/>
        <v>-2.5206990951973686E-2</v>
      </c>
      <c r="V133" s="101">
        <f>((Tableau!$G$16-P133)/(AC133^2+Tableau!$G$21^2)^(3/2))*Tableau!$G$20</f>
        <v>2.2041119058626116E-2</v>
      </c>
      <c r="W133" s="101">
        <f>((Tableau!$H$16-Q133)/(AC133^2+Tableau!$G$21^2)^(3/2))*Tableau!$G$20</f>
        <v>-1.0633735087347117E-2</v>
      </c>
      <c r="X133" s="101">
        <f>((Tableau!$G$25-P133)/(AD133^2+Tableau!$G$30^2)^(3/2))*Tableau!$G$29</f>
        <v>7.6705487507310105E-3</v>
      </c>
      <c r="Y133" s="101">
        <f>((Tableau!$H$25-Q133)/(AD133^2+Tableau!$G$30^2)^(3/2))*Tableau!$G$29</f>
        <v>-3.7318836688101666E-3</v>
      </c>
      <c r="Z133" s="101">
        <f>((Tableau!$G$35-P133)/(AE133^2+Tableau!$G$40^2)^(3/2))*Tableau!$G$39</f>
        <v>2.2089370395113862E-2</v>
      </c>
      <c r="AA133" s="102">
        <f>((Tableau!$H$35-Q133)/(AE133^2+Tableau!$G$40^2)^(3/2))*Tableau!$G$39</f>
        <v>-1.0841372195816401E-2</v>
      </c>
      <c r="AC133" s="113">
        <f>SQRT((Tableau!$G$16-P133)^2+(Tableau!$H$16-Q133)^2)</f>
        <v>4625546.4242543429</v>
      </c>
      <c r="AD133" s="114">
        <f>SQRT((Tableau!$G$25-P133)^2+(Tableau!$H$25-Q133)^2)</f>
        <v>4588458.638839527</v>
      </c>
      <c r="AE133" s="115">
        <f>SQRT((Tableau!$G$35-P133)^2+(Tableau!$H$35-Q133)^2)</f>
        <v>4612911.7187489644</v>
      </c>
    </row>
    <row r="134" spans="2:31" x14ac:dyDescent="0.25">
      <c r="B134" s="20">
        <v>131</v>
      </c>
      <c r="C134" s="21">
        <f>Tableau!$G$17*COS(B134*PI()/180)+Tableau!$G$16</f>
        <v>16719.704855047461</v>
      </c>
      <c r="D134" s="21">
        <f>Tableau!$G$17*SIN(B134*PI()/180)+Tableau!$H$16</f>
        <v>11273.54790111386</v>
      </c>
      <c r="F134" s="28">
        <v>131</v>
      </c>
      <c r="G134" s="29">
        <f>Tableau!$G$26*COS(F134*PI()/180)+Tableau!$G$25</f>
        <v>-22296.206601466776</v>
      </c>
      <c r="H134" s="29">
        <f>Tableau!$G$26*SIN(F134*PI()/180)+Tableau!$H$25</f>
        <v>12641.4835307797</v>
      </c>
      <c r="J134" s="36">
        <v>131</v>
      </c>
      <c r="K134" s="37">
        <f>Tableau!$G$36*COS(J134*PI()/180)+Tableau!$G$35</f>
        <v>-8280.2951449525372</v>
      </c>
      <c r="L134" s="37">
        <f>Tableau!$G$36*SIN(J134*PI()/180)+Tableau!$H$35</f>
        <v>-11226.45209888614</v>
      </c>
      <c r="N134" s="92">
        <v>130</v>
      </c>
      <c r="O134" s="93">
        <v>65</v>
      </c>
      <c r="P134" s="96">
        <f>P133+R133*Tableau!$G$2+((1/2)*T133)*Tableau!$G$2^2</f>
        <v>-4180397.1426235088</v>
      </c>
      <c r="Q134" s="96">
        <f>Q133+S133*Tableau!$G$2+((1/2)*U133)*Tableau!$G$2^2</f>
        <v>2034309.7191053333</v>
      </c>
      <c r="R134" s="96">
        <f>R133+T133*Tableau!$G$2</f>
        <v>-68700.554686093295</v>
      </c>
      <c r="S134" s="96">
        <f>S133+U133*Tableau!$G$2</f>
        <v>33801.877257781503</v>
      </c>
      <c r="T134" s="96">
        <f t="shared" si="4"/>
        <v>5.0951261938925754E-2</v>
      </c>
      <c r="U134" s="96">
        <f t="shared" si="5"/>
        <v>-2.4795735293826178E-2</v>
      </c>
      <c r="V134" s="96">
        <f>((Tableau!$G$16-P134)/(AC134^2+Tableau!$G$21^2)^(3/2))*Tableau!$G$20</f>
        <v>2.1680102695186953E-2</v>
      </c>
      <c r="W134" s="96">
        <f>((Tableau!$H$16-Q134)/(AC134^2+Tableau!$G$21^2)^(3/2))*Tableau!$G$20</f>
        <v>-1.0461259105219143E-2</v>
      </c>
      <c r="X134" s="96">
        <f>((Tableau!$G$25-P134)/(AD134^2+Tableau!$G$30^2)^(3/2))*Tableau!$G$29</f>
        <v>7.5440039332139667E-3</v>
      </c>
      <c r="Y134" s="96">
        <f>((Tableau!$H$25-Q134)/(AD134^2+Tableau!$G$30^2)^(3/2))*Tableau!$G$29</f>
        <v>-3.6706593047374052E-3</v>
      </c>
      <c r="Z134" s="96">
        <f>((Tableau!$G$35-P134)/(AE134^2+Tableau!$G$40^2)^(3/2))*Tableau!$G$39</f>
        <v>2.172715531052483E-2</v>
      </c>
      <c r="AA134" s="97">
        <f>((Tableau!$H$35-Q134)/(AE134^2+Tableau!$G$40^2)^(3/2))*Tableau!$G$39</f>
        <v>-1.0663816883869632E-2</v>
      </c>
      <c r="AC134" s="110">
        <f>SQRT((Tableau!$G$16-P134)^2+(Tableau!$H$16-Q134)^2)</f>
        <v>4663828.2336745178</v>
      </c>
      <c r="AD134" s="111">
        <f>SQRT((Tableau!$G$25-P134)^2+(Tableau!$H$25-Q134)^2)</f>
        <v>4626741.2098813318</v>
      </c>
      <c r="AE134" s="112">
        <f>SQRT((Tableau!$G$35-P134)^2+(Tableau!$H$35-Q134)^2)</f>
        <v>4651194.6447604345</v>
      </c>
    </row>
    <row r="135" spans="2:31" x14ac:dyDescent="0.25">
      <c r="B135" s="18">
        <v>132</v>
      </c>
      <c r="C135" s="19">
        <f>Tableau!$G$17*COS(B135*PI()/180)+Tableau!$G$16</f>
        <v>16654.346968205708</v>
      </c>
      <c r="D135" s="19">
        <f>Tableau!$G$17*SIN(B135*PI()/180)+Tableau!$H$16</f>
        <v>11215.724127386971</v>
      </c>
      <c r="F135" s="26">
        <v>132</v>
      </c>
      <c r="G135" s="27">
        <f>Tableau!$G$26*COS(F135*PI()/180)+Tableau!$G$25</f>
        <v>-22341.957122256004</v>
      </c>
      <c r="H135" s="27">
        <f>Tableau!$G$26*SIN(F135*PI()/180)+Tableau!$H$25</f>
        <v>12601.00688917088</v>
      </c>
      <c r="J135" s="34">
        <v>132</v>
      </c>
      <c r="K135" s="35">
        <f>Tableau!$G$36*COS(J135*PI()/180)+Tableau!$G$35</f>
        <v>-8345.6530317942907</v>
      </c>
      <c r="L135" s="35">
        <f>Tableau!$G$36*SIN(J135*PI()/180)+Tableau!$H$35</f>
        <v>-11284.275872613029</v>
      </c>
      <c r="N135" s="98">
        <v>131</v>
      </c>
      <c r="O135" s="99">
        <v>65.5</v>
      </c>
      <c r="P135" s="101">
        <f>P134+R134*Tableau!$G$2+((1/2)*T134)*Tableau!$G$2^2</f>
        <v>-4214747.4135976471</v>
      </c>
      <c r="Q135" s="101">
        <f>Q134+S134*Tableau!$G$2+((1/2)*U134)*Tableau!$G$2^2</f>
        <v>2051210.6546347572</v>
      </c>
      <c r="R135" s="101">
        <f>R134+T134*Tableau!$G$2</f>
        <v>-68700.529210462322</v>
      </c>
      <c r="S135" s="101">
        <f>S134+U134*Tableau!$G$2</f>
        <v>33801.864859913854</v>
      </c>
      <c r="T135" s="101">
        <f t="shared" si="4"/>
        <v>5.0122225930359518E-2</v>
      </c>
      <c r="U135" s="101">
        <f t="shared" si="5"/>
        <v>-2.4394462650114641E-2</v>
      </c>
      <c r="V135" s="101">
        <f>((Tableau!$G$16-P135)/(AC135^2+Tableau!$G$21^2)^(3/2))*Tableau!$G$20</f>
        <v>2.1327883832851141E-2</v>
      </c>
      <c r="W135" s="101">
        <f>((Tableau!$H$16-Q135)/(AC135^2+Tableau!$G$21^2)^(3/2))*Tableau!$G$20</f>
        <v>-1.0292945286429699E-2</v>
      </c>
      <c r="X135" s="101">
        <f>((Tableau!$G$25-P135)/(AD135^2+Tableau!$G$30^2)^(3/2))*Tableau!$G$29</f>
        <v>7.4205649996229896E-3</v>
      </c>
      <c r="Y135" s="101">
        <f>((Tableau!$H$25-Q135)/(AD135^2+Tableau!$G$30^2)^(3/2))*Tableau!$G$29</f>
        <v>-3.6109292997094575E-3</v>
      </c>
      <c r="Z135" s="101">
        <f>((Tableau!$G$35-P135)/(AE135^2+Tableau!$G$40^2)^(3/2))*Tableau!$G$39</f>
        <v>2.1373777097885391E-2</v>
      </c>
      <c r="AA135" s="102">
        <f>((Tableau!$H$35-Q135)/(AE135^2+Tableau!$G$40^2)^(3/2))*Tableau!$G$39</f>
        <v>-1.0490588063975487E-2</v>
      </c>
      <c r="AC135" s="113">
        <f>SQRT((Tableau!$G$16-P135)^2+(Tableau!$H$16-Q135)^2)</f>
        <v>4702110.0472914912</v>
      </c>
      <c r="AD135" s="114">
        <f>SQRT((Tableau!$G$25-P135)^2+(Tableau!$H$25-Q135)^2)</f>
        <v>4665023.7727667158</v>
      </c>
      <c r="AE135" s="115">
        <f>SQRT((Tableau!$G$35-P135)^2+(Tableau!$H$35-Q135)^2)</f>
        <v>4689477.5567879919</v>
      </c>
    </row>
    <row r="136" spans="2:31" x14ac:dyDescent="0.25">
      <c r="B136" s="20">
        <v>133</v>
      </c>
      <c r="C136" s="21">
        <f>Tableau!$G$17*COS(B136*PI()/180)+Tableau!$G$16</f>
        <v>16590.008199687509</v>
      </c>
      <c r="D136" s="21">
        <f>Tableau!$G$17*SIN(B136*PI()/180)+Tableau!$H$16</f>
        <v>11156.768508095853</v>
      </c>
      <c r="F136" s="28">
        <v>133</v>
      </c>
      <c r="G136" s="29">
        <f>Tableau!$G$26*COS(F136*PI()/180)+Tableau!$G$25</f>
        <v>-22386.994260218744</v>
      </c>
      <c r="H136" s="29">
        <f>Tableau!$G$26*SIN(F136*PI()/180)+Tableau!$H$25</f>
        <v>12559.737955667097</v>
      </c>
      <c r="J136" s="36">
        <v>133</v>
      </c>
      <c r="K136" s="37">
        <f>Tableau!$G$36*COS(J136*PI()/180)+Tableau!$G$35</f>
        <v>-8409.9918003124913</v>
      </c>
      <c r="L136" s="37">
        <f>Tableau!$G$36*SIN(J136*PI()/180)+Tableau!$H$35</f>
        <v>-11343.231491904147</v>
      </c>
      <c r="N136" s="92">
        <v>132</v>
      </c>
      <c r="O136" s="93">
        <v>66</v>
      </c>
      <c r="P136" s="96">
        <f>P135+R135*Tableau!$G$2+((1/2)*T135)*Tableau!$G$2^2</f>
        <v>-4249097.6719376007</v>
      </c>
      <c r="Q136" s="96">
        <f>Q135+S135*Tableau!$G$2+((1/2)*U135)*Tableau!$G$2^2</f>
        <v>2068111.5840154064</v>
      </c>
      <c r="R136" s="96">
        <f>R135+T135*Tableau!$G$2</f>
        <v>-68700.504149349363</v>
      </c>
      <c r="S136" s="96">
        <f>S135+U135*Tableau!$G$2</f>
        <v>33801.852662682526</v>
      </c>
      <c r="T136" s="96">
        <f t="shared" si="4"/>
        <v>4.9313260692311914E-2</v>
      </c>
      <c r="U136" s="96">
        <f t="shared" si="5"/>
        <v>-2.4002852508393187E-2</v>
      </c>
      <c r="V136" s="96">
        <f>((Tableau!$G$16-P136)/(AC136^2+Tableau!$G$21^2)^(3/2))*Tableau!$G$20</f>
        <v>2.0984178937166715E-2</v>
      </c>
      <c r="W136" s="96">
        <f>((Tableau!$H$16-Q136)/(AC136^2+Tableau!$G$21^2)^(3/2))*Tableau!$G$20</f>
        <v>-1.0128660790127232E-2</v>
      </c>
      <c r="X136" s="96">
        <f>((Tableau!$G$25-P136)/(AD136^2+Tableau!$G$30^2)^(3/2))*Tableau!$G$29</f>
        <v>7.3001311352207049E-3</v>
      </c>
      <c r="Y136" s="96">
        <f>((Tableau!$H$25-Q136)/(AD136^2+Tableau!$G$30^2)^(3/2))*Tableau!$G$29</f>
        <v>-3.5526454151023818E-3</v>
      </c>
      <c r="Z136" s="96">
        <f>((Tableau!$G$35-P136)/(AE136^2+Tableau!$G$40^2)^(3/2))*Tableau!$G$39</f>
        <v>2.1028950619924491E-2</v>
      </c>
      <c r="AA136" s="97">
        <f>((Tableau!$H$35-Q136)/(AE136^2+Tableau!$G$40^2)^(3/2))*Tableau!$G$39</f>
        <v>-1.0321546303163573E-2</v>
      </c>
      <c r="AC136" s="110">
        <f>SQRT((Tableau!$G$16-P136)^2+(Tableau!$H$16-Q136)^2)</f>
        <v>4740391.8648906574</v>
      </c>
      <c r="AD136" s="111">
        <f>SQRT((Tableau!$G$25-P136)^2+(Tableau!$H$25-Q136)^2)</f>
        <v>4703306.3275791891</v>
      </c>
      <c r="AE136" s="112">
        <f>SQRT((Tableau!$G$35-P136)^2+(Tableau!$H$35-Q136)^2)</f>
        <v>4727760.4550574832</v>
      </c>
    </row>
    <row r="137" spans="2:31" x14ac:dyDescent="0.25">
      <c r="B137" s="18">
        <v>134</v>
      </c>
      <c r="C137" s="19">
        <f>Tableau!$G$17*COS(B137*PI()/180)+Tableau!$G$16</f>
        <v>16526.708147705016</v>
      </c>
      <c r="D137" s="19">
        <f>Tableau!$G$17*SIN(B137*PI()/180)+Tableau!$H$16</f>
        <v>11096.699001693258</v>
      </c>
      <c r="F137" s="26">
        <v>134</v>
      </c>
      <c r="G137" s="27">
        <f>Tableau!$G$26*COS(F137*PI()/180)+Tableau!$G$25</f>
        <v>-22431.30429660649</v>
      </c>
      <c r="H137" s="27">
        <f>Tableau!$G$26*SIN(F137*PI()/180)+Tableau!$H$25</f>
        <v>12517.689301185281</v>
      </c>
      <c r="J137" s="34">
        <v>134</v>
      </c>
      <c r="K137" s="35">
        <f>Tableau!$G$36*COS(J137*PI()/180)+Tableau!$G$35</f>
        <v>-8473.2918522949858</v>
      </c>
      <c r="L137" s="35">
        <f>Tableau!$G$36*SIN(J137*PI()/180)+Tableau!$H$35</f>
        <v>-11403.300998306742</v>
      </c>
      <c r="N137" s="98">
        <v>133</v>
      </c>
      <c r="O137" s="99">
        <v>66.5</v>
      </c>
      <c r="P137" s="101">
        <f>P136+R136*Tableau!$G$2+((1/2)*T136)*Tableau!$G$2^2</f>
        <v>-4283447.9178481176</v>
      </c>
      <c r="Q137" s="101">
        <f>Q136+S136*Tableau!$G$2+((1/2)*U136)*Tableau!$G$2^2</f>
        <v>2085012.5073463912</v>
      </c>
      <c r="R137" s="101">
        <f>R136+T136*Tableau!$G$2</f>
        <v>-68700.479492719023</v>
      </c>
      <c r="S137" s="101">
        <f>S136+U136*Tableau!$G$2</f>
        <v>33801.840661256269</v>
      </c>
      <c r="T137" s="101">
        <f t="shared" si="4"/>
        <v>4.8523723535331742E-2</v>
      </c>
      <c r="U137" s="101">
        <f t="shared" si="5"/>
        <v>-2.362059711648843E-2</v>
      </c>
      <c r="V137" s="101">
        <f>((Tableau!$G$16-P137)/(AC137^2+Tableau!$G$21^2)^(3/2))*Tableau!$G$20</f>
        <v>2.0648715804604707E-2</v>
      </c>
      <c r="W137" s="101">
        <f>((Tableau!$H$16-Q137)/(AC137^2+Tableau!$G$21^2)^(3/2))*Tableau!$G$20</f>
        <v>-9.9682780327821283E-3</v>
      </c>
      <c r="X137" s="101">
        <f>((Tableau!$G$25-P137)/(AD137^2+Tableau!$G$30^2)^(3/2))*Tableau!$G$29</f>
        <v>7.182605582781461E-3</v>
      </c>
      <c r="Y137" s="101">
        <f>((Tableau!$H$25-Q137)/(AD137^2+Tableau!$G$30^2)^(3/2))*Tableau!$G$29</f>
        <v>-3.4957613431173362E-3</v>
      </c>
      <c r="Z137" s="101">
        <f>((Tableau!$G$35-P137)/(AE137^2+Tableau!$G$40^2)^(3/2))*Tableau!$G$39</f>
        <v>2.0692402147945575E-2</v>
      </c>
      <c r="AA137" s="102">
        <f>((Tableau!$H$35-Q137)/(AE137^2+Tableau!$G$40^2)^(3/2))*Tableau!$G$39</f>
        <v>-1.0156557740588965E-2</v>
      </c>
      <c r="AC137" s="113">
        <f>SQRT((Tableau!$G$16-P137)^2+(Tableau!$H$16-Q137)^2)</f>
        <v>4778673.6862660954</v>
      </c>
      <c r="AD137" s="114">
        <f>SQRT((Tableau!$G$25-P137)^2+(Tableau!$H$25-Q137)^2)</f>
        <v>4741588.8744014287</v>
      </c>
      <c r="AE137" s="115">
        <f>SQRT((Tableau!$G$35-P137)^2+(Tableau!$H$35-Q137)^2)</f>
        <v>4766043.3397893235</v>
      </c>
    </row>
    <row r="138" spans="2:31" x14ac:dyDescent="0.25">
      <c r="B138" s="20">
        <v>135</v>
      </c>
      <c r="C138" s="21">
        <f>Tableau!$G$17*COS(B138*PI()/180)+Tableau!$G$16</f>
        <v>16464.466094067262</v>
      </c>
      <c r="D138" s="21">
        <f>Tableau!$G$17*SIN(B138*PI()/180)+Tableau!$H$16</f>
        <v>11035.533905932738</v>
      </c>
      <c r="F138" s="28">
        <v>135</v>
      </c>
      <c r="G138" s="29">
        <f>Tableau!$G$26*COS(F138*PI()/180)+Tableau!$G$25</f>
        <v>-22474.873734152916</v>
      </c>
      <c r="H138" s="29">
        <f>Tableau!$G$26*SIN(F138*PI()/180)+Tableau!$H$25</f>
        <v>12474.873734152916</v>
      </c>
      <c r="J138" s="36">
        <v>135</v>
      </c>
      <c r="K138" s="37">
        <f>Tableau!$G$36*COS(J138*PI()/180)+Tableau!$G$35</f>
        <v>-8535.533905932738</v>
      </c>
      <c r="L138" s="37">
        <f>Tableau!$G$36*SIN(J138*PI()/180)+Tableau!$H$35</f>
        <v>-11464.466094067262</v>
      </c>
      <c r="N138" s="92">
        <v>134</v>
      </c>
      <c r="O138" s="93">
        <v>67</v>
      </c>
      <c r="P138" s="96">
        <f>P137+R137*Tableau!$G$2+((1/2)*T137)*Tableau!$G$2^2</f>
        <v>-4317798.1515290113</v>
      </c>
      <c r="Q138" s="96">
        <f>Q137+S137*Tableau!$G$2+((1/2)*U137)*Tableau!$G$2^2</f>
        <v>2101913.4247244447</v>
      </c>
      <c r="R138" s="96">
        <f>R137+T137*Tableau!$G$2</f>
        <v>-68700.45523085726</v>
      </c>
      <c r="S138" s="96">
        <f>S137+U137*Tableau!$G$2</f>
        <v>33801.828850957711</v>
      </c>
      <c r="T138" s="96">
        <f t="shared" si="4"/>
        <v>4.7752997290107832E-2</v>
      </c>
      <c r="U138" s="96">
        <f t="shared" si="5"/>
        <v>-2.3247400877708491E-2</v>
      </c>
      <c r="V138" s="96">
        <f>((Tableau!$G$16-P138)/(AC138^2+Tableau!$G$21^2)^(3/2))*Tableau!$G$20</f>
        <v>2.0321233023499471E-2</v>
      </c>
      <c r="W138" s="96">
        <f>((Tableau!$H$16-Q138)/(AC138^2+Tableau!$G$21^2)^(3/2))*Tableau!$G$20</f>
        <v>-9.8116744404920849E-3</v>
      </c>
      <c r="X138" s="96">
        <f>((Tableau!$G$25-P138)/(AD138^2+Tableau!$G$30^2)^(3/2))*Tableau!$G$29</f>
        <v>7.0678954481937601E-3</v>
      </c>
      <c r="Y138" s="96">
        <f>((Tableau!$H$25-Q138)/(AD138^2+Tableau!$G$30^2)^(3/2))*Tableau!$G$29</f>
        <v>-3.4402326147786096E-3</v>
      </c>
      <c r="Z138" s="96">
        <f>((Tableau!$G$35-P138)/(AE138^2+Tableau!$G$40^2)^(3/2))*Tableau!$G$39</f>
        <v>2.03638688184146E-2</v>
      </c>
      <c r="AA138" s="97">
        <f>((Tableau!$H$35-Q138)/(AE138^2+Tableau!$G$40^2)^(3/2))*Tableau!$G$39</f>
        <v>-9.9954938224377978E-3</v>
      </c>
      <c r="AC138" s="110">
        <f>SQRT((Tableau!$G$16-P138)^2+(Tableau!$H$16-Q138)^2)</f>
        <v>4816955.5112201823</v>
      </c>
      <c r="AD138" s="111">
        <f>SQRT((Tableau!$G$25-P138)^2+(Tableau!$H$25-Q138)^2)</f>
        <v>4779871.4133152729</v>
      </c>
      <c r="AE138" s="112">
        <f>SQRT((Tableau!$G$35-P138)^2+(Tableau!$H$35-Q138)^2)</f>
        <v>4804326.2111986773</v>
      </c>
    </row>
    <row r="139" spans="2:31" x14ac:dyDescent="0.25">
      <c r="B139" s="18">
        <v>136</v>
      </c>
      <c r="C139" s="19">
        <f>Tableau!$G$17*COS(B139*PI()/180)+Tableau!$G$16</f>
        <v>16403.300998306746</v>
      </c>
      <c r="D139" s="19">
        <f>Tableau!$G$17*SIN(B139*PI()/180)+Tableau!$H$16</f>
        <v>10973.291852294986</v>
      </c>
      <c r="F139" s="26">
        <v>136</v>
      </c>
      <c r="G139" s="27">
        <f>Tableau!$G$26*COS(F139*PI()/180)+Tableau!$G$25</f>
        <v>-22517.689301185281</v>
      </c>
      <c r="H139" s="27">
        <f>Tableau!$G$26*SIN(F139*PI()/180)+Tableau!$H$25</f>
        <v>12431.30429660649</v>
      </c>
      <c r="J139" s="34">
        <v>136</v>
      </c>
      <c r="K139" s="35">
        <f>Tableau!$G$36*COS(J139*PI()/180)+Tableau!$G$35</f>
        <v>-8596.6990016932559</v>
      </c>
      <c r="L139" s="35">
        <f>Tableau!$G$36*SIN(J139*PI()/180)+Tableau!$H$35</f>
        <v>-11526.708147705014</v>
      </c>
      <c r="N139" s="98">
        <v>135</v>
      </c>
      <c r="O139" s="99">
        <v>67.5</v>
      </c>
      <c r="P139" s="101">
        <f>P138+R138*Tableau!$G$2+((1/2)*T138)*Tableau!$G$2^2</f>
        <v>-4352148.3731753156</v>
      </c>
      <c r="Q139" s="101">
        <f>Q138+S138*Tableau!$G$2+((1/2)*U138)*Tableau!$G$2^2</f>
        <v>2118814.3362439983</v>
      </c>
      <c r="R139" s="101">
        <f>R138+T138*Tableau!$G$2</f>
        <v>-68700.431354358618</v>
      </c>
      <c r="S139" s="101">
        <f>S138+U138*Tableau!$G$2</f>
        <v>33801.81722725727</v>
      </c>
      <c r="T139" s="101">
        <f t="shared" si="4"/>
        <v>4.7000489101023793E-2</v>
      </c>
      <c r="U139" s="101">
        <f t="shared" si="5"/>
        <v>-2.2882979779232305E-2</v>
      </c>
      <c r="V139" s="101">
        <f>((Tableau!$G$16-P139)/(AC139^2+Tableau!$G$21^2)^(3/2))*Tableau!$G$20</f>
        <v>2.0001479464673445E-2</v>
      </c>
      <c r="W139" s="101">
        <f>((Tableau!$H$16-Q139)/(AC139^2+Tableau!$G$21^2)^(3/2))*Tableau!$G$20</f>
        <v>-9.6587322147956879E-3</v>
      </c>
      <c r="X139" s="101">
        <f>((Tableau!$G$25-P139)/(AD139^2+Tableau!$G$30^2)^(3/2))*Tableau!$G$29</f>
        <v>6.9559115168418093E-3</v>
      </c>
      <c r="Y139" s="101">
        <f>((Tableau!$H$25-Q139)/(AD139^2+Tableau!$G$30^2)^(3/2))*Tableau!$G$29</f>
        <v>-3.3860165130053183E-3</v>
      </c>
      <c r="Z139" s="101">
        <f>((Tableau!$G$35-P139)/(AE139^2+Tableau!$G$40^2)^(3/2))*Tableau!$G$39</f>
        <v>2.0043098119508541E-2</v>
      </c>
      <c r="AA139" s="102">
        <f>((Tableau!$H$35-Q139)/(AE139^2+Tableau!$G$40^2)^(3/2))*Tableau!$G$39</f>
        <v>-9.8382310514312996E-3</v>
      </c>
      <c r="AC139" s="113">
        <f>SQRT((Tableau!$G$16-P139)^2+(Tableau!$H$16-Q139)^2)</f>
        <v>4855237.3395632263</v>
      </c>
      <c r="AD139" s="114">
        <f>SQRT((Tableau!$G$25-P139)^2+(Tableau!$H$25-Q139)^2)</f>
        <v>4818153.9444017094</v>
      </c>
      <c r="AE139" s="115">
        <f>SQRT((Tableau!$G$35-P139)^2+(Tableau!$H$35-Q139)^2)</f>
        <v>4842609.0694956174</v>
      </c>
    </row>
    <row r="140" spans="2:31" x14ac:dyDescent="0.25">
      <c r="B140" s="20">
        <v>137</v>
      </c>
      <c r="C140" s="21">
        <f>Tableau!$G$17*COS(B140*PI()/180)+Tableau!$G$16</f>
        <v>16343.231491904147</v>
      </c>
      <c r="D140" s="21">
        <f>Tableau!$G$17*SIN(B140*PI()/180)+Tableau!$H$16</f>
        <v>10909.991800312493</v>
      </c>
      <c r="F140" s="28">
        <v>137</v>
      </c>
      <c r="G140" s="29">
        <f>Tableau!$G$26*COS(F140*PI()/180)+Tableau!$G$25</f>
        <v>-22559.737955667097</v>
      </c>
      <c r="H140" s="29">
        <f>Tableau!$G$26*SIN(F140*PI()/180)+Tableau!$H$25</f>
        <v>12386.994260218746</v>
      </c>
      <c r="J140" s="36">
        <v>137</v>
      </c>
      <c r="K140" s="37">
        <f>Tableau!$G$36*COS(J140*PI()/180)+Tableau!$G$35</f>
        <v>-8656.7685080958527</v>
      </c>
      <c r="L140" s="37">
        <f>Tableau!$G$36*SIN(J140*PI()/180)+Tableau!$H$35</f>
        <v>-11590.008199687507</v>
      </c>
      <c r="N140" s="92">
        <v>136</v>
      </c>
      <c r="O140" s="93">
        <v>68</v>
      </c>
      <c r="P140" s="96">
        <f>P139+R139*Tableau!$G$2+((1/2)*T139)*Tableau!$G$2^2</f>
        <v>-4386498.5829774337</v>
      </c>
      <c r="Q140" s="96">
        <f>Q139+S139*Tableau!$G$2+((1/2)*U139)*Tableau!$G$2^2</f>
        <v>2135715.2419972545</v>
      </c>
      <c r="R140" s="96">
        <f>R139+T139*Tableau!$G$2</f>
        <v>-68700.407854114063</v>
      </c>
      <c r="S140" s="96">
        <f>S139+U139*Tableau!$G$2</f>
        <v>33801.805785767378</v>
      </c>
      <c r="T140" s="96">
        <f t="shared" si="4"/>
        <v>4.6265629285730178E-2</v>
      </c>
      <c r="U140" s="96">
        <f t="shared" si="5"/>
        <v>-2.2527060851613809E-2</v>
      </c>
      <c r="V140" s="96">
        <f>((Tableau!$G$16-P140)/(AC140^2+Tableau!$G$21^2)^(3/2))*Tableau!$G$20</f>
        <v>1.9689213799890515E-2</v>
      </c>
      <c r="W140" s="96">
        <f>((Tableau!$H$16-Q140)/(AC140^2+Tableau!$G$21^2)^(3/2))*Tableau!$G$20</f>
        <v>-9.5093381111576933E-3</v>
      </c>
      <c r="X140" s="96">
        <f>((Tableau!$G$25-P140)/(AD140^2+Tableau!$G$30^2)^(3/2))*Tableau!$G$29</f>
        <v>6.8465680800900508E-3</v>
      </c>
      <c r="Y140" s="96">
        <f>((Tableau!$H$25-Q140)/(AD140^2+Tableau!$G$30^2)^(3/2))*Tableau!$G$29</f>
        <v>-3.3330719904402901E-3</v>
      </c>
      <c r="Z140" s="96">
        <f>((Tableau!$G$35-P140)/(AE140^2+Tableau!$G$40^2)^(3/2))*Tableau!$G$39</f>
        <v>1.9729847405749613E-2</v>
      </c>
      <c r="AA140" s="97">
        <f>((Tableau!$H$35-Q140)/(AE140^2+Tableau!$G$40^2)^(3/2))*Tableau!$G$39</f>
        <v>-9.684650750015825E-3</v>
      </c>
      <c r="AC140" s="110">
        <f>SQRT((Tableau!$G$16-P140)^2+(Tableau!$H$16-Q140)^2)</f>
        <v>4893519.1711131129</v>
      </c>
      <c r="AD140" s="111">
        <f>SQRT((Tableau!$G$25-P140)^2+(Tableau!$H$25-Q140)^2)</f>
        <v>4856436.4677408664</v>
      </c>
      <c r="AE140" s="112">
        <f>SQRT((Tableau!$G$35-P140)^2+(Tableau!$H$35-Q140)^2)</f>
        <v>4880891.9148852872</v>
      </c>
    </row>
    <row r="141" spans="2:31" x14ac:dyDescent="0.25">
      <c r="B141" s="18">
        <v>138</v>
      </c>
      <c r="C141" s="19">
        <f>Tableau!$G$17*COS(B141*PI()/180)+Tableau!$G$16</f>
        <v>16284.275872613031</v>
      </c>
      <c r="D141" s="19">
        <f>Tableau!$G$17*SIN(B141*PI()/180)+Tableau!$H$16</f>
        <v>10845.653031794292</v>
      </c>
      <c r="F141" s="26">
        <v>138</v>
      </c>
      <c r="G141" s="27">
        <f>Tableau!$G$26*COS(F141*PI()/180)+Tableau!$G$25</f>
        <v>-22601.00688917088</v>
      </c>
      <c r="H141" s="27">
        <f>Tableau!$G$26*SIN(F141*PI()/180)+Tableau!$H$25</f>
        <v>12341.957122256004</v>
      </c>
      <c r="J141" s="34">
        <v>138</v>
      </c>
      <c r="K141" s="35">
        <f>Tableau!$G$36*COS(J141*PI()/180)+Tableau!$G$35</f>
        <v>-8715.7241273869695</v>
      </c>
      <c r="L141" s="35">
        <f>Tableau!$G$36*SIN(J141*PI()/180)+Tableau!$H$35</f>
        <v>-11654.346968205708</v>
      </c>
      <c r="N141" s="98">
        <v>137</v>
      </c>
      <c r="O141" s="99">
        <v>68.5</v>
      </c>
      <c r="P141" s="101">
        <f>P140+R140*Tableau!$G$2+((1/2)*T140)*Tableau!$G$2^2</f>
        <v>-4420848.7811212866</v>
      </c>
      <c r="Q141" s="101">
        <f>Q140+S140*Tableau!$G$2+((1/2)*U140)*Tableau!$G$2^2</f>
        <v>2152616.1420742557</v>
      </c>
      <c r="R141" s="101">
        <f>R140+T140*Tableau!$G$2</f>
        <v>-68700.384721299415</v>
      </c>
      <c r="S141" s="101">
        <f>S140+U140*Tableau!$G$2</f>
        <v>33801.794522236953</v>
      </c>
      <c r="T141" s="101">
        <f t="shared" si="4"/>
        <v>4.5547870256640047E-2</v>
      </c>
      <c r="U141" s="101">
        <f t="shared" si="5"/>
        <v>-2.2179381657481574E-2</v>
      </c>
      <c r="V141" s="101">
        <f>((Tableau!$G$16-P141)/(AC141^2+Tableau!$G$21^2)^(3/2))*Tableau!$G$20</f>
        <v>1.9384204046416737E-2</v>
      </c>
      <c r="W141" s="101">
        <f>((Tableau!$H$16-Q141)/(AC141^2+Tableau!$G$21^2)^(3/2))*Tableau!$G$20</f>
        <v>-9.3633832293498215E-3</v>
      </c>
      <c r="X141" s="101">
        <f>((Tableau!$G$25-P141)/(AD141^2+Tableau!$G$30^2)^(3/2))*Tableau!$G$29</f>
        <v>6.7397827712386855E-3</v>
      </c>
      <c r="Y141" s="101">
        <f>((Tableau!$H$25-Q141)/(AD141^2+Tableau!$G$30^2)^(3/2))*Tableau!$G$29</f>
        <v>-3.2813595917400786E-3</v>
      </c>
      <c r="Z141" s="101">
        <f>((Tableau!$G$35-P141)/(AE141^2+Tableau!$G$40^2)^(3/2))*Tableau!$G$39</f>
        <v>1.9423883438984619E-2</v>
      </c>
      <c r="AA141" s="102">
        <f>((Tableau!$H$35-Q141)/(AE141^2+Tableau!$G$40^2)^(3/2))*Tableau!$G$39</f>
        <v>-9.5346388363916762E-3</v>
      </c>
      <c r="AC141" s="113">
        <f>SQRT((Tableau!$G$16-P141)^2+(Tableau!$H$16-Q141)^2)</f>
        <v>4931801.0056949742</v>
      </c>
      <c r="AD141" s="114">
        <f>SQRT((Tableau!$G$25-P141)^2+(Tableau!$H$25-Q141)^2)</f>
        <v>4894718.9834120078</v>
      </c>
      <c r="AE141" s="115">
        <f>SQRT((Tableau!$G$35-P141)^2+(Tableau!$H$35-Q141)^2)</f>
        <v>4919174.7475680541</v>
      </c>
    </row>
    <row r="142" spans="2:31" x14ac:dyDescent="0.25">
      <c r="B142" s="20">
        <v>139</v>
      </c>
      <c r="C142" s="21">
        <f>Tableau!$G$17*COS(B142*PI()/180)+Tableau!$G$16</f>
        <v>16226.45209888614</v>
      </c>
      <c r="D142" s="21">
        <f>Tableau!$G$17*SIN(B142*PI()/180)+Tableau!$H$16</f>
        <v>10780.295144952535</v>
      </c>
      <c r="F142" s="28">
        <v>139</v>
      </c>
      <c r="G142" s="29">
        <f>Tableau!$G$26*COS(F142*PI()/180)+Tableau!$G$25</f>
        <v>-22641.483530779704</v>
      </c>
      <c r="H142" s="29">
        <f>Tableau!$G$26*SIN(F142*PI()/180)+Tableau!$H$25</f>
        <v>12296.206601466776</v>
      </c>
      <c r="J142" s="36">
        <v>139</v>
      </c>
      <c r="K142" s="37">
        <f>Tableau!$G$36*COS(J142*PI()/180)+Tableau!$G$35</f>
        <v>-8773.5479011138596</v>
      </c>
      <c r="L142" s="37">
        <f>Tableau!$G$36*SIN(J142*PI()/180)+Tableau!$H$35</f>
        <v>-11719.704855047465</v>
      </c>
      <c r="N142" s="92">
        <v>138</v>
      </c>
      <c r="O142" s="93">
        <v>69</v>
      </c>
      <c r="P142" s="96">
        <f>P141+R141*Tableau!$G$2+((1/2)*T141)*Tableau!$G$2^2</f>
        <v>-4455198.9677884523</v>
      </c>
      <c r="Q142" s="96">
        <f>Q141+S141*Tableau!$G$2+((1/2)*U141)*Tableau!$G$2^2</f>
        <v>2169517.0365629517</v>
      </c>
      <c r="R142" s="96">
        <f>R141+T141*Tableau!$G$2</f>
        <v>-68700.36194736429</v>
      </c>
      <c r="S142" s="96">
        <f>S141+U141*Tableau!$G$2</f>
        <v>33801.783432546123</v>
      </c>
      <c r="T142" s="96">
        <f t="shared" si="4"/>
        <v>4.4846685500533431E-2</v>
      </c>
      <c r="U142" s="96">
        <f t="shared" si="5"/>
        <v>-2.1839689807644787E-2</v>
      </c>
      <c r="V142" s="96">
        <f>((Tableau!$G$16-P142)/(AC142^2+Tableau!$G$21^2)^(3/2))*Tableau!$G$20</f>
        <v>1.908622713608029E-2</v>
      </c>
      <c r="W142" s="96">
        <f>((Tableau!$H$16-Q142)/(AC142^2+Tableau!$G$21^2)^(3/2))*Tableau!$G$20</f>
        <v>-9.220762815001244E-3</v>
      </c>
      <c r="X142" s="96">
        <f>((Tableau!$G$25-P142)/(AD142^2+Tableau!$G$30^2)^(3/2))*Tableau!$G$29</f>
        <v>6.6354764103652864E-3</v>
      </c>
      <c r="Y142" s="96">
        <f>((Tableau!$H$25-Q142)/(AD142^2+Tableau!$G$30^2)^(3/2))*Tableau!$G$29</f>
        <v>-3.2308413800521277E-3</v>
      </c>
      <c r="Z142" s="96">
        <f>((Tableau!$G$35-P142)/(AE142^2+Tableau!$G$40^2)^(3/2))*Tableau!$G$39</f>
        <v>1.9124981954087857E-2</v>
      </c>
      <c r="AA142" s="97">
        <f>((Tableau!$H$35-Q142)/(AE142^2+Tableau!$G$40^2)^(3/2))*Tableau!$G$39</f>
        <v>-9.3880856125914142E-3</v>
      </c>
      <c r="AC142" s="110">
        <f>SQRT((Tableau!$G$16-P142)^2+(Tableau!$H$16-Q142)^2)</f>
        <v>4970082.8431408741</v>
      </c>
      <c r="AD142" s="111">
        <f>SQRT((Tableau!$G$25-P142)^2+(Tableau!$H$25-Q142)^2)</f>
        <v>4933001.4914935296</v>
      </c>
      <c r="AE142" s="112">
        <f>SQRT((Tableau!$G$35-P142)^2+(Tableau!$H$35-Q142)^2)</f>
        <v>4957457.5677396562</v>
      </c>
    </row>
    <row r="143" spans="2:31" x14ac:dyDescent="0.25">
      <c r="B143" s="18">
        <v>140</v>
      </c>
      <c r="C143" s="19">
        <f>Tableau!$G$17*COS(B143*PI()/180)+Tableau!$G$16</f>
        <v>16169.777784405111</v>
      </c>
      <c r="D143" s="19">
        <f>Tableau!$G$17*SIN(B143*PI()/180)+Tableau!$H$16</f>
        <v>10713.938048432698</v>
      </c>
      <c r="F143" s="26">
        <v>140</v>
      </c>
      <c r="G143" s="27">
        <f>Tableau!$G$26*COS(F143*PI()/180)+Tableau!$G$25</f>
        <v>-22681.155550916425</v>
      </c>
      <c r="H143" s="27">
        <f>Tableau!$G$26*SIN(F143*PI()/180)+Tableau!$H$25</f>
        <v>12249.756633902889</v>
      </c>
      <c r="J143" s="34">
        <v>140</v>
      </c>
      <c r="K143" s="35">
        <f>Tableau!$G$36*COS(J143*PI()/180)+Tableau!$G$35</f>
        <v>-8830.2222155948893</v>
      </c>
      <c r="L143" s="35">
        <f>Tableau!$G$36*SIN(J143*PI()/180)+Tableau!$H$35</f>
        <v>-11786.061951567302</v>
      </c>
      <c r="N143" s="98">
        <v>139</v>
      </c>
      <c r="O143" s="99">
        <v>69.5</v>
      </c>
      <c r="P143" s="101">
        <f>P142+R142*Tableau!$G$2+((1/2)*T142)*Tableau!$G$2^2</f>
        <v>-4489549.1431562994</v>
      </c>
      <c r="Q143" s="101">
        <f>Q142+S142*Tableau!$G$2+((1/2)*U142)*Tableau!$G$2^2</f>
        <v>2186417.9255492636</v>
      </c>
      <c r="R143" s="101">
        <f>R142+T142*Tableau!$G$2</f>
        <v>-68700.339524021547</v>
      </c>
      <c r="S143" s="101">
        <f>S142+U142*Tableau!$G$2</f>
        <v>33801.772512701216</v>
      </c>
      <c r="T143" s="101">
        <f t="shared" si="4"/>
        <v>4.4161568612719498E-2</v>
      </c>
      <c r="U143" s="101">
        <f t="shared" si="5"/>
        <v>-2.150774250293911E-2</v>
      </c>
      <c r="V143" s="101">
        <f>((Tableau!$G$16-P143)/(AC143^2+Tableau!$G$21^2)^(3/2))*Tableau!$G$20</f>
        <v>1.8795068507338246E-2</v>
      </c>
      <c r="W143" s="101">
        <f>((Tableau!$H$16-Q143)/(AC143^2+Tableau!$G$21^2)^(3/2))*Tableau!$G$20</f>
        <v>-9.0813760716447599E-3</v>
      </c>
      <c r="X143" s="101">
        <f>((Tableau!$G$25-P143)/(AD143^2+Tableau!$G$30^2)^(3/2))*Tableau!$G$29</f>
        <v>6.5335728575056113E-3</v>
      </c>
      <c r="Y143" s="101">
        <f>((Tableau!$H$25-Q143)/(AD143^2+Tableau!$G$30^2)^(3/2))*Tableau!$G$29</f>
        <v>-3.1814808674227109E-3</v>
      </c>
      <c r="Z143" s="101">
        <f>((Tableau!$G$35-P143)/(AE143^2+Tableau!$G$40^2)^(3/2))*Tableau!$G$39</f>
        <v>1.8832927247875646E-2</v>
      </c>
      <c r="AA143" s="102">
        <f>((Tableau!$H$35-Q143)/(AE143^2+Tableau!$G$40^2)^(3/2))*Tableau!$G$39</f>
        <v>-9.2448855638716416E-3</v>
      </c>
      <c r="AC143" s="113">
        <f>SQRT((Tableau!$G$16-P143)^2+(Tableau!$H$16-Q143)^2)</f>
        <v>5008364.6832895083</v>
      </c>
      <c r="AD143" s="114">
        <f>SQRT((Tableau!$G$25-P143)^2+(Tableau!$H$25-Q143)^2)</f>
        <v>4971283.9920629533</v>
      </c>
      <c r="AE143" s="115">
        <f>SQRT((Tableau!$G$35-P143)^2+(Tableau!$H$35-Q143)^2)</f>
        <v>4995740.3755913423</v>
      </c>
    </row>
    <row r="144" spans="2:31" x14ac:dyDescent="0.25">
      <c r="B144" s="20">
        <v>141</v>
      </c>
      <c r="C144" s="21">
        <f>Tableau!$G$17*COS(B144*PI()/180)+Tableau!$G$16</f>
        <v>16114.270192715147</v>
      </c>
      <c r="D144" s="21">
        <f>Tableau!$G$17*SIN(B144*PI()/180)+Tableau!$H$16</f>
        <v>10646.601955249189</v>
      </c>
      <c r="F144" s="28">
        <v>141</v>
      </c>
      <c r="G144" s="29">
        <f>Tableau!$G$26*COS(F144*PI()/180)+Tableau!$G$25</f>
        <v>-22720.010865099397</v>
      </c>
      <c r="H144" s="29">
        <f>Tableau!$G$26*SIN(F144*PI()/180)+Tableau!$H$25</f>
        <v>12202.621368674432</v>
      </c>
      <c r="J144" s="36">
        <v>141</v>
      </c>
      <c r="K144" s="37">
        <f>Tableau!$G$36*COS(J144*PI()/180)+Tableau!$G$35</f>
        <v>-8885.7298072848535</v>
      </c>
      <c r="L144" s="37">
        <f>Tableau!$G$36*SIN(J144*PI()/180)+Tableau!$H$35</f>
        <v>-11853.398044750811</v>
      </c>
      <c r="N144" s="92">
        <v>140</v>
      </c>
      <c r="O144" s="93">
        <v>70</v>
      </c>
      <c r="P144" s="96">
        <f>P143+R143*Tableau!$G$2+((1/2)*T143)*Tableau!$G$2^2</f>
        <v>-4523899.3073981144</v>
      </c>
      <c r="Q144" s="96">
        <f>Q143+S143*Tableau!$G$2+((1/2)*U143)*Tableau!$G$2^2</f>
        <v>2203318.8091171463</v>
      </c>
      <c r="R144" s="96">
        <f>R143+T143*Tableau!$G$2</f>
        <v>-68700.317443237247</v>
      </c>
      <c r="S144" s="96">
        <f>S143+U143*Tableau!$G$2</f>
        <v>33801.761758829962</v>
      </c>
      <c r="T144" s="96">
        <f t="shared" si="4"/>
        <v>4.3492032382449509E-2</v>
      </c>
      <c r="U144" s="96">
        <f t="shared" si="5"/>
        <v>-2.1183306100260483E-2</v>
      </c>
      <c r="V144" s="96">
        <f>((Tableau!$G$16-P144)/(AC144^2+Tableau!$G$21^2)^(3/2))*Tableau!$G$20</f>
        <v>1.8510521718955768E-2</v>
      </c>
      <c r="W144" s="96">
        <f>((Tableau!$H$16-Q144)/(AC144^2+Tableau!$G$21^2)^(3/2))*Tableau!$G$20</f>
        <v>-8.9451259826285011E-3</v>
      </c>
      <c r="X144" s="96">
        <f>((Tableau!$G$25-P144)/(AD144^2+Tableau!$G$30^2)^(3/2))*Tableau!$G$29</f>
        <v>6.4339988736660733E-3</v>
      </c>
      <c r="Y144" s="96">
        <f>((Tableau!$H$25-Q144)/(AD144^2+Tableau!$G$30^2)^(3/2))*Tableau!$G$29</f>
        <v>-3.1332429488976901E-3</v>
      </c>
      <c r="Z144" s="96">
        <f>((Tableau!$G$35-P144)/(AE144^2+Tableau!$G$40^2)^(3/2))*Tableau!$G$39</f>
        <v>1.8547511789827668E-2</v>
      </c>
      <c r="AA144" s="97">
        <f>((Tableau!$H$35-Q144)/(AE144^2+Tableau!$G$40^2)^(3/2))*Tableau!$G$39</f>
        <v>-9.1049371687342909E-3</v>
      </c>
      <c r="AC144" s="110">
        <f>SQRT((Tableau!$G$16-P144)^2+(Tableau!$H$16-Q144)^2)</f>
        <v>5046646.5259859152</v>
      </c>
      <c r="AD144" s="111">
        <f>SQRT((Tableau!$G$25-P144)^2+(Tableau!$H$25-Q144)^2)</f>
        <v>5009566.4851969248</v>
      </c>
      <c r="AE144" s="112">
        <f>SQRT((Tableau!$G$35-P144)^2+(Tableau!$H$35-Q144)^2)</f>
        <v>5034023.1713100076</v>
      </c>
    </row>
    <row r="145" spans="2:31" x14ac:dyDescent="0.25">
      <c r="B145" s="18">
        <v>142</v>
      </c>
      <c r="C145" s="19">
        <f>Tableau!$G$17*COS(B145*PI()/180)+Tableau!$G$16</f>
        <v>16059.946231966391</v>
      </c>
      <c r="D145" s="19">
        <f>Tableau!$G$17*SIN(B145*PI()/180)+Tableau!$H$16</f>
        <v>10578.307376628292</v>
      </c>
      <c r="F145" s="26">
        <v>142</v>
      </c>
      <c r="G145" s="27">
        <f>Tableau!$G$26*COS(F145*PI()/180)+Tableau!$G$25</f>
        <v>-22758.037637623525</v>
      </c>
      <c r="H145" s="27">
        <f>Tableau!$G$26*SIN(F145*PI()/180)+Tableau!$H$25</f>
        <v>12154.815163639803</v>
      </c>
      <c r="J145" s="34">
        <v>142</v>
      </c>
      <c r="K145" s="35">
        <f>Tableau!$G$36*COS(J145*PI()/180)+Tableau!$G$35</f>
        <v>-8940.0537680336092</v>
      </c>
      <c r="L145" s="35">
        <f>Tableau!$G$36*SIN(J145*PI()/180)+Tableau!$H$35</f>
        <v>-11921.692623371708</v>
      </c>
      <c r="N145" s="98">
        <v>141</v>
      </c>
      <c r="O145" s="99">
        <v>70.5</v>
      </c>
      <c r="P145" s="101">
        <f>P144+R144*Tableau!$G$2+((1/2)*T144)*Tableau!$G$2^2</f>
        <v>-4558249.4606832284</v>
      </c>
      <c r="Q145" s="101">
        <f>Q144+S144*Tableau!$G$2+((1/2)*U144)*Tableau!$G$2^2</f>
        <v>2220219.6873486484</v>
      </c>
      <c r="R145" s="101">
        <f>R144+T144*Tableau!$G$2</f>
        <v>-68700.295697221052</v>
      </c>
      <c r="S145" s="101">
        <f>S144+U144*Tableau!$G$2</f>
        <v>33801.75116717691</v>
      </c>
      <c r="T145" s="101">
        <f t="shared" si="4"/>
        <v>4.2837607926494214E-2</v>
      </c>
      <c r="U145" s="101">
        <f t="shared" si="5"/>
        <v>-2.0866155701337291E-2</v>
      </c>
      <c r="V145" s="101">
        <f>((Tableau!$G$16-P145)/(AC145^2+Tableau!$G$21^2)^(3/2))*Tableau!$G$20</f>
        <v>1.8232388084000028E-2</v>
      </c>
      <c r="W145" s="101">
        <f>((Tableau!$H$16-Q145)/(AC145^2+Tableau!$G$21^2)^(3/2))*Tableau!$G$20</f>
        <v>-8.8119191423062411E-3</v>
      </c>
      <c r="X145" s="101">
        <f>((Tableau!$G$25-P145)/(AD145^2+Tableau!$G$30^2)^(3/2))*Tableau!$G$29</f>
        <v>6.3366839891937686E-3</v>
      </c>
      <c r="Y145" s="101">
        <f>((Tableau!$H$25-Q145)/(AD145^2+Tableau!$G$30^2)^(3/2))*Tableau!$G$29</f>
        <v>-3.0860938400936932E-3</v>
      </c>
      <c r="Z145" s="101">
        <f>((Tableau!$G$35-P145)/(AE145^2+Tableau!$G$40^2)^(3/2))*Tableau!$G$39</f>
        <v>1.8268535853300419E-2</v>
      </c>
      <c r="AA145" s="102">
        <f>((Tableau!$H$35-Q145)/(AE145^2+Tableau!$G$40^2)^(3/2))*Tableau!$G$39</f>
        <v>-8.968142718937356E-3</v>
      </c>
      <c r="AC145" s="113">
        <f>SQRT((Tableau!$G$16-P145)^2+(Tableau!$H$16-Q145)^2)</f>
        <v>5084928.3710812069</v>
      </c>
      <c r="AD145" s="114">
        <f>SQRT((Tableau!$G$25-P145)^2+(Tableau!$H$25-Q145)^2)</f>
        <v>5047848.9709712164</v>
      </c>
      <c r="AE145" s="115">
        <f>SQRT((Tableau!$G$35-P145)^2+(Tableau!$H$35-Q145)^2)</f>
        <v>5072305.9550783308</v>
      </c>
    </row>
    <row r="146" spans="2:31" x14ac:dyDescent="0.25">
      <c r="B146" s="20">
        <v>143</v>
      </c>
      <c r="C146" s="21">
        <f>Tableau!$G$17*COS(B146*PI()/180)+Tableau!$G$16</f>
        <v>16006.822449763535</v>
      </c>
      <c r="D146" s="21">
        <f>Tableau!$G$17*SIN(B146*PI()/180)+Tableau!$H$16</f>
        <v>10509.075115760241</v>
      </c>
      <c r="F146" s="28">
        <v>143</v>
      </c>
      <c r="G146" s="29">
        <f>Tableau!$G$26*COS(F146*PI()/180)+Tableau!$G$25</f>
        <v>-22795.224285165525</v>
      </c>
      <c r="H146" s="29">
        <f>Tableau!$G$26*SIN(F146*PI()/180)+Tableau!$H$25</f>
        <v>12106.352581032168</v>
      </c>
      <c r="J146" s="36">
        <v>143</v>
      </c>
      <c r="K146" s="37">
        <f>Tableau!$G$36*COS(J146*PI()/180)+Tableau!$G$35</f>
        <v>-8993.1775502364653</v>
      </c>
      <c r="L146" s="37">
        <f>Tableau!$G$36*SIN(J146*PI()/180)+Tableau!$H$35</f>
        <v>-11990.924884239759</v>
      </c>
      <c r="N146" s="92">
        <v>142</v>
      </c>
      <c r="O146" s="93">
        <v>71</v>
      </c>
      <c r="P146" s="96">
        <f>P145+R145*Tableau!$G$2+((1/2)*T145)*Tableau!$G$2^2</f>
        <v>-4592599.6031771386</v>
      </c>
      <c r="Q146" s="96">
        <f>Q145+S145*Tableau!$G$2+((1/2)*U145)*Tableau!$G$2^2</f>
        <v>2237120.5603239676</v>
      </c>
      <c r="R146" s="96">
        <f>R145+T145*Tableau!$G$2</f>
        <v>-68700.274278417084</v>
      </c>
      <c r="S146" s="96">
        <f>S145+U145*Tableau!$G$2</f>
        <v>33801.740734099061</v>
      </c>
      <c r="T146" s="96">
        <f t="shared" si="4"/>
        <v>4.2197843868010565E-2</v>
      </c>
      <c r="U146" s="96">
        <f t="shared" si="5"/>
        <v>-2.0556074762890529E-2</v>
      </c>
      <c r="V146" s="96">
        <f>((Tableau!$G$16-P146)/(AC146^2+Tableau!$G$21^2)^(3/2))*Tableau!$G$20</f>
        <v>1.7960476322936382E-2</v>
      </c>
      <c r="W146" s="96">
        <f>((Tableau!$H$16-Q146)/(AC146^2+Tableau!$G$21^2)^(3/2))*Tableau!$G$20</f>
        <v>-8.6816655959576286E-3</v>
      </c>
      <c r="X146" s="96">
        <f>((Tableau!$G$25-P146)/(AD146^2+Tableau!$G$30^2)^(3/2))*Tableau!$G$29</f>
        <v>6.2415603790616008E-3</v>
      </c>
      <c r="Y146" s="96">
        <f>((Tableau!$H$25-Q146)/(AD146^2+Tableau!$G$30^2)^(3/2))*Tableau!$G$29</f>
        <v>-3.040001018032072E-3</v>
      </c>
      <c r="Z146" s="96">
        <f>((Tableau!$G$35-P146)/(AE146^2+Tableau!$G$40^2)^(3/2))*Tableau!$G$39</f>
        <v>1.7995807166012581E-2</v>
      </c>
      <c r="AA146" s="97">
        <f>((Tableau!$H$35-Q146)/(AE146^2+Tableau!$G$40^2)^(3/2))*Tableau!$G$39</f>
        <v>-8.8344081489008294E-3</v>
      </c>
      <c r="AC146" s="110">
        <f>SQRT((Tableau!$G$16-P146)^2+(Tableau!$H$16-Q146)^2)</f>
        <v>5123210.2184323119</v>
      </c>
      <c r="AD146" s="111">
        <f>SQRT((Tableau!$G$25-P146)^2+(Tableau!$H$25-Q146)^2)</f>
        <v>5086131.4494607262</v>
      </c>
      <c r="AE146" s="112">
        <f>SQRT((Tableau!$G$35-P146)^2+(Tableau!$H$35-Q146)^2)</f>
        <v>5110588.7270748932</v>
      </c>
    </row>
    <row r="147" spans="2:31" x14ac:dyDescent="0.25">
      <c r="B147" s="18">
        <v>144</v>
      </c>
      <c r="C147" s="19">
        <f>Tableau!$G$17*COS(B147*PI()/180)+Tableau!$G$16</f>
        <v>15954.915028125262</v>
      </c>
      <c r="D147" s="19">
        <f>Tableau!$G$17*SIN(B147*PI()/180)+Tableau!$H$16</f>
        <v>10438.926261462366</v>
      </c>
      <c r="F147" s="26">
        <v>144</v>
      </c>
      <c r="G147" s="27">
        <f>Tableau!$G$26*COS(F147*PI()/180)+Tableau!$G$25</f>
        <v>-22831.559480312317</v>
      </c>
      <c r="H147" s="27">
        <f>Tableau!$G$26*SIN(F147*PI()/180)+Tableau!$H$25</f>
        <v>12057.248383023656</v>
      </c>
      <c r="J147" s="34">
        <v>144</v>
      </c>
      <c r="K147" s="35">
        <f>Tableau!$G$36*COS(J147*PI()/180)+Tableau!$G$35</f>
        <v>-9045.0849718747377</v>
      </c>
      <c r="L147" s="35">
        <f>Tableau!$G$36*SIN(J147*PI()/180)+Tableau!$H$35</f>
        <v>-12061.073738537634</v>
      </c>
      <c r="N147" s="98">
        <v>143</v>
      </c>
      <c r="O147" s="99">
        <v>71.5</v>
      </c>
      <c r="P147" s="101">
        <f>P146+R146*Tableau!$G$2+((1/2)*T146)*Tableau!$G$2^2</f>
        <v>-4626949.7350416165</v>
      </c>
      <c r="Q147" s="101">
        <f>Q146+S146*Tableau!$G$2+((1/2)*U146)*Tableau!$G$2^2</f>
        <v>2254021.4281215081</v>
      </c>
      <c r="R147" s="101">
        <f>R146+T146*Tableau!$G$2</f>
        <v>-68700.25317949515</v>
      </c>
      <c r="S147" s="101">
        <f>S146+U146*Tableau!$G$2</f>
        <v>33801.730456061683</v>
      </c>
      <c r="T147" s="101">
        <f t="shared" si="4"/>
        <v>4.1572305558009011E-2</v>
      </c>
      <c r="U147" s="101">
        <f t="shared" si="5"/>
        <v>-2.0252854726918585E-2</v>
      </c>
      <c r="V147" s="101">
        <f>((Tableau!$G$16-P147)/(AC147^2+Tableau!$G$21^2)^(3/2))*Tableau!$G$20</f>
        <v>1.7694602234695597E-2</v>
      </c>
      <c r="W147" s="101">
        <f>((Tableau!$H$16-Q147)/(AC147^2+Tableau!$G$21^2)^(3/2))*Tableau!$G$20</f>
        <v>-8.5542786879261087E-3</v>
      </c>
      <c r="X147" s="101">
        <f>((Tableau!$G$25-P147)/(AD147^2+Tableau!$G$30^2)^(3/2))*Tableau!$G$29</f>
        <v>6.1485627446579731E-3</v>
      </c>
      <c r="Y147" s="101">
        <f>((Tableau!$H$25-Q147)/(AD147^2+Tableau!$G$30^2)^(3/2))*Tableau!$G$29</f>
        <v>-2.9949331650429754E-3</v>
      </c>
      <c r="Z147" s="101">
        <f>((Tableau!$G$35-P147)/(AE147^2+Tableau!$G$40^2)^(3/2))*Tableau!$G$39</f>
        <v>1.772914057865544E-2</v>
      </c>
      <c r="AA147" s="102">
        <f>((Tableau!$H$35-Q147)/(AE147^2+Tableau!$G$40^2)^(3/2))*Tableau!$G$39</f>
        <v>-8.7036428739495006E-3</v>
      </c>
      <c r="AC147" s="113">
        <f>SQRT((Tableau!$G$16-P147)^2+(Tableau!$H$16-Q147)^2)</f>
        <v>5161492.0679017277</v>
      </c>
      <c r="AD147" s="114">
        <f>SQRT((Tableau!$G$25-P147)^2+(Tableau!$H$25-Q147)^2)</f>
        <v>5124413.9207394747</v>
      </c>
      <c r="AE147" s="115">
        <f>SQRT((Tableau!$G$35-P147)^2+(Tableau!$H$35-Q147)^2)</f>
        <v>5148871.4874743028</v>
      </c>
    </row>
    <row r="148" spans="2:31" x14ac:dyDescent="0.25">
      <c r="B148" s="20">
        <v>145</v>
      </c>
      <c r="C148" s="21">
        <f>Tableau!$G$17*COS(B148*PI()/180)+Tableau!$G$16</f>
        <v>15904.239778555042</v>
      </c>
      <c r="D148" s="21">
        <f>Tableau!$G$17*SIN(B148*PI()/180)+Tableau!$H$16</f>
        <v>10367.882181755233</v>
      </c>
      <c r="F148" s="28">
        <v>145</v>
      </c>
      <c r="G148" s="29">
        <f>Tableau!$G$26*COS(F148*PI()/180)+Tableau!$G$25</f>
        <v>-22867.032155011471</v>
      </c>
      <c r="H148" s="29">
        <f>Tableau!$G$26*SIN(F148*PI()/180)+Tableau!$H$25</f>
        <v>12007.517527228661</v>
      </c>
      <c r="J148" s="36">
        <v>145</v>
      </c>
      <c r="K148" s="37">
        <f>Tableau!$G$36*COS(J148*PI()/180)+Tableau!$G$35</f>
        <v>-9095.760221444958</v>
      </c>
      <c r="L148" s="37">
        <f>Tableau!$G$36*SIN(J148*PI()/180)+Tableau!$H$35</f>
        <v>-12132.117818244767</v>
      </c>
      <c r="N148" s="92">
        <v>144</v>
      </c>
      <c r="O148" s="93">
        <v>72</v>
      </c>
      <c r="P148" s="96">
        <f>P147+R147*Tableau!$G$2+((1/2)*T147)*Tableau!$G$2^2</f>
        <v>-4661299.8564348258</v>
      </c>
      <c r="Q148" s="96">
        <f>Q147+S147*Tableau!$G$2+((1/2)*U147)*Tableau!$G$2^2</f>
        <v>2270922.2908179322</v>
      </c>
      <c r="R148" s="96">
        <f>R147+T147*Tableau!$G$2</f>
        <v>-68700.232393342376</v>
      </c>
      <c r="S148" s="96">
        <f>S147+U147*Tableau!$G$2</f>
        <v>33801.720329634321</v>
      </c>
      <c r="T148" s="96">
        <f t="shared" si="4"/>
        <v>4.0960574336918756E-2</v>
      </c>
      <c r="U148" s="96">
        <f t="shared" si="5"/>
        <v>-1.9956294669930041E-2</v>
      </c>
      <c r="V148" s="96">
        <f>((Tableau!$G$16-P148)/(AC148^2+Tableau!$G$21^2)^(3/2))*Tableau!$G$20</f>
        <v>1.7434588384657519E-2</v>
      </c>
      <c r="W148" s="96">
        <f>((Tableau!$H$16-Q148)/(AC148^2+Tableau!$G$21^2)^(3/2))*Tableau!$G$20</f>
        <v>-8.4296749174966306E-3</v>
      </c>
      <c r="X148" s="96">
        <f>((Tableau!$G$25-P148)/(AD148^2+Tableau!$G$30^2)^(3/2))*Tableau!$G$29</f>
        <v>6.057628201694463E-3</v>
      </c>
      <c r="Y148" s="96">
        <f>((Tableau!$H$25-Q148)/(AD148^2+Tableau!$G$30^2)^(3/2))*Tableau!$G$29</f>
        <v>-2.9508601155579478E-3</v>
      </c>
      <c r="Z148" s="96">
        <f>((Tableau!$G$35-P148)/(AE148^2+Tableau!$G$40^2)^(3/2))*Tableau!$G$39</f>
        <v>1.7468357750566772E-2</v>
      </c>
      <c r="AA148" s="97">
        <f>((Tableau!$H$35-Q148)/(AE148^2+Tableau!$G$40^2)^(3/2))*Tableau!$G$39</f>
        <v>-8.5757596368754609E-3</v>
      </c>
      <c r="AC148" s="110">
        <f>SQRT((Tableau!$G$16-P148)^2+(Tableau!$H$16-Q148)^2)</f>
        <v>5199773.9193572849</v>
      </c>
      <c r="AD148" s="111">
        <f>SQRT((Tableau!$G$25-P148)^2+(Tableau!$H$25-Q148)^2)</f>
        <v>5162696.3848806117</v>
      </c>
      <c r="AE148" s="112">
        <f>SQRT((Tableau!$G$35-P148)^2+(Tableau!$H$35-Q148)^2)</f>
        <v>5187154.236447311</v>
      </c>
    </row>
    <row r="149" spans="2:31" x14ac:dyDescent="0.25">
      <c r="B149" s="18">
        <v>146</v>
      </c>
      <c r="C149" s="19">
        <f>Tableau!$G$17*COS(B149*PI()/180)+Tableau!$G$16</f>
        <v>15854.812137224792</v>
      </c>
      <c r="D149" s="19">
        <f>Tableau!$G$17*SIN(B149*PI()/180)+Tableau!$H$16</f>
        <v>10295.964517353736</v>
      </c>
      <c r="F149" s="26">
        <v>146</v>
      </c>
      <c r="G149" s="27">
        <f>Tableau!$G$26*COS(F149*PI()/180)+Tableau!$G$25</f>
        <v>-22901.631503942644</v>
      </c>
      <c r="H149" s="27">
        <f>Tableau!$G$26*SIN(F149*PI()/180)+Tableau!$H$25</f>
        <v>11957.175162147614</v>
      </c>
      <c r="J149" s="34">
        <v>146</v>
      </c>
      <c r="K149" s="35">
        <f>Tableau!$G$36*COS(J149*PI()/180)+Tableau!$G$35</f>
        <v>-9145.1878627752085</v>
      </c>
      <c r="L149" s="35">
        <f>Tableau!$G$36*SIN(J149*PI()/180)+Tableau!$H$35</f>
        <v>-12204.035482646264</v>
      </c>
      <c r="N149" s="98">
        <v>145</v>
      </c>
      <c r="O149" s="99">
        <v>72.5</v>
      </c>
      <c r="P149" s="101">
        <f>P148+R148*Tableau!$G$2+((1/2)*T148)*Tableau!$G$2^2</f>
        <v>-4695649.9675114257</v>
      </c>
      <c r="Q149" s="101">
        <f>Q148+S148*Tableau!$G$2+((1/2)*U148)*Tableau!$G$2^2</f>
        <v>2287823.1484882124</v>
      </c>
      <c r="R149" s="101">
        <f>R148+T148*Tableau!$G$2</f>
        <v>-68700.211913055202</v>
      </c>
      <c r="S149" s="101">
        <f>S148+U148*Tableau!$G$2</f>
        <v>33801.710351486989</v>
      </c>
      <c r="T149" s="101">
        <f t="shared" si="4"/>
        <v>4.0362246833902896E-2</v>
      </c>
      <c r="U149" s="101">
        <f t="shared" si="5"/>
        <v>-1.9666200970020514E-2</v>
      </c>
      <c r="V149" s="101">
        <f>((Tableau!$G$16-P149)/(AC149^2+Tableau!$G$21^2)^(3/2))*Tableau!$G$20</f>
        <v>1.7180263808561785E-2</v>
      </c>
      <c r="W149" s="101">
        <f>((Tableau!$H$16-Q149)/(AC149^2+Tableau!$G$21^2)^(3/2))*Tableau!$G$20</f>
        <v>-8.3077738020644921E-3</v>
      </c>
      <c r="X149" s="101">
        <f>((Tableau!$G$25-P149)/(AD149^2+Tableau!$G$30^2)^(3/2))*Tableau!$G$29</f>
        <v>5.9686961738735986E-3</v>
      </c>
      <c r="Y149" s="101">
        <f>((Tableau!$H$25-Q149)/(AD149^2+Tableau!$G$30^2)^(3/2))*Tableau!$G$29</f>
        <v>-2.907752805622972E-3</v>
      </c>
      <c r="Z149" s="101">
        <f>((Tableau!$G$35-P149)/(AE149^2+Tableau!$G$40^2)^(3/2))*Tableau!$G$39</f>
        <v>1.7213286851467509E-2</v>
      </c>
      <c r="AA149" s="102">
        <f>((Tableau!$H$35-Q149)/(AE149^2+Tableau!$G$40^2)^(3/2))*Tableau!$G$39</f>
        <v>-8.450674362333049E-3</v>
      </c>
      <c r="AC149" s="113">
        <f>SQRT((Tableau!$G$16-P149)^2+(Tableau!$H$16-Q149)^2)</f>
        <v>5238055.7726719277</v>
      </c>
      <c r="AD149" s="114">
        <f>SQRT((Tableau!$G$25-P149)^2+(Tableau!$H$25-Q149)^2)</f>
        <v>5200978.8419564208</v>
      </c>
      <c r="AE149" s="115">
        <f>SQRT((Tableau!$G$35-P149)^2+(Tableau!$H$35-Q149)^2)</f>
        <v>5225436.9741609264</v>
      </c>
    </row>
    <row r="150" spans="2:31" x14ac:dyDescent="0.25">
      <c r="B150" s="20">
        <v>147</v>
      </c>
      <c r="C150" s="21">
        <f>Tableau!$G$17*COS(B150*PI()/180)+Tableau!$G$16</f>
        <v>15806.647160272878</v>
      </c>
      <c r="D150" s="21">
        <f>Tableau!$G$17*SIN(B150*PI()/180)+Tableau!$H$16</f>
        <v>10223.195175075136</v>
      </c>
      <c r="F150" s="28">
        <v>147</v>
      </c>
      <c r="G150" s="29">
        <f>Tableau!$G$26*COS(F150*PI()/180)+Tableau!$G$25</f>
        <v>-22935.346987808985</v>
      </c>
      <c r="H150" s="29">
        <f>Tableau!$G$26*SIN(F150*PI()/180)+Tableau!$H$25</f>
        <v>11906.236622552595</v>
      </c>
      <c r="J150" s="36">
        <v>147</v>
      </c>
      <c r="K150" s="37">
        <f>Tableau!$G$36*COS(J150*PI()/180)+Tableau!$G$35</f>
        <v>-9193.352839727122</v>
      </c>
      <c r="L150" s="37">
        <f>Tableau!$G$36*SIN(J150*PI()/180)+Tableau!$H$35</f>
        <v>-12276.804824924864</v>
      </c>
      <c r="N150" s="92">
        <v>146</v>
      </c>
      <c r="O150" s="93">
        <v>73</v>
      </c>
      <c r="P150" s="96">
        <f>P149+R149*Tableau!$G$2+((1/2)*T149)*Tableau!$G$2^2</f>
        <v>-4730000.0684226723</v>
      </c>
      <c r="Q150" s="96">
        <f>Q149+S149*Tableau!$G$2+((1/2)*U149)*Tableau!$G$2^2</f>
        <v>2304724.0012056804</v>
      </c>
      <c r="R150" s="96">
        <f>R149+T149*Tableau!$G$2</f>
        <v>-68700.191731931787</v>
      </c>
      <c r="S150" s="96">
        <f>S149+U149*Tableau!$G$2</f>
        <v>33801.700518386504</v>
      </c>
      <c r="T150" s="96">
        <f t="shared" si="4"/>
        <v>3.9776934301738308E-2</v>
      </c>
      <c r="U150" s="96">
        <f t="shared" si="5"/>
        <v>-1.9382386990765652E-2</v>
      </c>
      <c r="V150" s="96">
        <f>((Tableau!$G$16-P150)/(AC150^2+Tableau!$G$21^2)^(3/2))*Tableau!$G$20</f>
        <v>1.6931463731426111E-2</v>
      </c>
      <c r="W150" s="96">
        <f>((Tableau!$H$16-Q150)/(AC150^2+Tableau!$G$21^2)^(3/2))*Tableau!$G$20</f>
        <v>-8.1884977471782423E-3</v>
      </c>
      <c r="X150" s="96">
        <f>((Tableau!$G$25-P150)/(AD150^2+Tableau!$G$30^2)^(3/2))*Tableau!$G$29</f>
        <v>5.8817082919802258E-3</v>
      </c>
      <c r="Y150" s="96">
        <f>((Tableau!$H$25-Q150)/(AD150^2+Tableau!$G$30^2)^(3/2))*Tableau!$G$29</f>
        <v>-2.8655832249738071E-3</v>
      </c>
      <c r="Z150" s="96">
        <f>((Tableau!$G$35-P150)/(AE150^2+Tableau!$G$40^2)^(3/2))*Tableau!$G$39</f>
        <v>1.6963762278331969E-2</v>
      </c>
      <c r="AA150" s="97">
        <f>((Tableau!$H$35-Q150)/(AE150^2+Tableau!$G$40^2)^(3/2))*Tableau!$G$39</f>
        <v>-8.3283060186136026E-3</v>
      </c>
      <c r="AC150" s="110">
        <f>SQRT((Tableau!$G$16-P150)^2+(Tableau!$H$16-Q150)^2)</f>
        <v>5276337.6277234973</v>
      </c>
      <c r="AD150" s="111">
        <f>SQRT((Tableau!$G$25-P150)^2+(Tableau!$H$25-Q150)^2)</f>
        <v>5239261.292038314</v>
      </c>
      <c r="AE150" s="112">
        <f>SQRT((Tableau!$G$35-P150)^2+(Tableau!$H$35-Q150)^2)</f>
        <v>5263719.7007785235</v>
      </c>
    </row>
    <row r="151" spans="2:31" x14ac:dyDescent="0.25">
      <c r="B151" s="18">
        <v>148</v>
      </c>
      <c r="C151" s="19">
        <f>Tableau!$G$17*COS(B151*PI()/180)+Tableau!$G$16</f>
        <v>15759.759519217871</v>
      </c>
      <c r="D151" s="19">
        <f>Tableau!$G$17*SIN(B151*PI()/180)+Tableau!$H$16</f>
        <v>10149.596321166024</v>
      </c>
      <c r="F151" s="26">
        <v>148</v>
      </c>
      <c r="G151" s="27">
        <f>Tableau!$G$26*COS(F151*PI()/180)+Tableau!$G$25</f>
        <v>-22968.168336547489</v>
      </c>
      <c r="H151" s="27">
        <f>Tableau!$G$26*SIN(F151*PI()/180)+Tableau!$H$25</f>
        <v>11854.717424816217</v>
      </c>
      <c r="J151" s="34">
        <v>148</v>
      </c>
      <c r="K151" s="35">
        <f>Tableau!$G$36*COS(J151*PI()/180)+Tableau!$G$35</f>
        <v>-9240.2404807821295</v>
      </c>
      <c r="L151" s="35">
        <f>Tableau!$G$36*SIN(J151*PI()/180)+Tableau!$H$35</f>
        <v>-12350.403678833976</v>
      </c>
      <c r="N151" s="98">
        <v>147</v>
      </c>
      <c r="O151" s="99">
        <v>73.5</v>
      </c>
      <c r="P151" s="101">
        <f>P150+R150*Tableau!$G$2+((1/2)*T150)*Tableau!$G$2^2</f>
        <v>-4764350.1593165211</v>
      </c>
      <c r="Q151" s="101">
        <f>Q150+S150*Tableau!$G$2+((1/2)*U150)*Tableau!$G$2^2</f>
        <v>2321624.8490420752</v>
      </c>
      <c r="R151" s="101">
        <f>R150+T150*Tableau!$G$2</f>
        <v>-68700.171843464632</v>
      </c>
      <c r="S151" s="101">
        <f>S150+U150*Tableau!$G$2</f>
        <v>33801.690827193008</v>
      </c>
      <c r="T151" s="101">
        <f t="shared" si="4"/>
        <v>3.9204261985209973E-2</v>
      </c>
      <c r="U151" s="101">
        <f t="shared" si="5"/>
        <v>-1.9104672780965431E-2</v>
      </c>
      <c r="V151" s="101">
        <f>((Tableau!$G$16-P151)/(AC151^2+Tableau!$G$21^2)^(3/2))*Tableau!$G$20</f>
        <v>1.6688029300606321E-2</v>
      </c>
      <c r="W151" s="101">
        <f>((Tableau!$H$16-Q151)/(AC151^2+Tableau!$G$21^2)^(3/2))*Tableau!$G$20</f>
        <v>-8.0717719230634713E-3</v>
      </c>
      <c r="X151" s="101">
        <f>((Tableau!$G$25-P151)/(AD151^2+Tableau!$G$30^2)^(3/2))*Tableau!$G$29</f>
        <v>5.7966082980827642E-3</v>
      </c>
      <c r="Y151" s="101">
        <f>((Tableau!$H$25-Q151)/(AD151^2+Tableau!$G$30^2)^(3/2))*Tableau!$G$29</f>
        <v>-2.8243243715261471E-3</v>
      </c>
      <c r="Z151" s="101">
        <f>((Tableau!$G$35-P151)/(AE151^2+Tableau!$G$40^2)^(3/2))*Tableau!$G$39</f>
        <v>1.6719624386520887E-2</v>
      </c>
      <c r="AA151" s="102">
        <f>((Tableau!$H$35-Q151)/(AE151^2+Tableau!$G$40^2)^(3/2))*Tableau!$G$39</f>
        <v>-8.2085764863758133E-3</v>
      </c>
      <c r="AC151" s="113">
        <f>SQRT((Tableau!$G$16-P151)^2+(Tableau!$H$16-Q151)^2)</f>
        <v>5314619.4843945345</v>
      </c>
      <c r="AD151" s="114">
        <f>SQRT((Tableau!$G$25-P151)^2+(Tableau!$H$25-Q151)^2)</f>
        <v>5277543.7351968475</v>
      </c>
      <c r="AE151" s="115">
        <f>SQRT((Tableau!$G$35-P151)^2+(Tableau!$H$35-Q151)^2)</f>
        <v>5302002.416459945</v>
      </c>
    </row>
    <row r="152" spans="2:31" x14ac:dyDescent="0.25">
      <c r="B152" s="20">
        <v>149</v>
      </c>
      <c r="C152" s="21">
        <f>Tableau!$G$17*COS(B152*PI()/180)+Tableau!$G$16</f>
        <v>15714.16349648944</v>
      </c>
      <c r="D152" s="21">
        <f>Tableau!$G$17*SIN(B152*PI()/180)+Tableau!$H$16</f>
        <v>10075.190374550271</v>
      </c>
      <c r="F152" s="28">
        <v>149</v>
      </c>
      <c r="G152" s="29">
        <f>Tableau!$G$26*COS(F152*PI()/180)+Tableau!$G$25</f>
        <v>-23000.085552457393</v>
      </c>
      <c r="H152" s="29">
        <f>Tableau!$G$26*SIN(F152*PI()/180)+Tableau!$H$25</f>
        <v>11802.633262185191</v>
      </c>
      <c r="J152" s="36">
        <v>149</v>
      </c>
      <c r="K152" s="37">
        <f>Tableau!$G$36*COS(J152*PI()/180)+Tableau!$G$35</f>
        <v>-9285.8365035105599</v>
      </c>
      <c r="L152" s="37">
        <f>Tableau!$G$36*SIN(J152*PI()/180)+Tableau!$H$35</f>
        <v>-12424.809625449729</v>
      </c>
      <c r="N152" s="92">
        <v>148</v>
      </c>
      <c r="O152" s="93">
        <v>74</v>
      </c>
      <c r="P152" s="96">
        <f>P151+R151*Tableau!$G$2+((1/2)*T151)*Tableau!$G$2^2</f>
        <v>-4798700.2403377211</v>
      </c>
      <c r="Q152" s="96">
        <f>Q151+S151*Tableau!$G$2+((1/2)*U151)*Tableau!$G$2^2</f>
        <v>2338525.6920675873</v>
      </c>
      <c r="R152" s="96">
        <f>R151+T151*Tableau!$G$2</f>
        <v>-68700.152241333635</v>
      </c>
      <c r="S152" s="96">
        <f>S151+U151*Tableau!$G$2</f>
        <v>33801.681274856615</v>
      </c>
      <c r="T152" s="96">
        <f t="shared" si="4"/>
        <v>3.8643868521101424E-2</v>
      </c>
      <c r="U152" s="96">
        <f t="shared" si="5"/>
        <v>-1.8832884789336833E-2</v>
      </c>
      <c r="V152" s="96">
        <f>((Tableau!$G$16-P152)/(AC152^2+Tableau!$G$21^2)^(3/2))*Tableau!$G$20</f>
        <v>1.6449807332192028E-2</v>
      </c>
      <c r="W152" s="96">
        <f>((Tableau!$H$16-Q152)/(AC152^2+Tableau!$G$21^2)^(3/2))*Tableau!$G$20</f>
        <v>-7.9575241472613304E-3</v>
      </c>
      <c r="X152" s="96">
        <f>((Tableau!$G$25-P152)/(AD152^2+Tableau!$G$30^2)^(3/2))*Tableau!$G$29</f>
        <v>5.7133419545507625E-3</v>
      </c>
      <c r="Y152" s="96">
        <f>((Tableau!$H$25-Q152)/(AD152^2+Tableau!$G$30^2)^(3/2))*Tableau!$G$29</f>
        <v>-2.7839502081425595E-3</v>
      </c>
      <c r="Z152" s="96">
        <f>((Tableau!$G$35-P152)/(AE152^2+Tableau!$G$40^2)^(3/2))*Tableau!$G$39</f>
        <v>1.6480719234358638E-2</v>
      </c>
      <c r="AA152" s="97">
        <f>((Tableau!$H$35-Q152)/(AE152^2+Tableau!$G$40^2)^(3/2))*Tableau!$G$39</f>
        <v>-8.0914104339329454E-3</v>
      </c>
      <c r="AC152" s="110">
        <f>SQRT((Tableau!$G$16-P152)^2+(Tableau!$H$16-Q152)^2)</f>
        <v>5352901.3425720809</v>
      </c>
      <c r="AD152" s="111">
        <f>SQRT((Tableau!$G$25-P152)^2+(Tableau!$H$25-Q152)^2)</f>
        <v>5315826.1715017194</v>
      </c>
      <c r="AE152" s="112">
        <f>SQRT((Tableau!$G$35-P152)^2+(Tableau!$H$35-Q152)^2)</f>
        <v>5340285.1213616058</v>
      </c>
    </row>
    <row r="153" spans="2:31" x14ac:dyDescent="0.25">
      <c r="B153" s="18">
        <v>150</v>
      </c>
      <c r="C153" s="19">
        <f>Tableau!$G$17*COS(B153*PI()/180)+Tableau!$G$16</f>
        <v>15669.872981077806</v>
      </c>
      <c r="D153" s="19">
        <f>Tableau!$G$17*SIN(B153*PI()/180)+Tableau!$H$16</f>
        <v>10000</v>
      </c>
      <c r="F153" s="26">
        <v>150</v>
      </c>
      <c r="G153" s="27">
        <f>Tableau!$G$26*COS(F153*PI()/180)+Tableau!$G$25</f>
        <v>-23031.088913245534</v>
      </c>
      <c r="H153" s="27">
        <f>Tableau!$G$26*SIN(F153*PI()/180)+Tableau!$H$25</f>
        <v>11750</v>
      </c>
      <c r="J153" s="34">
        <v>150</v>
      </c>
      <c r="K153" s="35">
        <f>Tableau!$G$36*COS(J153*PI()/180)+Tableau!$G$35</f>
        <v>-9330.1270189221941</v>
      </c>
      <c r="L153" s="35">
        <f>Tableau!$G$36*SIN(J153*PI()/180)+Tableau!$H$35</f>
        <v>-12500</v>
      </c>
      <c r="N153" s="98">
        <v>149</v>
      </c>
      <c r="O153" s="99">
        <v>74.5</v>
      </c>
      <c r="P153" s="101">
        <f>P152+R152*Tableau!$G$2+((1/2)*T152)*Tableau!$G$2^2</f>
        <v>-4833050.3116279049</v>
      </c>
      <c r="Q153" s="101">
        <f>Q152+S152*Tableau!$G$2+((1/2)*U152)*Tableau!$G$2^2</f>
        <v>2355426.5303509049</v>
      </c>
      <c r="R153" s="101">
        <f>R152+T152*Tableau!$G$2</f>
        <v>-68700.132919399373</v>
      </c>
      <c r="S153" s="101">
        <f>S152+U152*Tableau!$G$2</f>
        <v>33801.671858414222</v>
      </c>
      <c r="T153" s="101">
        <f t="shared" si="4"/>
        <v>3.8095405367994634E-2</v>
      </c>
      <c r="U153" s="101">
        <f t="shared" si="5"/>
        <v>-1.8566855593313801E-2</v>
      </c>
      <c r="V153" s="101">
        <f>((Tableau!$G$16-P153)/(AC153^2+Tableau!$G$21^2)^(3/2))*Tableau!$G$20</f>
        <v>1.6216650069983615E-2</v>
      </c>
      <c r="W153" s="101">
        <f>((Tableau!$H$16-Q153)/(AC153^2+Tableau!$G$21^2)^(3/2))*Tableau!$G$20</f>
        <v>-7.8456847730390324E-3</v>
      </c>
      <c r="X153" s="101">
        <f>((Tableau!$G$25-P153)/(AD153^2+Tableau!$G$30^2)^(3/2))*Tableau!$G$29</f>
        <v>5.6318569576140612E-3</v>
      </c>
      <c r="Y153" s="101">
        <f>((Tableau!$H$25-Q153)/(AD153^2+Tableau!$G$30^2)^(3/2))*Tableau!$G$29</f>
        <v>-2.7444356215469666E-3</v>
      </c>
      <c r="Z153" s="101">
        <f>((Tableau!$G$35-P153)/(AE153^2+Tableau!$G$40^2)^(3/2))*Tableau!$G$39</f>
        <v>1.6246898340396956E-2</v>
      </c>
      <c r="AA153" s="102">
        <f>((Tableau!$H$35-Q153)/(AE153^2+Tableau!$G$40^2)^(3/2))*Tableau!$G$39</f>
        <v>-7.9767351987278003E-3</v>
      </c>
      <c r="AC153" s="113">
        <f>SQRT((Tableau!$G$16-P153)^2+(Tableau!$H$16-Q153)^2)</f>
        <v>5391183.2021474978</v>
      </c>
      <c r="AD153" s="114">
        <f>SQRT((Tableau!$G$25-P153)^2+(Tableau!$H$25-Q153)^2)</f>
        <v>5354108.601021776</v>
      </c>
      <c r="AE153" s="115">
        <f>SQRT((Tableau!$G$35-P153)^2+(Tableau!$H$35-Q153)^2)</f>
        <v>5378567.8156365883</v>
      </c>
    </row>
    <row r="154" spans="2:31" x14ac:dyDescent="0.25">
      <c r="B154" s="20">
        <v>151</v>
      </c>
      <c r="C154" s="21">
        <f>Tableau!$G$17*COS(B154*PI()/180)+Tableau!$G$16</f>
        <v>15626.90146430302</v>
      </c>
      <c r="D154" s="21">
        <f>Tableau!$G$17*SIN(B154*PI()/180)+Tableau!$H$16</f>
        <v>9924.048101231685</v>
      </c>
      <c r="F154" s="28">
        <v>151</v>
      </c>
      <c r="G154" s="29">
        <f>Tableau!$G$26*COS(F154*PI()/180)+Tableau!$G$25</f>
        <v>-23061.168974987886</v>
      </c>
      <c r="H154" s="29">
        <f>Tableau!$G$26*SIN(F154*PI()/180)+Tableau!$H$25</f>
        <v>11696.833670862179</v>
      </c>
      <c r="J154" s="36">
        <v>151</v>
      </c>
      <c r="K154" s="37">
        <f>Tableau!$G$36*COS(J154*PI()/180)+Tableau!$G$35</f>
        <v>-9373.0985356969795</v>
      </c>
      <c r="L154" s="37">
        <f>Tableau!$G$36*SIN(J154*PI()/180)+Tableau!$H$35</f>
        <v>-12575.951898768315</v>
      </c>
      <c r="N154" s="92">
        <v>150</v>
      </c>
      <c r="O154" s="93">
        <v>75</v>
      </c>
      <c r="P154" s="96">
        <f>P153+R153*Tableau!$G$2+((1/2)*T153)*Tableau!$G$2^2</f>
        <v>-4867400.3733256785</v>
      </c>
      <c r="Q154" s="96">
        <f>Q153+S153*Tableau!$G$2+((1/2)*U153)*Tableau!$G$2^2</f>
        <v>2372327.3639592552</v>
      </c>
      <c r="R154" s="96">
        <f>R153+T153*Tableau!$G$2</f>
        <v>-68700.113871696696</v>
      </c>
      <c r="S154" s="96">
        <f>S153+U153*Tableau!$G$2</f>
        <v>33801.662574986425</v>
      </c>
      <c r="T154" s="96">
        <f t="shared" si="4"/>
        <v>3.7558536264189146E-2</v>
      </c>
      <c r="U154" s="96">
        <f t="shared" si="5"/>
        <v>-1.8306423641158021E-2</v>
      </c>
      <c r="V154" s="96">
        <f>((Tableau!$G$16-P154)/(AC154^2+Tableau!$G$21^2)^(3/2))*Tableau!$G$20</f>
        <v>1.5988414956337689E-2</v>
      </c>
      <c r="W154" s="96">
        <f>((Tableau!$H$16-Q154)/(AC154^2+Tableau!$G$21^2)^(3/2))*Tableau!$G$20</f>
        <v>-7.7361865832478779E-3</v>
      </c>
      <c r="X154" s="96">
        <f>((Tableau!$G$25-P154)/(AD154^2+Tableau!$G$30^2)^(3/2))*Tableau!$G$29</f>
        <v>5.5521028552062398E-3</v>
      </c>
      <c r="Y154" s="96">
        <f>((Tableau!$H$25-Q154)/(AD154^2+Tableau!$G$30^2)^(3/2))*Tableau!$G$29</f>
        <v>-2.7057563832656008E-3</v>
      </c>
      <c r="Z154" s="96">
        <f>((Tableau!$G$35-P154)/(AE154^2+Tableau!$G$40^2)^(3/2))*Tableau!$G$39</f>
        <v>1.6018018452645215E-2</v>
      </c>
      <c r="AA154" s="97">
        <f>((Tableau!$H$35-Q154)/(AE154^2+Tableau!$G$40^2)^(3/2))*Tableau!$G$39</f>
        <v>-7.8644806746445417E-3</v>
      </c>
      <c r="AC154" s="110">
        <f>SQRT((Tableau!$G$16-P154)^2+(Tableau!$H$16-Q154)^2)</f>
        <v>5429465.063016288</v>
      </c>
      <c r="AD154" s="111">
        <f>SQRT((Tableau!$G$25-P154)^2+(Tableau!$H$25-Q154)^2)</f>
        <v>5392391.0238250168</v>
      </c>
      <c r="AE154" s="112">
        <f>SQRT((Tableau!$G$35-P154)^2+(Tableau!$H$35-Q154)^2)</f>
        <v>5416850.4994347356</v>
      </c>
    </row>
    <row r="155" spans="2:31" x14ac:dyDescent="0.25">
      <c r="B155" s="18">
        <v>152</v>
      </c>
      <c r="C155" s="19">
        <f>Tableau!$G$17*COS(B155*PI()/180)+Tableau!$G$16</f>
        <v>15585.262035705367</v>
      </c>
      <c r="D155" s="19">
        <f>Tableau!$G$17*SIN(B155*PI()/180)+Tableau!$H$16</f>
        <v>9847.357813929455</v>
      </c>
      <c r="F155" s="26">
        <v>152</v>
      </c>
      <c r="G155" s="27">
        <f>Tableau!$G$26*COS(F155*PI()/180)+Tableau!$G$25</f>
        <v>-23090.316575006244</v>
      </c>
      <c r="H155" s="27">
        <f>Tableau!$G$26*SIN(F155*PI()/180)+Tableau!$H$25</f>
        <v>11643.150469750619</v>
      </c>
      <c r="J155" s="34">
        <v>152</v>
      </c>
      <c r="K155" s="35">
        <f>Tableau!$G$36*COS(J155*PI()/180)+Tableau!$G$35</f>
        <v>-9414.7379642946325</v>
      </c>
      <c r="L155" s="35">
        <f>Tableau!$G$36*SIN(J155*PI()/180)+Tableau!$H$35</f>
        <v>-12652.642186070545</v>
      </c>
      <c r="N155" s="98">
        <v>151</v>
      </c>
      <c r="O155" s="99">
        <v>75.5</v>
      </c>
      <c r="P155" s="101">
        <f>P154+R154*Tableau!$G$2+((1/2)*T154)*Tableau!$G$2^2</f>
        <v>-4901750.4255667105</v>
      </c>
      <c r="Q155" s="101">
        <f>Q154+S154*Tableau!$G$2+((1/2)*U154)*Tableau!$G$2^2</f>
        <v>2389228.1929584453</v>
      </c>
      <c r="R155" s="101">
        <f>R154+T154*Tableau!$G$2</f>
        <v>-68700.095092428557</v>
      </c>
      <c r="S155" s="101">
        <f>S154+U154*Tableau!$G$2</f>
        <v>33801.653421774601</v>
      </c>
      <c r="T155" s="101">
        <f t="shared" si="4"/>
        <v>3.7032936712176369E-2</v>
      </c>
      <c r="U155" s="101">
        <f t="shared" si="5"/>
        <v>-1.8051433006643986E-2</v>
      </c>
      <c r="V155" s="101">
        <f>((Tableau!$G$16-P155)/(AC155^2+Tableau!$G$21^2)^(3/2))*Tableau!$G$20</f>
        <v>1.5764964414223596E-2</v>
      </c>
      <c r="W155" s="101">
        <f>((Tableau!$H$16-Q155)/(AC155^2+Tableau!$G$21^2)^(3/2))*Tableau!$G$20</f>
        <v>-7.6289646893299232E-3</v>
      </c>
      <c r="X155" s="101">
        <f>((Tableau!$G$25-P155)/(AD155^2+Tableau!$G$30^2)^(3/2))*Tableau!$G$29</f>
        <v>5.4740309688515046E-3</v>
      </c>
      <c r="Y155" s="101">
        <f>((Tableau!$H$25-Q155)/(AD155^2+Tableau!$G$30^2)^(3/2))*Tableau!$G$29</f>
        <v>-2.6678891124810446E-3</v>
      </c>
      <c r="Z155" s="101">
        <f>((Tableau!$G$35-P155)/(AE155^2+Tableau!$G$40^2)^(3/2))*Tableau!$G$39</f>
        <v>1.5793941329101269E-2</v>
      </c>
      <c r="AA155" s="102">
        <f>((Tableau!$H$35-Q155)/(AE155^2+Tableau!$G$40^2)^(3/2))*Tableau!$G$39</f>
        <v>-7.7545792048330188E-3</v>
      </c>
      <c r="AC155" s="113">
        <f>SQRT((Tableau!$G$16-P155)^2+(Tableau!$H$16-Q155)^2)</f>
        <v>5467746.9250779338</v>
      </c>
      <c r="AD155" s="114">
        <f>SQRT((Tableau!$G$25-P155)^2+(Tableau!$H$25-Q155)^2)</f>
        <v>5430673.4399786061</v>
      </c>
      <c r="AE155" s="115">
        <f>SQRT((Tableau!$G$35-P155)^2+(Tableau!$H$35-Q155)^2)</f>
        <v>5455133.1729027471</v>
      </c>
    </row>
    <row r="156" spans="2:31" x14ac:dyDescent="0.25">
      <c r="B156" s="20">
        <v>153</v>
      </c>
      <c r="C156" s="21">
        <f>Tableau!$G$17*COS(B156*PI()/180)+Tableau!$G$16</f>
        <v>15544.967379058162</v>
      </c>
      <c r="D156" s="21">
        <f>Tableau!$G$17*SIN(B156*PI()/180)+Tableau!$H$16</f>
        <v>9769.952498697734</v>
      </c>
      <c r="F156" s="28">
        <v>153</v>
      </c>
      <c r="G156" s="29">
        <f>Tableau!$G$26*COS(F156*PI()/180)+Tableau!$G$25</f>
        <v>-23118.522834659288</v>
      </c>
      <c r="H156" s="29">
        <f>Tableau!$G$26*SIN(F156*PI()/180)+Tableau!$H$25</f>
        <v>11588.966749088413</v>
      </c>
      <c r="J156" s="36">
        <v>153</v>
      </c>
      <c r="K156" s="37">
        <f>Tableau!$G$36*COS(J156*PI()/180)+Tableau!$G$35</f>
        <v>-9455.0326209418381</v>
      </c>
      <c r="L156" s="37">
        <f>Tableau!$G$36*SIN(J156*PI()/180)+Tableau!$H$35</f>
        <v>-12730.047501302266</v>
      </c>
      <c r="N156" s="92">
        <v>152</v>
      </c>
      <c r="O156" s="93">
        <v>76</v>
      </c>
      <c r="P156" s="96">
        <f>P155+R155*Tableau!$G$2+((1/2)*T155)*Tableau!$G$2^2</f>
        <v>-4936100.4684838075</v>
      </c>
      <c r="Q156" s="96">
        <f>Q155+S155*Tableau!$G$2+((1/2)*U155)*Tableau!$G$2^2</f>
        <v>2406129.0174129033</v>
      </c>
      <c r="R156" s="96">
        <f>R155+T155*Tableau!$G$2</f>
        <v>-68700.076575960207</v>
      </c>
      <c r="S156" s="96">
        <f>S155+U155*Tableau!$G$2</f>
        <v>33801.644396058095</v>
      </c>
      <c r="T156" s="96">
        <f t="shared" si="4"/>
        <v>3.6518293488184306E-2</v>
      </c>
      <c r="U156" s="96">
        <f t="shared" si="5"/>
        <v>-1.7801733155618324E-2</v>
      </c>
      <c r="V156" s="96">
        <f>((Tableau!$G$16-P156)/(AC156^2+Tableau!$G$21^2)^(3/2))*Tableau!$G$20</f>
        <v>1.5546165639863522E-2</v>
      </c>
      <c r="W156" s="96">
        <f>((Tableau!$H$16-Q156)/(AC156^2+Tableau!$G$21^2)^(3/2))*Tableau!$G$20</f>
        <v>-7.5239564351874087E-3</v>
      </c>
      <c r="X156" s="96">
        <f>((Tableau!$G$25-P156)/(AD156^2+Tableau!$G$30^2)^(3/2))*Tableau!$G$29</f>
        <v>5.397594319368728E-3</v>
      </c>
      <c r="Y156" s="96">
        <f>((Tableau!$H$25-Q156)/(AD156^2+Tableau!$G$30^2)^(3/2))*Tableau!$G$29</f>
        <v>-2.6308112406928236E-3</v>
      </c>
      <c r="Z156" s="96">
        <f>((Tableau!$G$35-P156)/(AE156^2+Tableau!$G$40^2)^(3/2))*Tableau!$G$39</f>
        <v>1.5574533528952054E-2</v>
      </c>
      <c r="AA156" s="97">
        <f>((Tableau!$H$35-Q156)/(AE156^2+Tableau!$G$40^2)^(3/2))*Tableau!$G$39</f>
        <v>-7.6469654797380899E-3</v>
      </c>
      <c r="AC156" s="110">
        <f>SQRT((Tableau!$G$16-P156)^2+(Tableau!$H$16-Q156)^2)</f>
        <v>5506028.7882357286</v>
      </c>
      <c r="AD156" s="111">
        <f>SQRT((Tableau!$G$25-P156)^2+(Tableau!$H$25-Q156)^2)</f>
        <v>5468955.8495488735</v>
      </c>
      <c r="AE156" s="112">
        <f>SQRT((Tableau!$G$35-P156)^2+(Tableau!$H$35-Q156)^2)</f>
        <v>5493415.8361842586</v>
      </c>
    </row>
    <row r="157" spans="2:31" x14ac:dyDescent="0.25">
      <c r="B157" s="18">
        <v>154</v>
      </c>
      <c r="C157" s="19">
        <f>Tableau!$G$17*COS(B157*PI()/180)+Tableau!$G$16</f>
        <v>15506.029768504166</v>
      </c>
      <c r="D157" s="19">
        <f>Tableau!$G$17*SIN(B157*PI()/180)+Tableau!$H$16</f>
        <v>9691.8557339453873</v>
      </c>
      <c r="F157" s="26">
        <v>154</v>
      </c>
      <c r="G157" s="27">
        <f>Tableau!$G$26*COS(F157*PI()/180)+Tableau!$G$25</f>
        <v>-23145.779162047085</v>
      </c>
      <c r="H157" s="27">
        <f>Tableau!$G$26*SIN(F157*PI()/180)+Tableau!$H$25</f>
        <v>11534.299013761771</v>
      </c>
      <c r="J157" s="34">
        <v>154</v>
      </c>
      <c r="K157" s="35">
        <f>Tableau!$G$36*COS(J157*PI()/180)+Tableau!$G$35</f>
        <v>-9493.970231495834</v>
      </c>
      <c r="L157" s="35">
        <f>Tableau!$G$36*SIN(J157*PI()/180)+Tableau!$H$35</f>
        <v>-12808.144266054613</v>
      </c>
      <c r="N157" s="98">
        <v>153</v>
      </c>
      <c r="O157" s="99">
        <v>76.5</v>
      </c>
      <c r="P157" s="101">
        <f>P156+R156*Tableau!$G$2+((1/2)*T156)*Tableau!$G$2^2</f>
        <v>-4970450.5022070017</v>
      </c>
      <c r="Q157" s="101">
        <f>Q156+S156*Tableau!$G$2+((1/2)*U156)*Tableau!$G$2^2</f>
        <v>2423029.8373857159</v>
      </c>
      <c r="R157" s="101">
        <f>R156+T156*Tableau!$G$2</f>
        <v>-68700.058316813462</v>
      </c>
      <c r="S157" s="101">
        <f>S156+U156*Tableau!$G$2</f>
        <v>33801.63549519152</v>
      </c>
      <c r="T157" s="101">
        <f t="shared" si="4"/>
        <v>3.6014304175415734E-2</v>
      </c>
      <c r="U157" s="101">
        <f t="shared" si="5"/>
        <v>-1.7557178723784338E-2</v>
      </c>
      <c r="V157" s="101">
        <f>((Tableau!$G$16-P157)/(AC157^2+Tableau!$G$21^2)^(3/2))*Tableau!$G$20</f>
        <v>1.5331890405376339E-2</v>
      </c>
      <c r="W157" s="101">
        <f>((Tableau!$H$16-Q157)/(AC157^2+Tableau!$G$21^2)^(3/2))*Tableau!$G$20</f>
        <v>-7.4211013056508504E-3</v>
      </c>
      <c r="X157" s="101">
        <f>((Tableau!$G$25-P157)/(AD157^2+Tableau!$G$30^2)^(3/2))*Tableau!$G$29</f>
        <v>5.3227475561816269E-3</v>
      </c>
      <c r="Y157" s="101">
        <f>((Tableau!$H$25-Q157)/(AD157^2+Tableau!$G$30^2)^(3/2))*Tableau!$G$29</f>
        <v>-2.5945009780851467E-3</v>
      </c>
      <c r="Z157" s="101">
        <f>((Tableau!$G$35-P157)/(AE157^2+Tableau!$G$40^2)^(3/2))*Tableau!$G$39</f>
        <v>1.5359666213857766E-2</v>
      </c>
      <c r="AA157" s="102">
        <f>((Tableau!$H$35-Q157)/(AE157^2+Tableau!$G$40^2)^(3/2))*Tableau!$G$39</f>
        <v>-7.541576440048341E-3</v>
      </c>
      <c r="AC157" s="113">
        <f>SQRT((Tableau!$G$16-P157)^2+(Tableau!$H$16-Q157)^2)</f>
        <v>5544310.6523966333</v>
      </c>
      <c r="AD157" s="114">
        <f>SQRT((Tableau!$G$25-P157)^2+(Tableau!$H$25-Q157)^2)</f>
        <v>5507238.2526013246</v>
      </c>
      <c r="AE157" s="115">
        <f>SQRT((Tableau!$G$35-P157)^2+(Tableau!$H$35-Q157)^2)</f>
        <v>5531698.4894199343</v>
      </c>
    </row>
    <row r="158" spans="2:31" x14ac:dyDescent="0.25">
      <c r="B158" s="20">
        <v>155</v>
      </c>
      <c r="C158" s="21">
        <f>Tableau!$G$17*COS(B158*PI()/180)+Tableau!$G$16</f>
        <v>15468.461064816751</v>
      </c>
      <c r="D158" s="21">
        <f>Tableau!$G$17*SIN(B158*PI()/180)+Tableau!$H$16</f>
        <v>9613.0913087034969</v>
      </c>
      <c r="F158" s="28">
        <v>155</v>
      </c>
      <c r="G158" s="29">
        <f>Tableau!$G$26*COS(F158*PI()/180)+Tableau!$G$25</f>
        <v>-23172.077254628275</v>
      </c>
      <c r="H158" s="29">
        <f>Tableau!$G$26*SIN(F158*PI()/180)+Tableau!$H$25</f>
        <v>11479.163916092448</v>
      </c>
      <c r="J158" s="36">
        <v>155</v>
      </c>
      <c r="K158" s="37">
        <f>Tableau!$G$36*COS(J158*PI()/180)+Tableau!$G$35</f>
        <v>-9531.5389351832491</v>
      </c>
      <c r="L158" s="37">
        <f>Tableau!$G$36*SIN(J158*PI()/180)+Tableau!$H$35</f>
        <v>-12886.908691296503</v>
      </c>
      <c r="N158" s="92">
        <v>154</v>
      </c>
      <c r="O158" s="93">
        <v>77</v>
      </c>
      <c r="P158" s="96">
        <f>P157+R157*Tableau!$G$2+((1/2)*T157)*Tableau!$G$2^2</f>
        <v>-5004800.5268636206</v>
      </c>
      <c r="Q158" s="96">
        <f>Q157+S157*Tableau!$G$2+((1/2)*U157)*Tableau!$G$2^2</f>
        <v>2439930.6529386644</v>
      </c>
      <c r="R158" s="96">
        <f>R157+T157*Tableau!$G$2</f>
        <v>-68700.040309661374</v>
      </c>
      <c r="S158" s="96">
        <f>S157+U157*Tableau!$G$2</f>
        <v>33801.626716602157</v>
      </c>
      <c r="T158" s="96">
        <f t="shared" si="4"/>
        <v>3.5520676719676361E-2</v>
      </c>
      <c r="U158" s="96">
        <f t="shared" si="5"/>
        <v>-1.7317629305097025E-2</v>
      </c>
      <c r="V158" s="96">
        <f>((Tableau!$G$16-P158)/(AC158^2+Tableau!$G$21^2)^(3/2))*Tableau!$G$20</f>
        <v>1.5122014870874655E-2</v>
      </c>
      <c r="W158" s="96">
        <f>((Tableau!$H$16-Q158)/(AC158^2+Tableau!$G$21^2)^(3/2))*Tableau!$G$20</f>
        <v>-7.3203408392948088E-3</v>
      </c>
      <c r="X158" s="96">
        <f>((Tableau!$G$25-P158)/(AD158^2+Tableau!$G$30^2)^(3/2))*Tableau!$G$29</f>
        <v>5.2494468900360922E-3</v>
      </c>
      <c r="Y158" s="96">
        <f>((Tableau!$H$25-Q158)/(AD158^2+Tableau!$G$30^2)^(3/2))*Tableau!$G$29</f>
        <v>-2.5589372815080407E-3</v>
      </c>
      <c r="Z158" s="96">
        <f>((Tableau!$G$35-P158)/(AE158^2+Tableau!$G$40^2)^(3/2))*Tableau!$G$39</f>
        <v>1.5149214958765617E-2</v>
      </c>
      <c r="AA158" s="97">
        <f>((Tableau!$H$35-Q158)/(AE158^2+Tableau!$G$40^2)^(3/2))*Tableau!$G$39</f>
        <v>-7.4383511842941756E-3</v>
      </c>
      <c r="AC158" s="110">
        <f>SQRT((Tableau!$G$16-P158)^2+(Tableau!$H$16-Q158)^2)</f>
        <v>5582592.5174711198</v>
      </c>
      <c r="AD158" s="111">
        <f>SQRT((Tableau!$G$25-P158)^2+(Tableau!$H$25-Q158)^2)</f>
        <v>5545520.6492006453</v>
      </c>
      <c r="AE158" s="112">
        <f>SQRT((Tableau!$G$35-P158)^2+(Tableau!$H$35-Q158)^2)</f>
        <v>5569981.1327475421</v>
      </c>
    </row>
    <row r="159" spans="2:31" x14ac:dyDescent="0.25">
      <c r="B159" s="18">
        <v>156</v>
      </c>
      <c r="C159" s="19">
        <f>Tableau!$G$17*COS(B159*PI()/180)+Tableau!$G$16</f>
        <v>15432.272711786996</v>
      </c>
      <c r="D159" s="19">
        <f>Tableau!$G$17*SIN(B159*PI()/180)+Tableau!$H$16</f>
        <v>9533.6832153790019</v>
      </c>
      <c r="F159" s="26">
        <v>156</v>
      </c>
      <c r="G159" s="27">
        <f>Tableau!$G$26*COS(F159*PI()/180)+Tableau!$G$25</f>
        <v>-23197.409101749101</v>
      </c>
      <c r="H159" s="27">
        <f>Tableau!$G$26*SIN(F159*PI()/180)+Tableau!$H$25</f>
        <v>11423.578250765302</v>
      </c>
      <c r="J159" s="34">
        <v>156</v>
      </c>
      <c r="K159" s="35">
        <f>Tableau!$G$36*COS(J159*PI()/180)+Tableau!$G$35</f>
        <v>-9567.7272882130037</v>
      </c>
      <c r="L159" s="35">
        <f>Tableau!$G$36*SIN(J159*PI()/180)+Tableau!$H$35</f>
        <v>-12966.316784620998</v>
      </c>
      <c r="N159" s="98">
        <v>155</v>
      </c>
      <c r="O159" s="99">
        <v>77.5</v>
      </c>
      <c r="P159" s="101">
        <f>P158+R158*Tableau!$G$2+((1/2)*T158)*Tableau!$G$2^2</f>
        <v>-5039150.5425783666</v>
      </c>
      <c r="Q159" s="101">
        <f>Q158+S158*Tableau!$G$2+((1/2)*U158)*Tableau!$G$2^2</f>
        <v>2456831.4641322619</v>
      </c>
      <c r="R159" s="101">
        <f>R158+T158*Tableau!$G$2</f>
        <v>-68700.02254932301</v>
      </c>
      <c r="S159" s="101">
        <f>S158+U158*Tableau!$G$2</f>
        <v>33801.618057787506</v>
      </c>
      <c r="T159" s="101">
        <f t="shared" si="4"/>
        <v>3.5037129006174589E-2</v>
      </c>
      <c r="U159" s="101">
        <f t="shared" si="5"/>
        <v>-1.7082949250193789E-2</v>
      </c>
      <c r="V159" s="101">
        <f>((Tableau!$G$16-P159)/(AC159^2+Tableau!$G$21^2)^(3/2))*Tableau!$G$20</f>
        <v>1.4916419405503775E-2</v>
      </c>
      <c r="W159" s="101">
        <f>((Tableau!$H$16-Q159)/(AC159^2+Tableau!$G$21^2)^(3/2))*Tableau!$G$20</f>
        <v>-7.2216185453681846E-3</v>
      </c>
      <c r="X159" s="101">
        <f>((Tableau!$G$25-P159)/(AD159^2+Tableau!$G$30^2)^(3/2))*Tableau!$G$29</f>
        <v>5.1776500289375839E-3</v>
      </c>
      <c r="Y159" s="101">
        <f>((Tableau!$H$25-Q159)/(AD159^2+Tableau!$G$30^2)^(3/2))*Tableau!$G$29</f>
        <v>-2.52409982398371E-3</v>
      </c>
      <c r="Z159" s="101">
        <f>((Tableau!$G$35-P159)/(AE159^2+Tableau!$G$40^2)^(3/2))*Tableau!$G$39</f>
        <v>1.4943059571733228E-2</v>
      </c>
      <c r="AA159" s="102">
        <f>((Tableau!$H$35-Q159)/(AE159^2+Tableau!$G$40^2)^(3/2))*Tableau!$G$39</f>
        <v>-7.3372308808418926E-3</v>
      </c>
      <c r="AC159" s="113">
        <f>SQRT((Tableau!$G$16-P159)^2+(Tableau!$H$16-Q159)^2)</f>
        <v>5620874.3833730416</v>
      </c>
      <c r="AD159" s="114">
        <f>SQRT((Tableau!$G$25-P159)^2+(Tableau!$H$25-Q159)^2)</f>
        <v>5583803.039410715</v>
      </c>
      <c r="AE159" s="115">
        <f>SQRT((Tableau!$G$35-P159)^2+(Tableau!$H$35-Q159)^2)</f>
        <v>5608263.7663020371</v>
      </c>
    </row>
    <row r="160" spans="2:31" x14ac:dyDescent="0.25">
      <c r="B160" s="20">
        <v>157</v>
      </c>
      <c r="C160" s="21">
        <f>Tableau!$G$17*COS(B160*PI()/180)+Tableau!$G$16</f>
        <v>15397.475732737799</v>
      </c>
      <c r="D160" s="21">
        <f>Tableau!$G$17*SIN(B160*PI()/180)+Tableau!$H$16</f>
        <v>9453.6556424463706</v>
      </c>
      <c r="F160" s="28">
        <v>157</v>
      </c>
      <c r="G160" s="29">
        <f>Tableau!$G$26*COS(F160*PI()/180)+Tableau!$G$25</f>
        <v>-23221.766987083542</v>
      </c>
      <c r="H160" s="29">
        <f>Tableau!$G$26*SIN(F160*PI()/180)+Tableau!$H$25</f>
        <v>11367.55894971246</v>
      </c>
      <c r="J160" s="36">
        <v>157</v>
      </c>
      <c r="K160" s="37">
        <f>Tableau!$G$36*COS(J160*PI()/180)+Tableau!$G$35</f>
        <v>-9602.5242672622007</v>
      </c>
      <c r="L160" s="37">
        <f>Tableau!$G$36*SIN(J160*PI()/180)+Tableau!$H$35</f>
        <v>-13046.344357553629</v>
      </c>
      <c r="N160" s="92">
        <v>156</v>
      </c>
      <c r="O160" s="93">
        <v>78</v>
      </c>
      <c r="P160" s="96">
        <f>P159+R159*Tableau!$G$2+((1/2)*T159)*Tableau!$G$2^2</f>
        <v>-5073500.5494733872</v>
      </c>
      <c r="Q160" s="96">
        <f>Q159+S159*Tableau!$G$2+((1/2)*U159)*Tableau!$G$2^2</f>
        <v>2473732.2710257871</v>
      </c>
      <c r="R160" s="96">
        <f>R159+T159*Tableau!$G$2</f>
        <v>-68700.005030758504</v>
      </c>
      <c r="S160" s="96">
        <f>S159+U159*Tableau!$G$2</f>
        <v>33801.609516312878</v>
      </c>
      <c r="T160" s="96">
        <f t="shared" si="4"/>
        <v>3.4563388456350534E-2</v>
      </c>
      <c r="U160" s="96">
        <f t="shared" si="5"/>
        <v>-1.6853007474321904E-2</v>
      </c>
      <c r="V160" s="96">
        <f>((Tableau!$G$16-P160)/(AC160^2+Tableau!$G$21^2)^(3/2))*Tableau!$G$20</f>
        <v>1.4714988416937431E-2</v>
      </c>
      <c r="W160" s="96">
        <f>((Tableau!$H$16-Q160)/(AC160^2+Tableau!$G$21^2)^(3/2))*Tableau!$G$20</f>
        <v>-7.1248798246176309E-3</v>
      </c>
      <c r="X160" s="96">
        <f>((Tableau!$G$25-P160)/(AD160^2+Tableau!$G$30^2)^(3/2))*Tableau!$G$29</f>
        <v>5.1073161171355025E-3</v>
      </c>
      <c r="Y160" s="96">
        <f>((Tableau!$H$25-Q160)/(AD160^2+Tableau!$G$30^2)^(3/2))*Tableau!$G$29</f>
        <v>-2.4899689656565104E-3</v>
      </c>
      <c r="Z160" s="96">
        <f>((Tableau!$G$35-P160)/(AE160^2+Tableau!$G$40^2)^(3/2))*Tableau!$G$39</f>
        <v>1.4741083922277598E-2</v>
      </c>
      <c r="AA160" s="97">
        <f>((Tableau!$H$35-Q160)/(AE160^2+Tableau!$G$40^2)^(3/2))*Tableau!$G$39</f>
        <v>-7.2381586840477609E-3</v>
      </c>
      <c r="AC160" s="110">
        <f>SQRT((Tableau!$G$16-P160)^2+(Tableau!$H$16-Q160)^2)</f>
        <v>5659156.2500194944</v>
      </c>
      <c r="AD160" s="111">
        <f>SQRT((Tableau!$G$25-P160)^2+(Tableau!$H$25-Q160)^2)</f>
        <v>5622085.4232946075</v>
      </c>
      <c r="AE160" s="112">
        <f>SQRT((Tableau!$G$35-P160)^2+(Tableau!$H$35-Q160)^2)</f>
        <v>5646546.3902156334</v>
      </c>
    </row>
    <row r="161" spans="2:31" x14ac:dyDescent="0.25">
      <c r="B161" s="18">
        <v>158</v>
      </c>
      <c r="C161" s="19">
        <f>Tableau!$G$17*COS(B161*PI()/180)+Tableau!$G$16</f>
        <v>15364.080727166063</v>
      </c>
      <c r="D161" s="19">
        <f>Tableau!$G$17*SIN(B161*PI()/180)+Tableau!$H$16</f>
        <v>9373.0329670795618</v>
      </c>
      <c r="F161" s="26">
        <v>158</v>
      </c>
      <c r="G161" s="27">
        <f>Tableau!$G$26*COS(F161*PI()/180)+Tableau!$G$25</f>
        <v>-23245.143490983755</v>
      </c>
      <c r="H161" s="27">
        <f>Tableau!$G$26*SIN(F161*PI()/180)+Tableau!$H$25</f>
        <v>11311.123076955693</v>
      </c>
      <c r="J161" s="34">
        <v>158</v>
      </c>
      <c r="K161" s="35">
        <f>Tableau!$G$36*COS(J161*PI()/180)+Tableau!$G$35</f>
        <v>-9635.9192728339367</v>
      </c>
      <c r="L161" s="35">
        <f>Tableau!$G$36*SIN(J161*PI()/180)+Tableau!$H$35</f>
        <v>-13126.967032920438</v>
      </c>
      <c r="N161" s="98">
        <v>157</v>
      </c>
      <c r="O161" s="99">
        <v>78.5</v>
      </c>
      <c r="P161" s="101">
        <f>P160+R160*Tableau!$G$2+((1/2)*T160)*Tableau!$G$2^2</f>
        <v>-5107850.5476683434</v>
      </c>
      <c r="Q161" s="101">
        <f>Q160+S160*Tableau!$G$2+((1/2)*U160)*Tableau!$G$2^2</f>
        <v>2490633.0736773177</v>
      </c>
      <c r="R161" s="101">
        <f>R160+T160*Tableau!$G$2</f>
        <v>-68699.987749064283</v>
      </c>
      <c r="S161" s="101">
        <f>S160+U160*Tableau!$G$2</f>
        <v>33801.601089809141</v>
      </c>
      <c r="T161" s="101">
        <f t="shared" si="4"/>
        <v>3.4099191643654318E-2</v>
      </c>
      <c r="U161" s="101">
        <f t="shared" si="5"/>
        <v>-1.6627677274252867E-2</v>
      </c>
      <c r="V161" s="101">
        <f>((Tableau!$G$16-P161)/(AC161^2+Tableau!$G$21^2)^(3/2))*Tableau!$G$20</f>
        <v>1.4517610188877752E-2</v>
      </c>
      <c r="W161" s="101">
        <f>((Tableau!$H$16-Q161)/(AC161^2+Tableau!$G$21^2)^(3/2))*Tableau!$G$20</f>
        <v>-7.0300718937974646E-3</v>
      </c>
      <c r="X161" s="101">
        <f>((Tableau!$G$25-P161)/(AD161^2+Tableau!$G$30^2)^(3/2))*Tableau!$G$29</f>
        <v>5.0384056769877412E-3</v>
      </c>
      <c r="Y161" s="101">
        <f>((Tableau!$H$25-Q161)/(AD161^2+Tableau!$G$30^2)^(3/2))*Tableau!$G$29</f>
        <v>-2.4565257261078793E-3</v>
      </c>
      <c r="Z161" s="101">
        <f>((Tableau!$G$35-P161)/(AE161^2+Tableau!$G$40^2)^(3/2))*Tableau!$G$39</f>
        <v>1.4543175777788823E-2</v>
      </c>
      <c r="AA161" s="102">
        <f>((Tableau!$H$35-Q161)/(AE161^2+Tableau!$G$40^2)^(3/2))*Tableau!$G$39</f>
        <v>-7.141079654347523E-3</v>
      </c>
      <c r="AC161" s="113">
        <f>SQRT((Tableau!$G$16-P161)^2+(Tableau!$H$16-Q161)^2)</f>
        <v>5697438.1173306918</v>
      </c>
      <c r="AD161" s="114">
        <f>SQRT((Tableau!$G$25-P161)^2+(Tableau!$H$25-Q161)^2)</f>
        <v>5660367.8009146051</v>
      </c>
      <c r="AE161" s="115">
        <f>SQRT((Tableau!$G$35-P161)^2+(Tableau!$H$35-Q161)^2)</f>
        <v>5684829.0046178838</v>
      </c>
    </row>
    <row r="162" spans="2:31" x14ac:dyDescent="0.25">
      <c r="B162" s="20">
        <v>159</v>
      </c>
      <c r="C162" s="21">
        <f>Tableau!$G$17*COS(B162*PI()/180)+Tableau!$G$16</f>
        <v>15332.097867513992</v>
      </c>
      <c r="D162" s="21">
        <f>Tableau!$G$17*SIN(B162*PI()/180)+Tableau!$H$16</f>
        <v>9291.8397477265007</v>
      </c>
      <c r="F162" s="28">
        <v>159</v>
      </c>
      <c r="G162" s="29">
        <f>Tableau!$G$26*COS(F162*PI()/180)+Tableau!$G$25</f>
        <v>-23267.531492740207</v>
      </c>
      <c r="H162" s="29">
        <f>Tableau!$G$26*SIN(F162*PI()/180)+Tableau!$H$25</f>
        <v>11254.287823408551</v>
      </c>
      <c r="J162" s="36">
        <v>159</v>
      </c>
      <c r="K162" s="37">
        <f>Tableau!$G$36*COS(J162*PI()/180)+Tableau!$G$35</f>
        <v>-9667.9021324860078</v>
      </c>
      <c r="L162" s="37">
        <f>Tableau!$G$36*SIN(J162*PI()/180)+Tableau!$H$35</f>
        <v>-13208.160252273499</v>
      </c>
      <c r="N162" s="92">
        <v>158</v>
      </c>
      <c r="O162" s="93">
        <v>79</v>
      </c>
      <c r="P162" s="96">
        <f>P161+R161*Tableau!$G$2+((1/2)*T161)*Tableau!$G$2^2</f>
        <v>-5142200.5372804767</v>
      </c>
      <c r="Q162" s="96">
        <f>Q161+S161*Tableau!$G$2+((1/2)*U161)*Tableau!$G$2^2</f>
        <v>2507533.8721437627</v>
      </c>
      <c r="R162" s="96">
        <f>R161+T161*Tableau!$G$2</f>
        <v>-68699.970699468468</v>
      </c>
      <c r="S162" s="96">
        <f>S161+U161*Tableau!$G$2</f>
        <v>33801.592775970501</v>
      </c>
      <c r="T162" s="96">
        <f t="shared" si="4"/>
        <v>3.3644283927265525E-2</v>
      </c>
      <c r="U162" s="96">
        <f t="shared" si="5"/>
        <v>-1.6406836153707742E-2</v>
      </c>
      <c r="V162" s="96">
        <f>((Tableau!$G$16-P162)/(AC162^2+Tableau!$G$21^2)^(3/2))*Tableau!$G$20</f>
        <v>1.4324176726132476E-2</v>
      </c>
      <c r="W162" s="96">
        <f>((Tableau!$H$16-Q162)/(AC162^2+Tableau!$G$21^2)^(3/2))*Tableau!$G$20</f>
        <v>-6.9371437136710439E-3</v>
      </c>
      <c r="X162" s="96">
        <f>((Tableau!$G$25-P162)/(AD162^2+Tableau!$G$30^2)^(3/2))*Tableau!$G$29</f>
        <v>4.9708805535526824E-3</v>
      </c>
      <c r="Y162" s="96">
        <f>((Tableau!$H$25-Q162)/(AD162^2+Tableau!$G$30^2)^(3/2))*Tableau!$G$29</f>
        <v>-2.423751757964168E-3</v>
      </c>
      <c r="Z162" s="96">
        <f>((Tableau!$G$35-P162)/(AE162^2+Tableau!$G$40^2)^(3/2))*Tableau!$G$39</f>
        <v>1.4349226647580369E-2</v>
      </c>
      <c r="AA162" s="97">
        <f>((Tableau!$H$35-Q162)/(AE162^2+Tableau!$G$40^2)^(3/2))*Tableau!$G$39</f>
        <v>-7.0459406820725301E-3</v>
      </c>
      <c r="AC162" s="110">
        <f>SQRT((Tableau!$G$16-P162)^2+(Tableau!$H$16-Q162)^2)</f>
        <v>5735719.9852298386</v>
      </c>
      <c r="AD162" s="111">
        <f>SQRT((Tableau!$G$25-P162)^2+(Tableau!$H$25-Q162)^2)</f>
        <v>5698650.1723322002</v>
      </c>
      <c r="AE162" s="112">
        <f>SQRT((Tableau!$G$35-P162)^2+(Tableau!$H$35-Q162)^2)</f>
        <v>5723111.6096357424</v>
      </c>
    </row>
    <row r="163" spans="2:31" x14ac:dyDescent="0.25">
      <c r="B163" s="18">
        <v>160</v>
      </c>
      <c r="C163" s="19">
        <f>Tableau!$G$17*COS(B163*PI()/180)+Tableau!$G$16</f>
        <v>15301.536896070458</v>
      </c>
      <c r="D163" s="19">
        <f>Tableau!$G$17*SIN(B163*PI()/180)+Tableau!$H$16</f>
        <v>9210.1007166283453</v>
      </c>
      <c r="F163" s="26">
        <v>160</v>
      </c>
      <c r="G163" s="27">
        <f>Tableau!$G$26*COS(F163*PI()/180)+Tableau!$G$25</f>
        <v>-23288.924172750678</v>
      </c>
      <c r="H163" s="27">
        <f>Tableau!$G$26*SIN(F163*PI()/180)+Tableau!$H$25</f>
        <v>11197.070501639841</v>
      </c>
      <c r="J163" s="34">
        <v>160</v>
      </c>
      <c r="K163" s="35">
        <f>Tableau!$G$36*COS(J163*PI()/180)+Tableau!$G$35</f>
        <v>-9698.4631039295418</v>
      </c>
      <c r="L163" s="35">
        <f>Tableau!$G$36*SIN(J163*PI()/180)+Tableau!$H$35</f>
        <v>-13289.899283371655</v>
      </c>
      <c r="N163" s="98">
        <v>159</v>
      </c>
      <c r="O163" s="99">
        <v>79.5</v>
      </c>
      <c r="P163" s="101">
        <f>P162+R162*Tableau!$G$2+((1/2)*T162)*Tableau!$G$2^2</f>
        <v>-5176550.5184246758</v>
      </c>
      <c r="Q163" s="101">
        <f>Q162+S162*Tableau!$G$2+((1/2)*U162)*Tableau!$G$2^2</f>
        <v>2524434.6664808933</v>
      </c>
      <c r="R163" s="101">
        <f>R162+T162*Tableau!$G$2</f>
        <v>-68699.953877326509</v>
      </c>
      <c r="S163" s="101">
        <f>S162+U162*Tableau!$G$2</f>
        <v>33801.584572552427</v>
      </c>
      <c r="T163" s="101">
        <f t="shared" si="4"/>
        <v>3.3198419102801392E-2</v>
      </c>
      <c r="U163" s="101">
        <f t="shared" si="5"/>
        <v>-1.6190365656843612E-2</v>
      </c>
      <c r="V163" s="101">
        <f>((Tableau!$G$16-P163)/(AC163^2+Tableau!$G$21^2)^(3/2))*Tableau!$G$20</f>
        <v>1.4134583606868758E-2</v>
      </c>
      <c r="W163" s="101">
        <f>((Tableau!$H$16-Q163)/(AC163^2+Tableau!$G$21^2)^(3/2))*Tableau!$G$20</f>
        <v>-6.8460459203204781E-3</v>
      </c>
      <c r="X163" s="101">
        <f>((Tableau!$G$25-P163)/(AD163^2+Tableau!$G$30^2)^(3/2))*Tableau!$G$29</f>
        <v>4.9047038617630922E-3</v>
      </c>
      <c r="Y163" s="101">
        <f>((Tableau!$H$25-Q163)/(AD163^2+Tableau!$G$30^2)^(3/2))*Tableau!$G$29</f>
        <v>-2.3916293217287089E-3</v>
      </c>
      <c r="Z163" s="101">
        <f>((Tableau!$G$35-P163)/(AE163^2+Tableau!$G$40^2)^(3/2))*Tableau!$G$39</f>
        <v>1.415913163416954E-2</v>
      </c>
      <c r="AA163" s="102">
        <f>((Tableau!$H$35-Q163)/(AE163^2+Tableau!$G$40^2)^(3/2))*Tableau!$G$39</f>
        <v>-6.9526904147944263E-3</v>
      </c>
      <c r="AC163" s="113">
        <f>SQRT((Tableau!$G$16-P163)^2+(Tableau!$H$16-Q163)^2)</f>
        <v>5774001.8536430215</v>
      </c>
      <c r="AD163" s="114">
        <f>SQRT((Tableau!$G$25-P163)^2+(Tableau!$H$25-Q163)^2)</f>
        <v>5736932.5376081141</v>
      </c>
      <c r="AE163" s="115">
        <f>SQRT((Tableau!$G$35-P163)^2+(Tableau!$H$35-Q163)^2)</f>
        <v>5761394.205393644</v>
      </c>
    </row>
    <row r="164" spans="2:31" x14ac:dyDescent="0.25">
      <c r="B164" s="20">
        <v>161</v>
      </c>
      <c r="C164" s="21">
        <f>Tableau!$G$17*COS(B164*PI()/180)+Tableau!$G$16</f>
        <v>15272.407122003417</v>
      </c>
      <c r="D164" s="21">
        <f>Tableau!$G$17*SIN(B164*PI()/180)+Tableau!$H$16</f>
        <v>9127.8407722857846</v>
      </c>
      <c r="F164" s="28">
        <v>161</v>
      </c>
      <c r="G164" s="29">
        <f>Tableau!$G$26*COS(F164*PI()/180)+Tableau!$G$25</f>
        <v>-23309.315014597611</v>
      </c>
      <c r="H164" s="29">
        <f>Tableau!$G$26*SIN(F164*PI()/180)+Tableau!$H$25</f>
        <v>11139.48854060005</v>
      </c>
      <c r="J164" s="36">
        <v>161</v>
      </c>
      <c r="K164" s="37">
        <f>Tableau!$G$36*COS(J164*PI()/180)+Tableau!$G$35</f>
        <v>-9727.5928779965834</v>
      </c>
      <c r="L164" s="37">
        <f>Tableau!$G$36*SIN(J164*PI()/180)+Tableau!$H$35</f>
        <v>-13372.159227714215</v>
      </c>
      <c r="N164" s="92">
        <v>160</v>
      </c>
      <c r="O164" s="93">
        <v>80</v>
      </c>
      <c r="P164" s="96">
        <f>P163+R163*Tableau!$G$2+((1/2)*T163)*Tableau!$G$2^2</f>
        <v>-5210900.4912135368</v>
      </c>
      <c r="Q164" s="96">
        <f>Q163+S163*Tableau!$G$2+((1/2)*U163)*Tableau!$G$2^2</f>
        <v>2541335.456743374</v>
      </c>
      <c r="R164" s="96">
        <f>R163+T163*Tableau!$G$2</f>
        <v>-68699.937278116951</v>
      </c>
      <c r="S164" s="96">
        <f>S163+U163*Tableau!$G$2</f>
        <v>33801.576477369599</v>
      </c>
      <c r="T164" s="96">
        <f t="shared" si="4"/>
        <v>3.2761359069119665E-2</v>
      </c>
      <c r="U164" s="96">
        <f t="shared" si="5"/>
        <v>-1.5978151209378927E-2</v>
      </c>
      <c r="V164" s="96">
        <f>((Tableau!$G$16-P164)/(AC164^2+Tableau!$G$21^2)^(3/2))*Tableau!$G$20</f>
        <v>1.3948729841665163E-2</v>
      </c>
      <c r="W164" s="96">
        <f>((Tableau!$H$16-Q164)/(AC164^2+Tableau!$G$21^2)^(3/2))*Tableau!$G$20</f>
        <v>-6.7567307595916507E-3</v>
      </c>
      <c r="X164" s="96">
        <f>((Tableau!$G$25-P164)/(AD164^2+Tableau!$G$30^2)^(3/2))*Tableau!$G$29</f>
        <v>4.8398399360447125E-3</v>
      </c>
      <c r="Y164" s="96">
        <f>((Tableau!$H$25-Q164)/(AD164^2+Tableau!$G$30^2)^(3/2))*Tableau!$G$29</f>
        <v>-2.3601412617733392E-3</v>
      </c>
      <c r="Z164" s="96">
        <f>((Tableau!$G$35-P164)/(AE164^2+Tableau!$G$40^2)^(3/2))*Tableau!$G$39</f>
        <v>1.3972789291409793E-2</v>
      </c>
      <c r="AA164" s="97">
        <f>((Tableau!$H$35-Q164)/(AE164^2+Tableau!$G$40^2)^(3/2))*Tableau!$G$39</f>
        <v>-6.8612791880139383E-3</v>
      </c>
      <c r="AC164" s="110">
        <f>SQRT((Tableau!$G$16-P164)^2+(Tableau!$H$16-Q164)^2)</f>
        <v>5812283.722499094</v>
      </c>
      <c r="AD164" s="111">
        <f>SQRT((Tableau!$G$25-P164)^2+(Tableau!$H$25-Q164)^2)</f>
        <v>5775214.8968022931</v>
      </c>
      <c r="AE164" s="112">
        <f>SQRT((Tableau!$G$35-P164)^2+(Tableau!$H$35-Q164)^2)</f>
        <v>5799676.7920135604</v>
      </c>
    </row>
    <row r="165" spans="2:31" x14ac:dyDescent="0.25">
      <c r="B165" s="18">
        <v>162</v>
      </c>
      <c r="C165" s="19">
        <f>Tableau!$G$17*COS(B165*PI()/180)+Tableau!$G$16</f>
        <v>15244.717418524233</v>
      </c>
      <c r="D165" s="19">
        <f>Tableau!$G$17*SIN(B165*PI()/180)+Tableau!$H$16</f>
        <v>9045.0849718747377</v>
      </c>
      <c r="F165" s="26">
        <v>162</v>
      </c>
      <c r="G165" s="27">
        <f>Tableau!$G$26*COS(F165*PI()/180)+Tableau!$G$25</f>
        <v>-23328.697807033037</v>
      </c>
      <c r="H165" s="27">
        <f>Tableau!$G$26*SIN(F165*PI()/180)+Tableau!$H$25</f>
        <v>11081.559480312317</v>
      </c>
      <c r="J165" s="34">
        <v>162</v>
      </c>
      <c r="K165" s="35">
        <f>Tableau!$G$36*COS(J165*PI()/180)+Tableau!$G$35</f>
        <v>-9755.2825814757671</v>
      </c>
      <c r="L165" s="35">
        <f>Tableau!$G$36*SIN(J165*PI()/180)+Tableau!$H$35</f>
        <v>-13454.915028125262</v>
      </c>
      <c r="N165" s="98">
        <v>161</v>
      </c>
      <c r="O165" s="99">
        <v>80.5</v>
      </c>
      <c r="P165" s="101">
        <f>P164+R164*Tableau!$G$2+((1/2)*T164)*Tableau!$G$2^2</f>
        <v>-5245250.4557574252</v>
      </c>
      <c r="Q165" s="101">
        <f>Q164+S164*Tableau!$G$2+((1/2)*U164)*Tableau!$G$2^2</f>
        <v>2558236.2429847899</v>
      </c>
      <c r="R165" s="101">
        <f>R164+T164*Tableau!$G$2</f>
        <v>-68699.92089743742</v>
      </c>
      <c r="S165" s="101">
        <f>S164+U164*Tableau!$G$2</f>
        <v>33801.568488293997</v>
      </c>
      <c r="T165" s="101">
        <f t="shared" si="4"/>
        <v>3.2332873510373339E-2</v>
      </c>
      <c r="U165" s="101">
        <f t="shared" si="5"/>
        <v>-1.5770081966959251E-2</v>
      </c>
      <c r="V165" s="101">
        <f>((Tableau!$G$16-P165)/(AC165^2+Tableau!$G$21^2)^(3/2))*Tableau!$G$20</f>
        <v>1.3766517739008317E-2</v>
      </c>
      <c r="W165" s="101">
        <f>((Tableau!$H$16-Q165)/(AC165^2+Tableau!$G$21^2)^(3/2))*Tableau!$G$20</f>
        <v>-6.6691520245127931E-3</v>
      </c>
      <c r="X165" s="101">
        <f>((Tableau!$G$25-P165)/(AD165^2+Tableau!$G$30^2)^(3/2))*Tableau!$G$29</f>
        <v>4.7762542822517191E-3</v>
      </c>
      <c r="Y165" s="101">
        <f>((Tableau!$H$25-Q165)/(AD165^2+Tableau!$G$30^2)^(3/2))*Tableau!$G$29</f>
        <v>-2.3292709834290396E-3</v>
      </c>
      <c r="Z165" s="101">
        <f>((Tableau!$G$35-P165)/(AE165^2+Tableau!$G$40^2)^(3/2))*Tableau!$G$39</f>
        <v>1.3790101489113303E-2</v>
      </c>
      <c r="AA165" s="102">
        <f>((Tableau!$H$35-Q165)/(AE165^2+Tableau!$G$40^2)^(3/2))*Tableau!$G$39</f>
        <v>-6.7716589590174174E-3</v>
      </c>
      <c r="AC165" s="113">
        <f>SQRT((Tableau!$G$16-P165)^2+(Tableau!$H$16-Q165)^2)</f>
        <v>5850565.5917295665</v>
      </c>
      <c r="AD165" s="114">
        <f>SQRT((Tableau!$G$25-P165)^2+(Tableau!$H$25-Q165)^2)</f>
        <v>5813497.2499739276</v>
      </c>
      <c r="AE165" s="115">
        <f>SQRT((Tableau!$G$35-P165)^2+(Tableau!$H$35-Q165)^2)</f>
        <v>5837959.3696150696</v>
      </c>
    </row>
    <row r="166" spans="2:31" x14ac:dyDescent="0.25">
      <c r="B166" s="20">
        <v>163</v>
      </c>
      <c r="C166" s="21">
        <f>Tableau!$G$17*COS(B166*PI()/180)+Tableau!$G$16</f>
        <v>15218.476220184823</v>
      </c>
      <c r="D166" s="21">
        <f>Tableau!$G$17*SIN(B166*PI()/180)+Tableau!$H$16</f>
        <v>8961.858523613686</v>
      </c>
      <c r="F166" s="28">
        <v>163</v>
      </c>
      <c r="G166" s="29">
        <f>Tableau!$G$26*COS(F166*PI()/180)+Tableau!$G$25</f>
        <v>-23347.066645870626</v>
      </c>
      <c r="H166" s="29">
        <f>Tableau!$G$26*SIN(F166*PI()/180)+Tableau!$H$25</f>
        <v>11023.300966529579</v>
      </c>
      <c r="J166" s="36">
        <v>163</v>
      </c>
      <c r="K166" s="37">
        <f>Tableau!$G$36*COS(J166*PI()/180)+Tableau!$G$35</f>
        <v>-9781.5237798151775</v>
      </c>
      <c r="L166" s="37">
        <f>Tableau!$G$36*SIN(J166*PI()/180)+Tableau!$H$35</f>
        <v>-13538.141476386314</v>
      </c>
      <c r="N166" s="92">
        <v>162</v>
      </c>
      <c r="O166" s="93">
        <v>81</v>
      </c>
      <c r="P166" s="96">
        <f>P165+R165*Tableau!$G$2+((1/2)*T165)*Tableau!$G$2^2</f>
        <v>-5279600.4121645344</v>
      </c>
      <c r="Q166" s="96">
        <f>Q165+S165*Tableau!$G$2+((1/2)*U165)*Tableau!$G$2^2</f>
        <v>2575137.0252576768</v>
      </c>
      <c r="R166" s="96">
        <f>R165+T165*Tableau!$G$2</f>
        <v>-68699.904731000657</v>
      </c>
      <c r="S166" s="96">
        <f>S165+U165*Tableau!$G$2</f>
        <v>33801.560603253012</v>
      </c>
      <c r="T166" s="96">
        <f t="shared" si="4"/>
        <v>3.1912739592525295E-2</v>
      </c>
      <c r="U166" s="96">
        <f t="shared" si="5"/>
        <v>-1.556605067038935E-2</v>
      </c>
      <c r="V166" s="96">
        <f>((Tableau!$G$16-P166)/(AC166^2+Tableau!$G$21^2)^(3/2))*Tableau!$G$20</f>
        <v>1.3587852776897363E-2</v>
      </c>
      <c r="W166" s="96">
        <f>((Tableau!$H$16-Q166)/(AC166^2+Tableau!$G$21^2)^(3/2))*Tableau!$G$20</f>
        <v>-6.5832649955324292E-3</v>
      </c>
      <c r="X166" s="96">
        <f>((Tableau!$G$25-P166)/(AD166^2+Tableau!$G$30^2)^(3/2))*Tableau!$G$29</f>
        <v>4.713913531797979E-3</v>
      </c>
      <c r="Y166" s="96">
        <f>((Tableau!$H$25-Q166)/(AD166^2+Tableau!$G$30^2)^(3/2))*Tableau!$G$29</f>
        <v>-2.2990024311185095E-3</v>
      </c>
      <c r="Z166" s="96">
        <f>((Tableau!$G$35-P166)/(AE166^2+Tableau!$G$40^2)^(3/2))*Tableau!$G$39</f>
        <v>1.3610973283829951E-2</v>
      </c>
      <c r="AA166" s="97">
        <f>((Tableau!$H$35-Q166)/(AE166^2+Tableau!$G$40^2)^(3/2))*Tableau!$G$39</f>
        <v>-6.6837832437384092E-3</v>
      </c>
      <c r="AC166" s="110">
        <f>SQRT((Tableau!$G$16-P166)^2+(Tableau!$H$16-Q166)^2)</f>
        <v>5888847.4612685116</v>
      </c>
      <c r="AD166" s="111">
        <f>SQRT((Tableau!$G$25-P166)^2+(Tableau!$H$25-Q166)^2)</f>
        <v>5851779.5971814543</v>
      </c>
      <c r="AE166" s="112">
        <f>SQRT((Tableau!$G$35-P166)^2+(Tableau!$H$35-Q166)^2)</f>
        <v>5876241.9383154204</v>
      </c>
    </row>
    <row r="167" spans="2:31" x14ac:dyDescent="0.25">
      <c r="B167" s="18">
        <v>164</v>
      </c>
      <c r="C167" s="19">
        <f>Tableau!$G$17*COS(B167*PI()/180)+Tableau!$G$16</f>
        <v>15193.691520308406</v>
      </c>
      <c r="D167" s="19">
        <f>Tableau!$G$17*SIN(B167*PI()/180)+Tableau!$H$16</f>
        <v>8878.1867790849974</v>
      </c>
      <c r="F167" s="26">
        <v>164</v>
      </c>
      <c r="G167" s="27">
        <f>Tableau!$G$26*COS(F167*PI()/180)+Tableau!$G$25</f>
        <v>-23364.415935784116</v>
      </c>
      <c r="H167" s="27">
        <f>Tableau!$G$26*SIN(F167*PI()/180)+Tableau!$H$25</f>
        <v>10964.730745359499</v>
      </c>
      <c r="J167" s="34">
        <v>164</v>
      </c>
      <c r="K167" s="35">
        <f>Tableau!$G$36*COS(J167*PI()/180)+Tableau!$G$35</f>
        <v>-9806.3084796915937</v>
      </c>
      <c r="L167" s="35">
        <f>Tableau!$G$36*SIN(J167*PI()/180)+Tableau!$H$35</f>
        <v>-13621.813220915003</v>
      </c>
      <c r="N167" s="98">
        <v>163</v>
      </c>
      <c r="O167" s="99">
        <v>81.5</v>
      </c>
      <c r="P167" s="101">
        <f>P166+R166*Tableau!$G$2+((1/2)*T166)*Tableau!$G$2^2</f>
        <v>-5313950.3605409423</v>
      </c>
      <c r="Q167" s="101">
        <f>Q166+S166*Tableau!$G$2+((1/2)*U166)*Tableau!$G$2^2</f>
        <v>2592037.8036135468</v>
      </c>
      <c r="R167" s="101">
        <f>R166+T166*Tableau!$G$2</f>
        <v>-68699.888774630861</v>
      </c>
      <c r="S167" s="101">
        <f>S166+U166*Tableau!$G$2</f>
        <v>33801.552820227676</v>
      </c>
      <c r="T167" s="101">
        <f t="shared" si="4"/>
        <v>3.150074167357686E-2</v>
      </c>
      <c r="U167" s="101">
        <f t="shared" si="5"/>
        <v>-1.5365953507378717E-2</v>
      </c>
      <c r="V167" s="101">
        <f>((Tableau!$G$16-P167)/(AC167^2+Tableau!$G$21^2)^(3/2))*Tableau!$G$20</f>
        <v>1.3412643480244025E-2</v>
      </c>
      <c r="W167" s="101">
        <f>((Tableau!$H$16-Q167)/(AC167^2+Tableau!$G$21^2)^(3/2))*Tableau!$G$20</f>
        <v>-6.4990263834337316E-3</v>
      </c>
      <c r="X167" s="101">
        <f>((Tableau!$G$25-P167)/(AD167^2+Tableau!$G$30^2)^(3/2))*Tableau!$G$29</f>
        <v>4.6527853978697445E-3</v>
      </c>
      <c r="Y167" s="101">
        <f>((Tableau!$H$25-Q167)/(AD167^2+Tableau!$G$30^2)^(3/2))*Tableau!$G$29</f>
        <v>-2.2693200674766445E-3</v>
      </c>
      <c r="Z167" s="101">
        <f>((Tableau!$G$35-P167)/(AE167^2+Tableau!$G$40^2)^(3/2))*Tableau!$G$39</f>
        <v>1.3435312795463087E-2</v>
      </c>
      <c r="AA167" s="102">
        <f>((Tableau!$H$35-Q167)/(AE167^2+Tableau!$G$40^2)^(3/2))*Tableau!$G$39</f>
        <v>-6.5976070564683414E-3</v>
      </c>
      <c r="AC167" s="113">
        <f>SQRT((Tableau!$G$16-P167)^2+(Tableau!$H$16-Q167)^2)</f>
        <v>5927129.3310524598</v>
      </c>
      <c r="AD167" s="114">
        <f>SQRT((Tableau!$G$25-P167)^2+(Tableau!$H$25-Q167)^2)</f>
        <v>5890061.9384825695</v>
      </c>
      <c r="AE167" s="115">
        <f>SQRT((Tableau!$G$35-P167)^2+(Tableau!$H$35-Q167)^2)</f>
        <v>5914524.4982295865</v>
      </c>
    </row>
    <row r="168" spans="2:31" x14ac:dyDescent="0.25">
      <c r="B168" s="20">
        <v>165</v>
      </c>
      <c r="C168" s="21">
        <f>Tableau!$G$17*COS(B168*PI()/180)+Tableau!$G$16</f>
        <v>15170.370868554659</v>
      </c>
      <c r="D168" s="21">
        <f>Tableau!$G$17*SIN(B168*PI()/180)+Tableau!$H$16</f>
        <v>8794.0952255126049</v>
      </c>
      <c r="F168" s="28">
        <v>165</v>
      </c>
      <c r="G168" s="29">
        <f>Tableau!$G$26*COS(F168*PI()/180)+Tableau!$G$25</f>
        <v>-23380.740392011739</v>
      </c>
      <c r="H168" s="29">
        <f>Tableau!$G$26*SIN(F168*PI()/180)+Tableau!$H$25</f>
        <v>10905.866657858824</v>
      </c>
      <c r="J168" s="36">
        <v>165</v>
      </c>
      <c r="K168" s="37">
        <f>Tableau!$G$36*COS(J168*PI()/180)+Tableau!$G$35</f>
        <v>-9829.629131445341</v>
      </c>
      <c r="L168" s="37">
        <f>Tableau!$G$36*SIN(J168*PI()/180)+Tableau!$H$35</f>
        <v>-13705.904774487395</v>
      </c>
      <c r="N168" s="92">
        <v>164</v>
      </c>
      <c r="O168" s="93">
        <v>82</v>
      </c>
      <c r="P168" s="96">
        <f>P167+R167*Tableau!$G$2+((1/2)*T167)*Tableau!$G$2^2</f>
        <v>-5348300.3009906653</v>
      </c>
      <c r="Q168" s="96">
        <f>Q167+S167*Tableau!$G$2+((1/2)*U167)*Tableau!$G$2^2</f>
        <v>2608938.5781029165</v>
      </c>
      <c r="R168" s="96">
        <f>R167+T167*Tableau!$G$2</f>
        <v>-68699.873024260029</v>
      </c>
      <c r="S168" s="96">
        <f>S167+U167*Tableau!$G$2</f>
        <v>33801.54513725092</v>
      </c>
      <c r="T168" s="96">
        <f t="shared" si="4"/>
        <v>3.1096671026804048E-2</v>
      </c>
      <c r="U168" s="96">
        <f t="shared" si="5"/>
        <v>-1.5169689980466677E-2</v>
      </c>
      <c r="V168" s="96">
        <f>((Tableau!$G$16-P168)/(AC168^2+Tableau!$G$21^2)^(3/2))*Tableau!$G$20</f>
        <v>1.3240801303768743E-2</v>
      </c>
      <c r="W168" s="96">
        <f>((Tableau!$H$16-Q168)/(AC168^2+Tableau!$G$21^2)^(3/2))*Tableau!$G$20</f>
        <v>-6.4163942747880376E-3</v>
      </c>
      <c r="X168" s="96">
        <f>((Tableau!$G$25-P168)/(AD168^2+Tableau!$G$30^2)^(3/2))*Tableau!$G$29</f>
        <v>4.5928386336132453E-3</v>
      </c>
      <c r="Y168" s="96">
        <f>((Tableau!$H$25-Q168)/(AD168^2+Tableau!$G$30^2)^(3/2))*Tableau!$G$29</f>
        <v>-2.2402088534085912E-3</v>
      </c>
      <c r="Z168" s="96">
        <f>((Tableau!$G$35-P168)/(AE168^2+Tableau!$G$40^2)^(3/2))*Tableau!$G$39</f>
        <v>1.3263031089422058E-2</v>
      </c>
      <c r="AA168" s="97">
        <f>((Tableau!$H$35-Q168)/(AE168^2+Tableau!$G$40^2)^(3/2))*Tableau!$G$39</f>
        <v>-6.5130868522700475E-3</v>
      </c>
      <c r="AC168" s="110">
        <f>SQRT((Tableau!$G$16-P168)^2+(Tableau!$H$16-Q168)^2)</f>
        <v>5965411.2010203116</v>
      </c>
      <c r="AD168" s="111">
        <f>SQRT((Tableau!$G$25-P168)^2+(Tableau!$H$25-Q168)^2)</f>
        <v>5928344.2739342339</v>
      </c>
      <c r="AE168" s="112">
        <f>SQRT((Tableau!$G$35-P168)^2+(Tableau!$H$35-Q168)^2)</f>
        <v>5952807.0494703325</v>
      </c>
    </row>
    <row r="169" spans="2:31" x14ac:dyDescent="0.25">
      <c r="B169" s="18">
        <v>166</v>
      </c>
      <c r="C169" s="19">
        <f>Tableau!$G$17*COS(B169*PI()/180)+Tableau!$G$16</f>
        <v>15148.521368620019</v>
      </c>
      <c r="D169" s="19">
        <f>Tableau!$G$17*SIN(B169*PI()/180)+Tableau!$H$16</f>
        <v>8709.6094779983396</v>
      </c>
      <c r="F169" s="26">
        <v>166</v>
      </c>
      <c r="G169" s="27">
        <f>Tableau!$G$26*COS(F169*PI()/180)+Tableau!$G$25</f>
        <v>-23396.035041965988</v>
      </c>
      <c r="H169" s="27">
        <f>Tableau!$G$26*SIN(F169*PI()/180)+Tableau!$H$25</f>
        <v>10846.726634598837</v>
      </c>
      <c r="J169" s="34">
        <v>166</v>
      </c>
      <c r="K169" s="35">
        <f>Tableau!$G$36*COS(J169*PI()/180)+Tableau!$G$35</f>
        <v>-9851.4786313799814</v>
      </c>
      <c r="L169" s="35">
        <f>Tableau!$G$36*SIN(J169*PI()/180)+Tableau!$H$35</f>
        <v>-13790.39052200166</v>
      </c>
      <c r="N169" s="98">
        <v>165</v>
      </c>
      <c r="O169" s="99">
        <v>82.5</v>
      </c>
      <c r="P169" s="101">
        <f>P168+R168*Tableau!$G$2+((1/2)*T168)*Tableau!$G$2^2</f>
        <v>-5382650.2336157113</v>
      </c>
      <c r="Q169" s="101">
        <f>Q168+S168*Tableau!$G$2+((1/2)*U168)*Tableau!$G$2^2</f>
        <v>2625839.3487753305</v>
      </c>
      <c r="R169" s="101">
        <f>R168+T168*Tableau!$G$2</f>
        <v>-68699.857475924509</v>
      </c>
      <c r="S169" s="101">
        <f>S168+U168*Tableau!$G$2</f>
        <v>33801.537552405927</v>
      </c>
      <c r="T169" s="101">
        <f t="shared" si="4"/>
        <v>3.070032557634151E-2</v>
      </c>
      <c r="U169" s="101">
        <f t="shared" si="5"/>
        <v>-1.4977162780814741E-2</v>
      </c>
      <c r="V169" s="101">
        <f>((Tableau!$G$16-P169)/(AC169^2+Tableau!$G$21^2)^(3/2))*Tableau!$G$20</f>
        <v>1.3072240520114494E-2</v>
      </c>
      <c r="W169" s="101">
        <f>((Tableau!$H$16-Q169)/(AC169^2+Tableau!$G$21^2)^(3/2))*Tableau!$G$20</f>
        <v>-6.3353280798198837E-3</v>
      </c>
      <c r="X169" s="101">
        <f>((Tableau!$G$25-P169)/(AD169^2+Tableau!$G$30^2)^(3/2))*Tableau!$G$29</f>
        <v>4.5340429921956332E-3</v>
      </c>
      <c r="Y169" s="101">
        <f>((Tableau!$H$25-Q169)/(AD169^2+Tableau!$G$30^2)^(3/2))*Tableau!$G$29</f>
        <v>-2.2116542290373602E-3</v>
      </c>
      <c r="Z169" s="101">
        <f>((Tableau!$G$35-P169)/(AE169^2+Tableau!$G$40^2)^(3/2))*Tableau!$G$39</f>
        <v>1.3094042064031385E-2</v>
      </c>
      <c r="AA169" s="102">
        <f>((Tableau!$H$35-Q169)/(AE169^2+Tableau!$G$40^2)^(3/2))*Tableau!$G$39</f>
        <v>-6.430180471957498E-3</v>
      </c>
      <c r="AC169" s="113">
        <f>SQRT((Tableau!$G$16-P169)^2+(Tableau!$H$16-Q169)^2)</f>
        <v>6003693.071113239</v>
      </c>
      <c r="AD169" s="114">
        <f>SQRT((Tableau!$G$25-P169)^2+(Tableau!$H$25-Q169)^2)</f>
        <v>5966626.6035926864</v>
      </c>
      <c r="AE169" s="115">
        <f>SQRT((Tableau!$G$35-P169)^2+(Tableau!$H$35-Q169)^2)</f>
        <v>5991089.5921482621</v>
      </c>
    </row>
    <row r="170" spans="2:31" x14ac:dyDescent="0.25">
      <c r="B170" s="20">
        <v>167</v>
      </c>
      <c r="C170" s="21">
        <f>Tableau!$G$17*COS(B170*PI()/180)+Tableau!$G$16</f>
        <v>15128.149676073823</v>
      </c>
      <c r="D170" s="21">
        <f>Tableau!$G$17*SIN(B170*PI()/180)+Tableau!$H$16</f>
        <v>8624.7552717193248</v>
      </c>
      <c r="F170" s="28">
        <v>167</v>
      </c>
      <c r="G170" s="29">
        <f>Tableau!$G$26*COS(F170*PI()/180)+Tableau!$G$25</f>
        <v>-23410.295226748323</v>
      </c>
      <c r="H170" s="29">
        <f>Tableau!$G$26*SIN(F170*PI()/180)+Tableau!$H$25</f>
        <v>10787.328690203527</v>
      </c>
      <c r="J170" s="36">
        <v>167</v>
      </c>
      <c r="K170" s="37">
        <f>Tableau!$G$36*COS(J170*PI()/180)+Tableau!$G$35</f>
        <v>-9871.8503239261772</v>
      </c>
      <c r="L170" s="37">
        <f>Tableau!$G$36*SIN(J170*PI()/180)+Tableau!$H$35</f>
        <v>-13875.244728280675</v>
      </c>
      <c r="N170" s="92">
        <v>166</v>
      </c>
      <c r="O170" s="93">
        <v>83</v>
      </c>
      <c r="P170" s="96">
        <f>P169+R169*Tableau!$G$2+((1/2)*T169)*Tableau!$G$2^2</f>
        <v>-5417000.1585161332</v>
      </c>
      <c r="Q170" s="96">
        <f>Q169+S169*Tableau!$G$2+((1/2)*U169)*Tableau!$G$2^2</f>
        <v>2642740.1156793879</v>
      </c>
      <c r="R170" s="96">
        <f>R169+T169*Tableau!$G$2</f>
        <v>-68699.842125761716</v>
      </c>
      <c r="S170" s="96">
        <f>S169+U169*Tableau!$G$2</f>
        <v>33801.530063824539</v>
      </c>
      <c r="T170" s="96">
        <f t="shared" si="4"/>
        <v>3.0311509644486645E-2</v>
      </c>
      <c r="U170" s="96">
        <f t="shared" si="5"/>
        <v>-1.4788277667569464E-2</v>
      </c>
      <c r="V170" s="96">
        <f>((Tableau!$G$16-P170)/(AC170^2+Tableau!$G$21^2)^(3/2))*Tableau!$G$20</f>
        <v>1.2906878112914116E-2</v>
      </c>
      <c r="W170" s="96">
        <f>((Tableau!$H$16-Q170)/(AC170^2+Tableau!$G$21^2)^(3/2))*Tableau!$G$20</f>
        <v>-6.2557884825624709E-3</v>
      </c>
      <c r="X170" s="96">
        <f>((Tableau!$G$25-P170)/(AD170^2+Tableau!$G$30^2)^(3/2))*Tableau!$G$29</f>
        <v>4.47636918864373E-3</v>
      </c>
      <c r="Y170" s="96">
        <f>((Tableau!$H$25-Q170)/(AD170^2+Tableau!$G$30^2)^(3/2))*Tableau!$G$29</f>
        <v>-2.1836420954958386E-3</v>
      </c>
      <c r="Z170" s="96">
        <f>((Tableau!$G$35-P170)/(AE170^2+Tableau!$G$40^2)^(3/2))*Tableau!$G$39</f>
        <v>1.2928262342928799E-2</v>
      </c>
      <c r="AA170" s="97">
        <f>((Tableau!$H$35-Q170)/(AE170^2+Tableau!$G$40^2)^(3/2))*Tableau!$G$39</f>
        <v>-6.3488470895111558E-3</v>
      </c>
      <c r="AC170" s="110">
        <f>SQRT((Tableau!$G$16-P170)^2+(Tableau!$H$16-Q170)^2)</f>
        <v>6041974.9412746141</v>
      </c>
      <c r="AD170" s="111">
        <f>SQRT((Tableau!$G$25-P170)^2+(Tableau!$H$25-Q170)^2)</f>
        <v>6004908.9275134467</v>
      </c>
      <c r="AE170" s="112">
        <f>SQRT((Tableau!$G$35-P170)^2+(Tableau!$H$35-Q170)^2)</f>
        <v>6029372.1263718782</v>
      </c>
    </row>
    <row r="171" spans="2:31" x14ac:dyDescent="0.25">
      <c r="B171" s="18">
        <v>168</v>
      </c>
      <c r="C171" s="19">
        <f>Tableau!$G$17*COS(B171*PI()/180)+Tableau!$G$16</f>
        <v>15109.261996330972</v>
      </c>
      <c r="D171" s="19">
        <f>Tableau!$G$17*SIN(B171*PI()/180)+Tableau!$H$16</f>
        <v>8539.5584540887976</v>
      </c>
      <c r="F171" s="26">
        <v>168</v>
      </c>
      <c r="G171" s="27">
        <f>Tableau!$G$26*COS(F171*PI()/180)+Tableau!$G$25</f>
        <v>-23423.516602568321</v>
      </c>
      <c r="H171" s="27">
        <f>Tableau!$G$26*SIN(F171*PI()/180)+Tableau!$H$25</f>
        <v>10727.690917862157</v>
      </c>
      <c r="J171" s="34">
        <v>168</v>
      </c>
      <c r="K171" s="35">
        <f>Tableau!$G$36*COS(J171*PI()/180)+Tableau!$G$35</f>
        <v>-9890.7380036690283</v>
      </c>
      <c r="L171" s="35">
        <f>Tableau!$G$36*SIN(J171*PI()/180)+Tableau!$H$35</f>
        <v>-13960.441545911202</v>
      </c>
      <c r="N171" s="98">
        <v>167</v>
      </c>
      <c r="O171" s="99">
        <v>83.5</v>
      </c>
      <c r="P171" s="101">
        <f>P170+R170*Tableau!$G$2+((1/2)*T170)*Tableau!$G$2^2</f>
        <v>-5451350.0757900756</v>
      </c>
      <c r="Q171" s="101">
        <f>Q170+S170*Tableau!$G$2+((1/2)*U170)*Tableau!$G$2^2</f>
        <v>2659640.8788627656</v>
      </c>
      <c r="R171" s="101">
        <f>R170+T170*Tableau!$G$2</f>
        <v>-68699.826970006892</v>
      </c>
      <c r="S171" s="101">
        <f>S170+U170*Tableau!$G$2</f>
        <v>33801.522669685706</v>
      </c>
      <c r="T171" s="101">
        <f t="shared" si="4"/>
        <v>2.9930033710133745E-2</v>
      </c>
      <c r="U171" s="101">
        <f t="shared" si="5"/>
        <v>-1.4602943352516329E-2</v>
      </c>
      <c r="V171" s="101">
        <f>((Tableau!$G$16-P171)/(AC171^2+Tableau!$G$21^2)^(3/2))*Tableau!$G$20</f>
        <v>1.2744633674561724E-2</v>
      </c>
      <c r="W171" s="101">
        <f>((Tableau!$H$16-Q171)/(AC171^2+Tableau!$G$21^2)^(3/2))*Tableau!$G$20</f>
        <v>-6.1777373931890577E-3</v>
      </c>
      <c r="X171" s="101">
        <f>((Tableau!$G$25-P171)/(AD171^2+Tableau!$G$30^2)^(3/2))*Tableau!$G$29</f>
        <v>4.4197888633713154E-3</v>
      </c>
      <c r="Y171" s="101">
        <f>((Tableau!$H$25-Q171)/(AD171^2+Tableau!$G$30^2)^(3/2))*Tableau!$G$29</f>
        <v>-2.1561587975209837E-3</v>
      </c>
      <c r="Z171" s="101">
        <f>((Tableau!$G$35-P171)/(AE171^2+Tableau!$G$40^2)^(3/2))*Tableau!$G$39</f>
        <v>1.2765611172200705E-2</v>
      </c>
      <c r="AA171" s="102">
        <f>((Tableau!$H$35-Q171)/(AE171^2+Tableau!$G$40^2)^(3/2))*Tableau!$G$39</f>
        <v>-6.2690471618062878E-3</v>
      </c>
      <c r="AC171" s="113">
        <f>SQRT((Tableau!$G$16-P171)^2+(Tableau!$H$16-Q171)^2)</f>
        <v>6080256.8114499105</v>
      </c>
      <c r="AD171" s="114">
        <f>SQRT((Tableau!$G$25-P171)^2+(Tableau!$H$25-Q171)^2)</f>
        <v>6043191.2457513297</v>
      </c>
      <c r="AE171" s="115">
        <f>SQRT((Tableau!$G$35-P171)^2+(Tableau!$H$35-Q171)^2)</f>
        <v>6067654.6522476338</v>
      </c>
    </row>
    <row r="172" spans="2:31" x14ac:dyDescent="0.25">
      <c r="B172" s="20">
        <v>169</v>
      </c>
      <c r="C172" s="21">
        <f>Tableau!$G$17*COS(B172*PI()/180)+Tableau!$G$16</f>
        <v>15091.86408276168</v>
      </c>
      <c r="D172" s="21">
        <f>Tableau!$G$17*SIN(B172*PI()/180)+Tableau!$H$16</f>
        <v>8454.0449768827257</v>
      </c>
      <c r="F172" s="28">
        <v>169</v>
      </c>
      <c r="G172" s="29">
        <f>Tableau!$G$26*COS(F172*PI()/180)+Tableau!$G$25</f>
        <v>-23435.695142066823</v>
      </c>
      <c r="H172" s="29">
        <f>Tableau!$G$26*SIN(F172*PI()/180)+Tableau!$H$25</f>
        <v>10667.831483817907</v>
      </c>
      <c r="J172" s="36">
        <v>169</v>
      </c>
      <c r="K172" s="37">
        <f>Tableau!$G$36*COS(J172*PI()/180)+Tableau!$G$35</f>
        <v>-9908.13591723832</v>
      </c>
      <c r="L172" s="37">
        <f>Tableau!$G$36*SIN(J172*PI()/180)+Tableau!$H$35</f>
        <v>-14045.955023117274</v>
      </c>
      <c r="N172" s="92">
        <v>168</v>
      </c>
      <c r="O172" s="93">
        <v>84</v>
      </c>
      <c r="P172" s="96">
        <f>P171+R171*Tableau!$G$2+((1/2)*T171)*Tableau!$G$2^2</f>
        <v>-5485699.9855338251</v>
      </c>
      <c r="Q172" s="96">
        <f>Q171+S171*Tableau!$G$2+((1/2)*U171)*Tableau!$G$2^2</f>
        <v>2676541.6383722406</v>
      </c>
      <c r="R172" s="96">
        <f>R171+T171*Tableau!$G$2</f>
        <v>-68699.812004990032</v>
      </c>
      <c r="S172" s="96">
        <f>S171+U171*Tableau!$G$2</f>
        <v>33801.51536821403</v>
      </c>
      <c r="T172" s="96">
        <f t="shared" si="4"/>
        <v>2.9555714177783257E-2</v>
      </c>
      <c r="U172" s="96">
        <f t="shared" si="5"/>
        <v>-1.4421071389762084E-2</v>
      </c>
      <c r="V172" s="96">
        <f>((Tableau!$G$16-P172)/(AC172^2+Tableau!$G$21^2)^(3/2))*Tableau!$G$20</f>
        <v>1.2585429308453031E-2</v>
      </c>
      <c r="W172" s="96">
        <f>((Tableau!$H$16-Q172)/(AC172^2+Tableau!$G$21^2)^(3/2))*Tableau!$G$20</f>
        <v>-6.1011379024123397E-3</v>
      </c>
      <c r="X172" s="96">
        <f>((Tableau!$G$25-P172)/(AD172^2+Tableau!$G$30^2)^(3/2))*Tableau!$G$29</f>
        <v>4.3642745473095766E-3</v>
      </c>
      <c r="Y172" s="96">
        <f>((Tableau!$H$25-Q172)/(AD172^2+Tableau!$G$30^2)^(3/2))*Tableau!$G$29</f>
        <v>-2.1291911068098135E-3</v>
      </c>
      <c r="Z172" s="96">
        <f>((Tableau!$G$35-P172)/(AE172^2+Tableau!$G$40^2)^(3/2))*Tableau!$G$39</f>
        <v>1.2606010322020652E-2</v>
      </c>
      <c r="AA172" s="97">
        <f>((Tableau!$H$35-Q172)/(AE172^2+Tableau!$G$40^2)^(3/2))*Tableau!$G$39</f>
        <v>-6.190742380539932E-3</v>
      </c>
      <c r="AC172" s="110">
        <f>SQRT((Tableau!$G$16-P172)^2+(Tableau!$H$16-Q172)^2)</f>
        <v>6118538.6815866362</v>
      </c>
      <c r="AD172" s="111">
        <f>SQRT((Tableau!$G$25-P172)^2+(Tableau!$H$25-Q172)^2)</f>
        <v>6081473.5583604546</v>
      </c>
      <c r="AE172" s="112">
        <f>SQRT((Tableau!$G$35-P172)^2+(Tableau!$H$35-Q172)^2)</f>
        <v>6105937.169879985</v>
      </c>
    </row>
    <row r="173" spans="2:31" x14ac:dyDescent="0.25">
      <c r="B173" s="18">
        <v>170</v>
      </c>
      <c r="C173" s="19">
        <f>Tableau!$G$17*COS(B173*PI()/180)+Tableau!$G$16</f>
        <v>15075.961234938961</v>
      </c>
      <c r="D173" s="19">
        <f>Tableau!$G$17*SIN(B173*PI()/180)+Tableau!$H$16</f>
        <v>8368.2408883346507</v>
      </c>
      <c r="F173" s="26">
        <v>170</v>
      </c>
      <c r="G173" s="27">
        <f>Tableau!$G$26*COS(F173*PI()/180)+Tableau!$G$25</f>
        <v>-23446.827135542728</v>
      </c>
      <c r="H173" s="27">
        <f>Tableau!$G$26*SIN(F173*PI()/180)+Tableau!$H$25</f>
        <v>10607.768621834257</v>
      </c>
      <c r="J173" s="34">
        <v>170</v>
      </c>
      <c r="K173" s="35">
        <f>Tableau!$G$36*COS(J173*PI()/180)+Tableau!$G$35</f>
        <v>-9924.0387650610392</v>
      </c>
      <c r="L173" s="35">
        <f>Tableau!$G$36*SIN(J173*PI()/180)+Tableau!$H$35</f>
        <v>-14131.759111665349</v>
      </c>
      <c r="N173" s="98">
        <v>169</v>
      </c>
      <c r="O173" s="99">
        <v>84.5</v>
      </c>
      <c r="P173" s="101">
        <f>P172+R172*Tableau!$G$2+((1/2)*T172)*Tableau!$G$2^2</f>
        <v>-5520049.8878418561</v>
      </c>
      <c r="Q173" s="101">
        <f>Q172+S172*Tableau!$G$2+((1/2)*U172)*Tableau!$G$2^2</f>
        <v>2693442.3942537135</v>
      </c>
      <c r="R173" s="101">
        <f>R172+T172*Tableau!$G$2</f>
        <v>-68699.797227132949</v>
      </c>
      <c r="S173" s="101">
        <f>S172+U172*Tableau!$G$2</f>
        <v>33801.508157678334</v>
      </c>
      <c r="T173" s="101">
        <f t="shared" si="4"/>
        <v>2.9188373156598495E-2</v>
      </c>
      <c r="U173" s="101">
        <f t="shared" si="5"/>
        <v>-1.4242576070195625E-2</v>
      </c>
      <c r="V173" s="101">
        <f>((Tableau!$G$16-P173)/(AC173^2+Tableau!$G$21^2)^(3/2))*Tableau!$G$20</f>
        <v>1.2429189535474106E-2</v>
      </c>
      <c r="W173" s="101">
        <f>((Tableau!$H$16-Q173)/(AC173^2+Tableau!$G$21^2)^(3/2))*Tableau!$G$20</f>
        <v>-6.0259542378506264E-3</v>
      </c>
      <c r="X173" s="101">
        <f>((Tableau!$G$25-P173)/(AD173^2+Tableau!$G$30^2)^(3/2))*Tableau!$G$29</f>
        <v>4.3097996285611073E-3</v>
      </c>
      <c r="Y173" s="101">
        <f>((Tableau!$H$25-Q173)/(AD173^2+Tableau!$G$30^2)^(3/2))*Tableau!$G$29</f>
        <v>-2.1027262060995173E-3</v>
      </c>
      <c r="Z173" s="101">
        <f>((Tableau!$G$35-P173)/(AE173^2+Tableau!$G$40^2)^(3/2))*Tableau!$G$39</f>
        <v>1.2449383992563285E-2</v>
      </c>
      <c r="AA173" s="102">
        <f>((Tableau!$H$35-Q173)/(AE173^2+Tableau!$G$40^2)^(3/2))*Tableau!$G$39</f>
        <v>-6.113895626245482E-3</v>
      </c>
      <c r="AC173" s="113">
        <f>SQRT((Tableau!$G$16-P173)^2+(Tableau!$H$16-Q173)^2)</f>
        <v>6156820.5516342558</v>
      </c>
      <c r="AD173" s="114">
        <f>SQRT((Tableau!$G$25-P173)^2+(Tableau!$H$25-Q173)^2)</f>
        <v>6119755.8653942496</v>
      </c>
      <c r="AE173" s="115">
        <f>SQRT((Tableau!$G$35-P173)^2+(Tableau!$H$35-Q173)^2)</f>
        <v>6144219.679371438</v>
      </c>
    </row>
    <row r="174" spans="2:31" x14ac:dyDescent="0.25">
      <c r="B174" s="20">
        <v>171</v>
      </c>
      <c r="C174" s="21">
        <f>Tableau!$G$17*COS(B174*PI()/180)+Tableau!$G$16</f>
        <v>15061.558297024312</v>
      </c>
      <c r="D174" s="21">
        <f>Tableau!$G$17*SIN(B174*PI()/180)+Tableau!$H$16</f>
        <v>8282.1723252011543</v>
      </c>
      <c r="F174" s="28">
        <v>171</v>
      </c>
      <c r="G174" s="29">
        <f>Tableau!$G$26*COS(F174*PI()/180)+Tableau!$G$25</f>
        <v>-23456.909192082981</v>
      </c>
      <c r="H174" s="29">
        <f>Tableau!$G$26*SIN(F174*PI()/180)+Tableau!$H$25</f>
        <v>10547.520627640808</v>
      </c>
      <c r="J174" s="36">
        <v>171</v>
      </c>
      <c r="K174" s="37">
        <f>Tableau!$G$36*COS(J174*PI()/180)+Tableau!$G$35</f>
        <v>-9938.4417029756878</v>
      </c>
      <c r="L174" s="37">
        <f>Tableau!$G$36*SIN(J174*PI()/180)+Tableau!$H$35</f>
        <v>-14217.827674798846</v>
      </c>
      <c r="N174" s="92">
        <v>170</v>
      </c>
      <c r="O174" s="93">
        <v>85</v>
      </c>
      <c r="P174" s="96">
        <f>P173+R173*Tableau!$G$2+((1/2)*T173)*Tableau!$G$2^2</f>
        <v>-5554399.7828068761</v>
      </c>
      <c r="Q174" s="96">
        <f>Q173+S173*Tableau!$G$2+((1/2)*U173)*Tableau!$G$2^2</f>
        <v>2710343.1465522307</v>
      </c>
      <c r="R174" s="96">
        <f>R173+T173*Tableau!$G$2</f>
        <v>-68699.782632946371</v>
      </c>
      <c r="S174" s="96">
        <f>S173+U173*Tableau!$G$2</f>
        <v>33801.501036390298</v>
      </c>
      <c r="T174" s="96">
        <f t="shared" si="4"/>
        <v>2.8827838249014057E-2</v>
      </c>
      <c r="U174" s="96">
        <f t="shared" si="5"/>
        <v>-1.4067374320492623E-2</v>
      </c>
      <c r="V174" s="96">
        <f>((Tableau!$G$16-P174)/(AC174^2+Tableau!$G$21^2)^(3/2))*Tableau!$G$20</f>
        <v>1.2275841204526575E-2</v>
      </c>
      <c r="W174" s="96">
        <f>((Tableau!$H$16-Q174)/(AC174^2+Tableau!$G$21^2)^(3/2))*Tableau!$G$20</f>
        <v>-5.952151722263304E-3</v>
      </c>
      <c r="X174" s="96">
        <f>((Tableau!$G$25-P174)/(AD174^2+Tableau!$G$30^2)^(3/2))*Tableau!$G$29</f>
        <v>4.2563383205012559E-3</v>
      </c>
      <c r="Y174" s="96">
        <f>((Tableau!$H$25-Q174)/(AD174^2+Tableau!$G$30^2)^(3/2))*Tableau!$G$29</f>
        <v>-2.0767516739356355E-3</v>
      </c>
      <c r="Z174" s="96">
        <f>((Tableau!$G$35-P174)/(AE174^2+Tableau!$G$40^2)^(3/2))*Tableau!$G$39</f>
        <v>1.2295658723986226E-2</v>
      </c>
      <c r="AA174" s="97">
        <f>((Tableau!$H$35-Q174)/(AE174^2+Tableau!$G$40^2)^(3/2))*Tableau!$G$39</f>
        <v>-6.0384709242936839E-3</v>
      </c>
      <c r="AC174" s="110">
        <f>SQRT((Tableau!$G$16-P174)^2+(Tableau!$H$16-Q174)^2)</f>
        <v>6195102.4215441113</v>
      </c>
      <c r="AD174" s="111">
        <f>SQRT((Tableau!$G$25-P174)^2+(Tableau!$H$25-Q174)^2)</f>
        <v>6158038.1669054637</v>
      </c>
      <c r="AE174" s="112">
        <f>SQRT((Tableau!$G$35-P174)^2+(Tableau!$H$35-Q174)^2)</f>
        <v>6182502.1808226015</v>
      </c>
    </row>
    <row r="175" spans="2:31" x14ac:dyDescent="0.25">
      <c r="B175" s="18">
        <v>172</v>
      </c>
      <c r="C175" s="19">
        <f>Tableau!$G$17*COS(B175*PI()/180)+Tableau!$G$16</f>
        <v>15048.659656292148</v>
      </c>
      <c r="D175" s="19">
        <f>Tableau!$G$17*SIN(B175*PI()/180)+Tableau!$H$16</f>
        <v>8195.8655048003293</v>
      </c>
      <c r="F175" s="26">
        <v>172</v>
      </c>
      <c r="G175" s="27">
        <f>Tableau!$G$26*COS(F175*PI()/180)+Tableau!$G$25</f>
        <v>-23465.938240595497</v>
      </c>
      <c r="H175" s="27">
        <f>Tableau!$G$26*SIN(F175*PI()/180)+Tableau!$H$25</f>
        <v>10487.10585336023</v>
      </c>
      <c r="J175" s="34">
        <v>172</v>
      </c>
      <c r="K175" s="35">
        <f>Tableau!$G$36*COS(J175*PI()/180)+Tableau!$G$35</f>
        <v>-9951.3403437078523</v>
      </c>
      <c r="L175" s="35">
        <f>Tableau!$G$36*SIN(J175*PI()/180)+Tableau!$H$35</f>
        <v>-14304.134495199671</v>
      </c>
      <c r="N175" s="98">
        <v>171</v>
      </c>
      <c r="O175" s="99">
        <v>85.5</v>
      </c>
      <c r="P175" s="101">
        <f>P174+R174*Tableau!$G$2+((1/2)*T174)*Tableau!$G$2^2</f>
        <v>-5588749.6705198698</v>
      </c>
      <c r="Q175" s="101">
        <f>Q174+S174*Tableau!$G$2+((1/2)*U174)*Tableau!$G$2^2</f>
        <v>2727243.8953120043</v>
      </c>
      <c r="R175" s="101">
        <f>R174+T174*Tableau!$G$2</f>
        <v>-68699.768219027246</v>
      </c>
      <c r="S175" s="101">
        <f>S174+U174*Tableau!$G$2</f>
        <v>33801.494002703141</v>
      </c>
      <c r="T175" s="101">
        <f t="shared" si="4"/>
        <v>2.8473942348427109E-2</v>
      </c>
      <c r="U175" s="101">
        <f t="shared" si="5"/>
        <v>-1.3895385606441806E-2</v>
      </c>
      <c r="V175" s="101">
        <f>((Tableau!$G$16-P175)/(AC175^2+Tableau!$G$21^2)^(3/2))*Tableau!$G$20</f>
        <v>1.21253134068932E-2</v>
      </c>
      <c r="W175" s="101">
        <f>((Tableau!$H$16-Q175)/(AC175^2+Tableau!$G$21^2)^(3/2))*Tableau!$G$20</f>
        <v>-5.8796967335655584E-3</v>
      </c>
      <c r="X175" s="101">
        <f>((Tableau!$G$25-P175)/(AD175^2+Tableau!$G$30^2)^(3/2))*Tableau!$G$29</f>
        <v>4.2038656312563425E-3</v>
      </c>
      <c r="Y175" s="101">
        <f>((Tableau!$H$25-Q175)/(AD175^2+Tableau!$G$30^2)^(3/2))*Tableau!$G$29</f>
        <v>-2.0512554700949336E-3</v>
      </c>
      <c r="Z175" s="101">
        <f>((Tableau!$G$35-P175)/(AE175^2+Tableau!$G$40^2)^(3/2))*Tableau!$G$39</f>
        <v>1.2144763310277565E-2</v>
      </c>
      <c r="AA175" s="102">
        <f>((Tableau!$H$35-Q175)/(AE175^2+Tableau!$G$40^2)^(3/2))*Tableau!$G$39</f>
        <v>-5.9644334027813125E-3</v>
      </c>
      <c r="AC175" s="113">
        <f>SQRT((Tableau!$G$16-P175)^2+(Tableau!$H$16-Q175)^2)</f>
        <v>6233384.2912693629</v>
      </c>
      <c r="AD175" s="114">
        <f>SQRT((Tableau!$G$25-P175)^2+(Tableau!$H$25-Q175)^2)</f>
        <v>6196320.4629461756</v>
      </c>
      <c r="AE175" s="115">
        <f>SQRT((Tableau!$G$35-P175)^2+(Tableau!$H$35-Q175)^2)</f>
        <v>6220784.6743322266</v>
      </c>
    </row>
    <row r="176" spans="2:31" x14ac:dyDescent="0.25">
      <c r="B176" s="20">
        <v>173</v>
      </c>
      <c r="C176" s="21">
        <f>Tableau!$G$17*COS(B176*PI()/180)+Tableau!$G$16</f>
        <v>15037.26924179339</v>
      </c>
      <c r="D176" s="21">
        <f>Tableau!$G$17*SIN(B176*PI()/180)+Tableau!$H$16</f>
        <v>8109.3467170257372</v>
      </c>
      <c r="F176" s="28">
        <v>173</v>
      </c>
      <c r="G176" s="29">
        <f>Tableau!$G$26*COS(F176*PI()/180)+Tableau!$G$25</f>
        <v>-23473.911530744626</v>
      </c>
      <c r="H176" s="29">
        <f>Tableau!$G$26*SIN(F176*PI()/180)+Tableau!$H$25</f>
        <v>10426.542701918017</v>
      </c>
      <c r="J176" s="36">
        <v>173</v>
      </c>
      <c r="K176" s="37">
        <f>Tableau!$G$36*COS(J176*PI()/180)+Tableau!$G$35</f>
        <v>-9962.7307582066096</v>
      </c>
      <c r="L176" s="37">
        <f>Tableau!$G$36*SIN(J176*PI()/180)+Tableau!$H$35</f>
        <v>-14390.653282974263</v>
      </c>
      <c r="N176" s="92">
        <v>172</v>
      </c>
      <c r="O176" s="93">
        <v>86</v>
      </c>
      <c r="P176" s="96">
        <f>P175+R175*Tableau!$G$2+((1/2)*T175)*Tableau!$G$2^2</f>
        <v>-5623099.5510701407</v>
      </c>
      <c r="Q176" s="96">
        <f>Q175+S175*Tableau!$G$2+((1/2)*U175)*Tableau!$G$2^2</f>
        <v>2744144.6405764329</v>
      </c>
      <c r="R176" s="96">
        <f>R175+T175*Tableau!$G$2</f>
        <v>-68699.753982056078</v>
      </c>
      <c r="S176" s="96">
        <f>S175+U175*Tableau!$G$2</f>
        <v>33801.487055010337</v>
      </c>
      <c r="T176" s="96">
        <f t="shared" si="4"/>
        <v>2.8126523445528351E-2</v>
      </c>
      <c r="U176" s="96">
        <f t="shared" si="5"/>
        <v>-1.3726531840382866E-2</v>
      </c>
      <c r="V176" s="96">
        <f>((Tableau!$G$16-P176)/(AC176^2+Tableau!$G$21^2)^(3/2))*Tableau!$G$20</f>
        <v>1.1977537394256289E-2</v>
      </c>
      <c r="W176" s="96">
        <f>((Tableau!$H$16-Q176)/(AC176^2+Tableau!$G$21^2)^(3/2))*Tableau!$G$20</f>
        <v>-5.8085566665360905E-3</v>
      </c>
      <c r="X176" s="96">
        <f>((Tableau!$G$25-P176)/(AD176^2+Tableau!$G$30^2)^(3/2))*Tableau!$G$29</f>
        <v>4.1523573344903033E-3</v>
      </c>
      <c r="Y176" s="96">
        <f>((Tableau!$H$25-Q176)/(AD176^2+Tableau!$G$30^2)^(3/2))*Tableau!$G$29</f>
        <v>-2.0262259216305661E-3</v>
      </c>
      <c r="Z176" s="96">
        <f>((Tableau!$G$35-P176)/(AE176^2+Tableau!$G$40^2)^(3/2))*Tableau!$G$39</f>
        <v>1.1996628716781759E-2</v>
      </c>
      <c r="AA176" s="97">
        <f>((Tableau!$H$35-Q176)/(AE176^2+Tableau!$G$40^2)^(3/2))*Tableau!$G$39</f>
        <v>-5.8917492522162097E-3</v>
      </c>
      <c r="AC176" s="110">
        <f>SQRT((Tableau!$G$16-P176)^2+(Tableau!$H$16-Q176)^2)</f>
        <v>6271666.1607649159</v>
      </c>
      <c r="AD176" s="111">
        <f>SQRT((Tableau!$G$25-P176)^2+(Tableau!$H$25-Q176)^2)</f>
        <v>6234602.7535678037</v>
      </c>
      <c r="AE176" s="112">
        <f>SQRT((Tableau!$G$35-P176)^2+(Tableau!$H$35-Q176)^2)</f>
        <v>6259067.1599972602</v>
      </c>
    </row>
    <row r="177" spans="2:31" x14ac:dyDescent="0.25">
      <c r="B177" s="18">
        <v>174</v>
      </c>
      <c r="C177" s="19">
        <f>Tableau!$G$17*COS(B177*PI()/180)+Tableau!$G$16</f>
        <v>15027.390523158632</v>
      </c>
      <c r="D177" s="19">
        <f>Tableau!$G$17*SIN(B177*PI()/180)+Tableau!$H$16</f>
        <v>8022.6423163382688</v>
      </c>
      <c r="F177" s="26">
        <v>174</v>
      </c>
      <c r="G177" s="27">
        <f>Tableau!$G$26*COS(F177*PI()/180)+Tableau!$G$25</f>
        <v>-23480.826633788958</v>
      </c>
      <c r="H177" s="27">
        <f>Tableau!$G$26*SIN(F177*PI()/180)+Tableau!$H$25</f>
        <v>10365.849621436788</v>
      </c>
      <c r="J177" s="34">
        <v>174</v>
      </c>
      <c r="K177" s="35">
        <f>Tableau!$G$36*COS(J177*PI()/180)+Tableau!$G$35</f>
        <v>-9972.6094768413677</v>
      </c>
      <c r="L177" s="35">
        <f>Tableau!$G$36*SIN(J177*PI()/180)+Tableau!$H$35</f>
        <v>-14477.357683661732</v>
      </c>
      <c r="N177" s="98">
        <v>173</v>
      </c>
      <c r="O177" s="99">
        <v>86.5</v>
      </c>
      <c r="P177" s="101">
        <f>P176+R176*Tableau!$G$2+((1/2)*T176)*Tableau!$G$2^2</f>
        <v>-5657449.4245453533</v>
      </c>
      <c r="Q177" s="101">
        <f>Q176+S176*Tableau!$G$2+((1/2)*U176)*Tableau!$G$2^2</f>
        <v>2761045.3823881214</v>
      </c>
      <c r="R177" s="101">
        <f>R176+T176*Tableau!$G$2</f>
        <v>-68699.739918794352</v>
      </c>
      <c r="S177" s="101">
        <f>S176+U176*Tableau!$G$2</f>
        <v>33801.48019174442</v>
      </c>
      <c r="T177" s="101">
        <f t="shared" si="4"/>
        <v>2.7785424442853111E-2</v>
      </c>
      <c r="U177" s="101">
        <f t="shared" si="5"/>
        <v>-1.3560737292557166E-2</v>
      </c>
      <c r="V177" s="101">
        <f>((Tableau!$G$16-P177)/(AC177^2+Tableau!$G$21^2)^(3/2))*Tableau!$G$20</f>
        <v>1.1832446500190911E-2</v>
      </c>
      <c r="W177" s="101">
        <f>((Tableau!$H$16-Q177)/(AC177^2+Tableau!$G$21^2)^(3/2))*Tableau!$G$20</f>
        <v>-5.7386998961358867E-3</v>
      </c>
      <c r="X177" s="101">
        <f>((Tableau!$G$25-P177)/(AD177^2+Tableau!$G$30^2)^(3/2))*Tableau!$G$29</f>
        <v>4.1017899414367946E-3</v>
      </c>
      <c r="Y177" s="101">
        <f>((Tableau!$H$25-Q177)/(AD177^2+Tableau!$G$30^2)^(3/2))*Tableau!$G$29</f>
        <v>-2.0016517095097098E-3</v>
      </c>
      <c r="Z177" s="101">
        <f>((Tableau!$G$35-P177)/(AE177^2+Tableau!$G$40^2)^(3/2))*Tableau!$G$39</f>
        <v>1.1851188001225409E-2</v>
      </c>
      <c r="AA177" s="102">
        <f>((Tableau!$H$35-Q177)/(AE177^2+Tableau!$G$40^2)^(3/2))*Tableau!$G$39</f>
        <v>-5.8203856869115684E-3</v>
      </c>
      <c r="AC177" s="113">
        <f>SQRT((Tableau!$G$16-P177)^2+(Tableau!$H$16-Q177)^2)</f>
        <v>6309948.0299873557</v>
      </c>
      <c r="AD177" s="114">
        <f>SQRT((Tableau!$G$25-P177)^2+(Tableau!$H$25-Q177)^2)</f>
        <v>6272885.0388211114</v>
      </c>
      <c r="AE177" s="115">
        <f>SQRT((Tableau!$G$35-P177)^2+(Tableau!$H$35-Q177)^2)</f>
        <v>6297349.6379128825</v>
      </c>
    </row>
    <row r="178" spans="2:31" x14ac:dyDescent="0.25">
      <c r="B178" s="20">
        <v>175</v>
      </c>
      <c r="C178" s="21">
        <f>Tableau!$G$17*COS(B178*PI()/180)+Tableau!$G$16</f>
        <v>15019.026509541272</v>
      </c>
      <c r="D178" s="21">
        <f>Tableau!$G$17*SIN(B178*PI()/180)+Tableau!$H$16</f>
        <v>7935.7787137382929</v>
      </c>
      <c r="F178" s="28">
        <v>175</v>
      </c>
      <c r="G178" s="29">
        <f>Tableau!$G$26*COS(F178*PI()/180)+Tableau!$G$25</f>
        <v>-23486.681443321111</v>
      </c>
      <c r="H178" s="29">
        <f>Tableau!$G$26*SIN(F178*PI()/180)+Tableau!$H$25</f>
        <v>10305.045099616806</v>
      </c>
      <c r="J178" s="36">
        <v>175</v>
      </c>
      <c r="K178" s="37">
        <f>Tableau!$G$36*COS(J178*PI()/180)+Tableau!$G$35</f>
        <v>-9980.9734904587276</v>
      </c>
      <c r="L178" s="37">
        <f>Tableau!$G$36*SIN(J178*PI()/180)+Tableau!$H$35</f>
        <v>-14564.221286261707</v>
      </c>
      <c r="N178" s="92">
        <v>174</v>
      </c>
      <c r="O178" s="93">
        <v>87</v>
      </c>
      <c r="P178" s="96">
        <f>P177+R177*Tableau!$G$2+((1/2)*T177)*Tableau!$G$2^2</f>
        <v>-5691799.291031572</v>
      </c>
      <c r="Q178" s="96">
        <f>Q177+S177*Tableau!$G$2+((1/2)*U177)*Tableau!$G$2^2</f>
        <v>2777946.1207889016</v>
      </c>
      <c r="R178" s="96">
        <f>R177+T177*Tableau!$G$2</f>
        <v>-68699.726026082135</v>
      </c>
      <c r="S178" s="96">
        <f>S177+U177*Tableau!$G$2</f>
        <v>33801.473411375773</v>
      </c>
      <c r="T178" s="96">
        <f t="shared" si="4"/>
        <v>2.7450492977156488E-2</v>
      </c>
      <c r="U178" s="96">
        <f t="shared" si="5"/>
        <v>-1.3397928506183446E-2</v>
      </c>
      <c r="V178" s="96">
        <f>((Tableau!$G$16-P178)/(AC178^2+Tableau!$G$21^2)^(3/2))*Tableau!$G$20</f>
        <v>1.168997606496733E-2</v>
      </c>
      <c r="W178" s="96">
        <f>((Tableau!$H$16-Q178)/(AC178^2+Tableau!$G$21^2)^(3/2))*Tableau!$G$20</f>
        <v>-5.670095742361902E-3</v>
      </c>
      <c r="X178" s="96">
        <f>((Tableau!$G$25-P178)/(AD178^2+Tableau!$G$30^2)^(3/2))*Tableau!$G$29</f>
        <v>4.0521406741160964E-3</v>
      </c>
      <c r="Y178" s="96">
        <f>((Tableau!$H$25-Q178)/(AD178^2+Tableau!$G$30^2)^(3/2))*Tableau!$G$29</f>
        <v>-1.9775218558149327E-3</v>
      </c>
      <c r="Z178" s="96">
        <f>((Tableau!$G$35-P178)/(AE178^2+Tableau!$G$40^2)^(3/2))*Tableau!$G$39</f>
        <v>1.1708376238073061E-2</v>
      </c>
      <c r="AA178" s="97">
        <f>((Tableau!$H$35-Q178)/(AE178^2+Tableau!$G$40^2)^(3/2))*Tableau!$G$39</f>
        <v>-5.7503109080066098E-3</v>
      </c>
      <c r="AC178" s="110">
        <f>SQRT((Tableau!$G$16-P178)^2+(Tableau!$H$16-Q178)^2)</f>
        <v>6348229.8988948921</v>
      </c>
      <c r="AD178" s="111">
        <f>SQRT((Tableau!$G$25-P178)^2+(Tableau!$H$25-Q178)^2)</f>
        <v>6311167.3187562199</v>
      </c>
      <c r="AE178" s="112">
        <f>SQRT((Tableau!$G$35-P178)^2+(Tableau!$H$35-Q178)^2)</f>
        <v>6335632.1081725517</v>
      </c>
    </row>
    <row r="179" spans="2:31" x14ac:dyDescent="0.25">
      <c r="B179" s="18">
        <v>176</v>
      </c>
      <c r="C179" s="19">
        <f>Tableau!$G$17*COS(B179*PI()/180)+Tableau!$G$16</f>
        <v>15012.179748700879</v>
      </c>
      <c r="D179" s="19">
        <f>Tableau!$G$17*SIN(B179*PI()/180)+Tableau!$H$16</f>
        <v>7848.7823687206273</v>
      </c>
      <c r="F179" s="26">
        <v>176</v>
      </c>
      <c r="G179" s="27">
        <f>Tableau!$G$26*COS(F179*PI()/180)+Tableau!$G$25</f>
        <v>-23491.474175909385</v>
      </c>
      <c r="H179" s="27">
        <f>Tableau!$G$26*SIN(F179*PI()/180)+Tableau!$H$25</f>
        <v>10244.147658104439</v>
      </c>
      <c r="J179" s="34">
        <v>176</v>
      </c>
      <c r="K179" s="35">
        <f>Tableau!$G$36*COS(J179*PI()/180)+Tableau!$G$35</f>
        <v>-9987.8202512991211</v>
      </c>
      <c r="L179" s="35">
        <f>Tableau!$G$36*SIN(J179*PI()/180)+Tableau!$H$35</f>
        <v>-14651.217631279373</v>
      </c>
      <c r="N179" s="98">
        <v>175</v>
      </c>
      <c r="O179" s="99">
        <v>87.5</v>
      </c>
      <c r="P179" s="101">
        <f>P178+R178*Tableau!$G$2+((1/2)*T178)*Tableau!$G$2^2</f>
        <v>-5726149.1506133014</v>
      </c>
      <c r="Q179" s="101">
        <f>Q178+S178*Tableau!$G$2+((1/2)*U178)*Tableau!$G$2^2</f>
        <v>2794846.8558198484</v>
      </c>
      <c r="R179" s="101">
        <f>R178+T178*Tableau!$G$2</f>
        <v>-68699.712300835643</v>
      </c>
      <c r="S179" s="101">
        <f>S178+U178*Tableau!$G$2</f>
        <v>33801.466712411522</v>
      </c>
      <c r="T179" s="101">
        <f t="shared" si="4"/>
        <v>2.7121581249236956E-2</v>
      </c>
      <c r="U179" s="101">
        <f t="shared" si="5"/>
        <v>-1.3238034216080439E-2</v>
      </c>
      <c r="V179" s="101">
        <f>((Tableau!$G$16-P179)/(AC179^2+Tableau!$G$21^2)^(3/2))*Tableau!$G$20</f>
        <v>1.1550063363501943E-2</v>
      </c>
      <c r="W179" s="101">
        <f>((Tableau!$H$16-Q179)/(AC179^2+Tableau!$G$21^2)^(3/2))*Tableau!$G$20</f>
        <v>-5.6027144365615724E-3</v>
      </c>
      <c r="X179" s="101">
        <f>((Tableau!$G$25-P179)/(AD179^2+Tableau!$G$30^2)^(3/2))*Tableau!$G$29</f>
        <v>4.0033874396795208E-3</v>
      </c>
      <c r="Y179" s="101">
        <f>((Tableau!$H$25-Q179)/(AD179^2+Tableau!$G$30^2)^(3/2))*Tableau!$G$29</f>
        <v>-1.9538257114821303E-3</v>
      </c>
      <c r="Z179" s="101">
        <f>((Tableau!$G$35-P179)/(AE179^2+Tableau!$G$40^2)^(3/2))*Tableau!$G$39</f>
        <v>1.1568130446055492E-2</v>
      </c>
      <c r="AA179" s="102">
        <f>((Tableau!$H$35-Q179)/(AE179^2+Tableau!$G$40^2)^(3/2))*Tableau!$G$39</f>
        <v>-5.6814940680367364E-3</v>
      </c>
      <c r="AC179" s="113">
        <f>SQRT((Tableau!$G$16-P179)^2+(Tableau!$H$16-Q179)^2)</f>
        <v>6386511.7674472937</v>
      </c>
      <c r="AD179" s="114">
        <f>SQRT((Tableau!$G$25-P179)^2+(Tableau!$H$25-Q179)^2)</f>
        <v>6349449.593422614</v>
      </c>
      <c r="AE179" s="115">
        <f>SQRT((Tableau!$G$35-P179)^2+(Tableau!$H$35-Q179)^2)</f>
        <v>6373914.570868046</v>
      </c>
    </row>
    <row r="180" spans="2:31" x14ac:dyDescent="0.25">
      <c r="B180" s="20">
        <v>177</v>
      </c>
      <c r="C180" s="21">
        <f>Tableau!$G$17*COS(B180*PI()/180)+Tableau!$G$16</f>
        <v>15006.85232622713</v>
      </c>
      <c r="D180" s="21">
        <f>Tableau!$G$17*SIN(B180*PI()/180)+Tableau!$H$16</f>
        <v>7761.6797812147188</v>
      </c>
      <c r="F180" s="28">
        <v>177</v>
      </c>
      <c r="G180" s="29">
        <f>Tableau!$G$26*COS(F180*PI()/180)+Tableau!$G$25</f>
        <v>-23495.203371641008</v>
      </c>
      <c r="H180" s="29">
        <f>Tableau!$G$26*SIN(F180*PI()/180)+Tableau!$H$25</f>
        <v>10183.175846850303</v>
      </c>
      <c r="J180" s="36">
        <v>177</v>
      </c>
      <c r="K180" s="37">
        <f>Tableau!$G$36*COS(J180*PI()/180)+Tableau!$G$35</f>
        <v>-9993.1476737728699</v>
      </c>
      <c r="L180" s="37">
        <f>Tableau!$G$36*SIN(J180*PI()/180)+Tableau!$H$35</f>
        <v>-14738.32021878528</v>
      </c>
      <c r="N180" s="92">
        <v>176</v>
      </c>
      <c r="O180" s="93">
        <v>88</v>
      </c>
      <c r="P180" s="96">
        <f>P179+R179*Tableau!$G$2+((1/2)*T179)*Tableau!$G$2^2</f>
        <v>-5760499.0033735214</v>
      </c>
      <c r="Q180" s="96">
        <f>Q179+S179*Tableau!$G$2+((1/2)*U179)*Tableau!$G$2^2</f>
        <v>2811747.5875212997</v>
      </c>
      <c r="R180" s="96">
        <f>R179+T179*Tableau!$G$2</f>
        <v>-68699.698740045016</v>
      </c>
      <c r="S180" s="96">
        <f>S179+U179*Tableau!$G$2</f>
        <v>33801.460093394417</v>
      </c>
      <c r="T180" s="96">
        <f t="shared" si="4"/>
        <v>2.6798545860855519E-2</v>
      </c>
      <c r="U180" s="96">
        <f t="shared" si="5"/>
        <v>-1.3080985270669029E-2</v>
      </c>
      <c r="V180" s="96">
        <f>((Tableau!$G$16-P180)/(AC180^2+Tableau!$G$21^2)^(3/2))*Tableau!$G$20</f>
        <v>1.141264753630976E-2</v>
      </c>
      <c r="W180" s="96">
        <f>((Tableau!$H$16-Q180)/(AC180^2+Tableau!$G$21^2)^(3/2))*Tableau!$G$20</f>
        <v>-5.5365270891405667E-3</v>
      </c>
      <c r="X180" s="96">
        <f>((Tableau!$G$25-P180)/(AD180^2+Tableau!$G$30^2)^(3/2))*Tableau!$G$29</f>
        <v>3.9555088058282964E-3</v>
      </c>
      <c r="Y180" s="96">
        <f>((Tableau!$H$25-Q180)/(AD180^2+Tableau!$G$30^2)^(3/2))*Tableau!$G$29</f>
        <v>-1.9305529445499292E-3</v>
      </c>
      <c r="Z180" s="96">
        <f>((Tableau!$G$35-P180)/(AE180^2+Tableau!$G$40^2)^(3/2))*Tableau!$G$39</f>
        <v>1.143038951871746E-2</v>
      </c>
      <c r="AA180" s="97">
        <f>((Tableau!$H$35-Q180)/(AE180^2+Tableau!$G$40^2)^(3/2))*Tableau!$G$39</f>
        <v>-5.613905236978532E-3</v>
      </c>
      <c r="AC180" s="110">
        <f>SQRT((Tableau!$G$16-P180)^2+(Tableau!$H$16-Q180)^2)</f>
        <v>6424793.63560584</v>
      </c>
      <c r="AD180" s="111">
        <f>SQRT((Tableau!$G$25-P180)^2+(Tableau!$H$25-Q180)^2)</f>
        <v>6387731.8628691528</v>
      </c>
      <c r="AE180" s="112">
        <f>SQRT((Tableau!$G$35-P180)^2+(Tableau!$H$35-Q180)^2)</f>
        <v>6412197.0260895044</v>
      </c>
    </row>
    <row r="181" spans="2:31" x14ac:dyDescent="0.25">
      <c r="B181" s="18">
        <v>178</v>
      </c>
      <c r="C181" s="19">
        <f>Tableau!$G$17*COS(B181*PI()/180)+Tableau!$G$16</f>
        <v>15003.045864904521</v>
      </c>
      <c r="D181" s="19">
        <f>Tableau!$G$17*SIN(B181*PI()/180)+Tableau!$H$16</f>
        <v>7674.4974835125031</v>
      </c>
      <c r="F181" s="26">
        <v>178</v>
      </c>
      <c r="G181" s="27">
        <f>Tableau!$G$26*COS(F181*PI()/180)+Tableau!$G$25</f>
        <v>-23497.867894566836</v>
      </c>
      <c r="H181" s="27">
        <f>Tableau!$G$26*SIN(F181*PI()/180)+Tableau!$H$25</f>
        <v>10122.148238458753</v>
      </c>
      <c r="J181" s="34">
        <v>178</v>
      </c>
      <c r="K181" s="35">
        <f>Tableau!$G$36*COS(J181*PI()/180)+Tableau!$G$35</f>
        <v>-9996.9541350954787</v>
      </c>
      <c r="L181" s="35">
        <f>Tableau!$G$36*SIN(J181*PI()/180)+Tableau!$H$35</f>
        <v>-14825.502516487497</v>
      </c>
      <c r="N181" s="98">
        <v>177</v>
      </c>
      <c r="O181" s="99">
        <v>88.5</v>
      </c>
      <c r="P181" s="101">
        <f>P180+R180*Tableau!$G$2+((1/2)*T180)*Tableau!$G$2^2</f>
        <v>-5794848.8493937254</v>
      </c>
      <c r="Q181" s="101">
        <f>Q180+S180*Tableau!$G$2+((1/2)*U180)*Tableau!$G$2^2</f>
        <v>2828648.3159328741</v>
      </c>
      <c r="R181" s="101">
        <f>R180+T180*Tableau!$G$2</f>
        <v>-68699.685340772092</v>
      </c>
      <c r="S181" s="101">
        <f>S180+U180*Tableau!$G$2</f>
        <v>33801.453552901781</v>
      </c>
      <c r="T181" s="101">
        <f t="shared" si="4"/>
        <v>2.6481247658411221E-2</v>
      </c>
      <c r="U181" s="101">
        <f t="shared" si="5"/>
        <v>-1.2926714557193002E-2</v>
      </c>
      <c r="V181" s="101">
        <f>((Tableau!$G$16-P181)/(AC181^2+Tableau!$G$21^2)^(3/2))*Tableau!$G$20</f>
        <v>1.1277669523313688E-2</v>
      </c>
      <c r="W181" s="101">
        <f>((Tableau!$H$16-Q181)/(AC181^2+Tableau!$G$21^2)^(3/2))*Tableau!$G$20</f>
        <v>-5.4715056585969805E-3</v>
      </c>
      <c r="X181" s="101">
        <f>((Tableau!$G$25-P181)/(AD181^2+Tableau!$G$30^2)^(3/2))*Tableau!$G$29</f>
        <v>3.9084839772547553E-3</v>
      </c>
      <c r="Y181" s="101">
        <f>((Tableau!$H$25-Q181)/(AD181^2+Tableau!$G$30^2)^(3/2))*Tableau!$G$29</f>
        <v>-1.907693528895795E-3</v>
      </c>
      <c r="Z181" s="101">
        <f>((Tableau!$G$35-P181)/(AE181^2+Tableau!$G$40^2)^(3/2))*Tableau!$G$39</f>
        <v>1.1295094157842776E-2</v>
      </c>
      <c r="AA181" s="102">
        <f>((Tableau!$H$35-Q181)/(AE181^2+Tableau!$G$40^2)^(3/2))*Tableau!$G$39</f>
        <v>-5.5475153697002256E-3</v>
      </c>
      <c r="AC181" s="113">
        <f>SQRT((Tableau!$G$16-P181)^2+(Tableau!$H$16-Q181)^2)</f>
        <v>6463075.5033332566</v>
      </c>
      <c r="AD181" s="114">
        <f>SQRT((Tableau!$G$25-P181)^2+(Tableau!$H$25-Q181)^2)</f>
        <v>6426014.1271440778</v>
      </c>
      <c r="AE181" s="115">
        <f>SQRT((Tableau!$G$35-P181)^2+(Tableau!$H$35-Q181)^2)</f>
        <v>6450479.4739254629</v>
      </c>
    </row>
    <row r="182" spans="2:31" x14ac:dyDescent="0.25">
      <c r="B182" s="20">
        <v>179</v>
      </c>
      <c r="C182" s="21">
        <f>Tableau!$G$17*COS(B182*PI()/180)+Tableau!$G$16</f>
        <v>15000.761524218044</v>
      </c>
      <c r="D182" s="21">
        <f>Tableau!$G$17*SIN(B182*PI()/180)+Tableau!$H$16</f>
        <v>7587.2620321864169</v>
      </c>
      <c r="F182" s="28">
        <v>179</v>
      </c>
      <c r="G182" s="29">
        <f>Tableau!$G$26*COS(F182*PI()/180)+Tableau!$G$25</f>
        <v>-23499.46693304737</v>
      </c>
      <c r="H182" s="29">
        <f>Tableau!$G$26*SIN(F182*PI()/180)+Tableau!$H$25</f>
        <v>10061.083422530492</v>
      </c>
      <c r="J182" s="36">
        <v>179</v>
      </c>
      <c r="K182" s="37">
        <f>Tableau!$G$36*COS(J182*PI()/180)+Tableau!$G$35</f>
        <v>-9999.2384757819564</v>
      </c>
      <c r="L182" s="37">
        <f>Tableau!$G$36*SIN(J182*PI()/180)+Tableau!$H$35</f>
        <v>-14912.737967813582</v>
      </c>
      <c r="N182" s="92">
        <v>178</v>
      </c>
      <c r="O182" s="93">
        <v>89</v>
      </c>
      <c r="P182" s="96">
        <f>P181+R181*Tableau!$G$2+((1/2)*T181)*Tableau!$G$2^2</f>
        <v>-5829198.6887539551</v>
      </c>
      <c r="Q182" s="96">
        <f>Q181+S181*Tableau!$G$2+((1/2)*U181)*Tableau!$G$2^2</f>
        <v>2845549.0410934854</v>
      </c>
      <c r="R182" s="96">
        <f>R181+T181*Tableau!$G$2</f>
        <v>-68699.672100148266</v>
      </c>
      <c r="S182" s="96">
        <f>S181+U181*Tableau!$G$2</f>
        <v>33801.447089544505</v>
      </c>
      <c r="T182" s="96">
        <f t="shared" si="4"/>
        <v>2.616955158305799E-2</v>
      </c>
      <c r="U182" s="96">
        <f t="shared" si="5"/>
        <v>-1.2775156930008948E-2</v>
      </c>
      <c r="V182" s="96">
        <f>((Tableau!$G$16-P182)/(AC182^2+Tableau!$G$21^2)^(3/2))*Tableau!$G$20</f>
        <v>1.1145072000377674E-2</v>
      </c>
      <c r="W182" s="96">
        <f>((Tableau!$H$16-Q182)/(AC182^2+Tableau!$G$21^2)^(3/2))*Tableau!$G$20</f>
        <v>-5.4076229218207412E-3</v>
      </c>
      <c r="X182" s="96">
        <f>((Tableau!$G$25-P182)/(AD182^2+Tableau!$G$30^2)^(3/2))*Tableau!$G$29</f>
        <v>3.8622927730581841E-3</v>
      </c>
      <c r="Y182" s="96">
        <f>((Tableau!$H$25-Q182)/(AD182^2+Tableau!$G$30^2)^(3/2))*Tableau!$G$29</f>
        <v>-1.8852377334362658E-3</v>
      </c>
      <c r="Z182" s="96">
        <f>((Tableau!$G$35-P182)/(AE182^2+Tableau!$G$40^2)^(3/2))*Tableau!$G$39</f>
        <v>1.1162186809622133E-2</v>
      </c>
      <c r="AA182" s="97">
        <f>((Tableau!$H$35-Q182)/(AE182^2+Tableau!$G$40^2)^(3/2))*Tableau!$G$39</f>
        <v>-5.4822962747519402E-3</v>
      </c>
      <c r="AC182" s="110">
        <f>SQRT((Tableau!$G$16-P182)^2+(Tableau!$H$16-Q182)^2)</f>
        <v>6501357.3705936698</v>
      </c>
      <c r="AD182" s="111">
        <f>SQRT((Tableau!$G$25-P182)^2+(Tableau!$H$25-Q182)^2)</f>
        <v>6464296.3862950206</v>
      </c>
      <c r="AE182" s="112">
        <f>SQRT((Tableau!$G$35-P182)^2+(Tableau!$H$35-Q182)^2)</f>
        <v>6488761.9144628933</v>
      </c>
    </row>
    <row r="183" spans="2:31" x14ac:dyDescent="0.25">
      <c r="B183" s="18">
        <v>180</v>
      </c>
      <c r="C183" s="19">
        <f>Tableau!$G$17*COS(B183*PI()/180)+Tableau!$G$16</f>
        <v>15000</v>
      </c>
      <c r="D183" s="19">
        <f>Tableau!$G$17*SIN(B183*PI()/180)+Tableau!$H$16</f>
        <v>7500.0000000000009</v>
      </c>
      <c r="F183" s="26">
        <v>180</v>
      </c>
      <c r="G183" s="27">
        <f>Tableau!$G$26*COS(F183*PI()/180)+Tableau!$G$25</f>
        <v>-23500</v>
      </c>
      <c r="H183" s="27">
        <f>Tableau!$G$26*SIN(F183*PI()/180)+Tableau!$H$25</f>
        <v>10000</v>
      </c>
      <c r="J183" s="34">
        <v>180</v>
      </c>
      <c r="K183" s="35">
        <f>Tableau!$G$36*COS(J183*PI()/180)+Tableau!$G$35</f>
        <v>-10000</v>
      </c>
      <c r="L183" s="35">
        <f>Tableau!$G$36*SIN(J183*PI()/180)+Tableau!$H$35</f>
        <v>-15000</v>
      </c>
      <c r="N183" s="98">
        <v>179</v>
      </c>
      <c r="O183" s="99">
        <v>89.5</v>
      </c>
      <c r="P183" s="101">
        <f>P182+R182*Tableau!$G$2+((1/2)*T182)*Tableau!$G$2^2</f>
        <v>-5863548.5215328354</v>
      </c>
      <c r="Q183" s="101">
        <f>Q182+S182*Tableau!$G$2+((1/2)*U182)*Tableau!$G$2^2</f>
        <v>2862449.7630413631</v>
      </c>
      <c r="R183" s="101">
        <f>R182+T182*Tableau!$G$2</f>
        <v>-68699.659015372468</v>
      </c>
      <c r="S183" s="101">
        <f>S182+U182*Tableau!$G$2</f>
        <v>33801.440701966043</v>
      </c>
      <c r="T183" s="101">
        <f t="shared" si="4"/>
        <v>2.5863326526959437E-2</v>
      </c>
      <c r="U183" s="101">
        <f t="shared" si="5"/>
        <v>-1.2626249141801313E-2</v>
      </c>
      <c r="V183" s="101">
        <f>((Tableau!$G$16-P183)/(AC183^2+Tableau!$G$21^2)^(3/2))*Tableau!$G$20</f>
        <v>1.1014799318436899E-2</v>
      </c>
      <c r="W183" s="101">
        <f>((Tableau!$H$16-Q183)/(AC183^2+Tableau!$G$21^2)^(3/2))*Tableau!$G$20</f>
        <v>-5.3448524455997539E-3</v>
      </c>
      <c r="X183" s="101">
        <f>((Tableau!$G$25-P183)/(AD183^2+Tableau!$G$30^2)^(3/2))*Tableau!$G$29</f>
        <v>3.8169156050894041E-3</v>
      </c>
      <c r="Y183" s="101">
        <f>((Tableau!$H$25-Q183)/(AD183^2+Tableau!$G$30^2)^(3/2))*Tableau!$G$29</f>
        <v>-1.8631761117695329E-3</v>
      </c>
      <c r="Z183" s="101">
        <f>((Tableau!$G$35-P183)/(AE183^2+Tableau!$G$40^2)^(3/2))*Tableau!$G$39</f>
        <v>1.1031611603433134E-2</v>
      </c>
      <c r="AA183" s="102">
        <f>((Tableau!$H$35-Q183)/(AE183^2+Tableau!$G$40^2)^(3/2))*Tableau!$G$39</f>
        <v>-5.4182205844320267E-3</v>
      </c>
      <c r="AC183" s="113">
        <f>SQRT((Tableau!$G$16-P183)^2+(Tableau!$H$16-Q183)^2)</f>
        <v>6539639.2373525584</v>
      </c>
      <c r="AD183" s="114">
        <f>SQRT((Tableau!$G$25-P183)^2+(Tableau!$H$25-Q183)^2)</f>
        <v>6502578.640369012</v>
      </c>
      <c r="AE183" s="115">
        <f>SQRT((Tableau!$G$35-P183)^2+(Tableau!$H$35-Q183)^2)</f>
        <v>6527044.3477872405</v>
      </c>
    </row>
    <row r="184" spans="2:31" x14ac:dyDescent="0.25">
      <c r="B184" s="20">
        <v>181</v>
      </c>
      <c r="C184" s="21">
        <f>Tableau!$G$17*COS(B184*PI()/180)+Tableau!$G$16</f>
        <v>15000.761524218044</v>
      </c>
      <c r="D184" s="21">
        <f>Tableau!$G$17*SIN(B184*PI()/180)+Tableau!$H$16</f>
        <v>7412.737967813584</v>
      </c>
      <c r="F184" s="28">
        <v>181</v>
      </c>
      <c r="G184" s="29">
        <f>Tableau!$G$26*COS(F184*PI()/180)+Tableau!$G$25</f>
        <v>-23499.46693304737</v>
      </c>
      <c r="H184" s="29">
        <f>Tableau!$G$26*SIN(F184*PI()/180)+Tableau!$H$25</f>
        <v>9938.9165774695084</v>
      </c>
      <c r="J184" s="36">
        <v>181</v>
      </c>
      <c r="K184" s="37">
        <f>Tableau!$G$36*COS(J184*PI()/180)+Tableau!$G$35</f>
        <v>-9999.2384757819564</v>
      </c>
      <c r="L184" s="37">
        <f>Tableau!$G$36*SIN(J184*PI()/180)+Tableau!$H$35</f>
        <v>-15087.262032186416</v>
      </c>
      <c r="N184" s="92">
        <v>180</v>
      </c>
      <c r="O184" s="93">
        <v>90</v>
      </c>
      <c r="P184" s="96">
        <f>P183+R183*Tableau!$G$2+((1/2)*T183)*Tableau!$G$2^2</f>
        <v>-5897898.3478076058</v>
      </c>
      <c r="Q184" s="96">
        <f>Q183+S183*Tableau!$G$2+((1/2)*U183)*Tableau!$G$2^2</f>
        <v>2879350.481814065</v>
      </c>
      <c r="R184" s="96">
        <f>R183+T183*Tableau!$G$2</f>
        <v>-68699.646083709202</v>
      </c>
      <c r="S184" s="96">
        <f>S183+U183*Tableau!$G$2</f>
        <v>33801.434388841473</v>
      </c>
      <c r="T184" s="96">
        <f t="shared" si="4"/>
        <v>2.5562445195396768E-2</v>
      </c>
      <c r="U184" s="96">
        <f t="shared" si="5"/>
        <v>-1.2479929777587381E-2</v>
      </c>
      <c r="V184" s="96">
        <f>((Tableau!$G$16-P184)/(AC184^2+Tableau!$G$21^2)^(3/2))*Tableau!$G$20</f>
        <v>1.0886797445102913E-2</v>
      </c>
      <c r="W184" s="96">
        <f>((Tableau!$H$16-Q184)/(AC184^2+Tableau!$G$21^2)^(3/2))*Tableau!$G$20</f>
        <v>-5.283168559276406E-3</v>
      </c>
      <c r="X184" s="96">
        <f>((Tableau!$G$25-P184)/(AD184^2+Tableau!$G$30^2)^(3/2))*Tableau!$G$29</f>
        <v>3.772333457180462E-3</v>
      </c>
      <c r="Y184" s="96">
        <f>((Tableau!$H$25-Q184)/(AD184^2+Tableau!$G$30^2)^(3/2))*Tableau!$G$29</f>
        <v>-1.841499492239666E-3</v>
      </c>
      <c r="Z184" s="96">
        <f>((Tableau!$G$35-P184)/(AE184^2+Tableau!$G$40^2)^(3/2))*Tableau!$G$39</f>
        <v>1.0903314293113392E-2</v>
      </c>
      <c r="AA184" s="97">
        <f>((Tableau!$H$35-Q184)/(AE184^2+Tableau!$G$40^2)^(3/2))*Tableau!$G$39</f>
        <v>-5.355261726071309E-3</v>
      </c>
      <c r="AC184" s="110">
        <f>SQRT((Tableau!$G$16-P184)^2+(Tableau!$H$16-Q184)^2)</f>
        <v>6577921.1035766965</v>
      </c>
      <c r="AD184" s="111">
        <f>SQRT((Tableau!$G$25-P184)^2+(Tableau!$H$25-Q184)^2)</f>
        <v>6540860.8894124934</v>
      </c>
      <c r="AE184" s="112">
        <f>SQRT((Tableau!$G$35-P184)^2+(Tableau!$H$35-Q184)^2)</f>
        <v>6565326.7739824587</v>
      </c>
    </row>
    <row r="185" spans="2:31" x14ac:dyDescent="0.25">
      <c r="B185" s="18">
        <v>182</v>
      </c>
      <c r="C185" s="19">
        <f>Tableau!$G$17*COS(B185*PI()/180)+Tableau!$G$16</f>
        <v>15003.045864904521</v>
      </c>
      <c r="D185" s="19">
        <f>Tableau!$G$17*SIN(B185*PI()/180)+Tableau!$H$16</f>
        <v>7325.5025164874951</v>
      </c>
      <c r="F185" s="26">
        <v>182</v>
      </c>
      <c r="G185" s="27">
        <f>Tableau!$G$26*COS(F185*PI()/180)+Tableau!$G$25</f>
        <v>-23497.867894566836</v>
      </c>
      <c r="H185" s="27">
        <f>Tableau!$G$26*SIN(F185*PI()/180)+Tableau!$H$25</f>
        <v>9877.8517615412475</v>
      </c>
      <c r="J185" s="34">
        <v>182</v>
      </c>
      <c r="K185" s="35">
        <f>Tableau!$G$36*COS(J185*PI()/180)+Tableau!$G$35</f>
        <v>-9996.9541350954787</v>
      </c>
      <c r="L185" s="35">
        <f>Tableau!$G$36*SIN(J185*PI()/180)+Tableau!$H$35</f>
        <v>-15174.497483512505</v>
      </c>
      <c r="N185" s="98">
        <v>181</v>
      </c>
      <c r="O185" s="99">
        <v>90.5</v>
      </c>
      <c r="P185" s="101">
        <f>P184+R184*Tableau!$G$2+((1/2)*T184)*Tableau!$G$2^2</f>
        <v>-5932248.1676541548</v>
      </c>
      <c r="Q185" s="101">
        <f>Q184+S184*Tableau!$G$2+((1/2)*U184)*Tableau!$G$2^2</f>
        <v>2896251.1974484944</v>
      </c>
      <c r="R185" s="101">
        <f>R184+T184*Tableau!$G$2</f>
        <v>-68699.633302486603</v>
      </c>
      <c r="S185" s="101">
        <f>S184+U184*Tableau!$G$2</f>
        <v>33801.428148876585</v>
      </c>
      <c r="T185" s="101">
        <f t="shared" si="4"/>
        <v>2.5266783974458057E-2</v>
      </c>
      <c r="U185" s="101">
        <f t="shared" si="5"/>
        <v>-1.2336139191383136E-2</v>
      </c>
      <c r="V185" s="101">
        <f>((Tableau!$G$16-P185)/(AC185^2+Tableau!$G$21^2)^(3/2))*Tableau!$G$20</f>
        <v>1.0761013908629774E-2</v>
      </c>
      <c r="W185" s="101">
        <f>((Tableau!$H$16-Q185)/(AC185^2+Tableau!$G$21^2)^(3/2))*Tableau!$G$20</f>
        <v>-5.2225463285018653E-3</v>
      </c>
      <c r="X185" s="101">
        <f>((Tableau!$G$25-P185)/(AD185^2+Tableau!$G$30^2)^(3/2))*Tableau!$G$29</f>
        <v>3.7285278652186651E-3</v>
      </c>
      <c r="Y185" s="101">
        <f>((Tableau!$H$25-Q185)/(AD185^2+Tableau!$G$30^2)^(3/2))*Tableau!$G$29</f>
        <v>-1.8201989684031405E-3</v>
      </c>
      <c r="Z185" s="101">
        <f>((Tableau!$G$35-P185)/(AE185^2+Tableau!$G$40^2)^(3/2))*Tableau!$G$39</f>
        <v>1.0777242200609617E-2</v>
      </c>
      <c r="AA185" s="102">
        <f>((Tableau!$H$35-Q185)/(AE185^2+Tableau!$G$40^2)^(3/2))*Tableau!$G$39</f>
        <v>-5.2933938944781309E-3</v>
      </c>
      <c r="AC185" s="113">
        <f>SQRT((Tableau!$G$16-P185)^2+(Tableau!$H$16-Q185)^2)</f>
        <v>6616202.9692341173</v>
      </c>
      <c r="AD185" s="114">
        <f>SQRT((Tableau!$G$25-P185)^2+(Tableau!$H$25-Q185)^2)</f>
        <v>6579143.1334713167</v>
      </c>
      <c r="AE185" s="115">
        <f>SQRT((Tableau!$G$35-P185)^2+(Tableau!$H$35-Q185)^2)</f>
        <v>6603609.1931310436</v>
      </c>
    </row>
    <row r="186" spans="2:31" x14ac:dyDescent="0.25">
      <c r="B186" s="20">
        <v>183</v>
      </c>
      <c r="C186" s="21">
        <f>Tableau!$G$17*COS(B186*PI()/180)+Tableau!$G$16</f>
        <v>15006.85232622713</v>
      </c>
      <c r="D186" s="21">
        <f>Tableau!$G$17*SIN(B186*PI()/180)+Tableau!$H$16</f>
        <v>7238.3202187852821</v>
      </c>
      <c r="F186" s="28">
        <v>183</v>
      </c>
      <c r="G186" s="29">
        <f>Tableau!$G$26*COS(F186*PI()/180)+Tableau!$G$25</f>
        <v>-23495.203371641008</v>
      </c>
      <c r="H186" s="29">
        <f>Tableau!$G$26*SIN(F186*PI()/180)+Tableau!$H$25</f>
        <v>9816.8241531496969</v>
      </c>
      <c r="J186" s="36">
        <v>183</v>
      </c>
      <c r="K186" s="37">
        <f>Tableau!$G$36*COS(J186*PI()/180)+Tableau!$G$35</f>
        <v>-9993.1476737728699</v>
      </c>
      <c r="L186" s="37">
        <f>Tableau!$G$36*SIN(J186*PI()/180)+Tableau!$H$35</f>
        <v>-15261.679781214718</v>
      </c>
      <c r="N186" s="92">
        <v>182</v>
      </c>
      <c r="O186" s="93">
        <v>91</v>
      </c>
      <c r="P186" s="96">
        <f>P185+R185*Tableau!$G$2+((1/2)*T185)*Tableau!$G$2^2</f>
        <v>-5966597.9811470509</v>
      </c>
      <c r="Q186" s="96">
        <f>Q185+S185*Tableau!$G$2+((1/2)*U185)*Tableau!$G$2^2</f>
        <v>2913151.9099809155</v>
      </c>
      <c r="R186" s="96">
        <f>R185+T185*Tableau!$G$2</f>
        <v>-68699.620669094613</v>
      </c>
      <c r="S186" s="96">
        <f>S185+U185*Tableau!$G$2</f>
        <v>33801.42198080699</v>
      </c>
      <c r="T186" s="96">
        <f t="shared" si="4"/>
        <v>2.4976222804054371E-2</v>
      </c>
      <c r="U186" s="96">
        <f t="shared" si="5"/>
        <v>-1.2194819445409196E-2</v>
      </c>
      <c r="V186" s="96">
        <f>((Tableau!$G$16-P186)/(AC186^2+Tableau!$G$21^2)^(3/2))*Tableau!$G$20</f>
        <v>1.0637397744133923E-2</v>
      </c>
      <c r="W186" s="96">
        <f>((Tableau!$H$16-Q186)/(AC186^2+Tableau!$G$21^2)^(3/2))*Tableau!$G$20</f>
        <v>-5.1629615300386733E-3</v>
      </c>
      <c r="X186" s="96">
        <f>((Tableau!$G$25-P186)/(AD186^2+Tableau!$G$30^2)^(3/2))*Tableau!$G$29</f>
        <v>3.6854808980256045E-3</v>
      </c>
      <c r="Y186" s="96">
        <f>((Tableau!$H$25-Q186)/(AD186^2+Tableau!$G$30^2)^(3/2))*Tableau!$G$29</f>
        <v>-1.7992658898790003E-3</v>
      </c>
      <c r="Z186" s="96">
        <f>((Tableau!$G$35-P186)/(AE186^2+Tableau!$G$40^2)^(3/2))*Tableau!$G$39</f>
        <v>1.0653344161894845E-2</v>
      </c>
      <c r="AA186" s="97">
        <f>((Tableau!$H$35-Q186)/(AE186^2+Tableau!$G$40^2)^(3/2))*Tableau!$G$39</f>
        <v>-5.2325920254915233E-3</v>
      </c>
      <c r="AC186" s="110">
        <f>SQRT((Tableau!$G$16-P186)^2+(Tableau!$H$16-Q186)^2)</f>
        <v>6654484.834294063</v>
      </c>
      <c r="AD186" s="111">
        <f>SQRT((Tableau!$G$25-P186)^2+(Tableau!$H$25-Q186)^2)</f>
        <v>6617425.3725907644</v>
      </c>
      <c r="AE186" s="112">
        <f>SQRT((Tableau!$G$35-P186)^2+(Tableau!$H$35-Q186)^2)</f>
        <v>6641891.6053140676</v>
      </c>
    </row>
    <row r="187" spans="2:31" x14ac:dyDescent="0.25">
      <c r="B187" s="18">
        <v>184</v>
      </c>
      <c r="C187" s="19">
        <f>Tableau!$G$17*COS(B187*PI()/180)+Tableau!$G$16</f>
        <v>15012.179748700877</v>
      </c>
      <c r="D187" s="19">
        <f>Tableau!$G$17*SIN(B187*PI()/180)+Tableau!$H$16</f>
        <v>7151.2176312793763</v>
      </c>
      <c r="F187" s="26">
        <v>184</v>
      </c>
      <c r="G187" s="27">
        <f>Tableau!$G$26*COS(F187*PI()/180)+Tableau!$G$25</f>
        <v>-23491.474175909385</v>
      </c>
      <c r="H187" s="27">
        <f>Tableau!$G$26*SIN(F187*PI()/180)+Tableau!$H$25</f>
        <v>9755.8523418955629</v>
      </c>
      <c r="J187" s="34">
        <v>184</v>
      </c>
      <c r="K187" s="35">
        <f>Tableau!$G$36*COS(J187*PI()/180)+Tableau!$G$35</f>
        <v>-9987.8202512991229</v>
      </c>
      <c r="L187" s="35">
        <f>Tableau!$G$36*SIN(J187*PI()/180)+Tableau!$H$35</f>
        <v>-15348.782368720624</v>
      </c>
      <c r="N187" s="98">
        <v>183</v>
      </c>
      <c r="O187" s="99">
        <v>91.5</v>
      </c>
      <c r="P187" s="101">
        <f>P186+R186*Tableau!$G$2+((1/2)*T186)*Tableau!$G$2^2</f>
        <v>-6000947.7883595703</v>
      </c>
      <c r="Q187" s="101">
        <f>Q186+S186*Tableau!$G$2+((1/2)*U186)*Tableau!$G$2^2</f>
        <v>2930052.6194469663</v>
      </c>
      <c r="R187" s="101">
        <f>R186+T186*Tableau!$G$2</f>
        <v>-68699.60818098321</v>
      </c>
      <c r="S187" s="101">
        <f>S186+U186*Tableau!$G$2</f>
        <v>33801.415883397269</v>
      </c>
      <c r="T187" s="101">
        <f t="shared" si="4"/>
        <v>2.4690645056016071E-2</v>
      </c>
      <c r="U187" s="101">
        <f t="shared" si="5"/>
        <v>-1.2055914251719563E-2</v>
      </c>
      <c r="V187" s="101">
        <f>((Tableau!$G$16-P187)/(AC187^2+Tableau!$G$21^2)^(3/2))*Tableau!$G$20</f>
        <v>1.0515899441962741E-2</v>
      </c>
      <c r="W187" s="101">
        <f>((Tableau!$H$16-Q187)/(AC187^2+Tableau!$G$21^2)^(3/2))*Tableau!$G$20</f>
        <v>-5.1043906275630557E-3</v>
      </c>
      <c r="X187" s="101">
        <f>((Tableau!$G$25-P187)/(AD187^2+Tableau!$G$30^2)^(3/2))*Tableau!$G$29</f>
        <v>3.6431751390046756E-3</v>
      </c>
      <c r="Y187" s="101">
        <f>((Tableau!$H$25-Q187)/(AD187^2+Tableau!$G$30^2)^(3/2))*Tableau!$G$29</f>
        <v>-1.7786918535653172E-3</v>
      </c>
      <c r="Z187" s="101">
        <f>((Tableau!$G$35-P187)/(AE187^2+Tableau!$G$40^2)^(3/2))*Tableau!$G$39</f>
        <v>1.0531570475048652E-2</v>
      </c>
      <c r="AA187" s="102">
        <f>((Tableau!$H$35-Q187)/(AE187^2+Tableau!$G$40^2)^(3/2))*Tableau!$G$39</f>
        <v>-5.1728317705911891E-3</v>
      </c>
      <c r="AC187" s="113">
        <f>SQRT((Tableau!$G$16-P187)^2+(Tableau!$H$16-Q187)^2)</f>
        <v>6692766.6987269418</v>
      </c>
      <c r="AD187" s="114">
        <f>SQRT((Tableau!$G$25-P187)^2+(Tableau!$H$25-Q187)^2)</f>
        <v>6655707.6068155468</v>
      </c>
      <c r="AE187" s="115">
        <f>SQRT((Tableau!$G$35-P187)^2+(Tableau!$H$35-Q187)^2)</f>
        <v>6680174.01061121</v>
      </c>
    </row>
    <row r="188" spans="2:31" x14ac:dyDescent="0.25">
      <c r="B188" s="20">
        <v>185</v>
      </c>
      <c r="C188" s="21">
        <f>Tableau!$G$17*COS(B188*PI()/180)+Tableau!$G$16</f>
        <v>15019.026509541272</v>
      </c>
      <c r="D188" s="21">
        <f>Tableau!$G$17*SIN(B188*PI()/180)+Tableau!$H$16</f>
        <v>7064.2212862617107</v>
      </c>
      <c r="F188" s="28">
        <v>185</v>
      </c>
      <c r="G188" s="29">
        <f>Tableau!$G$26*COS(F188*PI()/180)+Tableau!$G$25</f>
        <v>-23486.681443321111</v>
      </c>
      <c r="H188" s="29">
        <f>Tableau!$G$26*SIN(F188*PI()/180)+Tableau!$H$25</f>
        <v>9694.954900383198</v>
      </c>
      <c r="J188" s="36">
        <v>185</v>
      </c>
      <c r="K188" s="37">
        <f>Tableau!$G$36*COS(J188*PI()/180)+Tableau!$G$35</f>
        <v>-9980.9734904587276</v>
      </c>
      <c r="L188" s="37">
        <f>Tableau!$G$36*SIN(J188*PI()/180)+Tableau!$H$35</f>
        <v>-15435.778713738289</v>
      </c>
      <c r="N188" s="92">
        <v>184</v>
      </c>
      <c r="O188" s="93">
        <v>92</v>
      </c>
      <c r="P188" s="96">
        <f>P187+R187*Tableau!$G$2+((1/2)*T187)*Tableau!$G$2^2</f>
        <v>-6035297.5893637314</v>
      </c>
      <c r="Q188" s="96">
        <f>Q187+S187*Tableau!$G$2+((1/2)*U187)*Tableau!$G$2^2</f>
        <v>2946953.3258816758</v>
      </c>
      <c r="R188" s="96">
        <f>R187+T187*Tableau!$G$2</f>
        <v>-68699.595835660686</v>
      </c>
      <c r="S188" s="96">
        <f>S187+U187*Tableau!$G$2</f>
        <v>33801.409855440143</v>
      </c>
      <c r="T188" s="96">
        <f t="shared" si="4"/>
        <v>2.4409937417040756E-2</v>
      </c>
      <c r="U188" s="96">
        <f t="shared" si="5"/>
        <v>-1.1919368916144684E-2</v>
      </c>
      <c r="V188" s="96">
        <f>((Tableau!$G$16-P188)/(AC188^2+Tableau!$G$21^2)^(3/2))*Tableau!$G$20</f>
        <v>1.0396470898116234E-2</v>
      </c>
      <c r="W188" s="96">
        <f>((Tableau!$H$16-Q188)/(AC188^2+Tableau!$G$21^2)^(3/2))*Tableau!$G$20</f>
        <v>-5.0468107484228433E-3</v>
      </c>
      <c r="X188" s="96">
        <f>((Tableau!$G$25-P188)/(AD188^2+Tableau!$G$30^2)^(3/2))*Tableau!$G$29</f>
        <v>3.6015936685212654E-3</v>
      </c>
      <c r="Y188" s="96">
        <f>((Tableau!$H$25-Q188)/(AD188^2+Tableau!$G$30^2)^(3/2))*Tableau!$G$29</f>
        <v>-1.7584686952049492E-3</v>
      </c>
      <c r="Z188" s="96">
        <f>((Tableau!$G$35-P188)/(AE188^2+Tableau!$G$40^2)^(3/2))*Tableau!$G$39</f>
        <v>1.0411872850403259E-2</v>
      </c>
      <c r="AA188" s="97">
        <f>((Tableau!$H$35-Q188)/(AE188^2+Tableau!$G$40^2)^(3/2))*Tableau!$G$39</f>
        <v>-5.1140894725168924E-3</v>
      </c>
      <c r="AC188" s="110">
        <f>SQRT((Tableau!$G$16-P188)^2+(Tableau!$H$16-Q188)^2)</f>
        <v>6731048.5625042897</v>
      </c>
      <c r="AD188" s="111">
        <f>SQRT((Tableau!$G$25-P188)^2+(Tableau!$H$25-Q188)^2)</f>
        <v>6693989.8361898158</v>
      </c>
      <c r="AE188" s="112">
        <f>SQRT((Tableau!$G$35-P188)^2+(Tableau!$H$35-Q188)^2)</f>
        <v>6718456.4091007952</v>
      </c>
    </row>
    <row r="189" spans="2:31" x14ac:dyDescent="0.25">
      <c r="B189" s="18">
        <v>186</v>
      </c>
      <c r="C189" s="19">
        <f>Tableau!$G$17*COS(B189*PI()/180)+Tableau!$G$16</f>
        <v>15027.390523158632</v>
      </c>
      <c r="D189" s="19">
        <f>Tableau!$G$17*SIN(B189*PI()/180)+Tableau!$H$16</f>
        <v>6977.3576836617349</v>
      </c>
      <c r="F189" s="26">
        <v>186</v>
      </c>
      <c r="G189" s="27">
        <f>Tableau!$G$26*COS(F189*PI()/180)+Tableau!$G$25</f>
        <v>-23480.826633788958</v>
      </c>
      <c r="H189" s="27">
        <f>Tableau!$G$26*SIN(F189*PI()/180)+Tableau!$H$25</f>
        <v>9634.150378563214</v>
      </c>
      <c r="J189" s="34">
        <v>186</v>
      </c>
      <c r="K189" s="35">
        <f>Tableau!$G$36*COS(J189*PI()/180)+Tableau!$G$35</f>
        <v>-9972.6094768413677</v>
      </c>
      <c r="L189" s="35">
        <f>Tableau!$G$36*SIN(J189*PI()/180)+Tableau!$H$35</f>
        <v>-15522.642316338266</v>
      </c>
      <c r="N189" s="98">
        <v>185</v>
      </c>
      <c r="O189" s="99">
        <v>92.5</v>
      </c>
      <c r="P189" s="101">
        <f>P188+R188*Tableau!$G$2+((1/2)*T188)*Tableau!$G$2^2</f>
        <v>-6069647.3842303203</v>
      </c>
      <c r="Q189" s="101">
        <f>Q188+S188*Tableau!$G$2+((1/2)*U188)*Tableau!$G$2^2</f>
        <v>2963854.0293194749</v>
      </c>
      <c r="R189" s="101">
        <f>R188+T188*Tableau!$G$2</f>
        <v>-68699.583630691981</v>
      </c>
      <c r="S189" s="101">
        <f>S188+U188*Tableau!$G$2</f>
        <v>33801.403895755684</v>
      </c>
      <c r="T189" s="101">
        <f t="shared" si="4"/>
        <v>2.413398977627227E-2</v>
      </c>
      <c r="U189" s="101">
        <f t="shared" si="5"/>
        <v>-1.1785130284443954E-2</v>
      </c>
      <c r="V189" s="101">
        <f>((Tableau!$G$16-P189)/(AC189^2+Tableau!$G$21^2)^(3/2))*Tableau!$G$20</f>
        <v>1.0279065366627512E-2</v>
      </c>
      <c r="W189" s="101">
        <f>((Tableau!$H$16-Q189)/(AC189^2+Tableau!$G$21^2)^(3/2))*Tableau!$G$20</f>
        <v>-4.9901996613073794E-3</v>
      </c>
      <c r="X189" s="101">
        <f>((Tableau!$G$25-P189)/(AD189^2+Tableau!$G$30^2)^(3/2))*Tableau!$G$29</f>
        <v>3.5607200469834057E-3</v>
      </c>
      <c r="Y189" s="101">
        <f>((Tableau!$H$25-Q189)/(AD189^2+Tableau!$G$30^2)^(3/2))*Tableau!$G$29</f>
        <v>-1.7385884812852969E-3</v>
      </c>
      <c r="Z189" s="101">
        <f>((Tableau!$G$35-P189)/(AE189^2+Tableau!$G$40^2)^(3/2))*Tableau!$G$39</f>
        <v>1.0294204362661352E-2</v>
      </c>
      <c r="AA189" s="102">
        <f>((Tableau!$H$35-Q189)/(AE189^2+Tableau!$G$40^2)^(3/2))*Tableau!$G$39</f>
        <v>-5.0563421418512774E-3</v>
      </c>
      <c r="AC189" s="113">
        <f>SQRT((Tableau!$G$16-P189)^2+(Tableau!$H$16-Q189)^2)</f>
        <v>6769330.4255987294</v>
      </c>
      <c r="AD189" s="114">
        <f>SQRT((Tableau!$G$25-P189)^2+(Tableau!$H$25-Q189)^2)</f>
        <v>6732272.0607571751</v>
      </c>
      <c r="AE189" s="115">
        <f>SQRT((Tableau!$G$35-P189)^2+(Tableau!$H$35-Q189)^2)</f>
        <v>6756738.8008598154</v>
      </c>
    </row>
    <row r="190" spans="2:31" x14ac:dyDescent="0.25">
      <c r="B190" s="20">
        <v>187</v>
      </c>
      <c r="C190" s="21">
        <f>Tableau!$G$17*COS(B190*PI()/180)+Tableau!$G$16</f>
        <v>15037.26924179339</v>
      </c>
      <c r="D190" s="21">
        <f>Tableau!$G$17*SIN(B190*PI()/180)+Tableau!$H$16</f>
        <v>6890.6532829742609</v>
      </c>
      <c r="F190" s="28">
        <v>187</v>
      </c>
      <c r="G190" s="29">
        <f>Tableau!$G$26*COS(F190*PI()/180)+Tableau!$G$25</f>
        <v>-23473.911530744626</v>
      </c>
      <c r="H190" s="29">
        <f>Tableau!$G$26*SIN(F190*PI()/180)+Tableau!$H$25</f>
        <v>9573.457298081983</v>
      </c>
      <c r="J190" s="36">
        <v>187</v>
      </c>
      <c r="K190" s="37">
        <f>Tableau!$G$36*COS(J190*PI()/180)+Tableau!$G$35</f>
        <v>-9962.7307582066096</v>
      </c>
      <c r="L190" s="37">
        <f>Tableau!$G$36*SIN(J190*PI()/180)+Tableau!$H$35</f>
        <v>-15609.346717025739</v>
      </c>
      <c r="N190" s="92">
        <v>186</v>
      </c>
      <c r="O190" s="93">
        <v>93</v>
      </c>
      <c r="P190" s="96">
        <f>P189+R189*Tableau!$G$2+((1/2)*T189)*Tableau!$G$2^2</f>
        <v>-6103997.173028918</v>
      </c>
      <c r="Q190" s="96">
        <f>Q189+S189*Tableau!$G$2+((1/2)*U189)*Tableau!$G$2^2</f>
        <v>2980754.7297942112</v>
      </c>
      <c r="R190" s="96">
        <f>R189+T189*Tableau!$G$2</f>
        <v>-68699.5715636971</v>
      </c>
      <c r="S190" s="96">
        <f>S189+U189*Tableau!$G$2</f>
        <v>33801.398003190545</v>
      </c>
      <c r="T190" s="96">
        <f t="shared" si="4"/>
        <v>2.3862695117302789E-2</v>
      </c>
      <c r="U190" s="96">
        <f t="shared" si="5"/>
        <v>-1.1653146690568831E-2</v>
      </c>
      <c r="V190" s="96">
        <f>((Tableau!$G$16-P190)/(AC190^2+Tableau!$G$21^2)^(3/2))*Tableau!$G$20</f>
        <v>1.0163637413815086E-2</v>
      </c>
      <c r="W190" s="96">
        <f>((Tableau!$H$16-Q190)/(AC190^2+Tableau!$G$21^2)^(3/2))*Tableau!$G$20</f>
        <v>-4.9345357547891889E-3</v>
      </c>
      <c r="X190" s="96">
        <f>((Tableau!$G$25-P190)/(AD190^2+Tableau!$G$30^2)^(3/2))*Tableau!$G$29</f>
        <v>3.5205382985900452E-3</v>
      </c>
      <c r="Y190" s="96">
        <f>((Tableau!$H$25-Q190)/(AD190^2+Tableau!$G$30^2)^(3/2))*Tableau!$G$29</f>
        <v>-1.719043501256461E-3</v>
      </c>
      <c r="Z190" s="96">
        <f>((Tableau!$G$35-P190)/(AE190^2+Tableau!$G$40^2)^(3/2))*Tableau!$G$39</f>
        <v>1.0178519404897659E-2</v>
      </c>
      <c r="AA190" s="97">
        <f>((Tableau!$H$35-Q190)/(AE190^2+Tableau!$G$40^2)^(3/2))*Tableau!$G$39</f>
        <v>-4.9995674345231812E-3</v>
      </c>
      <c r="AC190" s="110">
        <f>SQRT((Tableau!$G$16-P190)^2+(Tableau!$H$16-Q190)^2)</f>
        <v>6807612.2879839325</v>
      </c>
      <c r="AD190" s="111">
        <f>SQRT((Tableau!$G$25-P190)^2+(Tableau!$H$25-Q190)^2)</f>
        <v>6770554.2805606797</v>
      </c>
      <c r="AE190" s="112">
        <f>SQRT((Tableau!$G$35-P190)^2+(Tableau!$H$35-Q190)^2)</f>
        <v>6795021.185963965</v>
      </c>
    </row>
    <row r="191" spans="2:31" x14ac:dyDescent="0.25">
      <c r="B191" s="18">
        <v>188</v>
      </c>
      <c r="C191" s="19">
        <f>Tableau!$G$17*COS(B191*PI()/180)+Tableau!$G$16</f>
        <v>15048.659656292148</v>
      </c>
      <c r="D191" s="19">
        <f>Tableau!$G$17*SIN(B191*PI()/180)+Tableau!$H$16</f>
        <v>6804.1344951996725</v>
      </c>
      <c r="F191" s="26">
        <v>188</v>
      </c>
      <c r="G191" s="27">
        <f>Tableau!$G$26*COS(F191*PI()/180)+Tableau!$G$25</f>
        <v>-23465.938240595497</v>
      </c>
      <c r="H191" s="27">
        <f>Tableau!$G$26*SIN(F191*PI()/180)+Tableau!$H$25</f>
        <v>9512.89414663977</v>
      </c>
      <c r="J191" s="34">
        <v>188</v>
      </c>
      <c r="K191" s="35">
        <f>Tableau!$G$36*COS(J191*PI()/180)+Tableau!$G$35</f>
        <v>-9951.3403437078523</v>
      </c>
      <c r="L191" s="35">
        <f>Tableau!$G$36*SIN(J191*PI()/180)+Tableau!$H$35</f>
        <v>-15695.865504800327</v>
      </c>
      <c r="N191" s="98">
        <v>187</v>
      </c>
      <c r="O191" s="99">
        <v>93.5</v>
      </c>
      <c r="P191" s="101">
        <f>P190+R190*Tableau!$G$2+((1/2)*T190)*Tableau!$G$2^2</f>
        <v>-6138346.9558279291</v>
      </c>
      <c r="Q191" s="101">
        <f>Q190+S190*Tableau!$G$2+((1/2)*U190)*Tableau!$G$2^2</f>
        <v>2997655.4273391631</v>
      </c>
      <c r="R191" s="101">
        <f>R190+T190*Tableau!$G$2</f>
        <v>-68699.559632349541</v>
      </c>
      <c r="S191" s="101">
        <f>S190+U190*Tableau!$G$2</f>
        <v>33801.392176617199</v>
      </c>
      <c r="T191" s="101">
        <f t="shared" si="4"/>
        <v>2.359594941440039E-2</v>
      </c>
      <c r="U191" s="101">
        <f t="shared" si="5"/>
        <v>-1.1523367906942627E-2</v>
      </c>
      <c r="V191" s="101">
        <f>((Tableau!$G$16-P191)/(AC191^2+Tableau!$G$21^2)^(3/2))*Tableau!$G$20</f>
        <v>1.0050142874323034E-2</v>
      </c>
      <c r="W191" s="101">
        <f>((Tableau!$H$16-Q191)/(AC191^2+Tableau!$G$21^2)^(3/2))*Tableau!$G$20</f>
        <v>-4.8797980166986081E-3</v>
      </c>
      <c r="X191" s="101">
        <f>((Tableau!$G$25-P191)/(AD191^2+Tableau!$G$30^2)^(3/2))*Tableau!$G$29</f>
        <v>3.481032895718134E-3</v>
      </c>
      <c r="Y191" s="101">
        <f>((Tableau!$H$25-Q191)/(AD191^2+Tableau!$G$30^2)^(3/2))*Tableau!$G$29</f>
        <v>-1.6998262600541115E-3</v>
      </c>
      <c r="Z191" s="101">
        <f>((Tableau!$G$35-P191)/(AE191^2+Tableau!$G$40^2)^(3/2))*Tableau!$G$39</f>
        <v>1.0064773644359223E-2</v>
      </c>
      <c r="AA191" s="102">
        <f>((Tableau!$H$35-Q191)/(AE191^2+Tableau!$G$40^2)^(3/2))*Tableau!$G$39</f>
        <v>-4.9437436301899068E-3</v>
      </c>
      <c r="AC191" s="113">
        <f>SQRT((Tableau!$G$16-P191)^2+(Tableau!$H$16-Q191)^2)</f>
        <v>6845894.1496345801</v>
      </c>
      <c r="AD191" s="114">
        <f>SQRT((Tableau!$G$25-P191)^2+(Tableau!$H$25-Q191)^2)</f>
        <v>6808836.495642853</v>
      </c>
      <c r="AE191" s="115">
        <f>SQRT((Tableau!$G$35-P191)^2+(Tableau!$H$35-Q191)^2)</f>
        <v>6833303.5644876659</v>
      </c>
    </row>
    <row r="192" spans="2:31" x14ac:dyDescent="0.25">
      <c r="B192" s="20">
        <v>189</v>
      </c>
      <c r="C192" s="21">
        <f>Tableau!$G$17*COS(B192*PI()/180)+Tableau!$G$16</f>
        <v>15061.558297024312</v>
      </c>
      <c r="D192" s="21">
        <f>Tableau!$G$17*SIN(B192*PI()/180)+Tableau!$H$16</f>
        <v>6717.8276747988466</v>
      </c>
      <c r="F192" s="28">
        <v>189</v>
      </c>
      <c r="G192" s="29">
        <f>Tableau!$G$26*COS(F192*PI()/180)+Tableau!$G$25</f>
        <v>-23456.909192082981</v>
      </c>
      <c r="H192" s="29">
        <f>Tableau!$G$26*SIN(F192*PI()/180)+Tableau!$H$25</f>
        <v>9452.479372359192</v>
      </c>
      <c r="J192" s="36">
        <v>189</v>
      </c>
      <c r="K192" s="37">
        <f>Tableau!$G$36*COS(J192*PI()/180)+Tableau!$G$35</f>
        <v>-9938.4417029756878</v>
      </c>
      <c r="L192" s="37">
        <f>Tableau!$G$36*SIN(J192*PI()/180)+Tableau!$H$35</f>
        <v>-15782.172325201154</v>
      </c>
      <c r="N192" s="92">
        <v>188</v>
      </c>
      <c r="O192" s="93">
        <v>94</v>
      </c>
      <c r="P192" s="96">
        <f>P191+R191*Tableau!$G$2+((1/2)*T191)*Tableau!$G$2^2</f>
        <v>-6172696.73269461</v>
      </c>
      <c r="Q192" s="96">
        <f>Q191+S191*Tableau!$G$2+((1/2)*U191)*Tableau!$G$2^2</f>
        <v>3014556.1219870504</v>
      </c>
      <c r="R192" s="96">
        <f>R191+T191*Tableau!$G$2</f>
        <v>-68699.54783437484</v>
      </c>
      <c r="S192" s="96">
        <f>S191+U191*Tableau!$G$2</f>
        <v>33801.386414933244</v>
      </c>
      <c r="T192" s="96">
        <f t="shared" si="4"/>
        <v>2.3333651532773537E-2</v>
      </c>
      <c r="U192" s="96">
        <f t="shared" si="5"/>
        <v>-1.1395745096667277E-2</v>
      </c>
      <c r="V192" s="96">
        <f>((Tableau!$G$16-P192)/(AC192^2+Tableau!$G$21^2)^(3/2))*Tableau!$G$20</f>
        <v>9.9385388088694595E-3</v>
      </c>
      <c r="W192" s="96">
        <f>((Tableau!$H$16-Q192)/(AC192^2+Tableau!$G$21^2)^(3/2))*Tableau!$G$20</f>
        <v>-4.8259660142945023E-3</v>
      </c>
      <c r="X192" s="96">
        <f>((Tableau!$G$25-P192)/(AD192^2+Tableau!$G$30^2)^(3/2))*Tableau!$G$29</f>
        <v>3.4421887439191863E-3</v>
      </c>
      <c r="Y192" s="96">
        <f>((Tableau!$H$25-Q192)/(AD192^2+Tableau!$G$30^2)^(3/2))*Tableau!$G$29</f>
        <v>-1.6809294709131317E-3</v>
      </c>
      <c r="Z192" s="96">
        <f>((Tableau!$G$35-P192)/(AE192^2+Tableau!$G$40^2)^(3/2))*Tableau!$G$39</f>
        <v>9.9529239799848925E-3</v>
      </c>
      <c r="AA192" s="97">
        <f>((Tableau!$H$35-Q192)/(AE192^2+Tableau!$G$40^2)^(3/2))*Tableau!$G$39</f>
        <v>-4.8888496114596431E-3</v>
      </c>
      <c r="AC192" s="110">
        <f>SQRT((Tableau!$G$16-P192)^2+(Tableau!$H$16-Q192)^2)</f>
        <v>6884176.0105263358</v>
      </c>
      <c r="AD192" s="111">
        <f>SQRT((Tableau!$G$25-P192)^2+(Tableau!$H$25-Q192)^2)</f>
        <v>6847118.7060456891</v>
      </c>
      <c r="AE192" s="112">
        <f>SQRT((Tableau!$G$35-P192)^2+(Tableau!$H$35-Q192)^2)</f>
        <v>6871585.9365041042</v>
      </c>
    </row>
    <row r="193" spans="2:31" x14ac:dyDescent="0.25">
      <c r="B193" s="18">
        <v>190</v>
      </c>
      <c r="C193" s="19">
        <f>Tableau!$G$17*COS(B193*PI()/180)+Tableau!$G$16</f>
        <v>15075.961234938961</v>
      </c>
      <c r="D193" s="19">
        <f>Tableau!$G$17*SIN(B193*PI()/180)+Tableau!$H$16</f>
        <v>6631.7591116653475</v>
      </c>
      <c r="F193" s="26">
        <v>190</v>
      </c>
      <c r="G193" s="27">
        <f>Tableau!$G$26*COS(F193*PI()/180)+Tableau!$G$25</f>
        <v>-23446.827135542728</v>
      </c>
      <c r="H193" s="27">
        <f>Tableau!$G$26*SIN(F193*PI()/180)+Tableau!$H$25</f>
        <v>9392.2313781657431</v>
      </c>
      <c r="J193" s="34">
        <v>190</v>
      </c>
      <c r="K193" s="35">
        <f>Tableau!$G$36*COS(J193*PI()/180)+Tableau!$G$35</f>
        <v>-9924.0387650610392</v>
      </c>
      <c r="L193" s="35">
        <f>Tableau!$G$36*SIN(J193*PI()/180)+Tableau!$H$35</f>
        <v>-15868.240888334652</v>
      </c>
      <c r="N193" s="98">
        <v>189</v>
      </c>
      <c r="O193" s="99">
        <v>94.5</v>
      </c>
      <c r="P193" s="101">
        <f>P192+R192*Tableau!$G$2+((1/2)*T192)*Tableau!$G$2^2</f>
        <v>-6207046.5036950903</v>
      </c>
      <c r="Q193" s="101">
        <f>Q192+S192*Tableau!$G$2+((1/2)*U192)*Tableau!$G$2^2</f>
        <v>3031456.8137700488</v>
      </c>
      <c r="R193" s="101">
        <f>R192+T192*Tableau!$G$2</f>
        <v>-68699.536167549071</v>
      </c>
      <c r="S193" s="101">
        <f>S192+U192*Tableau!$G$2</f>
        <v>33801.380717060696</v>
      </c>
      <c r="T193" s="101">
        <f t="shared" si="4"/>
        <v>2.3075703132695465E-2</v>
      </c>
      <c r="U193" s="101">
        <f t="shared" si="5"/>
        <v>-1.127023076757298E-2</v>
      </c>
      <c r="V193" s="101">
        <f>((Tableau!$G$16-P193)/(AC193^2+Tableau!$G$21^2)^(3/2))*Tableau!$G$20</f>
        <v>9.8287834636281331E-3</v>
      </c>
      <c r="W193" s="101">
        <f>((Tableau!$H$16-Q193)/(AC193^2+Tableau!$G$21^2)^(3/2))*Tableau!$G$20</f>
        <v>-4.7730198751963597E-3</v>
      </c>
      <c r="X193" s="101">
        <f>((Tableau!$G$25-P193)/(AD193^2+Tableau!$G$30^2)^(3/2))*Tableau!$G$29</f>
        <v>3.4039911674985678E-3</v>
      </c>
      <c r="Y193" s="101">
        <f>((Tableau!$H$25-Q193)/(AD193^2+Tableau!$G$30^2)^(3/2))*Tableau!$G$29</f>
        <v>-1.6623460484593241E-3</v>
      </c>
      <c r="Z193" s="101">
        <f>((Tableau!$G$35-P193)/(AE193^2+Tableau!$G$40^2)^(3/2))*Tableau!$G$39</f>
        <v>9.8429285015687647E-3</v>
      </c>
      <c r="AA193" s="102">
        <f>((Tableau!$H$35-Q193)/(AE193^2+Tableau!$G$40^2)^(3/2))*Tableau!$G$39</f>
        <v>-4.8348648439172975E-3</v>
      </c>
      <c r="AC193" s="113">
        <f>SQRT((Tableau!$G$16-P193)^2+(Tableau!$H$16-Q193)^2)</f>
        <v>6922457.8706358019</v>
      </c>
      <c r="AD193" s="114">
        <f>SQRT((Tableau!$G$25-P193)^2+(Tableau!$H$25-Q193)^2)</f>
        <v>6885400.9118106617</v>
      </c>
      <c r="AE193" s="115">
        <f>SQRT((Tableau!$G$35-P193)^2+(Tableau!$H$35-Q193)^2)</f>
        <v>6909868.3020852469</v>
      </c>
    </row>
    <row r="194" spans="2:31" x14ac:dyDescent="0.25">
      <c r="B194" s="20">
        <v>191</v>
      </c>
      <c r="C194" s="21">
        <f>Tableau!$G$17*COS(B194*PI()/180)+Tableau!$G$16</f>
        <v>15091.86408276168</v>
      </c>
      <c r="D194" s="21">
        <f>Tableau!$G$17*SIN(B194*PI()/180)+Tableau!$H$16</f>
        <v>6545.9550231172761</v>
      </c>
      <c r="F194" s="28">
        <v>191</v>
      </c>
      <c r="G194" s="29">
        <f>Tableau!$G$26*COS(F194*PI()/180)+Tableau!$G$25</f>
        <v>-23435.695142066823</v>
      </c>
      <c r="H194" s="29">
        <f>Tableau!$G$26*SIN(F194*PI()/180)+Tableau!$H$25</f>
        <v>9332.1685161820933</v>
      </c>
      <c r="J194" s="36">
        <v>191</v>
      </c>
      <c r="K194" s="37">
        <f>Tableau!$G$36*COS(J194*PI()/180)+Tableau!$G$35</f>
        <v>-9908.13591723832</v>
      </c>
      <c r="L194" s="37">
        <f>Tableau!$G$36*SIN(J194*PI()/180)+Tableau!$H$35</f>
        <v>-15954.044976882724</v>
      </c>
      <c r="N194" s="92">
        <v>190</v>
      </c>
      <c r="O194" s="93">
        <v>95</v>
      </c>
      <c r="P194" s="96">
        <f>P193+R193*Tableau!$G$2+((1/2)*T193)*Tableau!$G$2^2</f>
        <v>-6241396.2688944023</v>
      </c>
      <c r="Q194" s="96">
        <f>Q193+S193*Tableau!$G$2+((1/2)*U193)*Tableau!$G$2^2</f>
        <v>3048357.5027198</v>
      </c>
      <c r="R194" s="96">
        <f>R193+T193*Tableau!$G$2</f>
        <v>-68699.524629697509</v>
      </c>
      <c r="S194" s="96">
        <f>S193+U193*Tableau!$G$2</f>
        <v>33801.375081945313</v>
      </c>
      <c r="T194" s="96">
        <f t="shared" si="4"/>
        <v>2.2822008577316789E-2</v>
      </c>
      <c r="U194" s="96">
        <f t="shared" si="5"/>
        <v>-1.1146778728028953E-2</v>
      </c>
      <c r="V194" s="96">
        <f>((Tableau!$G$16-P194)/(AC194^2+Tableau!$G$21^2)^(3/2))*Tableau!$G$20</f>
        <v>9.7208362311713217E-3</v>
      </c>
      <c r="W194" s="96">
        <f>((Tableau!$H$16-Q194)/(AC194^2+Tableau!$G$21^2)^(3/2))*Tableau!$G$20</f>
        <v>-4.7209402690443734E-3</v>
      </c>
      <c r="X194" s="96">
        <f>((Tableau!$G$25-P194)/(AD194^2+Tableau!$G$30^2)^(3/2))*Tableau!$G$29</f>
        <v>3.3664258956519833E-3</v>
      </c>
      <c r="Y194" s="96">
        <f>((Tableau!$H$25-Q194)/(AD194^2+Tableau!$G$30^2)^(3/2))*Tableau!$G$29</f>
        <v>-1.6440691020670356E-3</v>
      </c>
      <c r="Z194" s="96">
        <f>((Tableau!$G$35-P194)/(AE194^2+Tableau!$G$40^2)^(3/2))*Tableau!$G$39</f>
        <v>9.7347464504934852E-3</v>
      </c>
      <c r="AA194" s="97">
        <f>((Tableau!$H$35-Q194)/(AE194^2+Tableau!$G$40^2)^(3/2))*Tableau!$G$39</f>
        <v>-4.7817693569175441E-3</v>
      </c>
      <c r="AC194" s="110">
        <f>SQRT((Tableau!$G$16-P194)^2+(Tableau!$H$16-Q194)^2)</f>
        <v>6960739.7299404927</v>
      </c>
      <c r="AD194" s="111">
        <f>SQRT((Tableau!$G$25-P194)^2+(Tableau!$H$25-Q194)^2)</f>
        <v>6923683.1129787341</v>
      </c>
      <c r="AE194" s="112">
        <f>SQRT((Tableau!$G$35-P194)^2+(Tableau!$H$35-Q194)^2)</f>
        <v>6948150.6613018773</v>
      </c>
    </row>
    <row r="195" spans="2:31" x14ac:dyDescent="0.25">
      <c r="B195" s="18">
        <v>192</v>
      </c>
      <c r="C195" s="19">
        <f>Tableau!$G$17*COS(B195*PI()/180)+Tableau!$G$16</f>
        <v>15109.261996330972</v>
      </c>
      <c r="D195" s="19">
        <f>Tableau!$G$17*SIN(B195*PI()/180)+Tableau!$H$16</f>
        <v>6460.4415459112042</v>
      </c>
      <c r="F195" s="26">
        <v>192</v>
      </c>
      <c r="G195" s="27">
        <f>Tableau!$G$26*COS(F195*PI()/180)+Tableau!$G$25</f>
        <v>-23423.516602568321</v>
      </c>
      <c r="H195" s="27">
        <f>Tableau!$G$26*SIN(F195*PI()/180)+Tableau!$H$25</f>
        <v>9272.3090821378428</v>
      </c>
      <c r="J195" s="34">
        <v>192</v>
      </c>
      <c r="K195" s="35">
        <f>Tableau!$G$36*COS(J195*PI()/180)+Tableau!$G$35</f>
        <v>-9890.7380036690283</v>
      </c>
      <c r="L195" s="35">
        <f>Tableau!$G$36*SIN(J195*PI()/180)+Tableau!$H$35</f>
        <v>-16039.558454088796</v>
      </c>
      <c r="N195" s="98">
        <v>191</v>
      </c>
      <c r="O195" s="99">
        <v>95.5</v>
      </c>
      <c r="P195" s="101">
        <f>P194+R194*Tableau!$G$2+((1/2)*T194)*Tableau!$G$2^2</f>
        <v>-6275746.0283565</v>
      </c>
      <c r="Q195" s="101">
        <f>Q194+S194*Tableau!$G$2+((1/2)*U194)*Tableau!$G$2^2</f>
        <v>3065258.1888674251</v>
      </c>
      <c r="R195" s="101">
        <f>R194+T194*Tableau!$G$2</f>
        <v>-68699.513218693217</v>
      </c>
      <c r="S195" s="101">
        <f>S194+U194*Tableau!$G$2</f>
        <v>33801.369508555952</v>
      </c>
      <c r="T195" s="101">
        <f t="shared" si="4"/>
        <v>2.2572474844006575E-2</v>
      </c>
      <c r="U195" s="101">
        <f t="shared" si="5"/>
        <v>-1.1025344044439365E-2</v>
      </c>
      <c r="V195" s="101">
        <f>((Tableau!$G$16-P195)/(AC195^2+Tableau!$G$21^2)^(3/2))*Tableau!$G$20</f>
        <v>9.6146576129059868E-3</v>
      </c>
      <c r="W195" s="101">
        <f>((Tableau!$H$16-Q195)/(AC195^2+Tableau!$G$21^2)^(3/2))*Tableau!$G$20</f>
        <v>-4.6697083898561385E-3</v>
      </c>
      <c r="X195" s="101">
        <f>((Tableau!$G$25-P195)/(AD195^2+Tableau!$G$30^2)^(3/2))*Tableau!$G$29</f>
        <v>3.3294790491342581E-3</v>
      </c>
      <c r="Y195" s="101">
        <f>((Tableau!$H$25-Q195)/(AD195^2+Tableau!$G$30^2)^(3/2))*Tableau!$G$29</f>
        <v>-1.6260919294708727E-3</v>
      </c>
      <c r="Z195" s="101">
        <f>((Tableau!$G$35-P195)/(AE195^2+Tableau!$G$40^2)^(3/2))*Tableau!$G$39</f>
        <v>9.6283381819663311E-3</v>
      </c>
      <c r="AA195" s="102">
        <f>((Tableau!$H$35-Q195)/(AE195^2+Tableau!$G$40^2)^(3/2))*Tableau!$G$39</f>
        <v>-4.7295437251123522E-3</v>
      </c>
      <c r="AC195" s="113">
        <f>SQRT((Tableau!$G$16-P195)^2+(Tableau!$H$16-Q195)^2)</f>
        <v>6999021.5884188013</v>
      </c>
      <c r="AD195" s="114">
        <f>SQRT((Tableau!$G$25-P195)^2+(Tableau!$H$25-Q195)^2)</f>
        <v>6961965.3095903592</v>
      </c>
      <c r="AE195" s="115">
        <f>SQRT((Tableau!$G$35-P195)^2+(Tableau!$H$35-Q195)^2)</f>
        <v>6986433.0142236138</v>
      </c>
    </row>
    <row r="196" spans="2:31" x14ac:dyDescent="0.25">
      <c r="B196" s="20">
        <v>193</v>
      </c>
      <c r="C196" s="21">
        <f>Tableau!$G$17*COS(B196*PI()/180)+Tableau!$G$16</f>
        <v>15128.149676073823</v>
      </c>
      <c r="D196" s="21">
        <f>Tableau!$G$17*SIN(B196*PI()/180)+Tableau!$H$16</f>
        <v>6375.2447282806752</v>
      </c>
      <c r="F196" s="28">
        <v>193</v>
      </c>
      <c r="G196" s="29">
        <f>Tableau!$G$26*COS(F196*PI()/180)+Tableau!$G$25</f>
        <v>-23410.295226748323</v>
      </c>
      <c r="H196" s="29">
        <f>Tableau!$G$26*SIN(F196*PI()/180)+Tableau!$H$25</f>
        <v>9212.671309796473</v>
      </c>
      <c r="J196" s="36">
        <v>193</v>
      </c>
      <c r="K196" s="37">
        <f>Tableau!$G$36*COS(J196*PI()/180)+Tableau!$G$35</f>
        <v>-9871.8503239261772</v>
      </c>
      <c r="L196" s="37">
        <f>Tableau!$G$36*SIN(J196*PI()/180)+Tableau!$H$35</f>
        <v>-16124.755271719325</v>
      </c>
      <c r="N196" s="92">
        <v>192</v>
      </c>
      <c r="O196" s="93">
        <v>96</v>
      </c>
      <c r="P196" s="96">
        <f>P195+R195*Tableau!$G$2+((1/2)*T195)*Tableau!$G$2^2</f>
        <v>-6310095.7821442876</v>
      </c>
      <c r="Q196" s="96">
        <f>Q195+S195*Tableau!$G$2+((1/2)*U195)*Tableau!$G$2^2</f>
        <v>3082158.8722435352</v>
      </c>
      <c r="R196" s="96">
        <f>R195+T195*Tableau!$G$2</f>
        <v>-68699.501932455794</v>
      </c>
      <c r="S196" s="96">
        <f>S195+U195*Tableau!$G$2</f>
        <v>33801.363995883927</v>
      </c>
      <c r="T196" s="96">
        <f t="shared" ref="T196:T259" si="6">V196+X196+Z196</f>
        <v>2.2327011439067346E-2</v>
      </c>
      <c r="U196" s="96">
        <f t="shared" ref="U196:U259" si="7">W196+Y196+AA196</f>
        <v>-1.0905883000350874E-2</v>
      </c>
      <c r="V196" s="96">
        <f>((Tableau!$G$16-P196)/(AC196^2+Tableau!$G$21^2)^(3/2))*Tableau!$G$20</f>
        <v>9.5102091829371831E-3</v>
      </c>
      <c r="W196" s="96">
        <f>((Tableau!$H$16-Q196)/(AC196^2+Tableau!$G$21^2)^(3/2))*Tableau!$G$20</f>
        <v>-4.6193059390492557E-3</v>
      </c>
      <c r="X196" s="96">
        <f>((Tableau!$G$25-P196)/(AD196^2+Tableau!$G$30^2)^(3/2))*Tableau!$G$29</f>
        <v>3.2931371274375109E-3</v>
      </c>
      <c r="Y196" s="96">
        <f>((Tableau!$H$25-Q196)/(AD196^2+Tableau!$G$30^2)^(3/2))*Tableau!$G$29</f>
        <v>-1.6084080106206029E-3</v>
      </c>
      <c r="Z196" s="96">
        <f>((Tableau!$G$35-P196)/(AE196^2+Tableau!$G$40^2)^(3/2))*Tableau!$G$39</f>
        <v>9.5236651286926509E-3</v>
      </c>
      <c r="AA196" s="97">
        <f>((Tableau!$H$35-Q196)/(AE196^2+Tableau!$G$40^2)^(3/2))*Tableau!$G$39</f>
        <v>-4.6781690506810152E-3</v>
      </c>
      <c r="AC196" s="110">
        <f>SQRT((Tableau!$G$16-P196)^2+(Tableau!$H$16-Q196)^2)</f>
        <v>7037303.4460499706</v>
      </c>
      <c r="AD196" s="111">
        <f>SQRT((Tableau!$G$25-P196)^2+(Tableau!$H$25-Q196)^2)</f>
        <v>7000247.5016854964</v>
      </c>
      <c r="AE196" s="112">
        <f>SQRT((Tableau!$G$35-P196)^2+(Tableau!$H$35-Q196)^2)</f>
        <v>7024715.360918941</v>
      </c>
    </row>
    <row r="197" spans="2:31" x14ac:dyDescent="0.25">
      <c r="B197" s="18">
        <v>194</v>
      </c>
      <c r="C197" s="19">
        <f>Tableau!$G$17*COS(B197*PI()/180)+Tableau!$G$16</f>
        <v>15148.521368620019</v>
      </c>
      <c r="D197" s="19">
        <f>Tableau!$G$17*SIN(B197*PI()/180)+Tableau!$H$16</f>
        <v>6290.3905220016622</v>
      </c>
      <c r="F197" s="26">
        <v>194</v>
      </c>
      <c r="G197" s="27">
        <f>Tableau!$G$26*COS(F197*PI()/180)+Tableau!$G$25</f>
        <v>-23396.035041965988</v>
      </c>
      <c r="H197" s="27">
        <f>Tableau!$G$26*SIN(F197*PI()/180)+Tableau!$H$25</f>
        <v>9153.2733654011645</v>
      </c>
      <c r="J197" s="34">
        <v>194</v>
      </c>
      <c r="K197" s="35">
        <f>Tableau!$G$36*COS(J197*PI()/180)+Tableau!$G$35</f>
        <v>-9851.4786313799814</v>
      </c>
      <c r="L197" s="35">
        <f>Tableau!$G$36*SIN(J197*PI()/180)+Tableau!$H$35</f>
        <v>-16209.609477998338</v>
      </c>
      <c r="N197" s="98">
        <v>193</v>
      </c>
      <c r="O197" s="99">
        <v>96.5</v>
      </c>
      <c r="P197" s="101">
        <f>P196+R196*Tableau!$G$2+((1/2)*T196)*Tableau!$G$2^2</f>
        <v>-6344445.5303196386</v>
      </c>
      <c r="Q197" s="101">
        <f>Q196+S196*Tableau!$G$2+((1/2)*U196)*Tableau!$G$2^2</f>
        <v>3099059.5528782415</v>
      </c>
      <c r="R197" s="101">
        <f>R196+T196*Tableau!$G$2</f>
        <v>-68699.490768950069</v>
      </c>
      <c r="S197" s="101">
        <f>S196+U196*Tableau!$G$2</f>
        <v>33801.358542942427</v>
      </c>
      <c r="T197" s="101">
        <f t="shared" si="6"/>
        <v>2.208553031567928E-2</v>
      </c>
      <c r="U197" s="101">
        <f t="shared" si="7"/>
        <v>-1.0788353057102929E-2</v>
      </c>
      <c r="V197" s="101">
        <f>((Tableau!$G$16-P197)/(AC197^2+Tableau!$G$21^2)^(3/2))*Tableau!$G$20</f>
        <v>9.4074535532994805E-3</v>
      </c>
      <c r="W197" s="101">
        <f>((Tableau!$H$16-Q197)/(AC197^2+Tableau!$G$21^2)^(3/2))*Tableau!$G$20</f>
        <v>-4.5697151091024747E-3</v>
      </c>
      <c r="X197" s="101">
        <f>((Tableau!$G$25-P197)/(AD197^2+Tableau!$G$30^2)^(3/2))*Tableau!$G$29</f>
        <v>3.2573869964566309E-3</v>
      </c>
      <c r="Y197" s="101">
        <f>((Tableau!$H$25-Q197)/(AD197^2+Tableau!$G$30^2)^(3/2))*Tableau!$G$29</f>
        <v>-1.5910110017687464E-3</v>
      </c>
      <c r="Z197" s="101">
        <f>((Tableau!$G$35-P197)/(AE197^2+Tableau!$G$40^2)^(3/2))*Tableau!$G$39</f>
        <v>9.4206897659231664E-3</v>
      </c>
      <c r="AA197" s="102">
        <f>((Tableau!$H$35-Q197)/(AE197^2+Tableau!$G$40^2)^(3/2))*Tableau!$G$39</f>
        <v>-4.6276269462317077E-3</v>
      </c>
      <c r="AC197" s="113">
        <f>SQRT((Tableau!$G$16-P197)^2+(Tableau!$H$16-Q197)^2)</f>
        <v>7075585.3028140599</v>
      </c>
      <c r="AD197" s="114">
        <f>SQRT((Tableau!$G$25-P197)^2+(Tableau!$H$25-Q197)^2)</f>
        <v>7038529.6893036105</v>
      </c>
      <c r="AE197" s="115">
        <f>SQRT((Tableau!$G$35-P197)^2+(Tableau!$H$35-Q197)^2)</f>
        <v>7062997.7014552308</v>
      </c>
    </row>
    <row r="198" spans="2:31" x14ac:dyDescent="0.25">
      <c r="B198" s="20">
        <v>195</v>
      </c>
      <c r="C198" s="21">
        <f>Tableau!$G$17*COS(B198*PI()/180)+Tableau!$G$16</f>
        <v>15170.370868554659</v>
      </c>
      <c r="D198" s="21">
        <f>Tableau!$G$17*SIN(B198*PI()/180)+Tableau!$H$16</f>
        <v>6205.9047744873988</v>
      </c>
      <c r="F198" s="28">
        <v>195</v>
      </c>
      <c r="G198" s="29">
        <f>Tableau!$G$26*COS(F198*PI()/180)+Tableau!$G$25</f>
        <v>-23380.740392011739</v>
      </c>
      <c r="H198" s="29">
        <f>Tableau!$G$26*SIN(F198*PI()/180)+Tableau!$H$25</f>
        <v>9094.1333421411782</v>
      </c>
      <c r="J198" s="36">
        <v>195</v>
      </c>
      <c r="K198" s="37">
        <f>Tableau!$G$36*COS(J198*PI()/180)+Tableau!$G$35</f>
        <v>-9829.629131445341</v>
      </c>
      <c r="L198" s="37">
        <f>Tableau!$G$36*SIN(J198*PI()/180)+Tableau!$H$35</f>
        <v>-16294.095225512601</v>
      </c>
      <c r="N198" s="92">
        <v>194</v>
      </c>
      <c r="O198" s="93">
        <v>97</v>
      </c>
      <c r="P198" s="96">
        <f>P197+R197*Tableau!$G$2+((1/2)*T197)*Tableau!$G$2^2</f>
        <v>-6378795.2729434222</v>
      </c>
      <c r="Q198" s="96">
        <f>Q197+S197*Tableau!$G$2+((1/2)*U197)*Tableau!$G$2^2</f>
        <v>3115960.2308011688</v>
      </c>
      <c r="R198" s="96">
        <f>R197+T197*Tableau!$G$2</f>
        <v>-68699.479726184916</v>
      </c>
      <c r="S198" s="96">
        <f>S197+U197*Tableau!$G$2</f>
        <v>33801.353148765898</v>
      </c>
      <c r="T198" s="96">
        <f t="shared" si="6"/>
        <v>2.1847945794933057E-2</v>
      </c>
      <c r="U198" s="96">
        <f t="shared" si="7"/>
        <v>-1.0672712815953868E-2</v>
      </c>
      <c r="V198" s="96">
        <f>((Tableau!$G$16-P198)/(AC198^2+Tableau!$G$21^2)^(3/2))*Tableau!$G$20</f>
        <v>9.3063543404947845E-3</v>
      </c>
      <c r="W198" s="96">
        <f>((Tableau!$H$16-Q198)/(AC198^2+Tableau!$G$21^2)^(3/2))*Tableau!$G$20</f>
        <v>-4.5209185678267384E-3</v>
      </c>
      <c r="X198" s="96">
        <f>((Tableau!$G$25-P198)/(AD198^2+Tableau!$G$30^2)^(3/2))*Tableau!$G$29</f>
        <v>3.2222158766205514E-3</v>
      </c>
      <c r="Y198" s="96">
        <f>((Tableau!$H$25-Q198)/(AD198^2+Tableau!$G$30^2)^(3/2))*Tableau!$G$29</f>
        <v>-1.573894729780618E-3</v>
      </c>
      <c r="Z198" s="96">
        <f>((Tableau!$G$35-P198)/(AE198^2+Tableau!$G$40^2)^(3/2))*Tableau!$G$39</f>
        <v>9.3193755778177238E-3</v>
      </c>
      <c r="AA198" s="97">
        <f>((Tableau!$H$35-Q198)/(AE198^2+Tableau!$G$40^2)^(3/2))*Tableau!$G$39</f>
        <v>-4.5778995183465105E-3</v>
      </c>
      <c r="AC198" s="110">
        <f>SQRT((Tableau!$G$16-P198)^2+(Tableau!$H$16-Q198)^2)</f>
        <v>7113867.1586919259</v>
      </c>
      <c r="AD198" s="111">
        <f>SQRT((Tableau!$G$25-P198)^2+(Tableau!$H$25-Q198)^2)</f>
        <v>7076811.8724836865</v>
      </c>
      <c r="AE198" s="112">
        <f>SQRT((Tableau!$G$35-P198)^2+(Tableau!$H$35-Q198)^2)</f>
        <v>7101280.0358987693</v>
      </c>
    </row>
    <row r="199" spans="2:31" x14ac:dyDescent="0.25">
      <c r="B199" s="18">
        <v>196</v>
      </c>
      <c r="C199" s="19">
        <f>Tableau!$G$17*COS(B199*PI()/180)+Tableau!$G$16</f>
        <v>15193.691520308406</v>
      </c>
      <c r="D199" s="19">
        <f>Tableau!$G$17*SIN(B199*PI()/180)+Tableau!$H$16</f>
        <v>6121.8132209150053</v>
      </c>
      <c r="F199" s="26">
        <v>196</v>
      </c>
      <c r="G199" s="27">
        <f>Tableau!$G$26*COS(F199*PI()/180)+Tableau!$G$25</f>
        <v>-23364.415935784116</v>
      </c>
      <c r="H199" s="27">
        <f>Tableau!$G$26*SIN(F199*PI()/180)+Tableau!$H$25</f>
        <v>9035.2692546405033</v>
      </c>
      <c r="J199" s="34">
        <v>196</v>
      </c>
      <c r="K199" s="35">
        <f>Tableau!$G$36*COS(J199*PI()/180)+Tableau!$G$35</f>
        <v>-9806.3084796915937</v>
      </c>
      <c r="L199" s="35">
        <f>Tableau!$G$36*SIN(J199*PI()/180)+Tableau!$H$35</f>
        <v>-16378.186779084996</v>
      </c>
      <c r="N199" s="98">
        <v>195</v>
      </c>
      <c r="O199" s="99">
        <v>97.5</v>
      </c>
      <c r="P199" s="101">
        <f>P198+R198*Tableau!$G$2+((1/2)*T198)*Tableau!$G$2^2</f>
        <v>-6413145.0100755207</v>
      </c>
      <c r="Q199" s="101">
        <f>Q198+S198*Tableau!$G$2+((1/2)*U198)*Tableau!$G$2^2</f>
        <v>3132860.9060414624</v>
      </c>
      <c r="R199" s="101">
        <f>R198+T198*Tableau!$G$2</f>
        <v>-68699.468802212024</v>
      </c>
      <c r="S199" s="101">
        <f>S198+U198*Tableau!$G$2</f>
        <v>33801.347812409491</v>
      </c>
      <c r="T199" s="101">
        <f t="shared" si="6"/>
        <v>2.1614174489820823E-2</v>
      </c>
      <c r="U199" s="101">
        <f t="shared" si="7"/>
        <v>-1.0558921981620693E-2</v>
      </c>
      <c r="V199" s="101">
        <f>((Tableau!$G$16-P199)/(AC199^2+Tableau!$G$21^2)^(3/2))*Tableau!$G$20</f>
        <v>9.2068761332826238E-3</v>
      </c>
      <c r="W199" s="101">
        <f>((Tableau!$H$16-Q199)/(AC199^2+Tableau!$G$21^2)^(3/2))*Tableau!$G$20</f>
        <v>-4.4728994432211479E-3</v>
      </c>
      <c r="X199" s="101">
        <f>((Tableau!$G$25-P199)/(AD199^2+Tableau!$G$30^2)^(3/2))*Tableau!$G$29</f>
        <v>3.1876113314699946E-3</v>
      </c>
      <c r="Y199" s="101">
        <f>((Tableau!$H$25-Q199)/(AD199^2+Tableau!$G$30^2)^(3/2))*Tableau!$G$29</f>
        <v>-1.5570531866576306E-3</v>
      </c>
      <c r="Z199" s="101">
        <f>((Tableau!$G$35-P199)/(AE199^2+Tableau!$G$40^2)^(3/2))*Tableau!$G$39</f>
        <v>9.2196870250682069E-3</v>
      </c>
      <c r="AA199" s="102">
        <f>((Tableau!$H$35-Q199)/(AE199^2+Tableau!$G$40^2)^(3/2))*Tableau!$G$39</f>
        <v>-4.528969351741915E-3</v>
      </c>
      <c r="AC199" s="113">
        <f>SQRT((Tableau!$G$16-P199)^2+(Tableau!$H$16-Q199)^2)</f>
        <v>7152149.0136651853</v>
      </c>
      <c r="AD199" s="114">
        <f>SQRT((Tableau!$G$25-P199)^2+(Tableau!$H$25-Q199)^2)</f>
        <v>7115094.0512642302</v>
      </c>
      <c r="AE199" s="115">
        <f>SQRT((Tableau!$G$35-P199)^2+(Tableau!$H$35-Q199)^2)</f>
        <v>7139562.364314775</v>
      </c>
    </row>
    <row r="200" spans="2:31" x14ac:dyDescent="0.25">
      <c r="B200" s="20">
        <v>197</v>
      </c>
      <c r="C200" s="21">
        <f>Tableau!$G$17*COS(B200*PI()/180)+Tableau!$G$16</f>
        <v>15218.476220184823</v>
      </c>
      <c r="D200" s="21">
        <f>Tableau!$G$17*SIN(B200*PI()/180)+Tableau!$H$16</f>
        <v>6038.1414763863177</v>
      </c>
      <c r="F200" s="28">
        <v>197</v>
      </c>
      <c r="G200" s="29">
        <f>Tableau!$G$26*COS(F200*PI()/180)+Tableau!$G$25</f>
        <v>-23347.066645870626</v>
      </c>
      <c r="H200" s="29">
        <f>Tableau!$G$26*SIN(F200*PI()/180)+Tableau!$H$25</f>
        <v>8976.6990334704224</v>
      </c>
      <c r="J200" s="36">
        <v>197</v>
      </c>
      <c r="K200" s="37">
        <f>Tableau!$G$36*COS(J200*PI()/180)+Tableau!$G$35</f>
        <v>-9781.5237798151775</v>
      </c>
      <c r="L200" s="37">
        <f>Tableau!$G$36*SIN(J200*PI()/180)+Tableau!$H$35</f>
        <v>-16461.858523613682</v>
      </c>
      <c r="N200" s="92">
        <v>196</v>
      </c>
      <c r="O200" s="93">
        <v>98</v>
      </c>
      <c r="P200" s="96">
        <f>P199+R199*Tableau!$G$2+((1/2)*T199)*Tableau!$G$2^2</f>
        <v>-6447494.7417748552</v>
      </c>
      <c r="Q200" s="96">
        <f>Q199+S199*Tableau!$G$2+((1/2)*U199)*Tableau!$G$2^2</f>
        <v>3149761.578627802</v>
      </c>
      <c r="R200" s="96">
        <f>R199+T199*Tableau!$G$2</f>
        <v>-68699.457995124772</v>
      </c>
      <c r="S200" s="96">
        <f>S199+U199*Tableau!$G$2</f>
        <v>33801.342532948504</v>
      </c>
      <c r="T200" s="96">
        <f t="shared" si="6"/>
        <v>2.1384135232057289E-2</v>
      </c>
      <c r="U200" s="96">
        <f t="shared" si="7"/>
        <v>-1.0446941327171635E-2</v>
      </c>
      <c r="V200" s="96">
        <f>((Tableau!$G$16-P200)/(AC200^2+Tableau!$G$21^2)^(3/2))*Tableau!$G$20</f>
        <v>9.1089844616686327E-3</v>
      </c>
      <c r="W200" s="96">
        <f>((Tableau!$H$16-Q200)/(AC200^2+Tableau!$G$21^2)^(3/2))*Tableau!$G$20</f>
        <v>-4.4256413088886604E-3</v>
      </c>
      <c r="X200" s="96">
        <f>((Tableau!$G$25-P200)/(AD200^2+Tableau!$G$30^2)^(3/2))*Tableau!$G$29</f>
        <v>3.1535612566620918E-3</v>
      </c>
      <c r="Y200" s="96">
        <f>((Tableau!$H$25-Q200)/(AD200^2+Tableau!$G$30^2)^(3/2))*Tableau!$G$29</f>
        <v>-1.540480524264531E-3</v>
      </c>
      <c r="Z200" s="96">
        <f>((Tableau!$G$35-P200)/(AE200^2+Tableau!$G$40^2)^(3/2))*Tableau!$G$39</f>
        <v>9.1215895137265642E-3</v>
      </c>
      <c r="AA200" s="97">
        <f>((Tableau!$H$35-Q200)/(AE200^2+Tableau!$G$40^2)^(3/2))*Tableau!$G$39</f>
        <v>-4.4808194940184438E-3</v>
      </c>
      <c r="AC200" s="110">
        <f>SQRT((Tableau!$G$16-P200)^2+(Tableau!$H$16-Q200)^2)</f>
        <v>7190430.867716196</v>
      </c>
      <c r="AD200" s="111">
        <f>SQRT((Tableau!$G$25-P200)^2+(Tableau!$H$25-Q200)^2)</f>
        <v>7153376.2256832803</v>
      </c>
      <c r="AE200" s="112">
        <f>SQRT((Tableau!$G$35-P200)^2+(Tableau!$H$35-Q200)^2)</f>
        <v>7177844.6867674273</v>
      </c>
    </row>
    <row r="201" spans="2:31" x14ac:dyDescent="0.25">
      <c r="B201" s="18">
        <v>198</v>
      </c>
      <c r="C201" s="19">
        <f>Tableau!$G$17*COS(B201*PI()/180)+Tableau!$G$16</f>
        <v>15244.717418524233</v>
      </c>
      <c r="D201" s="19">
        <f>Tableau!$G$17*SIN(B201*PI()/180)+Tableau!$H$16</f>
        <v>5954.9150281252614</v>
      </c>
      <c r="F201" s="26">
        <v>198</v>
      </c>
      <c r="G201" s="27">
        <f>Tableau!$G$26*COS(F201*PI()/180)+Tableau!$G$25</f>
        <v>-23328.697807033037</v>
      </c>
      <c r="H201" s="27">
        <f>Tableau!$G$26*SIN(F201*PI()/180)+Tableau!$H$25</f>
        <v>8918.4405196876833</v>
      </c>
      <c r="J201" s="34">
        <v>198</v>
      </c>
      <c r="K201" s="35">
        <f>Tableau!$G$36*COS(J201*PI()/180)+Tableau!$G$35</f>
        <v>-9755.2825814757671</v>
      </c>
      <c r="L201" s="35">
        <f>Tableau!$G$36*SIN(J201*PI()/180)+Tableau!$H$35</f>
        <v>-16545.084971874738</v>
      </c>
      <c r="N201" s="98">
        <v>197</v>
      </c>
      <c r="O201" s="99">
        <v>98.5</v>
      </c>
      <c r="P201" s="101">
        <f>P200+R200*Tableau!$G$2+((1/2)*T200)*Tableau!$G$2^2</f>
        <v>-6481844.4680994004</v>
      </c>
      <c r="Q201" s="101">
        <f>Q200+S200*Tableau!$G$2+((1/2)*U200)*Tableau!$G$2^2</f>
        <v>3166662.2485884088</v>
      </c>
      <c r="R201" s="101">
        <f>R200+T200*Tableau!$G$2</f>
        <v>-68699.447303057153</v>
      </c>
      <c r="S201" s="101">
        <f>S200+U200*Tableau!$G$2</f>
        <v>33801.337309477844</v>
      </c>
      <c r="T201" s="101">
        <f t="shared" si="6"/>
        <v>2.115774900161406E-2</v>
      </c>
      <c r="U201" s="101">
        <f t="shared" si="7"/>
        <v>-1.033673266021572E-2</v>
      </c>
      <c r="V201" s="101">
        <f>((Tableau!$G$16-P201)/(AC201^2+Tableau!$G$21^2)^(3/2))*Tableau!$G$20</f>
        <v>9.0126457670415879E-3</v>
      </c>
      <c r="W201" s="101">
        <f>((Tableau!$H$16-Q201)/(AC201^2+Tableau!$G$21^2)^(3/2))*Tableau!$G$20</f>
        <v>-4.3791281699884898E-3</v>
      </c>
      <c r="X201" s="101">
        <f>((Tableau!$G$25-P201)/(AD201^2+Tableau!$G$30^2)^(3/2))*Tableau!$G$29</f>
        <v>3.1200538693838742E-3</v>
      </c>
      <c r="Y201" s="101">
        <f>((Tableau!$H$25-Q201)/(AD201^2+Tableau!$G$30^2)^(3/2))*Tableau!$G$29</f>
        <v>-1.5241710492519954E-3</v>
      </c>
      <c r="Z201" s="101">
        <f>((Tableau!$G$35-P201)/(AE201^2+Tableau!$G$40^2)^(3/2))*Tableau!$G$39</f>
        <v>9.0250493651885984E-3</v>
      </c>
      <c r="AA201" s="102">
        <f>((Tableau!$H$35-Q201)/(AE201^2+Tableau!$G$40^2)^(3/2))*Tableau!$G$39</f>
        <v>-4.4334334409752351E-3</v>
      </c>
      <c r="AC201" s="113">
        <f>SQRT((Tableau!$G$16-P201)^2+(Tableau!$H$16-Q201)^2)</f>
        <v>7228712.7208280275</v>
      </c>
      <c r="AD201" s="114">
        <f>SQRT((Tableau!$G$25-P201)^2+(Tableau!$H$25-Q201)^2)</f>
        <v>7191658.3957784064</v>
      </c>
      <c r="AE201" s="115">
        <f>SQRT((Tableau!$G$35-P201)^2+(Tableau!$H$35-Q201)^2)</f>
        <v>7216127.0033198874</v>
      </c>
    </row>
    <row r="202" spans="2:31" x14ac:dyDescent="0.25">
      <c r="B202" s="20">
        <v>199</v>
      </c>
      <c r="C202" s="21">
        <f>Tableau!$G$17*COS(B202*PI()/180)+Tableau!$G$16</f>
        <v>15272.407122003417</v>
      </c>
      <c r="D202" s="21">
        <f>Tableau!$G$17*SIN(B202*PI()/180)+Tableau!$H$16</f>
        <v>5872.1592277142163</v>
      </c>
      <c r="F202" s="28">
        <v>199</v>
      </c>
      <c r="G202" s="29">
        <f>Tableau!$G$26*COS(F202*PI()/180)+Tableau!$G$25</f>
        <v>-23309.315014597611</v>
      </c>
      <c r="H202" s="29">
        <f>Tableau!$G$26*SIN(F202*PI()/180)+Tableau!$H$25</f>
        <v>8860.5114593999515</v>
      </c>
      <c r="J202" s="36">
        <v>199</v>
      </c>
      <c r="K202" s="37">
        <f>Tableau!$G$36*COS(J202*PI()/180)+Tableau!$G$35</f>
        <v>-9727.5928779965834</v>
      </c>
      <c r="L202" s="37">
        <f>Tableau!$G$36*SIN(J202*PI()/180)+Tableau!$H$35</f>
        <v>-16627.840772285785</v>
      </c>
      <c r="N202" s="92">
        <v>198</v>
      </c>
      <c r="O202" s="93">
        <v>99</v>
      </c>
      <c r="P202" s="96">
        <f>P201+R201*Tableau!$G$2+((1/2)*T201)*Tableau!$G$2^2</f>
        <v>-6516194.1891062101</v>
      </c>
      <c r="Q202" s="96">
        <f>Q201+S201*Tableau!$G$2+((1/2)*U201)*Tableau!$G$2^2</f>
        <v>3183562.9159510559</v>
      </c>
      <c r="R202" s="96">
        <f>R201+T201*Tableau!$G$2</f>
        <v>-68699.436724182655</v>
      </c>
      <c r="S202" s="96">
        <f>S201+U201*Tableau!$G$2</f>
        <v>33801.33214111151</v>
      </c>
      <c r="T202" s="96">
        <f t="shared" si="6"/>
        <v>2.0934938858849766E-2</v>
      </c>
      <c r="U202" s="96">
        <f t="shared" si="7"/>
        <v>-1.0228258790333481E-2</v>
      </c>
      <c r="V202" s="96">
        <f>((Tableau!$G$16-P202)/(AC202^2+Tableau!$G$21^2)^(3/2))*Tableau!$G$20</f>
        <v>8.9178273734093379E-3</v>
      </c>
      <c r="W202" s="96">
        <f>((Tableau!$H$16-Q202)/(AC202^2+Tableau!$G$21^2)^(3/2))*Tableau!$G$20</f>
        <v>-4.3333444497021143E-3</v>
      </c>
      <c r="X202" s="96">
        <f>((Tableau!$G$25-P202)/(AD202^2+Tableau!$G$30^2)^(3/2))*Tableau!$G$29</f>
        <v>3.0870776981574591E-3</v>
      </c>
      <c r="Y202" s="96">
        <f>((Tableau!$H$25-Q202)/(AD202^2+Tableau!$G$30^2)^(3/2))*Tableau!$G$29</f>
        <v>-1.508119218166414E-3</v>
      </c>
      <c r="Z202" s="96">
        <f>((Tableau!$G$35-P202)/(AE202^2+Tableau!$G$40^2)^(3/2))*Tableau!$G$39</f>
        <v>8.9300337872829684E-3</v>
      </c>
      <c r="AA202" s="97">
        <f>((Tableau!$H$35-Q202)/(AE202^2+Tableau!$G$40^2)^(3/2))*Tableau!$G$39</f>
        <v>-4.3867951224649529E-3</v>
      </c>
      <c r="AC202" s="110">
        <f>SQRT((Tableau!$G$16-P202)^2+(Tableau!$H$16-Q202)^2)</f>
        <v>7266994.5729844403</v>
      </c>
      <c r="AD202" s="111">
        <f>SQRT((Tableau!$G$25-P202)^2+(Tableau!$H$25-Q202)^2)</f>
        <v>7229940.5615867311</v>
      </c>
      <c r="AE202" s="112">
        <f>SQRT((Tableau!$G$35-P202)^2+(Tableau!$H$35-Q202)^2)</f>
        <v>7254409.314034313</v>
      </c>
    </row>
    <row r="203" spans="2:31" x14ac:dyDescent="0.25">
      <c r="B203" s="18">
        <v>200</v>
      </c>
      <c r="C203" s="19">
        <f>Tableau!$G$17*COS(B203*PI()/180)+Tableau!$G$16</f>
        <v>15301.536896070458</v>
      </c>
      <c r="D203" s="19">
        <f>Tableau!$G$17*SIN(B203*PI()/180)+Tableau!$H$16</f>
        <v>5789.8992833716566</v>
      </c>
      <c r="F203" s="26">
        <v>200</v>
      </c>
      <c r="G203" s="27">
        <f>Tableau!$G$26*COS(F203*PI()/180)+Tableau!$G$25</f>
        <v>-23288.924172750681</v>
      </c>
      <c r="H203" s="27">
        <f>Tableau!$G$26*SIN(F203*PI()/180)+Tableau!$H$25</f>
        <v>8802.9294983601594</v>
      </c>
      <c r="J203" s="34">
        <v>200</v>
      </c>
      <c r="K203" s="35">
        <f>Tableau!$G$36*COS(J203*PI()/180)+Tableau!$G$35</f>
        <v>-9698.4631039295418</v>
      </c>
      <c r="L203" s="35">
        <f>Tableau!$G$36*SIN(J203*PI()/180)+Tableau!$H$35</f>
        <v>-16710.100716628342</v>
      </c>
      <c r="N203" s="98">
        <v>199</v>
      </c>
      <c r="O203" s="99">
        <v>99.5</v>
      </c>
      <c r="P203" s="101">
        <f>P202+R202*Tableau!$G$2+((1/2)*T202)*Tableau!$G$2^2</f>
        <v>-6550543.9048514338</v>
      </c>
      <c r="Q203" s="101">
        <f>Q202+S202*Tableau!$G$2+((1/2)*U202)*Tableau!$G$2^2</f>
        <v>3200463.5807430795</v>
      </c>
      <c r="R203" s="101">
        <f>R202+T202*Tableau!$G$2</f>
        <v>-68699.426256713225</v>
      </c>
      <c r="S203" s="101">
        <f>S202+U202*Tableau!$G$2</f>
        <v>33801.327026982115</v>
      </c>
      <c r="T203" s="101">
        <f t="shared" si="6"/>
        <v>2.0715629879129113E-2</v>
      </c>
      <c r="U203" s="101">
        <f t="shared" si="7"/>
        <v>-1.0121483497697863E-2</v>
      </c>
      <c r="V203" s="101">
        <f>((Tableau!$G$16-P203)/(AC203^2+Tableau!$G$21^2)^(3/2))*Tableau!$G$20</f>
        <v>8.8244974596882863E-3</v>
      </c>
      <c r="W203" s="101">
        <f>((Tableau!$H$16-Q203)/(AC203^2+Tableau!$G$21^2)^(3/2))*Tableau!$G$20</f>
        <v>-4.288274976191885E-3</v>
      </c>
      <c r="X203" s="101">
        <f>((Tableau!$G$25-P203)/(AD203^2+Tableau!$G$30^2)^(3/2))*Tableau!$G$29</f>
        <v>3.0546215730203321E-3</v>
      </c>
      <c r="Y203" s="101">
        <f>((Tableau!$H$25-Q203)/(AD203^2+Tableau!$G$30^2)^(3/2))*Tableau!$G$29</f>
        <v>-1.4923196327389541E-3</v>
      </c>
      <c r="Z203" s="101">
        <f>((Tableau!$G$35-P203)/(AE203^2+Tableau!$G$40^2)^(3/2))*Tableau!$G$39</f>
        <v>8.836510846420495E-3</v>
      </c>
      <c r="AA203" s="102">
        <f>((Tableau!$H$35-Q203)/(AE203^2+Tableau!$G$40^2)^(3/2))*Tableau!$G$39</f>
        <v>-4.3408888887670237E-3</v>
      </c>
      <c r="AC203" s="113">
        <f>SQRT((Tableau!$G$16-P203)^2+(Tableau!$H$16-Q203)^2)</f>
        <v>7305276.4241698617</v>
      </c>
      <c r="AD203" s="114">
        <f>SQRT((Tableau!$G$25-P203)^2+(Tableau!$H$25-Q203)^2)</f>
        <v>7268222.7231449205</v>
      </c>
      <c r="AE203" s="115">
        <f>SQRT((Tableau!$G$35-P203)^2+(Tableau!$H$35-Q203)^2)</f>
        <v>7292691.6189718917</v>
      </c>
    </row>
    <row r="204" spans="2:31" x14ac:dyDescent="0.25">
      <c r="B204" s="20">
        <v>201</v>
      </c>
      <c r="C204" s="21">
        <f>Tableau!$G$17*COS(B204*PI()/180)+Tableau!$G$16</f>
        <v>15332.097867513992</v>
      </c>
      <c r="D204" s="21">
        <f>Tableau!$G$17*SIN(B204*PI()/180)+Tableau!$H$16</f>
        <v>5708.1602522734975</v>
      </c>
      <c r="F204" s="28">
        <v>201</v>
      </c>
      <c r="G204" s="29">
        <f>Tableau!$G$26*COS(F204*PI()/180)+Tableau!$G$25</f>
        <v>-23267.531492740207</v>
      </c>
      <c r="H204" s="29">
        <f>Tableau!$G$26*SIN(F204*PI()/180)+Tableau!$H$25</f>
        <v>8745.712176591449</v>
      </c>
      <c r="J204" s="36">
        <v>201</v>
      </c>
      <c r="K204" s="37">
        <f>Tableau!$G$36*COS(J204*PI()/180)+Tableau!$G$35</f>
        <v>-9667.9021324860078</v>
      </c>
      <c r="L204" s="37">
        <f>Tableau!$G$36*SIN(J204*PI()/180)+Tableau!$H$35</f>
        <v>-16791.839747726503</v>
      </c>
      <c r="N204" s="92">
        <v>200</v>
      </c>
      <c r="O204" s="93">
        <v>100</v>
      </c>
      <c r="P204" s="96">
        <f>P203+R203*Tableau!$G$2+((1/2)*T203)*Tableau!$G$2^2</f>
        <v>-6584893.6153903361</v>
      </c>
      <c r="Q204" s="96">
        <f>Q203+S203*Tableau!$G$2+((1/2)*U203)*Tableau!$G$2^2</f>
        <v>3217364.2429913851</v>
      </c>
      <c r="R204" s="96">
        <f>R203+T203*Tableau!$G$2</f>
        <v>-68699.415898898282</v>
      </c>
      <c r="S204" s="96">
        <f>S203+U203*Tableau!$G$2</f>
        <v>33801.321966240364</v>
      </c>
      <c r="T204" s="96">
        <f t="shared" si="6"/>
        <v>2.0499749089826887E-2</v>
      </c>
      <c r="U204" s="96">
        <f t="shared" si="7"/>
        <v>-1.0016371502835773E-2</v>
      </c>
      <c r="V204" s="96">
        <f>((Tableau!$G$16-P204)/(AC204^2+Tableau!$G$21^2)^(3/2))*Tableau!$G$20</f>
        <v>8.7326250330033856E-3</v>
      </c>
      <c r="W204" s="96">
        <f>((Tableau!$H$16-Q204)/(AC204^2+Tableau!$G$21^2)^(3/2))*Tableau!$G$20</f>
        <v>-4.2439049700322053E-3</v>
      </c>
      <c r="X204" s="96">
        <f>((Tableau!$G$25-P204)/(AD204^2+Tableau!$G$30^2)^(3/2))*Tableau!$G$29</f>
        <v>3.0226746160651229E-3</v>
      </c>
      <c r="Y204" s="96">
        <f>((Tableau!$H$25-Q204)/(AD204^2+Tableau!$G$30^2)^(3/2))*Tableau!$G$29</f>
        <v>-1.476767035346475E-3</v>
      </c>
      <c r="Z204" s="96">
        <f>((Tableau!$G$35-P204)/(AE204^2+Tableau!$G$40^2)^(3/2))*Tableau!$G$39</f>
        <v>8.7444494407583773E-3</v>
      </c>
      <c r="AA204" s="97">
        <f>((Tableau!$H$35-Q204)/(AE204^2+Tableau!$G$40^2)^(3/2))*Tableau!$G$39</f>
        <v>-4.2956994974570921E-3</v>
      </c>
      <c r="AC204" s="110">
        <f>SQRT((Tableau!$G$16-P204)^2+(Tableau!$H$16-Q204)^2)</f>
        <v>7343558.274369359</v>
      </c>
      <c r="AD204" s="111">
        <f>SQRT((Tableau!$G$25-P204)^2+(Tableau!$H$25-Q204)^2)</f>
        <v>7306504.8804892004</v>
      </c>
      <c r="AE204" s="112">
        <f>SQRT((Tableau!$G$35-P204)^2+(Tableau!$H$35-Q204)^2)</f>
        <v>7330973.9181928467</v>
      </c>
    </row>
    <row r="205" spans="2:31" x14ac:dyDescent="0.25">
      <c r="B205" s="18">
        <v>202</v>
      </c>
      <c r="C205" s="19">
        <f>Tableau!$G$17*COS(B205*PI()/180)+Tableau!$G$16</f>
        <v>15364.080727166063</v>
      </c>
      <c r="D205" s="19">
        <f>Tableau!$G$17*SIN(B205*PI()/180)+Tableau!$H$16</f>
        <v>5626.96703292044</v>
      </c>
      <c r="F205" s="26">
        <v>202</v>
      </c>
      <c r="G205" s="27">
        <f>Tableau!$G$26*COS(F205*PI()/180)+Tableau!$G$25</f>
        <v>-23245.143490983755</v>
      </c>
      <c r="H205" s="27">
        <f>Tableau!$G$26*SIN(F205*PI()/180)+Tableau!$H$25</f>
        <v>8688.8769230443086</v>
      </c>
      <c r="J205" s="34">
        <v>202</v>
      </c>
      <c r="K205" s="35">
        <f>Tableau!$G$36*COS(J205*PI()/180)+Tableau!$G$35</f>
        <v>-9635.9192728339367</v>
      </c>
      <c r="L205" s="35">
        <f>Tableau!$G$36*SIN(J205*PI()/180)+Tableau!$H$35</f>
        <v>-16873.032967079562</v>
      </c>
      <c r="N205" s="98">
        <v>201</v>
      </c>
      <c r="O205" s="99">
        <v>100.5</v>
      </c>
      <c r="P205" s="101">
        <f>P204+R204*Tableau!$G$2+((1/2)*T204)*Tableau!$G$2^2</f>
        <v>-6619243.3207773166</v>
      </c>
      <c r="Q205" s="101">
        <f>Q204+S204*Tableau!$G$2+((1/2)*U204)*Tableau!$G$2^2</f>
        <v>3234264.9027224588</v>
      </c>
      <c r="R205" s="101">
        <f>R204+T204*Tableau!$G$2</f>
        <v>-68699.405649023742</v>
      </c>
      <c r="S205" s="101">
        <f>S204+U204*Tableau!$G$2</f>
        <v>33801.316958054616</v>
      </c>
      <c r="T205" s="101">
        <f t="shared" si="6"/>
        <v>2.0287225409617658E-2</v>
      </c>
      <c r="U205" s="101">
        <f t="shared" si="7"/>
        <v>-9.9128884374829924E-3</v>
      </c>
      <c r="V205" s="101">
        <f>((Tableau!$G$16-P205)/(AC205^2+Tableau!$G$21^2)^(3/2))*Tableau!$G$20</f>
        <v>8.6421799029548548E-3</v>
      </c>
      <c r="W205" s="101">
        <f>((Tableau!$H$16-Q205)/(AC205^2+Tableau!$G$21^2)^(3/2))*Tableau!$G$20</f>
        <v>-4.2002200320929361E-3</v>
      </c>
      <c r="X205" s="101">
        <f>((Tableau!$G$25-P205)/(AD205^2+Tableau!$G$30^2)^(3/2))*Tableau!$G$29</f>
        <v>2.9912262323237584E-3</v>
      </c>
      <c r="Y205" s="101">
        <f>((Tableau!$H$25-Q205)/(AD205^2+Tableau!$G$30^2)^(3/2))*Tableau!$G$29</f>
        <v>-1.4614563046370923E-3</v>
      </c>
      <c r="Z205" s="101">
        <f>((Tableau!$G$35-P205)/(AE205^2+Tableau!$G$40^2)^(3/2))*Tableau!$G$39</f>
        <v>8.6538192743390446E-3</v>
      </c>
      <c r="AA205" s="102">
        <f>((Tableau!$H$35-Q205)/(AE205^2+Tableau!$G$40^2)^(3/2))*Tableau!$G$39</f>
        <v>-4.251212100752964E-3</v>
      </c>
      <c r="AC205" s="113">
        <f>SQRT((Tableau!$G$16-P205)^2+(Tableau!$H$16-Q205)^2)</f>
        <v>7381840.1235686271</v>
      </c>
      <c r="AD205" s="114">
        <f>SQRT((Tableau!$G$25-P205)^2+(Tableau!$H$25-Q205)^2)</f>
        <v>7344787.0336553594</v>
      </c>
      <c r="AE205" s="115">
        <f>SQRT((Tableau!$G$35-P205)^2+(Tableau!$H$35-Q205)^2)</f>
        <v>7369256.2117564715</v>
      </c>
    </row>
    <row r="206" spans="2:31" x14ac:dyDescent="0.25">
      <c r="B206" s="20">
        <v>203</v>
      </c>
      <c r="C206" s="21">
        <f>Tableau!$G$17*COS(B206*PI()/180)+Tableau!$G$16</f>
        <v>15397.475732737799</v>
      </c>
      <c r="D206" s="21">
        <f>Tableau!$G$17*SIN(B206*PI()/180)+Tableau!$H$16</f>
        <v>5546.3443575536321</v>
      </c>
      <c r="F206" s="28">
        <v>203</v>
      </c>
      <c r="G206" s="29">
        <f>Tableau!$G$26*COS(F206*PI()/180)+Tableau!$G$25</f>
        <v>-23221.766987083542</v>
      </c>
      <c r="H206" s="29">
        <f>Tableau!$G$26*SIN(F206*PI()/180)+Tableau!$H$25</f>
        <v>8632.4410502875435</v>
      </c>
      <c r="J206" s="36">
        <v>203</v>
      </c>
      <c r="K206" s="37">
        <f>Tableau!$G$36*COS(J206*PI()/180)+Tableau!$G$35</f>
        <v>-9602.5242672622007</v>
      </c>
      <c r="L206" s="37">
        <f>Tableau!$G$36*SIN(J206*PI()/180)+Tableau!$H$35</f>
        <v>-16953.655642446367</v>
      </c>
      <c r="N206" s="92">
        <v>202</v>
      </c>
      <c r="O206" s="93">
        <v>101</v>
      </c>
      <c r="P206" s="96">
        <f>P205+R205*Tableau!$G$2+((1/2)*T205)*Tableau!$G$2^2</f>
        <v>-6653593.0210659252</v>
      </c>
      <c r="Q206" s="96">
        <f>Q205+S205*Tableau!$G$2+((1/2)*U205)*Tableau!$G$2^2</f>
        <v>3251165.5599623751</v>
      </c>
      <c r="R206" s="96">
        <f>R205+T205*Tableau!$G$2</f>
        <v>-68699.395505411041</v>
      </c>
      <c r="S206" s="96">
        <f>S205+U205*Tableau!$G$2</f>
        <v>33801.3120016104</v>
      </c>
      <c r="T206" s="96">
        <f t="shared" si="6"/>
        <v>2.0077989589956359E-2</v>
      </c>
      <c r="U206" s="96">
        <f t="shared" si="7"/>
        <v>-9.811000816487208E-3</v>
      </c>
      <c r="V206" s="96">
        <f>((Tableau!$G$16-P206)/(AC206^2+Tableau!$G$21^2)^(3/2))*Tableau!$G$20</f>
        <v>8.5531326568137125E-3</v>
      </c>
      <c r="W206" s="96">
        <f>((Tableau!$H$16-Q206)/(AC206^2+Tableau!$G$21^2)^(3/2))*Tableau!$G$20</f>
        <v>-4.1572061318574166E-3</v>
      </c>
      <c r="X206" s="96">
        <f>((Tableau!$G$25-P206)/(AD206^2+Tableau!$G$30^2)^(3/2))*Tableau!$G$29</f>
        <v>2.9602661009819923E-3</v>
      </c>
      <c r="Y206" s="96">
        <f>((Tableau!$H$25-Q206)/(AD206^2+Tableau!$G$30^2)^(3/2))*Tableau!$G$29</f>
        <v>-1.4463824513137227E-3</v>
      </c>
      <c r="Z206" s="96">
        <f>((Tableau!$G$35-P206)/(AE206^2+Tableau!$G$40^2)^(3/2))*Tableau!$G$39</f>
        <v>8.5645908321606533E-3</v>
      </c>
      <c r="AA206" s="97">
        <f>((Tableau!$H$35-Q206)/(AE206^2+Tableau!$G$40^2)^(3/2))*Tableau!$G$39</f>
        <v>-4.2074122333160694E-3</v>
      </c>
      <c r="AC206" s="110">
        <f>SQRT((Tableau!$G$16-P206)^2+(Tableau!$H$16-Q206)^2)</f>
        <v>7420121.9717539586</v>
      </c>
      <c r="AD206" s="111">
        <f>SQRT((Tableau!$G$25-P206)^2+(Tableau!$H$25-Q206)^2)</f>
        <v>7383069.1826787572</v>
      </c>
      <c r="AE206" s="112">
        <f>SQRT((Tableau!$G$35-P206)^2+(Tableau!$H$35-Q206)^2)</f>
        <v>7407538.4997211359</v>
      </c>
    </row>
    <row r="207" spans="2:31" x14ac:dyDescent="0.25">
      <c r="B207" s="18">
        <v>204</v>
      </c>
      <c r="C207" s="19">
        <f>Tableau!$G$17*COS(B207*PI()/180)+Tableau!$G$16</f>
        <v>15432.272711786994</v>
      </c>
      <c r="D207" s="19">
        <f>Tableau!$G$17*SIN(B207*PI()/180)+Tableau!$H$16</f>
        <v>5466.3167846210008</v>
      </c>
      <c r="F207" s="26">
        <v>204</v>
      </c>
      <c r="G207" s="27">
        <f>Tableau!$G$26*COS(F207*PI()/180)+Tableau!$G$25</f>
        <v>-23197.409101749105</v>
      </c>
      <c r="H207" s="27">
        <f>Tableau!$G$26*SIN(F207*PI()/180)+Tableau!$H$25</f>
        <v>8576.4217492347016</v>
      </c>
      <c r="J207" s="34">
        <v>204</v>
      </c>
      <c r="K207" s="35">
        <f>Tableau!$G$36*COS(J207*PI()/180)+Tableau!$G$35</f>
        <v>-9567.7272882130055</v>
      </c>
      <c r="L207" s="35">
        <f>Tableau!$G$36*SIN(J207*PI()/180)+Tableau!$H$35</f>
        <v>-17033.683215378998</v>
      </c>
      <c r="N207" s="98">
        <v>203</v>
      </c>
      <c r="O207" s="99">
        <v>101.5</v>
      </c>
      <c r="P207" s="101">
        <f>P206+R206*Tableau!$G$2+((1/2)*T206)*Tableau!$G$2^2</f>
        <v>-6687942.7163088825</v>
      </c>
      <c r="Q207" s="101">
        <f>Q206+S206*Tableau!$G$2+((1/2)*U206)*Tableau!$G$2^2</f>
        <v>3268066.2147368053</v>
      </c>
      <c r="R207" s="101">
        <f>R206+T206*Tableau!$G$2</f>
        <v>-68699.38546641625</v>
      </c>
      <c r="S207" s="101">
        <f>S206+U206*Tableau!$G$2</f>
        <v>33801.307096109995</v>
      </c>
      <c r="T207" s="101">
        <f t="shared" si="6"/>
        <v>1.9871974158661803E-2</v>
      </c>
      <c r="U207" s="101">
        <f t="shared" si="7"/>
        <v>-9.7106760107173069E-3</v>
      </c>
      <c r="V207" s="101">
        <f>((Tableau!$G$16-P207)/(AC207^2+Tableau!$G$21^2)^(3/2))*Tableau!$G$20</f>
        <v>8.4654546356068405E-3</v>
      </c>
      <c r="W207" s="101">
        <f>((Tableau!$H$16-Q207)/(AC207^2+Tableau!$G$21^2)^(3/2))*Tableau!$G$20</f>
        <v>-4.1148495961568282E-3</v>
      </c>
      <c r="X207" s="101">
        <f>((Tableau!$G$25-P207)/(AD207^2+Tableau!$G$30^2)^(3/2))*Tableau!$G$29</f>
        <v>2.9297841669104867E-3</v>
      </c>
      <c r="Y207" s="101">
        <f>((Tableau!$H$25-Q207)/(AD207^2+Tableau!$G$30^2)^(3/2))*Tableau!$G$29</f>
        <v>-1.4315406140690211E-3</v>
      </c>
      <c r="Z207" s="101">
        <f>((Tableau!$G$35-P207)/(AE207^2+Tableau!$G$40^2)^(3/2))*Tableau!$G$39</f>
        <v>8.4767353561444759E-3</v>
      </c>
      <c r="AA207" s="102">
        <f>((Tableau!$H$35-Q207)/(AE207^2+Tableau!$G$40^2)^(3/2))*Tableau!$G$39</f>
        <v>-4.1642858004914589E-3</v>
      </c>
      <c r="AC207" s="113">
        <f>SQRT((Tableau!$G$16-P207)^2+(Tableau!$H$16-Q207)^2)</f>
        <v>7458403.8189122267</v>
      </c>
      <c r="AD207" s="114">
        <f>SQRT((Tableau!$G$25-P207)^2+(Tableau!$H$25-Q207)^2)</f>
        <v>7421351.3275943277</v>
      </c>
      <c r="AE207" s="115">
        <f>SQRT((Tableau!$G$35-P207)^2+(Tableau!$H$35-Q207)^2)</f>
        <v>7445820.7821443165</v>
      </c>
    </row>
    <row r="208" spans="2:31" x14ac:dyDescent="0.25">
      <c r="B208" s="20">
        <v>205</v>
      </c>
      <c r="C208" s="21">
        <f>Tableau!$G$17*COS(B208*PI()/180)+Tableau!$G$16</f>
        <v>15468.461064816751</v>
      </c>
      <c r="D208" s="21">
        <f>Tableau!$G$17*SIN(B208*PI()/180)+Tableau!$H$16</f>
        <v>5386.9086912965031</v>
      </c>
      <c r="F208" s="28">
        <v>205</v>
      </c>
      <c r="G208" s="29">
        <f>Tableau!$G$26*COS(F208*PI()/180)+Tableau!$G$25</f>
        <v>-23172.077254628275</v>
      </c>
      <c r="H208" s="29">
        <f>Tableau!$G$26*SIN(F208*PI()/180)+Tableau!$H$25</f>
        <v>8520.8360839075522</v>
      </c>
      <c r="J208" s="36">
        <v>205</v>
      </c>
      <c r="K208" s="37">
        <f>Tableau!$G$36*COS(J208*PI()/180)+Tableau!$G$35</f>
        <v>-9531.5389351832491</v>
      </c>
      <c r="L208" s="37">
        <f>Tableau!$G$36*SIN(J208*PI()/180)+Tableau!$H$35</f>
        <v>-17113.091308703497</v>
      </c>
      <c r="N208" s="92">
        <v>204</v>
      </c>
      <c r="O208" s="93">
        <v>102</v>
      </c>
      <c r="P208" s="96">
        <f>P207+R207*Tableau!$G$2+((1/2)*T207)*Tableau!$G$2^2</f>
        <v>-6722292.4065580936</v>
      </c>
      <c r="Q208" s="96">
        <f>Q207+S207*Tableau!$G$2+((1/2)*U207)*Tableau!$G$2^2</f>
        <v>3284966.8670710255</v>
      </c>
      <c r="R208" s="96">
        <f>R207+T207*Tableau!$G$2</f>
        <v>-68699.37553042917</v>
      </c>
      <c r="S208" s="96">
        <f>S207+U207*Tableau!$G$2</f>
        <v>33801.302240771991</v>
      </c>
      <c r="T208" s="96">
        <f t="shared" si="6"/>
        <v>1.9669113365514478E-2</v>
      </c>
      <c r="U208" s="96">
        <f t="shared" si="7"/>
        <v>-9.611882220936542E-3</v>
      </c>
      <c r="V208" s="96">
        <f>((Tableau!$G$16-P208)/(AC208^2+Tableau!$G$21^2)^(3/2))*Tableau!$G$20</f>
        <v>8.3791179110557119E-3</v>
      </c>
      <c r="W208" s="96">
        <f>((Tableau!$H$16-Q208)/(AC208^2+Tableau!$G$21^2)^(3/2))*Tableau!$G$20</f>
        <v>-4.0731370983042008E-3</v>
      </c>
      <c r="X208" s="96">
        <f>((Tableau!$G$25-P208)/(AD208^2+Tableau!$G$30^2)^(3/2))*Tableau!$G$29</f>
        <v>2.8997706324995344E-3</v>
      </c>
      <c r="Y208" s="96">
        <f>((Tableau!$H$25-Q208)/(AD208^2+Tableau!$G$30^2)^(3/2))*Tableau!$G$29</f>
        <v>-1.4169260556655561E-3</v>
      </c>
      <c r="Z208" s="96">
        <f>((Tableau!$G$35-P208)/(AE208^2+Tableau!$G$40^2)^(3/2))*Tableau!$G$39</f>
        <v>8.3902248219592315E-3</v>
      </c>
      <c r="AA208" s="97">
        <f>((Tableau!$H$35-Q208)/(AE208^2+Tableau!$G$40^2)^(3/2))*Tableau!$G$39</f>
        <v>-4.1218190669667859E-3</v>
      </c>
      <c r="AC208" s="110">
        <f>SQRT((Tableau!$G$16-P208)^2+(Tableau!$H$16-Q208)^2)</f>
        <v>7496685.6650308669</v>
      </c>
      <c r="AD208" s="111">
        <f>SQRT((Tableau!$G$25-P208)^2+(Tableau!$H$25-Q208)^2)</f>
        <v>7459633.4684365885</v>
      </c>
      <c r="AE208" s="112">
        <f>SQRT((Tableau!$G$35-P208)^2+(Tableau!$H$35-Q208)^2)</f>
        <v>7484103.0590826031</v>
      </c>
    </row>
    <row r="209" spans="2:31" x14ac:dyDescent="0.25">
      <c r="B209" s="18">
        <v>206</v>
      </c>
      <c r="C209" s="19">
        <f>Tableau!$G$17*COS(B209*PI()/180)+Tableau!$G$16</f>
        <v>15506.029768504164</v>
      </c>
      <c r="D209" s="19">
        <f>Tableau!$G$17*SIN(B209*PI()/180)+Tableau!$H$16</f>
        <v>5308.1442660546145</v>
      </c>
      <c r="F209" s="26">
        <v>206</v>
      </c>
      <c r="G209" s="27">
        <f>Tableau!$G$26*COS(F209*PI()/180)+Tableau!$G$25</f>
        <v>-23145.779162047085</v>
      </c>
      <c r="H209" s="27">
        <f>Tableau!$G$26*SIN(F209*PI()/180)+Tableau!$H$25</f>
        <v>8465.7009862382292</v>
      </c>
      <c r="J209" s="34">
        <v>206</v>
      </c>
      <c r="K209" s="35">
        <f>Tableau!$G$36*COS(J209*PI()/180)+Tableau!$G$35</f>
        <v>-9493.9702314958358</v>
      </c>
      <c r="L209" s="35">
        <f>Tableau!$G$36*SIN(J209*PI()/180)+Tableau!$H$35</f>
        <v>-17191.855733945384</v>
      </c>
      <c r="N209" s="98">
        <v>205</v>
      </c>
      <c r="O209" s="99">
        <v>102.5</v>
      </c>
      <c r="P209" s="101">
        <f>P208+R208*Tableau!$G$2+((1/2)*T208)*Tableau!$G$2^2</f>
        <v>-6756642.0918646688</v>
      </c>
      <c r="Q209" s="101">
        <f>Q208+S208*Tableau!$G$2+((1/2)*U208)*Tableau!$G$2^2</f>
        <v>3301867.5169899263</v>
      </c>
      <c r="R209" s="101">
        <f>R208+T208*Tableau!$G$2</f>
        <v>-68699.36569587249</v>
      </c>
      <c r="S209" s="101">
        <f>S208+U208*Tableau!$G$2</f>
        <v>33801.297434830878</v>
      </c>
      <c r="T209" s="101">
        <f t="shared" si="6"/>
        <v>1.9469343129788926E-2</v>
      </c>
      <c r="U209" s="101">
        <f t="shared" si="7"/>
        <v>-9.514588452601714E-3</v>
      </c>
      <c r="V209" s="101">
        <f>((Tableau!$G$16-P209)/(AC209^2+Tableau!$G$21^2)^(3/2))*Tableau!$G$20</f>
        <v>8.2940952633341388E-3</v>
      </c>
      <c r="W209" s="101">
        <f>((Tableau!$H$16-Q209)/(AC209^2+Tableau!$G$21^2)^(3/2))*Tableau!$G$20</f>
        <v>-4.0320556476119793E-3</v>
      </c>
      <c r="X209" s="101">
        <f>((Tableau!$G$25-P209)/(AD209^2+Tableau!$G$30^2)^(3/2))*Tableau!$G$29</f>
        <v>2.8702159497850811E-3</v>
      </c>
      <c r="Y209" s="101">
        <f>((Tableau!$H$25-Q209)/(AD209^2+Tableau!$G$30^2)^(3/2))*Tableau!$G$29</f>
        <v>-1.4025341591553421E-3</v>
      </c>
      <c r="Z209" s="101">
        <f>((Tableau!$G$35-P209)/(AE209^2+Tableau!$G$40^2)^(3/2))*Tableau!$G$39</f>
        <v>8.3050319166697063E-3</v>
      </c>
      <c r="AA209" s="102">
        <f>((Tableau!$H$35-Q209)/(AE209^2+Tableau!$G$40^2)^(3/2))*Tableau!$G$39</f>
        <v>-4.0799986458343934E-3</v>
      </c>
      <c r="AC209" s="113">
        <f>SQRT((Tableau!$G$16-P209)^2+(Tableau!$H$16-Q209)^2)</f>
        <v>7534967.5100978585</v>
      </c>
      <c r="AD209" s="114">
        <f>SQRT((Tableau!$G$25-P209)^2+(Tableau!$H$25-Q209)^2)</f>
        <v>7497915.6052396456</v>
      </c>
      <c r="AE209" s="115">
        <f>SQRT((Tableau!$G$35-P209)^2+(Tableau!$H$35-Q209)^2)</f>
        <v>7522385.3305917289</v>
      </c>
    </row>
    <row r="210" spans="2:31" x14ac:dyDescent="0.25">
      <c r="B210" s="20">
        <v>207</v>
      </c>
      <c r="C210" s="21">
        <f>Tableau!$G$17*COS(B210*PI()/180)+Tableau!$G$16</f>
        <v>15544.967379058158</v>
      </c>
      <c r="D210" s="21">
        <f>Tableau!$G$17*SIN(B210*PI()/180)+Tableau!$H$16</f>
        <v>5230.0475013022688</v>
      </c>
      <c r="F210" s="28">
        <v>207</v>
      </c>
      <c r="G210" s="29">
        <f>Tableau!$G$26*COS(F210*PI()/180)+Tableau!$G$25</f>
        <v>-23118.522834659288</v>
      </c>
      <c r="H210" s="29">
        <f>Tableau!$G$26*SIN(F210*PI()/180)+Tableau!$H$25</f>
        <v>8411.0332509115888</v>
      </c>
      <c r="J210" s="36">
        <v>207</v>
      </c>
      <c r="K210" s="37">
        <f>Tableau!$G$36*COS(J210*PI()/180)+Tableau!$G$35</f>
        <v>-9455.0326209418417</v>
      </c>
      <c r="L210" s="37">
        <f>Tableau!$G$36*SIN(J210*PI()/180)+Tableau!$H$35</f>
        <v>-17269.95249869773</v>
      </c>
      <c r="N210" s="92">
        <v>206</v>
      </c>
      <c r="O210" s="93">
        <v>103</v>
      </c>
      <c r="P210" s="96">
        <f>P209+R209*Tableau!$G$2+((1/2)*T209)*Tableau!$G$2^2</f>
        <v>-6790991.7722789375</v>
      </c>
      <c r="Q210" s="96">
        <f>Q209+S209*Tableau!$G$2+((1/2)*U209)*Tableau!$G$2^2</f>
        <v>3318768.1645180183</v>
      </c>
      <c r="R210" s="96">
        <f>R209+T209*Tableau!$G$2</f>
        <v>-68699.355961200927</v>
      </c>
      <c r="S210" s="96">
        <f>S209+U209*Tableau!$G$2</f>
        <v>33801.29267753665</v>
      </c>
      <c r="T210" s="96">
        <f t="shared" si="6"/>
        <v>1.9272600989642244E-2</v>
      </c>
      <c r="U210" s="96">
        <f t="shared" si="7"/>
        <v>-9.4187644915507962E-3</v>
      </c>
      <c r="V210" s="96">
        <f>((Tableau!$G$16-P210)/(AC210^2+Tableau!$G$21^2)^(3/2))*Tableau!$G$20</f>
        <v>8.2103601596119052E-3</v>
      </c>
      <c r="W210" s="96">
        <f>((Tableau!$H$16-Q210)/(AC210^2+Tableau!$G$21^2)^(3/2))*Tableau!$G$20</f>
        <v>-3.9915925792776853E-3</v>
      </c>
      <c r="X210" s="96">
        <f>((Tableau!$G$25-P210)/(AD210^2+Tableau!$G$30^2)^(3/2))*Tableau!$G$29</f>
        <v>2.8411108128541633E-3</v>
      </c>
      <c r="Y210" s="96">
        <f>((Tableau!$H$25-Q210)/(AD210^2+Tableau!$G$30^2)^(3/2))*Tableau!$G$29</f>
        <v>-1.3883604242330627E-3</v>
      </c>
      <c r="Z210" s="96">
        <f>((Tableau!$G$35-P210)/(AE210^2+Tableau!$G$40^2)^(3/2))*Tableau!$G$39</f>
        <v>8.2211300171761773E-3</v>
      </c>
      <c r="AA210" s="97">
        <f>((Tableau!$H$35-Q210)/(AE210^2+Tableau!$G$40^2)^(3/2))*Tableau!$G$39</f>
        <v>-4.0388114880400474E-3</v>
      </c>
      <c r="AC210" s="110">
        <f>SQRT((Tableau!$G$16-P210)^2+(Tableau!$H$16-Q210)^2)</f>
        <v>7573249.3541017063</v>
      </c>
      <c r="AD210" s="111">
        <f>SQRT((Tableau!$G$25-P210)^2+(Tableau!$H$25-Q210)^2)</f>
        <v>7536197.7380371997</v>
      </c>
      <c r="AE210" s="112">
        <f>SQRT((Tableau!$G$35-P210)^2+(Tableau!$H$35-Q210)^2)</f>
        <v>7560667.5967265796</v>
      </c>
    </row>
    <row r="211" spans="2:31" x14ac:dyDescent="0.25">
      <c r="B211" s="18">
        <v>208</v>
      </c>
      <c r="C211" s="19">
        <f>Tableau!$G$17*COS(B211*PI()/180)+Tableau!$G$16</f>
        <v>15585.262035705366</v>
      </c>
      <c r="D211" s="19">
        <f>Tableau!$G$17*SIN(B211*PI()/180)+Tableau!$H$16</f>
        <v>5152.6421860705459</v>
      </c>
      <c r="F211" s="26">
        <v>208</v>
      </c>
      <c r="G211" s="27">
        <f>Tableau!$G$26*COS(F211*PI()/180)+Tableau!$G$25</f>
        <v>-23090.316575006244</v>
      </c>
      <c r="H211" s="27">
        <f>Tableau!$G$26*SIN(F211*PI()/180)+Tableau!$H$25</f>
        <v>8356.849530249383</v>
      </c>
      <c r="J211" s="34">
        <v>208</v>
      </c>
      <c r="K211" s="35">
        <f>Tableau!$G$36*COS(J211*PI()/180)+Tableau!$G$35</f>
        <v>-9414.7379642946344</v>
      </c>
      <c r="L211" s="35">
        <f>Tableau!$G$36*SIN(J211*PI()/180)+Tableau!$H$35</f>
        <v>-17347.357813929455</v>
      </c>
      <c r="N211" s="98">
        <v>207</v>
      </c>
      <c r="O211" s="99">
        <v>103.5</v>
      </c>
      <c r="P211" s="101">
        <f>P210+R210*Tableau!$G$2+((1/2)*T210)*Tableau!$G$2^2</f>
        <v>-6825341.447850463</v>
      </c>
      <c r="Q211" s="101">
        <f>Q210+S210*Tableau!$G$2+((1/2)*U210)*Tableau!$G$2^2</f>
        <v>3335668.8096794412</v>
      </c>
      <c r="R211" s="101">
        <f>R210+T210*Tableau!$G$2</f>
        <v>-68699.346324900427</v>
      </c>
      <c r="S211" s="101">
        <f>S210+U210*Tableau!$G$2</f>
        <v>33801.287968154407</v>
      </c>
      <c r="T211" s="101">
        <f t="shared" si="6"/>
        <v>1.9078826053282601E-2</v>
      </c>
      <c r="U211" s="101">
        <f t="shared" si="7"/>
        <v>-9.3243808805427777E-3</v>
      </c>
      <c r="V211" s="101">
        <f>((Tableau!$G$16-P211)/(AC211^2+Tableau!$G$21^2)^(3/2))*Tableau!$G$20</f>
        <v>8.1278867333526884E-3</v>
      </c>
      <c r="W211" s="101">
        <f>((Tableau!$H$16-Q211)/(AC211^2+Tableau!$G$21^2)^(3/2))*Tableau!$G$20</f>
        <v>-3.9517355446229991E-3</v>
      </c>
      <c r="X211" s="101">
        <f>((Tableau!$G$25-P211)/(AD211^2+Tableau!$G$30^2)^(3/2))*Tableau!$G$29</f>
        <v>2.8124461505186489E-3</v>
      </c>
      <c r="Y211" s="101">
        <f>((Tableau!$H$25-Q211)/(AD211^2+Tableau!$G$30^2)^(3/2))*Tableau!$G$29</f>
        <v>-1.3744004637176882E-3</v>
      </c>
      <c r="Z211" s="101">
        <f>((Tableau!$G$35-P211)/(AE211^2+Tableau!$G$40^2)^(3/2))*Tableau!$G$39</f>
        <v>8.1384931694112612E-3</v>
      </c>
      <c r="AA211" s="102">
        <f>((Tableau!$H$35-Q211)/(AE211^2+Tableau!$G$40^2)^(3/2))*Tableau!$G$39</f>
        <v>-3.9982448722020898E-3</v>
      </c>
      <c r="AC211" s="113">
        <f>SQRT((Tableau!$G$16-P211)^2+(Tableau!$H$16-Q211)^2)</f>
        <v>7611531.1970314188</v>
      </c>
      <c r="AD211" s="114">
        <f>SQRT((Tableau!$G$25-P211)^2+(Tableau!$H$25-Q211)^2)</f>
        <v>7574479.8668625494</v>
      </c>
      <c r="AE211" s="115">
        <f>SQRT((Tableau!$G$35-P211)^2+(Tableau!$H$35-Q211)^2)</f>
        <v>7598949.8575412109</v>
      </c>
    </row>
    <row r="212" spans="2:31" x14ac:dyDescent="0.25">
      <c r="B212" s="20">
        <v>209</v>
      </c>
      <c r="C212" s="21">
        <f>Tableau!$G$17*COS(B212*PI()/180)+Tableau!$G$16</f>
        <v>15626.90146430302</v>
      </c>
      <c r="D212" s="21">
        <f>Tableau!$G$17*SIN(B212*PI()/180)+Tableau!$H$16</f>
        <v>5075.951898768315</v>
      </c>
      <c r="F212" s="28">
        <v>209</v>
      </c>
      <c r="G212" s="29">
        <f>Tableau!$G$26*COS(F212*PI()/180)+Tableau!$G$25</f>
        <v>-23061.168974987886</v>
      </c>
      <c r="H212" s="29">
        <f>Tableau!$G$26*SIN(F212*PI()/180)+Tableau!$H$25</f>
        <v>8303.1663291378209</v>
      </c>
      <c r="J212" s="36">
        <v>209</v>
      </c>
      <c r="K212" s="37">
        <f>Tableau!$G$36*COS(J212*PI()/180)+Tableau!$G$35</f>
        <v>-9373.0985356969795</v>
      </c>
      <c r="L212" s="37">
        <f>Tableau!$G$36*SIN(J212*PI()/180)+Tableau!$H$35</f>
        <v>-17424.048101231685</v>
      </c>
      <c r="N212" s="92">
        <v>208</v>
      </c>
      <c r="O212" s="93">
        <v>104</v>
      </c>
      <c r="P212" s="96">
        <f>P211+R211*Tableau!$G$2+((1/2)*T211)*Tableau!$G$2^2</f>
        <v>-6859691.1186280595</v>
      </c>
      <c r="Q212" s="96">
        <f>Q211+S211*Tableau!$G$2+((1/2)*U211)*Tableau!$G$2^2</f>
        <v>3352569.4524979708</v>
      </c>
      <c r="R212" s="96">
        <f>R211+T211*Tableau!$G$2</f>
        <v>-68699.336785487394</v>
      </c>
      <c r="S212" s="96">
        <f>S211+U211*Tableau!$G$2</f>
        <v>33801.283305963967</v>
      </c>
      <c r="T212" s="96">
        <f t="shared" si="6"/>
        <v>1.8887958951848229E-2</v>
      </c>
      <c r="U212" s="96">
        <f t="shared" si="7"/>
        <v>-9.2314088966165483E-3</v>
      </c>
      <c r="V212" s="96">
        <f>((Tableau!$G$16-P212)/(AC212^2+Tableau!$G$21^2)^(3/2))*Tableau!$G$20</f>
        <v>8.0466497643362396E-3</v>
      </c>
      <c r="W212" s="96">
        <f>((Tableau!$H$16-Q212)/(AC212^2+Tableau!$G$21^2)^(3/2))*Tableau!$G$20</f>
        <v>-3.9124725016722595E-3</v>
      </c>
      <c r="X212" s="96">
        <f>((Tableau!$G$25-P212)/(AD212^2+Tableau!$G$30^2)^(3/2))*Tableau!$G$29</f>
        <v>2.7842131192461739E-3</v>
      </c>
      <c r="Y212" s="96">
        <f>((Tableau!$H$25-Q212)/(AD212^2+Tableau!$G$30^2)^(3/2))*Tableau!$G$29</f>
        <v>-1.3606500001571828E-3</v>
      </c>
      <c r="Z212" s="96">
        <f>((Tableau!$G$35-P212)/(AE212^2+Tableau!$G$40^2)^(3/2))*Tableau!$G$39</f>
        <v>8.0570960682658128E-3</v>
      </c>
      <c r="AA212" s="97">
        <f>((Tableau!$H$35-Q212)/(AE212^2+Tableau!$G$40^2)^(3/2))*Tableau!$G$39</f>
        <v>-3.9582863947871059E-3</v>
      </c>
      <c r="AC212" s="110">
        <f>SQRT((Tableau!$G$16-P212)^2+(Tableau!$H$16-Q212)^2)</f>
        <v>7649813.0388764972</v>
      </c>
      <c r="AD212" s="111">
        <f>SQRT((Tableau!$G$25-P212)^2+(Tableau!$H$25-Q212)^2)</f>
        <v>7612761.9917486021</v>
      </c>
      <c r="AE212" s="112">
        <f>SQRT((Tableau!$G$35-P212)^2+(Tableau!$H$35-Q212)^2)</f>
        <v>7637232.1130888695</v>
      </c>
    </row>
    <row r="213" spans="2:31" x14ac:dyDescent="0.25">
      <c r="B213" s="18">
        <v>210</v>
      </c>
      <c r="C213" s="19">
        <f>Tableau!$G$17*COS(B213*PI()/180)+Tableau!$G$16</f>
        <v>15669.872981077806</v>
      </c>
      <c r="D213" s="19">
        <f>Tableau!$G$17*SIN(B213*PI()/180)+Tableau!$H$16</f>
        <v>5000</v>
      </c>
      <c r="F213" s="26">
        <v>210</v>
      </c>
      <c r="G213" s="27">
        <f>Tableau!$G$26*COS(F213*PI()/180)+Tableau!$G$25</f>
        <v>-23031.088913245534</v>
      </c>
      <c r="H213" s="27">
        <f>Tableau!$G$26*SIN(F213*PI()/180)+Tableau!$H$25</f>
        <v>8250</v>
      </c>
      <c r="J213" s="34">
        <v>210</v>
      </c>
      <c r="K213" s="35">
        <f>Tableau!$G$36*COS(J213*PI()/180)+Tableau!$G$35</f>
        <v>-9330.1270189221941</v>
      </c>
      <c r="L213" s="35">
        <f>Tableau!$G$36*SIN(J213*PI()/180)+Tableau!$H$35</f>
        <v>-17500</v>
      </c>
      <c r="N213" s="98">
        <v>209</v>
      </c>
      <c r="O213" s="99">
        <v>104.5</v>
      </c>
      <c r="P213" s="101">
        <f>P212+R212*Tableau!$G$2+((1/2)*T212)*Tableau!$G$2^2</f>
        <v>-6894040.7846598085</v>
      </c>
      <c r="Q213" s="101">
        <f>Q212+S212*Tableau!$G$2+((1/2)*U212)*Tableau!$G$2^2</f>
        <v>3369470.0929970271</v>
      </c>
      <c r="R213" s="101">
        <f>R212+T212*Tableau!$G$2</f>
        <v>-68699.327341507917</v>
      </c>
      <c r="S213" s="101">
        <f>S212+U212*Tableau!$G$2</f>
        <v>33801.278690259518</v>
      </c>
      <c r="T213" s="101">
        <f t="shared" si="6"/>
        <v>1.869994179392831E-2</v>
      </c>
      <c r="U213" s="101">
        <f t="shared" si="7"/>
        <v>-9.1398205292360247E-3</v>
      </c>
      <c r="V213" s="101">
        <f>((Tableau!$G$16-P213)/(AC213^2+Tableau!$G$21^2)^(3/2))*Tableau!$G$20</f>
        <v>7.966624659375832E-3</v>
      </c>
      <c r="W213" s="101">
        <f>((Tableau!$H$16-Q213)/(AC213^2+Tableau!$G$21^2)^(3/2))*Tableau!$G$20</f>
        <v>-3.8737917060568811E-3</v>
      </c>
      <c r="X213" s="101">
        <f>((Tableau!$G$25-P213)/(AD213^2+Tableau!$G$30^2)^(3/2))*Tableau!$G$29</f>
        <v>2.7564030963384703E-3</v>
      </c>
      <c r="Y213" s="101">
        <f>((Tableau!$H$25-Q213)/(AD213^2+Tableau!$G$30^2)^(3/2))*Tableau!$G$29</f>
        <v>-1.3471048625516362E-3</v>
      </c>
      <c r="Z213" s="101">
        <f>((Tableau!$G$35-P213)/(AE213^2+Tableau!$G$40^2)^(3/2))*Tableau!$G$39</f>
        <v>7.9769140382140065E-3</v>
      </c>
      <c r="AA213" s="102">
        <f>((Tableau!$H$35-Q213)/(AE213^2+Tableau!$G$40^2)^(3/2))*Tableau!$G$39</f>
        <v>-3.9189239606275076E-3</v>
      </c>
      <c r="AC213" s="113">
        <f>SQRT((Tableau!$G$16-P213)^2+(Tableau!$H$16-Q213)^2)</f>
        <v>7688094.8796269195</v>
      </c>
      <c r="AD213" s="114">
        <f>SQRT((Tableau!$G$25-P213)^2+(Tableau!$H$25-Q213)^2)</f>
        <v>7651044.1127278758</v>
      </c>
      <c r="AE213" s="115">
        <f>SQRT((Tableau!$G$35-P213)^2+(Tableau!$H$35-Q213)^2)</f>
        <v>7675514.3634220064</v>
      </c>
    </row>
    <row r="214" spans="2:31" x14ac:dyDescent="0.25">
      <c r="B214" s="20">
        <v>211</v>
      </c>
      <c r="C214" s="21">
        <f>Tableau!$G$17*COS(B214*PI()/180)+Tableau!$G$16</f>
        <v>15714.163496489438</v>
      </c>
      <c r="D214" s="21">
        <f>Tableau!$G$17*SIN(B214*PI()/180)+Tableau!$H$16</f>
        <v>4924.8096254497286</v>
      </c>
      <c r="F214" s="28">
        <v>211</v>
      </c>
      <c r="G214" s="29">
        <f>Tableau!$G$26*COS(F214*PI()/180)+Tableau!$G$25</f>
        <v>-23000.085552457393</v>
      </c>
      <c r="H214" s="29">
        <f>Tableau!$G$26*SIN(F214*PI()/180)+Tableau!$H$25</f>
        <v>8197.3667378148111</v>
      </c>
      <c r="J214" s="36">
        <v>211</v>
      </c>
      <c r="K214" s="37">
        <f>Tableau!$G$36*COS(J214*PI()/180)+Tableau!$G$35</f>
        <v>-9285.8365035105617</v>
      </c>
      <c r="L214" s="37">
        <f>Tableau!$G$36*SIN(J214*PI()/180)+Tableau!$H$35</f>
        <v>-17575.190374550271</v>
      </c>
      <c r="N214" s="92">
        <v>210</v>
      </c>
      <c r="O214" s="93">
        <v>105</v>
      </c>
      <c r="P214" s="96">
        <f>P213+R213*Tableau!$G$2+((1/2)*T213)*Tableau!$G$2^2</f>
        <v>-6928390.4459930696</v>
      </c>
      <c r="Q214" s="96">
        <f>Q213+S213*Tableau!$G$2+((1/2)*U213)*Tableau!$G$2^2</f>
        <v>3386370.7311996794</v>
      </c>
      <c r="R214" s="96">
        <f>R213+T213*Tableau!$G$2</f>
        <v>-68699.317991537013</v>
      </c>
      <c r="S214" s="96">
        <f>S213+U213*Tableau!$G$2</f>
        <v>33801.274120349255</v>
      </c>
      <c r="T214" s="96">
        <f t="shared" si="6"/>
        <v>1.8514718121659911E-2</v>
      </c>
      <c r="U214" s="96">
        <f t="shared" si="7"/>
        <v>-9.0495884591901693E-3</v>
      </c>
      <c r="V214" s="96">
        <f>((Tableau!$G$16-P214)/(AC214^2+Tableau!$G$21^2)^(3/2))*Tableau!$G$20</f>
        <v>7.8877874337035525E-3</v>
      </c>
      <c r="W214" s="96">
        <f>((Tableau!$H$16-Q214)/(AC214^2+Tableau!$G$21^2)^(3/2))*Tableau!$G$20</f>
        <v>-3.8356817022329069E-3</v>
      </c>
      <c r="X214" s="96">
        <f>((Tableau!$G$25-P214)/(AD214^2+Tableau!$G$30^2)^(3/2))*Tableau!$G$29</f>
        <v>2.7290076733467341E-3</v>
      </c>
      <c r="Y214" s="96">
        <f>((Tableau!$H$25-Q214)/(AD214^2+Tableau!$G$30^2)^(3/2))*Tableau!$G$29</f>
        <v>-1.3337609831898739E-3</v>
      </c>
      <c r="Z214" s="96">
        <f>((Tableau!$G$35-P214)/(AE214^2+Tableau!$G$40^2)^(3/2))*Tableau!$G$39</f>
        <v>7.8979230146096254E-3</v>
      </c>
      <c r="AA214" s="97">
        <f>((Tableau!$H$35-Q214)/(AE214^2+Tableau!$G$40^2)^(3/2))*Tableau!$G$39</f>
        <v>-3.8801457737673876E-3</v>
      </c>
      <c r="AC214" s="110">
        <f>SQRT((Tableau!$G$16-P214)^2+(Tableau!$H$16-Q214)^2)</f>
        <v>7726376.7192731174</v>
      </c>
      <c r="AD214" s="111">
        <f>SQRT((Tableau!$G$25-P214)^2+(Tableau!$H$25-Q214)^2)</f>
        <v>7689326.2298325058</v>
      </c>
      <c r="AE214" s="112">
        <f>SQRT((Tableau!$G$35-P214)^2+(Tableau!$H$35-Q214)^2)</f>
        <v>7713796.6085922932</v>
      </c>
    </row>
    <row r="215" spans="2:31" x14ac:dyDescent="0.25">
      <c r="B215" s="18">
        <v>212</v>
      </c>
      <c r="C215" s="19">
        <f>Tableau!$G$17*COS(B215*PI()/180)+Tableau!$G$16</f>
        <v>15759.759519217871</v>
      </c>
      <c r="D215" s="19">
        <f>Tableau!$G$17*SIN(B215*PI()/180)+Tableau!$H$16</f>
        <v>4850.4036788339763</v>
      </c>
      <c r="F215" s="26">
        <v>212</v>
      </c>
      <c r="G215" s="27">
        <f>Tableau!$G$26*COS(F215*PI()/180)+Tableau!$G$25</f>
        <v>-22968.168336547493</v>
      </c>
      <c r="H215" s="27">
        <f>Tableau!$G$26*SIN(F215*PI()/180)+Tableau!$H$25</f>
        <v>8145.2825751837827</v>
      </c>
      <c r="J215" s="34">
        <v>212</v>
      </c>
      <c r="K215" s="35">
        <f>Tableau!$G$36*COS(J215*PI()/180)+Tableau!$G$35</f>
        <v>-9240.2404807821295</v>
      </c>
      <c r="L215" s="35">
        <f>Tableau!$G$36*SIN(J215*PI()/180)+Tableau!$H$35</f>
        <v>-17649.596321166024</v>
      </c>
      <c r="N215" s="98">
        <v>211</v>
      </c>
      <c r="O215" s="99">
        <v>105.5</v>
      </c>
      <c r="P215" s="101">
        <f>P214+R214*Tableau!$G$2+((1/2)*T214)*Tableau!$G$2^2</f>
        <v>-6962740.1026744982</v>
      </c>
      <c r="Q215" s="101">
        <f>Q214+S214*Tableau!$G$2+((1/2)*U214)*Tableau!$G$2^2</f>
        <v>3403271.3671286558</v>
      </c>
      <c r="R215" s="101">
        <f>R214+T214*Tableau!$G$2</f>
        <v>-68699.308734177946</v>
      </c>
      <c r="S215" s="101">
        <f>S214+U214*Tableau!$G$2</f>
        <v>33801.269595555023</v>
      </c>
      <c r="T215" s="101">
        <f t="shared" si="6"/>
        <v>1.8332232868339623E-2</v>
      </c>
      <c r="U215" s="101">
        <f t="shared" si="7"/>
        <v>-8.9606860382185662E-3</v>
      </c>
      <c r="V215" s="101">
        <f>((Tableau!$G$16-P215)/(AC215^2+Tableau!$G$21^2)^(3/2))*Tableau!$G$20</f>
        <v>7.8101146929971856E-3</v>
      </c>
      <c r="W215" s="101">
        <f>((Tableau!$H$16-Q215)/(AC215^2+Tableau!$G$21^2)^(3/2))*Tableau!$G$20</f>
        <v>-3.7981313149994742E-3</v>
      </c>
      <c r="X215" s="101">
        <f>((Tableau!$G$25-P215)/(AD215^2+Tableau!$G$30^2)^(3/2))*Tableau!$G$29</f>
        <v>2.7020186497151042E-3</v>
      </c>
      <c r="Y215" s="101">
        <f>((Tableau!$H$25-Q215)/(AD215^2+Tableau!$G$30^2)^(3/2))*Tableau!$G$29</f>
        <v>-1.320614394595286E-3</v>
      </c>
      <c r="Z215" s="101">
        <f>((Tableau!$G$35-P215)/(AE215^2+Tableau!$G$40^2)^(3/2))*Tableau!$G$39</f>
        <v>7.8200995256273338E-3</v>
      </c>
      <c r="AA215" s="102">
        <f>((Tableau!$H$35-Q215)/(AE215^2+Tableau!$G$40^2)^(3/2))*Tableau!$G$39</f>
        <v>-3.8419403286238064E-3</v>
      </c>
      <c r="AC215" s="113">
        <f>SQRT((Tableau!$G$16-P215)^2+(Tableau!$H$16-Q215)^2)</f>
        <v>7764658.5578059703</v>
      </c>
      <c r="AD215" s="114">
        <f>SQRT((Tableau!$G$25-P215)^2+(Tableau!$H$25-Q215)^2)</f>
        <v>7727608.3430942511</v>
      </c>
      <c r="AE215" s="115">
        <f>SQRT((Tableau!$G$35-P215)^2+(Tableau!$H$35-Q215)^2)</f>
        <v>7752078.8486506343</v>
      </c>
    </row>
    <row r="216" spans="2:31" x14ac:dyDescent="0.25">
      <c r="B216" s="20">
        <v>213</v>
      </c>
      <c r="C216" s="21">
        <f>Tableau!$G$17*COS(B216*PI()/180)+Tableau!$G$16</f>
        <v>15806.64716027288</v>
      </c>
      <c r="D216" s="21">
        <f>Tableau!$G$17*SIN(B216*PI()/180)+Tableau!$H$16</f>
        <v>4776.8048249248641</v>
      </c>
      <c r="F216" s="28">
        <v>213</v>
      </c>
      <c r="G216" s="29">
        <f>Tableau!$G$26*COS(F216*PI()/180)+Tableau!$G$25</f>
        <v>-22935.346987808985</v>
      </c>
      <c r="H216" s="29">
        <f>Tableau!$G$26*SIN(F216*PI()/180)+Tableau!$H$25</f>
        <v>8093.7633774474052</v>
      </c>
      <c r="J216" s="36">
        <v>213</v>
      </c>
      <c r="K216" s="37">
        <f>Tableau!$G$36*COS(J216*PI()/180)+Tableau!$G$35</f>
        <v>-9193.3528397271202</v>
      </c>
      <c r="L216" s="37">
        <f>Tableau!$G$36*SIN(J216*PI()/180)+Tableau!$H$35</f>
        <v>-17723.195175075136</v>
      </c>
      <c r="N216" s="92">
        <v>212</v>
      </c>
      <c r="O216" s="93">
        <v>106</v>
      </c>
      <c r="P216" s="96">
        <f>P215+R215*Tableau!$G$2+((1/2)*T215)*Tableau!$G$2^2</f>
        <v>-6997089.7547500581</v>
      </c>
      <c r="Q216" s="96">
        <f>Q215+S215*Tableau!$G$2+((1/2)*U215)*Tableau!$G$2^2</f>
        <v>3420172.0008063475</v>
      </c>
      <c r="R216" s="96">
        <f>R215+T215*Tableau!$G$2</f>
        <v>-68699.299568061513</v>
      </c>
      <c r="S216" s="96">
        <f>S215+U215*Tableau!$G$2</f>
        <v>33801.265115212002</v>
      </c>
      <c r="T216" s="96">
        <f t="shared" si="6"/>
        <v>1.8152432317490804E-2</v>
      </c>
      <c r="U216" s="96">
        <f t="shared" si="7"/>
        <v>-8.8730872693343777E-3</v>
      </c>
      <c r="V216" s="96">
        <f>((Tableau!$G$16-P216)/(AC216^2+Tableau!$G$21^2)^(3/2))*Tableau!$G$20</f>
        <v>7.7335836160234619E-3</v>
      </c>
      <c r="W216" s="96">
        <f>((Tableau!$H$16-Q216)/(AC216^2+Tableau!$G$21^2)^(3/2))*Tableau!$G$20</f>
        <v>-3.761129641306411E-3</v>
      </c>
      <c r="X216" s="96">
        <f>((Tableau!$G$25-P216)/(AD216^2+Tableau!$G$30^2)^(3/2))*Tableau!$G$29</f>
        <v>2.6754280266429956E-3</v>
      </c>
      <c r="Y216" s="96">
        <f>((Tableau!$H$25-Q216)/(AD216^2+Tableau!$G$30^2)^(3/2))*Tableau!$G$29</f>
        <v>-1.3076612265764613E-3</v>
      </c>
      <c r="Z216" s="96">
        <f>((Tableau!$G$35-P216)/(AE216^2+Tableau!$G$40^2)^(3/2))*Tableau!$G$39</f>
        <v>7.7434206748243474E-3</v>
      </c>
      <c r="AA216" s="97">
        <f>((Tableau!$H$35-Q216)/(AE216^2+Tableau!$G$40^2)^(3/2))*Tableau!$G$39</f>
        <v>-3.8042964014515057E-3</v>
      </c>
      <c r="AC216" s="110">
        <f>SQRT((Tableau!$G$16-P216)^2+(Tableau!$H$16-Q216)^2)</f>
        <v>7802940.3952167816</v>
      </c>
      <c r="AD216" s="111">
        <f>SQRT((Tableau!$G$25-P216)^2+(Tableau!$H$25-Q216)^2)</f>
        <v>7765890.4525444983</v>
      </c>
      <c r="AE216" s="112">
        <f>SQRT((Tableau!$G$35-P216)^2+(Tableau!$H$35-Q216)^2)</f>
        <v>7790361.0836471897</v>
      </c>
    </row>
    <row r="217" spans="2:31" x14ac:dyDescent="0.25">
      <c r="B217" s="18">
        <v>214</v>
      </c>
      <c r="C217" s="19">
        <f>Tableau!$G$17*COS(B217*PI()/180)+Tableau!$G$16</f>
        <v>15854.812137224792</v>
      </c>
      <c r="D217" s="19">
        <f>Tableau!$G$17*SIN(B217*PI()/180)+Tableau!$H$16</f>
        <v>4704.0354826462662</v>
      </c>
      <c r="F217" s="26">
        <v>214</v>
      </c>
      <c r="G217" s="27">
        <f>Tableau!$G$26*COS(F217*PI()/180)+Tableau!$G$25</f>
        <v>-22901.631503942648</v>
      </c>
      <c r="H217" s="27">
        <f>Tableau!$G$26*SIN(F217*PI()/180)+Tableau!$H$25</f>
        <v>8042.8248378523867</v>
      </c>
      <c r="J217" s="34">
        <v>214</v>
      </c>
      <c r="K217" s="35">
        <f>Tableau!$G$36*COS(J217*PI()/180)+Tableau!$G$35</f>
        <v>-9145.1878627752085</v>
      </c>
      <c r="L217" s="35">
        <f>Tableau!$G$36*SIN(J217*PI()/180)+Tableau!$H$35</f>
        <v>-17795.964517353732</v>
      </c>
      <c r="N217" s="98">
        <v>213</v>
      </c>
      <c r="O217" s="99">
        <v>106.5</v>
      </c>
      <c r="P217" s="101">
        <f>P216+R216*Tableau!$G$2+((1/2)*T216)*Tableau!$G$2^2</f>
        <v>-7031439.4022650346</v>
      </c>
      <c r="Q217" s="101">
        <f>Q216+S216*Tableau!$G$2+((1/2)*U216)*Tableau!$G$2^2</f>
        <v>3437072.6322548175</v>
      </c>
      <c r="R217" s="101">
        <f>R216+T216*Tableau!$G$2</f>
        <v>-68699.290491845357</v>
      </c>
      <c r="S217" s="101">
        <f>S216+U216*Tableau!$G$2</f>
        <v>33801.260678668368</v>
      </c>
      <c r="T217" s="101">
        <f t="shared" si="6"/>
        <v>1.7975264063328267E-2</v>
      </c>
      <c r="U217" s="101">
        <f t="shared" si="7"/>
        <v>-8.7867667878168566E-3</v>
      </c>
      <c r="V217" s="101">
        <f>((Tableau!$G$16-P217)/(AC217^2+Tableau!$G$21^2)^(3/2))*Tableau!$G$20</f>
        <v>7.6581719378734517E-3</v>
      </c>
      <c r="W217" s="101">
        <f>((Tableau!$H$16-Q217)/(AC217^2+Tableau!$G$21^2)^(3/2))*Tableau!$G$20</f>
        <v>-3.7246660423396866E-3</v>
      </c>
      <c r="X217" s="101">
        <f>((Tableau!$G$25-P217)/(AD217^2+Tableau!$G$30^2)^(3/2))*Tableau!$G$29</f>
        <v>2.6492280011578989E-3</v>
      </c>
      <c r="Y217" s="101">
        <f>((Tableau!$H$25-Q217)/(AD217^2+Tableau!$G$30^2)^(3/2))*Tableau!$G$29</f>
        <v>-1.2948977033786218E-3</v>
      </c>
      <c r="Z217" s="101">
        <f>((Tableau!$G$35-P217)/(AE217^2+Tableau!$G$40^2)^(3/2))*Tableau!$G$39</f>
        <v>7.6678641242969164E-3</v>
      </c>
      <c r="AA217" s="102">
        <f>((Tableau!$H$35-Q217)/(AE217^2+Tableau!$G$40^2)^(3/2))*Tableau!$G$39</f>
        <v>-3.767203042098548E-3</v>
      </c>
      <c r="AC217" s="113">
        <f>SQRT((Tableau!$G$16-P217)^2+(Tableau!$H$16-Q217)^2)</f>
        <v>7841222.2314972756</v>
      </c>
      <c r="AD217" s="114">
        <f>SQRT((Tableau!$G$25-P217)^2+(Tableau!$H$25-Q217)^2)</f>
        <v>7804172.5582142677</v>
      </c>
      <c r="AE217" s="115">
        <f>SQRT((Tableau!$G$35-P217)^2+(Tableau!$H$35-Q217)^2)</f>
        <v>7828643.31363138</v>
      </c>
    </row>
    <row r="218" spans="2:31" x14ac:dyDescent="0.25">
      <c r="B218" s="20">
        <v>215</v>
      </c>
      <c r="C218" s="21">
        <f>Tableau!$G$17*COS(B218*PI()/180)+Tableau!$G$16</f>
        <v>15904.23977855504</v>
      </c>
      <c r="D218" s="21">
        <f>Tableau!$G$17*SIN(B218*PI()/180)+Tableau!$H$16</f>
        <v>4632.1178182447711</v>
      </c>
      <c r="F218" s="28">
        <v>215</v>
      </c>
      <c r="G218" s="29">
        <f>Tableau!$G$26*COS(F218*PI()/180)+Tableau!$G$25</f>
        <v>-22867.032155011471</v>
      </c>
      <c r="H218" s="29">
        <f>Tableau!$G$26*SIN(F218*PI()/180)+Tableau!$H$25</f>
        <v>7992.4824727713394</v>
      </c>
      <c r="J218" s="36">
        <v>215</v>
      </c>
      <c r="K218" s="37">
        <f>Tableau!$G$36*COS(J218*PI()/180)+Tableau!$G$35</f>
        <v>-9095.7602214449598</v>
      </c>
      <c r="L218" s="37">
        <f>Tableau!$G$36*SIN(J218*PI()/180)+Tableau!$H$35</f>
        <v>-17867.882181755231</v>
      </c>
      <c r="N218" s="92">
        <v>214</v>
      </c>
      <c r="O218" s="93">
        <v>107</v>
      </c>
      <c r="P218" s="96">
        <f>P217+R217*Tableau!$G$2+((1/2)*T217)*Tableau!$G$2^2</f>
        <v>-7065789.0452640494</v>
      </c>
      <c r="Q218" s="96">
        <f>Q217+S217*Tableau!$G$2+((1/2)*U217)*Tableau!$G$2^2</f>
        <v>3453973.2614958058</v>
      </c>
      <c r="R218" s="96">
        <f>R217+T217*Tableau!$G$2</f>
        <v>-68699.28150421333</v>
      </c>
      <c r="S218" s="96">
        <f>S217+U217*Tableau!$G$2</f>
        <v>33801.256285284973</v>
      </c>
      <c r="T218" s="96">
        <f t="shared" si="6"/>
        <v>1.780067697256775E-2</v>
      </c>
      <c r="U218" s="96">
        <f t="shared" si="7"/>
        <v>-8.7016998428483053E-3</v>
      </c>
      <c r="V218" s="96">
        <f>((Tableau!$G$16-P218)/(AC218^2+Tableau!$G$21^2)^(3/2))*Tableau!$G$20</f>
        <v>7.5838579337679946E-3</v>
      </c>
      <c r="W218" s="96">
        <f>((Tableau!$H$16-Q218)/(AC218^2+Tableau!$G$21^2)^(3/2))*Tableau!$G$20</f>
        <v>-3.6887301358744045E-3</v>
      </c>
      <c r="X218" s="96">
        <f>((Tableau!$G$25-P218)/(AD218^2+Tableau!$G$30^2)^(3/2))*Tableau!$G$29</f>
        <v>2.6234109603900575E-3</v>
      </c>
      <c r="Y218" s="96">
        <f>((Tableau!$H$25-Q218)/(AD218^2+Tableau!$G$30^2)^(3/2))*Tableau!$G$29</f>
        <v>-1.2823201409317522E-3</v>
      </c>
      <c r="Z218" s="96">
        <f>((Tableau!$G$35-P218)/(AE218^2+Tableau!$G$40^2)^(3/2))*Tableau!$G$39</f>
        <v>7.5934080784096965E-3</v>
      </c>
      <c r="AA218" s="97">
        <f>((Tableau!$H$35-Q218)/(AE218^2+Tableau!$G$40^2)^(3/2))*Tableau!$G$39</f>
        <v>-3.7306495660421493E-3</v>
      </c>
      <c r="AC218" s="110">
        <f>SQRT((Tableau!$G$16-P218)^2+(Tableau!$H$16-Q218)^2)</f>
        <v>7879504.0666395715</v>
      </c>
      <c r="AD218" s="111">
        <f>SQRT((Tableau!$G$25-P218)^2+(Tableau!$H$25-Q218)^2)</f>
        <v>7842454.6601342196</v>
      </c>
      <c r="AE218" s="112">
        <f>SQRT((Tableau!$G$35-P218)^2+(Tableau!$H$35-Q218)^2)</f>
        <v>7866925.5386519106</v>
      </c>
    </row>
    <row r="219" spans="2:31" x14ac:dyDescent="0.25">
      <c r="B219" s="18">
        <v>216</v>
      </c>
      <c r="C219" s="19">
        <f>Tableau!$G$17*COS(B219*PI()/180)+Tableau!$G$16</f>
        <v>15954.915028125262</v>
      </c>
      <c r="D219" s="19">
        <f>Tableau!$G$17*SIN(B219*PI()/180)+Tableau!$H$16</f>
        <v>4561.0737385376342</v>
      </c>
      <c r="F219" s="26">
        <v>216</v>
      </c>
      <c r="G219" s="27">
        <f>Tableau!$G$26*COS(F219*PI()/180)+Tableau!$G$25</f>
        <v>-22831.559480312317</v>
      </c>
      <c r="H219" s="27">
        <f>Tableau!$G$26*SIN(F219*PI()/180)+Tableau!$H$25</f>
        <v>7942.7516169763439</v>
      </c>
      <c r="J219" s="34">
        <v>216</v>
      </c>
      <c r="K219" s="35">
        <f>Tableau!$G$36*COS(J219*PI()/180)+Tableau!$G$35</f>
        <v>-9045.0849718747377</v>
      </c>
      <c r="L219" s="35">
        <f>Tableau!$G$36*SIN(J219*PI()/180)+Tableau!$H$35</f>
        <v>-17938.926261462366</v>
      </c>
      <c r="N219" s="98">
        <v>215</v>
      </c>
      <c r="O219" s="99">
        <v>107.5</v>
      </c>
      <c r="P219" s="101">
        <f>P218+R218*Tableau!$G$2+((1/2)*T218)*Tableau!$G$2^2</f>
        <v>-7100138.6837910721</v>
      </c>
      <c r="Q219" s="101">
        <f>Q218+S218*Tableau!$G$2+((1/2)*U218)*Tableau!$G$2^2</f>
        <v>3470873.8885507355</v>
      </c>
      <c r="R219" s="101">
        <f>R218+T218*Tableau!$G$2</f>
        <v>-68699.272603874837</v>
      </c>
      <c r="S219" s="101">
        <f>S218+U218*Tableau!$G$2</f>
        <v>33801.251934435051</v>
      </c>
      <c r="T219" s="101">
        <f t="shared" si="6"/>
        <v>1.7628621147526745E-2</v>
      </c>
      <c r="U219" s="101">
        <f t="shared" si="7"/>
        <v>-8.6178622797699646E-3</v>
      </c>
      <c r="V219" s="101">
        <f>((Tableau!$G$16-P219)/(AC219^2+Tableau!$G$21^2)^(3/2))*Tableau!$G$20</f>
        <v>7.5106204034095141E-3</v>
      </c>
      <c r="W219" s="101">
        <f>((Tableau!$H$16-Q219)/(AC219^2+Tableau!$G$21^2)^(3/2))*Tableau!$G$20</f>
        <v>-3.6533117888842767E-3</v>
      </c>
      <c r="X219" s="101">
        <f>((Tableau!$G$25-P219)/(AD219^2+Tableau!$G$30^2)^(3/2))*Tableau!$G$29</f>
        <v>2.5979694760419223E-3</v>
      </c>
      <c r="Y219" s="101">
        <f>((Tableau!$H$25-Q219)/(AD219^2+Tableau!$G$30^2)^(3/2))*Tableau!$G$29</f>
        <v>-1.2699249441920459E-3</v>
      </c>
      <c r="Z219" s="101">
        <f>((Tableau!$G$35-P219)/(AE219^2+Tableau!$G$40^2)^(3/2))*Tableau!$G$39</f>
        <v>7.5200312680753075E-3</v>
      </c>
      <c r="AA219" s="102">
        <f>((Tableau!$H$35-Q219)/(AE219^2+Tableau!$G$40^2)^(3/2))*Tableau!$G$39</f>
        <v>-3.6946255466936413E-3</v>
      </c>
      <c r="AC219" s="113">
        <f>SQRT((Tableau!$G$16-P219)^2+(Tableau!$H$16-Q219)^2)</f>
        <v>7917785.9006361812</v>
      </c>
      <c r="AD219" s="114">
        <f>SQRT((Tableau!$G$25-P219)^2+(Tableau!$H$25-Q219)^2)</f>
        <v>7880736.7583346581</v>
      </c>
      <c r="AE219" s="115">
        <f>SQRT((Tableau!$G$35-P219)^2+(Tableau!$H$35-Q219)^2)</f>
        <v>7905207.7587567763</v>
      </c>
    </row>
    <row r="220" spans="2:31" x14ac:dyDescent="0.25">
      <c r="B220" s="20">
        <v>217</v>
      </c>
      <c r="C220" s="21">
        <f>Tableau!$G$17*COS(B220*PI()/180)+Tableau!$G$16</f>
        <v>16006.822449763535</v>
      </c>
      <c r="D220" s="21">
        <f>Tableau!$G$17*SIN(B220*PI()/180)+Tableau!$H$16</f>
        <v>4490.9248842397592</v>
      </c>
      <c r="F220" s="28">
        <v>217</v>
      </c>
      <c r="G220" s="29">
        <f>Tableau!$G$26*COS(F220*PI()/180)+Tableau!$G$25</f>
        <v>-22795.224285165525</v>
      </c>
      <c r="H220" s="29">
        <f>Tableau!$G$26*SIN(F220*PI()/180)+Tableau!$H$25</f>
        <v>7893.647418967832</v>
      </c>
      <c r="J220" s="36">
        <v>217</v>
      </c>
      <c r="K220" s="37">
        <f>Tableau!$G$36*COS(J220*PI()/180)+Tableau!$G$35</f>
        <v>-8993.1775502364653</v>
      </c>
      <c r="L220" s="37">
        <f>Tableau!$G$36*SIN(J220*PI()/180)+Tableau!$H$35</f>
        <v>-18009.075115760239</v>
      </c>
      <c r="N220" s="92">
        <v>216</v>
      </c>
      <c r="O220" s="93">
        <v>108</v>
      </c>
      <c r="P220" s="96">
        <f>P219+R219*Tableau!$G$2+((1/2)*T219)*Tableau!$G$2^2</f>
        <v>-7134488.3178894324</v>
      </c>
      <c r="Q220" s="96">
        <f>Q219+S219*Tableau!$G$2+((1/2)*U219)*Tableau!$G$2^2</f>
        <v>3487774.5134407203</v>
      </c>
      <c r="R220" s="96">
        <f>R219+T219*Tableau!$G$2</f>
        <v>-68699.263789564269</v>
      </c>
      <c r="S220" s="96">
        <f>S219+U219*Tableau!$G$2</f>
        <v>33801.247625503915</v>
      </c>
      <c r="T220" s="96">
        <f t="shared" si="6"/>
        <v>1.7459047890467691E-2</v>
      </c>
      <c r="U220" s="96">
        <f t="shared" si="7"/>
        <v>-8.5352305229333819E-3</v>
      </c>
      <c r="V220" s="96">
        <f>((Tableau!$G$16-P220)/(AC220^2+Tableau!$G$21^2)^(3/2))*Tableau!$G$20</f>
        <v>7.4384386558607601E-3</v>
      </c>
      <c r="W220" s="96">
        <f>((Tableau!$H$16-Q220)/(AC220^2+Tableau!$G$21^2)^(3/2))*Tableau!$G$20</f>
        <v>-3.6184011103985326E-3</v>
      </c>
      <c r="X220" s="96">
        <f>((Tableau!$G$25-P220)/(AD220^2+Tableau!$G$30^2)^(3/2))*Tableau!$G$29</f>
        <v>2.572896299044045E-3</v>
      </c>
      <c r="Y220" s="96">
        <f>((Tableau!$H$25-Q220)/(AD220^2+Tableau!$G$30^2)^(3/2))*Tableau!$G$29</f>
        <v>-1.2577086045726775E-3</v>
      </c>
      <c r="Z220" s="96">
        <f>((Tableau!$G$35-P220)/(AE220^2+Tableau!$G$40^2)^(3/2))*Tableau!$G$39</f>
        <v>7.4477129355628854E-3</v>
      </c>
      <c r="AA220" s="97">
        <f>((Tableau!$H$35-Q220)/(AE220^2+Tableau!$G$40^2)^(3/2))*Tableau!$G$39</f>
        <v>-3.6591208079621716E-3</v>
      </c>
      <c r="AC220" s="110">
        <f>SQRT((Tableau!$G$16-P220)^2+(Tableau!$H$16-Q220)^2)</f>
        <v>7956067.7334799888</v>
      </c>
      <c r="AD220" s="111">
        <f>SQRT((Tableau!$G$25-P220)^2+(Tableau!$H$25-Q220)^2)</f>
        <v>7919018.8528455365</v>
      </c>
      <c r="AE220" s="112">
        <f>SQRT((Tableau!$G$35-P220)^2+(Tableau!$H$35-Q220)^2)</f>
        <v>7943489.97399328</v>
      </c>
    </row>
    <row r="221" spans="2:31" x14ac:dyDescent="0.25">
      <c r="B221" s="18">
        <v>218</v>
      </c>
      <c r="C221" s="19">
        <f>Tableau!$G$17*COS(B221*PI()/180)+Tableau!$G$16</f>
        <v>16059.946231966389</v>
      </c>
      <c r="D221" s="19">
        <f>Tableau!$G$17*SIN(B221*PI()/180)+Tableau!$H$16</f>
        <v>4421.6926233717113</v>
      </c>
      <c r="F221" s="26">
        <v>218</v>
      </c>
      <c r="G221" s="27">
        <f>Tableau!$G$26*COS(F221*PI()/180)+Tableau!$G$25</f>
        <v>-22758.037637623529</v>
      </c>
      <c r="H221" s="27">
        <f>Tableau!$G$26*SIN(F221*PI()/180)+Tableau!$H$25</f>
        <v>7845.1848363601976</v>
      </c>
      <c r="J221" s="34">
        <v>218</v>
      </c>
      <c r="K221" s="35">
        <f>Tableau!$G$36*COS(J221*PI()/180)+Tableau!$G$35</f>
        <v>-8940.053768033611</v>
      </c>
      <c r="L221" s="35">
        <f>Tableau!$G$36*SIN(J221*PI()/180)+Tableau!$H$35</f>
        <v>-18078.307376628291</v>
      </c>
      <c r="N221" s="98">
        <v>217</v>
      </c>
      <c r="O221" s="99">
        <v>108.5</v>
      </c>
      <c r="P221" s="101">
        <f>P220+R220*Tableau!$G$2+((1/2)*T220)*Tableau!$G$2^2</f>
        <v>-7168837.9476018334</v>
      </c>
      <c r="Q221" s="101">
        <f>Q220+S220*Tableau!$G$2+((1/2)*U220)*Tableau!$G$2^2</f>
        <v>3504675.1361865685</v>
      </c>
      <c r="R221" s="101">
        <f>R220+T220*Tableau!$G$2</f>
        <v>-68699.255060040319</v>
      </c>
      <c r="S221" s="101">
        <f>S220+U220*Tableau!$G$2</f>
        <v>33801.243357888656</v>
      </c>
      <c r="T221" s="101">
        <f t="shared" si="6"/>
        <v>1.7291909669136612E-2</v>
      </c>
      <c r="U221" s="101">
        <f t="shared" si="7"/>
        <v>-8.4537815591248996E-3</v>
      </c>
      <c r="V221" s="101">
        <f>((Tableau!$G$16-P221)/(AC221^2+Tableau!$G$21^2)^(3/2))*Tableau!$G$20</f>
        <v>7.3672924949299799E-3</v>
      </c>
      <c r="W221" s="101">
        <f>((Tableau!$H$16-Q221)/(AC221^2+Tableau!$G$21^2)^(3/2))*Tableau!$G$20</f>
        <v>-3.583988444596673E-3</v>
      </c>
      <c r="X221" s="101">
        <f>((Tableau!$G$25-P221)/(AD221^2+Tableau!$G$30^2)^(3/2))*Tableau!$G$29</f>
        <v>2.5481843543908129E-3</v>
      </c>
      <c r="Y221" s="101">
        <f>((Tableau!$H$25-Q221)/(AD221^2+Tableau!$G$30^2)^(3/2))*Tableau!$G$29</f>
        <v>-1.2456676974607484E-3</v>
      </c>
      <c r="Z221" s="101">
        <f>((Tableau!$G$35-P221)/(AE221^2+Tableau!$G$40^2)^(3/2))*Tableau!$G$39</f>
        <v>7.376432819815819E-3</v>
      </c>
      <c r="AA221" s="102">
        <f>((Tableau!$H$35-Q221)/(AE221^2+Tableau!$G$40^2)^(3/2))*Tableau!$G$39</f>
        <v>-3.6241254170674775E-3</v>
      </c>
      <c r="AC221" s="113">
        <f>SQRT((Tableau!$G$16-P221)^2+(Tableau!$H$16-Q221)^2)</f>
        <v>7994349.565164241</v>
      </c>
      <c r="AD221" s="114">
        <f>SQRT((Tableau!$G$25-P221)^2+(Tableau!$H$25-Q221)^2)</f>
        <v>7957300.9436964616</v>
      </c>
      <c r="AE221" s="115">
        <f>SQRT((Tableau!$G$35-P221)^2+(Tableau!$H$35-Q221)^2)</f>
        <v>7981772.1844080454</v>
      </c>
    </row>
    <row r="222" spans="2:31" x14ac:dyDescent="0.25">
      <c r="B222" s="20">
        <v>219</v>
      </c>
      <c r="C222" s="21">
        <f>Tableau!$G$17*COS(B222*PI()/180)+Tableau!$G$16</f>
        <v>16114.270192715147</v>
      </c>
      <c r="D222" s="21">
        <f>Tableau!$G$17*SIN(B222*PI()/180)+Tableau!$H$16</f>
        <v>4353.398044750812</v>
      </c>
      <c r="F222" s="28">
        <v>219</v>
      </c>
      <c r="G222" s="29">
        <f>Tableau!$G$26*COS(F222*PI()/180)+Tableau!$G$25</f>
        <v>-22720.010865099397</v>
      </c>
      <c r="H222" s="29">
        <f>Tableau!$G$26*SIN(F222*PI()/180)+Tableau!$H$25</f>
        <v>7797.3786313255678</v>
      </c>
      <c r="J222" s="36">
        <v>219</v>
      </c>
      <c r="K222" s="37">
        <f>Tableau!$G$36*COS(J222*PI()/180)+Tableau!$G$35</f>
        <v>-8885.7298072848535</v>
      </c>
      <c r="L222" s="37">
        <f>Tableau!$G$36*SIN(J222*PI()/180)+Tableau!$H$35</f>
        <v>-18146.601955249189</v>
      </c>
      <c r="N222" s="92">
        <v>218</v>
      </c>
      <c r="O222" s="93">
        <v>109</v>
      </c>
      <c r="P222" s="96">
        <f>P221+R221*Tableau!$G$2+((1/2)*T221)*Tableau!$G$2^2</f>
        <v>-7203187.5729703642</v>
      </c>
      <c r="Q222" s="96">
        <f>Q221+S221*Tableau!$G$2+((1/2)*U221)*Tableau!$G$2^2</f>
        <v>3521575.7568087899</v>
      </c>
      <c r="R222" s="96">
        <f>R221+T221*Tableau!$G$2</f>
        <v>-68699.246414085486</v>
      </c>
      <c r="S222" s="96">
        <f>S221+U221*Tableau!$G$2</f>
        <v>33801.239130997878</v>
      </c>
      <c r="T222" s="96">
        <f t="shared" si="6"/>
        <v>1.7127160083449701E-2</v>
      </c>
      <c r="U222" s="96">
        <f t="shared" si="7"/>
        <v>-8.373492921540512E-3</v>
      </c>
      <c r="V222" s="96">
        <f>((Tableau!$G$16-P222)/(AC222^2+Tableau!$G$21^2)^(3/2))*Tableau!$G$20</f>
        <v>7.2971622050420262E-3</v>
      </c>
      <c r="W222" s="96">
        <f>((Tableau!$H$16-Q222)/(AC222^2+Tableau!$G$21^2)^(3/2))*Tableau!$G$20</f>
        <v>-3.5500643641314953E-3</v>
      </c>
      <c r="X222" s="96">
        <f>((Tableau!$G$25-P222)/(AD222^2+Tableau!$G$30^2)^(3/2))*Tableau!$G$29</f>
        <v>2.5238267361488323E-3</v>
      </c>
      <c r="Y222" s="96">
        <f>((Tableau!$H$25-Q222)/(AD222^2+Tableau!$G$30^2)^(3/2))*Tableau!$G$29</f>
        <v>-1.2337988798169809E-3</v>
      </c>
      <c r="Z222" s="96">
        <f>((Tableau!$G$35-P222)/(AE222^2+Tableau!$G$40^2)^(3/2))*Tableau!$G$39</f>
        <v>7.3061711422588421E-3</v>
      </c>
      <c r="AA222" s="97">
        <f>((Tableau!$H$35-Q222)/(AE222^2+Tableau!$G$40^2)^(3/2))*Tableau!$G$39</f>
        <v>-3.5896296775920359E-3</v>
      </c>
      <c r="AC222" s="110">
        <f>SQRT((Tableau!$G$16-P222)^2+(Tableau!$H$16-Q222)^2)</f>
        <v>8032631.3956825361</v>
      </c>
      <c r="AD222" s="111">
        <f>SQRT((Tableau!$G$25-P222)^2+(Tableau!$H$25-Q222)^2)</f>
        <v>7995583.0309167011</v>
      </c>
      <c r="AE222" s="112">
        <f>SQRT((Tableau!$G$35-P222)^2+(Tableau!$H$35-Q222)^2)</f>
        <v>8020054.3900470305</v>
      </c>
    </row>
    <row r="223" spans="2:31" x14ac:dyDescent="0.25">
      <c r="B223" s="18">
        <v>220</v>
      </c>
      <c r="C223" s="19">
        <f>Tableau!$G$17*COS(B223*PI()/180)+Tableau!$G$16</f>
        <v>16169.777784405109</v>
      </c>
      <c r="D223" s="19">
        <f>Tableau!$G$17*SIN(B223*PI()/180)+Tableau!$H$16</f>
        <v>4286.0619515673043</v>
      </c>
      <c r="F223" s="26">
        <v>220</v>
      </c>
      <c r="G223" s="27">
        <f>Tableau!$G$26*COS(F223*PI()/180)+Tableau!$G$25</f>
        <v>-22681.155550916425</v>
      </c>
      <c r="H223" s="27">
        <f>Tableau!$G$26*SIN(F223*PI()/180)+Tableau!$H$25</f>
        <v>7750.2433660971128</v>
      </c>
      <c r="J223" s="34">
        <v>220</v>
      </c>
      <c r="K223" s="35">
        <f>Tableau!$G$36*COS(J223*PI()/180)+Tableau!$G$35</f>
        <v>-8830.2222155948912</v>
      </c>
      <c r="L223" s="35">
        <f>Tableau!$G$36*SIN(J223*PI()/180)+Tableau!$H$35</f>
        <v>-18213.938048432698</v>
      </c>
      <c r="N223" s="98">
        <v>219</v>
      </c>
      <c r="O223" s="99">
        <v>109.5</v>
      </c>
      <c r="P223" s="101">
        <f>P222+R222*Tableau!$G$2+((1/2)*T222)*Tableau!$G$2^2</f>
        <v>-7237537.1940365117</v>
      </c>
      <c r="Q223" s="101">
        <f>Q222+S222*Tableau!$G$2+((1/2)*U222)*Tableau!$G$2^2</f>
        <v>3538476.3753276025</v>
      </c>
      <c r="R223" s="101">
        <f>R222+T222*Tableau!$G$2</f>
        <v>-68699.237850505451</v>
      </c>
      <c r="S223" s="101">
        <f>S222+U222*Tableau!$G$2</f>
        <v>33801.234944251417</v>
      </c>
      <c r="T223" s="101">
        <f t="shared" si="6"/>
        <v>1.6964753833286907E-2</v>
      </c>
      <c r="U223" s="101">
        <f t="shared" si="7"/>
        <v>-8.2943426742915754E-3</v>
      </c>
      <c r="V223" s="101">
        <f>((Tableau!$G$16-P223)/(AC223^2+Tableau!$G$21^2)^(3/2))*Tableau!$G$20</f>
        <v>7.2280285375793153E-3</v>
      </c>
      <c r="W223" s="101">
        <f>((Tableau!$H$16-Q223)/(AC223^2+Tableau!$G$21^2)^(3/2))*Tableau!$G$20</f>
        <v>-3.5166196636729056E-3</v>
      </c>
      <c r="X223" s="101">
        <f>((Tableau!$G$25-P223)/(AD223^2+Tableau!$G$30^2)^(3/2))*Tableau!$G$29</f>
        <v>2.4998167026317139E-3</v>
      </c>
      <c r="Y223" s="101">
        <f>((Tableau!$H$25-Q223)/(AD223^2+Tableau!$G$30^2)^(3/2))*Tableau!$G$29</f>
        <v>-1.2220988878551705E-3</v>
      </c>
      <c r="Z223" s="101">
        <f>((Tableau!$G$35-P223)/(AE223^2+Tableau!$G$40^2)^(3/2))*Tableau!$G$39</f>
        <v>7.2369085930758777E-3</v>
      </c>
      <c r="AA223" s="102">
        <f>((Tableau!$H$35-Q223)/(AE223^2+Tableau!$G$40^2)^(3/2))*Tableau!$G$39</f>
        <v>-3.5556241227634989E-3</v>
      </c>
      <c r="AC223" s="113">
        <f>SQRT((Tableau!$G$16-P223)^2+(Tableau!$H$16-Q223)^2)</f>
        <v>8070913.2250288147</v>
      </c>
      <c r="AD223" s="114">
        <f>SQRT((Tableau!$G$25-P223)^2+(Tableau!$H$25-Q223)^2)</f>
        <v>8033865.1145351864</v>
      </c>
      <c r="AE223" s="115">
        <f>SQRT((Tableau!$G$35-P223)^2+(Tableau!$H$35-Q223)^2)</f>
        <v>8058336.5909555387</v>
      </c>
    </row>
    <row r="224" spans="2:31" x14ac:dyDescent="0.25">
      <c r="B224" s="20">
        <v>221</v>
      </c>
      <c r="C224" s="21">
        <f>Tableau!$G$17*COS(B224*PI()/180)+Tableau!$G$16</f>
        <v>16226.45209888614</v>
      </c>
      <c r="D224" s="21">
        <f>Tableau!$G$17*SIN(B224*PI()/180)+Tableau!$H$16</f>
        <v>4219.7048550474628</v>
      </c>
      <c r="F224" s="28">
        <v>221</v>
      </c>
      <c r="G224" s="29">
        <f>Tableau!$G$26*COS(F224*PI()/180)+Tableau!$G$25</f>
        <v>-22641.4835307797</v>
      </c>
      <c r="H224" s="29">
        <f>Tableau!$G$26*SIN(F224*PI()/180)+Tableau!$H$25</f>
        <v>7703.7933985332238</v>
      </c>
      <c r="J224" s="36">
        <v>221</v>
      </c>
      <c r="K224" s="37">
        <f>Tableau!$G$36*COS(J224*PI()/180)+Tableau!$G$35</f>
        <v>-8773.5479011138596</v>
      </c>
      <c r="L224" s="37">
        <f>Tableau!$G$36*SIN(J224*PI()/180)+Tableau!$H$35</f>
        <v>-18280.295144952535</v>
      </c>
      <c r="N224" s="92">
        <v>220</v>
      </c>
      <c r="O224" s="93">
        <v>110</v>
      </c>
      <c r="P224" s="96">
        <f>P223+R223*Tableau!$G$2+((1/2)*T223)*Tableau!$G$2^2</f>
        <v>-7271886.8108411701</v>
      </c>
      <c r="Q224" s="96">
        <f>Q223+S223*Tableau!$G$2+((1/2)*U223)*Tableau!$G$2^2</f>
        <v>3555376.9917629352</v>
      </c>
      <c r="R224" s="96">
        <f>R223+T223*Tableau!$G$2</f>
        <v>-68699.229368128537</v>
      </c>
      <c r="S224" s="96">
        <f>S223+U223*Tableau!$G$2</f>
        <v>33801.230797080083</v>
      </c>
      <c r="T224" s="96">
        <f t="shared" si="6"/>
        <v>1.6804646687347925E-2</v>
      </c>
      <c r="U224" s="96">
        <f t="shared" si="7"/>
        <v>-8.2163093974199873E-3</v>
      </c>
      <c r="V224" s="96">
        <f>((Tableau!$G$16-P224)/(AC224^2+Tableau!$G$21^2)^(3/2))*Tableau!$G$20</f>
        <v>7.1598726976721538E-3</v>
      </c>
      <c r="W224" s="96">
        <f>((Tableau!$H$16-Q224)/(AC224^2+Tableau!$G$21^2)^(3/2))*Tableau!$G$20</f>
        <v>-3.4836453536629041E-3</v>
      </c>
      <c r="X224" s="96">
        <f>((Tableau!$G$25-P224)/(AD224^2+Tableau!$G$30^2)^(3/2))*Tableau!$G$29</f>
        <v>2.476147671734508E-3</v>
      </c>
      <c r="Y224" s="96">
        <f>((Tableau!$H$25-Q224)/(AD224^2+Tableau!$G$30^2)^(3/2))*Tableau!$G$29</f>
        <v>-1.2105645347981644E-3</v>
      </c>
      <c r="Z224" s="96">
        <f>((Tableau!$G$35-P224)/(AE224^2+Tableau!$G$40^2)^(3/2))*Tableau!$G$39</f>
        <v>7.1686263179412636E-3</v>
      </c>
      <c r="AA224" s="97">
        <f>((Tableau!$H$35-Q224)/(AE224^2+Tableau!$G$40^2)^(3/2))*Tableau!$G$39</f>
        <v>-3.5220995089589196E-3</v>
      </c>
      <c r="AC224" s="110">
        <f>SQRT((Tableau!$G$16-P224)^2+(Tableau!$H$16-Q224)^2)</f>
        <v>8109195.053197341</v>
      </c>
      <c r="AD224" s="111">
        <f>SQRT((Tableau!$G$25-P224)^2+(Tableau!$H$25-Q224)^2)</f>
        <v>8072147.1945805177</v>
      </c>
      <c r="AE224" s="112">
        <f>SQRT((Tableau!$G$35-P224)^2+(Tableau!$H$35-Q224)^2)</f>
        <v>8096618.7871782314</v>
      </c>
    </row>
    <row r="225" spans="2:31" x14ac:dyDescent="0.25">
      <c r="B225" s="18">
        <v>222</v>
      </c>
      <c r="C225" s="19">
        <f>Tableau!$G$17*COS(B225*PI()/180)+Tableau!$G$16</f>
        <v>16284.275872613029</v>
      </c>
      <c r="D225" s="19">
        <f>Tableau!$G$17*SIN(B225*PI()/180)+Tableau!$H$16</f>
        <v>4154.3469682057093</v>
      </c>
      <c r="F225" s="26">
        <v>222</v>
      </c>
      <c r="G225" s="27">
        <f>Tableau!$G$26*COS(F225*PI()/180)+Tableau!$G$25</f>
        <v>-22601.00688917088</v>
      </c>
      <c r="H225" s="27">
        <f>Tableau!$G$26*SIN(F225*PI()/180)+Tableau!$H$25</f>
        <v>7658.0428777439956</v>
      </c>
      <c r="J225" s="34">
        <v>222</v>
      </c>
      <c r="K225" s="35">
        <f>Tableau!$G$36*COS(J225*PI()/180)+Tableau!$G$35</f>
        <v>-8715.7241273869713</v>
      </c>
      <c r="L225" s="35">
        <f>Tableau!$G$36*SIN(J225*PI()/180)+Tableau!$H$35</f>
        <v>-18345.653031794292</v>
      </c>
      <c r="N225" s="98">
        <v>221</v>
      </c>
      <c r="O225" s="99">
        <v>110.5</v>
      </c>
      <c r="P225" s="101">
        <f>P224+R224*Tableau!$G$2+((1/2)*T224)*Tableau!$G$2^2</f>
        <v>-7306236.4234246537</v>
      </c>
      <c r="Q225" s="101">
        <f>Q224+S224*Tableau!$G$2+((1/2)*U224)*Tableau!$G$2^2</f>
        <v>3572277.6061344366</v>
      </c>
      <c r="R225" s="101">
        <f>R224+T224*Tableau!$G$2</f>
        <v>-68699.220965805187</v>
      </c>
      <c r="S225" s="101">
        <f>S224+U224*Tableau!$G$2</f>
        <v>33801.226688925388</v>
      </c>
      <c r="T225" s="101">
        <f t="shared" si="6"/>
        <v>1.6646795453033297E-2</v>
      </c>
      <c r="U225" s="101">
        <f t="shared" si="7"/>
        <v>-8.1393721724050839E-3</v>
      </c>
      <c r="V225" s="101">
        <f>((Tableau!$G$16-P225)/(AC225^2+Tableau!$G$21^2)^(3/2))*Tableau!$G$20</f>
        <v>7.092676331424067E-3</v>
      </c>
      <c r="W225" s="101">
        <f>((Tableau!$H$16-Q225)/(AC225^2+Tableau!$G$21^2)^(3/2))*Tableau!$G$20</f>
        <v>-3.4511326542750759E-3</v>
      </c>
      <c r="X225" s="101">
        <f>((Tableau!$G$25-P225)/(AD225^2+Tableau!$G$30^2)^(3/2))*Tableau!$G$29</f>
        <v>2.4528132164222567E-3</v>
      </c>
      <c r="Y225" s="101">
        <f>((Tableau!$H$25-Q225)/(AD225^2+Tableau!$G$30^2)^(3/2))*Tableau!$G$29</f>
        <v>-1.199192708707737E-3</v>
      </c>
      <c r="Z225" s="101">
        <f>((Tableau!$G$35-P225)/(AE225^2+Tableau!$G$40^2)^(3/2))*Tableau!$G$39</f>
        <v>7.1013059051869736E-3</v>
      </c>
      <c r="AA225" s="102">
        <f>((Tableau!$H$35-Q225)/(AE225^2+Tableau!$G$40^2)^(3/2))*Tableau!$G$39</f>
        <v>-3.4890468094222709E-3</v>
      </c>
      <c r="AC225" s="113">
        <f>SQRT((Tableau!$G$16-P225)^2+(Tableau!$H$16-Q225)^2)</f>
        <v>8147476.8801827002</v>
      </c>
      <c r="AD225" s="114">
        <f>SQRT((Tableau!$G$25-P225)^2+(Tableau!$H$25-Q225)^2)</f>
        <v>8110429.2710809689</v>
      </c>
      <c r="AE225" s="115">
        <f>SQRT((Tableau!$G$35-P225)^2+(Tableau!$H$35-Q225)^2)</f>
        <v>8134900.9787591416</v>
      </c>
    </row>
    <row r="226" spans="2:31" x14ac:dyDescent="0.25">
      <c r="B226" s="20">
        <v>223</v>
      </c>
      <c r="C226" s="21">
        <f>Tableau!$G$17*COS(B226*PI()/180)+Tableau!$G$16</f>
        <v>16343.231491904147</v>
      </c>
      <c r="D226" s="21">
        <f>Tableau!$G$17*SIN(B226*PI()/180)+Tableau!$H$16</f>
        <v>4090.0081996875083</v>
      </c>
      <c r="F226" s="28">
        <v>223</v>
      </c>
      <c r="G226" s="29">
        <f>Tableau!$G$26*COS(F226*PI()/180)+Tableau!$G$25</f>
        <v>-22559.737955667097</v>
      </c>
      <c r="H226" s="29">
        <f>Tableau!$G$26*SIN(F226*PI()/180)+Tableau!$H$25</f>
        <v>7613.0057397812561</v>
      </c>
      <c r="J226" s="36">
        <v>223</v>
      </c>
      <c r="K226" s="37">
        <f>Tableau!$G$36*COS(J226*PI()/180)+Tableau!$G$35</f>
        <v>-8656.7685080958527</v>
      </c>
      <c r="L226" s="37">
        <f>Tableau!$G$36*SIN(J226*PI()/180)+Tableau!$H$35</f>
        <v>-18409.991800312491</v>
      </c>
      <c r="N226" s="92">
        <v>222</v>
      </c>
      <c r="O226" s="93">
        <v>111</v>
      </c>
      <c r="P226" s="96">
        <f>P225+R225*Tableau!$G$2+((1/2)*T225)*Tableau!$G$2^2</f>
        <v>-7340586.0318267066</v>
      </c>
      <c r="Q226" s="96">
        <f>Q225+S225*Tableau!$G$2+((1/2)*U225)*Tableau!$G$2^2</f>
        <v>3589178.2184614777</v>
      </c>
      <c r="R226" s="96">
        <f>R225+T225*Tableau!$G$2</f>
        <v>-68699.212642407467</v>
      </c>
      <c r="S226" s="96">
        <f>S225+U225*Tableau!$G$2</f>
        <v>33801.222619239299</v>
      </c>
      <c r="T226" s="96">
        <f t="shared" si="6"/>
        <v>1.649115794731041E-2</v>
      </c>
      <c r="U226" s="96">
        <f t="shared" si="7"/>
        <v>-8.0635105681429523E-3</v>
      </c>
      <c r="V226" s="96">
        <f>((Tableau!$G$16-P226)/(AC226^2+Tableau!$G$21^2)^(3/2))*Tableau!$G$20</f>
        <v>7.0264215135540879E-3</v>
      </c>
      <c r="W226" s="96">
        <f>((Tableau!$H$16-Q226)/(AC226^2+Tableau!$G$21^2)^(3/2))*Tableau!$G$20</f>
        <v>-3.4190729895701203E-3</v>
      </c>
      <c r="X226" s="96">
        <f>((Tableau!$G$25-P226)/(AD226^2+Tableau!$G$30^2)^(3/2))*Tableau!$G$29</f>
        <v>2.4298070603664371E-3</v>
      </c>
      <c r="Y226" s="96">
        <f>((Tableau!$H$25-Q226)/(AD226^2+Tableau!$G$30^2)^(3/2))*Tableau!$G$29</f>
        <v>-1.187980370385371E-3</v>
      </c>
      <c r="Z226" s="96">
        <f>((Tableau!$G$35-P226)/(AE226^2+Tableau!$G$40^2)^(3/2))*Tableau!$G$39</f>
        <v>7.0349293733898864E-3</v>
      </c>
      <c r="AA226" s="97">
        <f>((Tableau!$H$35-Q226)/(AE226^2+Tableau!$G$40^2)^(3/2))*Tableau!$G$39</f>
        <v>-3.4564572081874616E-3</v>
      </c>
      <c r="AC226" s="110">
        <f>SQRT((Tableau!$G$16-P226)^2+(Tableau!$H$16-Q226)^2)</f>
        <v>8185758.7059797822</v>
      </c>
      <c r="AD226" s="111">
        <f>SQRT((Tableau!$G$25-P226)^2+(Tableau!$H$25-Q226)^2)</f>
        <v>8148711.3440644937</v>
      </c>
      <c r="AE226" s="112">
        <f>SQRT((Tableau!$G$35-P226)^2+(Tableau!$H$35-Q226)^2)</f>
        <v>8173183.165741683</v>
      </c>
    </row>
    <row r="227" spans="2:31" x14ac:dyDescent="0.25">
      <c r="B227" s="18">
        <v>224</v>
      </c>
      <c r="C227" s="19">
        <f>Tableau!$G$17*COS(B227*PI()/180)+Tableau!$G$16</f>
        <v>16403.300998306746</v>
      </c>
      <c r="D227" s="19">
        <f>Tableau!$G$17*SIN(B227*PI()/180)+Tableau!$H$16</f>
        <v>4026.7081477050133</v>
      </c>
      <c r="F227" s="26">
        <v>224</v>
      </c>
      <c r="G227" s="27">
        <f>Tableau!$G$26*COS(F227*PI()/180)+Tableau!$G$25</f>
        <v>-22517.689301185281</v>
      </c>
      <c r="H227" s="27">
        <f>Tableau!$G$26*SIN(F227*PI()/180)+Tableau!$H$25</f>
        <v>7568.6957033935087</v>
      </c>
      <c r="J227" s="34">
        <v>224</v>
      </c>
      <c r="K227" s="35">
        <f>Tableau!$G$36*COS(J227*PI()/180)+Tableau!$G$35</f>
        <v>-8596.6990016932559</v>
      </c>
      <c r="L227" s="35">
        <f>Tableau!$G$36*SIN(J227*PI()/180)+Tableau!$H$35</f>
        <v>-18473.291852294988</v>
      </c>
      <c r="N227" s="98">
        <v>223</v>
      </c>
      <c r="O227" s="99">
        <v>111.5</v>
      </c>
      <c r="P227" s="101">
        <f>P226+R226*Tableau!$G$2+((1/2)*T226)*Tableau!$G$2^2</f>
        <v>-7374935.6360865152</v>
      </c>
      <c r="Q227" s="101">
        <f>Q226+S226*Tableau!$G$2+((1/2)*U226)*Tableau!$G$2^2</f>
        <v>3606078.8287631585</v>
      </c>
      <c r="R227" s="101">
        <f>R226+T226*Tableau!$G$2</f>
        <v>-68699.2043968285</v>
      </c>
      <c r="S227" s="101">
        <f>S226+U226*Tableau!$G$2</f>
        <v>33801.218587484014</v>
      </c>
      <c r="T227" s="101">
        <f t="shared" si="6"/>
        <v>1.6337692968528807E-2</v>
      </c>
      <c r="U227" s="101">
        <f t="shared" si="7"/>
        <v>-7.9887046273811983E-3</v>
      </c>
      <c r="V227" s="101">
        <f>((Tableau!$G$16-P227)/(AC227^2+Tableau!$G$21^2)^(3/2))*Tableau!$G$20</f>
        <v>6.9610907354415172E-3</v>
      </c>
      <c r="W227" s="101">
        <f>((Tableau!$H$16-Q227)/(AC227^2+Tableau!$G$21^2)^(3/2))*Tableau!$G$20</f>
        <v>-3.3874579818406604E-3</v>
      </c>
      <c r="X227" s="101">
        <f>((Tableau!$G$25-P227)/(AD227^2+Tableau!$G$30^2)^(3/2))*Tableau!$G$29</f>
        <v>2.4071230737242482E-3</v>
      </c>
      <c r="Y227" s="101">
        <f>((Tableau!$H$25-Q227)/(AD227^2+Tableau!$G$30^2)^(3/2))*Tableau!$G$29</f>
        <v>-1.176924551341546E-3</v>
      </c>
      <c r="Z227" s="101">
        <f>((Tableau!$G$35-P227)/(AE227^2+Tableau!$G$40^2)^(3/2))*Tableau!$G$39</f>
        <v>6.9694791593630416E-3</v>
      </c>
      <c r="AA227" s="102">
        <f>((Tableau!$H$35-Q227)/(AE227^2+Tableau!$G$40^2)^(3/2))*Tableau!$G$39</f>
        <v>-3.4243220941989928E-3</v>
      </c>
      <c r="AC227" s="113">
        <f>SQRT((Tableau!$G$16-P227)^2+(Tableau!$H$16-Q227)^2)</f>
        <v>8224040.5305837775</v>
      </c>
      <c r="AD227" s="114">
        <f>SQRT((Tableau!$G$25-P227)^2+(Tableau!$H$25-Q227)^2)</f>
        <v>8186993.4135587262</v>
      </c>
      <c r="AE227" s="115">
        <f>SQRT((Tableau!$G$35-P227)^2+(Tableau!$H$35-Q227)^2)</f>
        <v>8211465.3481686637</v>
      </c>
    </row>
    <row r="228" spans="2:31" x14ac:dyDescent="0.25">
      <c r="B228" s="20">
        <v>225</v>
      </c>
      <c r="C228" s="21">
        <f>Tableau!$G$17*COS(B228*PI()/180)+Tableau!$G$16</f>
        <v>16464.466094067262</v>
      </c>
      <c r="D228" s="21">
        <f>Tableau!$G$17*SIN(B228*PI()/180)+Tableau!$H$16</f>
        <v>3964.4660940672625</v>
      </c>
      <c r="F228" s="28">
        <v>225</v>
      </c>
      <c r="G228" s="29">
        <f>Tableau!$G$26*COS(F228*PI()/180)+Tableau!$G$25</f>
        <v>-22474.873734152916</v>
      </c>
      <c r="H228" s="29">
        <f>Tableau!$G$26*SIN(F228*PI()/180)+Tableau!$H$25</f>
        <v>7525.1262658470841</v>
      </c>
      <c r="J228" s="36">
        <v>225</v>
      </c>
      <c r="K228" s="37">
        <f>Tableau!$G$36*COS(J228*PI()/180)+Tableau!$G$35</f>
        <v>-8535.533905932738</v>
      </c>
      <c r="L228" s="37">
        <f>Tableau!$G$36*SIN(J228*PI()/180)+Tableau!$H$35</f>
        <v>-18535.533905932738</v>
      </c>
      <c r="N228" s="92">
        <v>224</v>
      </c>
      <c r="O228" s="93">
        <v>112</v>
      </c>
      <c r="P228" s="96">
        <f>P227+R227*Tableau!$G$2+((1/2)*T227)*Tableau!$G$2^2</f>
        <v>-7409285.2362427181</v>
      </c>
      <c r="Q228" s="96">
        <f>Q227+S227*Tableau!$G$2+((1/2)*U227)*Tableau!$G$2^2</f>
        <v>3622979.4370583124</v>
      </c>
      <c r="R228" s="96">
        <f>R227+T227*Tableau!$G$2</f>
        <v>-68699.196227982015</v>
      </c>
      <c r="S228" s="96">
        <f>S227+U227*Tableau!$G$2</f>
        <v>33801.214593131699</v>
      </c>
      <c r="T228" s="96">
        <f t="shared" si="6"/>
        <v>1.6186360269148714E-2</v>
      </c>
      <c r="U228" s="96">
        <f t="shared" si="7"/>
        <v>-7.9149348535918762E-3</v>
      </c>
      <c r="V228" s="96">
        <f>((Tableau!$G$16-P228)/(AC228^2+Tableau!$G$21^2)^(3/2))*Tableau!$G$20</f>
        <v>6.8966668935578424E-3</v>
      </c>
      <c r="W228" s="96">
        <f>((Tableau!$H$16-Q228)/(AC228^2+Tableau!$G$21^2)^(3/2))*Tableau!$G$20</f>
        <v>-3.3562794461381713E-3</v>
      </c>
      <c r="X228" s="96">
        <f>((Tableau!$G$25-P228)/(AD228^2+Tableau!$G$30^2)^(3/2))*Tableau!$G$29</f>
        <v>2.384755269054835E-3</v>
      </c>
      <c r="Y228" s="96">
        <f>((Tableau!$H$25-Q228)/(AD228^2+Tableau!$G$30^2)^(3/2))*Tableau!$G$29</f>
        <v>-1.1660223518306972E-3</v>
      </c>
      <c r="Z228" s="96">
        <f>((Tableau!$G$35-P228)/(AE228^2+Tableau!$G$40^2)^(3/2))*Tableau!$G$39</f>
        <v>6.904938106536038E-3</v>
      </c>
      <c r="AA228" s="97">
        <f>((Tableau!$H$35-Q228)/(AE228^2+Tableau!$G$40^2)^(3/2))*Tableau!$G$39</f>
        <v>-3.3926330556230087E-3</v>
      </c>
      <c r="AC228" s="110">
        <f>SQRT((Tableau!$G$16-P228)^2+(Tableau!$H$16-Q228)^2)</f>
        <v>8262322.3539901609</v>
      </c>
      <c r="AD228" s="111">
        <f>SQRT((Tableau!$G$25-P228)^2+(Tableau!$H$25-Q228)^2)</f>
        <v>8225275.4795909906</v>
      </c>
      <c r="AE228" s="112">
        <f>SQRT((Tableau!$G$35-P228)^2+(Tableau!$H$35-Q228)^2)</f>
        <v>8249747.5260822978</v>
      </c>
    </row>
    <row r="229" spans="2:31" x14ac:dyDescent="0.25">
      <c r="B229" s="18">
        <v>226</v>
      </c>
      <c r="C229" s="19">
        <f>Tableau!$G$17*COS(B229*PI()/180)+Tableau!$G$16</f>
        <v>16526.708147705012</v>
      </c>
      <c r="D229" s="19">
        <f>Tableau!$G$17*SIN(B229*PI()/180)+Tableau!$H$16</f>
        <v>3903.3009983067459</v>
      </c>
      <c r="F229" s="26">
        <v>226</v>
      </c>
      <c r="G229" s="27">
        <f>Tableau!$G$26*COS(F229*PI()/180)+Tableau!$G$25</f>
        <v>-22431.30429660649</v>
      </c>
      <c r="H229" s="27">
        <f>Tableau!$G$26*SIN(F229*PI()/180)+Tableau!$H$25</f>
        <v>7482.3106988147219</v>
      </c>
      <c r="J229" s="34">
        <v>226</v>
      </c>
      <c r="K229" s="35">
        <f>Tableau!$G$36*COS(J229*PI()/180)+Tableau!$G$35</f>
        <v>-8473.2918522949876</v>
      </c>
      <c r="L229" s="35">
        <f>Tableau!$G$36*SIN(J229*PI()/180)+Tableau!$H$35</f>
        <v>-18596.699001693254</v>
      </c>
      <c r="N229" s="98">
        <v>225</v>
      </c>
      <c r="O229" s="99">
        <v>112.5</v>
      </c>
      <c r="P229" s="101">
        <f>P228+R228*Tableau!$G$2+((1/2)*T228)*Tableau!$G$2^2</f>
        <v>-7443634.8323334139</v>
      </c>
      <c r="Q229" s="101">
        <f>Q228+S228*Tableau!$G$2+((1/2)*U228)*Tableau!$G$2^2</f>
        <v>3639880.0433655116</v>
      </c>
      <c r="R229" s="101">
        <f>R228+T228*Tableau!$G$2</f>
        <v>-68699.18813480188</v>
      </c>
      <c r="S229" s="101">
        <f>S228+U228*Tableau!$G$2</f>
        <v>33801.210635664269</v>
      </c>
      <c r="T229" s="101">
        <f t="shared" si="6"/>
        <v>1.6037120529350225E-2</v>
      </c>
      <c r="U229" s="101">
        <f t="shared" si="7"/>
        <v>-7.8421821982670135E-3</v>
      </c>
      <c r="V229" s="101">
        <f>((Tableau!$G$16-P229)/(AC229^2+Tableau!$G$21^2)^(3/2))*Tableau!$G$20</f>
        <v>6.833133278271581E-3</v>
      </c>
      <c r="W229" s="101">
        <f>((Tableau!$H$16-Q229)/(AC229^2+Tableau!$G$21^2)^(3/2))*Tableau!$G$20</f>
        <v>-3.3255293849753648E-3</v>
      </c>
      <c r="X229" s="101">
        <f>((Tableau!$G$25-P229)/(AD229^2+Tableau!$G$30^2)^(3/2))*Tableau!$G$29</f>
        <v>2.3626977973680205E-3</v>
      </c>
      <c r="Y229" s="101">
        <f>((Tableau!$H$25-Q229)/(AD229^2+Tableau!$G$30^2)^(3/2))*Tableau!$G$29</f>
        <v>-1.1552709389497414E-3</v>
      </c>
      <c r="Z229" s="101">
        <f>((Tableau!$G$35-P229)/(AE229^2+Tableau!$G$40^2)^(3/2))*Tableau!$G$39</f>
        <v>6.8412894537106216E-3</v>
      </c>
      <c r="AA229" s="102">
        <f>((Tableau!$H$35-Q229)/(AE229^2+Tableau!$G$40^2)^(3/2))*Tableau!$G$39</f>
        <v>-3.361381874341908E-3</v>
      </c>
      <c r="AC229" s="113">
        <f>SQRT((Tableau!$G$16-P229)^2+(Tableau!$H$16-Q229)^2)</f>
        <v>8300604.1761946855</v>
      </c>
      <c r="AD229" s="114">
        <f>SQRT((Tableau!$G$25-P229)^2+(Tableau!$H$25-Q229)^2)</f>
        <v>8263557.5421883017</v>
      </c>
      <c r="AE229" s="115">
        <f>SQRT((Tableau!$G$35-P229)^2+(Tableau!$H$35-Q229)^2)</f>
        <v>8288029.6995242145</v>
      </c>
    </row>
    <row r="230" spans="2:31" x14ac:dyDescent="0.25">
      <c r="B230" s="20">
        <v>227</v>
      </c>
      <c r="C230" s="21">
        <f>Tableau!$G$17*COS(B230*PI()/180)+Tableau!$G$16</f>
        <v>16590.008199687505</v>
      </c>
      <c r="D230" s="21">
        <f>Tableau!$G$17*SIN(B230*PI()/180)+Tableau!$H$16</f>
        <v>3843.2314919041492</v>
      </c>
      <c r="F230" s="28">
        <v>227</v>
      </c>
      <c r="G230" s="29">
        <f>Tableau!$G$26*COS(F230*PI()/180)+Tableau!$G$25</f>
        <v>-22386.994260218748</v>
      </c>
      <c r="H230" s="29">
        <f>Tableau!$G$26*SIN(F230*PI()/180)+Tableau!$H$25</f>
        <v>7440.2620443329051</v>
      </c>
      <c r="J230" s="36">
        <v>227</v>
      </c>
      <c r="K230" s="37">
        <f>Tableau!$G$36*COS(J230*PI()/180)+Tableau!$G$35</f>
        <v>-8409.9918003124949</v>
      </c>
      <c r="L230" s="37">
        <f>Tableau!$G$36*SIN(J230*PI()/180)+Tableau!$H$35</f>
        <v>-18656.768508095851</v>
      </c>
      <c r="N230" s="92">
        <v>226</v>
      </c>
      <c r="O230" s="93">
        <v>113</v>
      </c>
      <c r="P230" s="96">
        <f>P229+R229*Tableau!$G$2+((1/2)*T229)*Tableau!$G$2^2</f>
        <v>-7477984.424396175</v>
      </c>
      <c r="Q230" s="96">
        <f>Q229+S229*Tableau!$G$2+((1/2)*U229)*Tableau!$G$2^2</f>
        <v>3656780.6477030707</v>
      </c>
      <c r="R230" s="96">
        <f>R229+T229*Tableau!$G$2</f>
        <v>-68699.180116241609</v>
      </c>
      <c r="S230" s="96">
        <f>S229+U229*Tableau!$G$2</f>
        <v>33801.206714573171</v>
      </c>
      <c r="T230" s="96">
        <f t="shared" si="6"/>
        <v>1.5889935331489812E-2</v>
      </c>
      <c r="U230" s="96">
        <f t="shared" si="7"/>
        <v>-7.7704280486207873E-3</v>
      </c>
      <c r="V230" s="96">
        <f>((Tableau!$G$16-P230)/(AC230^2+Tableau!$G$21^2)^(3/2))*Tableau!$G$20</f>
        <v>6.7704735630124534E-3</v>
      </c>
      <c r="W230" s="96">
        <f>((Tableau!$H$16-Q230)/(AC230^2+Tableau!$G$21^2)^(3/2))*Tableau!$G$20</f>
        <v>-3.2951999831976613E-3</v>
      </c>
      <c r="X230" s="96">
        <f>((Tableau!$G$25-P230)/(AD230^2+Tableau!$G$30^2)^(3/2))*Tableau!$G$29</f>
        <v>2.3409449443002042E-3</v>
      </c>
      <c r="Y230" s="96">
        <f>((Tableau!$H$25-Q230)/(AD230^2+Tableau!$G$30^2)^(3/2))*Tableau!$G$29</f>
        <v>-1.144667544797602E-3</v>
      </c>
      <c r="Z230" s="96">
        <f>((Tableau!$G$35-P230)/(AE230^2+Tableau!$G$40^2)^(3/2))*Tableau!$G$39</f>
        <v>6.7785168241771554E-3</v>
      </c>
      <c r="AA230" s="97">
        <f>((Tableau!$H$35-Q230)/(AE230^2+Tableau!$G$40^2)^(3/2))*Tableau!$G$39</f>
        <v>-3.3305605206255238E-3</v>
      </c>
      <c r="AC230" s="110">
        <f>SQRT((Tableau!$G$16-P230)^2+(Tableau!$H$16-Q230)^2)</f>
        <v>8338885.9971933765</v>
      </c>
      <c r="AD230" s="111">
        <f>SQRT((Tableau!$G$25-P230)^2+(Tableau!$H$25-Q230)^2)</f>
        <v>8301839.6013773698</v>
      </c>
      <c r="AE230" s="112">
        <f>SQRT((Tableau!$G$35-P230)^2+(Tableau!$H$35-Q230)^2)</f>
        <v>8326311.8685354684</v>
      </c>
    </row>
    <row r="231" spans="2:31" x14ac:dyDescent="0.25">
      <c r="B231" s="18">
        <v>228</v>
      </c>
      <c r="C231" s="19">
        <f>Tableau!$G$17*COS(B231*PI()/180)+Tableau!$G$16</f>
        <v>16654.346968205708</v>
      </c>
      <c r="D231" s="19">
        <f>Tableau!$G$17*SIN(B231*PI()/180)+Tableau!$H$16</f>
        <v>3784.2758726130301</v>
      </c>
      <c r="F231" s="26">
        <v>228</v>
      </c>
      <c r="G231" s="27">
        <f>Tableau!$G$26*COS(F231*PI()/180)+Tableau!$G$25</f>
        <v>-22341.957122256004</v>
      </c>
      <c r="H231" s="27">
        <f>Tableau!$G$26*SIN(F231*PI()/180)+Tableau!$H$25</f>
        <v>7398.9931108291203</v>
      </c>
      <c r="J231" s="34">
        <v>228</v>
      </c>
      <c r="K231" s="35">
        <f>Tableau!$G$36*COS(J231*PI()/180)+Tableau!$G$35</f>
        <v>-8345.6530317942925</v>
      </c>
      <c r="L231" s="35">
        <f>Tableau!$G$36*SIN(J231*PI()/180)+Tableau!$H$35</f>
        <v>-18715.724127386969</v>
      </c>
      <c r="N231" s="98">
        <v>227</v>
      </c>
      <c r="O231" s="99">
        <v>113.5</v>
      </c>
      <c r="P231" s="101">
        <f>P230+R230*Tableau!$G$2+((1/2)*T230)*Tableau!$G$2^2</f>
        <v>-7512334.012468054</v>
      </c>
      <c r="Q231" s="101">
        <f>Q230+S230*Tableau!$G$2+((1/2)*U230)*Tableau!$G$2^2</f>
        <v>3673681.250089054</v>
      </c>
      <c r="R231" s="101">
        <f>R230+T230*Tableau!$G$2</f>
        <v>-68699.172171273938</v>
      </c>
      <c r="S231" s="101">
        <f>S230+U230*Tableau!$G$2</f>
        <v>33801.202829359143</v>
      </c>
      <c r="T231" s="101">
        <f t="shared" si="6"/>
        <v>1.5744767135374056E-2</v>
      </c>
      <c r="U231" s="101">
        <f t="shared" si="7"/>
        <v>-7.6996542156839518E-3</v>
      </c>
      <c r="V231" s="101">
        <f>((Tableau!$G$16-P231)/(AC231^2+Tableau!$G$21^2)^(3/2))*Tableau!$G$20</f>
        <v>6.70867179378184E-3</v>
      </c>
      <c r="W231" s="101">
        <f>((Tableau!$H$16-Q231)/(AC231^2+Tableau!$G$21^2)^(3/2))*Tableau!$G$20</f>
        <v>-3.2652836030176769E-3</v>
      </c>
      <c r="X231" s="101">
        <f>((Tableau!$G$25-P231)/(AD231^2+Tableau!$G$30^2)^(3/2))*Tableau!$G$29</f>
        <v>2.3194911264129139E-3</v>
      </c>
      <c r="Y231" s="101">
        <f>((Tableau!$H$25-Q231)/(AD231^2+Tableau!$G$30^2)^(3/2))*Tableau!$G$29</f>
        <v>-1.1342094646935852E-3</v>
      </c>
      <c r="Z231" s="101">
        <f>((Tableau!$G$35-P231)/(AE231^2+Tableau!$G$40^2)^(3/2))*Tableau!$G$39</f>
        <v>6.7166042151793016E-3</v>
      </c>
      <c r="AA231" s="102">
        <f>((Tableau!$H$35-Q231)/(AE231^2+Tableau!$G$40^2)^(3/2))*Tableau!$G$39</f>
        <v>-3.3001611479726903E-3</v>
      </c>
      <c r="AC231" s="113">
        <f>SQRT((Tableau!$G$16-P231)^2+(Tableau!$H$16-Q231)^2)</f>
        <v>8377167.816982517</v>
      </c>
      <c r="AD231" s="114">
        <f>SQRT((Tableau!$G$25-P231)^2+(Tableau!$H$25-Q231)^2)</f>
        <v>8340121.6571846083</v>
      </c>
      <c r="AE231" s="115">
        <f>SQRT((Tableau!$G$35-P231)^2+(Tableau!$H$35-Q231)^2)</f>
        <v>8364594.0331565542</v>
      </c>
    </row>
    <row r="232" spans="2:31" x14ac:dyDescent="0.25">
      <c r="B232" s="20">
        <v>229</v>
      </c>
      <c r="C232" s="21">
        <f>Tableau!$G$17*COS(B232*PI()/180)+Tableau!$G$16</f>
        <v>16719.704855047461</v>
      </c>
      <c r="D232" s="21">
        <f>Tableau!$G$17*SIN(B232*PI()/180)+Tableau!$H$16</f>
        <v>3726.4520988861418</v>
      </c>
      <c r="F232" s="28">
        <v>229</v>
      </c>
      <c r="G232" s="29">
        <f>Tableau!$G$26*COS(F232*PI()/180)+Tableau!$G$25</f>
        <v>-22296.206601466776</v>
      </c>
      <c r="H232" s="29">
        <f>Tableau!$G$26*SIN(F232*PI()/180)+Tableau!$H$25</f>
        <v>7358.5164692202998</v>
      </c>
      <c r="J232" s="36">
        <v>229</v>
      </c>
      <c r="K232" s="37">
        <f>Tableau!$G$36*COS(J232*PI()/180)+Tableau!$G$35</f>
        <v>-8280.295144952539</v>
      </c>
      <c r="L232" s="37">
        <f>Tableau!$G$36*SIN(J232*PI()/180)+Tableau!$H$35</f>
        <v>-18773.54790111386</v>
      </c>
      <c r="N232" s="92">
        <v>228</v>
      </c>
      <c r="O232" s="93">
        <v>114</v>
      </c>
      <c r="P232" s="96">
        <f>P231+R231*Tableau!$G$2+((1/2)*T231)*Tableau!$G$2^2</f>
        <v>-7546683.596585595</v>
      </c>
      <c r="Q232" s="96">
        <f>Q231+S231*Tableau!$G$2+((1/2)*U231)*Tableau!$G$2^2</f>
        <v>3690581.8505412769</v>
      </c>
      <c r="R232" s="96">
        <f>R231+T231*Tableau!$G$2</f>
        <v>-68699.164298890377</v>
      </c>
      <c r="S232" s="96">
        <f>S231+U231*Tableau!$G$2</f>
        <v>33801.198979532033</v>
      </c>
      <c r="T232" s="96">
        <f t="shared" si="6"/>
        <v>1.5601579254319504E-2</v>
      </c>
      <c r="U232" s="96">
        <f t="shared" si="7"/>
        <v>-7.6298429227756263E-3</v>
      </c>
      <c r="V232" s="96">
        <f>((Tableau!$G$16-P232)/(AC232^2+Tableau!$G$21^2)^(3/2))*Tableau!$G$20</f>
        <v>6.6477123789965382E-3</v>
      </c>
      <c r="W232" s="96">
        <f>((Tableau!$H$16-Q232)/(AC232^2+Tableau!$G$21^2)^(3/2))*Tableau!$G$20</f>
        <v>-3.2357727792065951E-3</v>
      </c>
      <c r="X232" s="96">
        <f>((Tableau!$G$25-P232)/(AD232^2+Tableau!$G$30^2)^(3/2))*Tableau!$G$29</f>
        <v>2.2983308876096172E-3</v>
      </c>
      <c r="Y232" s="96">
        <f>((Tableau!$H$25-Q232)/(AD232^2+Tableau!$G$30^2)^(3/2))*Tableau!$G$29</f>
        <v>-1.1238940554524983E-3</v>
      </c>
      <c r="Z232" s="96">
        <f>((Tableau!$G$35-P232)/(AE232^2+Tableau!$G$40^2)^(3/2))*Tableau!$G$39</f>
        <v>6.6555359877133501E-3</v>
      </c>
      <c r="AA232" s="97">
        <f>((Tableau!$H$35-Q232)/(AE232^2+Tableau!$G$40^2)^(3/2))*Tableau!$G$39</f>
        <v>-3.2701760881165324E-3</v>
      </c>
      <c r="AC232" s="110">
        <f>SQRT((Tableau!$G$16-P232)^2+(Tableau!$H$16-Q232)^2)</f>
        <v>8415449.6355586424</v>
      </c>
      <c r="AD232" s="111">
        <f>SQRT((Tableau!$G$25-P232)^2+(Tableau!$H$25-Q232)^2)</f>
        <v>8378403.7096361332</v>
      </c>
      <c r="AE232" s="112">
        <f>SQRT((Tableau!$G$35-P232)^2+(Tableau!$H$35-Q232)^2)</f>
        <v>8402876.1934274118</v>
      </c>
    </row>
    <row r="233" spans="2:31" x14ac:dyDescent="0.25">
      <c r="B233" s="18">
        <v>230</v>
      </c>
      <c r="C233" s="19">
        <f>Tableau!$G$17*COS(B233*PI()/180)+Tableau!$G$16</f>
        <v>16786.061951567302</v>
      </c>
      <c r="D233" s="19">
        <f>Tableau!$G$17*SIN(B233*PI()/180)+Tableau!$H$16</f>
        <v>3669.7777844051107</v>
      </c>
      <c r="F233" s="26">
        <v>230</v>
      </c>
      <c r="G233" s="27">
        <f>Tableau!$G$26*COS(F233*PI()/180)+Tableau!$G$25</f>
        <v>-22249.756633902889</v>
      </c>
      <c r="H233" s="27">
        <f>Tableau!$G$26*SIN(F233*PI()/180)+Tableau!$H$25</f>
        <v>7318.8444490835773</v>
      </c>
      <c r="J233" s="34">
        <v>230</v>
      </c>
      <c r="K233" s="35">
        <f>Tableau!$G$36*COS(J233*PI()/180)+Tableau!$G$35</f>
        <v>-8213.9380484326975</v>
      </c>
      <c r="L233" s="35">
        <f>Tableau!$G$36*SIN(J233*PI()/180)+Tableau!$H$35</f>
        <v>-18830.222215594891</v>
      </c>
      <c r="N233" s="98">
        <v>229</v>
      </c>
      <c r="O233" s="99">
        <v>114.5</v>
      </c>
      <c r="P233" s="101">
        <f>P232+R232*Tableau!$G$2+((1/2)*T232)*Tableau!$G$2^2</f>
        <v>-7581033.1767848423</v>
      </c>
      <c r="Q233" s="101">
        <f>Q232+S232*Tableau!$G$2+((1/2)*U232)*Tableau!$G$2^2</f>
        <v>3707482.4490773128</v>
      </c>
      <c r="R233" s="101">
        <f>R232+T232*Tableau!$G$2</f>
        <v>-68699.156498100754</v>
      </c>
      <c r="S233" s="101">
        <f>S232+U232*Tableau!$G$2</f>
        <v>33801.195164610574</v>
      </c>
      <c r="T233" s="101">
        <f t="shared" si="6"/>
        <v>1.5460335831972316E-2</v>
      </c>
      <c r="U233" s="101">
        <f t="shared" si="7"/>
        <v>-7.5609767943398409E-3</v>
      </c>
      <c r="V233" s="101">
        <f>((Tableau!$G$16-P233)/(AC233^2+Tableau!$G$21^2)^(3/2))*Tableau!$G$20</f>
        <v>6.5875800796544376E-3</v>
      </c>
      <c r="W233" s="101">
        <f>((Tableau!$H$16-Q233)/(AC233^2+Tableau!$G$21^2)^(3/2))*Tableau!$G$20</f>
        <v>-3.2066602144371461E-3</v>
      </c>
      <c r="X233" s="101">
        <f>((Tableau!$G$25-P233)/(AD233^2+Tableau!$G$30^2)^(3/2))*Tableau!$G$29</f>
        <v>2.2774588956664282E-3</v>
      </c>
      <c r="Y233" s="101">
        <f>((Tableau!$H$25-Q233)/(AD233^2+Tableau!$G$30^2)^(3/2))*Tableau!$G$29</f>
        <v>-1.1137187337144311E-3</v>
      </c>
      <c r="Z233" s="101">
        <f>((Tableau!$G$35-P233)/(AE233^2+Tableau!$G$40^2)^(3/2))*Tableau!$G$39</f>
        <v>6.5952968566514499E-3</v>
      </c>
      <c r="AA233" s="102">
        <f>((Tableau!$H$35-Q233)/(AE233^2+Tableau!$G$40^2)^(3/2))*Tableau!$G$39</f>
        <v>-3.2405978461882644E-3</v>
      </c>
      <c r="AC233" s="113">
        <f>SQRT((Tableau!$G$16-P233)^2+(Tableau!$H$16-Q233)^2)</f>
        <v>8453731.4529185295</v>
      </c>
      <c r="AD233" s="114">
        <f>SQRT((Tableau!$G$25-P233)^2+(Tableau!$H$25-Q233)^2)</f>
        <v>8416685.7587577682</v>
      </c>
      <c r="AE233" s="115">
        <f>SQRT((Tableau!$G$35-P233)^2+(Tableau!$H$35-Q233)^2)</f>
        <v>8441158.349387439</v>
      </c>
    </row>
    <row r="234" spans="2:31" x14ac:dyDescent="0.25">
      <c r="B234" s="20">
        <v>231</v>
      </c>
      <c r="C234" s="21">
        <f>Tableau!$G$17*COS(B234*PI()/180)+Tableau!$G$16</f>
        <v>16853.398044750815</v>
      </c>
      <c r="D234" s="21">
        <f>Tableau!$G$17*SIN(B234*PI()/180)+Tableau!$H$16</f>
        <v>3614.2701927151443</v>
      </c>
      <c r="F234" s="28">
        <v>231</v>
      </c>
      <c r="G234" s="29">
        <f>Tableau!$G$26*COS(F234*PI()/180)+Tableau!$G$25</f>
        <v>-22202.62136867443</v>
      </c>
      <c r="H234" s="29">
        <f>Tableau!$G$26*SIN(F234*PI()/180)+Tableau!$H$25</f>
        <v>7279.9891349006011</v>
      </c>
      <c r="J234" s="36">
        <v>231</v>
      </c>
      <c r="K234" s="37">
        <f>Tableau!$G$36*COS(J234*PI()/180)+Tableau!$G$35</f>
        <v>-8146.6019552491853</v>
      </c>
      <c r="L234" s="37">
        <f>Tableau!$G$36*SIN(J234*PI()/180)+Tableau!$H$35</f>
        <v>-18885.729807284857</v>
      </c>
      <c r="N234" s="92">
        <v>230</v>
      </c>
      <c r="O234" s="93">
        <v>115</v>
      </c>
      <c r="P234" s="96">
        <f>P233+R233*Tableau!$G$2+((1/2)*T233)*Tableau!$G$2^2</f>
        <v>-7615382.7531013507</v>
      </c>
      <c r="Q234" s="96">
        <f>Q233+S233*Tableau!$G$2+((1/2)*U233)*Tableau!$G$2^2</f>
        <v>3724383.0457144962</v>
      </c>
      <c r="R234" s="96">
        <f>R233+T233*Tableau!$G$2</f>
        <v>-68699.148767932842</v>
      </c>
      <c r="S234" s="96">
        <f>S233+U233*Tableau!$G$2</f>
        <v>33801.191384122176</v>
      </c>
      <c r="T234" s="96">
        <f t="shared" si="6"/>
        <v>1.5321001819858125E-2</v>
      </c>
      <c r="U234" s="96">
        <f t="shared" si="7"/>
        <v>-7.4930388451327152E-3</v>
      </c>
      <c r="V234" s="96">
        <f>((Tableau!$G$16-P234)/(AC234^2+Tableau!$G$21^2)^(3/2))*Tableau!$G$20</f>
        <v>6.5282599998098016E-3</v>
      </c>
      <c r="W234" s="96">
        <f>((Tableau!$H$16-Q234)/(AC234^2+Tableau!$G$21^2)^(3/2))*Tableau!$G$20</f>
        <v>-3.1779387747723933E-3</v>
      </c>
      <c r="X234" s="96">
        <f>((Tableau!$G$25-P234)/(AD234^2+Tableau!$G$30^2)^(3/2))*Tableau!$G$29</f>
        <v>2.2568699388724606E-3</v>
      </c>
      <c r="Y234" s="96">
        <f>((Tableau!$H$25-Q234)/(AD234^2+Tableau!$G$30^2)^(3/2))*Tableau!$G$29</f>
        <v>-1.1036809743271564E-3</v>
      </c>
      <c r="Z234" s="96">
        <f>((Tableau!$G$35-P234)/(AE234^2+Tableau!$G$40^2)^(3/2))*Tableau!$G$39</f>
        <v>6.5358718811758618E-3</v>
      </c>
      <c r="AA234" s="97">
        <f>((Tableau!$H$35-Q234)/(AE234^2+Tableau!$G$40^2)^(3/2))*Tableau!$G$39</f>
        <v>-3.211419096033165E-3</v>
      </c>
      <c r="AC234" s="110">
        <f>SQRT((Tableau!$G$16-P234)^2+(Tableau!$H$16-Q234)^2)</f>
        <v>8492013.2690591943</v>
      </c>
      <c r="AD234" s="111">
        <f>SQRT((Tableau!$G$25-P234)^2+(Tableau!$H$25-Q234)^2)</f>
        <v>8454967.8045750558</v>
      </c>
      <c r="AE234" s="112">
        <f>SQRT((Tableau!$G$35-P234)^2+(Tableau!$H$35-Q234)^2)</f>
        <v>8479440.5010754988</v>
      </c>
    </row>
    <row r="235" spans="2:31" x14ac:dyDescent="0.25">
      <c r="B235" s="18">
        <v>232</v>
      </c>
      <c r="C235" s="19">
        <f>Tableau!$G$17*COS(B235*PI()/180)+Tableau!$G$16</f>
        <v>16921.692623371709</v>
      </c>
      <c r="D235" s="19">
        <f>Tableau!$G$17*SIN(B235*PI()/180)+Tableau!$H$16</f>
        <v>3559.9462319663894</v>
      </c>
      <c r="F235" s="26">
        <v>232</v>
      </c>
      <c r="G235" s="27">
        <f>Tableau!$G$26*COS(F235*PI()/180)+Tableau!$G$25</f>
        <v>-22154.815163639803</v>
      </c>
      <c r="H235" s="27">
        <f>Tableau!$G$26*SIN(F235*PI()/180)+Tableau!$H$25</f>
        <v>7241.9623623764728</v>
      </c>
      <c r="J235" s="34">
        <v>232</v>
      </c>
      <c r="K235" s="35">
        <f>Tableau!$G$36*COS(J235*PI()/180)+Tableau!$G$35</f>
        <v>-8078.3073766282905</v>
      </c>
      <c r="L235" s="35">
        <f>Tableau!$G$36*SIN(J235*PI()/180)+Tableau!$H$35</f>
        <v>-18940.053768033609</v>
      </c>
      <c r="N235" s="98">
        <v>231</v>
      </c>
      <c r="O235" s="99">
        <v>115.5</v>
      </c>
      <c r="P235" s="101">
        <f>P234+R234*Tableau!$G$2+((1/2)*T234)*Tableau!$G$2^2</f>
        <v>-7649732.3255701922</v>
      </c>
      <c r="Q235" s="101">
        <f>Q234+S234*Tableau!$G$2+((1/2)*U234)*Tableau!$G$2^2</f>
        <v>3741283.6404699273</v>
      </c>
      <c r="R235" s="101">
        <f>R234+T234*Tableau!$G$2</f>
        <v>-68699.141107431933</v>
      </c>
      <c r="S235" s="101">
        <f>S234+U234*Tableau!$G$2</f>
        <v>33801.18763760275</v>
      </c>
      <c r="T235" s="101">
        <f t="shared" si="6"/>
        <v>1.5183542955637612E-2</v>
      </c>
      <c r="U235" s="101">
        <f t="shared" si="7"/>
        <v>-7.4260124697484806E-3</v>
      </c>
      <c r="V235" s="101">
        <f>((Tableau!$G$16-P235)/(AC235^2+Tableau!$G$21^2)^(3/2))*Tableau!$G$20</f>
        <v>6.4697375773476911E-3</v>
      </c>
      <c r="W235" s="101">
        <f>((Tableau!$H$16-Q235)/(AC235^2+Tableau!$G$21^2)^(3/2))*Tableau!$G$20</f>
        <v>-3.1496014852954429E-3</v>
      </c>
      <c r="X235" s="101">
        <f>((Tableau!$G$25-P235)/(AD235^2+Tableau!$G$30^2)^(3/2))*Tableau!$G$29</f>
        <v>2.23655892277623E-3</v>
      </c>
      <c r="Y235" s="101">
        <f>((Tableau!$H$25-Q235)/(AD235^2+Tableau!$G$30^2)^(3/2))*Tableau!$G$29</f>
        <v>-1.0937783087794405E-3</v>
      </c>
      <c r="Z235" s="101">
        <f>((Tableau!$G$35-P235)/(AE235^2+Tableau!$G$40^2)^(3/2))*Tableau!$G$39</f>
        <v>6.4772464555136909E-3</v>
      </c>
      <c r="AA235" s="102">
        <f>((Tableau!$H$35-Q235)/(AE235^2+Tableau!$G$40^2)^(3/2))*Tableau!$G$39</f>
        <v>-3.1826326756735973E-3</v>
      </c>
      <c r="AC235" s="113">
        <f>SQRT((Tableau!$G$16-P235)^2+(Tableau!$H$16-Q235)^2)</f>
        <v>8530295.0839778818</v>
      </c>
      <c r="AD235" s="114">
        <f>SQRT((Tableau!$G$25-P235)^2+(Tableau!$H$25-Q235)^2)</f>
        <v>8493249.8471132498</v>
      </c>
      <c r="AE235" s="115">
        <f>SQRT((Tableau!$G$35-P235)^2+(Tableau!$H$35-Q235)^2)</f>
        <v>8517722.6485299375</v>
      </c>
    </row>
    <row r="236" spans="2:31" x14ac:dyDescent="0.25">
      <c r="B236" s="20">
        <v>233</v>
      </c>
      <c r="C236" s="21">
        <f>Tableau!$G$17*COS(B236*PI()/180)+Tableau!$G$16</f>
        <v>16990.924884239757</v>
      </c>
      <c r="D236" s="21">
        <f>Tableau!$G$17*SIN(B236*PI()/180)+Tableau!$H$16</f>
        <v>3506.822449763536</v>
      </c>
      <c r="F236" s="28">
        <v>233</v>
      </c>
      <c r="G236" s="29">
        <f>Tableau!$G$26*COS(F236*PI()/180)+Tableau!$G$25</f>
        <v>-22106.35258103217</v>
      </c>
      <c r="H236" s="29">
        <f>Tableau!$G$26*SIN(F236*PI()/180)+Tableau!$H$25</f>
        <v>7204.7757148344754</v>
      </c>
      <c r="J236" s="36">
        <v>233</v>
      </c>
      <c r="K236" s="37">
        <f>Tableau!$G$36*COS(J236*PI()/180)+Tableau!$G$35</f>
        <v>-8009.0751157602408</v>
      </c>
      <c r="L236" s="37">
        <f>Tableau!$G$36*SIN(J236*PI()/180)+Tableau!$H$35</f>
        <v>-18993.177550236465</v>
      </c>
      <c r="N236" s="92">
        <v>232</v>
      </c>
      <c r="O236" s="93">
        <v>116</v>
      </c>
      <c r="P236" s="96">
        <f>P235+R235*Tableau!$G$2+((1/2)*T235)*Tableau!$G$2^2</f>
        <v>-7684081.8942259653</v>
      </c>
      <c r="Q236" s="96">
        <f>Q235+S235*Tableau!$G$2+((1/2)*U235)*Tableau!$G$2^2</f>
        <v>3758184.2333604773</v>
      </c>
      <c r="R236" s="96">
        <f>R235+T235*Tableau!$G$2</f>
        <v>-68699.133515660462</v>
      </c>
      <c r="S236" s="96">
        <f>S235+U235*Tableau!$G$2</f>
        <v>33801.183924596517</v>
      </c>
      <c r="T236" s="96">
        <f t="shared" si="6"/>
        <v>1.5047925742040818E-2</v>
      </c>
      <c r="U236" s="96">
        <f t="shared" si="7"/>
        <v>-7.3598814324714905E-3</v>
      </c>
      <c r="V236" s="96">
        <f>((Tableau!$G$16-P236)/(AC236^2+Tableau!$G$21^2)^(3/2))*Tableau!$G$20</f>
        <v>6.4119985750460528E-3</v>
      </c>
      <c r="W236" s="96">
        <f>((Tableau!$H$16-Q236)/(AC236^2+Tableau!$G$21^2)^(3/2))*Tableau!$G$20</f>
        <v>-3.1216415258746855E-3</v>
      </c>
      <c r="X236" s="96">
        <f>((Tableau!$G$25-P236)/(AD236^2+Tableau!$G$30^2)^(3/2))*Tableau!$G$29</f>
        <v>2.2165208670337781E-3</v>
      </c>
      <c r="Y236" s="96">
        <f>((Tableau!$H$25-Q236)/(AD236^2+Tableau!$G$30^2)^(3/2))*Tableau!$G$29</f>
        <v>-1.0840083236831805E-3</v>
      </c>
      <c r="Z236" s="96">
        <f>((Tableau!$G$35-P236)/(AE236^2+Tableau!$G$40^2)^(3/2))*Tableau!$G$39</f>
        <v>6.4194062999609882E-3</v>
      </c>
      <c r="AA236" s="97">
        <f>((Tableau!$H$35-Q236)/(AE236^2+Tableau!$G$40^2)^(3/2))*Tableau!$G$39</f>
        <v>-3.1542315829136249E-3</v>
      </c>
      <c r="AC236" s="110">
        <f>SQRT((Tableau!$G$16-P236)^2+(Tableau!$H$16-Q236)^2)</f>
        <v>8568576.8976720516</v>
      </c>
      <c r="AD236" s="111">
        <f>SQRT((Tableau!$G$25-P236)^2+(Tableau!$H$25-Q236)^2)</f>
        <v>8531531.8863973264</v>
      </c>
      <c r="AE236" s="112">
        <f>SQRT((Tableau!$G$35-P236)^2+(Tableau!$H$35-Q236)^2)</f>
        <v>8556004.7917885799</v>
      </c>
    </row>
    <row r="237" spans="2:31" x14ac:dyDescent="0.25">
      <c r="B237" s="18">
        <v>234</v>
      </c>
      <c r="C237" s="19">
        <f>Tableau!$G$17*COS(B237*PI()/180)+Tableau!$G$16</f>
        <v>17061.073738537634</v>
      </c>
      <c r="D237" s="19">
        <f>Tableau!$G$17*SIN(B237*PI()/180)+Tableau!$H$16</f>
        <v>3454.9150281252632</v>
      </c>
      <c r="F237" s="26">
        <v>234</v>
      </c>
      <c r="G237" s="27">
        <f>Tableau!$G$26*COS(F237*PI()/180)+Tableau!$G$25</f>
        <v>-22057.248383023656</v>
      </c>
      <c r="H237" s="27">
        <f>Tableau!$G$26*SIN(F237*PI()/180)+Tableau!$H$25</f>
        <v>7168.4405196876842</v>
      </c>
      <c r="J237" s="34">
        <v>234</v>
      </c>
      <c r="K237" s="35">
        <f>Tableau!$G$36*COS(J237*PI()/180)+Tableau!$G$35</f>
        <v>-7938.9262614623658</v>
      </c>
      <c r="L237" s="35">
        <f>Tableau!$G$36*SIN(J237*PI()/180)+Tableau!$H$35</f>
        <v>-19045.084971874738</v>
      </c>
      <c r="N237" s="98">
        <v>233</v>
      </c>
      <c r="O237" s="99">
        <v>116.5</v>
      </c>
      <c r="P237" s="101">
        <f>P236+R236*Tableau!$G$2+((1/2)*T236)*Tableau!$G$2^2</f>
        <v>-7718431.4591028048</v>
      </c>
      <c r="Q237" s="101">
        <f>Q236+S236*Tableau!$G$2+((1/2)*U236)*Tableau!$G$2^2</f>
        <v>3775084.8244027905</v>
      </c>
      <c r="R237" s="101">
        <f>R236+T236*Tableau!$G$2</f>
        <v>-68699.125991697598</v>
      </c>
      <c r="S237" s="101">
        <f>S236+U236*Tableau!$G$2</f>
        <v>33801.180244655799</v>
      </c>
      <c r="T237" s="101">
        <f t="shared" si="6"/>
        <v>1.4914117426458293E-2</v>
      </c>
      <c r="U237" s="101">
        <f t="shared" si="7"/>
        <v>-7.2946298574436963E-3</v>
      </c>
      <c r="V237" s="101">
        <f>((Tableau!$G$16-P237)/(AC237^2+Tableau!$G$21^2)^(3/2))*Tableau!$G$20</f>
        <v>6.3550290719164111E-3</v>
      </c>
      <c r="W237" s="101">
        <f>((Tableau!$H$16-Q237)/(AC237^2+Tableau!$G$21^2)^(3/2))*Tableau!$G$20</f>
        <v>-3.0940522270603388E-3</v>
      </c>
      <c r="X237" s="101">
        <f>((Tableau!$G$25-P237)/(AD237^2+Tableau!$G$30^2)^(3/2))*Tableau!$G$29</f>
        <v>2.1967509023554845E-3</v>
      </c>
      <c r="Y237" s="101">
        <f>((Tableau!$H$25-Q237)/(AD237^2+Tableau!$G$30^2)^(3/2))*Tableau!$G$29</f>
        <v>-1.0743686593029291E-3</v>
      </c>
      <c r="Z237" s="101">
        <f>((Tableau!$G$35-P237)/(AE237^2+Tableau!$G$40^2)^(3/2))*Tableau!$G$39</f>
        <v>6.3623374521863977E-3</v>
      </c>
      <c r="AA237" s="102">
        <f>((Tableau!$H$35-Q237)/(AE237^2+Tableau!$G$40^2)^(3/2))*Tableau!$G$39</f>
        <v>-3.126208971080428E-3</v>
      </c>
      <c r="AC237" s="113">
        <f>SQRT((Tableau!$G$16-P237)^2+(Tableau!$H$16-Q237)^2)</f>
        <v>8606858.7101393826</v>
      </c>
      <c r="AD237" s="114">
        <f>SQRT((Tableau!$G$25-P237)^2+(Tableau!$H$25-Q237)^2)</f>
        <v>8569813.9224519879</v>
      </c>
      <c r="AE237" s="115">
        <f>SQRT((Tableau!$G$35-P237)^2+(Tableau!$H$35-Q237)^2)</f>
        <v>8594286.9308887497</v>
      </c>
    </row>
    <row r="238" spans="2:31" x14ac:dyDescent="0.25">
      <c r="B238" s="20">
        <v>235</v>
      </c>
      <c r="C238" s="21">
        <f>Tableau!$G$17*COS(B238*PI()/180)+Tableau!$G$16</f>
        <v>17132.117818244769</v>
      </c>
      <c r="D238" s="21">
        <f>Tableau!$G$17*SIN(B238*PI()/180)+Tableau!$H$16</f>
        <v>3404.239778555042</v>
      </c>
      <c r="F238" s="28">
        <v>235</v>
      </c>
      <c r="G238" s="29">
        <f>Tableau!$G$26*COS(F238*PI()/180)+Tableau!$G$25</f>
        <v>-22007.517527228661</v>
      </c>
      <c r="H238" s="29">
        <f>Tableau!$G$26*SIN(F238*PI()/180)+Tableau!$H$25</f>
        <v>7132.9678449885296</v>
      </c>
      <c r="J238" s="36">
        <v>235</v>
      </c>
      <c r="K238" s="37">
        <f>Tableau!$G$36*COS(J238*PI()/180)+Tableau!$G$35</f>
        <v>-7867.8821817552325</v>
      </c>
      <c r="L238" s="37">
        <f>Tableau!$G$36*SIN(J238*PI()/180)+Tableau!$H$35</f>
        <v>-19095.760221444958</v>
      </c>
      <c r="N238" s="92">
        <v>234</v>
      </c>
      <c r="O238" s="93">
        <v>117</v>
      </c>
      <c r="P238" s="96">
        <f>P237+R237*Tableau!$G$2+((1/2)*T237)*Tableau!$G$2^2</f>
        <v>-7752781.0202343892</v>
      </c>
      <c r="Q238" s="96">
        <f>Q237+S237*Tableau!$G$2+((1/2)*U237)*Tableau!$G$2^2</f>
        <v>3791985.4136132896</v>
      </c>
      <c r="R238" s="96">
        <f>R237+T237*Tableau!$G$2</f>
        <v>-68699.118534638881</v>
      </c>
      <c r="S238" s="96">
        <f>S237+U237*Tableau!$G$2</f>
        <v>33801.176597340869</v>
      </c>
      <c r="T238" s="96">
        <f t="shared" si="6"/>
        <v>1.4782085981163949E-2</v>
      </c>
      <c r="U238" s="96">
        <f t="shared" si="7"/>
        <v>-7.2302422191355738E-3</v>
      </c>
      <c r="V238" s="96">
        <f>((Tableau!$G$16-P238)/(AC238^2+Tableau!$G$21^2)^(3/2))*Tableau!$G$20</f>
        <v>6.2988154548120848E-3</v>
      </c>
      <c r="W238" s="96">
        <f>((Tableau!$H$16-Q238)/(AC238^2+Tableau!$G$21^2)^(3/2))*Tableau!$G$20</f>
        <v>-3.0668270661070884E-3</v>
      </c>
      <c r="X238" s="96">
        <f>((Tableau!$G$25-P238)/(AD238^2+Tableau!$G$30^2)^(3/2))*Tableau!$G$29</f>
        <v>2.1772442675476117E-3</v>
      </c>
      <c r="Y238" s="96">
        <f>((Tableau!$H$25-Q238)/(AD238^2+Tableau!$G$30^2)^(3/2))*Tableau!$G$29</f>
        <v>-1.0648570081309024E-3</v>
      </c>
      <c r="Z238" s="96">
        <f>((Tableau!$G$35-P238)/(AE238^2+Tableau!$G$40^2)^(3/2))*Tableau!$G$39</f>
        <v>6.3060262588042525E-3</v>
      </c>
      <c r="AA238" s="97">
        <f>((Tableau!$H$35-Q238)/(AE238^2+Tableau!$G$40^2)^(3/2))*Tableau!$G$39</f>
        <v>-3.098558144897583E-3</v>
      </c>
      <c r="AC238" s="110">
        <f>SQRT((Tableau!$G$16-P238)^2+(Tableau!$H$16-Q238)^2)</f>
        <v>8645140.5213777591</v>
      </c>
      <c r="AD238" s="111">
        <f>SQRT((Tableau!$G$25-P238)^2+(Tableau!$H$25-Q238)^2)</f>
        <v>8608095.9553016648</v>
      </c>
      <c r="AE238" s="112">
        <f>SQRT((Tableau!$G$35-P238)^2+(Tableau!$H$35-Q238)^2)</f>
        <v>8632569.0658672731</v>
      </c>
    </row>
    <row r="239" spans="2:31" x14ac:dyDescent="0.25">
      <c r="B239" s="18">
        <v>236</v>
      </c>
      <c r="C239" s="19">
        <f>Tableau!$G$17*COS(B239*PI()/180)+Tableau!$G$16</f>
        <v>17204.035482646264</v>
      </c>
      <c r="D239" s="19">
        <f>Tableau!$G$17*SIN(B239*PI()/180)+Tableau!$H$16</f>
        <v>3354.8121372247933</v>
      </c>
      <c r="F239" s="26">
        <v>236</v>
      </c>
      <c r="G239" s="27">
        <f>Tableau!$G$26*COS(F239*PI()/180)+Tableau!$G$25</f>
        <v>-21957.175162147614</v>
      </c>
      <c r="H239" s="27">
        <f>Tableau!$G$26*SIN(F239*PI()/180)+Tableau!$H$25</f>
        <v>7098.3684960573555</v>
      </c>
      <c r="J239" s="34">
        <v>236</v>
      </c>
      <c r="K239" s="35">
        <f>Tableau!$G$36*COS(J239*PI()/180)+Tableau!$G$35</f>
        <v>-7795.9645173537356</v>
      </c>
      <c r="L239" s="35">
        <f>Tableau!$G$36*SIN(J239*PI()/180)+Tableau!$H$35</f>
        <v>-19145.187862775208</v>
      </c>
      <c r="N239" s="98">
        <v>235</v>
      </c>
      <c r="O239" s="99">
        <v>117.5</v>
      </c>
      <c r="P239" s="101">
        <f>P238+R238*Tableau!$G$2+((1/2)*T238)*Tableau!$G$2^2</f>
        <v>-7787130.5776539482</v>
      </c>
      <c r="Q239" s="101">
        <f>Q238+S238*Tableau!$G$2+((1/2)*U238)*Tableau!$G$2^2</f>
        <v>3808886.00100818</v>
      </c>
      <c r="R239" s="101">
        <f>R238+T238*Tableau!$G$2</f>
        <v>-68699.111143595888</v>
      </c>
      <c r="S239" s="101">
        <f>S238+U238*Tableau!$G$2</f>
        <v>33801.172982219759</v>
      </c>
      <c r="T239" s="101">
        <f t="shared" si="6"/>
        <v>1.4651800084147976E-2</v>
      </c>
      <c r="U239" s="101">
        <f t="shared" si="7"/>
        <v>-7.1667033331101228E-3</v>
      </c>
      <c r="V239" s="101">
        <f>((Tableau!$G$16-P239)/(AC239^2+Tableau!$G$21^2)^(3/2))*Tableau!$G$20</f>
        <v>6.2433444102953494E-3</v>
      </c>
      <c r="W239" s="101">
        <f>((Tableau!$H$16-Q239)/(AC239^2+Tableau!$G$21^2)^(3/2))*Tableau!$G$20</f>
        <v>-3.0399596631188039E-3</v>
      </c>
      <c r="X239" s="101">
        <f>((Tableau!$G$25-P239)/(AD239^2+Tableau!$G$30^2)^(3/2))*Tableau!$G$29</f>
        <v>2.1579963066454422E-3</v>
      </c>
      <c r="Y239" s="101">
        <f>((Tableau!$H$25-Q239)/(AD239^2+Tableau!$G$30^2)^(3/2))*Tableau!$G$29</f>
        <v>-1.055471113505976E-3</v>
      </c>
      <c r="Z239" s="101">
        <f>((Tableau!$G$35-P239)/(AE239^2+Tableau!$G$40^2)^(3/2))*Tableau!$G$39</f>
        <v>6.2504593672071855E-3</v>
      </c>
      <c r="AA239" s="102">
        <f>((Tableau!$H$35-Q239)/(AE239^2+Tableau!$G$40^2)^(3/2))*Tableau!$G$39</f>
        <v>-3.0712725564853434E-3</v>
      </c>
      <c r="AC239" s="113">
        <f>SQRT((Tableau!$G$16-P239)^2+(Tableau!$H$16-Q239)^2)</f>
        <v>8683422.3313852604</v>
      </c>
      <c r="AD239" s="114">
        <f>SQRT((Tableau!$G$25-P239)^2+(Tableau!$H$25-Q239)^2)</f>
        <v>8646377.9849705212</v>
      </c>
      <c r="AE239" s="115">
        <f>SQRT((Tableau!$G$35-P239)^2+(Tableau!$H$35-Q239)^2)</f>
        <v>8670851.1967604943</v>
      </c>
    </row>
    <row r="240" spans="2:31" x14ac:dyDescent="0.25">
      <c r="B240" s="20">
        <v>237</v>
      </c>
      <c r="C240" s="21">
        <f>Tableau!$G$17*COS(B240*PI()/180)+Tableau!$G$16</f>
        <v>17276.804824924864</v>
      </c>
      <c r="D240" s="21">
        <f>Tableau!$G$17*SIN(B240*PI()/180)+Tableau!$H$16</f>
        <v>3306.6471602728798</v>
      </c>
      <c r="F240" s="28">
        <v>237</v>
      </c>
      <c r="G240" s="29">
        <f>Tableau!$G$26*COS(F240*PI()/180)+Tableau!$G$25</f>
        <v>-21906.236622552595</v>
      </c>
      <c r="H240" s="29">
        <f>Tableau!$G$26*SIN(F240*PI()/180)+Tableau!$H$25</f>
        <v>7064.6530121910164</v>
      </c>
      <c r="J240" s="36">
        <v>237</v>
      </c>
      <c r="K240" s="37">
        <f>Tableau!$G$36*COS(J240*PI()/180)+Tableau!$G$35</f>
        <v>-7723.195175075135</v>
      </c>
      <c r="L240" s="37">
        <f>Tableau!$G$36*SIN(J240*PI()/180)+Tableau!$H$35</f>
        <v>-19193.352839727122</v>
      </c>
      <c r="N240" s="92">
        <v>236</v>
      </c>
      <c r="O240" s="93">
        <v>118</v>
      </c>
      <c r="P240" s="96">
        <f>P239+R239*Tableau!$G$2+((1/2)*T239)*Tableau!$G$2^2</f>
        <v>-7821480.1313942717</v>
      </c>
      <c r="Q240" s="96">
        <f>Q239+S239*Tableau!$G$2+((1/2)*U239)*Tableau!$G$2^2</f>
        <v>3825786.586603452</v>
      </c>
      <c r="R240" s="96">
        <f>R239+T239*Tableau!$G$2</f>
        <v>-68699.103817695839</v>
      </c>
      <c r="S240" s="96">
        <f>S239+U239*Tableau!$G$2</f>
        <v>33801.169398868093</v>
      </c>
      <c r="T240" s="96">
        <f t="shared" si="6"/>
        <v>1.4523229100538566E-2</v>
      </c>
      <c r="U240" s="96">
        <f t="shared" si="7"/>
        <v>-7.1039983470697517E-3</v>
      </c>
      <c r="V240" s="96">
        <f>((Tableau!$G$16-P240)/(AC240^2+Tableau!$G$21^2)^(3/2))*Tableau!$G$20</f>
        <v>6.1886029167540022E-3</v>
      </c>
      <c r="W240" s="96">
        <f>((Tableau!$H$16-Q240)/(AC240^2+Tableau!$G$21^2)^(3/2))*Tableau!$G$20</f>
        <v>-3.0134437773108591E-3</v>
      </c>
      <c r="X240" s="96">
        <f>((Tableau!$G$25-P240)/(AD240^2+Tableau!$G$30^2)^(3/2))*Tableau!$G$29</f>
        <v>2.1390024661346726E-3</v>
      </c>
      <c r="Y240" s="96">
        <f>((Tableau!$H$25-Q240)/(AD240^2+Tableau!$G$30^2)^(3/2))*Tableau!$G$29</f>
        <v>-1.0462087682750643E-3</v>
      </c>
      <c r="Z240" s="96">
        <f>((Tableau!$G$35-P240)/(AE240^2+Tableau!$G$40^2)^(3/2))*Tableau!$G$39</f>
        <v>6.1956237176498917E-3</v>
      </c>
      <c r="AA240" s="97">
        <f>((Tableau!$H$35-Q240)/(AE240^2+Tableau!$G$40^2)^(3/2))*Tableau!$G$39</f>
        <v>-3.0443458014838285E-3</v>
      </c>
      <c r="AC240" s="110">
        <f>SQRT((Tableau!$G$16-P240)^2+(Tableau!$H$16-Q240)^2)</f>
        <v>8721704.1401601657</v>
      </c>
      <c r="AD240" s="111">
        <f>SQRT((Tableau!$G$25-P240)^2+(Tableau!$H$25-Q240)^2)</f>
        <v>8684660.011482453</v>
      </c>
      <c r="AE240" s="112">
        <f>SQRT((Tableau!$G$35-P240)^2+(Tableau!$H$35-Q240)^2)</f>
        <v>8709133.3236042727</v>
      </c>
    </row>
    <row r="241" spans="2:31" x14ac:dyDescent="0.25">
      <c r="B241" s="18">
        <v>238</v>
      </c>
      <c r="C241" s="19">
        <f>Tableau!$G$17*COS(B241*PI()/180)+Tableau!$G$16</f>
        <v>17350.403678833976</v>
      </c>
      <c r="D241" s="19">
        <f>Tableau!$G$17*SIN(B241*PI()/180)+Tableau!$H$16</f>
        <v>3259.7595192178705</v>
      </c>
      <c r="F241" s="26">
        <v>238</v>
      </c>
      <c r="G241" s="27">
        <f>Tableau!$G$26*COS(F241*PI()/180)+Tableau!$G$25</f>
        <v>-21854.717424816219</v>
      </c>
      <c r="H241" s="27">
        <f>Tableau!$G$26*SIN(F241*PI()/180)+Tableau!$H$25</f>
        <v>7031.831663452509</v>
      </c>
      <c r="J241" s="34">
        <v>238</v>
      </c>
      <c r="K241" s="35">
        <f>Tableau!$G$36*COS(J241*PI()/180)+Tableau!$G$35</f>
        <v>-7649.5963211660255</v>
      </c>
      <c r="L241" s="35">
        <f>Tableau!$G$36*SIN(J241*PI()/180)+Tableau!$H$35</f>
        <v>-19240.240480782129</v>
      </c>
      <c r="N241" s="98">
        <v>237</v>
      </c>
      <c r="O241" s="99">
        <v>118.5</v>
      </c>
      <c r="P241" s="101">
        <f>P240+R240*Tableau!$G$2+((1/2)*T240)*Tableau!$G$2^2</f>
        <v>-7855829.6814877158</v>
      </c>
      <c r="Q241" s="101">
        <f>Q240+S240*Tableau!$G$2+((1/2)*U240)*Tableau!$G$2^2</f>
        <v>3842687.1704148864</v>
      </c>
      <c r="R241" s="101">
        <f>R240+T240*Tableau!$G$2</f>
        <v>-68699.096556081291</v>
      </c>
      <c r="S241" s="101">
        <f>S240+U240*Tableau!$G$2</f>
        <v>33801.16584686892</v>
      </c>
      <c r="T241" s="101">
        <f t="shared" si="6"/>
        <v>1.4396343064591748E-2</v>
      </c>
      <c r="U241" s="101">
        <f t="shared" si="7"/>
        <v>-7.0421127321761623E-3</v>
      </c>
      <c r="V241" s="101">
        <f>((Tableau!$G$16-P241)/(AC241^2+Tableau!$G$21^2)^(3/2))*Tableau!$G$20</f>
        <v>6.1345782367589309E-3</v>
      </c>
      <c r="W241" s="101">
        <f>((Tableau!$H$16-Q241)/(AC241^2+Tableau!$G$21^2)^(3/2))*Tableau!$G$20</f>
        <v>-2.9872733033861156E-3</v>
      </c>
      <c r="X241" s="101">
        <f>((Tableau!$G$25-P241)/(AD241^2+Tableau!$G$30^2)^(3/2))*Tableau!$G$29</f>
        <v>2.1202582922580765E-3</v>
      </c>
      <c r="Y241" s="101">
        <f>((Tableau!$H$25-Q241)/(AD241^2+Tableau!$G$30^2)^(3/2))*Tableau!$G$29</f>
        <v>-1.037067813495462E-3</v>
      </c>
      <c r="Z241" s="101">
        <f>((Tableau!$G$35-P241)/(AE241^2+Tableau!$G$40^2)^(3/2))*Tableau!$G$39</f>
        <v>6.1415065355747396E-3</v>
      </c>
      <c r="AA241" s="102">
        <f>((Tableau!$H$35-Q241)/(AE241^2+Tableau!$G$40^2)^(3/2))*Tableau!$G$39</f>
        <v>-3.0177716152945842E-3</v>
      </c>
      <c r="AC241" s="113">
        <f>SQRT((Tableau!$G$16-P241)^2+(Tableau!$H$16-Q241)^2)</f>
        <v>8759985.9477009345</v>
      </c>
      <c r="AD241" s="114">
        <f>SQRT((Tableau!$G$25-P241)^2+(Tableau!$H$25-Q241)^2)</f>
        <v>8722942.0348611027</v>
      </c>
      <c r="AE241" s="115">
        <f>SQRT((Tableau!$G$35-P241)^2+(Tableau!$H$35-Q241)^2)</f>
        <v>8747415.4464339986</v>
      </c>
    </row>
    <row r="242" spans="2:31" x14ac:dyDescent="0.25">
      <c r="B242" s="20">
        <v>239</v>
      </c>
      <c r="C242" s="21">
        <f>Tableau!$G$17*COS(B242*PI()/180)+Tableau!$G$16</f>
        <v>17424.809625449729</v>
      </c>
      <c r="D242" s="21">
        <f>Tableau!$G$17*SIN(B242*PI()/180)+Tableau!$H$16</f>
        <v>3214.1634964894392</v>
      </c>
      <c r="F242" s="28">
        <v>239</v>
      </c>
      <c r="G242" s="29">
        <f>Tableau!$G$26*COS(F242*PI()/180)+Tableau!$G$25</f>
        <v>-21802.633262185191</v>
      </c>
      <c r="H242" s="29">
        <f>Tableau!$G$26*SIN(F242*PI()/180)+Tableau!$H$25</f>
        <v>6999.9144475426074</v>
      </c>
      <c r="J242" s="36">
        <v>239</v>
      </c>
      <c r="K242" s="37">
        <f>Tableau!$G$36*COS(J242*PI()/180)+Tableau!$G$35</f>
        <v>-7575.1903745502723</v>
      </c>
      <c r="L242" s="37">
        <f>Tableau!$G$36*SIN(J242*PI()/180)+Tableau!$H$35</f>
        <v>-19285.83650351056</v>
      </c>
      <c r="N242" s="92">
        <v>238</v>
      </c>
      <c r="O242" s="93">
        <v>119</v>
      </c>
      <c r="P242" s="96">
        <f>P241+R241*Tableau!$G$2+((1/2)*T241)*Tableau!$G$2^2</f>
        <v>-7890179.2279662136</v>
      </c>
      <c r="Q242" s="96">
        <f>Q241+S241*Tableau!$G$2+((1/2)*U241)*Tableau!$G$2^2</f>
        <v>3859587.7524580569</v>
      </c>
      <c r="R242" s="96">
        <f>R241+T241*Tableau!$G$2</f>
        <v>-68699.089357909761</v>
      </c>
      <c r="S242" s="96">
        <f>S241+U241*Tableau!$G$2</f>
        <v>33801.162325812555</v>
      </c>
      <c r="T242" s="96">
        <f t="shared" si="6"/>
        <v>1.4271112662229544E-2</v>
      </c>
      <c r="U242" s="96">
        <f t="shared" si="7"/>
        <v>-6.9810322746337149E-3</v>
      </c>
      <c r="V242" s="96">
        <f>((Tableau!$G$16-P242)/(AC242^2+Tableau!$G$21^2)^(3/2))*Tableau!$G$20</f>
        <v>6.0812579096541225E-3</v>
      </c>
      <c r="W242" s="96">
        <f>((Tableau!$H$16-Q242)/(AC242^2+Tableau!$G$21^2)^(3/2))*Tableau!$G$20</f>
        <v>-2.9614422680205531E-3</v>
      </c>
      <c r="X242" s="96">
        <f>((Tableau!$G$25-P242)/(AD242^2+Tableau!$G$30^2)^(3/2))*Tableau!$G$29</f>
        <v>2.1017594284044316E-3</v>
      </c>
      <c r="Y242" s="96">
        <f>((Tableau!$H$25-Q242)/(AD242^2+Tableau!$G$30^2)^(3/2))*Tableau!$G$29</f>
        <v>-1.0280461371766972E-3</v>
      </c>
      <c r="Z242" s="96">
        <f>((Tableau!$G$35-P242)/(AE242^2+Tableau!$G$40^2)^(3/2))*Tableau!$G$39</f>
        <v>6.0880953241709904E-3</v>
      </c>
      <c r="AA242" s="97">
        <f>((Tableau!$H$35-Q242)/(AE242^2+Tableau!$G$40^2)^(3/2))*Tableau!$G$39</f>
        <v>-2.9915438694364648E-3</v>
      </c>
      <c r="AC242" s="110">
        <f>SQRT((Tableau!$G$16-P242)^2+(Tableau!$H$16-Q242)^2)</f>
        <v>8798267.7540062126</v>
      </c>
      <c r="AD242" s="111">
        <f>SQRT((Tableau!$G$25-P242)^2+(Tableau!$H$25-Q242)^2)</f>
        <v>8761224.0551298503</v>
      </c>
      <c r="AE242" s="112">
        <f>SQRT((Tableau!$G$35-P242)^2+(Tableau!$H$35-Q242)^2)</f>
        <v>8785697.5652846042</v>
      </c>
    </row>
    <row r="243" spans="2:31" x14ac:dyDescent="0.25">
      <c r="B243" s="18">
        <v>240</v>
      </c>
      <c r="C243" s="19">
        <f>Tableau!$G$17*COS(B243*PI()/180)+Tableau!$G$16</f>
        <v>17499.999999999996</v>
      </c>
      <c r="D243" s="19">
        <f>Tableau!$G$17*SIN(B243*PI()/180)+Tableau!$H$16</f>
        <v>3169.8729810778077</v>
      </c>
      <c r="F243" s="26">
        <v>240</v>
      </c>
      <c r="G243" s="27">
        <f>Tableau!$G$26*COS(F243*PI()/180)+Tableau!$G$25</f>
        <v>-21750</v>
      </c>
      <c r="H243" s="27">
        <f>Tableau!$G$26*SIN(F243*PI()/180)+Tableau!$H$25</f>
        <v>6968.9110867544659</v>
      </c>
      <c r="J243" s="34">
        <v>240</v>
      </c>
      <c r="K243" s="35">
        <f>Tableau!$G$36*COS(J243*PI()/180)+Tableau!$G$35</f>
        <v>-7500.0000000000018</v>
      </c>
      <c r="L243" s="35">
        <f>Tableau!$G$36*SIN(J243*PI()/180)+Tableau!$H$35</f>
        <v>-19330.12701892219</v>
      </c>
      <c r="N243" s="98">
        <v>239</v>
      </c>
      <c r="O243" s="99">
        <v>119.5</v>
      </c>
      <c r="P243" s="101">
        <f>P242+R242*Tableau!$G$2+((1/2)*T242)*Tableau!$G$2^2</f>
        <v>-7924528.7708612802</v>
      </c>
      <c r="Q243" s="101">
        <f>Q242+S242*Tableau!$G$2+((1/2)*U242)*Tableau!$G$2^2</f>
        <v>3876488.3327483339</v>
      </c>
      <c r="R243" s="101">
        <f>R242+T242*Tableau!$G$2</f>
        <v>-68699.082222353434</v>
      </c>
      <c r="S243" s="101">
        <f>S242+U242*Tableau!$G$2</f>
        <v>33801.158835296417</v>
      </c>
      <c r="T243" s="101">
        <f t="shared" si="6"/>
        <v>1.414750921410762E-2</v>
      </c>
      <c r="U243" s="101">
        <f t="shared" si="7"/>
        <v>-6.9207430675272902E-3</v>
      </c>
      <c r="V243" s="101">
        <f>((Tableau!$G$16-P243)/(AC243^2+Tableau!$G$21^2)^(3/2))*Tableau!$G$20</f>
        <v>6.0286297443710082E-3</v>
      </c>
      <c r="W243" s="101">
        <f>((Tableau!$H$16-Q243)/(AC243^2+Tableau!$G$21^2)^(3/2))*Tableau!$G$20</f>
        <v>-2.9359448264547391E-3</v>
      </c>
      <c r="X243" s="101">
        <f>((Tableau!$G$25-P243)/(AD243^2+Tableau!$G$30^2)^(3/2))*Tableau!$G$29</f>
        <v>2.0835016125768345E-3</v>
      </c>
      <c r="Y243" s="101">
        <f>((Tableau!$H$25-Q243)/(AD243^2+Tableau!$G$30^2)^(3/2))*Tableau!$G$29</f>
        <v>-1.0191416730605312E-3</v>
      </c>
      <c r="Z243" s="101">
        <f>((Tableau!$G$35-P243)/(AE243^2+Tableau!$G$40^2)^(3/2))*Tableau!$G$39</f>
        <v>6.0353778571597769E-3</v>
      </c>
      <c r="AA243" s="102">
        <f>((Tableau!$H$35-Q243)/(AE243^2+Tableau!$G$40^2)^(3/2))*Tableau!$G$39</f>
        <v>-2.9656565680120199E-3</v>
      </c>
      <c r="AC243" s="113">
        <f>SQRT((Tableau!$G$16-P243)^2+(Tableau!$H$16-Q243)^2)</f>
        <v>8836549.5590748191</v>
      </c>
      <c r="AD243" s="114">
        <f>SQRT((Tableau!$G$25-P243)^2+(Tableau!$H$25-Q243)^2)</f>
        <v>8799506.0723118279</v>
      </c>
      <c r="AE243" s="115">
        <f>SQRT((Tableau!$G$35-P243)^2+(Tableau!$H$35-Q243)^2)</f>
        <v>8823979.6801905651</v>
      </c>
    </row>
    <row r="244" spans="2:31" x14ac:dyDescent="0.25">
      <c r="B244" s="20">
        <v>241</v>
      </c>
      <c r="C244" s="21">
        <f>Tableau!$G$17*COS(B244*PI()/180)+Tableau!$G$16</f>
        <v>17575.951898768315</v>
      </c>
      <c r="D244" s="21">
        <f>Tableau!$G$17*SIN(B244*PI()/180)+Tableau!$H$16</f>
        <v>3126.9014643030205</v>
      </c>
      <c r="F244" s="28">
        <v>241</v>
      </c>
      <c r="G244" s="29">
        <f>Tableau!$G$26*COS(F244*PI()/180)+Tableau!$G$25</f>
        <v>-21696.833670862179</v>
      </c>
      <c r="H244" s="29">
        <f>Tableau!$G$26*SIN(F244*PI()/180)+Tableau!$H$25</f>
        <v>6938.831025012114</v>
      </c>
      <c r="J244" s="36">
        <v>241</v>
      </c>
      <c r="K244" s="37">
        <f>Tableau!$G$36*COS(J244*PI()/180)+Tableau!$G$35</f>
        <v>-7424.0481012316841</v>
      </c>
      <c r="L244" s="37">
        <f>Tableau!$G$36*SIN(J244*PI()/180)+Tableau!$H$35</f>
        <v>-19373.09853569698</v>
      </c>
      <c r="N244" s="92">
        <v>240</v>
      </c>
      <c r="O244" s="93">
        <v>120</v>
      </c>
      <c r="P244" s="96">
        <f>P243+R243*Tableau!$G$2+((1/2)*T243)*Tableau!$G$2^2</f>
        <v>-7958878.3102040179</v>
      </c>
      <c r="Q244" s="96">
        <f>Q243+S243*Tableau!$G$2+((1/2)*U243)*Tableau!$G$2^2</f>
        <v>3893388.9113008892</v>
      </c>
      <c r="R244" s="96">
        <f>R243+T243*Tableau!$G$2</f>
        <v>-68699.075148598829</v>
      </c>
      <c r="S244" s="96">
        <f>S243+U243*Tableau!$G$2</f>
        <v>33801.155374924885</v>
      </c>
      <c r="T244" s="96">
        <f t="shared" si="6"/>
        <v>1.4025504659193572E-2</v>
      </c>
      <c r="U244" s="96">
        <f t="shared" si="7"/>
        <v>-6.8612315029055806E-3</v>
      </c>
      <c r="V244" s="96">
        <f>((Tableau!$G$16-P244)/(AC244^2+Tableau!$G$21^2)^(3/2))*Tableau!$G$20</f>
        <v>5.9766818124597654E-3</v>
      </c>
      <c r="W244" s="96">
        <f>((Tableau!$H$16-Q244)/(AC244^2+Tableau!$G$21^2)^(3/2))*Tableau!$G$20</f>
        <v>-2.9107752591876856E-3</v>
      </c>
      <c r="X244" s="96">
        <f>((Tableau!$G$25-P244)/(AD244^2+Tableau!$G$30^2)^(3/2))*Tableau!$G$29</f>
        <v>2.0654806749375396E-3</v>
      </c>
      <c r="Y244" s="96">
        <f>((Tableau!$H$25-Q244)/(AD244^2+Tableau!$G$30^2)^(3/2))*Tableau!$G$29</f>
        <v>-1.010352399437722E-3</v>
      </c>
      <c r="Z244" s="96">
        <f>((Tableau!$G$35-P244)/(AE244^2+Tableau!$G$40^2)^(3/2))*Tableau!$G$39</f>
        <v>5.9833421717962682E-3</v>
      </c>
      <c r="AA244" s="97">
        <f>((Tableau!$H$35-Q244)/(AE244^2+Tableau!$G$40^2)^(3/2))*Tableau!$G$39</f>
        <v>-2.9401038442801726E-3</v>
      </c>
      <c r="AC244" s="110">
        <f>SQRT((Tableau!$G$16-P244)^2+(Tableau!$H$16-Q244)^2)</f>
        <v>8874831.3629057389</v>
      </c>
      <c r="AD244" s="111">
        <f>SQRT((Tableau!$G$25-P244)^2+(Tableau!$H$25-Q244)^2)</f>
        <v>8837788.0864299145</v>
      </c>
      <c r="AE244" s="112">
        <f>SQRT((Tableau!$G$35-P244)^2+(Tableau!$H$35-Q244)^2)</f>
        <v>8862261.791185908</v>
      </c>
    </row>
    <row r="245" spans="2:31" x14ac:dyDescent="0.25">
      <c r="B245" s="18">
        <v>242</v>
      </c>
      <c r="C245" s="19">
        <f>Tableau!$G$17*COS(B245*PI()/180)+Tableau!$G$16</f>
        <v>17652.642186070545</v>
      </c>
      <c r="D245" s="19">
        <f>Tableau!$G$17*SIN(B245*PI()/180)+Tableau!$H$16</f>
        <v>3085.2620357053647</v>
      </c>
      <c r="F245" s="26">
        <v>242</v>
      </c>
      <c r="G245" s="27">
        <f>Tableau!$G$26*COS(F245*PI()/180)+Tableau!$G$25</f>
        <v>-21643.150469750617</v>
      </c>
      <c r="H245" s="27">
        <f>Tableau!$G$26*SIN(F245*PI()/180)+Tableau!$H$25</f>
        <v>6909.6834249937556</v>
      </c>
      <c r="J245" s="34">
        <v>242</v>
      </c>
      <c r="K245" s="35">
        <f>Tableau!$G$36*COS(J245*PI()/180)+Tableau!$G$35</f>
        <v>-7347.3578139294532</v>
      </c>
      <c r="L245" s="35">
        <f>Tableau!$G$36*SIN(J245*PI()/180)+Tableau!$H$35</f>
        <v>-19414.737964294636</v>
      </c>
      <c r="N245" s="98">
        <v>241</v>
      </c>
      <c r="O245" s="99">
        <v>120.5</v>
      </c>
      <c r="P245" s="101">
        <f>P244+R244*Tableau!$G$2+((1/2)*T244)*Tableau!$G$2^2</f>
        <v>-7993227.8460251298</v>
      </c>
      <c r="Q245" s="101">
        <f>Q244+S244*Tableau!$G$2+((1/2)*U244)*Tableau!$G$2^2</f>
        <v>3910289.4881306975</v>
      </c>
      <c r="R245" s="101">
        <f>R244+T244*Tableau!$G$2</f>
        <v>-68699.068135846494</v>
      </c>
      <c r="S245" s="101">
        <f>S244+U244*Tableau!$G$2</f>
        <v>33801.151944309131</v>
      </c>
      <c r="T245" s="101">
        <f t="shared" si="6"/>
        <v>1.3905071538839223E-2</v>
      </c>
      <c r="U245" s="101">
        <f t="shared" si="7"/>
        <v>-6.8024842641018456E-3</v>
      </c>
      <c r="V245" s="101">
        <f>((Tableau!$G$16-P245)/(AC245^2+Tableau!$G$21^2)^(3/2))*Tableau!$G$20</f>
        <v>5.9254024413295673E-3</v>
      </c>
      <c r="W245" s="101">
        <f>((Tableau!$H$16-Q245)/(AC245^2+Tableau!$G$21^2)^(3/2))*Tableau!$G$20</f>
        <v>-2.8859279687693138E-3</v>
      </c>
      <c r="X245" s="101">
        <f>((Tableau!$G$25-P245)/(AD245^2+Tableau!$G$30^2)^(3/2))*Tableau!$G$29</f>
        <v>2.047692535427012E-3</v>
      </c>
      <c r="Y245" s="101">
        <f>((Tableau!$H$25-Q245)/(AD245^2+Tableau!$G$30^2)^(3/2))*Tableau!$G$29</f>
        <v>-1.0016763380004505E-3</v>
      </c>
      <c r="Z245" s="101">
        <f>((Tableau!$G$35-P245)/(AE245^2+Tableau!$G$40^2)^(3/2))*Tableau!$G$39</f>
        <v>5.9319765620826446E-3</v>
      </c>
      <c r="AA245" s="102">
        <f>((Tableau!$H$35-Q245)/(AE245^2+Tableau!$G$40^2)^(3/2))*Tableau!$G$39</f>
        <v>-2.9148799573320817E-3</v>
      </c>
      <c r="AC245" s="113">
        <f>SQRT((Tableau!$G$16-P245)^2+(Tableau!$H$16-Q245)^2)</f>
        <v>8913113.1654981263</v>
      </c>
      <c r="AD245" s="114">
        <f>SQRT((Tableau!$G$25-P245)^2+(Tableau!$H$25-Q245)^2)</f>
        <v>8876070.0975067411</v>
      </c>
      <c r="AE245" s="115">
        <f>SQRT((Tableau!$G$35-P245)^2+(Tableau!$H$35-Q245)^2)</f>
        <v>8900543.8983042296</v>
      </c>
    </row>
    <row r="246" spans="2:31" x14ac:dyDescent="0.25">
      <c r="B246" s="20">
        <v>243</v>
      </c>
      <c r="C246" s="21">
        <f>Tableau!$G$17*COS(B246*PI()/180)+Tableau!$G$16</f>
        <v>17730.047501302266</v>
      </c>
      <c r="D246" s="21">
        <f>Tableau!$G$17*SIN(B246*PI()/180)+Tableau!$H$16</f>
        <v>3044.967379058161</v>
      </c>
      <c r="F246" s="28">
        <v>243</v>
      </c>
      <c r="G246" s="29">
        <f>Tableau!$G$26*COS(F246*PI()/180)+Tableau!$G$25</f>
        <v>-21588.966749088413</v>
      </c>
      <c r="H246" s="29">
        <f>Tableau!$G$26*SIN(F246*PI()/180)+Tableau!$H$25</f>
        <v>6881.4771653407133</v>
      </c>
      <c r="J246" s="36">
        <v>243</v>
      </c>
      <c r="K246" s="37">
        <f>Tableau!$G$36*COS(J246*PI()/180)+Tableau!$G$35</f>
        <v>-7269.952498697734</v>
      </c>
      <c r="L246" s="37">
        <f>Tableau!$G$36*SIN(J246*PI()/180)+Tableau!$H$35</f>
        <v>-19455.032620941838</v>
      </c>
      <c r="N246" s="92">
        <v>242</v>
      </c>
      <c r="O246" s="93">
        <v>121</v>
      </c>
      <c r="P246" s="96">
        <f>P245+R245*Tableau!$G$2+((1/2)*T245)*Tableau!$G$2^2</f>
        <v>-8027577.3783549191</v>
      </c>
      <c r="Q246" s="96">
        <f>Q245+S245*Tableau!$G$2+((1/2)*U245)*Tableau!$G$2^2</f>
        <v>3927190.0632525417</v>
      </c>
      <c r="R246" s="96">
        <f>R245+T245*Tableau!$G$2</f>
        <v>-68699.061183310725</v>
      </c>
      <c r="S246" s="96">
        <f>S245+U245*Tableau!$G$2</f>
        <v>33801.148543067</v>
      </c>
      <c r="T246" s="96">
        <f t="shared" si="6"/>
        <v>1.3786182981329328E-2</v>
      </c>
      <c r="U246" s="96">
        <f t="shared" si="7"/>
        <v>-6.7444883182837334E-3</v>
      </c>
      <c r="V246" s="96">
        <f>((Tableau!$G$16-P246)/(AC246^2+Tableau!$G$21^2)^(3/2))*Tableau!$G$20</f>
        <v>5.8747802076911885E-3</v>
      </c>
      <c r="W246" s="96">
        <f>((Tableau!$H$16-Q246)/(AC246^2+Tableau!$G$21^2)^(3/2))*Tableau!$G$20</f>
        <v>-2.8613974766884547E-3</v>
      </c>
      <c r="X246" s="96">
        <f>((Tableau!$G$25-P246)/(AD246^2+Tableau!$G$30^2)^(3/2))*Tableau!$G$29</f>
        <v>2.0301332014542569E-3</v>
      </c>
      <c r="Y246" s="96">
        <f>((Tableau!$H$25-Q246)/(AD246^2+Tableau!$G$30^2)^(3/2))*Tableau!$G$29</f>
        <v>-9.9311155272900219E-4</v>
      </c>
      <c r="Z246" s="96">
        <f>((Tableau!$G$35-P246)/(AE246^2+Tableau!$G$40^2)^(3/2))*Tableau!$G$39</f>
        <v>5.8812695721838816E-3</v>
      </c>
      <c r="AA246" s="97">
        <f>((Tableau!$H$35-Q246)/(AE246^2+Tableau!$G$40^2)^(3/2))*Tableau!$G$39</f>
        <v>-2.8899792888662764E-3</v>
      </c>
      <c r="AC246" s="110">
        <f>SQRT((Tableau!$G$16-P246)^2+(Tableau!$H$16-Q246)^2)</f>
        <v>8951394.9668512866</v>
      </c>
      <c r="AD246" s="111">
        <f>SQRT((Tableau!$G$25-P246)^2+(Tableau!$H$25-Q246)^2)</f>
        <v>8914352.1055647042</v>
      </c>
      <c r="AE246" s="112">
        <f>SQRT((Tableau!$G$35-P246)^2+(Tableau!$H$35-Q246)^2)</f>
        <v>8938826.001578683</v>
      </c>
    </row>
    <row r="247" spans="2:31" x14ac:dyDescent="0.25">
      <c r="B247" s="18">
        <v>244</v>
      </c>
      <c r="C247" s="19">
        <f>Tableau!$G$17*COS(B247*PI()/180)+Tableau!$G$16</f>
        <v>17808.144266054613</v>
      </c>
      <c r="D247" s="19">
        <f>Tableau!$G$17*SIN(B247*PI()/180)+Tableau!$H$16</f>
        <v>3006.029768504166</v>
      </c>
      <c r="F247" s="26">
        <v>244</v>
      </c>
      <c r="G247" s="27">
        <f>Tableau!$G$26*COS(F247*PI()/180)+Tableau!$G$25</f>
        <v>-21534.299013761771</v>
      </c>
      <c r="H247" s="27">
        <f>Tableau!$G$26*SIN(F247*PI()/180)+Tableau!$H$25</f>
        <v>6854.2208379529166</v>
      </c>
      <c r="J247" s="34">
        <v>244</v>
      </c>
      <c r="K247" s="35">
        <f>Tableau!$G$36*COS(J247*PI()/180)+Tableau!$G$35</f>
        <v>-7191.8557339453891</v>
      </c>
      <c r="L247" s="35">
        <f>Tableau!$G$36*SIN(J247*PI()/180)+Tableau!$H$35</f>
        <v>-19493.970231495834</v>
      </c>
      <c r="N247" s="98">
        <v>243</v>
      </c>
      <c r="O247" s="99">
        <v>121.5</v>
      </c>
      <c r="P247" s="101">
        <f>P246+R246*Tableau!$G$2+((1/2)*T246)*Tableau!$G$2^2</f>
        <v>-8061926.9072233019</v>
      </c>
      <c r="Q247" s="101">
        <f>Q246+S246*Tableau!$G$2+((1/2)*U246)*Tableau!$G$2^2</f>
        <v>3944090.6366810142</v>
      </c>
      <c r="R247" s="101">
        <f>R246+T246*Tableau!$G$2</f>
        <v>-68699.054290219239</v>
      </c>
      <c r="S247" s="101">
        <f>S246+U246*Tableau!$G$2</f>
        <v>33801.145170822841</v>
      </c>
      <c r="T247" s="101">
        <f t="shared" si="6"/>
        <v>1.3668812686890665E-2</v>
      </c>
      <c r="U247" s="101">
        <f t="shared" si="7"/>
        <v>-6.6872309092244168E-3</v>
      </c>
      <c r="V247" s="101">
        <f>((Tableau!$G$16-P247)/(AC247^2+Tableau!$G$21^2)^(3/2))*Tableau!$G$20</f>
        <v>5.8248039311946283E-3</v>
      </c>
      <c r="W247" s="101">
        <f>((Tableau!$H$16-Q247)/(AC247^2+Tableau!$G$21^2)^(3/2))*Tableau!$G$20</f>
        <v>-2.8371784203529158E-3</v>
      </c>
      <c r="X247" s="101">
        <f>((Tableau!$G$25-P247)/(AD247^2+Tableau!$G$30^2)^(3/2))*Tableau!$G$29</f>
        <v>2.0127987656562295E-3</v>
      </c>
      <c r="Y247" s="101">
        <f>((Tableau!$H$25-Q247)/(AD247^2+Tableau!$G$30^2)^(3/2))*Tableau!$G$29</f>
        <v>-9.8465614881164962E-4</v>
      </c>
      <c r="Z247" s="101">
        <f>((Tableau!$G$35-P247)/(AE247^2+Tableau!$G$40^2)^(3/2))*Tableau!$G$39</f>
        <v>5.8312099900398075E-3</v>
      </c>
      <c r="AA247" s="102">
        <f>((Tableau!$H$35-Q247)/(AE247^2+Tableau!$G$40^2)^(3/2))*Tableau!$G$39</f>
        <v>-2.8653963400598519E-3</v>
      </c>
      <c r="AC247" s="113">
        <f>SQRT((Tableau!$G$16-P247)^2+(Tableau!$H$16-Q247)^2)</f>
        <v>8989676.7669646852</v>
      </c>
      <c r="AD247" s="114">
        <f>SQRT((Tableau!$G$25-P247)^2+(Tableau!$H$25-Q247)^2)</f>
        <v>8952634.1106259543</v>
      </c>
      <c r="AE247" s="115">
        <f>SQRT((Tableau!$G$35-P247)^2+(Tableau!$H$35-Q247)^2)</f>
        <v>8977108.1010420118</v>
      </c>
    </row>
    <row r="248" spans="2:31" x14ac:dyDescent="0.25">
      <c r="B248" s="20">
        <v>245</v>
      </c>
      <c r="C248" s="21">
        <f>Tableau!$G$17*COS(B248*PI()/180)+Tableau!$G$16</f>
        <v>17886.908691296499</v>
      </c>
      <c r="D248" s="21">
        <f>Tableau!$G$17*SIN(B248*PI()/180)+Tableau!$H$16</f>
        <v>2968.4610648167518</v>
      </c>
      <c r="F248" s="28">
        <v>245</v>
      </c>
      <c r="G248" s="29">
        <f>Tableau!$G$26*COS(F248*PI()/180)+Tableau!$G$25</f>
        <v>-21479.16391609245</v>
      </c>
      <c r="H248" s="29">
        <f>Tableau!$G$26*SIN(F248*PI()/180)+Tableau!$H$25</f>
        <v>6827.9227453717258</v>
      </c>
      <c r="J248" s="36">
        <v>245</v>
      </c>
      <c r="K248" s="37">
        <f>Tableau!$G$36*COS(J248*PI()/180)+Tableau!$G$35</f>
        <v>-7113.0913087034996</v>
      </c>
      <c r="L248" s="37">
        <f>Tableau!$G$36*SIN(J248*PI()/180)+Tableau!$H$35</f>
        <v>-19531.538935183249</v>
      </c>
      <c r="N248" s="92">
        <v>244</v>
      </c>
      <c r="O248" s="93">
        <v>122</v>
      </c>
      <c r="P248" s="96">
        <f>P247+R247*Tableau!$G$2+((1/2)*T247)*Tableau!$G$2^2</f>
        <v>-8096276.4326598104</v>
      </c>
      <c r="Q248" s="96">
        <f>Q247+S247*Tableau!$G$2+((1/2)*U247)*Tableau!$G$2^2</f>
        <v>3960991.2084305217</v>
      </c>
      <c r="R248" s="96">
        <f>R247+T247*Tableau!$G$2</f>
        <v>-68699.047455812892</v>
      </c>
      <c r="S248" s="96">
        <f>S247+U247*Tableau!$G$2</f>
        <v>33801.141827207386</v>
      </c>
      <c r="T248" s="96">
        <f t="shared" si="6"/>
        <v>1.3552934913145872E-2</v>
      </c>
      <c r="U248" s="96">
        <f t="shared" si="7"/>
        <v>-6.6306995502876161E-3</v>
      </c>
      <c r="V248" s="96">
        <f>((Tableau!$G$16-P248)/(AC248^2+Tableau!$G$21^2)^(3/2))*Tableau!$G$20</f>
        <v>5.7754626682557288E-3</v>
      </c>
      <c r="W248" s="96">
        <f>((Tableau!$H$16-Q248)/(AC248^2+Tableau!$G$21^2)^(3/2))*Tableau!$G$20</f>
        <v>-2.8132655501588123E-3</v>
      </c>
      <c r="X248" s="96">
        <f>((Tableau!$G$25-P248)/(AD248^2+Tableau!$G$30^2)^(3/2))*Tableau!$G$29</f>
        <v>1.9956854037239428E-3</v>
      </c>
      <c r="Y248" s="96">
        <f>((Tableau!$H$25-Q248)/(AD248^2+Tableau!$G$30^2)^(3/2))*Tableau!$G$29</f>
        <v>-9.7630827159659521E-4</v>
      </c>
      <c r="Z248" s="96">
        <f>((Tableau!$G$35-P248)/(AE248^2+Tableau!$G$40^2)^(3/2))*Tableau!$G$39</f>
        <v>5.7817868411662006E-3</v>
      </c>
      <c r="AA248" s="97">
        <f>((Tableau!$H$35-Q248)/(AE248^2+Tableau!$G$40^2)^(3/2))*Tableau!$G$39</f>
        <v>-2.8411257285322089E-3</v>
      </c>
      <c r="AC248" s="110">
        <f>SQRT((Tableau!$G$16-P248)^2+(Tableau!$H$16-Q248)^2)</f>
        <v>9027958.5658379309</v>
      </c>
      <c r="AD248" s="111">
        <f>SQRT((Tableau!$G$25-P248)^2+(Tableau!$H$25-Q248)^2)</f>
        <v>8990916.1127124056</v>
      </c>
      <c r="AE248" s="112">
        <f>SQRT((Tableau!$G$35-P248)^2+(Tableau!$H$35-Q248)^2)</f>
        <v>9015390.1967265327</v>
      </c>
    </row>
    <row r="249" spans="2:31" x14ac:dyDescent="0.25">
      <c r="B249" s="18">
        <v>246</v>
      </c>
      <c r="C249" s="19">
        <f>Tableau!$G$17*COS(B249*PI()/180)+Tableau!$G$16</f>
        <v>17966.316784620998</v>
      </c>
      <c r="D249" s="19">
        <f>Tableau!$G$17*SIN(B249*PI()/180)+Tableau!$H$16</f>
        <v>2932.2727117869954</v>
      </c>
      <c r="F249" s="26">
        <v>246</v>
      </c>
      <c r="G249" s="27">
        <f>Tableau!$G$26*COS(F249*PI()/180)+Tableau!$G$25</f>
        <v>-21423.578250765298</v>
      </c>
      <c r="H249" s="27">
        <f>Tableau!$G$26*SIN(F249*PI()/180)+Tableau!$H$25</f>
        <v>6802.5908982508972</v>
      </c>
      <c r="J249" s="34">
        <v>246</v>
      </c>
      <c r="K249" s="35">
        <f>Tableau!$G$36*COS(J249*PI()/180)+Tableau!$G$35</f>
        <v>-7033.6832153790001</v>
      </c>
      <c r="L249" s="35">
        <f>Tableau!$G$36*SIN(J249*PI()/180)+Tableau!$H$35</f>
        <v>-19567.727288213006</v>
      </c>
      <c r="N249" s="98">
        <v>245</v>
      </c>
      <c r="O249" s="99">
        <v>122.5</v>
      </c>
      <c r="P249" s="101">
        <f>P248+R248*Tableau!$G$2+((1/2)*T248)*Tableau!$G$2^2</f>
        <v>-8130625.9546936005</v>
      </c>
      <c r="Q249" s="101">
        <f>Q248+S248*Tableau!$G$2+((1/2)*U248)*Tableau!$G$2^2</f>
        <v>3977891.7785152877</v>
      </c>
      <c r="R249" s="101">
        <f>R248+T248*Tableau!$G$2</f>
        <v>-68699.040679345431</v>
      </c>
      <c r="S249" s="101">
        <f>S248+U248*Tableau!$G$2</f>
        <v>33801.138511857615</v>
      </c>
      <c r="T249" s="101">
        <f t="shared" si="6"/>
        <v>1.343852446099756E-2</v>
      </c>
      <c r="U249" s="101">
        <f t="shared" si="7"/>
        <v>-6.5748820176195263E-3</v>
      </c>
      <c r="V249" s="101">
        <f>((Tableau!$G$16-P249)/(AC249^2+Tableau!$G$21^2)^(3/2))*Tableau!$G$20</f>
        <v>5.7267457060645984E-3</v>
      </c>
      <c r="W249" s="101">
        <f>((Tableau!$H$16-Q249)/(AC249^2+Tableau!$G$21^2)^(3/2))*Tableau!$G$20</f>
        <v>-2.789653726645754E-3</v>
      </c>
      <c r="X249" s="101">
        <f>((Tableau!$G$25-P249)/(AD249^2+Tableau!$G$30^2)^(3/2))*Tableau!$G$29</f>
        <v>1.9787893722930379E-3</v>
      </c>
      <c r="Y249" s="101">
        <f>((Tableau!$H$25-Q249)/(AD249^2+Tableau!$G$30^2)^(3/2))*Tableau!$G$29</f>
        <v>-9.6806610557490414E-4</v>
      </c>
      <c r="Z249" s="101">
        <f>((Tableau!$G$35-P249)/(AE249^2+Tableau!$G$40^2)^(3/2))*Tableau!$G$39</f>
        <v>5.7329893826399241E-3</v>
      </c>
      <c r="AA249" s="102">
        <f>((Tableau!$H$35-Q249)/(AE249^2+Tableau!$G$40^2)^(3/2))*Tableau!$G$39</f>
        <v>-2.8171621853988679E-3</v>
      </c>
      <c r="AC249" s="113">
        <f>SQRT((Tableau!$G$16-P249)^2+(Tableau!$H$16-Q249)^2)</f>
        <v>9066240.3634707779</v>
      </c>
      <c r="AD249" s="114">
        <f>SQRT((Tableau!$G$25-P249)^2+(Tableau!$H$25-Q249)^2)</f>
        <v>9029198.111845741</v>
      </c>
      <c r="AE249" s="115">
        <f>SQRT((Tableau!$G$35-P249)^2+(Tableau!$H$35-Q249)^2)</f>
        <v>9053672.2886641566</v>
      </c>
    </row>
    <row r="250" spans="2:31" x14ac:dyDescent="0.25">
      <c r="B250" s="20">
        <v>247</v>
      </c>
      <c r="C250" s="21">
        <f>Tableau!$G$17*COS(B250*PI()/180)+Tableau!$G$16</f>
        <v>18046.344357553629</v>
      </c>
      <c r="D250" s="21">
        <f>Tableau!$G$17*SIN(B250*PI()/180)+Tableau!$H$16</f>
        <v>2897.4757327377984</v>
      </c>
      <c r="F250" s="28">
        <v>247</v>
      </c>
      <c r="G250" s="29">
        <f>Tableau!$G$26*COS(F250*PI()/180)+Tableau!$G$25</f>
        <v>-21367.55894971246</v>
      </c>
      <c r="H250" s="29">
        <f>Tableau!$G$26*SIN(F250*PI()/180)+Tableau!$H$25</f>
        <v>6778.2330129164593</v>
      </c>
      <c r="J250" s="36">
        <v>247</v>
      </c>
      <c r="K250" s="37">
        <f>Tableau!$G$36*COS(J250*PI()/180)+Tableau!$G$35</f>
        <v>-6953.6556424463688</v>
      </c>
      <c r="L250" s="37">
        <f>Tableau!$G$36*SIN(J250*PI()/180)+Tableau!$H$35</f>
        <v>-19602.524267262201</v>
      </c>
      <c r="N250" s="92">
        <v>246</v>
      </c>
      <c r="O250" s="93">
        <v>123</v>
      </c>
      <c r="P250" s="96">
        <f>P249+R249*Tableau!$G$2+((1/2)*T249)*Tableau!$G$2^2</f>
        <v>-8164975.4733534576</v>
      </c>
      <c r="Q250" s="96">
        <f>Q249+S249*Tableau!$G$2+((1/2)*U249)*Tableau!$G$2^2</f>
        <v>3994792.3469493566</v>
      </c>
      <c r="R250" s="96">
        <f>R249+T249*Tableau!$G$2</f>
        <v>-68699.033960083194</v>
      </c>
      <c r="S250" s="96">
        <f>S249+U249*Tableau!$G$2</f>
        <v>33801.135224416605</v>
      </c>
      <c r="T250" s="96">
        <f t="shared" si="6"/>
        <v>1.3325556660927058E-2</v>
      </c>
      <c r="U250" s="96">
        <f t="shared" si="7"/>
        <v>-6.5197663435401648E-3</v>
      </c>
      <c r="V250" s="96">
        <f>((Tableau!$G$16-P250)/(AC250^2+Tableau!$G$21^2)^(3/2))*Tableau!$G$20</f>
        <v>5.678642556770603E-3</v>
      </c>
      <c r="W250" s="96">
        <f>((Tableau!$H$16-Q250)/(AC250^2+Tableau!$G$21^2)^(3/2))*Tableau!$G$20</f>
        <v>-2.7663379177354517E-3</v>
      </c>
      <c r="X250" s="96">
        <f>((Tableau!$G$25-P250)/(AD250^2+Tableau!$G$30^2)^(3/2))*Tableau!$G$29</f>
        <v>1.9621070068964832E-3</v>
      </c>
      <c r="Y250" s="96">
        <f>((Tableau!$H$25-Q250)/(AD250^2+Tableau!$G$30^2)^(3/2))*Tableau!$G$29</f>
        <v>-9.5992787339330523E-4</v>
      </c>
      <c r="Z250" s="96">
        <f>((Tableau!$G$35-P250)/(AE250^2+Tableau!$G$40^2)^(3/2))*Tableau!$G$39</f>
        <v>5.6848070972599727E-3</v>
      </c>
      <c r="AA250" s="97">
        <f>((Tableau!$H$35-Q250)/(AE250^2+Tableau!$G$40^2)^(3/2))*Tableau!$G$39</f>
        <v>-2.7935005524114083E-3</v>
      </c>
      <c r="AC250" s="110">
        <f>SQRT((Tableau!$G$16-P250)^2+(Tableau!$H$16-Q250)^2)</f>
        <v>9104522.1598631181</v>
      </c>
      <c r="AD250" s="111">
        <f>SQRT((Tableau!$G$25-P250)^2+(Tableau!$H$25-Q250)^2)</f>
        <v>9067480.1080474146</v>
      </c>
      <c r="AE250" s="112">
        <f>SQRT((Tableau!$G$35-P250)^2+(Tableau!$H$35-Q250)^2)</f>
        <v>9091954.376886392</v>
      </c>
    </row>
    <row r="251" spans="2:31" x14ac:dyDescent="0.25">
      <c r="B251" s="18">
        <v>248</v>
      </c>
      <c r="C251" s="19">
        <f>Tableau!$G$17*COS(B251*PI()/180)+Tableau!$G$16</f>
        <v>18126.967032920438</v>
      </c>
      <c r="D251" s="19">
        <f>Tableau!$G$17*SIN(B251*PI()/180)+Tableau!$H$16</f>
        <v>2864.0807271660633</v>
      </c>
      <c r="F251" s="26">
        <v>248</v>
      </c>
      <c r="G251" s="27">
        <f>Tableau!$G$26*COS(F251*PI()/180)+Tableau!$G$25</f>
        <v>-21311.123076955693</v>
      </c>
      <c r="H251" s="27">
        <f>Tableau!$G$26*SIN(F251*PI()/180)+Tableau!$H$25</f>
        <v>6754.8565090162447</v>
      </c>
      <c r="J251" s="34">
        <v>248</v>
      </c>
      <c r="K251" s="35">
        <f>Tableau!$G$36*COS(J251*PI()/180)+Tableau!$G$35</f>
        <v>-6873.0329670795618</v>
      </c>
      <c r="L251" s="35">
        <f>Tableau!$G$36*SIN(J251*PI()/180)+Tableau!$H$35</f>
        <v>-19635.919272833937</v>
      </c>
      <c r="N251" s="98">
        <v>247</v>
      </c>
      <c r="O251" s="99">
        <v>123.5</v>
      </c>
      <c r="P251" s="101">
        <f>P250+R250*Tableau!$G$2+((1/2)*T250)*Tableau!$G$2^2</f>
        <v>-8199324.9886678047</v>
      </c>
      <c r="Q251" s="101">
        <f>Q250+S250*Tableau!$G$2+((1/2)*U250)*Tableau!$G$2^2</f>
        <v>4011692.9137465945</v>
      </c>
      <c r="R251" s="101">
        <f>R250+T250*Tableau!$G$2</f>
        <v>-68699.02729730487</v>
      </c>
      <c r="S251" s="101">
        <f>S250+U250*Tableau!$G$2</f>
        <v>33801.13196453343</v>
      </c>
      <c r="T251" s="101">
        <f t="shared" si="6"/>
        <v>1.3214007359694805E-2</v>
      </c>
      <c r="U251" s="101">
        <f t="shared" si="7"/>
        <v>-6.4653408101279031E-3</v>
      </c>
      <c r="V251" s="101">
        <f>((Tableau!$G$16-P251)/(AC251^2+Tableau!$G$21^2)^(3/2))*Tableau!$G$20</f>
        <v>5.6311429518371018E-3</v>
      </c>
      <c r="W251" s="101">
        <f>((Tableau!$H$16-Q251)/(AC251^2+Tableau!$G$21^2)^(3/2))*Tableau!$G$20</f>
        <v>-2.7433131960505229E-3</v>
      </c>
      <c r="X251" s="101">
        <f>((Tableau!$G$25-P251)/(AD251^2+Tableau!$G$30^2)^(3/2))*Tableau!$G$29</f>
        <v>1.9456347199774532E-3</v>
      </c>
      <c r="Y251" s="101">
        <f>((Tableau!$H$25-Q251)/(AD251^2+Tableau!$G$30^2)^(3/2))*Tableau!$G$29</f>
        <v>-9.5189183489592817E-4</v>
      </c>
      <c r="Z251" s="101">
        <f>((Tableau!$G$35-P251)/(AE251^2+Tableau!$G$40^2)^(3/2))*Tableau!$G$39</f>
        <v>5.6372296878802507E-3</v>
      </c>
      <c r="AA251" s="102">
        <f>((Tableau!$H$35-Q251)/(AE251^2+Tableau!$G$40^2)^(3/2))*Tableau!$G$39</f>
        <v>-2.770135779181452E-3</v>
      </c>
      <c r="AC251" s="113">
        <f>SQRT((Tableau!$G$16-P251)^2+(Tableau!$H$16-Q251)^2)</f>
        <v>9142803.9550149739</v>
      </c>
      <c r="AD251" s="114">
        <f>SQRT((Tableau!$G$25-P251)^2+(Tableau!$H$25-Q251)^2)</f>
        <v>9105762.101338651</v>
      </c>
      <c r="AE251" s="115">
        <f>SQRT((Tableau!$G$35-P251)^2+(Tableau!$H$35-Q251)^2)</f>
        <v>9130236.4614243507</v>
      </c>
    </row>
    <row r="252" spans="2:31" x14ac:dyDescent="0.25">
      <c r="B252" s="20">
        <v>249</v>
      </c>
      <c r="C252" s="21">
        <f>Tableau!$G$17*COS(B252*PI()/180)+Tableau!$G$16</f>
        <v>18208.160252273497</v>
      </c>
      <c r="D252" s="21">
        <f>Tableau!$G$17*SIN(B252*PI()/180)+Tableau!$H$16</f>
        <v>2832.0978675139922</v>
      </c>
      <c r="F252" s="28">
        <v>249</v>
      </c>
      <c r="G252" s="29">
        <f>Tableau!$G$26*COS(F252*PI()/180)+Tableau!$G$25</f>
        <v>-21254.287823408551</v>
      </c>
      <c r="H252" s="29">
        <f>Tableau!$G$26*SIN(F252*PI()/180)+Tableau!$H$25</f>
        <v>6732.4685072597949</v>
      </c>
      <c r="J252" s="36">
        <v>249</v>
      </c>
      <c r="K252" s="37">
        <f>Tableau!$G$36*COS(J252*PI()/180)+Tableau!$G$35</f>
        <v>-6791.8397477265034</v>
      </c>
      <c r="L252" s="37">
        <f>Tableau!$G$36*SIN(J252*PI()/180)+Tableau!$H$35</f>
        <v>-19667.902132486008</v>
      </c>
      <c r="N252" s="92">
        <v>248</v>
      </c>
      <c r="O252" s="93">
        <v>124</v>
      </c>
      <c r="P252" s="96">
        <f>P251+R251*Tableau!$G$2+((1/2)*T251)*Tableau!$G$2^2</f>
        <v>-8233674.5006647063</v>
      </c>
      <c r="Q252" s="96">
        <f>Q251+S251*Tableau!$G$2+((1/2)*U251)*Tableau!$G$2^2</f>
        <v>4028593.4789206935</v>
      </c>
      <c r="R252" s="96">
        <f>R251+T251*Tableau!$G$2</f>
        <v>-68699.020690301186</v>
      </c>
      <c r="S252" s="96">
        <f>S251+U251*Tableau!$G$2</f>
        <v>33801.128731863027</v>
      </c>
      <c r="T252" s="96">
        <f t="shared" si="6"/>
        <v>1.3103852907429339E-2</v>
      </c>
      <c r="U252" s="96">
        <f t="shared" si="7"/>
        <v>-6.4115939429909286E-3</v>
      </c>
      <c r="V252" s="96">
        <f>((Tableau!$G$16-P252)/(AC252^2+Tableau!$G$21^2)^(3/2))*Tableau!$G$20</f>
        <v>5.5842368365613092E-3</v>
      </c>
      <c r="W252" s="96">
        <f>((Tableau!$H$16-Q252)/(AC252^2+Tableau!$G$21^2)^(3/2))*Tableau!$G$20</f>
        <v>-2.7205747363113265E-3</v>
      </c>
      <c r="X252" s="96">
        <f>((Tableau!$G$25-P252)/(AD252^2+Tableau!$G$30^2)^(3/2))*Tableau!$G$29</f>
        <v>1.9293689989605129E-3</v>
      </c>
      <c r="Y252" s="96">
        <f>((Tableau!$H$25-Q252)/(AD252^2+Tableau!$G$30^2)^(3/2))*Tableau!$G$29</f>
        <v>-9.439562861940791E-4</v>
      </c>
      <c r="Z252" s="96">
        <f>((Tableau!$G$35-P252)/(AE252^2+Tableau!$G$40^2)^(3/2))*Tableau!$G$39</f>
        <v>5.5902470719075168E-3</v>
      </c>
      <c r="AA252" s="97">
        <f>((Tableau!$H$35-Q252)/(AE252^2+Tableau!$G$40^2)^(3/2))*Tableau!$G$39</f>
        <v>-2.7470629204855226E-3</v>
      </c>
      <c r="AC252" s="110">
        <f>SQRT((Tableau!$G$16-P252)^2+(Tableau!$H$16-Q252)^2)</f>
        <v>9181085.7489265017</v>
      </c>
      <c r="AD252" s="111">
        <f>SQRT((Tableau!$G$25-P252)^2+(Tableau!$H$25-Q252)^2)</f>
        <v>9144044.0917404555</v>
      </c>
      <c r="AE252" s="112">
        <f>SQRT((Tableau!$G$35-P252)^2+(Tableau!$H$35-Q252)^2)</f>
        <v>9168518.5423087589</v>
      </c>
    </row>
    <row r="253" spans="2:31" x14ac:dyDescent="0.25">
      <c r="B253" s="18">
        <v>250</v>
      </c>
      <c r="C253" s="19">
        <f>Tableau!$G$17*COS(B253*PI()/180)+Tableau!$G$16</f>
        <v>18289.899283371655</v>
      </c>
      <c r="D253" s="19">
        <f>Tableau!$G$17*SIN(B253*PI()/180)+Tableau!$H$16</f>
        <v>2801.5368960704591</v>
      </c>
      <c r="F253" s="26">
        <v>250</v>
      </c>
      <c r="G253" s="27">
        <f>Tableau!$G$26*COS(F253*PI()/180)+Tableau!$G$25</f>
        <v>-21197.070501639842</v>
      </c>
      <c r="H253" s="27">
        <f>Tableau!$G$26*SIN(F253*PI()/180)+Tableau!$H$25</f>
        <v>6711.0758272493213</v>
      </c>
      <c r="J253" s="34">
        <v>250</v>
      </c>
      <c r="K253" s="35">
        <f>Tableau!$G$36*COS(J253*PI()/180)+Tableau!$G$35</f>
        <v>-6710.1007166283471</v>
      </c>
      <c r="L253" s="35">
        <f>Tableau!$G$36*SIN(J253*PI()/180)+Tableau!$H$35</f>
        <v>-19698.463103929542</v>
      </c>
      <c r="N253" s="98">
        <v>249</v>
      </c>
      <c r="O253" s="99">
        <v>124.5</v>
      </c>
      <c r="P253" s="101">
        <f>P252+R252*Tableau!$G$2+((1/2)*T252)*Tableau!$G$2^2</f>
        <v>-8268024.0093718758</v>
      </c>
      <c r="Q253" s="101">
        <f>Q252+S252*Tableau!$G$2+((1/2)*U252)*Tableau!$G$2^2</f>
        <v>4045494.0424851757</v>
      </c>
      <c r="R253" s="101">
        <f>R252+T252*Tableau!$G$2</f>
        <v>-68699.014138374725</v>
      </c>
      <c r="S253" s="101">
        <f>S252+U252*Tableau!$G$2</f>
        <v>33801.125526066055</v>
      </c>
      <c r="T253" s="101">
        <f t="shared" si="6"/>
        <v>1.2995070145090479E-2</v>
      </c>
      <c r="U253" s="101">
        <f t="shared" si="7"/>
        <v>-6.3585145052187288E-3</v>
      </c>
      <c r="V253" s="101">
        <f>((Tableau!$G$16-P253)/(AC253^2+Tableau!$G$21^2)^(3/2))*Tableau!$G$20</f>
        <v>5.5379143647528587E-3</v>
      </c>
      <c r="W253" s="101">
        <f>((Tableau!$H$16-Q253)/(AC253^2+Tableau!$G$21^2)^(3/2))*Tableau!$G$20</f>
        <v>-2.698117812807817E-3</v>
      </c>
      <c r="X253" s="101">
        <f>((Tableau!$G$25-P253)/(AD253^2+Tableau!$G$30^2)^(3/2))*Tableau!$G$29</f>
        <v>1.9133064043787185E-3</v>
      </c>
      <c r="Y253" s="101">
        <f>((Tableau!$H$25-Q253)/(AD253^2+Tableau!$G$30^2)^(3/2))*Tableau!$G$29</f>
        <v>-9.3611955876290542E-4</v>
      </c>
      <c r="Z253" s="101">
        <f>((Tableau!$G$35-P253)/(AE253^2+Tableau!$G$40^2)^(3/2))*Tableau!$G$39</f>
        <v>5.5438493759589012E-3</v>
      </c>
      <c r="AA253" s="102">
        <f>((Tableau!$H$35-Q253)/(AE253^2+Tableau!$G$40^2)^(3/2))*Tableau!$G$39</f>
        <v>-2.7242771336480069E-3</v>
      </c>
      <c r="AC253" s="113">
        <f>SQRT((Tableau!$G$16-P253)^2+(Tableau!$H$16-Q253)^2)</f>
        <v>9219367.5415979829</v>
      </c>
      <c r="AD253" s="114">
        <f>SQRT((Tableau!$G$25-P253)^2+(Tableau!$H$25-Q253)^2)</f>
        <v>9182326.0792736094</v>
      </c>
      <c r="AE253" s="115">
        <f>SQRT((Tableau!$G$35-P253)^2+(Tableau!$H$35-Q253)^2)</f>
        <v>9206800.6195699535</v>
      </c>
    </row>
    <row r="254" spans="2:31" x14ac:dyDescent="0.25">
      <c r="B254" s="20">
        <v>251</v>
      </c>
      <c r="C254" s="21">
        <f>Tableau!$G$17*COS(B254*PI()/180)+Tableau!$G$16</f>
        <v>18372.159227714215</v>
      </c>
      <c r="D254" s="21">
        <f>Tableau!$G$17*SIN(B254*PI()/180)+Tableau!$H$16</f>
        <v>2772.4071220034157</v>
      </c>
      <c r="F254" s="28">
        <v>251</v>
      </c>
      <c r="G254" s="29">
        <f>Tableau!$G$26*COS(F254*PI()/180)+Tableau!$G$25</f>
        <v>-21139.488540600047</v>
      </c>
      <c r="H254" s="29">
        <f>Tableau!$G$26*SIN(F254*PI()/180)+Tableau!$H$25</f>
        <v>6690.6849854023912</v>
      </c>
      <c r="J254" s="36">
        <v>251</v>
      </c>
      <c r="K254" s="37">
        <f>Tableau!$G$36*COS(J254*PI()/180)+Tableau!$G$35</f>
        <v>-6627.8407722857828</v>
      </c>
      <c r="L254" s="37">
        <f>Tableau!$G$36*SIN(J254*PI()/180)+Tableau!$H$35</f>
        <v>-19727.592877996583</v>
      </c>
      <c r="N254" s="92">
        <v>250</v>
      </c>
      <c r="O254" s="93">
        <v>125</v>
      </c>
      <c r="P254" s="96">
        <f>P253+R253*Tableau!$G$2+((1/2)*T253)*Tableau!$G$2^2</f>
        <v>-8302373.5148166791</v>
      </c>
      <c r="Q254" s="96">
        <f>Q253+S253*Tableau!$G$2+((1/2)*U253)*Tableau!$G$2^2</f>
        <v>4062394.6044533942</v>
      </c>
      <c r="R254" s="96">
        <f>R253+T253*Tableau!$G$2</f>
        <v>-68699.007640839656</v>
      </c>
      <c r="S254" s="96">
        <f>S253+U253*Tableau!$G$2</f>
        <v>33801.122346808799</v>
      </c>
      <c r="T254" s="96">
        <f t="shared" si="6"/>
        <v>1.2887636392296157E-2</v>
      </c>
      <c r="U254" s="96">
        <f t="shared" si="7"/>
        <v>-6.306091491508542E-3</v>
      </c>
      <c r="V254" s="96">
        <f>((Tableau!$G$16-P254)/(AC254^2+Tableau!$G$21^2)^(3/2))*Tableau!$G$20</f>
        <v>5.492165893566419E-3</v>
      </c>
      <c r="W254" s="96">
        <f>((Tableau!$H$16-Q254)/(AC254^2+Tableau!$G$21^2)^(3/2))*Tableau!$G$20</f>
        <v>-2.6759377969442152E-3</v>
      </c>
      <c r="X254" s="96">
        <f>((Tableau!$G$25-P254)/(AD254^2+Tableau!$G$30^2)^(3/2))*Tableau!$G$29</f>
        <v>1.8974435680554202E-3</v>
      </c>
      <c r="Y254" s="96">
        <f>((Tableau!$H$25-Q254)/(AD254^2+Tableau!$G$30^2)^(3/2))*Tableau!$G$29</f>
        <v>-9.2838001856437315E-4</v>
      </c>
      <c r="Z254" s="96">
        <f>((Tableau!$G$35-P254)/(AE254^2+Tableau!$G$40^2)^(3/2))*Tableau!$G$39</f>
        <v>5.4980269306743176E-3</v>
      </c>
      <c r="AA254" s="97">
        <f>((Tableau!$H$35-Q254)/(AE254^2+Tableau!$G$40^2)^(3/2))*Tableau!$G$39</f>
        <v>-2.7017736759999537E-3</v>
      </c>
      <c r="AC254" s="110">
        <f>SQRT((Tableau!$G$16-P254)^2+(Tableau!$H$16-Q254)^2)</f>
        <v>9257649.3330298141</v>
      </c>
      <c r="AD254" s="111">
        <f>SQRT((Tableau!$G$25-P254)^2+(Tableau!$H$25-Q254)^2)</f>
        <v>9220608.0639586765</v>
      </c>
      <c r="AE254" s="112">
        <f>SQRT((Tableau!$G$35-P254)^2+(Tableau!$H$35-Q254)^2)</f>
        <v>9245082.6932378989</v>
      </c>
    </row>
    <row r="255" spans="2:31" x14ac:dyDescent="0.25">
      <c r="B255" s="18">
        <v>252</v>
      </c>
      <c r="C255" s="19">
        <f>Tableau!$G$17*COS(B255*PI()/180)+Tableau!$G$16</f>
        <v>18454.915028125262</v>
      </c>
      <c r="D255" s="19">
        <f>Tableau!$G$17*SIN(B255*PI()/180)+Tableau!$H$16</f>
        <v>2744.717418524232</v>
      </c>
      <c r="F255" s="26">
        <v>252</v>
      </c>
      <c r="G255" s="27">
        <f>Tableau!$G$26*COS(F255*PI()/180)+Tableau!$G$25</f>
        <v>-21081.559480312317</v>
      </c>
      <c r="H255" s="27">
        <f>Tableau!$G$26*SIN(F255*PI()/180)+Tableau!$H$25</f>
        <v>6671.302192966963</v>
      </c>
      <c r="J255" s="34">
        <v>252</v>
      </c>
      <c r="K255" s="35">
        <f>Tableau!$G$36*COS(J255*PI()/180)+Tableau!$G$35</f>
        <v>-6545.0849718747377</v>
      </c>
      <c r="L255" s="35">
        <f>Tableau!$G$36*SIN(J255*PI()/180)+Tableau!$H$35</f>
        <v>-19755.282581475767</v>
      </c>
      <c r="N255" s="98">
        <v>251</v>
      </c>
      <c r="O255" s="99">
        <v>125.5</v>
      </c>
      <c r="P255" s="101">
        <f>P254+R254*Tableau!$G$2+((1/2)*T254)*Tableau!$G$2^2</f>
        <v>-8336723.017026145</v>
      </c>
      <c r="Q255" s="101">
        <f>Q254+S254*Tableau!$G$2+((1/2)*U254)*Tableau!$G$2^2</f>
        <v>4079295.1648385371</v>
      </c>
      <c r="R255" s="101">
        <f>R254+T254*Tableau!$G$2</f>
        <v>-68699.001197021455</v>
      </c>
      <c r="S255" s="101">
        <f>S254+U254*Tableau!$G$2</f>
        <v>33801.11919376305</v>
      </c>
      <c r="T255" s="101">
        <f t="shared" si="6"/>
        <v>1.2781529435499227E-2</v>
      </c>
      <c r="U255" s="101">
        <f t="shared" si="7"/>
        <v>-6.254314122460183E-3</v>
      </c>
      <c r="V255" s="101">
        <f>((Tableau!$G$16-P255)/(AC255^2+Tableau!$G$21^2)^(3/2))*Tableau!$G$20</f>
        <v>5.446981978483016E-3</v>
      </c>
      <c r="W255" s="101">
        <f>((Tableau!$H$16-Q255)/(AC255^2+Tableau!$G$21^2)^(3/2))*Tableau!$G$20</f>
        <v>-2.6540301548539889E-3</v>
      </c>
      <c r="X255" s="101">
        <f>((Tableau!$G$25-P255)/(AD255^2+Tableau!$G$30^2)^(3/2))*Tableau!$G$29</f>
        <v>1.8817771913381635E-3</v>
      </c>
      <c r="Y255" s="101">
        <f>((Tableau!$H$25-Q255)/(AD255^2+Tableau!$G$30^2)^(3/2))*Tableau!$G$29</f>
        <v>-9.2073606519529937E-4</v>
      </c>
      <c r="Z255" s="101">
        <f>((Tableau!$G$35-P255)/(AE255^2+Tableau!$G$40^2)^(3/2))*Tableau!$G$39</f>
        <v>5.4527702656780482E-3</v>
      </c>
      <c r="AA255" s="102">
        <f>((Tableau!$H$35-Q255)/(AE255^2+Tableau!$G$40^2)^(3/2))*Tableau!$G$39</f>
        <v>-2.6795479024108947E-3</v>
      </c>
      <c r="AC255" s="113">
        <f>SQRT((Tableau!$G$16-P255)^2+(Tableau!$H$16-Q255)^2)</f>
        <v>9295931.1232225168</v>
      </c>
      <c r="AD255" s="114">
        <f>SQRT((Tableau!$G$25-P255)^2+(Tableau!$H$25-Q255)^2)</f>
        <v>9258890.045816008</v>
      </c>
      <c r="AE255" s="115">
        <f>SQRT((Tableau!$G$35-P255)^2+(Tableau!$H$35-Q255)^2)</f>
        <v>9283364.7633421943</v>
      </c>
    </row>
    <row r="256" spans="2:31" x14ac:dyDescent="0.25">
      <c r="B256" s="20">
        <v>253</v>
      </c>
      <c r="C256" s="21">
        <f>Tableau!$G$17*COS(B256*PI()/180)+Tableau!$G$16</f>
        <v>18538.141476386314</v>
      </c>
      <c r="D256" s="21">
        <f>Tableau!$G$17*SIN(B256*PI()/180)+Tableau!$H$16</f>
        <v>2718.4762201848234</v>
      </c>
      <c r="F256" s="28">
        <v>253</v>
      </c>
      <c r="G256" s="29">
        <f>Tableau!$G$26*COS(F256*PI()/180)+Tableau!$G$25</f>
        <v>-21023.300966529579</v>
      </c>
      <c r="H256" s="29">
        <f>Tableau!$G$26*SIN(F256*PI()/180)+Tableau!$H$25</f>
        <v>6652.9333541293763</v>
      </c>
      <c r="J256" s="36">
        <v>253</v>
      </c>
      <c r="K256" s="37">
        <f>Tableau!$G$36*COS(J256*PI()/180)+Tableau!$G$35</f>
        <v>-6461.858523613686</v>
      </c>
      <c r="L256" s="37">
        <f>Tableau!$G$36*SIN(J256*PI()/180)+Tableau!$H$35</f>
        <v>-19781.523779815176</v>
      </c>
      <c r="N256" s="92">
        <v>252</v>
      </c>
      <c r="O256" s="93">
        <v>126</v>
      </c>
      <c r="P256" s="96">
        <f>P255+R255*Tableau!$G$2+((1/2)*T255)*Tableau!$G$2^2</f>
        <v>-8371072.5160269644</v>
      </c>
      <c r="Q256" s="96">
        <f>Q255+S255*Tableau!$G$2+((1/2)*U255)*Tableau!$G$2^2</f>
        <v>4096195.7236536294</v>
      </c>
      <c r="R256" s="96">
        <f>R255+T255*Tableau!$G$2</f>
        <v>-68698.994806256742</v>
      </c>
      <c r="S256" s="96">
        <f>S255+U255*Tableau!$G$2</f>
        <v>33801.116066605988</v>
      </c>
      <c r="T256" s="96">
        <f t="shared" si="6"/>
        <v>1.2676727516504178E-2</v>
      </c>
      <c r="U256" s="96">
        <f t="shared" si="7"/>
        <v>-6.203171839034469E-3</v>
      </c>
      <c r="V256" s="96">
        <f>((Tableau!$G$16-P256)/(AC256^2+Tableau!$G$21^2)^(3/2))*Tableau!$G$20</f>
        <v>5.4023533684351855E-3</v>
      </c>
      <c r="W256" s="96">
        <f>((Tableau!$H$16-Q256)/(AC256^2+Tableau!$G$21^2)^(3/2))*Tableau!$G$20</f>
        <v>-2.6323904450828539E-3</v>
      </c>
      <c r="X256" s="96">
        <f>((Tableau!$G$25-P256)/(AD256^2+Tableau!$G$30^2)^(3/2))*Tableau!$G$29</f>
        <v>1.8663040433839128E-3</v>
      </c>
      <c r="Y256" s="96">
        <f>((Tableau!$H$25-Q256)/(AD256^2+Tableau!$G$30^2)^(3/2))*Tableau!$G$29</f>
        <v>-9.1318613106007877E-4</v>
      </c>
      <c r="Z256" s="96">
        <f>((Tableau!$G$35-P256)/(AE256^2+Tableau!$G$40^2)^(3/2))*Tableau!$G$39</f>
        <v>5.4080701046850792E-3</v>
      </c>
      <c r="AA256" s="97">
        <f>((Tableau!$H$35-Q256)/(AE256^2+Tableau!$G$40^2)^(3/2))*Tableau!$G$39</f>
        <v>-2.6575952628915362E-3</v>
      </c>
      <c r="AC256" s="110">
        <f>SQRT((Tableau!$G$16-P256)^2+(Tableau!$H$16-Q256)^2)</f>
        <v>9334212.9121767171</v>
      </c>
      <c r="AD256" s="111">
        <f>SQRT((Tableau!$G$25-P256)^2+(Tableau!$H$25-Q256)^2)</f>
        <v>9297172.0248657409</v>
      </c>
      <c r="AE256" s="112">
        <f>SQRT((Tableau!$G$35-P256)^2+(Tableau!$H$35-Q256)^2)</f>
        <v>9321646.8299120627</v>
      </c>
    </row>
    <row r="257" spans="2:31" x14ac:dyDescent="0.25">
      <c r="B257" s="18">
        <v>254</v>
      </c>
      <c r="C257" s="19">
        <f>Tableau!$G$17*COS(B257*PI()/180)+Tableau!$G$16</f>
        <v>18621.813220915006</v>
      </c>
      <c r="D257" s="19">
        <f>Tableau!$G$17*SIN(B257*PI()/180)+Tableau!$H$16</f>
        <v>2693.6915203084054</v>
      </c>
      <c r="F257" s="26">
        <v>254</v>
      </c>
      <c r="G257" s="27">
        <f>Tableau!$G$26*COS(F257*PI()/180)+Tableau!$G$25</f>
        <v>-20964.730745359495</v>
      </c>
      <c r="H257" s="27">
        <f>Tableau!$G$26*SIN(F257*PI()/180)+Tableau!$H$25</f>
        <v>6635.5840642158837</v>
      </c>
      <c r="J257" s="34">
        <v>254</v>
      </c>
      <c r="K257" s="35">
        <f>Tableau!$G$36*COS(J257*PI()/180)+Tableau!$G$35</f>
        <v>-6378.1867790849947</v>
      </c>
      <c r="L257" s="35">
        <f>Tableau!$G$36*SIN(J257*PI()/180)+Tableau!$H$35</f>
        <v>-19806.308479691594</v>
      </c>
      <c r="N257" s="98">
        <v>253</v>
      </c>
      <c r="O257" s="99">
        <v>126.5</v>
      </c>
      <c r="P257" s="101">
        <f>P256+R256*Tableau!$G$2+((1/2)*T256)*Tableau!$G$2^2</f>
        <v>-8405422.0118455011</v>
      </c>
      <c r="Q257" s="101">
        <f>Q256+S256*Tableau!$G$2+((1/2)*U256)*Tableau!$G$2^2</f>
        <v>4113096.280911536</v>
      </c>
      <c r="R257" s="101">
        <f>R256+T256*Tableau!$G$2</f>
        <v>-68698.988467892981</v>
      </c>
      <c r="S257" s="101">
        <f>S256+U256*Tableau!$G$2</f>
        <v>33801.112965020067</v>
      </c>
      <c r="T257" s="101">
        <f t="shared" si="6"/>
        <v>1.2573209321312138E-2</v>
      </c>
      <c r="U257" s="101">
        <f t="shared" si="7"/>
        <v>-6.1526542971696227E-3</v>
      </c>
      <c r="V257" s="101">
        <f>((Tableau!$G$16-P257)/(AC257^2+Tableau!$G$21^2)^(3/2))*Tableau!$G$20</f>
        <v>5.3582710010716961E-3</v>
      </c>
      <c r="W257" s="101">
        <f>((Tableau!$H$16-Q257)/(AC257^2+Tableau!$G$21^2)^(3/2))*Tableau!$G$20</f>
        <v>-2.6110143163377828E-3</v>
      </c>
      <c r="X257" s="101">
        <f>((Tableau!$G$25-P257)/(AD257^2+Tableau!$G$30^2)^(3/2))*Tableau!$G$29</f>
        <v>1.8510209594930016E-3</v>
      </c>
      <c r="Y257" s="101">
        <f>((Tableau!$H$25-Q257)/(AD257^2+Tableau!$G$30^2)^(3/2))*Tableau!$G$29</f>
        <v>-9.0572868056684893E-4</v>
      </c>
      <c r="Z257" s="101">
        <f>((Tableau!$G$35-P257)/(AE257^2+Tableau!$G$40^2)^(3/2))*Tableau!$G$39</f>
        <v>5.3639173607474408E-3</v>
      </c>
      <c r="AA257" s="102">
        <f>((Tableau!$H$35-Q257)/(AE257^2+Tableau!$G$40^2)^(3/2))*Tableau!$G$39</f>
        <v>-2.6359113002649916E-3</v>
      </c>
      <c r="AC257" s="113">
        <f>SQRT((Tableau!$G$16-P257)^2+(Tableau!$H$16-Q257)^2)</f>
        <v>9372494.6998931579</v>
      </c>
      <c r="AD257" s="114">
        <f>SQRT((Tableau!$G$25-P257)^2+(Tableau!$H$25-Q257)^2)</f>
        <v>9335454.0011278037</v>
      </c>
      <c r="AE257" s="115">
        <f>SQRT((Tableau!$G$35-P257)^2+(Tableau!$H$35-Q257)^2)</f>
        <v>9359928.8929763827</v>
      </c>
    </row>
    <row r="258" spans="2:31" x14ac:dyDescent="0.25">
      <c r="B258" s="20">
        <v>255</v>
      </c>
      <c r="C258" s="21">
        <f>Tableau!$G$17*COS(B258*PI()/180)+Tableau!$G$16</f>
        <v>18705.904774487397</v>
      </c>
      <c r="D258" s="21">
        <f>Tableau!$G$17*SIN(B258*PI()/180)+Tableau!$H$16</f>
        <v>2670.370868554658</v>
      </c>
      <c r="F258" s="28">
        <v>255</v>
      </c>
      <c r="G258" s="29">
        <f>Tableau!$G$26*COS(F258*PI()/180)+Tableau!$G$25</f>
        <v>-20905.866657858824</v>
      </c>
      <c r="H258" s="29">
        <f>Tableau!$G$26*SIN(F258*PI()/180)+Tableau!$H$25</f>
        <v>6619.2596079882605</v>
      </c>
      <c r="J258" s="36">
        <v>255</v>
      </c>
      <c r="K258" s="37">
        <f>Tableau!$G$36*COS(J258*PI()/180)+Tableau!$G$35</f>
        <v>-6294.0952255126031</v>
      </c>
      <c r="L258" s="37">
        <f>Tableau!$G$36*SIN(J258*PI()/180)+Tableau!$H$35</f>
        <v>-19829.629131445341</v>
      </c>
      <c r="N258" s="92">
        <v>254</v>
      </c>
      <c r="O258" s="93">
        <v>127</v>
      </c>
      <c r="P258" s="96">
        <f>P257+R257*Tableau!$G$2+((1/2)*T257)*Tableau!$G$2^2</f>
        <v>-8439771.5045077968</v>
      </c>
      <c r="Q258" s="96">
        <f>Q257+S257*Tableau!$G$2+((1/2)*U257)*Tableau!$G$2^2</f>
        <v>4129996.8366249641</v>
      </c>
      <c r="R258" s="96">
        <f>R257+T257*Tableau!$G$2</f>
        <v>-68698.982181288316</v>
      </c>
      <c r="S258" s="96">
        <f>S257+U257*Tableau!$G$2</f>
        <v>33801.109888692918</v>
      </c>
      <c r="T258" s="96">
        <f t="shared" si="6"/>
        <v>1.2470953969282484E-2</v>
      </c>
      <c r="U258" s="96">
        <f t="shared" si="7"/>
        <v>-6.1027513625500577E-3</v>
      </c>
      <c r="V258" s="96">
        <f>((Tableau!$G$16-P258)/(AC258^2+Tableau!$G$21^2)^(3/2))*Tableau!$G$20</f>
        <v>5.3147259981564101E-3</v>
      </c>
      <c r="W258" s="96">
        <f>((Tableau!$H$16-Q258)/(AC258^2+Tableau!$G$21^2)^(3/2))*Tableau!$G$20</f>
        <v>-2.5898975052994662E-3</v>
      </c>
      <c r="X258" s="96">
        <f>((Tableau!$G$25-P258)/(AD258^2+Tableau!$G$30^2)^(3/2))*Tableau!$G$29</f>
        <v>1.8359248394909159E-3</v>
      </c>
      <c r="Y258" s="96">
        <f>((Tableau!$H$25-Q258)/(AD258^2+Tableau!$G$30^2)^(3/2))*Tableau!$G$29</f>
        <v>-8.9836220934667106E-4</v>
      </c>
      <c r="Z258" s="96">
        <f>((Tableau!$G$35-P258)/(AE258^2+Tableau!$G$40^2)^(3/2))*Tableau!$G$39</f>
        <v>5.3203031316351578E-3</v>
      </c>
      <c r="AA258" s="97">
        <f>((Tableau!$H$35-Q258)/(AE258^2+Tableau!$G$40^2)^(3/2))*Tableau!$G$39</f>
        <v>-2.6144916479039207E-3</v>
      </c>
      <c r="AC258" s="110">
        <f>SQRT((Tableau!$G$16-P258)^2+(Tableau!$H$16-Q258)^2)</f>
        <v>9410776.4863726813</v>
      </c>
      <c r="AD258" s="111">
        <f>SQRT((Tableau!$G$25-P258)^2+(Tableau!$H$25-Q258)^2)</f>
        <v>9373735.9746219218</v>
      </c>
      <c r="AE258" s="112">
        <f>SQRT((Tableau!$G$35-P258)^2+(Tableau!$H$35-Q258)^2)</f>
        <v>9398210.9525636677</v>
      </c>
    </row>
    <row r="259" spans="2:31" x14ac:dyDescent="0.25">
      <c r="B259" s="18">
        <v>256</v>
      </c>
      <c r="C259" s="19">
        <f>Tableau!$G$17*COS(B259*PI()/180)+Tableau!$G$16</f>
        <v>18790.39052200166</v>
      </c>
      <c r="D259" s="19">
        <f>Tableau!$G$17*SIN(B259*PI()/180)+Tableau!$H$16</f>
        <v>2648.5213686200177</v>
      </c>
      <c r="F259" s="26">
        <v>256</v>
      </c>
      <c r="G259" s="27">
        <f>Tableau!$G$26*COS(F259*PI()/180)+Tableau!$G$25</f>
        <v>-20846.726634598836</v>
      </c>
      <c r="H259" s="27">
        <f>Tableau!$G$26*SIN(F259*PI()/180)+Tableau!$H$25</f>
        <v>6603.9649580340119</v>
      </c>
      <c r="J259" s="34">
        <v>256</v>
      </c>
      <c r="K259" s="35">
        <f>Tableau!$G$36*COS(J259*PI()/180)+Tableau!$G$35</f>
        <v>-6209.6094779983387</v>
      </c>
      <c r="L259" s="35">
        <f>Tableau!$G$36*SIN(J259*PI()/180)+Tableau!$H$35</f>
        <v>-19851.478631379981</v>
      </c>
      <c r="N259" s="98">
        <v>255</v>
      </c>
      <c r="O259" s="99">
        <v>127.5</v>
      </c>
      <c r="P259" s="101">
        <f>P258+R258*Tableau!$G$2+((1/2)*T258)*Tableau!$G$2^2</f>
        <v>-8474120.9940395709</v>
      </c>
      <c r="Q259" s="101">
        <f>Q258+S258*Tableau!$G$2+((1/2)*U258)*Tableau!$G$2^2</f>
        <v>4146897.3908064668</v>
      </c>
      <c r="R259" s="101">
        <f>R258+T258*Tableau!$G$2</f>
        <v>-68698.975945811326</v>
      </c>
      <c r="S259" s="101">
        <f>S258+U258*Tableau!$G$2</f>
        <v>33801.106837317238</v>
      </c>
      <c r="T259" s="101">
        <f t="shared" si="6"/>
        <v>1.236994100260301E-2</v>
      </c>
      <c r="U259" s="101">
        <f t="shared" si="7"/>
        <v>-6.0534531055236995E-3</v>
      </c>
      <c r="V259" s="101">
        <f>((Tableau!$G$16-P259)/(AC259^2+Tableau!$G$21^2)^(3/2))*Tableau!$G$20</f>
        <v>5.2717096610980368E-3</v>
      </c>
      <c r="W259" s="101">
        <f>((Tableau!$H$16-Q259)/(AC259^2+Tableau!$G$21^2)^(3/2))*Tableau!$G$20</f>
        <v>-2.5690358344967077E-3</v>
      </c>
      <c r="X259" s="101">
        <f>((Tableau!$G$25-P259)/(AD259^2+Tableau!$G$30^2)^(3/2))*Tableau!$G$29</f>
        <v>1.8210126461559346E-3</v>
      </c>
      <c r="Y259" s="101">
        <f>((Tableau!$H$25-Q259)/(AD259^2+Tableau!$G$30^2)^(3/2))*Tableau!$G$29</f>
        <v>-8.9108524349477795E-4</v>
      </c>
      <c r="Z259" s="101">
        <f>((Tableau!$G$35-P259)/(AE259^2+Tableau!$G$40^2)^(3/2))*Tableau!$G$39</f>
        <v>5.277218695349039E-3</v>
      </c>
      <c r="AA259" s="102">
        <f>((Tableau!$H$35-Q259)/(AE259^2+Tableau!$G$40^2)^(3/2))*Tableau!$G$39</f>
        <v>-2.5933320275322133E-3</v>
      </c>
      <c r="AC259" s="113">
        <f>SQRT((Tableau!$G$16-P259)^2+(Tableau!$H$16-Q259)^2)</f>
        <v>9449058.2716162335</v>
      </c>
      <c r="AD259" s="114">
        <f>SQRT((Tableau!$G$25-P259)^2+(Tableau!$H$25-Q259)^2)</f>
        <v>9412017.9453676138</v>
      </c>
      <c r="AE259" s="115">
        <f>SQRT((Tableau!$G$35-P259)^2+(Tableau!$H$35-Q259)^2)</f>
        <v>9436493.0087020937</v>
      </c>
    </row>
    <row r="260" spans="2:31" x14ac:dyDescent="0.25">
      <c r="B260" s="20">
        <v>257</v>
      </c>
      <c r="C260" s="21">
        <f>Tableau!$G$17*COS(B260*PI()/180)+Tableau!$G$16</f>
        <v>18875.244728280675</v>
      </c>
      <c r="D260" s="21">
        <f>Tableau!$G$17*SIN(B260*PI()/180)+Tableau!$H$16</f>
        <v>2628.1496760738246</v>
      </c>
      <c r="F260" s="28">
        <v>257</v>
      </c>
      <c r="G260" s="29">
        <f>Tableau!$G$26*COS(F260*PI()/180)+Tableau!$G$25</f>
        <v>-20787.328690203529</v>
      </c>
      <c r="H260" s="29">
        <f>Tableau!$G$26*SIN(F260*PI()/180)+Tableau!$H$25</f>
        <v>6589.7047732516767</v>
      </c>
      <c r="J260" s="36">
        <v>257</v>
      </c>
      <c r="K260" s="37">
        <f>Tableau!$G$36*COS(J260*PI()/180)+Tableau!$G$35</f>
        <v>-6124.7552717193266</v>
      </c>
      <c r="L260" s="37">
        <f>Tableau!$G$36*SIN(J260*PI()/180)+Tableau!$H$35</f>
        <v>-19871.850323926177</v>
      </c>
      <c r="N260" s="92">
        <v>256</v>
      </c>
      <c r="O260" s="93">
        <v>128</v>
      </c>
      <c r="P260" s="96">
        <f>P259+R259*Tableau!$G$2+((1/2)*T259)*Tableau!$G$2^2</f>
        <v>-8508470.4804662336</v>
      </c>
      <c r="Q260" s="96">
        <f>Q259+S259*Tableau!$G$2+((1/2)*U259)*Tableau!$G$2^2</f>
        <v>4163797.943468444</v>
      </c>
      <c r="R260" s="96">
        <f>R259+T259*Tableau!$G$2</f>
        <v>-68698.969760840831</v>
      </c>
      <c r="S260" s="96">
        <f>S259+U259*Tableau!$G$2</f>
        <v>33801.103810590685</v>
      </c>
      <c r="T260" s="96">
        <f t="shared" ref="T260:T323" si="8">V260+X260+Z260</f>
        <v>1.2270150376056527E-2</v>
      </c>
      <c r="U260" s="96">
        <f t="shared" ref="U260:U323" si="9">W260+Y260+AA260</f>
        <v>-6.004749796161995E-3</v>
      </c>
      <c r="V260" s="96">
        <f>((Tableau!$G$16-P260)/(AC260^2+Tableau!$G$21^2)^(3/2))*Tableau!$G$20</f>
        <v>5.2292134666057115E-3</v>
      </c>
      <c r="W260" s="96">
        <f>((Tableau!$H$16-Q260)/(AC260^2+Tableau!$G$21^2)^(3/2))*Tableau!$G$20</f>
        <v>-2.5484252102403542E-3</v>
      </c>
      <c r="X260" s="96">
        <f>((Tableau!$G$25-P260)/(AD260^2+Tableau!$G$30^2)^(3/2))*Tableau!$G$29</f>
        <v>1.8062814036913836E-3</v>
      </c>
      <c r="Y260" s="96">
        <f>((Tableau!$H$25-Q260)/(AD260^2+Tableau!$G$30^2)^(3/2))*Tableau!$G$29</f>
        <v>-8.8389633883329021E-4</v>
      </c>
      <c r="Z260" s="96">
        <f>((Tableau!$G$35-P260)/(AE260^2+Tableau!$G$40^2)^(3/2))*Tableau!$G$39</f>
        <v>5.234655505759433E-3</v>
      </c>
      <c r="AA260" s="97">
        <f>((Tableau!$H$35-Q260)/(AE260^2+Tableau!$G$40^2)^(3/2))*Tableau!$G$39</f>
        <v>-2.5724282470883505E-3</v>
      </c>
      <c r="AC260" s="110">
        <f>SQRT((Tableau!$G$16-P260)^2+(Tableau!$H$16-Q260)^2)</f>
        <v>9487340.0556248631</v>
      </c>
      <c r="AD260" s="111">
        <f>SQRT((Tableau!$G$25-P260)^2+(Tableau!$H$25-Q260)^2)</f>
        <v>9450299.9133841954</v>
      </c>
      <c r="AE260" s="112">
        <f>SQRT((Tableau!$G$35-P260)^2+(Tableau!$H$35-Q260)^2)</f>
        <v>9474775.0614194926</v>
      </c>
    </row>
    <row r="261" spans="2:31" x14ac:dyDescent="0.25">
      <c r="B261" s="18">
        <v>258</v>
      </c>
      <c r="C261" s="19">
        <f>Tableau!$G$17*COS(B261*PI()/180)+Tableau!$G$16</f>
        <v>18960.441545911202</v>
      </c>
      <c r="D261" s="19">
        <f>Tableau!$G$17*SIN(B261*PI()/180)+Tableau!$H$16</f>
        <v>2609.2619963309717</v>
      </c>
      <c r="F261" s="26">
        <v>258</v>
      </c>
      <c r="G261" s="27">
        <f>Tableau!$G$26*COS(F261*PI()/180)+Tableau!$G$25</f>
        <v>-20727.690917862161</v>
      </c>
      <c r="H261" s="27">
        <f>Tableau!$G$26*SIN(F261*PI()/180)+Tableau!$H$25</f>
        <v>6576.4833974316807</v>
      </c>
      <c r="J261" s="34">
        <v>258</v>
      </c>
      <c r="K261" s="35">
        <f>Tableau!$G$36*COS(J261*PI()/180)+Tableau!$G$35</f>
        <v>-6039.5584540887994</v>
      </c>
      <c r="L261" s="35">
        <f>Tableau!$G$36*SIN(J261*PI()/180)+Tableau!$H$35</f>
        <v>-19890.73800366903</v>
      </c>
      <c r="N261" s="98">
        <v>257</v>
      </c>
      <c r="O261" s="99">
        <v>128.5</v>
      </c>
      <c r="P261" s="101">
        <f>P260+R260*Tableau!$G$2+((1/2)*T260)*Tableau!$G$2^2</f>
        <v>-8542819.9638128858</v>
      </c>
      <c r="Q261" s="101">
        <f>Q260+S260*Tableau!$G$2+((1/2)*U260)*Tableau!$G$2^2</f>
        <v>4180698.4946231456</v>
      </c>
      <c r="R261" s="101">
        <f>R260+T260*Tableau!$G$2</f>
        <v>-68698.963625765638</v>
      </c>
      <c r="S261" s="101">
        <f>S260+U260*Tableau!$G$2</f>
        <v>33801.100808215786</v>
      </c>
      <c r="T261" s="101">
        <f t="shared" si="8"/>
        <v>1.2171562447075193E-2</v>
      </c>
      <c r="U261" s="101">
        <f t="shared" si="9"/>
        <v>-5.9566318994584491E-3</v>
      </c>
      <c r="V261" s="101">
        <f>((Tableau!$G$16-P261)/(AC261^2+Tableau!$G$21^2)^(3/2))*Tableau!$G$20</f>
        <v>5.1872290624665083E-3</v>
      </c>
      <c r="W261" s="101">
        <f>((Tableau!$H$16-Q261)/(AC261^2+Tableau!$G$21^2)^(3/2))*Tableau!$G$20</f>
        <v>-2.5280616206149282E-3</v>
      </c>
      <c r="X261" s="101">
        <f>((Tableau!$G$25-P261)/(AD261^2+Tableau!$G$30^2)^(3/2))*Tableau!$G$29</f>
        <v>1.7917281962408491E-3</v>
      </c>
      <c r="Y261" s="101">
        <f>((Tableau!$H$25-Q261)/(AD261^2+Tableau!$G$30^2)^(3/2))*Tableau!$G$29</f>
        <v>-8.7679408019460711E-4</v>
      </c>
      <c r="Z261" s="101">
        <f>((Tableau!$G$35-P261)/(AE261^2+Tableau!$G$40^2)^(3/2))*Tableau!$G$39</f>
        <v>5.1926051883678347E-3</v>
      </c>
      <c r="AA261" s="102">
        <f>((Tableau!$H$35-Q261)/(AE261^2+Tableau!$G$40^2)^(3/2))*Tableau!$G$39</f>
        <v>-2.5517761986489141E-3</v>
      </c>
      <c r="AC261" s="113">
        <f>SQRT((Tableau!$G$16-P261)^2+(Tableau!$H$16-Q261)^2)</f>
        <v>9525621.8383997064</v>
      </c>
      <c r="AD261" s="114">
        <f>SQRT((Tableau!$G$25-P261)^2+(Tableau!$H$25-Q261)^2)</f>
        <v>9488581.8786907904</v>
      </c>
      <c r="AE261" s="115">
        <f>SQRT((Tableau!$G$35-P261)^2+(Tableau!$H$35-Q261)^2)</f>
        <v>9513057.1107433587</v>
      </c>
    </row>
    <row r="262" spans="2:31" x14ac:dyDescent="0.25">
      <c r="B262" s="20">
        <v>259</v>
      </c>
      <c r="C262" s="21">
        <f>Tableau!$G$17*COS(B262*PI()/180)+Tableau!$G$16</f>
        <v>19045.955023117273</v>
      </c>
      <c r="D262" s="21">
        <f>Tableau!$G$17*SIN(B262*PI()/180)+Tableau!$H$16</f>
        <v>2591.8640827616809</v>
      </c>
      <c r="F262" s="28">
        <v>259</v>
      </c>
      <c r="G262" s="29">
        <f>Tableau!$G$26*COS(F262*PI()/180)+Tableau!$G$25</f>
        <v>-20667.83148381791</v>
      </c>
      <c r="H262" s="29">
        <f>Tableau!$G$26*SIN(F262*PI()/180)+Tableau!$H$25</f>
        <v>6564.3048579331771</v>
      </c>
      <c r="J262" s="36">
        <v>259</v>
      </c>
      <c r="K262" s="37">
        <f>Tableau!$G$36*COS(J262*PI()/180)+Tableau!$G$35</f>
        <v>-5954.0449768827275</v>
      </c>
      <c r="L262" s="37">
        <f>Tableau!$G$36*SIN(J262*PI()/180)+Tableau!$H$35</f>
        <v>-19908.13591723832</v>
      </c>
      <c r="N262" s="92">
        <v>258</v>
      </c>
      <c r="O262" s="93">
        <v>129</v>
      </c>
      <c r="P262" s="96">
        <f>P261+R261*Tableau!$G$2+((1/2)*T261)*Tableau!$G$2^2</f>
        <v>-8577169.4441043232</v>
      </c>
      <c r="Q262" s="96">
        <f>Q261+S261*Tableau!$G$2+((1/2)*U261)*Tableau!$G$2^2</f>
        <v>4197599.0442826739</v>
      </c>
      <c r="R262" s="96">
        <f>R261+T261*Tableau!$G$2</f>
        <v>-68698.957539984418</v>
      </c>
      <c r="S262" s="96">
        <f>S261+U261*Tableau!$G$2</f>
        <v>33801.097829899838</v>
      </c>
      <c r="T262" s="96">
        <f t="shared" si="8"/>
        <v>1.2074157966074065E-2</v>
      </c>
      <c r="U262" s="96">
        <f t="shared" si="9"/>
        <v>-5.9090900706616194E-3</v>
      </c>
      <c r="V262" s="96">
        <f>((Tableau!$G$16-P262)/(AC262^2+Tableau!$G$21^2)^(3/2))*Tableau!$G$20</f>
        <v>5.1457482634415389E-3</v>
      </c>
      <c r="W262" s="96">
        <f>((Tableau!$H$16-Q262)/(AC262^2+Tableau!$G$21^2)^(3/2))*Tableau!$G$20</f>
        <v>-2.5079411335264109E-3</v>
      </c>
      <c r="X262" s="96">
        <f>((Tableau!$G$25-P262)/(AD262^2+Tableau!$G$30^2)^(3/2))*Tableau!$G$29</f>
        <v>1.7773501664451834E-3</v>
      </c>
      <c r="Y262" s="96">
        <f>((Tableau!$H$25-Q262)/(AD262^2+Tableau!$G$30^2)^(3/2))*Tableau!$G$29</f>
        <v>-8.69777080724915E-4</v>
      </c>
      <c r="Z262" s="96">
        <f>((Tableau!$G$35-P262)/(AE262^2+Tableau!$G$40^2)^(3/2))*Tableau!$G$39</f>
        <v>5.1510595361873423E-3</v>
      </c>
      <c r="AA262" s="97">
        <f>((Tableau!$H$35-Q262)/(AE262^2+Tableau!$G$40^2)^(3/2))*Tableau!$G$39</f>
        <v>-2.5313718564102931E-3</v>
      </c>
      <c r="AC262" s="110">
        <f>SQRT((Tableau!$G$16-P262)^2+(Tableau!$H$16-Q262)^2)</f>
        <v>9563903.6199419964</v>
      </c>
      <c r="AD262" s="111">
        <f>SQRT((Tableau!$G$25-P262)^2+(Tableau!$H$25-Q262)^2)</f>
        <v>9526863.8413063213</v>
      </c>
      <c r="AE262" s="112">
        <f>SQRT((Tableau!$G$35-P262)^2+(Tableau!$H$35-Q262)^2)</f>
        <v>9551339.1567008607</v>
      </c>
    </row>
    <row r="263" spans="2:31" x14ac:dyDescent="0.25">
      <c r="B263" s="18">
        <v>260</v>
      </c>
      <c r="C263" s="19">
        <f>Tableau!$G$17*COS(B263*PI()/180)+Tableau!$G$16</f>
        <v>19131.759111665349</v>
      </c>
      <c r="D263" s="19">
        <f>Tableau!$G$17*SIN(B263*PI()/180)+Tableau!$H$16</f>
        <v>2575.9612349389599</v>
      </c>
      <c r="F263" s="26">
        <v>260</v>
      </c>
      <c r="G263" s="27">
        <f>Tableau!$G$26*COS(F263*PI()/180)+Tableau!$G$25</f>
        <v>-20607.768621834257</v>
      </c>
      <c r="H263" s="27">
        <f>Tableau!$G$26*SIN(F263*PI()/180)+Tableau!$H$25</f>
        <v>6553.1728644572722</v>
      </c>
      <c r="J263" s="34">
        <v>260</v>
      </c>
      <c r="K263" s="35">
        <f>Tableau!$G$36*COS(J263*PI()/180)+Tableau!$G$35</f>
        <v>-5868.2408883346516</v>
      </c>
      <c r="L263" s="35">
        <f>Tableau!$G$36*SIN(J263*PI()/180)+Tableau!$H$35</f>
        <v>-19924.038765061039</v>
      </c>
      <c r="N263" s="98">
        <v>259</v>
      </c>
      <c r="O263" s="99">
        <v>129.5</v>
      </c>
      <c r="P263" s="101">
        <f>P262+R262*Tableau!$G$2+((1/2)*T262)*Tableau!$G$2^2</f>
        <v>-8611518.921365045</v>
      </c>
      <c r="Q263" s="101">
        <f>Q262+S262*Tableau!$G$2+((1/2)*U262)*Tableau!$G$2^2</f>
        <v>4214499.5924589876</v>
      </c>
      <c r="R263" s="101">
        <f>R262+T262*Tableau!$G$2</f>
        <v>-68698.951502905431</v>
      </c>
      <c r="S263" s="101">
        <f>S262+U262*Tableau!$G$2</f>
        <v>33801.0948753548</v>
      </c>
      <c r="T263" s="101">
        <f t="shared" si="8"/>
        <v>1.1977918067053787E-2</v>
      </c>
      <c r="U263" s="101">
        <f t="shared" si="9"/>
        <v>-5.8621151507376665E-3</v>
      </c>
      <c r="V263" s="101">
        <f>((Tableau!$G$16-P263)/(AC263^2+Tableau!$G$21^2)^(3/2))*Tableau!$G$20</f>
        <v>5.1047630472760962E-3</v>
      </c>
      <c r="W263" s="101">
        <f>((Tableau!$H$16-Q263)/(AC263^2+Tableau!$G$21^2)^(3/2))*Tableau!$G$20</f>
        <v>-2.4880598948039986E-3</v>
      </c>
      <c r="X263" s="101">
        <f>((Tableau!$G$25-P263)/(AD263^2+Tableau!$G$30^2)^(3/2))*Tableau!$G$29</f>
        <v>1.7631445140399867E-3</v>
      </c>
      <c r="Y263" s="101">
        <f>((Tableau!$H$25-Q263)/(AD263^2+Tableau!$G$30^2)^(3/2))*Tableau!$G$29</f>
        <v>-8.6284398120717895E-4</v>
      </c>
      <c r="Z263" s="101">
        <f>((Tableau!$G$35-P263)/(AE263^2+Tableau!$G$40^2)^(3/2))*Tableau!$G$39</f>
        <v>5.1100105057377025E-3</v>
      </c>
      <c r="AA263" s="102">
        <f>((Tableau!$H$35-Q263)/(AE263^2+Tableau!$G$40^2)^(3/2))*Tableau!$G$39</f>
        <v>-2.5112112747264887E-3</v>
      </c>
      <c r="AC263" s="113">
        <f>SQRT((Tableau!$G$16-P263)^2+(Tableau!$H$16-Q263)^2)</f>
        <v>9602185.4002530519</v>
      </c>
      <c r="AD263" s="114">
        <f>SQRT((Tableau!$G$25-P263)^2+(Tableau!$H$25-Q263)^2)</f>
        <v>9565145.8012495227</v>
      </c>
      <c r="AE263" s="115">
        <f>SQRT((Tableau!$G$35-P263)^2+(Tableau!$H$35-Q263)^2)</f>
        <v>9589621.1993188392</v>
      </c>
    </row>
    <row r="264" spans="2:31" x14ac:dyDescent="0.25">
      <c r="B264" s="20">
        <v>261</v>
      </c>
      <c r="C264" s="21">
        <f>Tableau!$G$17*COS(B264*PI()/180)+Tableau!$G$16</f>
        <v>19217.827674798846</v>
      </c>
      <c r="D264" s="21">
        <f>Tableau!$G$17*SIN(B264*PI()/180)+Tableau!$H$16</f>
        <v>2561.5582970243113</v>
      </c>
      <c r="F264" s="28">
        <v>261</v>
      </c>
      <c r="G264" s="29">
        <f>Tableau!$G$26*COS(F264*PI()/180)+Tableau!$G$25</f>
        <v>-20547.52062764081</v>
      </c>
      <c r="H264" s="29">
        <f>Tableau!$G$26*SIN(F264*PI()/180)+Tableau!$H$25</f>
        <v>6543.0908079170185</v>
      </c>
      <c r="J264" s="36">
        <v>261</v>
      </c>
      <c r="K264" s="37">
        <f>Tableau!$G$36*COS(J264*PI()/180)+Tableau!$G$35</f>
        <v>-5782.1723252011552</v>
      </c>
      <c r="L264" s="37">
        <f>Tableau!$G$36*SIN(J264*PI()/180)+Tableau!$H$35</f>
        <v>-19938.441702975688</v>
      </c>
      <c r="N264" s="92">
        <v>260</v>
      </c>
      <c r="O264" s="93">
        <v>130</v>
      </c>
      <c r="P264" s="96">
        <f>P263+R263*Tableau!$G$2+((1/2)*T263)*Tableau!$G$2^2</f>
        <v>-8645868.3956192583</v>
      </c>
      <c r="Q264" s="96">
        <f>Q263+S263*Tableau!$G$2+((1/2)*U263)*Tableau!$G$2^2</f>
        <v>4231400.1391639002</v>
      </c>
      <c r="R264" s="96">
        <f>R263+T263*Tableau!$G$2</f>
        <v>-68698.945513946397</v>
      </c>
      <c r="S264" s="96">
        <f>S263+U263*Tableau!$G$2</f>
        <v>33801.091944297223</v>
      </c>
      <c r="T264" s="96">
        <f t="shared" si="8"/>
        <v>1.1882824258464654E-2</v>
      </c>
      <c r="U264" s="96">
        <f t="shared" si="9"/>
        <v>-5.8156981619588103E-3</v>
      </c>
      <c r="V264" s="96">
        <f>((Tableau!$G$16-P264)/(AC264^2+Tableau!$G$21^2)^(3/2))*Tableau!$G$20</f>
        <v>5.0642655508208951E-3</v>
      </c>
      <c r="W264" s="96">
        <f>((Tableau!$H$16-Q264)/(AC264^2+Tableau!$G$21^2)^(3/2))*Tableau!$G$20</f>
        <v>-2.4684141263544707E-3</v>
      </c>
      <c r="X264" s="96">
        <f>((Tableau!$G$25-P264)/(AD264^2+Tableau!$G$30^2)^(3/2))*Tableau!$G$29</f>
        <v>1.7491084944918215E-3</v>
      </c>
      <c r="Y264" s="96">
        <f>((Tableau!$H$25-Q264)/(AD264^2+Tableau!$G$30^2)^(3/2))*Tableau!$G$29</f>
        <v>-8.5599344940277811E-4</v>
      </c>
      <c r="Z264" s="96">
        <f>((Tableau!$G$35-P264)/(AE264^2+Tableau!$G$40^2)^(3/2))*Tableau!$G$39</f>
        <v>5.0694502131519376E-3</v>
      </c>
      <c r="AA264" s="97">
        <f>((Tableau!$H$35-Q264)/(AE264^2+Tableau!$G$40^2)^(3/2))*Tableau!$G$39</f>
        <v>-2.4912905862015619E-3</v>
      </c>
      <c r="AC264" s="110">
        <f>SQRT((Tableau!$G$16-P264)^2+(Tableau!$H$16-Q264)^2)</f>
        <v>9640467.1793342829</v>
      </c>
      <c r="AD264" s="111">
        <f>SQRT((Tableau!$G$25-P264)^2+(Tableau!$H$25-Q264)^2)</f>
        <v>9603427.7585389353</v>
      </c>
      <c r="AE264" s="112">
        <f>SQRT((Tableau!$G$35-P264)^2+(Tableau!$H$35-Q264)^2)</f>
        <v>9627903.2386238147</v>
      </c>
    </row>
    <row r="265" spans="2:31" x14ac:dyDescent="0.25">
      <c r="B265" s="18">
        <v>262</v>
      </c>
      <c r="C265" s="19">
        <f>Tableau!$G$17*COS(B265*PI()/180)+Tableau!$G$16</f>
        <v>19304.134495199676</v>
      </c>
      <c r="D265" s="19">
        <f>Tableau!$G$17*SIN(B265*PI()/180)+Tableau!$H$16</f>
        <v>2548.6596562921486</v>
      </c>
      <c r="F265" s="26">
        <v>262</v>
      </c>
      <c r="G265" s="27">
        <f>Tableau!$G$26*COS(F265*PI()/180)+Tableau!$G$25</f>
        <v>-20487.105853360226</v>
      </c>
      <c r="H265" s="27">
        <f>Tableau!$G$26*SIN(F265*PI()/180)+Tableau!$H$25</f>
        <v>6534.0617594045034</v>
      </c>
      <c r="J265" s="34">
        <v>262</v>
      </c>
      <c r="K265" s="35">
        <f>Tableau!$G$36*COS(J265*PI()/180)+Tableau!$G$35</f>
        <v>-5695.8655048003247</v>
      </c>
      <c r="L265" s="35">
        <f>Tableau!$G$36*SIN(J265*PI()/180)+Tableau!$H$35</f>
        <v>-19951.340343707852</v>
      </c>
      <c r="N265" s="98">
        <v>261</v>
      </c>
      <c r="O265" s="99">
        <v>130.5</v>
      </c>
      <c r="P265" s="101">
        <f>P264+R264*Tableau!$G$2+((1/2)*T264)*Tableau!$G$2^2</f>
        <v>-8680217.8668908775</v>
      </c>
      <c r="Q265" s="101">
        <f>Q264+S264*Tableau!$G$2+((1/2)*U264)*Tableau!$G$2^2</f>
        <v>4248300.6844090866</v>
      </c>
      <c r="R265" s="101">
        <f>R264+T264*Tableau!$G$2</f>
        <v>-68698.939572534262</v>
      </c>
      <c r="S265" s="101">
        <f>S264+U264*Tableau!$G$2</f>
        <v>33801.089036448138</v>
      </c>
      <c r="T265" s="101">
        <f t="shared" si="8"/>
        <v>1.1788858414323557E-2</v>
      </c>
      <c r="U265" s="101">
        <f t="shared" si="9"/>
        <v>-5.769830303613558E-3</v>
      </c>
      <c r="V265" s="101">
        <f>((Tableau!$G$16-P265)/(AC265^2+Tableau!$G$21^2)^(3/2))*Tableau!$G$20</f>
        <v>5.0242480662602354E-3</v>
      </c>
      <c r="W265" s="101">
        <f>((Tableau!$H$16-Q265)/(AC265^2+Tableau!$G$21^2)^(3/2))*Tableau!$G$20</f>
        <v>-2.4490001243671934E-3</v>
      </c>
      <c r="X265" s="101">
        <f>((Tableau!$G$25-P265)/(AD265^2+Tableau!$G$30^2)^(3/2))*Tableau!$G$29</f>
        <v>1.7352394176726989E-3</v>
      </c>
      <c r="Y265" s="101">
        <f>((Tableau!$H$25-Q265)/(AD265^2+Tableau!$G$30^2)^(3/2))*Tableau!$G$29</f>
        <v>-8.4922417941157011E-4</v>
      </c>
      <c r="Z265" s="101">
        <f>((Tableau!$G$35-P265)/(AE265^2+Tableau!$G$40^2)^(3/2))*Tableau!$G$39</f>
        <v>5.0293709303906222E-3</v>
      </c>
      <c r="AA265" s="102">
        <f>((Tableau!$H$35-Q265)/(AE265^2+Tableau!$G$40^2)^(3/2))*Tableau!$G$39</f>
        <v>-2.4716059998347948E-3</v>
      </c>
      <c r="AC265" s="113">
        <f>SQRT((Tableau!$G$16-P265)^2+(Tableau!$H$16-Q265)^2)</f>
        <v>9678748.9571871758</v>
      </c>
      <c r="AD265" s="114">
        <f>SQRT((Tableau!$G$25-P265)^2+(Tableau!$H$25-Q265)^2)</f>
        <v>9641709.71319291</v>
      </c>
      <c r="AE265" s="115">
        <f>SQRT((Tableau!$G$35-P265)^2+(Tableau!$H$35-Q265)^2)</f>
        <v>9666185.2746419925</v>
      </c>
    </row>
    <row r="266" spans="2:31" x14ac:dyDescent="0.25">
      <c r="B266" s="20">
        <v>263</v>
      </c>
      <c r="C266" s="21">
        <f>Tableau!$G$17*COS(B266*PI()/180)+Tableau!$G$16</f>
        <v>19390.653282974265</v>
      </c>
      <c r="D266" s="21">
        <f>Tableau!$G$17*SIN(B266*PI()/180)+Tableau!$H$16</f>
        <v>2537.2692417933895</v>
      </c>
      <c r="F266" s="28">
        <v>263</v>
      </c>
      <c r="G266" s="29">
        <f>Tableau!$G$26*COS(F266*PI()/180)+Tableau!$G$25</f>
        <v>-20426.542701918013</v>
      </c>
      <c r="H266" s="29">
        <f>Tableau!$G$26*SIN(F266*PI()/180)+Tableau!$H$25</f>
        <v>6526.0884692553727</v>
      </c>
      <c r="J266" s="36">
        <v>263</v>
      </c>
      <c r="K266" s="37">
        <f>Tableau!$G$36*COS(J266*PI()/180)+Tableau!$G$35</f>
        <v>-5609.3467170257354</v>
      </c>
      <c r="L266" s="37">
        <f>Tableau!$G$36*SIN(J266*PI()/180)+Tableau!$H$35</f>
        <v>-19962.73075820661</v>
      </c>
      <c r="N266" s="92">
        <v>262</v>
      </c>
      <c r="O266" s="93">
        <v>131</v>
      </c>
      <c r="P266" s="96">
        <f>P265+R265*Tableau!$G$2+((1/2)*T265)*Tableau!$G$2^2</f>
        <v>-8714567.3352035377</v>
      </c>
      <c r="Q266" s="96">
        <f>Q265+S265*Tableau!$G$2+((1/2)*U265)*Tableau!$G$2^2</f>
        <v>4265201.2282060813</v>
      </c>
      <c r="R266" s="96">
        <f>R265+T265*Tableau!$G$2</f>
        <v>-68698.933678105052</v>
      </c>
      <c r="S266" s="96">
        <f>S265+U265*Tableau!$G$2</f>
        <v>33801.086151532989</v>
      </c>
      <c r="T266" s="96">
        <f t="shared" si="8"/>
        <v>1.1696002765575145E-2</v>
      </c>
      <c r="U266" s="96">
        <f t="shared" si="9"/>
        <v>-5.7245029478345585E-3</v>
      </c>
      <c r="V266" s="96">
        <f>((Tableau!$G$16-P266)/(AC266^2+Tableau!$G$21^2)^(3/2))*Tableau!$G$20</f>
        <v>4.9847030374442032E-3</v>
      </c>
      <c r="W266" s="96">
        <f>((Tableau!$H$16-Q266)/(AC266^2+Tableau!$G$21^2)^(3/2))*Tableau!$G$20</f>
        <v>-2.4298142575683987E-3</v>
      </c>
      <c r="X266" s="96">
        <f>((Tableau!$G$25-P266)/(AD266^2+Tableau!$G$30^2)^(3/2))*Tableau!$G$29</f>
        <v>1.7215346465708496E-3</v>
      </c>
      <c r="Y266" s="96">
        <f>((Tableau!$H$25-Q266)/(AD266^2+Tableau!$G$30^2)^(3/2))*Tableau!$G$29</f>
        <v>-8.4253489104942493E-4</v>
      </c>
      <c r="Z266" s="96">
        <f>((Tableau!$G$35-P266)/(AE266^2+Tableau!$G$40^2)^(3/2))*Tableau!$G$39</f>
        <v>4.9897650815600931E-3</v>
      </c>
      <c r="AA266" s="97">
        <f>((Tableau!$H$35-Q266)/(AE266^2+Tableau!$G$40^2)^(3/2))*Tableau!$G$39</f>
        <v>-2.4521537992167348E-3</v>
      </c>
      <c r="AC266" s="110">
        <f>SQRT((Tableau!$G$16-P266)^2+(Tableau!$H$16-Q266)^2)</f>
        <v>9717030.7338132989</v>
      </c>
      <c r="AD266" s="111">
        <f>SQRT((Tableau!$G$25-P266)^2+(Tableau!$H$25-Q266)^2)</f>
        <v>9679991.6652296185</v>
      </c>
      <c r="AE266" s="112">
        <f>SQRT((Tableau!$G$35-P266)^2+(Tableau!$H$35-Q266)^2)</f>
        <v>9704467.3073992729</v>
      </c>
    </row>
    <row r="267" spans="2:31" x14ac:dyDescent="0.25">
      <c r="B267" s="18">
        <v>264</v>
      </c>
      <c r="C267" s="19">
        <f>Tableau!$G$17*COS(B267*PI()/180)+Tableau!$G$16</f>
        <v>19477.357683661732</v>
      </c>
      <c r="D267" s="19">
        <f>Tableau!$G$17*SIN(B267*PI()/180)+Tableau!$H$16</f>
        <v>2527.3905231586332</v>
      </c>
      <c r="F267" s="26">
        <v>264</v>
      </c>
      <c r="G267" s="27">
        <f>Tableau!$G$26*COS(F267*PI()/180)+Tableau!$G$25</f>
        <v>-20365.849621436788</v>
      </c>
      <c r="H267" s="27">
        <f>Tableau!$G$26*SIN(F267*PI()/180)+Tableau!$H$25</f>
        <v>6519.1733662110437</v>
      </c>
      <c r="J267" s="34">
        <v>264</v>
      </c>
      <c r="K267" s="35">
        <f>Tableau!$G$36*COS(J267*PI()/180)+Tableau!$G$35</f>
        <v>-5522.6423163382669</v>
      </c>
      <c r="L267" s="35">
        <f>Tableau!$G$36*SIN(J267*PI()/180)+Tableau!$H$35</f>
        <v>-19972.609476841368</v>
      </c>
      <c r="N267" s="98">
        <v>263</v>
      </c>
      <c r="O267" s="99">
        <v>131.5</v>
      </c>
      <c r="P267" s="101">
        <f>P266+R266*Tableau!$G$2+((1/2)*T266)*Tableau!$G$2^2</f>
        <v>-8748916.800580591</v>
      </c>
      <c r="Q267" s="101">
        <f>Q266+S266*Tableau!$G$2+((1/2)*U266)*Tableau!$G$2^2</f>
        <v>4282101.7705662847</v>
      </c>
      <c r="R267" s="101">
        <f>R266+T266*Tableau!$G$2</f>
        <v>-68698.927830103668</v>
      </c>
      <c r="S267" s="101">
        <f>S266+U266*Tableau!$G$2</f>
        <v>33801.083289281516</v>
      </c>
      <c r="T267" s="101">
        <f t="shared" si="8"/>
        <v>1.1604239891691572E-2</v>
      </c>
      <c r="U267" s="101">
        <f t="shared" si="9"/>
        <v>-5.6797076355413825E-3</v>
      </c>
      <c r="V267" s="101">
        <f>((Tableau!$G$16-P267)/(AC267^2+Tableau!$G$21^2)^(3/2))*Tableau!$G$20</f>
        <v>4.9456230563218054E-3</v>
      </c>
      <c r="W267" s="101">
        <f>((Tableau!$H$16-Q267)/(AC267^2+Tableau!$G$21^2)^(3/2))*Tableau!$G$20</f>
        <v>-2.41085296552328E-3</v>
      </c>
      <c r="X267" s="101">
        <f>((Tableau!$G$25-P267)/(AD267^2+Tableau!$G$30^2)^(3/2))*Tableau!$G$29</f>
        <v>1.7079915960373133E-3</v>
      </c>
      <c r="Y267" s="101">
        <f>((Tableau!$H$25-Q267)/(AD267^2+Tableau!$G$30^2)^(3/2))*Tableau!$G$29</f>
        <v>-8.3592432924300649E-4</v>
      </c>
      <c r="Z267" s="101">
        <f>((Tableau!$G$35-P267)/(AE267^2+Tableau!$G$40^2)^(3/2))*Tableau!$G$39</f>
        <v>4.9506252393324533E-3</v>
      </c>
      <c r="AA267" s="102">
        <f>((Tableau!$H$35-Q267)/(AE267^2+Tableau!$G$40^2)^(3/2))*Tableau!$G$39</f>
        <v>-2.4329303407750955E-3</v>
      </c>
      <c r="AC267" s="113">
        <f>SQRT((Tableau!$G$16-P267)^2+(Tableau!$H$16-Q267)^2)</f>
        <v>9755312.5092142988</v>
      </c>
      <c r="AD267" s="114">
        <f>SQRT((Tableau!$G$25-P267)^2+(Tableau!$H$25-Q267)^2)</f>
        <v>9718273.614667045</v>
      </c>
      <c r="AE267" s="115">
        <f>SQRT((Tableau!$G$35-P267)^2+(Tableau!$H$35-Q267)^2)</f>
        <v>9742749.3369212467</v>
      </c>
    </row>
    <row r="268" spans="2:31" x14ac:dyDescent="0.25">
      <c r="B268" s="20">
        <v>265</v>
      </c>
      <c r="C268" s="21">
        <f>Tableau!$G$17*COS(B268*PI()/180)+Tableau!$G$16</f>
        <v>19564.221286261709</v>
      </c>
      <c r="D268" s="21">
        <f>Tableau!$G$17*SIN(B268*PI()/180)+Tableau!$H$16</f>
        <v>2519.0265095412724</v>
      </c>
      <c r="F268" s="28">
        <v>265</v>
      </c>
      <c r="G268" s="29">
        <f>Tableau!$G$26*COS(F268*PI()/180)+Tableau!$G$25</f>
        <v>-20305.045099616804</v>
      </c>
      <c r="H268" s="29">
        <f>Tableau!$G$26*SIN(F268*PI()/180)+Tableau!$H$25</f>
        <v>6513.3185566788907</v>
      </c>
      <c r="J268" s="36">
        <v>265</v>
      </c>
      <c r="K268" s="37">
        <f>Tableau!$G$36*COS(J268*PI()/180)+Tableau!$G$35</f>
        <v>-5435.7787137382911</v>
      </c>
      <c r="L268" s="37">
        <f>Tableau!$G$36*SIN(J268*PI()/180)+Tableau!$H$35</f>
        <v>-19980.973490458728</v>
      </c>
      <c r="N268" s="92">
        <v>264</v>
      </c>
      <c r="O268" s="93">
        <v>132</v>
      </c>
      <c r="P268" s="96">
        <f>P267+R267*Tableau!$G$2+((1/2)*T267)*Tableau!$G$2^2</f>
        <v>-8783266.2630451135</v>
      </c>
      <c r="Q268" s="96">
        <f>Q267+S267*Tableau!$G$2+((1/2)*U267)*Tableau!$G$2^2</f>
        <v>4299002.3115009628</v>
      </c>
      <c r="R268" s="96">
        <f>R267+T267*Tableau!$G$2</f>
        <v>-68698.922027983717</v>
      </c>
      <c r="S268" s="96">
        <f>S267+U267*Tableau!$G$2</f>
        <v>33801.080449427696</v>
      </c>
      <c r="T268" s="96">
        <f t="shared" si="8"/>
        <v>1.1513552712500612E-2</v>
      </c>
      <c r="U268" s="96">
        <f t="shared" si="9"/>
        <v>-5.6354360724933201E-3</v>
      </c>
      <c r="V268" s="96">
        <f>((Tableau!$G$16-P268)/(AC268^2+Tableau!$G$21^2)^(3/2))*Tableau!$G$20</f>
        <v>4.9070008594710706E-3</v>
      </c>
      <c r="W268" s="96">
        <f>((Tableau!$H$16-Q268)/(AC268^2+Tableau!$G$21^2)^(3/2))*Tableau!$G$20</f>
        <v>-2.3921127569840259E-3</v>
      </c>
      <c r="X268" s="96">
        <f>((Tableau!$G$25-P268)/(AD268^2+Tableau!$G$30^2)^(3/2))*Tableau!$G$29</f>
        <v>1.6946077315665264E-3</v>
      </c>
      <c r="Y268" s="96">
        <f>((Tableau!$H$25-Q268)/(AD268^2+Tableau!$G$30^2)^(3/2))*Tableau!$G$29</f>
        <v>-8.293912634409268E-4</v>
      </c>
      <c r="Z268" s="96">
        <f>((Tableau!$G$35-P268)/(AE268^2+Tableau!$G$40^2)^(3/2))*Tableau!$G$39</f>
        <v>4.9119441214630147E-3</v>
      </c>
      <c r="AA268" s="97">
        <f>((Tableau!$H$35-Q268)/(AE268^2+Tableau!$G$40^2)^(3/2))*Tableau!$G$39</f>
        <v>-2.4139320520683676E-3</v>
      </c>
      <c r="AC268" s="110">
        <f>SQRT((Tableau!$G$16-P268)^2+(Tableau!$H$16-Q268)^2)</f>
        <v>9793594.2833918948</v>
      </c>
      <c r="AD268" s="111">
        <f>SQRT((Tableau!$G$25-P268)^2+(Tableau!$H$25-Q268)^2)</f>
        <v>9756555.5615229942</v>
      </c>
      <c r="AE268" s="112">
        <f>SQRT((Tableau!$G$35-P268)^2+(Tableau!$H$35-Q268)^2)</f>
        <v>9781031.3632332068</v>
      </c>
    </row>
    <row r="269" spans="2:31" x14ac:dyDescent="0.25">
      <c r="B269" s="18">
        <v>266</v>
      </c>
      <c r="C269" s="19">
        <f>Tableau!$G$17*COS(B269*PI()/180)+Tableau!$G$16</f>
        <v>19651.217631279371</v>
      </c>
      <c r="D269" s="19">
        <f>Tableau!$G$17*SIN(B269*PI()/180)+Tableau!$H$16</f>
        <v>2512.1797487008789</v>
      </c>
      <c r="F269" s="26">
        <v>266</v>
      </c>
      <c r="G269" s="27">
        <f>Tableau!$G$26*COS(F269*PI()/180)+Tableau!$G$25</f>
        <v>-20244.147658104441</v>
      </c>
      <c r="H269" s="27">
        <f>Tableau!$G$26*SIN(F269*PI()/180)+Tableau!$H$25</f>
        <v>6508.5258240906151</v>
      </c>
      <c r="J269" s="34">
        <v>266</v>
      </c>
      <c r="K269" s="35">
        <f>Tableau!$G$36*COS(J269*PI()/180)+Tableau!$G$35</f>
        <v>-5348.7823687206283</v>
      </c>
      <c r="L269" s="35">
        <f>Tableau!$G$36*SIN(J269*PI()/180)+Tableau!$H$35</f>
        <v>-19987.820251299119</v>
      </c>
      <c r="N269" s="98">
        <v>265</v>
      </c>
      <c r="O269" s="99">
        <v>132.5</v>
      </c>
      <c r="P269" s="101">
        <f>P268+R268*Tableau!$G$2+((1/2)*T268)*Tableau!$G$2^2</f>
        <v>-8817615.7226199117</v>
      </c>
      <c r="Q269" s="101">
        <f>Q268+S268*Tableau!$G$2+((1/2)*U268)*Tableau!$G$2^2</f>
        <v>4315902.8510212479</v>
      </c>
      <c r="R269" s="101">
        <f>R268+T268*Tableau!$G$2</f>
        <v>-68698.916271207359</v>
      </c>
      <c r="S269" s="101">
        <f>S268+U268*Tableau!$G$2</f>
        <v>33801.077631709661</v>
      </c>
      <c r="T269" s="101">
        <f t="shared" si="8"/>
        <v>1.142392448023722E-2</v>
      </c>
      <c r="U269" s="101">
        <f t="shared" si="9"/>
        <v>-5.5916801254498119E-3</v>
      </c>
      <c r="V269" s="101">
        <f>((Tableau!$G$16-P269)/(AC269^2+Tableau!$G$21^2)^(3/2))*Tableau!$G$20</f>
        <v>4.8688293247240175E-3</v>
      </c>
      <c r="W269" s="101">
        <f>((Tableau!$H$16-Q269)/(AC269^2+Tableau!$G$21^2)^(3/2))*Tableau!$G$20</f>
        <v>-2.3735902082828077E-3</v>
      </c>
      <c r="X269" s="101">
        <f>((Tableau!$G$25-P269)/(AD269^2+Tableau!$G$30^2)^(3/2))*Tableau!$G$29</f>
        <v>1.6813805681106311E-3</v>
      </c>
      <c r="Y269" s="101">
        <f>((Tableau!$H$25-Q269)/(AD269^2+Tableau!$G$30^2)^(3/2))*Tableau!$G$29</f>
        <v>-8.2293448704114081E-4</v>
      </c>
      <c r="Z269" s="101">
        <f>((Tableau!$G$35-P269)/(AE269^2+Tableau!$G$40^2)^(3/2))*Tableau!$G$39</f>
        <v>4.8737145874025714E-3</v>
      </c>
      <c r="AA269" s="102">
        <f>((Tableau!$H$35-Q269)/(AE269^2+Tableau!$G$40^2)^(3/2))*Tableau!$G$39</f>
        <v>-2.3951554301258637E-3</v>
      </c>
      <c r="AC269" s="113">
        <f>SQRT((Tableau!$G$16-P269)^2+(Tableau!$H$16-Q269)^2)</f>
        <v>9831876.0563478768</v>
      </c>
      <c r="AD269" s="114">
        <f>SQRT((Tableau!$G$25-P269)^2+(Tableau!$H$25-Q269)^2)</f>
        <v>9794837.5058150906</v>
      </c>
      <c r="AE269" s="115">
        <f>SQRT((Tableau!$G$35-P269)^2+(Tableau!$H$35-Q269)^2)</f>
        <v>9819313.3863601498</v>
      </c>
    </row>
    <row r="270" spans="2:31" x14ac:dyDescent="0.25">
      <c r="B270" s="20">
        <v>267</v>
      </c>
      <c r="C270" s="21">
        <f>Tableau!$G$17*COS(B270*PI()/180)+Tableau!$G$16</f>
        <v>19738.32021878528</v>
      </c>
      <c r="D270" s="21">
        <f>Tableau!$G$17*SIN(B270*PI()/180)+Tableau!$H$16</f>
        <v>2506.852326227131</v>
      </c>
      <c r="F270" s="28">
        <v>267</v>
      </c>
      <c r="G270" s="29">
        <f>Tableau!$G$26*COS(F270*PI()/180)+Tableau!$G$25</f>
        <v>-20183.175846850307</v>
      </c>
      <c r="H270" s="29">
        <f>Tableau!$G$26*SIN(F270*PI()/180)+Tableau!$H$25</f>
        <v>6504.7966283589922</v>
      </c>
      <c r="J270" s="36">
        <v>267</v>
      </c>
      <c r="K270" s="37">
        <f>Tableau!$G$36*COS(J270*PI()/180)+Tableau!$G$35</f>
        <v>-5261.6797812147215</v>
      </c>
      <c r="L270" s="37">
        <f>Tableau!$G$36*SIN(J270*PI()/180)+Tableau!$H$35</f>
        <v>-19993.14767377287</v>
      </c>
      <c r="N270" s="92">
        <v>266</v>
      </c>
      <c r="O270" s="93">
        <v>133</v>
      </c>
      <c r="P270" s="96">
        <f>P269+R269*Tableau!$G$2+((1/2)*T269)*Tableau!$G$2^2</f>
        <v>-8851965.1793275233</v>
      </c>
      <c r="Q270" s="96">
        <f>Q269+S269*Tableau!$G$2+((1/2)*U269)*Tableau!$G$2^2</f>
        <v>4332803.3891381426</v>
      </c>
      <c r="R270" s="96">
        <f>R269+T269*Tableau!$G$2</f>
        <v>-68698.910559245123</v>
      </c>
      <c r="S270" s="96">
        <f>S269+U269*Tableau!$G$2</f>
        <v>33801.0748358696</v>
      </c>
      <c r="T270" s="96">
        <f t="shared" si="8"/>
        <v>1.1335338771810845E-2</v>
      </c>
      <c r="U270" s="96">
        <f t="shared" si="9"/>
        <v>-5.5484318184348454E-3</v>
      </c>
      <c r="V270" s="96">
        <f>((Tableau!$G$16-P270)/(AC270^2+Tableau!$G$21^2)^(3/2))*Tableau!$G$20</f>
        <v>4.8311014678830925E-3</v>
      </c>
      <c r="W270" s="96">
        <f>((Tableau!$H$16-Q270)/(AC270^2+Tableau!$G$21^2)^(3/2))*Tableau!$G$20</f>
        <v>-2.355281961768122E-3</v>
      </c>
      <c r="X270" s="96">
        <f>((Tableau!$G$25-P270)/(AD270^2+Tableau!$G$30^2)^(3/2))*Tableau!$G$29</f>
        <v>1.6683076689257266E-3</v>
      </c>
      <c r="Y270" s="96">
        <f>((Tableau!$H$25-Q270)/(AD270^2+Tableau!$G$30^2)^(3/2))*Tableau!$G$29</f>
        <v>-8.165528168337274E-4</v>
      </c>
      <c r="Z270" s="96">
        <f>((Tableau!$G$35-P270)/(AE270^2+Tableau!$G$40^2)^(3/2))*Tableau!$G$39</f>
        <v>4.8359296350020259E-3</v>
      </c>
      <c r="AA270" s="97">
        <f>((Tableau!$H$35-Q270)/(AE270^2+Tableau!$G$40^2)^(3/2))*Tableau!$G$39</f>
        <v>-2.3765970398329965E-3</v>
      </c>
      <c r="AC270" s="110">
        <f>SQRT((Tableau!$G$16-P270)^2+(Tableau!$H$16-Q270)^2)</f>
        <v>9870157.8280841056</v>
      </c>
      <c r="AD270" s="111">
        <f>SQRT((Tableau!$G$25-P270)^2+(Tableau!$H$25-Q270)^2)</f>
        <v>9833119.4475607816</v>
      </c>
      <c r="AE270" s="112">
        <f>SQRT((Tableau!$G$35-P270)^2+(Tableau!$H$35-Q270)^2)</f>
        <v>9857595.4063267764</v>
      </c>
    </row>
    <row r="271" spans="2:31" x14ac:dyDescent="0.25">
      <c r="B271" s="18">
        <v>268</v>
      </c>
      <c r="C271" s="19">
        <f>Tableau!$G$17*COS(B271*PI()/180)+Tableau!$G$16</f>
        <v>19825.502516487493</v>
      </c>
      <c r="D271" s="19">
        <f>Tableau!$G$17*SIN(B271*PI()/180)+Tableau!$H$16</f>
        <v>2503.0458649045213</v>
      </c>
      <c r="F271" s="26">
        <v>268</v>
      </c>
      <c r="G271" s="27">
        <f>Tableau!$G$26*COS(F271*PI()/180)+Tableau!$G$25</f>
        <v>-20122.148238458754</v>
      </c>
      <c r="H271" s="27">
        <f>Tableau!$G$26*SIN(F271*PI()/180)+Tableau!$H$25</f>
        <v>6502.1321054331656</v>
      </c>
      <c r="J271" s="34">
        <v>268</v>
      </c>
      <c r="K271" s="35">
        <f>Tableau!$G$36*COS(J271*PI()/180)+Tableau!$G$35</f>
        <v>-5174.4974835125086</v>
      </c>
      <c r="L271" s="35">
        <f>Tableau!$G$36*SIN(J271*PI()/180)+Tableau!$H$35</f>
        <v>-19996.954135095479</v>
      </c>
      <c r="N271" s="98">
        <v>267</v>
      </c>
      <c r="O271" s="99">
        <v>133.5</v>
      </c>
      <c r="P271" s="101">
        <f>P270+R270*Tableau!$G$2+((1/2)*T270)*Tableau!$G$2^2</f>
        <v>-8886314.6331902277</v>
      </c>
      <c r="Q271" s="101">
        <f>Q270+S270*Tableau!$G$2+((1/2)*U270)*Tableau!$G$2^2</f>
        <v>4349703.9258625237</v>
      </c>
      <c r="R271" s="101">
        <f>R270+T270*Tableau!$G$2</f>
        <v>-68698.90489157573</v>
      </c>
      <c r="S271" s="101">
        <f>S270+U270*Tableau!$G$2</f>
        <v>33801.072061653693</v>
      </c>
      <c r="T271" s="101">
        <f t="shared" si="8"/>
        <v>1.1247779481281301E-2</v>
      </c>
      <c r="U271" s="101">
        <f t="shared" si="9"/>
        <v>-5.5056833291018403E-3</v>
      </c>
      <c r="V271" s="101">
        <f>((Tableau!$G$16-P271)/(AC271^2+Tableau!$G$21^2)^(3/2))*Tableau!$G$20</f>
        <v>4.7938104395262183E-3</v>
      </c>
      <c r="W271" s="101">
        <f>((Tableau!$H$16-Q271)/(AC271^2+Tableau!$G$21^2)^(3/2))*Tableau!$G$20</f>
        <v>-2.3371847242831287E-3</v>
      </c>
      <c r="X271" s="101">
        <f>((Tableau!$G$25-P271)/(AD271^2+Tableau!$G$30^2)^(3/2))*Tableau!$G$29</f>
        <v>1.6553866444496029E-3</v>
      </c>
      <c r="Y271" s="101">
        <f>((Tableau!$H$25-Q271)/(AD271^2+Tableau!$G$30^2)^(3/2))*Tableau!$G$29</f>
        <v>-8.1024509245883434E-4</v>
      </c>
      <c r="Z271" s="101">
        <f>((Tableau!$G$35-P271)/(AE271^2+Tableau!$G$40^2)^(3/2))*Tableau!$G$39</f>
        <v>4.7985823973054793E-3</v>
      </c>
      <c r="AA271" s="102">
        <f>((Tableau!$H$35-Q271)/(AE271^2+Tableau!$G$40^2)^(3/2))*Tableau!$G$39</f>
        <v>-2.358253512359877E-3</v>
      </c>
      <c r="AC271" s="113">
        <f>SQRT((Tableau!$G$16-P271)^2+(Tableau!$H$16-Q271)^2)</f>
        <v>9908439.598602511</v>
      </c>
      <c r="AD271" s="114">
        <f>SQRT((Tableau!$G$25-P271)^2+(Tableau!$H$25-Q271)^2)</f>
        <v>9871401.3867773488</v>
      </c>
      <c r="AE271" s="115">
        <f>SQRT((Tableau!$G$35-P271)^2+(Tableau!$H$35-Q271)^2)</f>
        <v>9895877.4231575131</v>
      </c>
    </row>
    <row r="272" spans="2:31" x14ac:dyDescent="0.25">
      <c r="B272" s="20">
        <v>269</v>
      </c>
      <c r="C272" s="21">
        <f>Tableau!$G$17*COS(B272*PI()/180)+Tableau!$G$16</f>
        <v>19912.737967813584</v>
      </c>
      <c r="D272" s="21">
        <f>Tableau!$G$17*SIN(B272*PI()/180)+Tableau!$H$16</f>
        <v>2500.7615242180436</v>
      </c>
      <c r="F272" s="28">
        <v>269</v>
      </c>
      <c r="G272" s="29">
        <f>Tableau!$G$26*COS(F272*PI()/180)+Tableau!$G$25</f>
        <v>-20061.083422530493</v>
      </c>
      <c r="H272" s="29">
        <f>Tableau!$G$26*SIN(F272*PI()/180)+Tableau!$H$25</f>
        <v>6500.5330669526302</v>
      </c>
      <c r="J272" s="36">
        <v>269</v>
      </c>
      <c r="K272" s="37">
        <f>Tableau!$G$36*COS(J272*PI()/180)+Tableau!$G$35</f>
        <v>-5087.2620321864179</v>
      </c>
      <c r="L272" s="37">
        <f>Tableau!$G$36*SIN(J272*PI()/180)+Tableau!$H$35</f>
        <v>-19999.238475781956</v>
      </c>
      <c r="N272" s="92">
        <v>268</v>
      </c>
      <c r="O272" s="93">
        <v>134</v>
      </c>
      <c r="P272" s="96">
        <f>P271+R271*Tableau!$G$2+((1/2)*T271)*Tableau!$G$2^2</f>
        <v>-8920664.084230043</v>
      </c>
      <c r="Q272" s="96">
        <f>Q271+S271*Tableau!$G$2+((1/2)*U271)*Tableau!$G$2^2</f>
        <v>4366604.4612051407</v>
      </c>
      <c r="R272" s="96">
        <f>R271+T271*Tableau!$G$2</f>
        <v>-68698.899267685993</v>
      </c>
      <c r="S272" s="96">
        <f>S271+U271*Tableau!$G$2</f>
        <v>33801.069308812032</v>
      </c>
      <c r="T272" s="96">
        <f t="shared" si="8"/>
        <v>1.1161230812537518E-2</v>
      </c>
      <c r="U272" s="96">
        <f t="shared" si="9"/>
        <v>-5.4634269851962913E-3</v>
      </c>
      <c r="V272" s="96">
        <f>((Tableau!$G$16-P272)/(AC272^2+Tableau!$G$21^2)^(3/2))*Tableau!$G$20</f>
        <v>4.7569495218976942E-3</v>
      </c>
      <c r="W272" s="96">
        <f>((Tableau!$H$16-Q272)/(AC272^2+Tableau!$G$21^2)^(3/2))*Tableau!$G$20</f>
        <v>-2.319295265684692E-3</v>
      </c>
      <c r="X272" s="96">
        <f>((Tableau!$G$25-P272)/(AD272^2+Tableau!$G$30^2)^(3/2))*Tableau!$G$29</f>
        <v>1.6426151512095835E-3</v>
      </c>
      <c r="Y272" s="96">
        <f>((Tableau!$H$25-Q272)/(AD272^2+Tableau!$G$30^2)^(3/2))*Tableau!$G$29</f>
        <v>-8.0401017587912731E-4</v>
      </c>
      <c r="Z272" s="96">
        <f>((Tableau!$G$35-P272)/(AE272^2+Tableau!$G$40^2)^(3/2))*Tableau!$G$39</f>
        <v>4.7616661394302385E-3</v>
      </c>
      <c r="AA272" s="97">
        <f>((Tableau!$H$35-Q272)/(AE272^2+Tableau!$G$40^2)^(3/2))*Tableau!$G$39</f>
        <v>-2.3401215436324716E-3</v>
      </c>
      <c r="AC272" s="110">
        <f>SQRT((Tableau!$G$16-P272)^2+(Tableau!$H$16-Q272)^2)</f>
        <v>9946721.367905084</v>
      </c>
      <c r="AD272" s="111">
        <f>SQRT((Tableau!$G$25-P272)^2+(Tableau!$H$25-Q272)^2)</f>
        <v>9909683.3234818932</v>
      </c>
      <c r="AE272" s="112">
        <f>SQRT((Tableau!$G$35-P272)^2+(Tableau!$H$35-Q272)^2)</f>
        <v>9934159.4368764963</v>
      </c>
    </row>
    <row r="273" spans="2:31" x14ac:dyDescent="0.25">
      <c r="B273" s="18">
        <v>270</v>
      </c>
      <c r="C273" s="19">
        <f>Tableau!$G$17*COS(B273*PI()/180)+Tableau!$G$16</f>
        <v>20000</v>
      </c>
      <c r="D273" s="19">
        <f>Tableau!$G$17*SIN(B273*PI()/180)+Tableau!$H$16</f>
        <v>2500</v>
      </c>
      <c r="F273" s="26">
        <v>270</v>
      </c>
      <c r="G273" s="27">
        <f>Tableau!$G$26*COS(F273*PI()/180)+Tableau!$G$25</f>
        <v>-20000</v>
      </c>
      <c r="H273" s="27">
        <f>Tableau!$G$26*SIN(F273*PI()/180)+Tableau!$H$25</f>
        <v>6500</v>
      </c>
      <c r="J273" s="34">
        <v>270</v>
      </c>
      <c r="K273" s="35">
        <f>Tableau!$G$36*COS(J273*PI()/180)+Tableau!$G$35</f>
        <v>-5000.0000000000009</v>
      </c>
      <c r="L273" s="35">
        <f>Tableau!$G$36*SIN(J273*PI()/180)+Tableau!$H$35</f>
        <v>-20000</v>
      </c>
      <c r="N273" s="98">
        <v>269</v>
      </c>
      <c r="O273" s="99">
        <v>134.5</v>
      </c>
      <c r="P273" s="101">
        <f>P272+R272*Tableau!$G$2+((1/2)*T272)*Tableau!$G$2^2</f>
        <v>-8955013.5324687306</v>
      </c>
      <c r="Q273" s="101">
        <f>Q272+S272*Tableau!$G$2+((1/2)*U272)*Tableau!$G$2^2</f>
        <v>4383504.995176618</v>
      </c>
      <c r="R273" s="101">
        <f>R272+T272*Tableau!$G$2</f>
        <v>-68698.89368707058</v>
      </c>
      <c r="S273" s="101">
        <f>S272+U272*Tableau!$G$2</f>
        <v>33801.066577098536</v>
      </c>
      <c r="T273" s="101">
        <f t="shared" si="8"/>
        <v>1.1075677272172985E-2</v>
      </c>
      <c r="U273" s="101">
        <f t="shared" si="9"/>
        <v>-5.4216552611132188E-3</v>
      </c>
      <c r="V273" s="101">
        <f>((Tableau!$G$16-P273)/(AC273^2+Tableau!$G$21^2)^(3/2))*Tableau!$G$20</f>
        <v>4.7205121258827839E-3</v>
      </c>
      <c r="W273" s="101">
        <f>((Tableau!$H$16-Q273)/(AC273^2+Tableau!$G$21^2)^(3/2))*Tableau!$G$20</f>
        <v>-2.3016104174021011E-3</v>
      </c>
      <c r="X273" s="101">
        <f>((Tableau!$G$25-P273)/(AD273^2+Tableau!$G$30^2)^(3/2))*Tableau!$G$29</f>
        <v>1.6299908907600189E-3</v>
      </c>
      <c r="Y273" s="101">
        <f>((Tableau!$H$25-Q273)/(AD273^2+Tableau!$G$30^2)^(3/2))*Tableau!$G$29</f>
        <v>-7.9784695086652642E-4</v>
      </c>
      <c r="Z273" s="101">
        <f>((Tableau!$G$35-P273)/(AE273^2+Tableau!$G$40^2)^(3/2))*Tableau!$G$39</f>
        <v>4.7251742555301825E-3</v>
      </c>
      <c r="AA273" s="102">
        <f>((Tableau!$H$35-Q273)/(AE273^2+Tableau!$G$40^2)^(3/2))*Tableau!$G$39</f>
        <v>-2.3221978928445915E-3</v>
      </c>
      <c r="AC273" s="113">
        <f>SQRT((Tableau!$G$16-P273)^2+(Tableau!$H$16-Q273)^2)</f>
        <v>9985003.1359938774</v>
      </c>
      <c r="AD273" s="114">
        <f>SQRT((Tableau!$G$25-P273)^2+(Tableau!$H$25-Q273)^2)</f>
        <v>9947965.2576913517</v>
      </c>
      <c r="AE273" s="115">
        <f>SQRT((Tableau!$G$35-P273)^2+(Tableau!$H$35-Q273)^2)</f>
        <v>9972441.4475075789</v>
      </c>
    </row>
    <row r="274" spans="2:31" x14ac:dyDescent="0.25">
      <c r="B274" s="20">
        <v>271</v>
      </c>
      <c r="C274" s="21">
        <f>Tableau!$G$17*COS(B274*PI()/180)+Tableau!$G$16</f>
        <v>20087.262032186416</v>
      </c>
      <c r="D274" s="21">
        <f>Tableau!$G$17*SIN(B274*PI()/180)+Tableau!$H$16</f>
        <v>2500.7615242180436</v>
      </c>
      <c r="F274" s="28">
        <v>271</v>
      </c>
      <c r="G274" s="29">
        <f>Tableau!$G$26*COS(F274*PI()/180)+Tableau!$G$25</f>
        <v>-19938.91657746951</v>
      </c>
      <c r="H274" s="29">
        <f>Tableau!$G$26*SIN(F274*PI()/180)+Tableau!$H$25</f>
        <v>6500.5330669526302</v>
      </c>
      <c r="J274" s="36">
        <v>271</v>
      </c>
      <c r="K274" s="37">
        <f>Tableau!$G$36*COS(J274*PI()/180)+Tableau!$G$35</f>
        <v>-4912.737967813584</v>
      </c>
      <c r="L274" s="37">
        <f>Tableau!$G$36*SIN(J274*PI()/180)+Tableau!$H$35</f>
        <v>-19999.238475781956</v>
      </c>
      <c r="N274" s="92">
        <v>270</v>
      </c>
      <c r="O274" s="93">
        <v>135</v>
      </c>
      <c r="P274" s="96">
        <f>P273+R273*Tableau!$G$2+((1/2)*T273)*Tableau!$G$2^2</f>
        <v>-8989362.9779278059</v>
      </c>
      <c r="Q274" s="96">
        <f>Q273+S273*Tableau!$G$2+((1/2)*U273)*Tableau!$G$2^2</f>
        <v>4400405.5277874609</v>
      </c>
      <c r="R274" s="96">
        <f>R273+T273*Tableau!$G$2</f>
        <v>-68698.888149231949</v>
      </c>
      <c r="S274" s="96">
        <f>S273+U273*Tableau!$G$2</f>
        <v>33801.063866270903</v>
      </c>
      <c r="T274" s="96">
        <f t="shared" si="8"/>
        <v>1.0991103662551174E-2</v>
      </c>
      <c r="U274" s="96">
        <f t="shared" si="9"/>
        <v>-5.380360774546164E-3</v>
      </c>
      <c r="V274" s="96">
        <f>((Tableau!$G$16-P274)/(AC274^2+Tableau!$G$21^2)^(3/2))*Tableau!$G$20</f>
        <v>4.6844917880629758E-3</v>
      </c>
      <c r="W274" s="96">
        <f>((Tableau!$H$16-Q274)/(AC274^2+Tableau!$G$21^2)^(3/2))*Tableau!$G$20</f>
        <v>-2.2841270710340462E-3</v>
      </c>
      <c r="X274" s="96">
        <f>((Tableau!$G$25-P274)/(AD274^2+Tableau!$G$30^2)^(3/2))*Tableau!$G$29</f>
        <v>1.6175116086479821E-3</v>
      </c>
      <c r="Y274" s="96">
        <f>((Tableau!$H$25-Q274)/(AD274^2+Tableau!$G$30^2)^(3/2))*Tableau!$G$29</f>
        <v>-7.9175432250252825E-4</v>
      </c>
      <c r="Z274" s="96">
        <f>((Tableau!$G$35-P274)/(AE274^2+Tableau!$G$40^2)^(3/2))*Tableau!$G$39</f>
        <v>4.689100265840216E-3</v>
      </c>
      <c r="AA274" s="97">
        <f>((Tableau!$H$35-Q274)/(AE274^2+Tableau!$G$40^2)^(3/2))*Tableau!$G$39</f>
        <v>-2.3044793810095892E-3</v>
      </c>
      <c r="AC274" s="110">
        <f>SQRT((Tableau!$G$16-P274)^2+(Tableau!$H$16-Q274)^2)</f>
        <v>10023284.902871005</v>
      </c>
      <c r="AD274" s="111">
        <f>SQRT((Tableau!$G$25-P274)^2+(Tableau!$H$25-Q274)^2)</f>
        <v>9986247.1894224938</v>
      </c>
      <c r="AE274" s="112">
        <f>SQRT((Tableau!$G$35-P274)^2+(Tableau!$H$35-Q274)^2)</f>
        <v>10010723.455074357</v>
      </c>
    </row>
    <row r="275" spans="2:31" x14ac:dyDescent="0.25">
      <c r="B275" s="18">
        <v>272</v>
      </c>
      <c r="C275" s="19">
        <f>Tableau!$G$17*COS(B275*PI()/180)+Tableau!$G$16</f>
        <v>20174.497483512507</v>
      </c>
      <c r="D275" s="19">
        <f>Tableau!$G$17*SIN(B275*PI()/180)+Tableau!$H$16</f>
        <v>2503.0458649045213</v>
      </c>
      <c r="F275" s="26">
        <v>272</v>
      </c>
      <c r="G275" s="27">
        <f>Tableau!$G$26*COS(F275*PI()/180)+Tableau!$G$25</f>
        <v>-19877.851761541246</v>
      </c>
      <c r="H275" s="27">
        <f>Tableau!$G$26*SIN(F275*PI()/180)+Tableau!$H$25</f>
        <v>6502.1321054331647</v>
      </c>
      <c r="J275" s="34">
        <v>272</v>
      </c>
      <c r="K275" s="35">
        <f>Tableau!$G$36*COS(J275*PI()/180)+Tableau!$G$35</f>
        <v>-4825.5025164874933</v>
      </c>
      <c r="L275" s="35">
        <f>Tableau!$G$36*SIN(J275*PI()/180)+Tableau!$H$35</f>
        <v>-19996.954135095479</v>
      </c>
      <c r="N275" s="98">
        <v>271</v>
      </c>
      <c r="O275" s="99">
        <v>135.5</v>
      </c>
      <c r="P275" s="101">
        <f>P274+R274*Tableau!$G$2+((1/2)*T274)*Tableau!$G$2^2</f>
        <v>-9023712.4206285346</v>
      </c>
      <c r="Q275" s="101">
        <f>Q274+S274*Tableau!$G$2+((1/2)*U274)*Tableau!$G$2^2</f>
        <v>4417306.059048051</v>
      </c>
      <c r="R275" s="101">
        <f>R274+T274*Tableau!$G$2</f>
        <v>-68698.882653680121</v>
      </c>
      <c r="S275" s="101">
        <f>S274+U274*Tableau!$G$2</f>
        <v>33801.061176090516</v>
      </c>
      <c r="T275" s="101">
        <f t="shared" si="8"/>
        <v>1.0907495075056037E-2</v>
      </c>
      <c r="U275" s="101">
        <f t="shared" si="9"/>
        <v>-5.3395362832254038E-3</v>
      </c>
      <c r="V275" s="101">
        <f>((Tableau!$G$16-P275)/(AC275^2+Tableau!$G$21^2)^(3/2))*Tableau!$G$20</f>
        <v>4.6488821678494305E-3</v>
      </c>
      <c r="W275" s="101">
        <f>((Tableau!$H$16-Q275)/(AC275^2+Tableau!$G$21^2)^(3/2))*Tableau!$G$20</f>
        <v>-2.2668421769826762E-3</v>
      </c>
      <c r="X275" s="101">
        <f>((Tableau!$G$25-P275)/(AD275^2+Tableau!$G$30^2)^(3/2))*Tableau!$G$29</f>
        <v>1.6051750934067174E-3</v>
      </c>
      <c r="Y275" s="101">
        <f>((Tableau!$H$25-Q275)/(AD275^2+Tableau!$G$30^2)^(3/2))*Tableau!$G$29</f>
        <v>-7.8573121669190174E-4</v>
      </c>
      <c r="Z275" s="101">
        <f>((Tableau!$G$35-P275)/(AE275^2+Tableau!$G$40^2)^(3/2))*Tableau!$G$39</f>
        <v>4.6534378137998884E-3</v>
      </c>
      <c r="AA275" s="102">
        <f>((Tableau!$H$35-Q275)/(AE275^2+Tableau!$G$40^2)^(3/2))*Tableau!$G$39</f>
        <v>-2.2869628895508263E-3</v>
      </c>
      <c r="AC275" s="113">
        <f>SQRT((Tableau!$G$16-P275)^2+(Tableau!$H$16-Q275)^2)</f>
        <v>10061566.668538639</v>
      </c>
      <c r="AD275" s="114">
        <f>SQRT((Tableau!$G$25-P275)^2+(Tableau!$H$25-Q275)^2)</f>
        <v>10024529.118691921</v>
      </c>
      <c r="AE275" s="115">
        <f>SQRT((Tableau!$G$35-P275)^2+(Tableau!$H$35-Q275)^2)</f>
        <v>10049005.459600143</v>
      </c>
    </row>
    <row r="276" spans="2:31" x14ac:dyDescent="0.25">
      <c r="B276" s="20">
        <v>273</v>
      </c>
      <c r="C276" s="21">
        <f>Tableau!$G$17*COS(B276*PI()/180)+Tableau!$G$16</f>
        <v>20261.67978121472</v>
      </c>
      <c r="D276" s="21">
        <f>Tableau!$G$17*SIN(B276*PI()/180)+Tableau!$H$16</f>
        <v>2506.852326227131</v>
      </c>
      <c r="F276" s="28">
        <v>273</v>
      </c>
      <c r="G276" s="29">
        <f>Tableau!$G$26*COS(F276*PI()/180)+Tableau!$G$25</f>
        <v>-19816.824153149697</v>
      </c>
      <c r="H276" s="29">
        <f>Tableau!$G$26*SIN(F276*PI()/180)+Tableau!$H$25</f>
        <v>6504.7966283589922</v>
      </c>
      <c r="J276" s="36">
        <v>273</v>
      </c>
      <c r="K276" s="37">
        <f>Tableau!$G$36*COS(J276*PI()/180)+Tableau!$G$35</f>
        <v>-4738.3202187852803</v>
      </c>
      <c r="L276" s="37">
        <f>Tableau!$G$36*SIN(J276*PI()/180)+Tableau!$H$35</f>
        <v>-19993.14767377287</v>
      </c>
      <c r="N276" s="92">
        <v>272</v>
      </c>
      <c r="O276" s="93">
        <v>136</v>
      </c>
      <c r="P276" s="96">
        <f>P275+R275*Tableau!$G$2+((1/2)*T275)*Tableau!$G$2^2</f>
        <v>-9058061.8605919369</v>
      </c>
      <c r="Q276" s="96">
        <f>Q275+S275*Tableau!$G$2+((1/2)*U275)*Tableau!$G$2^2</f>
        <v>4434206.5889686551</v>
      </c>
      <c r="R276" s="96">
        <f>R275+T275*Tableau!$G$2</f>
        <v>-68698.877199932584</v>
      </c>
      <c r="S276" s="96">
        <f>S275+U275*Tableau!$G$2</f>
        <v>33801.058506322377</v>
      </c>
      <c r="T276" s="96">
        <f t="shared" si="8"/>
        <v>1.0824836883520914E-2</v>
      </c>
      <c r="U276" s="96">
        <f t="shared" si="9"/>
        <v>-5.2991746817421682E-3</v>
      </c>
      <c r="V276" s="96">
        <f>((Tableau!$G$16-P276)/(AC276^2+Tableau!$G$21^2)^(3/2))*Tableau!$G$20</f>
        <v>4.613677044692472E-3</v>
      </c>
      <c r="W276" s="96">
        <f>((Tableau!$H$16-Q276)/(AC276^2+Tableau!$G$21^2)^(3/2))*Tableau!$G$20</f>
        <v>-2.2497527431237273E-3</v>
      </c>
      <c r="X276" s="96">
        <f>((Tableau!$G$25-P276)/(AD276^2+Tableau!$G$30^2)^(3/2))*Tableau!$G$29</f>
        <v>1.5929791755758152E-3</v>
      </c>
      <c r="Y276" s="96">
        <f>((Tableau!$H$25-Q276)/(AD276^2+Tableau!$G$30^2)^(3/2))*Tableau!$G$29</f>
        <v>-7.7977657968926527E-4</v>
      </c>
      <c r="Z276" s="96">
        <f>((Tableau!$G$35-P276)/(AE276^2+Tableau!$G$40^2)^(3/2))*Tableau!$G$39</f>
        <v>4.6181806632526259E-3</v>
      </c>
      <c r="AA276" s="97">
        <f>((Tableau!$H$35-Q276)/(AE276^2+Tableau!$G$40^2)^(3/2))*Tableau!$G$39</f>
        <v>-2.2696453589291753E-3</v>
      </c>
      <c r="AC276" s="110">
        <f>SQRT((Tableau!$G$16-P276)^2+(Tableau!$H$16-Q276)^2)</f>
        <v>10099848.432999004</v>
      </c>
      <c r="AD276" s="111">
        <f>SQRT((Tableau!$G$25-P276)^2+(Tableau!$H$25-Q276)^2)</f>
        <v>10062811.045516072</v>
      </c>
      <c r="AE276" s="112">
        <f>SQRT((Tableau!$G$35-P276)^2+(Tableau!$H$35-Q276)^2)</f>
        <v>10087287.461107988</v>
      </c>
    </row>
    <row r="277" spans="2:31" x14ac:dyDescent="0.25">
      <c r="B277" s="18">
        <v>274</v>
      </c>
      <c r="C277" s="19">
        <f>Tableau!$G$17*COS(B277*PI()/180)+Tableau!$G$16</f>
        <v>20348.782368720626</v>
      </c>
      <c r="D277" s="19">
        <f>Tableau!$G$17*SIN(B277*PI()/180)+Tableau!$H$16</f>
        <v>2512.179748700878</v>
      </c>
      <c r="F277" s="26">
        <v>274</v>
      </c>
      <c r="G277" s="27">
        <f>Tableau!$G$26*COS(F277*PI()/180)+Tableau!$G$25</f>
        <v>-19755.852341895563</v>
      </c>
      <c r="H277" s="27">
        <f>Tableau!$G$26*SIN(F277*PI()/180)+Tableau!$H$25</f>
        <v>6508.5258240906151</v>
      </c>
      <c r="J277" s="34">
        <v>274</v>
      </c>
      <c r="K277" s="35">
        <f>Tableau!$G$36*COS(J277*PI()/180)+Tableau!$G$35</f>
        <v>-4651.2176312793736</v>
      </c>
      <c r="L277" s="35">
        <f>Tableau!$G$36*SIN(J277*PI()/180)+Tableau!$H$35</f>
        <v>-19987.820251299123</v>
      </c>
      <c r="N277" s="98">
        <v>273</v>
      </c>
      <c r="O277" s="99">
        <v>136.5</v>
      </c>
      <c r="P277" s="101">
        <f>P276+R276*Tableau!$G$2+((1/2)*T276)*Tableau!$G$2^2</f>
        <v>-9092411.2978387978</v>
      </c>
      <c r="Q277" s="101">
        <f>Q276+S276*Tableau!$G$2+((1/2)*U276)*Tableau!$G$2^2</f>
        <v>4451107.1175594199</v>
      </c>
      <c r="R277" s="101">
        <f>R276+T276*Tableau!$G$2</f>
        <v>-68698.871787514145</v>
      </c>
      <c r="S277" s="101">
        <f>S276+U276*Tableau!$G$2</f>
        <v>33801.055856735038</v>
      </c>
      <c r="T277" s="101">
        <f t="shared" si="8"/>
        <v>1.0743114737831806E-2</v>
      </c>
      <c r="U277" s="101">
        <f t="shared" si="9"/>
        <v>-5.2592689984568928E-3</v>
      </c>
      <c r="V277" s="101">
        <f>((Tableau!$G$16-P277)/(AC277^2+Tableau!$G$21^2)^(3/2))*Tableau!$G$20</f>
        <v>4.5788703153650601E-3</v>
      </c>
      <c r="W277" s="101">
        <f>((Tableau!$H$16-Q277)/(AC277^2+Tableau!$G$21^2)^(3/2))*Tableau!$G$20</f>
        <v>-2.2328558335117485E-3</v>
      </c>
      <c r="X277" s="101">
        <f>((Tableau!$G$25-P277)/(AD277^2+Tableau!$G$30^2)^(3/2))*Tableau!$G$29</f>
        <v>1.5809217267473482E-3</v>
      </c>
      <c r="Y277" s="101">
        <f>((Tableau!$H$25-Q277)/(AD277^2+Tableau!$G$30^2)^(3/2))*Tableau!$G$29</f>
        <v>-7.7388937763817067E-4</v>
      </c>
      <c r="Z277" s="101">
        <f>((Tableau!$G$35-P277)/(AE277^2+Tableau!$G$40^2)^(3/2))*Tableau!$G$39</f>
        <v>4.5833226957193978E-3</v>
      </c>
      <c r="AA277" s="102">
        <f>((Tableau!$H$35-Q277)/(AE277^2+Tableau!$G$40^2)^(3/2))*Tableau!$G$39</f>
        <v>-2.2525237873069733E-3</v>
      </c>
      <c r="AC277" s="113">
        <f>SQRT((Tableau!$G$16-P277)^2+(Tableau!$H$16-Q277)^2)</f>
        <v>10138130.19625438</v>
      </c>
      <c r="AD277" s="114">
        <f>SQRT((Tableau!$G$25-P277)^2+(Tableau!$H$25-Q277)^2)</f>
        <v>10101092.969911227</v>
      </c>
      <c r="AE277" s="115">
        <f>SQRT((Tableau!$G$35-P277)^2+(Tableau!$H$35-Q277)^2)</f>
        <v>10125569.459620684</v>
      </c>
    </row>
    <row r="278" spans="2:31" x14ac:dyDescent="0.25">
      <c r="B278" s="20">
        <v>275</v>
      </c>
      <c r="C278" s="21">
        <f>Tableau!$G$17*COS(B278*PI()/180)+Tableau!$G$16</f>
        <v>20435.778713738291</v>
      </c>
      <c r="D278" s="21">
        <f>Tableau!$G$17*SIN(B278*PI()/180)+Tableau!$H$16</f>
        <v>2519.0265095412724</v>
      </c>
      <c r="F278" s="28">
        <v>275</v>
      </c>
      <c r="G278" s="29">
        <f>Tableau!$G$26*COS(F278*PI()/180)+Tableau!$G$25</f>
        <v>-19694.954900383196</v>
      </c>
      <c r="H278" s="29">
        <f>Tableau!$G$26*SIN(F278*PI()/180)+Tableau!$H$25</f>
        <v>6513.3185566788907</v>
      </c>
      <c r="J278" s="36">
        <v>275</v>
      </c>
      <c r="K278" s="37">
        <f>Tableau!$G$36*COS(J278*PI()/180)+Tableau!$G$35</f>
        <v>-4564.2212862617107</v>
      </c>
      <c r="L278" s="37">
        <f>Tableau!$G$36*SIN(J278*PI()/180)+Tableau!$H$35</f>
        <v>-19980.973490458728</v>
      </c>
      <c r="N278" s="92">
        <v>274</v>
      </c>
      <c r="O278" s="93">
        <v>137</v>
      </c>
      <c r="P278" s="96">
        <f>P277+R277*Tableau!$G$2+((1/2)*T277)*Tableau!$G$2^2</f>
        <v>-9126760.7323896661</v>
      </c>
      <c r="Q278" s="96">
        <f>Q277+S277*Tableau!$G$2+((1/2)*U277)*Tableau!$G$2^2</f>
        <v>4468007.6448303787</v>
      </c>
      <c r="R278" s="96">
        <f>R277+T277*Tableau!$G$2</f>
        <v>-68698.866415956771</v>
      </c>
      <c r="S278" s="96">
        <f>S277+U277*Tableau!$G$2</f>
        <v>33801.053227100536</v>
      </c>
      <c r="T278" s="96">
        <f t="shared" si="8"/>
        <v>1.0662314557698369E-2</v>
      </c>
      <c r="U278" s="96">
        <f t="shared" si="9"/>
        <v>-5.2198123924883646E-3</v>
      </c>
      <c r="V278" s="96">
        <f>((Tableau!$G$16-P278)/(AC278^2+Tableau!$G$21^2)^(3/2))*Tableau!$G$20</f>
        <v>4.5444559913171215E-3</v>
      </c>
      <c r="W278" s="96">
        <f>((Tableau!$H$16-Q278)/(AC278^2+Tableau!$G$21^2)^(3/2))*Tableau!$G$20</f>
        <v>-2.2161485671189501E-3</v>
      </c>
      <c r="X278" s="96">
        <f>((Tableau!$G$25-P278)/(AD278^2+Tableau!$G$30^2)^(3/2))*Tableau!$G$29</f>
        <v>1.5690006586372327E-3</v>
      </c>
      <c r="Y278" s="96">
        <f>((Tableau!$H$25-Q278)/(AD278^2+Tableau!$G$30^2)^(3/2))*Tableau!$G$29</f>
        <v>-7.6806859612235082E-4</v>
      </c>
      <c r="Z278" s="96">
        <f>((Tableau!$G$35-P278)/(AE278^2+Tableau!$G$40^2)^(3/2))*Tableau!$G$39</f>
        <v>4.5488579077440144E-3</v>
      </c>
      <c r="AA278" s="97">
        <f>((Tableau!$H$35-Q278)/(AE278^2+Tableau!$G$40^2)^(3/2))*Tableau!$G$39</f>
        <v>-2.2355952292470635E-3</v>
      </c>
      <c r="AC278" s="110">
        <f>SQRT((Tableau!$G$16-P278)^2+(Tableau!$H$16-Q278)^2)</f>
        <v>10176411.958307102</v>
      </c>
      <c r="AD278" s="111">
        <f>SQRT((Tableau!$G$25-P278)^2+(Tableau!$H$25-Q278)^2)</f>
        <v>10139374.891893508</v>
      </c>
      <c r="AE278" s="112">
        <f>SQRT((Tableau!$G$35-P278)^2+(Tableau!$H$35-Q278)^2)</f>
        <v>10163851.455160769</v>
      </c>
    </row>
    <row r="279" spans="2:31" x14ac:dyDescent="0.25">
      <c r="B279" s="18">
        <v>276</v>
      </c>
      <c r="C279" s="19">
        <f>Tableau!$G$17*COS(B279*PI()/180)+Tableau!$G$16</f>
        <v>20522.642316338264</v>
      </c>
      <c r="D279" s="19">
        <f>Tableau!$G$17*SIN(B279*PI()/180)+Tableau!$H$16</f>
        <v>2527.3905231586332</v>
      </c>
      <c r="F279" s="26">
        <v>276</v>
      </c>
      <c r="G279" s="27">
        <f>Tableau!$G$26*COS(F279*PI()/180)+Tableau!$G$25</f>
        <v>-19634.150378563216</v>
      </c>
      <c r="H279" s="27">
        <f>Tableau!$G$26*SIN(F279*PI()/180)+Tableau!$H$25</f>
        <v>6519.1733662110437</v>
      </c>
      <c r="J279" s="34">
        <v>276</v>
      </c>
      <c r="K279" s="35">
        <f>Tableau!$G$36*COS(J279*PI()/180)+Tableau!$G$35</f>
        <v>-4477.3576836617349</v>
      </c>
      <c r="L279" s="35">
        <f>Tableau!$G$36*SIN(J279*PI()/180)+Tableau!$H$35</f>
        <v>-19972.609476841368</v>
      </c>
      <c r="N279" s="98">
        <v>275</v>
      </c>
      <c r="O279" s="99">
        <v>137.5</v>
      </c>
      <c r="P279" s="101">
        <f>P278+R278*Tableau!$G$2+((1/2)*T278)*Tableau!$G$2^2</f>
        <v>-9161110.164264854</v>
      </c>
      <c r="Q279" s="101">
        <f>Q278+S278*Tableau!$G$2+((1/2)*U278)*Tableau!$G$2^2</f>
        <v>4484908.1707914528</v>
      </c>
      <c r="R279" s="101">
        <f>R278+T278*Tableau!$G$2</f>
        <v>-68698.861084799486</v>
      </c>
      <c r="S279" s="101">
        <f>S278+U278*Tableau!$G$2</f>
        <v>33801.050617194342</v>
      </c>
      <c r="T279" s="101">
        <f t="shared" si="8"/>
        <v>1.0582422526588742E-2</v>
      </c>
      <c r="U279" s="101">
        <f t="shared" si="9"/>
        <v>-5.1807981507818431E-3</v>
      </c>
      <c r="V279" s="101">
        <f>((Tableau!$G$16-P279)/(AC279^2+Tableau!$G$21^2)^(3/2))*Tableau!$G$20</f>
        <v>4.5104281960998416E-3</v>
      </c>
      <c r="W279" s="101">
        <f>((Tableau!$H$16-Q279)/(AC279^2+Tableau!$G$21^2)^(3/2))*Tableau!$G$20</f>
        <v>-2.1996281166072498E-3</v>
      </c>
      <c r="X279" s="101">
        <f>((Tableau!$G$25-P279)/(AD279^2+Tableau!$G$30^2)^(3/2))*Tableau!$G$29</f>
        <v>1.5572139221809245E-3</v>
      </c>
      <c r="Y279" s="101">
        <f>((Tableau!$H$25-Q279)/(AD279^2+Tableau!$G$30^2)^(3/2))*Tableau!$G$29</f>
        <v>-7.6231323972869287E-4</v>
      </c>
      <c r="Z279" s="101">
        <f>((Tableau!$G$35-P279)/(AE279^2+Tableau!$G$40^2)^(3/2))*Tableau!$G$39</f>
        <v>4.5147804083079772E-3</v>
      </c>
      <c r="AA279" s="102">
        <f>((Tableau!$H$35-Q279)/(AE279^2+Tableau!$G$40^2)^(3/2))*Tableau!$G$39</f>
        <v>-2.2188567944459005E-3</v>
      </c>
      <c r="AC279" s="113">
        <f>SQRT((Tableau!$G$16-P279)^2+(Tableau!$H$16-Q279)^2)</f>
        <v>10214693.719159547</v>
      </c>
      <c r="AD279" s="114">
        <f>SQRT((Tableau!$G$25-P279)^2+(Tableau!$H$25-Q279)^2)</f>
        <v>10177656.811478876</v>
      </c>
      <c r="AE279" s="115">
        <f>SQRT((Tableau!$G$35-P279)^2+(Tableau!$H$35-Q279)^2)</f>
        <v>10202133.447750516</v>
      </c>
    </row>
    <row r="280" spans="2:31" x14ac:dyDescent="0.25">
      <c r="B280" s="20">
        <v>277</v>
      </c>
      <c r="C280" s="21">
        <f>Tableau!$G$17*COS(B280*PI()/180)+Tableau!$G$16</f>
        <v>20609.346717025739</v>
      </c>
      <c r="D280" s="21">
        <f>Tableau!$G$17*SIN(B280*PI()/180)+Tableau!$H$16</f>
        <v>2537.2692417933904</v>
      </c>
      <c r="F280" s="28">
        <v>277</v>
      </c>
      <c r="G280" s="29">
        <f>Tableau!$G$26*COS(F280*PI()/180)+Tableau!$G$25</f>
        <v>-19573.457298081983</v>
      </c>
      <c r="H280" s="29">
        <f>Tableau!$G$26*SIN(F280*PI()/180)+Tableau!$H$25</f>
        <v>6526.0884692553736</v>
      </c>
      <c r="J280" s="36">
        <v>277</v>
      </c>
      <c r="K280" s="37">
        <f>Tableau!$G$36*COS(J280*PI()/180)+Tableau!$G$35</f>
        <v>-4390.6532829742619</v>
      </c>
      <c r="L280" s="37">
        <f>Tableau!$G$36*SIN(J280*PI()/180)+Tableau!$H$35</f>
        <v>-19962.73075820661</v>
      </c>
      <c r="N280" s="92">
        <v>276</v>
      </c>
      <c r="O280" s="93">
        <v>138</v>
      </c>
      <c r="P280" s="96">
        <f>P279+R279*Tableau!$G$2+((1/2)*T279)*Tableau!$G$2^2</f>
        <v>-9195459.593484452</v>
      </c>
      <c r="Q280" s="96">
        <f>Q279+S279*Tableau!$G$2+((1/2)*U279)*Tableau!$G$2^2</f>
        <v>4501808.6954524498</v>
      </c>
      <c r="R280" s="96">
        <f>R279+T279*Tableau!$G$2</f>
        <v>-68698.855793588227</v>
      </c>
      <c r="S280" s="96">
        <f>S279+U279*Tableau!$G$2</f>
        <v>33801.048026795266</v>
      </c>
      <c r="T280" s="96">
        <f t="shared" si="8"/>
        <v>1.0503425085822648E-2</v>
      </c>
      <c r="U280" s="96">
        <f t="shared" si="9"/>
        <v>-5.1422196852534919E-3</v>
      </c>
      <c r="V280" s="96">
        <f>((Tableau!$G$16-P280)/(AC280^2+Tableau!$G$21^2)^(3/2))*Tableau!$G$20</f>
        <v>4.4767811628568781E-3</v>
      </c>
      <c r="W280" s="96">
        <f>((Tableau!$H$16-Q280)/(AC280^2+Tableau!$G$21^2)^(3/2))*Tableau!$G$20</f>
        <v>-2.1832917071320825E-3</v>
      </c>
      <c r="X280" s="96">
        <f>((Tableau!$G$25-P280)/(AD280^2+Tableau!$G$30^2)^(3/2))*Tableau!$G$29</f>
        <v>1.5455595066528336E-3</v>
      </c>
      <c r="Y280" s="96">
        <f>((Tableau!$H$25-Q280)/(AD280^2+Tableau!$G$30^2)^(3/2))*Tableau!$G$29</f>
        <v>-7.5662233162164495E-4</v>
      </c>
      <c r="Z280" s="96">
        <f>((Tableau!$G$35-P280)/(AE280^2+Tableau!$G$40^2)^(3/2))*Tableau!$G$39</f>
        <v>4.4810844163129361E-3</v>
      </c>
      <c r="AA280" s="97">
        <f>((Tableau!$H$35-Q280)/(AE280^2+Tableau!$G$40^2)^(3/2))*Tableau!$G$39</f>
        <v>-2.2023056464997646E-3</v>
      </c>
      <c r="AC280" s="110">
        <f>SQRT((Tableau!$G$16-P280)^2+(Tableau!$H$16-Q280)^2)</f>
        <v>10252975.478814144</v>
      </c>
      <c r="AD280" s="111">
        <f>SQRT((Tableau!$G$25-P280)^2+(Tableau!$H$25-Q280)^2)</f>
        <v>10215938.72868314</v>
      </c>
      <c r="AE280" s="112">
        <f>SQRT((Tableau!$G$35-P280)^2+(Tableau!$H$35-Q280)^2)</f>
        <v>10240415.437411964</v>
      </c>
    </row>
    <row r="281" spans="2:31" x14ac:dyDescent="0.25">
      <c r="B281" s="18">
        <v>278</v>
      </c>
      <c r="C281" s="19">
        <f>Tableau!$G$17*COS(B281*PI()/180)+Tableau!$G$16</f>
        <v>20695.865504800327</v>
      </c>
      <c r="D281" s="19">
        <f>Tableau!$G$17*SIN(B281*PI()/180)+Tableau!$H$16</f>
        <v>2548.6596562921486</v>
      </c>
      <c r="F281" s="26">
        <v>278</v>
      </c>
      <c r="G281" s="27">
        <f>Tableau!$G$26*COS(F281*PI()/180)+Tableau!$G$25</f>
        <v>-19512.89414663977</v>
      </c>
      <c r="H281" s="27">
        <f>Tableau!$G$26*SIN(F281*PI()/180)+Tableau!$H$25</f>
        <v>6534.0617594045034</v>
      </c>
      <c r="J281" s="34">
        <v>278</v>
      </c>
      <c r="K281" s="35">
        <f>Tableau!$G$36*COS(J281*PI()/180)+Tableau!$G$35</f>
        <v>-4304.1344951996725</v>
      </c>
      <c r="L281" s="35">
        <f>Tableau!$G$36*SIN(J281*PI()/180)+Tableau!$H$35</f>
        <v>-19951.340343707852</v>
      </c>
      <c r="N281" s="98">
        <v>277</v>
      </c>
      <c r="O281" s="99">
        <v>138.5</v>
      </c>
      <c r="P281" s="101">
        <f>P280+R280*Tableau!$G$2+((1/2)*T280)*Tableau!$G$2^2</f>
        <v>-9229809.0200683177</v>
      </c>
      <c r="Q281" s="101">
        <f>Q280+S280*Tableau!$G$2+((1/2)*U280)*Tableau!$G$2^2</f>
        <v>4518709.2188230697</v>
      </c>
      <c r="R281" s="101">
        <f>R280+T280*Tableau!$G$2</f>
        <v>-68698.850541875683</v>
      </c>
      <c r="S281" s="101">
        <f>S280+U280*Tableau!$G$2</f>
        <v>33801.045455685424</v>
      </c>
      <c r="T281" s="101">
        <f t="shared" si="8"/>
        <v>1.0425308928818079E-2</v>
      </c>
      <c r="U281" s="101">
        <f t="shared" si="9"/>
        <v>-5.1040705300088984E-3</v>
      </c>
      <c r="V281" s="101">
        <f>((Tableau!$G$16-P281)/(AC281^2+Tableau!$G$21^2)^(3/2))*Tableau!$G$20</f>
        <v>4.4435092318806241E-3</v>
      </c>
      <c r="W281" s="101">
        <f>((Tableau!$H$16-Q281)/(AC281^2+Tableau!$G$21^2)^(3/2))*Tableau!$G$20</f>
        <v>-2.1671366151770816E-3</v>
      </c>
      <c r="X281" s="101">
        <f>((Tableau!$G$25-P281)/(AD281^2+Tableau!$G$30^2)^(3/2))*Tableau!$G$29</f>
        <v>1.5340354388087298E-3</v>
      </c>
      <c r="Y281" s="101">
        <f>((Tableau!$H$25-Q281)/(AD281^2+Tableau!$G$30^2)^(3/2))*Tableau!$G$29</f>
        <v>-7.5099491312870974E-4</v>
      </c>
      <c r="Z281" s="101">
        <f>((Tableau!$G$35-P281)/(AE281^2+Tableau!$G$40^2)^(3/2))*Tableau!$G$39</f>
        <v>4.4477642581287257E-3</v>
      </c>
      <c r="AA281" s="102">
        <f>((Tableau!$H$35-Q281)/(AE281^2+Tableau!$G$40^2)^(3/2))*Tableau!$G$39</f>
        <v>-2.1859390017031069E-3</v>
      </c>
      <c r="AC281" s="113">
        <f>SQRT((Tableau!$G$16-P281)^2+(Tableau!$H$16-Q281)^2)</f>
        <v>10291257.237273367</v>
      </c>
      <c r="AD281" s="114">
        <f>SQRT((Tableau!$G$25-P281)^2+(Tableau!$H$25-Q281)^2)</f>
        <v>10254220.643521959</v>
      </c>
      <c r="AE281" s="115">
        <f>SQRT((Tableau!$G$35-P281)^2+(Tableau!$H$35-Q281)^2)</f>
        <v>10278697.424166892</v>
      </c>
    </row>
    <row r="282" spans="2:31" x14ac:dyDescent="0.25">
      <c r="B282" s="20">
        <v>279</v>
      </c>
      <c r="C282" s="21">
        <f>Tableau!$G$17*COS(B282*PI()/180)+Tableau!$G$16</f>
        <v>20782.172325201154</v>
      </c>
      <c r="D282" s="21">
        <f>Tableau!$G$17*SIN(B282*PI()/180)+Tableau!$H$16</f>
        <v>2561.5582970243113</v>
      </c>
      <c r="F282" s="28">
        <v>279</v>
      </c>
      <c r="G282" s="29">
        <f>Tableau!$G$26*COS(F282*PI()/180)+Tableau!$G$25</f>
        <v>-19452.479372359194</v>
      </c>
      <c r="H282" s="29">
        <f>Tableau!$G$26*SIN(F282*PI()/180)+Tableau!$H$25</f>
        <v>6543.0908079170176</v>
      </c>
      <c r="J282" s="36">
        <v>279</v>
      </c>
      <c r="K282" s="37">
        <f>Tableau!$G$36*COS(J282*PI()/180)+Tableau!$G$35</f>
        <v>-4217.8276747988466</v>
      </c>
      <c r="L282" s="37">
        <f>Tableau!$G$36*SIN(J282*PI()/180)+Tableau!$H$35</f>
        <v>-19938.441702975688</v>
      </c>
      <c r="N282" s="92">
        <v>278</v>
      </c>
      <c r="O282" s="93">
        <v>139</v>
      </c>
      <c r="P282" s="96">
        <f>P281+R281*Tableau!$G$2+((1/2)*T281)*Tableau!$G$2^2</f>
        <v>-9264158.4440360907</v>
      </c>
      <c r="Q282" s="96">
        <f>Q281+S281*Tableau!$G$2+((1/2)*U281)*Tableau!$G$2^2</f>
        <v>4535609.7409129031</v>
      </c>
      <c r="R282" s="96">
        <f>R281+T281*Tableau!$G$2</f>
        <v>-68698.845329221222</v>
      </c>
      <c r="S282" s="96">
        <f>S281+U281*Tableau!$G$2</f>
        <v>33801.042903650159</v>
      </c>
      <c r="T282" s="96">
        <f t="shared" si="8"/>
        <v>1.0348060995487782E-2</v>
      </c>
      <c r="U282" s="96">
        <f t="shared" si="9"/>
        <v>-5.0663443386338072E-3</v>
      </c>
      <c r="V282" s="96">
        <f>((Tableau!$G$16-P282)/(AC282^2+Tableau!$G$21^2)^(3/2))*Tableau!$G$20</f>
        <v>4.410606848232519E-3</v>
      </c>
      <c r="W282" s="96">
        <f>((Tableau!$H$16-Q282)/(AC282^2+Tableau!$G$21^2)^(3/2))*Tableau!$G$20</f>
        <v>-2.1511601674191754E-3</v>
      </c>
      <c r="X282" s="96">
        <f>((Tableau!$G$25-P282)/(AD282^2+Tableau!$G$30^2)^(3/2))*Tableau!$G$29</f>
        <v>1.5226397820504781E-3</v>
      </c>
      <c r="Y282" s="96">
        <f>((Tableau!$H$25-Q282)/(AD282^2+Tableau!$G$30^2)^(3/2))*Tableau!$G$29</f>
        <v>-7.4543004333670006E-4</v>
      </c>
      <c r="Z282" s="96">
        <f>((Tableau!$G$35-P282)/(AE282^2+Tableau!$G$40^2)^(3/2))*Tableau!$G$39</f>
        <v>4.4148143652047852E-3</v>
      </c>
      <c r="AA282" s="97">
        <f>((Tableau!$H$35-Q282)/(AE282^2+Tableau!$G$40^2)^(3/2))*Tableau!$G$39</f>
        <v>-2.1697541278779312E-3</v>
      </c>
      <c r="AC282" s="110">
        <f>SQRT((Tableau!$G$16-P282)^2+(Tableau!$H$16-Q282)^2)</f>
        <v>10329538.994539736</v>
      </c>
      <c r="AD282" s="111">
        <f>SQRT((Tableau!$G$25-P282)^2+(Tableau!$H$25-Q282)^2)</f>
        <v>10292502.556010833</v>
      </c>
      <c r="AE282" s="112">
        <f>SQRT((Tableau!$G$35-P282)^2+(Tableau!$H$35-Q282)^2)</f>
        <v>10316979.408036843</v>
      </c>
    </row>
    <row r="283" spans="2:31" x14ac:dyDescent="0.25">
      <c r="B283" s="18">
        <v>280</v>
      </c>
      <c r="C283" s="19">
        <f>Tableau!$G$17*COS(B283*PI()/180)+Tableau!$G$16</f>
        <v>20868.240888334651</v>
      </c>
      <c r="D283" s="19">
        <f>Tableau!$G$17*SIN(B283*PI()/180)+Tableau!$H$16</f>
        <v>2575.961234938959</v>
      </c>
      <c r="F283" s="26">
        <v>280</v>
      </c>
      <c r="G283" s="27">
        <f>Tableau!$G$26*COS(F283*PI()/180)+Tableau!$G$25</f>
        <v>-19392.231378165747</v>
      </c>
      <c r="H283" s="27">
        <f>Tableau!$G$26*SIN(F283*PI()/180)+Tableau!$H$25</f>
        <v>6553.1728644572713</v>
      </c>
      <c r="J283" s="34">
        <v>280</v>
      </c>
      <c r="K283" s="35">
        <f>Tableau!$G$36*COS(J283*PI()/180)+Tableau!$G$35</f>
        <v>-4131.7591116653502</v>
      </c>
      <c r="L283" s="35">
        <f>Tableau!$G$36*SIN(J283*PI()/180)+Tableau!$H$35</f>
        <v>-19924.038765061043</v>
      </c>
      <c r="N283" s="98">
        <v>279</v>
      </c>
      <c r="O283" s="99">
        <v>139.5</v>
      </c>
      <c r="P283" s="101">
        <f>P282+R282*Tableau!$G$2+((1/2)*T282)*Tableau!$G$2^2</f>
        <v>-9298507.8654071931</v>
      </c>
      <c r="Q283" s="101">
        <f>Q282+S282*Tableau!$G$2+((1/2)*U282)*Tableau!$G$2^2</f>
        <v>4552510.2617314355</v>
      </c>
      <c r="R283" s="101">
        <f>R282+T282*Tableau!$G$2</f>
        <v>-68698.84015519073</v>
      </c>
      <c r="S283" s="101">
        <f>S282+U282*Tableau!$G$2</f>
        <v>33801.040370477989</v>
      </c>
      <c r="T283" s="101">
        <f t="shared" si="8"/>
        <v>1.0271668466779581E-2</v>
      </c>
      <c r="U283" s="101">
        <f t="shared" si="9"/>
        <v>-5.0290348815542453E-3</v>
      </c>
      <c r="V283" s="101">
        <f>((Tableau!$G$16-P283)/(AC283^2+Tableau!$G$21^2)^(3/2))*Tableau!$G$20</f>
        <v>4.3780685594238472E-3</v>
      </c>
      <c r="W283" s="101">
        <f>((Tableau!$H$16-Q283)/(AC283^2+Tableau!$G$21^2)^(3/2))*Tableau!$G$20</f>
        <v>-2.1353597396223957E-3</v>
      </c>
      <c r="X283" s="101">
        <f>((Tableau!$G$25-P283)/(AD283^2+Tableau!$G$30^2)^(3/2))*Tableau!$G$29</f>
        <v>1.5113706356123056E-3</v>
      </c>
      <c r="Y283" s="101">
        <f>((Tableau!$H$25-Q283)/(AD283^2+Tableau!$G$30^2)^(3/2))*Tableau!$G$29</f>
        <v>-7.3992679869837742E-4</v>
      </c>
      <c r="Z283" s="101">
        <f>((Tableau!$G$35-P283)/(AE283^2+Tableau!$G$40^2)^(3/2))*Tableau!$G$39</f>
        <v>4.3822292717434277E-3</v>
      </c>
      <c r="AA283" s="102">
        <f>((Tableau!$H$35-Q283)/(AE283^2+Tableau!$G$40^2)^(3/2))*Tableau!$G$39</f>
        <v>-2.1537483432334721E-3</v>
      </c>
      <c r="AC283" s="113">
        <f>SQRT((Tableau!$G$16-P283)^2+(Tableau!$H$16-Q283)^2)</f>
        <v>10367820.750615809</v>
      </c>
      <c r="AD283" s="114">
        <f>SQRT((Tableau!$G$25-P283)^2+(Tableau!$H$25-Q283)^2)</f>
        <v>10330784.46616512</v>
      </c>
      <c r="AE283" s="115">
        <f>SQRT((Tableau!$G$35-P283)^2+(Tableau!$H$35-Q283)^2)</f>
        <v>10355261.389043124</v>
      </c>
    </row>
    <row r="284" spans="2:31" x14ac:dyDescent="0.25">
      <c r="B284" s="20">
        <v>281</v>
      </c>
      <c r="C284" s="21">
        <f>Tableau!$G$17*COS(B284*PI()/180)+Tableau!$G$16</f>
        <v>20954.04497688272</v>
      </c>
      <c r="D284" s="21">
        <f>Tableau!$G$17*SIN(B284*PI()/180)+Tableau!$H$16</f>
        <v>2591.8640827616791</v>
      </c>
      <c r="F284" s="28">
        <v>281</v>
      </c>
      <c r="G284" s="29">
        <f>Tableau!$G$26*COS(F284*PI()/180)+Tableau!$G$25</f>
        <v>-19332.168516182093</v>
      </c>
      <c r="H284" s="29">
        <f>Tableau!$G$26*SIN(F284*PI()/180)+Tableau!$H$25</f>
        <v>6564.3048579331753</v>
      </c>
      <c r="J284" s="36">
        <v>281</v>
      </c>
      <c r="K284" s="37">
        <f>Tableau!$G$36*COS(J284*PI()/180)+Tableau!$G$35</f>
        <v>-4045.9550231172789</v>
      </c>
      <c r="L284" s="37">
        <f>Tableau!$G$36*SIN(J284*PI()/180)+Tableau!$H$35</f>
        <v>-19908.13591723832</v>
      </c>
      <c r="N284" s="92">
        <v>280</v>
      </c>
      <c r="O284" s="93">
        <v>140</v>
      </c>
      <c r="P284" s="96">
        <f>P283+R283*Tableau!$G$2+((1/2)*T283)*Tableau!$G$2^2</f>
        <v>-9332857.2842008304</v>
      </c>
      <c r="Q284" s="96">
        <f>Q283+S283*Tableau!$G$2+((1/2)*U283)*Tableau!$G$2^2</f>
        <v>4569410.7812880445</v>
      </c>
      <c r="R284" s="96">
        <f>R283+T283*Tableau!$G$2</f>
        <v>-68698.835019356498</v>
      </c>
      <c r="S284" s="96">
        <f>S283+U283*Tableau!$G$2</f>
        <v>33801.037855960545</v>
      </c>
      <c r="T284" s="96">
        <f t="shared" si="8"/>
        <v>1.019611875935815E-2</v>
      </c>
      <c r="U284" s="96">
        <f t="shared" si="9"/>
        <v>-4.9921360434648683E-3</v>
      </c>
      <c r="V284" s="96">
        <f>((Tableau!$G$16-P284)/(AC284^2+Tableau!$G$21^2)^(3/2))*Tableau!$G$20</f>
        <v>4.3458890131570713E-3</v>
      </c>
      <c r="W284" s="96">
        <f>((Tableau!$H$16-Q284)/(AC284^2+Tableau!$G$21^2)^(3/2))*Tableau!$G$20</f>
        <v>-2.1197327555604346E-3</v>
      </c>
      <c r="X284" s="96">
        <f>((Tableau!$G$25-P284)/(AD284^2+Tableau!$G$30^2)^(3/2))*Tableau!$G$29</f>
        <v>1.5002261337681865E-3</v>
      </c>
      <c r="Y284" s="96">
        <f>((Tableau!$H$25-Q284)/(AD284^2+Tableau!$G$30^2)^(3/2))*Tableau!$G$29</f>
        <v>-7.3448427264927499E-4</v>
      </c>
      <c r="Z284" s="96">
        <f>((Tableau!$G$35-P284)/(AE284^2+Tableau!$G$40^2)^(3/2))*Tableau!$G$39</f>
        <v>4.3500036124328933E-3</v>
      </c>
      <c r="AA284" s="97">
        <f>((Tableau!$H$35-Q284)/(AE284^2+Tableau!$G$40^2)^(3/2))*Tableau!$G$39</f>
        <v>-2.1379190152551585E-3</v>
      </c>
      <c r="AC284" s="110">
        <f>SQRT((Tableau!$G$16-P284)^2+(Tableau!$H$16-Q284)^2)</f>
        <v>10406102.505504193</v>
      </c>
      <c r="AD284" s="111">
        <f>SQRT((Tableau!$G$25-P284)^2+(Tableau!$H$25-Q284)^2)</f>
        <v>10369066.37400003</v>
      </c>
      <c r="AE284" s="112">
        <f>SQRT((Tableau!$G$35-P284)^2+(Tableau!$H$35-Q284)^2)</f>
        <v>10393543.367206804</v>
      </c>
    </row>
    <row r="285" spans="2:31" x14ac:dyDescent="0.25">
      <c r="B285" s="18">
        <v>282</v>
      </c>
      <c r="C285" s="19">
        <f>Tableau!$G$17*COS(B285*PI()/180)+Tableau!$G$16</f>
        <v>21039.558454088794</v>
      </c>
      <c r="D285" s="19">
        <f>Tableau!$G$17*SIN(B285*PI()/180)+Tableau!$H$16</f>
        <v>2609.2619963309708</v>
      </c>
      <c r="F285" s="26">
        <v>282</v>
      </c>
      <c r="G285" s="27">
        <f>Tableau!$G$26*COS(F285*PI()/180)+Tableau!$G$25</f>
        <v>-19272.309082137846</v>
      </c>
      <c r="H285" s="27">
        <f>Tableau!$G$26*SIN(F285*PI()/180)+Tableau!$H$25</f>
        <v>6576.4833974316798</v>
      </c>
      <c r="J285" s="34">
        <v>282</v>
      </c>
      <c r="K285" s="35">
        <f>Tableau!$G$36*COS(J285*PI()/180)+Tableau!$G$35</f>
        <v>-3960.441545911207</v>
      </c>
      <c r="L285" s="35">
        <f>Tableau!$G$36*SIN(J285*PI()/180)+Tableau!$H$35</f>
        <v>-19890.73800366903</v>
      </c>
      <c r="N285" s="98">
        <v>281</v>
      </c>
      <c r="O285" s="99">
        <v>140.5</v>
      </c>
      <c r="P285" s="101">
        <f>P284+R284*Tableau!$G$2+((1/2)*T284)*Tableau!$G$2^2</f>
        <v>-9367206.7004359942</v>
      </c>
      <c r="Q285" s="101">
        <f>Q284+S284*Tableau!$G$2+((1/2)*U284)*Tableau!$G$2^2</f>
        <v>4586311.2995920079</v>
      </c>
      <c r="R285" s="101">
        <f>R284+T284*Tableau!$G$2</f>
        <v>-68698.829921297118</v>
      </c>
      <c r="S285" s="101">
        <f>S284+U284*Tableau!$G$2</f>
        <v>33801.035359892521</v>
      </c>
      <c r="T285" s="101">
        <f t="shared" si="8"/>
        <v>1.0121399520423017E-2</v>
      </c>
      <c r="U285" s="101">
        <f t="shared" si="9"/>
        <v>-4.9556418208230209E-3</v>
      </c>
      <c r="V285" s="101">
        <f>((Tableau!$G$16-P285)/(AC285^2+Tableau!$G$21^2)^(3/2))*Tableau!$G$20</f>
        <v>4.314062955124578E-3</v>
      </c>
      <c r="W285" s="101">
        <f>((Tableau!$H$16-Q285)/(AC285^2+Tableau!$G$21^2)^(3/2))*Tableau!$G$20</f>
        <v>-2.1042766859664715E-3</v>
      </c>
      <c r="X285" s="101">
        <f>((Tableau!$G$25-P285)/(AD285^2+Tableau!$G$30^2)^(3/2))*Tableau!$G$29</f>
        <v>1.4892044450595752E-3</v>
      </c>
      <c r="Y285" s="101">
        <f>((Tableau!$H$25-Q285)/(AD285^2+Tableau!$G$30^2)^(3/2))*Tableau!$G$29</f>
        <v>-7.2910157523433132E-4</v>
      </c>
      <c r="Z285" s="101">
        <f>((Tableau!$G$35-P285)/(AE285^2+Tableau!$G$40^2)^(3/2))*Tableau!$G$39</f>
        <v>4.3181321202388628E-3</v>
      </c>
      <c r="AA285" s="102">
        <f>((Tableau!$H$35-Q285)/(AE285^2+Tableau!$G$40^2)^(3/2))*Tableau!$G$39</f>
        <v>-2.122263559622218E-3</v>
      </c>
      <c r="AC285" s="113">
        <f>SQRT((Tableau!$G$16-P285)^2+(Tableau!$H$16-Q285)^2)</f>
        <v>10444384.259207522</v>
      </c>
      <c r="AD285" s="114">
        <f>SQRT((Tableau!$G$25-P285)^2+(Tableau!$H$25-Q285)^2)</f>
        <v>10407348.279530624</v>
      </c>
      <c r="AE285" s="115">
        <f>SQRT((Tableau!$G$35-P285)^2+(Tableau!$H$35-Q285)^2)</f>
        <v>10431825.342548721</v>
      </c>
    </row>
    <row r="286" spans="2:31" x14ac:dyDescent="0.25">
      <c r="B286" s="20">
        <v>283</v>
      </c>
      <c r="C286" s="21">
        <f>Tableau!$G$17*COS(B286*PI()/180)+Tableau!$G$16</f>
        <v>21124.755271719325</v>
      </c>
      <c r="D286" s="21">
        <f>Tableau!$G$17*SIN(B286*PI()/180)+Tableau!$H$16</f>
        <v>2628.1496760738237</v>
      </c>
      <c r="F286" s="28">
        <v>283</v>
      </c>
      <c r="G286" s="29">
        <f>Tableau!$G$26*COS(F286*PI()/180)+Tableau!$G$25</f>
        <v>-19212.671309796471</v>
      </c>
      <c r="H286" s="29">
        <f>Tableau!$G$26*SIN(F286*PI()/180)+Tableau!$H$25</f>
        <v>6589.7047732516767</v>
      </c>
      <c r="J286" s="36">
        <v>283</v>
      </c>
      <c r="K286" s="37">
        <f>Tableau!$G$36*COS(J286*PI()/180)+Tableau!$G$35</f>
        <v>-3875.2447282806752</v>
      </c>
      <c r="L286" s="37">
        <f>Tableau!$G$36*SIN(J286*PI()/180)+Tableau!$H$35</f>
        <v>-19871.850323926177</v>
      </c>
      <c r="N286" s="92">
        <v>282</v>
      </c>
      <c r="O286" s="93">
        <v>141</v>
      </c>
      <c r="P286" s="96">
        <f>P285+R285*Tableau!$G$2+((1/2)*T285)*Tableau!$G$2^2</f>
        <v>-9401556.1141314674</v>
      </c>
      <c r="Q286" s="96">
        <f>Q285+S285*Tableau!$G$2+((1/2)*U285)*Tableau!$G$2^2</f>
        <v>4603211.8166524991</v>
      </c>
      <c r="R286" s="96">
        <f>R285+T285*Tableau!$G$2</f>
        <v>-68698.824860597364</v>
      </c>
      <c r="S286" s="96">
        <f>S285+U285*Tableau!$G$2</f>
        <v>33801.032882071609</v>
      </c>
      <c r="T286" s="96">
        <f t="shared" si="8"/>
        <v>1.0047498622658222E-2</v>
      </c>
      <c r="U286" s="96">
        <f t="shared" si="9"/>
        <v>-4.919546319406309E-3</v>
      </c>
      <c r="V286" s="96">
        <f>((Tableau!$G$16-P286)/(AC286^2+Tableau!$G$21^2)^(3/2))*Tableau!$G$20</f>
        <v>4.2825852268636253E-3</v>
      </c>
      <c r="W286" s="96">
        <f>((Tableau!$H$16-Q286)/(AC286^2+Tableau!$G$21^2)^(3/2))*Tableau!$G$20</f>
        <v>-2.0889890475096892E-3</v>
      </c>
      <c r="X286" s="96">
        <f>((Tableau!$G$25-P286)/(AD286^2+Tableau!$G$30^2)^(3/2))*Tableau!$G$29</f>
        <v>1.4783037715428464E-3</v>
      </c>
      <c r="Y286" s="96">
        <f>((Tableau!$H$25-Q286)/(AD286^2+Tableau!$G$30^2)^(3/2))*Tableau!$G$29</f>
        <v>-7.2377783274402802E-4</v>
      </c>
      <c r="Z286" s="96">
        <f>((Tableau!$G$35-P286)/(AE286^2+Tableau!$G$40^2)^(3/2))*Tableau!$G$39</f>
        <v>4.2866096242517495E-3</v>
      </c>
      <c r="AA286" s="97">
        <f>((Tableau!$H$35-Q286)/(AE286^2+Tableau!$G$40^2)^(3/2))*Tableau!$G$39</f>
        <v>-2.1067794391525924E-3</v>
      </c>
      <c r="AC286" s="110">
        <f>SQRT((Tableau!$G$16-P286)^2+(Tableau!$H$16-Q286)^2)</f>
        <v>10482666.011728479</v>
      </c>
      <c r="AD286" s="111">
        <f>SQRT((Tableau!$G$25-P286)^2+(Tableau!$H$25-Q286)^2)</f>
        <v>10445630.182771821</v>
      </c>
      <c r="AE286" s="112">
        <f>SQRT((Tableau!$G$35-P286)^2+(Tableau!$H$35-Q286)^2)</f>
        <v>10470107.315089481</v>
      </c>
    </row>
    <row r="287" spans="2:31" x14ac:dyDescent="0.25">
      <c r="B287" s="18">
        <v>284</v>
      </c>
      <c r="C287" s="19">
        <f>Tableau!$G$17*COS(B287*PI()/180)+Tableau!$G$16</f>
        <v>21209.609477998336</v>
      </c>
      <c r="D287" s="19">
        <f>Tableau!$G$17*SIN(B287*PI()/180)+Tableau!$H$16</f>
        <v>2648.5213686200168</v>
      </c>
      <c r="F287" s="26">
        <v>284</v>
      </c>
      <c r="G287" s="27">
        <f>Tableau!$G$26*COS(F287*PI()/180)+Tableau!$G$25</f>
        <v>-19153.273365401164</v>
      </c>
      <c r="H287" s="27">
        <f>Tableau!$G$26*SIN(F287*PI()/180)+Tableau!$H$25</f>
        <v>6603.9649580340119</v>
      </c>
      <c r="J287" s="34">
        <v>284</v>
      </c>
      <c r="K287" s="35">
        <f>Tableau!$G$36*COS(J287*PI()/180)+Tableau!$G$35</f>
        <v>-3790.3905220016627</v>
      </c>
      <c r="L287" s="35">
        <f>Tableau!$G$36*SIN(J287*PI()/180)+Tableau!$H$35</f>
        <v>-19851.478631379985</v>
      </c>
      <c r="N287" s="98">
        <v>283</v>
      </c>
      <c r="O287" s="99">
        <v>141.5</v>
      </c>
      <c r="P287" s="101">
        <f>P286+R286*Tableau!$G$2+((1/2)*T286)*Tableau!$G$2^2</f>
        <v>-9435905.5253058299</v>
      </c>
      <c r="Q287" s="101">
        <f>Q286+S286*Tableau!$G$2+((1/2)*U286)*Tableau!$G$2^2</f>
        <v>4620112.3324785922</v>
      </c>
      <c r="R287" s="101">
        <f>R286+T286*Tableau!$G$2</f>
        <v>-68698.819836848052</v>
      </c>
      <c r="S287" s="101">
        <f>S286+U286*Tableau!$G$2</f>
        <v>33801.030422298449</v>
      </c>
      <c r="T287" s="101">
        <f t="shared" si="8"/>
        <v>9.9744041593117297E-3</v>
      </c>
      <c r="U287" s="101">
        <f t="shared" si="9"/>
        <v>-4.8838437519327709E-3</v>
      </c>
      <c r="V287" s="101">
        <f>((Tableau!$G$16-P287)/(AC287^2+Tableau!$G$21^2)^(3/2))*Tableau!$G$20</f>
        <v>4.2514507636660977E-3</v>
      </c>
      <c r="W287" s="101">
        <f>((Tableau!$H$16-Q287)/(AC287^2+Tableau!$G$21^2)^(3/2))*Tableau!$G$20</f>
        <v>-2.0738674017978329E-3</v>
      </c>
      <c r="X287" s="101">
        <f>((Tableau!$G$25-P287)/(AD287^2+Tableau!$G$30^2)^(3/2))*Tableau!$G$29</f>
        <v>1.4675223480560911E-3</v>
      </c>
      <c r="Y287" s="101">
        <f>((Tableau!$H$25-Q287)/(AD287^2+Tableau!$G$30^2)^(3/2))*Tableau!$G$29</f>
        <v>-7.1851218735986464E-4</v>
      </c>
      <c r="Z287" s="101">
        <f>((Tableau!$G$35-P287)/(AE287^2+Tableau!$G$40^2)^(3/2))*Tableau!$G$39</f>
        <v>4.2554310475895396E-3</v>
      </c>
      <c r="AA287" s="102">
        <f>((Tableau!$H$35-Q287)/(AE287^2+Tableau!$G$40^2)^(3/2))*Tableau!$G$39</f>
        <v>-2.0914641627750733E-3</v>
      </c>
      <c r="AC287" s="113">
        <f>SQRT((Tableau!$G$16-P287)^2+(Tableau!$H$16-Q287)^2)</f>
        <v>10520947.763069777</v>
      </c>
      <c r="AD287" s="114">
        <f>SQRT((Tableau!$G$25-P287)^2+(Tableau!$H$25-Q287)^2)</f>
        <v>10483912.083738402</v>
      </c>
      <c r="AE287" s="115">
        <f>SQRT((Tableau!$G$35-P287)^2+(Tableau!$H$35-Q287)^2)</f>
        <v>10508389.28484947</v>
      </c>
    </row>
    <row r="288" spans="2:31" x14ac:dyDescent="0.25">
      <c r="B288" s="20">
        <v>285</v>
      </c>
      <c r="C288" s="21">
        <f>Tableau!$G$17*COS(B288*PI()/180)+Tableau!$G$16</f>
        <v>21294.095225512607</v>
      </c>
      <c r="D288" s="21">
        <f>Tableau!$G$17*SIN(B288*PI()/180)+Tableau!$H$16</f>
        <v>2670.370868554659</v>
      </c>
      <c r="F288" s="28">
        <v>285</v>
      </c>
      <c r="G288" s="29">
        <f>Tableau!$G$26*COS(F288*PI()/180)+Tableau!$G$25</f>
        <v>-19094.133342141176</v>
      </c>
      <c r="H288" s="29">
        <f>Tableau!$G$26*SIN(F288*PI()/180)+Tableau!$H$25</f>
        <v>6619.2596079882615</v>
      </c>
      <c r="J288" s="36">
        <v>285</v>
      </c>
      <c r="K288" s="37">
        <f>Tableau!$G$36*COS(J288*PI()/180)+Tableau!$G$35</f>
        <v>-3705.9047744873942</v>
      </c>
      <c r="L288" s="37">
        <f>Tableau!$G$36*SIN(J288*PI()/180)+Tableau!$H$35</f>
        <v>-19829.629131445341</v>
      </c>
      <c r="N288" s="92">
        <v>284</v>
      </c>
      <c r="O288" s="93">
        <v>142</v>
      </c>
      <c r="P288" s="96">
        <f>P287+R287*Tableau!$G$2+((1/2)*T287)*Tableau!$G$2^2</f>
        <v>-9470254.933977453</v>
      </c>
      <c r="Q288" s="96">
        <f>Q287+S287*Tableau!$G$2+((1/2)*U287)*Tableau!$G$2^2</f>
        <v>4637012.8470792612</v>
      </c>
      <c r="R288" s="96">
        <f>R287+T287*Tableau!$G$2</f>
        <v>-68698.814849645976</v>
      </c>
      <c r="S288" s="96">
        <f>S287+U287*Tableau!$G$2</f>
        <v>33801.027980376573</v>
      </c>
      <c r="T288" s="96">
        <f t="shared" si="8"/>
        <v>9.9021044393987102E-3</v>
      </c>
      <c r="U288" s="96">
        <f t="shared" si="9"/>
        <v>-4.8485284357408023E-3</v>
      </c>
      <c r="V288" s="96">
        <f>((Tableau!$G$16-P288)/(AC288^2+Tableau!$G$21^2)^(3/2))*Tableau!$G$20</f>
        <v>4.2206545925410812E-3</v>
      </c>
      <c r="W288" s="96">
        <f>((Tableau!$H$16-Q288)/(AC288^2+Tableau!$G$21^2)^(3/2))*Tableau!$G$20</f>
        <v>-2.0589093544048564E-3</v>
      </c>
      <c r="X288" s="96">
        <f>((Tableau!$G$25-P288)/(AD288^2+Tableau!$G$30^2)^(3/2))*Tableau!$G$29</f>
        <v>1.4568584415043746E-3</v>
      </c>
      <c r="Y288" s="96">
        <f>((Tableau!$H$25-Q288)/(AD288^2+Tableau!$G$30^2)^(3/2))*Tableau!$G$29</f>
        <v>-7.1330379680873638E-4</v>
      </c>
      <c r="Z288" s="96">
        <f>((Tableau!$G$35-P288)/(AE288^2+Tableau!$G$40^2)^(3/2))*Tableau!$G$39</f>
        <v>4.2245914053532533E-3</v>
      </c>
      <c r="AA288" s="97">
        <f>((Tableau!$H$35-Q288)/(AE288^2+Tableau!$G$40^2)^(3/2))*Tableau!$G$39</f>
        <v>-2.0763152845272095E-3</v>
      </c>
      <c r="AC288" s="110">
        <f>SQRT((Tableau!$G$16-P288)^2+(Tableau!$H$16-Q288)^2)</f>
        <v>10559229.513234159</v>
      </c>
      <c r="AD288" s="111">
        <f>SQRT((Tableau!$G$25-P288)^2+(Tableau!$H$25-Q288)^2)</f>
        <v>10522193.982444998</v>
      </c>
      <c r="AE288" s="112">
        <f>SQRT((Tableau!$G$35-P288)^2+(Tableau!$H$35-Q288)^2)</f>
        <v>10546671.25184885</v>
      </c>
    </row>
    <row r="289" spans="2:31" x14ac:dyDescent="0.25">
      <c r="B289" s="18">
        <v>286</v>
      </c>
      <c r="C289" s="19">
        <f>Tableau!$G$17*COS(B289*PI()/180)+Tableau!$G$16</f>
        <v>21378.186779084997</v>
      </c>
      <c r="D289" s="19">
        <f>Tableau!$G$17*SIN(B289*PI()/180)+Tableau!$H$16</f>
        <v>2693.6915203084063</v>
      </c>
      <c r="F289" s="26">
        <v>286</v>
      </c>
      <c r="G289" s="27">
        <f>Tableau!$G$26*COS(F289*PI()/180)+Tableau!$G$25</f>
        <v>-19035.269254640501</v>
      </c>
      <c r="H289" s="27">
        <f>Tableau!$G$26*SIN(F289*PI()/180)+Tableau!$H$25</f>
        <v>6635.5840642158837</v>
      </c>
      <c r="J289" s="34">
        <v>286</v>
      </c>
      <c r="K289" s="35">
        <f>Tableau!$G$36*COS(J289*PI()/180)+Tableau!$G$35</f>
        <v>-3621.8132209150031</v>
      </c>
      <c r="L289" s="35">
        <f>Tableau!$G$36*SIN(J289*PI()/180)+Tableau!$H$35</f>
        <v>-19806.308479691594</v>
      </c>
      <c r="N289" s="98">
        <v>285</v>
      </c>
      <c r="O289" s="99">
        <v>142.5</v>
      </c>
      <c r="P289" s="101">
        <f>P288+R288*Tableau!$G$2+((1/2)*T288)*Tableau!$G$2^2</f>
        <v>-9504604.3401645124</v>
      </c>
      <c r="Q289" s="101">
        <f>Q288+S288*Tableau!$G$2+((1/2)*U288)*Tableau!$G$2^2</f>
        <v>4653913.3604633836</v>
      </c>
      <c r="R289" s="101">
        <f>R288+T288*Tableau!$G$2</f>
        <v>-68698.809898593754</v>
      </c>
      <c r="S289" s="101">
        <f>S288+U288*Tableau!$G$2</f>
        <v>33801.025556112356</v>
      </c>
      <c r="T289" s="101">
        <f t="shared" si="8"/>
        <v>9.8305879830267034E-3</v>
      </c>
      <c r="U289" s="101">
        <f t="shared" si="9"/>
        <v>-4.8135947905279114E-3</v>
      </c>
      <c r="V289" s="101">
        <f>((Tableau!$G$16-P289)/(AC289^2+Tableau!$G$21^2)^(3/2))*Tableau!$G$20</f>
        <v>4.1901918302290411E-3</v>
      </c>
      <c r="W289" s="101">
        <f>((Tableau!$H$16-Q289)/(AC289^2+Tableau!$G$21^2)^(3/2))*Tableau!$G$20</f>
        <v>-2.0441125539231008E-3</v>
      </c>
      <c r="X289" s="101">
        <f>((Tableau!$G$25-P289)/(AD289^2+Tableau!$G$30^2)^(3/2))*Tableau!$G$29</f>
        <v>1.4463103501633071E-3</v>
      </c>
      <c r="Y289" s="101">
        <f>((Tableau!$H$25-Q289)/(AD289^2+Tableau!$G$30^2)^(3/2))*Tableau!$G$29</f>
        <v>-7.0815183402614737E-4</v>
      </c>
      <c r="Z289" s="101">
        <f>((Tableau!$G$35-P289)/(AE289^2+Tableau!$G$40^2)^(3/2))*Tableau!$G$39</f>
        <v>4.194085802634355E-3</v>
      </c>
      <c r="AA289" s="102">
        <f>((Tableau!$H$35-Q289)/(AE289^2+Tableau!$G$40^2)^(3/2))*Tableau!$G$39</f>
        <v>-2.0613304025786637E-3</v>
      </c>
      <c r="AC289" s="113">
        <f>SQRT((Tableau!$G$16-P289)^2+(Tableau!$H$16-Q289)^2)</f>
        <v>10597511.262224415</v>
      </c>
      <c r="AD289" s="114">
        <f>SQRT((Tableau!$G$25-P289)^2+(Tableau!$H$25-Q289)^2)</f>
        <v>10560475.878906112</v>
      </c>
      <c r="AE289" s="115">
        <f>SQRT((Tableau!$G$35-P289)^2+(Tableau!$H$35-Q289)^2)</f>
        <v>10584953.216107566</v>
      </c>
    </row>
    <row r="290" spans="2:31" x14ac:dyDescent="0.25">
      <c r="B290" s="20">
        <v>287</v>
      </c>
      <c r="C290" s="21">
        <f>Tableau!$G$17*COS(B290*PI()/180)+Tableau!$G$16</f>
        <v>21461.858523613682</v>
      </c>
      <c r="D290" s="21">
        <f>Tableau!$G$17*SIN(B290*PI()/180)+Tableau!$H$16</f>
        <v>2718.4762201848225</v>
      </c>
      <c r="F290" s="28">
        <v>287</v>
      </c>
      <c r="G290" s="29">
        <f>Tableau!$G$26*COS(F290*PI()/180)+Tableau!$G$25</f>
        <v>-18976.699033470421</v>
      </c>
      <c r="H290" s="29">
        <f>Tableau!$G$26*SIN(F290*PI()/180)+Tableau!$H$25</f>
        <v>6652.9333541293763</v>
      </c>
      <c r="J290" s="36">
        <v>287</v>
      </c>
      <c r="K290" s="37">
        <f>Tableau!$G$36*COS(J290*PI()/180)+Tableau!$G$35</f>
        <v>-3538.1414763863168</v>
      </c>
      <c r="L290" s="37">
        <f>Tableau!$G$36*SIN(J290*PI()/180)+Tableau!$H$35</f>
        <v>-19781.523779815179</v>
      </c>
      <c r="N290" s="92">
        <v>286</v>
      </c>
      <c r="O290" s="93">
        <v>143</v>
      </c>
      <c r="P290" s="96">
        <f>P289+R289*Tableau!$G$2+((1/2)*T289)*Tableau!$G$2^2</f>
        <v>-9538953.7438849844</v>
      </c>
      <c r="Q290" s="96">
        <f>Q289+S289*Tableau!$G$2+((1/2)*U289)*Tableau!$G$2^2</f>
        <v>4670813.8726397399</v>
      </c>
      <c r="R290" s="96">
        <f>R289+T289*Tableau!$G$2</f>
        <v>-68698.804983299764</v>
      </c>
      <c r="S290" s="96">
        <f>S289+U289*Tableau!$G$2</f>
        <v>33801.023149314962</v>
      </c>
      <c r="T290" s="96">
        <f t="shared" si="8"/>
        <v>9.7598435168382743E-3</v>
      </c>
      <c r="U290" s="96">
        <f t="shared" si="9"/>
        <v>-4.7790373361461559E-3</v>
      </c>
      <c r="V290" s="96">
        <f>((Tableau!$G$16-P290)/(AC290^2+Tableau!$G$21^2)^(3/2))*Tableau!$G$20</f>
        <v>4.1600576812658215E-3</v>
      </c>
      <c r="W290" s="96">
        <f>((Tableau!$H$16-Q290)/(AC290^2+Tableau!$G$21^2)^(3/2))*Tableau!$G$20</f>
        <v>-2.0294746910391407E-3</v>
      </c>
      <c r="X290" s="96">
        <f>((Tableau!$G$25-P290)/(AD290^2+Tableau!$G$30^2)^(3/2))*Tableau!$G$29</f>
        <v>1.4358764030000454E-3</v>
      </c>
      <c r="Y290" s="96">
        <f>((Tableau!$H$25-Q290)/(AD290^2+Tableau!$G$30^2)^(3/2))*Tableau!$G$29</f>
        <v>-7.0305548682783083E-4</v>
      </c>
      <c r="Z290" s="96">
        <f>((Tableau!$G$35-P290)/(AE290^2+Tableau!$G$40^2)^(3/2))*Tableau!$G$39</f>
        <v>4.1639094325724071E-3</v>
      </c>
      <c r="AA290" s="97">
        <f>((Tableau!$H$35-Q290)/(AE290^2+Tableau!$G$40^2)^(3/2))*Tableau!$G$39</f>
        <v>-2.0465071582791848E-3</v>
      </c>
      <c r="AC290" s="110">
        <f>SQRT((Tableau!$G$16-P290)^2+(Tableau!$H$16-Q290)^2)</f>
        <v>10635793.010043351</v>
      </c>
      <c r="AD290" s="111">
        <f>SQRT((Tableau!$G$25-P290)^2+(Tableau!$H$25-Q290)^2)</f>
        <v>10598757.773136105</v>
      </c>
      <c r="AE290" s="112">
        <f>SQRT((Tableau!$G$35-P290)^2+(Tableau!$H$35-Q290)^2)</f>
        <v>10623235.177645346</v>
      </c>
    </row>
    <row r="291" spans="2:31" x14ac:dyDescent="0.25">
      <c r="B291" s="18">
        <v>288</v>
      </c>
      <c r="C291" s="19">
        <f>Tableau!$G$17*COS(B291*PI()/180)+Tableau!$G$16</f>
        <v>21545.084971874738</v>
      </c>
      <c r="D291" s="19">
        <f>Tableau!$G$17*SIN(B291*PI()/180)+Tableau!$H$16</f>
        <v>2744.717418524232</v>
      </c>
      <c r="F291" s="26">
        <v>288</v>
      </c>
      <c r="G291" s="27">
        <f>Tableau!$G$26*COS(F291*PI()/180)+Tableau!$G$25</f>
        <v>-18918.440519687683</v>
      </c>
      <c r="H291" s="27">
        <f>Tableau!$G$26*SIN(F291*PI()/180)+Tableau!$H$25</f>
        <v>6671.3021929669621</v>
      </c>
      <c r="J291" s="34">
        <v>288</v>
      </c>
      <c r="K291" s="35">
        <f>Tableau!$G$36*COS(J291*PI()/180)+Tableau!$G$35</f>
        <v>-3454.9150281252641</v>
      </c>
      <c r="L291" s="35">
        <f>Tableau!$G$36*SIN(J291*PI()/180)+Tableau!$H$35</f>
        <v>-19755.282581475767</v>
      </c>
      <c r="N291" s="98">
        <v>287</v>
      </c>
      <c r="O291" s="99">
        <v>143.5</v>
      </c>
      <c r="P291" s="101">
        <f>P290+R290*Tableau!$G$2+((1/2)*T290)*Tableau!$G$2^2</f>
        <v>-9573303.1451566536</v>
      </c>
      <c r="Q291" s="101">
        <f>Q290+S290*Tableau!$G$2+((1/2)*U290)*Tableau!$G$2^2</f>
        <v>4687714.3836170174</v>
      </c>
      <c r="R291" s="101">
        <f>R290+T290*Tableau!$G$2</f>
        <v>-68698.800103378002</v>
      </c>
      <c r="S291" s="101">
        <f>S290+U290*Tableau!$G$2</f>
        <v>33801.020759796294</v>
      </c>
      <c r="T291" s="101">
        <f t="shared" si="8"/>
        <v>9.6898599695679384E-3</v>
      </c>
      <c r="U291" s="101">
        <f t="shared" si="9"/>
        <v>-4.7448506904527211E-3</v>
      </c>
      <c r="V291" s="101">
        <f>((Tableau!$G$16-P291)/(AC291^2+Tableau!$G$21^2)^(3/2))*Tableau!$G$20</f>
        <v>4.1302474360953778E-3</v>
      </c>
      <c r="W291" s="101">
        <f>((Tableau!$H$16-Q291)/(AC291^2+Tableau!$G$21^2)^(3/2))*Tableau!$G$20</f>
        <v>-2.0149934976327944E-3</v>
      </c>
      <c r="X291" s="101">
        <f>((Tableau!$G$25-P291)/(AD291^2+Tableau!$G$30^2)^(3/2))*Tableau!$G$29</f>
        <v>1.4255549590114394E-3</v>
      </c>
      <c r="Y291" s="101">
        <f>((Tableau!$H$25-Q291)/(AD291^2+Tableau!$G$30^2)^(3/2))*Tableau!$G$29</f>
        <v>-6.9801395758964271E-4</v>
      </c>
      <c r="Z291" s="101">
        <f>((Tableau!$G$35-P291)/(AE291^2+Tableau!$G$40^2)^(3/2))*Tableau!$G$39</f>
        <v>4.1340575744611219E-3</v>
      </c>
      <c r="AA291" s="102">
        <f>((Tableau!$H$35-Q291)/(AE291^2+Tableau!$G$40^2)^(3/2))*Tableau!$G$39</f>
        <v>-2.0318432352302842E-3</v>
      </c>
      <c r="AC291" s="113">
        <f>SQRT((Tableau!$G$16-P291)^2+(Tableau!$H$16-Q291)^2)</f>
        <v>10674074.756693816</v>
      </c>
      <c r="AD291" s="114">
        <f>SQRT((Tableau!$G$25-P291)^2+(Tableau!$H$25-Q291)^2)</f>
        <v>10637039.665149206</v>
      </c>
      <c r="AE291" s="115">
        <f>SQRT((Tableau!$G$35-P291)^2+(Tableau!$H$35-Q291)^2)</f>
        <v>10661517.136481706</v>
      </c>
    </row>
    <row r="292" spans="2:31" x14ac:dyDescent="0.25">
      <c r="B292" s="20">
        <v>289</v>
      </c>
      <c r="C292" s="21">
        <f>Tableau!$G$17*COS(B292*PI()/180)+Tableau!$G$16</f>
        <v>21627.840772285781</v>
      </c>
      <c r="D292" s="21">
        <f>Tableau!$G$17*SIN(B292*PI()/180)+Tableau!$H$16</f>
        <v>2772.4071220034148</v>
      </c>
      <c r="F292" s="28">
        <v>289</v>
      </c>
      <c r="G292" s="29">
        <f>Tableau!$G$26*COS(F292*PI()/180)+Tableau!$G$25</f>
        <v>-18860.511459399953</v>
      </c>
      <c r="H292" s="29">
        <f>Tableau!$G$26*SIN(F292*PI()/180)+Tableau!$H$25</f>
        <v>6690.6849854023912</v>
      </c>
      <c r="J292" s="36">
        <v>289</v>
      </c>
      <c r="K292" s="37">
        <f>Tableau!$G$36*COS(J292*PI()/180)+Tableau!$G$35</f>
        <v>-3372.1592277142181</v>
      </c>
      <c r="L292" s="37">
        <f>Tableau!$G$36*SIN(J292*PI()/180)+Tableau!$H$35</f>
        <v>-19727.592877996583</v>
      </c>
      <c r="N292" s="92">
        <v>288</v>
      </c>
      <c r="O292" s="93">
        <v>144</v>
      </c>
      <c r="P292" s="96">
        <f>P291+R291*Tableau!$G$2+((1/2)*T291)*Tableau!$G$2^2</f>
        <v>-9607652.5439971108</v>
      </c>
      <c r="Q292" s="96">
        <f>Q291+S291*Tableau!$G$2+((1/2)*U291)*Tableau!$G$2^2</f>
        <v>4704614.8934038095</v>
      </c>
      <c r="R292" s="96">
        <f>R291+T291*Tableau!$G$2</f>
        <v>-68698.795258448023</v>
      </c>
      <c r="S292" s="96">
        <f>S291+U291*Tableau!$G$2</f>
        <v>33801.018387370947</v>
      </c>
      <c r="T292" s="96">
        <f t="shared" si="8"/>
        <v>9.6206264677104643E-3</v>
      </c>
      <c r="U292" s="96">
        <f t="shared" si="9"/>
        <v>-4.7110295672142602E-3</v>
      </c>
      <c r="V292" s="96">
        <f>((Tableau!$G$16-P292)/(AC292^2+Tableau!$G$21^2)^(3/2))*Tableau!$G$20</f>
        <v>4.1007564692295004E-3</v>
      </c>
      <c r="W292" s="96">
        <f>((Tableau!$H$16-Q292)/(AC292^2+Tableau!$G$21^2)^(3/2))*Tableau!$G$20</f>
        <v>-2.0006667458984783E-3</v>
      </c>
      <c r="X292" s="96">
        <f>((Tableau!$G$25-P292)/(AD292^2+Tableau!$G$30^2)^(3/2))*Tableau!$G$29</f>
        <v>1.4153444065787746E-3</v>
      </c>
      <c r="Y292" s="96">
        <f>((Tableau!$H$25-Q292)/(AD292^2+Tableau!$G$30^2)^(3/2))*Tableau!$G$29</f>
        <v>-6.9302646293546092E-4</v>
      </c>
      <c r="Z292" s="96">
        <f>((Tableau!$G$35-P292)/(AE292^2+Tableau!$G$40^2)^(3/2))*Tableau!$G$39</f>
        <v>4.1045255919021891E-3</v>
      </c>
      <c r="AA292" s="97">
        <f>((Tableau!$H$35-Q292)/(AE292^2+Tableau!$G$40^2)^(3/2))*Tableau!$G$39</f>
        <v>-2.0173363583803213E-3</v>
      </c>
      <c r="AC292" s="110">
        <f>SQRT((Tableau!$G$16-P292)^2+(Tableau!$H$16-Q292)^2)</f>
        <v>10712356.502178684</v>
      </c>
      <c r="AD292" s="111">
        <f>SQRT((Tableau!$G$25-P292)^2+(Tableau!$H$25-Q292)^2)</f>
        <v>10675321.55495951</v>
      </c>
      <c r="AE292" s="112">
        <f>SQRT((Tableau!$G$35-P292)^2+(Tableau!$H$35-Q292)^2)</f>
        <v>10699799.092635956</v>
      </c>
    </row>
    <row r="293" spans="2:31" x14ac:dyDescent="0.25">
      <c r="B293" s="18">
        <v>290</v>
      </c>
      <c r="C293" s="19">
        <f>Tableau!$G$17*COS(B293*PI()/180)+Tableau!$G$16</f>
        <v>21710.100716628342</v>
      </c>
      <c r="D293" s="19">
        <f>Tableau!$G$17*SIN(B293*PI()/180)+Tableau!$H$16</f>
        <v>2801.5368960704573</v>
      </c>
      <c r="F293" s="26">
        <v>290</v>
      </c>
      <c r="G293" s="27">
        <f>Tableau!$G$26*COS(F293*PI()/180)+Tableau!$G$25</f>
        <v>-18802.929498360161</v>
      </c>
      <c r="H293" s="27">
        <f>Tableau!$G$26*SIN(F293*PI()/180)+Tableau!$H$25</f>
        <v>6711.0758272493204</v>
      </c>
      <c r="J293" s="34">
        <v>290</v>
      </c>
      <c r="K293" s="35">
        <f>Tableau!$G$36*COS(J293*PI()/180)+Tableau!$G$35</f>
        <v>-3289.8992833716593</v>
      </c>
      <c r="L293" s="35">
        <f>Tableau!$G$36*SIN(J293*PI()/180)+Tableau!$H$35</f>
        <v>-19698.463103929542</v>
      </c>
      <c r="N293" s="98">
        <v>289</v>
      </c>
      <c r="O293" s="99">
        <v>144.5</v>
      </c>
      <c r="P293" s="101">
        <f>P292+R292*Tableau!$G$2+((1/2)*T292)*Tableau!$G$2^2</f>
        <v>-9642001.9404237568</v>
      </c>
      <c r="Q293" s="101">
        <f>Q292+S292*Tableau!$G$2+((1/2)*U292)*Tableau!$G$2^2</f>
        <v>4721515.4020086164</v>
      </c>
      <c r="R293" s="101">
        <f>R292+T292*Tableau!$G$2</f>
        <v>-68698.790448134794</v>
      </c>
      <c r="S293" s="101">
        <f>S292+U292*Tableau!$G$2</f>
        <v>33801.016031856161</v>
      </c>
      <c r="T293" s="101">
        <f t="shared" si="8"/>
        <v>9.5521323312968767E-3</v>
      </c>
      <c r="U293" s="101">
        <f t="shared" si="9"/>
        <v>-4.6775687740632094E-3</v>
      </c>
      <c r="V293" s="101">
        <f>((Tableau!$G$16-P293)/(AC293^2+Tableau!$G$21^2)^(3/2))*Tableau!$G$20</f>
        <v>4.0715802374534839E-3</v>
      </c>
      <c r="W293" s="101">
        <f>((Tableau!$H$16-Q293)/(AC293^2+Tableau!$G$21^2)^(3/2))*Tableau!$G$20</f>
        <v>-1.9864922474883947E-3</v>
      </c>
      <c r="X293" s="101">
        <f>((Tableau!$G$25-P293)/(AD293^2+Tableau!$G$30^2)^(3/2))*Tableau!$G$29</f>
        <v>1.4052431628386144E-3</v>
      </c>
      <c r="Y293" s="101">
        <f>((Tableau!$H$25-Q293)/(AD293^2+Tableau!$G$30^2)^(3/2))*Tableau!$G$29</f>
        <v>-6.8809223343285352E-4</v>
      </c>
      <c r="Z293" s="101">
        <f>((Tableau!$G$35-P293)/(AE293^2+Tableau!$G$40^2)^(3/2))*Tableau!$G$39</f>
        <v>4.0753089310047773E-3</v>
      </c>
      <c r="AA293" s="102">
        <f>((Tableau!$H$35-Q293)/(AE293^2+Tableau!$G$40^2)^(3/2))*Tableau!$G$39</f>
        <v>-2.0029842931419618E-3</v>
      </c>
      <c r="AC293" s="113">
        <f>SQRT((Tableau!$G$16-P293)^2+(Tableau!$H$16-Q293)^2)</f>
        <v>10750638.246500852</v>
      </c>
      <c r="AD293" s="114">
        <f>SQRT((Tableau!$G$25-P293)^2+(Tableau!$H$25-Q293)^2)</f>
        <v>10713603.442580977</v>
      </c>
      <c r="AE293" s="115">
        <f>SQRT((Tableau!$G$35-P293)^2+(Tableau!$H$35-Q293)^2)</f>
        <v>10738081.046127195</v>
      </c>
    </row>
    <row r="294" spans="2:31" x14ac:dyDescent="0.25">
      <c r="B294" s="20">
        <v>291</v>
      </c>
      <c r="C294" s="21">
        <f>Tableau!$G$17*COS(B294*PI()/180)+Tableau!$G$16</f>
        <v>21791.839747726499</v>
      </c>
      <c r="D294" s="21">
        <f>Tableau!$G$17*SIN(B294*PI()/180)+Tableau!$H$16</f>
        <v>2832.0978675139895</v>
      </c>
      <c r="F294" s="28">
        <v>291</v>
      </c>
      <c r="G294" s="29">
        <f>Tableau!$G$26*COS(F294*PI()/180)+Tableau!$G$25</f>
        <v>-18745.712176591453</v>
      </c>
      <c r="H294" s="29">
        <f>Tableau!$G$26*SIN(F294*PI()/180)+Tableau!$H$25</f>
        <v>6732.4685072597931</v>
      </c>
      <c r="J294" s="36">
        <v>291</v>
      </c>
      <c r="K294" s="37">
        <f>Tableau!$G$36*COS(J294*PI()/180)+Tableau!$G$35</f>
        <v>-3208.160252273502</v>
      </c>
      <c r="L294" s="37">
        <f>Tableau!$G$36*SIN(J294*PI()/180)+Tableau!$H$35</f>
        <v>-19667.902132486011</v>
      </c>
      <c r="N294" s="92">
        <v>290</v>
      </c>
      <c r="O294" s="93">
        <v>145</v>
      </c>
      <c r="P294" s="96">
        <f>P293+R293*Tableau!$G$2+((1/2)*T293)*Tableau!$G$2^2</f>
        <v>-9676351.3344538081</v>
      </c>
      <c r="Q294" s="96">
        <f>Q293+S293*Tableau!$G$2+((1/2)*U293)*Tableau!$G$2^2</f>
        <v>4738415.9094398478</v>
      </c>
      <c r="R294" s="96">
        <f>R293+T293*Tableau!$G$2</f>
        <v>-68698.785672068625</v>
      </c>
      <c r="S294" s="96">
        <f>S293+U293*Tableau!$G$2</f>
        <v>33801.013693071771</v>
      </c>
      <c r="T294" s="96">
        <f t="shared" si="8"/>
        <v>9.4843670697754984E-3</v>
      </c>
      <c r="U294" s="96">
        <f t="shared" si="9"/>
        <v>-4.6444632105048112E-3</v>
      </c>
      <c r="V294" s="96">
        <f>((Tableau!$G$16-P294)/(AC294^2+Tableau!$G$21^2)^(3/2))*Tableau!$G$20</f>
        <v>4.0427142780762914E-3</v>
      </c>
      <c r="W294" s="96">
        <f>((Tableau!$H$16-Q294)/(AC294^2+Tableau!$G$21^2)^(3/2))*Tableau!$G$20</f>
        <v>-1.9724678526768856E-3</v>
      </c>
      <c r="X294" s="96">
        <f>((Tableau!$G$25-P294)/(AD294^2+Tableau!$G$30^2)^(3/2))*Tableau!$G$29</f>
        <v>1.3952496730693146E-3</v>
      </c>
      <c r="Y294" s="96">
        <f>((Tableau!$H$25-Q294)/(AD294^2+Tableau!$G$30^2)^(3/2))*Tableau!$G$29</f>
        <v>-6.8321051329630982E-4</v>
      </c>
      <c r="Z294" s="96">
        <f>((Tableau!$G$35-P294)/(AE294^2+Tableau!$G$40^2)^(3/2))*Tableau!$G$39</f>
        <v>4.0464031186298929E-3</v>
      </c>
      <c r="AA294" s="97">
        <f>((Tableau!$H$35-Q294)/(AE294^2+Tableau!$G$40^2)^(3/2))*Tableau!$G$39</f>
        <v>-1.9887848445316156E-3</v>
      </c>
      <c r="AC294" s="110">
        <f>SQRT((Tableau!$G$16-P294)^2+(Tableau!$H$16-Q294)^2)</f>
        <v>10788919.989663247</v>
      </c>
      <c r="AD294" s="111">
        <f>SQRT((Tableau!$G$25-P294)^2+(Tableau!$H$25-Q294)^2)</f>
        <v>10751885.328027438</v>
      </c>
      <c r="AE294" s="112">
        <f>SQRT((Tableau!$G$35-P294)^2+(Tableau!$H$35-Q294)^2)</f>
        <v>10776362.996974319</v>
      </c>
    </row>
    <row r="295" spans="2:31" x14ac:dyDescent="0.25">
      <c r="B295" s="18">
        <v>292</v>
      </c>
      <c r="C295" s="19">
        <f>Tableau!$G$17*COS(B295*PI()/180)+Tableau!$G$16</f>
        <v>21873.032967079558</v>
      </c>
      <c r="D295" s="19">
        <f>Tableau!$G$17*SIN(B295*PI()/180)+Tableau!$H$16</f>
        <v>2864.0807271660633</v>
      </c>
      <c r="F295" s="26">
        <v>292</v>
      </c>
      <c r="G295" s="27">
        <f>Tableau!$G$26*COS(F295*PI()/180)+Tableau!$G$25</f>
        <v>-18688.876923044307</v>
      </c>
      <c r="H295" s="27">
        <f>Tableau!$G$26*SIN(F295*PI()/180)+Tableau!$H$25</f>
        <v>6754.8565090162447</v>
      </c>
      <c r="J295" s="34">
        <v>292</v>
      </c>
      <c r="K295" s="35">
        <f>Tableau!$G$36*COS(J295*PI()/180)+Tableau!$G$35</f>
        <v>-3126.96703292044</v>
      </c>
      <c r="L295" s="35">
        <f>Tableau!$G$36*SIN(J295*PI()/180)+Tableau!$H$35</f>
        <v>-19635.919272833937</v>
      </c>
      <c r="N295" s="98">
        <v>291</v>
      </c>
      <c r="O295" s="99">
        <v>145.5</v>
      </c>
      <c r="P295" s="101">
        <f>P294+R294*Tableau!$G$2+((1/2)*T294)*Tableau!$G$2^2</f>
        <v>-9710700.7261042967</v>
      </c>
      <c r="Q295" s="101">
        <f>Q294+S294*Tableau!$G$2+((1/2)*U294)*Tableau!$G$2^2</f>
        <v>4755316.4157058261</v>
      </c>
      <c r="R295" s="101">
        <f>R294+T294*Tableau!$G$2</f>
        <v>-68698.780929885092</v>
      </c>
      <c r="S295" s="101">
        <f>S294+U294*Tableau!$G$2</f>
        <v>33801.011370840162</v>
      </c>
      <c r="T295" s="101">
        <f t="shared" si="8"/>
        <v>9.4173203779948714E-3</v>
      </c>
      <c r="U295" s="101">
        <f t="shared" si="9"/>
        <v>-4.6117078659732944E-3</v>
      </c>
      <c r="V295" s="101">
        <f>((Tableau!$G$16-P295)/(AC295^2+Tableau!$G$21^2)^(3/2))*Tableau!$G$20</f>
        <v>4.0141542072240017E-3</v>
      </c>
      <c r="W295" s="101">
        <f>((Tableau!$H$16-Q295)/(AC295^2+Tableau!$G$21^2)^(3/2))*Tableau!$G$20</f>
        <v>-1.9585914495453623E-3</v>
      </c>
      <c r="X295" s="101">
        <f>((Tableau!$G$25-P295)/(AD295^2+Tableau!$G$30^2)^(3/2))*Tableau!$G$29</f>
        <v>1.3853624100927623E-3</v>
      </c>
      <c r="Y295" s="101">
        <f>((Tableau!$H$25-Q295)/(AD295^2+Tableau!$G$30^2)^(3/2))*Tableau!$G$29</f>
        <v>-6.7838056009781862E-4</v>
      </c>
      <c r="Z295" s="101">
        <f>((Tableau!$G$35-P295)/(AE295^2+Tableau!$G$40^2)^(3/2))*Tableau!$G$39</f>
        <v>4.0178037606781068E-3</v>
      </c>
      <c r="AA295" s="102">
        <f>((Tableau!$H$35-Q295)/(AE295^2+Tableau!$G$40^2)^(3/2))*Tableau!$G$39</f>
        <v>-1.9747358563301136E-3</v>
      </c>
      <c r="AC295" s="113">
        <f>SQRT((Tableau!$G$16-P295)^2+(Tableau!$H$16-Q295)^2)</f>
        <v>10827201.731668824</v>
      </c>
      <c r="AD295" s="114">
        <f>SQRT((Tableau!$G$25-P295)^2+(Tableau!$H$25-Q295)^2)</f>
        <v>10790167.211312599</v>
      </c>
      <c r="AE295" s="115">
        <f>SQRT((Tableau!$G$35-P295)^2+(Tableau!$H$35-Q295)^2)</f>
        <v>10814644.945196025</v>
      </c>
    </row>
    <row r="296" spans="2:31" x14ac:dyDescent="0.25">
      <c r="B296" s="20">
        <v>293</v>
      </c>
      <c r="C296" s="21">
        <f>Tableau!$G$17*COS(B296*PI()/180)+Tableau!$G$16</f>
        <v>21953.655642446367</v>
      </c>
      <c r="D296" s="21">
        <f>Tableau!$G$17*SIN(B296*PI()/180)+Tableau!$H$16</f>
        <v>2897.4757327377974</v>
      </c>
      <c r="F296" s="28">
        <v>293</v>
      </c>
      <c r="G296" s="29">
        <f>Tableau!$G$26*COS(F296*PI()/180)+Tableau!$G$25</f>
        <v>-18632.441050287543</v>
      </c>
      <c r="H296" s="29">
        <f>Tableau!$G$26*SIN(F296*PI()/180)+Tableau!$H$25</f>
        <v>6778.2330129164584</v>
      </c>
      <c r="J296" s="36">
        <v>293</v>
      </c>
      <c r="K296" s="37">
        <f>Tableau!$G$36*COS(J296*PI()/180)+Tableau!$G$35</f>
        <v>-3046.3443575536326</v>
      </c>
      <c r="L296" s="37">
        <f>Tableau!$G$36*SIN(J296*PI()/180)+Tableau!$H$35</f>
        <v>-19602.524267262204</v>
      </c>
      <c r="N296" s="92">
        <v>292</v>
      </c>
      <c r="O296" s="93">
        <v>146</v>
      </c>
      <c r="P296" s="96">
        <f>P295+R295*Tableau!$G$2+((1/2)*T295)*Tableau!$G$2^2</f>
        <v>-9745050.115392074</v>
      </c>
      <c r="Q296" s="96">
        <f>Q295+S295*Tableau!$G$2+((1/2)*U295)*Tableau!$G$2^2</f>
        <v>4772216.9208147824</v>
      </c>
      <c r="R296" s="96">
        <f>R295+T295*Tableau!$G$2</f>
        <v>-68698.776221224907</v>
      </c>
      <c r="S296" s="96">
        <f>S295+U295*Tableau!$G$2</f>
        <v>33801.009064986232</v>
      </c>
      <c r="T296" s="96">
        <f t="shared" si="8"/>
        <v>9.3509821322856328E-3</v>
      </c>
      <c r="U296" s="96">
        <f t="shared" si="9"/>
        <v>-4.5792978179358609E-3</v>
      </c>
      <c r="V296" s="96">
        <f>((Tableau!$G$16-P296)/(AC296^2+Tableau!$G$21^2)^(3/2))*Tableau!$G$20</f>
        <v>3.9858957181751128E-3</v>
      </c>
      <c r="W296" s="96">
        <f>((Tableau!$H$16-Q296)/(AC296^2+Tableau!$G$21^2)^(3/2))*Tableau!$G$20</f>
        <v>-1.9448609631871432E-3</v>
      </c>
      <c r="X296" s="96">
        <f>((Tableau!$G$25-P296)/(AD296^2+Tableau!$G$30^2)^(3/2))*Tableau!$G$29</f>
        <v>1.3755798736908697E-3</v>
      </c>
      <c r="Y296" s="96">
        <f>((Tableau!$H$25-Q296)/(AD296^2+Tableau!$G$30^2)^(3/2))*Tableau!$G$29</f>
        <v>-6.736016444845661E-4</v>
      </c>
      <c r="Z296" s="96">
        <f>((Tableau!$G$35-P296)/(AE296^2+Tableau!$G$40^2)^(3/2))*Tableau!$G$39</f>
        <v>3.9895065404196503E-3</v>
      </c>
      <c r="AA296" s="97">
        <f>((Tableau!$H$35-Q296)/(AE296^2+Tableau!$G$40^2)^(3/2))*Tableau!$G$39</f>
        <v>-1.9608352102641518E-3</v>
      </c>
      <c r="AC296" s="110">
        <f>SQRT((Tableau!$G$16-P296)^2+(Tableau!$H$16-Q296)^2)</f>
        <v>10865483.47252056</v>
      </c>
      <c r="AD296" s="111">
        <f>SQRT((Tableau!$G$25-P296)^2+(Tableau!$H$25-Q296)^2)</f>
        <v>10828449.092450036</v>
      </c>
      <c r="AE296" s="112">
        <f>SQRT((Tableau!$G$35-P296)^2+(Tableau!$H$35-Q296)^2)</f>
        <v>10852926.890810816</v>
      </c>
    </row>
    <row r="297" spans="2:31" x14ac:dyDescent="0.25">
      <c r="B297" s="18">
        <v>294</v>
      </c>
      <c r="C297" s="19">
        <f>Tableau!$G$17*COS(B297*PI()/180)+Tableau!$G$16</f>
        <v>22033.683215379002</v>
      </c>
      <c r="D297" s="19">
        <f>Tableau!$G$17*SIN(B297*PI()/180)+Tableau!$H$16</f>
        <v>2932.2727117869963</v>
      </c>
      <c r="F297" s="26">
        <v>294</v>
      </c>
      <c r="G297" s="27">
        <f>Tableau!$G$26*COS(F297*PI()/180)+Tableau!$G$25</f>
        <v>-18576.421749234698</v>
      </c>
      <c r="H297" s="27">
        <f>Tableau!$G$26*SIN(F297*PI()/180)+Tableau!$H$25</f>
        <v>6802.5908982508972</v>
      </c>
      <c r="J297" s="34">
        <v>294</v>
      </c>
      <c r="K297" s="35">
        <f>Tableau!$G$36*COS(J297*PI()/180)+Tableau!$G$35</f>
        <v>-2966.3167846209972</v>
      </c>
      <c r="L297" s="35">
        <f>Tableau!$G$36*SIN(J297*PI()/180)+Tableau!$H$35</f>
        <v>-19567.727288213006</v>
      </c>
      <c r="N297" s="98">
        <v>293</v>
      </c>
      <c r="O297" s="99">
        <v>146.5</v>
      </c>
      <c r="P297" s="101">
        <f>P296+R296*Tableau!$G$2+((1/2)*T296)*Tableau!$G$2^2</f>
        <v>-9779399.5023338124</v>
      </c>
      <c r="Q297" s="101">
        <f>Q296+S296*Tableau!$G$2+((1/2)*U296)*Tableau!$G$2^2</f>
        <v>4789117.4247748628</v>
      </c>
      <c r="R297" s="101">
        <f>R296+T296*Tableau!$G$2</f>
        <v>-68698.771545733835</v>
      </c>
      <c r="S297" s="101">
        <f>S296+U296*Tableau!$G$2</f>
        <v>33801.006775337322</v>
      </c>
      <c r="T297" s="101">
        <f t="shared" si="8"/>
        <v>9.2853423866386935E-3</v>
      </c>
      <c r="U297" s="101">
        <f t="shared" si="9"/>
        <v>-4.547228230043129E-3</v>
      </c>
      <c r="V297" s="101">
        <f>((Tableau!$G$16-P297)/(AC297^2+Tableau!$G$21^2)^(3/2))*Tableau!$G$20</f>
        <v>3.9579345797371036E-3</v>
      </c>
      <c r="W297" s="101">
        <f>((Tableau!$H$16-Q297)/(AC297^2+Tableau!$G$21^2)^(3/2))*Tableau!$G$20</f>
        <v>-1.9312743549319195E-3</v>
      </c>
      <c r="X297" s="101">
        <f>((Tableau!$G$25-P297)/(AD297^2+Tableau!$G$30^2)^(3/2))*Tableau!$G$29</f>
        <v>1.3659005900364431E-3</v>
      </c>
      <c r="Y297" s="101">
        <f>((Tableau!$H$25-Q297)/(AD297^2+Tableau!$G$30^2)^(3/2))*Tableau!$G$29</f>
        <v>-6.6887304990357319E-4</v>
      </c>
      <c r="Z297" s="101">
        <f>((Tableau!$G$35-P297)/(AE297^2+Tableau!$G$40^2)^(3/2))*Tableau!$G$39</f>
        <v>3.9615072168651469E-3</v>
      </c>
      <c r="AA297" s="102">
        <f>((Tableau!$H$35-Q297)/(AE297^2+Tableau!$G$40^2)^(3/2))*Tableau!$G$39</f>
        <v>-1.9470808252076356E-3</v>
      </c>
      <c r="AC297" s="113">
        <f>SQRT((Tableau!$G$16-P297)^2+(Tableau!$H$16-Q297)^2)</f>
        <v>10903765.212221453</v>
      </c>
      <c r="AD297" s="114">
        <f>SQRT((Tableau!$G$25-P297)^2+(Tableau!$H$25-Q297)^2)</f>
        <v>10866730.971453199</v>
      </c>
      <c r="AE297" s="115">
        <f>SQRT((Tableau!$G$35-P297)^2+(Tableau!$H$35-Q297)^2)</f>
        <v>10891208.833836993</v>
      </c>
    </row>
    <row r="298" spans="2:31" x14ac:dyDescent="0.25">
      <c r="B298" s="20">
        <v>295</v>
      </c>
      <c r="C298" s="21">
        <f>Tableau!$G$17*COS(B298*PI()/180)+Tableau!$G$16</f>
        <v>22113.091308703497</v>
      </c>
      <c r="D298" s="21">
        <f>Tableau!$G$17*SIN(B298*PI()/180)+Tableau!$H$16</f>
        <v>2968.46106481675</v>
      </c>
      <c r="F298" s="28">
        <v>295</v>
      </c>
      <c r="G298" s="29">
        <f>Tableau!$G$26*COS(F298*PI()/180)+Tableau!$G$25</f>
        <v>-18520.83608390755</v>
      </c>
      <c r="H298" s="29">
        <f>Tableau!$G$26*SIN(F298*PI()/180)+Tableau!$H$25</f>
        <v>6827.9227453717249</v>
      </c>
      <c r="J298" s="36">
        <v>295</v>
      </c>
      <c r="K298" s="37">
        <f>Tableau!$G$36*COS(J298*PI()/180)+Tableau!$G$35</f>
        <v>-2886.9086912965022</v>
      </c>
      <c r="L298" s="37">
        <f>Tableau!$G$36*SIN(J298*PI()/180)+Tableau!$H$35</f>
        <v>-19531.538935183249</v>
      </c>
      <c r="N298" s="92">
        <v>294</v>
      </c>
      <c r="O298" s="93">
        <v>147</v>
      </c>
      <c r="P298" s="96">
        <f>P297+R297*Tableau!$G$2+((1/2)*T297)*Tableau!$G$2^2</f>
        <v>-9813748.8869460113</v>
      </c>
      <c r="Q298" s="96">
        <f>Q297+S297*Tableau!$G$2+((1/2)*U297)*Tableau!$G$2^2</f>
        <v>4806017.9275941281</v>
      </c>
      <c r="R298" s="96">
        <f>R297+T297*Tableau!$G$2</f>
        <v>-68698.766903062642</v>
      </c>
      <c r="S298" s="96">
        <f>S297+U297*Tableau!$G$2</f>
        <v>33801.004501723204</v>
      </c>
      <c r="T298" s="96">
        <f t="shared" si="8"/>
        <v>9.2203913689771402E-3</v>
      </c>
      <c r="U298" s="96">
        <f t="shared" si="9"/>
        <v>-4.5154943503248508E-3</v>
      </c>
      <c r="V298" s="96">
        <f>((Tableau!$G$16-P298)/(AC298^2+Tableau!$G$21^2)^(3/2))*Tableau!$G$20</f>
        <v>3.9302666346623782E-3</v>
      </c>
      <c r="W298" s="96">
        <f>((Tableau!$H$16-Q298)/(AC298^2+Tableau!$G$21^2)^(3/2))*Tableau!$G$20</f>
        <v>-1.9178296215889535E-3</v>
      </c>
      <c r="X298" s="96">
        <f>((Tableau!$G$25-P298)/(AD298^2+Tableau!$G$30^2)^(3/2))*Tableau!$G$29</f>
        <v>1.3563231111380812E-3</v>
      </c>
      <c r="Y298" s="96">
        <f>((Tableau!$H$25-Q298)/(AD298^2+Tableau!$G$30^2)^(3/2))*Tableau!$G$29</f>
        <v>-6.6419407233310435E-4</v>
      </c>
      <c r="Z298" s="96">
        <f>((Tableau!$G$35-P298)/(AE298^2+Tableau!$G$40^2)^(3/2))*Tableau!$G$39</f>
        <v>3.9338016231766811E-3</v>
      </c>
      <c r="AA298" s="97">
        <f>((Tableau!$H$35-Q298)/(AE298^2+Tableau!$G$40^2)^(3/2))*Tableau!$G$39</f>
        <v>-1.9334706564027924E-3</v>
      </c>
      <c r="AC298" s="110">
        <f>SQRT((Tableau!$G$16-P298)^2+(Tableau!$H$16-Q298)^2)</f>
        <v>10942046.95077453</v>
      </c>
      <c r="AD298" s="111">
        <f>SQRT((Tableau!$G$25-P298)^2+(Tableau!$H$25-Q298)^2)</f>
        <v>10905012.848335415</v>
      </c>
      <c r="AE298" s="112">
        <f>SQRT((Tableau!$G$35-P298)^2+(Tableau!$H$35-Q298)^2)</f>
        <v>10929490.77429267</v>
      </c>
    </row>
    <row r="299" spans="2:31" x14ac:dyDescent="0.25">
      <c r="B299" s="18">
        <v>296</v>
      </c>
      <c r="C299" s="19">
        <f>Tableau!$G$17*COS(B299*PI()/180)+Tableau!$G$16</f>
        <v>22191.855733945387</v>
      </c>
      <c r="D299" s="19">
        <f>Tableau!$G$17*SIN(B299*PI()/180)+Tableau!$H$16</f>
        <v>3006.0297685041651</v>
      </c>
      <c r="F299" s="26">
        <v>296</v>
      </c>
      <c r="G299" s="27">
        <f>Tableau!$G$26*COS(F299*PI()/180)+Tableau!$G$25</f>
        <v>-18465.700986238229</v>
      </c>
      <c r="H299" s="27">
        <f>Tableau!$G$26*SIN(F299*PI()/180)+Tableau!$H$25</f>
        <v>6854.2208379529147</v>
      </c>
      <c r="J299" s="34">
        <v>296</v>
      </c>
      <c r="K299" s="35">
        <f>Tableau!$G$36*COS(J299*PI()/180)+Tableau!$G$35</f>
        <v>-2808.1442660546131</v>
      </c>
      <c r="L299" s="35">
        <f>Tableau!$G$36*SIN(J299*PI()/180)+Tableau!$H$35</f>
        <v>-19493.970231495834</v>
      </c>
      <c r="N299" s="98">
        <v>295</v>
      </c>
      <c r="O299" s="99">
        <v>147.5</v>
      </c>
      <c r="P299" s="101">
        <f>P298+R298*Tableau!$G$2+((1/2)*T298)*Tableau!$G$2^2</f>
        <v>-9848098.2692449931</v>
      </c>
      <c r="Q299" s="101">
        <f>Q298+S298*Tableau!$G$2+((1/2)*U298)*Tableau!$G$2^2</f>
        <v>4822918.429280553</v>
      </c>
      <c r="R299" s="101">
        <f>R298+T298*Tableau!$G$2</f>
        <v>-68698.762292866959</v>
      </c>
      <c r="S299" s="101">
        <f>S298+U298*Tableau!$G$2</f>
        <v>33801.002243976029</v>
      </c>
      <c r="T299" s="101">
        <f t="shared" si="8"/>
        <v>9.1561194775189279E-3</v>
      </c>
      <c r="U299" s="101">
        <f t="shared" si="9"/>
        <v>-4.4840915094294578E-3</v>
      </c>
      <c r="V299" s="101">
        <f>((Tableau!$G$16-P299)/(AC299^2+Tableau!$G$21^2)^(3/2))*Tableau!$G$20</f>
        <v>3.9028877981029976E-3</v>
      </c>
      <c r="W299" s="101">
        <f>((Tableau!$H$16-Q299)/(AC299^2+Tableau!$G$21^2)^(3/2))*Tableau!$G$20</f>
        <v>-1.9045247947087277E-3</v>
      </c>
      <c r="X299" s="101">
        <f>((Tableau!$G$25-P299)/(AD299^2+Tableau!$G$30^2)^(3/2))*Tableau!$G$29</f>
        <v>1.3468460142985745E-3</v>
      </c>
      <c r="Y299" s="101">
        <f>((Tableau!$H$25-Q299)/(AD299^2+Tableau!$G$30^2)^(3/2))*Tableau!$G$29</f>
        <v>-6.5956402002059398E-4</v>
      </c>
      <c r="Z299" s="101">
        <f>((Tableau!$G$35-P299)/(AE299^2+Tableau!$G$40^2)^(3/2))*Tableau!$G$39</f>
        <v>3.9063856651173562E-3</v>
      </c>
      <c r="AA299" s="102">
        <f>((Tableau!$H$35-Q299)/(AE299^2+Tableau!$G$40^2)^(3/2))*Tableau!$G$39</f>
        <v>-1.9200026947001356E-3</v>
      </c>
      <c r="AC299" s="113">
        <f>SQRT((Tableau!$G$16-P299)^2+(Tableau!$H$16-Q299)^2)</f>
        <v>10980328.688182827</v>
      </c>
      <c r="AD299" s="114">
        <f>SQRT((Tableau!$G$25-P299)^2+(Tableau!$H$25-Q299)^2)</f>
        <v>10943294.723109892</v>
      </c>
      <c r="AE299" s="115">
        <f>SQRT((Tableau!$G$35-P299)^2+(Tableau!$H$35-Q299)^2)</f>
        <v>10967772.712195771</v>
      </c>
    </row>
    <row r="300" spans="2:31" x14ac:dyDescent="0.25">
      <c r="B300" s="20">
        <v>297</v>
      </c>
      <c r="C300" s="21">
        <f>Tableau!$G$17*COS(B300*PI()/180)+Tableau!$G$16</f>
        <v>22269.952498697734</v>
      </c>
      <c r="D300" s="21">
        <f>Tableau!$G$17*SIN(B300*PI()/180)+Tableau!$H$16</f>
        <v>3044.9673790581601</v>
      </c>
      <c r="F300" s="28">
        <v>297</v>
      </c>
      <c r="G300" s="29">
        <f>Tableau!$G$26*COS(F300*PI()/180)+Tableau!$G$25</f>
        <v>-18411.033250911587</v>
      </c>
      <c r="H300" s="29">
        <f>Tableau!$G$26*SIN(F300*PI()/180)+Tableau!$H$25</f>
        <v>6881.4771653407124</v>
      </c>
      <c r="J300" s="36">
        <v>297</v>
      </c>
      <c r="K300" s="37">
        <f>Tableau!$G$36*COS(J300*PI()/180)+Tableau!$G$35</f>
        <v>-2730.0475013022669</v>
      </c>
      <c r="L300" s="37">
        <f>Tableau!$G$36*SIN(J300*PI()/180)+Tableau!$H$35</f>
        <v>-19455.032620941842</v>
      </c>
      <c r="N300" s="92">
        <v>296</v>
      </c>
      <c r="O300" s="93">
        <v>148</v>
      </c>
      <c r="P300" s="96">
        <f>P299+R299*Tableau!$G$2+((1/2)*T299)*Tableau!$G$2^2</f>
        <v>-9882447.6492469106</v>
      </c>
      <c r="Q300" s="96">
        <f>Q299+S299*Tableau!$G$2+((1/2)*U299)*Tableau!$G$2^2</f>
        <v>4839818.9298420288</v>
      </c>
      <c r="R300" s="96">
        <f>R299+T299*Tableau!$G$2</f>
        <v>-68698.757714807216</v>
      </c>
      <c r="S300" s="96">
        <f>S299+U299*Tableau!$G$2</f>
        <v>33801.000001930275</v>
      </c>
      <c r="T300" s="96">
        <f t="shared" si="8"/>
        <v>9.0925172772277872E-3</v>
      </c>
      <c r="U300" s="96">
        <f t="shared" si="9"/>
        <v>-4.4530151189062037E-3</v>
      </c>
      <c r="V300" s="96">
        <f>((Tableau!$G$16-P300)/(AC300^2+Tableau!$G$21^2)^(3/2))*Tableau!$G$20</f>
        <v>3.8757940561027502E-3</v>
      </c>
      <c r="W300" s="96">
        <f>((Tableau!$H$16-Q300)/(AC300^2+Tableau!$G$21^2)^(3/2))*Tableau!$G$20</f>
        <v>-1.891357939862363E-3</v>
      </c>
      <c r="X300" s="96">
        <f>((Tableau!$G$25-P300)/(AD300^2+Tableau!$G$30^2)^(3/2))*Tableau!$G$29</f>
        <v>1.3374679015864858E-3</v>
      </c>
      <c r="Y300" s="96">
        <f>((Tableau!$H$25-Q300)/(AD300^2+Tableau!$G$30^2)^(3/2))*Tableau!$G$29</f>
        <v>-6.549822132269331E-4</v>
      </c>
      <c r="Z300" s="96">
        <f>((Tableau!$G$35-P300)/(AE300^2+Tableau!$G$40^2)^(3/2))*Tableau!$G$39</f>
        <v>3.8792553195385513E-3</v>
      </c>
      <c r="AA300" s="97">
        <f>((Tableau!$H$35-Q300)/(AE300^2+Tableau!$G$40^2)^(3/2))*Tableau!$G$39</f>
        <v>-1.9066749658169077E-3</v>
      </c>
      <c r="AC300" s="110">
        <f>SQRT((Tableau!$G$16-P300)^2+(Tableau!$H$16-Q300)^2)</f>
        <v>11018610.424449414</v>
      </c>
      <c r="AD300" s="111">
        <f>SQRT((Tableau!$G$25-P300)^2+(Tableau!$H$25-Q300)^2)</f>
        <v>10981576.59578971</v>
      </c>
      <c r="AE300" s="112">
        <f>SQRT((Tableau!$G$35-P300)^2+(Tableau!$H$35-Q300)^2)</f>
        <v>11006054.647564031</v>
      </c>
    </row>
    <row r="301" spans="2:31" x14ac:dyDescent="0.25">
      <c r="B301" s="18">
        <v>298</v>
      </c>
      <c r="C301" s="19">
        <f>Tableau!$G$17*COS(B301*PI()/180)+Tableau!$G$16</f>
        <v>22347.357813929451</v>
      </c>
      <c r="D301" s="19">
        <f>Tableau!$G$17*SIN(B301*PI()/180)+Tableau!$H$16</f>
        <v>3085.2620357053647</v>
      </c>
      <c r="F301" s="26">
        <v>298</v>
      </c>
      <c r="G301" s="27">
        <f>Tableau!$G$26*COS(F301*PI()/180)+Tableau!$G$25</f>
        <v>-18356.849530249383</v>
      </c>
      <c r="H301" s="27">
        <f>Tableau!$G$26*SIN(F301*PI()/180)+Tableau!$H$25</f>
        <v>6909.6834249937547</v>
      </c>
      <c r="J301" s="34">
        <v>298</v>
      </c>
      <c r="K301" s="35">
        <f>Tableau!$G$36*COS(J301*PI()/180)+Tableau!$G$35</f>
        <v>-2652.6421860705477</v>
      </c>
      <c r="L301" s="35">
        <f>Tableau!$G$36*SIN(J301*PI()/180)+Tableau!$H$35</f>
        <v>-19414.737964294636</v>
      </c>
      <c r="N301" s="98">
        <v>297</v>
      </c>
      <c r="O301" s="99">
        <v>148.5</v>
      </c>
      <c r="P301" s="101">
        <f>P300+R300*Tableau!$G$2+((1/2)*T300)*Tableau!$G$2^2</f>
        <v>-9916797.026967749</v>
      </c>
      <c r="Q301" s="101">
        <f>Q300+S300*Tableau!$G$2+((1/2)*U300)*Tableau!$G$2^2</f>
        <v>4856719.4292863663</v>
      </c>
      <c r="R301" s="101">
        <f>R300+T300*Tableau!$G$2</f>
        <v>-68698.753168548574</v>
      </c>
      <c r="S301" s="101">
        <f>S300+U300*Tableau!$G$2</f>
        <v>33800.997775422715</v>
      </c>
      <c r="T301" s="101">
        <f t="shared" si="8"/>
        <v>9.0295754963507363E-3</v>
      </c>
      <c r="U301" s="101">
        <f t="shared" si="9"/>
        <v>-4.422260669529136E-3</v>
      </c>
      <c r="V301" s="101">
        <f>((Tableau!$G$16-P301)/(AC301^2+Tableau!$G$21^2)^(3/2))*Tableau!$G$20</f>
        <v>3.8489814641261273E-3</v>
      </c>
      <c r="W301" s="101">
        <f>((Tableau!$H$16-Q301)/(AC301^2+Tableau!$G$21^2)^(3/2))*Tableau!$G$20</f>
        <v>-1.8783271559386033E-3</v>
      </c>
      <c r="X301" s="101">
        <f>((Tableau!$G$25-P301)/(AD301^2+Tableau!$G$30^2)^(3/2))*Tableau!$G$29</f>
        <v>1.3281873993207091E-3</v>
      </c>
      <c r="Y301" s="101">
        <f>((Tableau!$H$25-Q301)/(AD301^2+Tableau!$G$30^2)^(3/2))*Tableau!$G$29</f>
        <v>-6.5044798397702731E-4</v>
      </c>
      <c r="Z301" s="101">
        <f>((Tableau!$G$35-P301)/(AE301^2+Tableau!$G$40^2)^(3/2))*Tableau!$G$39</f>
        <v>3.8524066329039004E-3</v>
      </c>
      <c r="AA301" s="102">
        <f>((Tableau!$H$35-Q301)/(AE301^2+Tableau!$G$40^2)^(3/2))*Tableau!$G$39</f>
        <v>-1.8934855296135057E-3</v>
      </c>
      <c r="AC301" s="113">
        <f>SQRT((Tableau!$G$16-P301)^2+(Tableau!$H$16-Q301)^2)</f>
        <v>11056892.159577368</v>
      </c>
      <c r="AD301" s="114">
        <f>SQRT((Tableau!$G$25-P301)^2+(Tableau!$H$25-Q301)^2)</f>
        <v>11019858.466387834</v>
      </c>
      <c r="AE301" s="115">
        <f>SQRT((Tableau!$G$35-P301)^2+(Tableau!$H$35-Q301)^2)</f>
        <v>11044336.580415005</v>
      </c>
    </row>
    <row r="302" spans="2:31" x14ac:dyDescent="0.25">
      <c r="B302" s="20">
        <v>299</v>
      </c>
      <c r="C302" s="21">
        <f>Tableau!$G$17*COS(B302*PI()/180)+Tableau!$G$16</f>
        <v>22424.048101231681</v>
      </c>
      <c r="D302" s="21">
        <f>Tableau!$G$17*SIN(B302*PI()/180)+Tableau!$H$16</f>
        <v>3126.9014643030196</v>
      </c>
      <c r="F302" s="28">
        <v>299</v>
      </c>
      <c r="G302" s="29">
        <f>Tableau!$G$26*COS(F302*PI()/180)+Tableau!$G$25</f>
        <v>-18303.166329137821</v>
      </c>
      <c r="H302" s="29">
        <f>Tableau!$G$26*SIN(F302*PI()/180)+Tableau!$H$25</f>
        <v>6938.831025012114</v>
      </c>
      <c r="J302" s="36">
        <v>299</v>
      </c>
      <c r="K302" s="37">
        <f>Tableau!$G$36*COS(J302*PI()/180)+Tableau!$G$35</f>
        <v>-2575.9518987683173</v>
      </c>
      <c r="L302" s="37">
        <f>Tableau!$G$36*SIN(J302*PI()/180)+Tableau!$H$35</f>
        <v>-19373.09853569698</v>
      </c>
      <c r="N302" s="92">
        <v>298</v>
      </c>
      <c r="O302" s="93">
        <v>149</v>
      </c>
      <c r="P302" s="96">
        <f>P301+R301*Tableau!$G$2+((1/2)*T301)*Tableau!$G$2^2</f>
        <v>-9951146.4024233259</v>
      </c>
      <c r="Q302" s="96">
        <f>Q301+S301*Tableau!$G$2+((1/2)*U301)*Tableau!$G$2^2</f>
        <v>4873619.9276212947</v>
      </c>
      <c r="R302" s="96">
        <f>R301+T301*Tableau!$G$2</f>
        <v>-68698.74865376082</v>
      </c>
      <c r="S302" s="96">
        <f>S301+U301*Tableau!$G$2</f>
        <v>33800.995564292381</v>
      </c>
      <c r="T302" s="96">
        <f t="shared" si="8"/>
        <v>8.9672850230387291E-3</v>
      </c>
      <c r="U302" s="96">
        <f t="shared" si="9"/>
        <v>-4.3918237296612095E-3</v>
      </c>
      <c r="V302" s="96">
        <f>((Tableau!$G$16-P302)/(AC302^2+Tableau!$G$21^2)^(3/2))*Tableau!$G$20</f>
        <v>3.8224461456223789E-3</v>
      </c>
      <c r="W302" s="96">
        <f>((Tableau!$H$16-Q302)/(AC302^2+Tableau!$G$21^2)^(3/2))*Tableau!$G$20</f>
        <v>-1.8654305744574889E-3</v>
      </c>
      <c r="X302" s="96">
        <f>((Tableau!$G$25-P302)/(AD302^2+Tableau!$G$30^2)^(3/2))*Tableau!$G$29</f>
        <v>1.3190031575672926E-3</v>
      </c>
      <c r="Y302" s="96">
        <f>((Tableau!$H$25-Q302)/(AD302^2+Tableau!$G$30^2)^(3/2))*Tableau!$G$29</f>
        <v>-6.4596067581627035E-4</v>
      </c>
      <c r="Z302" s="96">
        <f>((Tableau!$G$35-P302)/(AE302^2+Tableau!$G$40^2)^(3/2))*Tableau!$G$39</f>
        <v>3.8258357198490576E-3</v>
      </c>
      <c r="AA302" s="97">
        <f>((Tableau!$H$35-Q302)/(AE302^2+Tableau!$G$40^2)^(3/2))*Tableau!$G$39</f>
        <v>-1.8804324793874503E-3</v>
      </c>
      <c r="AC302" s="110">
        <f>SQRT((Tableau!$G$16-P302)^2+(Tableau!$H$16-Q302)^2)</f>
        <v>11095173.893569795</v>
      </c>
      <c r="AD302" s="111">
        <f>SQRT((Tableau!$G$25-P302)^2+(Tableau!$H$25-Q302)^2)</f>
        <v>11058140.334917111</v>
      </c>
      <c r="AE302" s="112">
        <f>SQRT((Tableau!$G$35-P302)^2+(Tableau!$H$35-Q302)^2)</f>
        <v>11082618.510766059</v>
      </c>
    </row>
    <row r="303" spans="2:31" x14ac:dyDescent="0.25">
      <c r="B303" s="18">
        <v>300</v>
      </c>
      <c r="C303" s="19">
        <f>Tableau!$G$17*COS(B303*PI()/180)+Tableau!$G$16</f>
        <v>22500</v>
      </c>
      <c r="D303" s="19">
        <f>Tableau!$G$17*SIN(B303*PI()/180)+Tableau!$H$16</f>
        <v>3169.8729810778068</v>
      </c>
      <c r="F303" s="26">
        <v>300</v>
      </c>
      <c r="G303" s="27">
        <f>Tableau!$G$26*COS(F303*PI()/180)+Tableau!$G$25</f>
        <v>-18250</v>
      </c>
      <c r="H303" s="27">
        <f>Tableau!$G$26*SIN(F303*PI()/180)+Tableau!$H$25</f>
        <v>6968.911086754465</v>
      </c>
      <c r="J303" s="34">
        <v>300</v>
      </c>
      <c r="K303" s="35">
        <f>Tableau!$G$36*COS(J303*PI()/180)+Tableau!$G$35</f>
        <v>-2499.9999999999995</v>
      </c>
      <c r="L303" s="35">
        <f>Tableau!$G$36*SIN(J303*PI()/180)+Tableau!$H$35</f>
        <v>-19330.127018922194</v>
      </c>
      <c r="N303" s="98">
        <v>299</v>
      </c>
      <c r="O303" s="99">
        <v>149.5</v>
      </c>
      <c r="P303" s="101">
        <f>P302+R302*Tableau!$G$2+((1/2)*T302)*Tableau!$G$2^2</f>
        <v>-9985495.7756292969</v>
      </c>
      <c r="Q303" s="101">
        <f>Q302+S302*Tableau!$G$2+((1/2)*U302)*Tableau!$G$2^2</f>
        <v>4890520.424854463</v>
      </c>
      <c r="R303" s="101">
        <f>R302+T302*Tableau!$G$2</f>
        <v>-68698.744170118312</v>
      </c>
      <c r="S303" s="101">
        <f>S302+U302*Tableau!$G$2</f>
        <v>33800.993368380514</v>
      </c>
      <c r="T303" s="101">
        <f t="shared" si="8"/>
        <v>8.9056369020484652E-3</v>
      </c>
      <c r="U303" s="101">
        <f t="shared" si="9"/>
        <v>-4.3616999436575975E-3</v>
      </c>
      <c r="V303" s="101">
        <f>((Tableau!$G$16-P303)/(AC303^2+Tableau!$G$21^2)^(3/2))*Tableau!$G$20</f>
        <v>3.7961842906243178E-3</v>
      </c>
      <c r="W303" s="101">
        <f>((Tableau!$H$16-Q303)/(AC303^2+Tableau!$G$21^2)^(3/2))*Tableau!$G$20</f>
        <v>-1.8526663589005731E-3</v>
      </c>
      <c r="X303" s="101">
        <f>((Tableau!$G$25-P303)/(AD303^2+Tableau!$G$30^2)^(3/2))*Tableau!$G$29</f>
        <v>1.3099138496486032E-3</v>
      </c>
      <c r="Y303" s="101">
        <f>((Tableau!$H$25-Q303)/(AD303^2+Tableau!$G$30^2)^(3/2))*Tableau!$G$29</f>
        <v>-6.4151964357298018E-4</v>
      </c>
      <c r="Z303" s="101">
        <f>((Tableau!$G$35-P303)/(AE303^2+Tableau!$G$40^2)^(3/2))*Tableau!$G$39</f>
        <v>3.7995387617755449E-3</v>
      </c>
      <c r="AA303" s="102">
        <f>((Tableau!$H$35-Q303)/(AE303^2+Tableau!$G$40^2)^(3/2))*Tableau!$G$39</f>
        <v>-1.867513941184044E-3</v>
      </c>
      <c r="AC303" s="113">
        <f>SQRT((Tableau!$G$16-P303)^2+(Tableau!$H$16-Q303)^2)</f>
        <v>11133455.626429809</v>
      </c>
      <c r="AD303" s="114">
        <f>SQRT((Tableau!$G$25-P303)^2+(Tableau!$H$25-Q303)^2)</f>
        <v>11096422.201390272</v>
      </c>
      <c r="AE303" s="115">
        <f>SQRT((Tableau!$G$35-P303)^2+(Tableau!$H$35-Q303)^2)</f>
        <v>11120900.438634388</v>
      </c>
    </row>
    <row r="304" spans="2:31" x14ac:dyDescent="0.25">
      <c r="B304" s="20">
        <v>301</v>
      </c>
      <c r="C304" s="21">
        <f>Tableau!$G$17*COS(B304*PI()/180)+Tableau!$G$16</f>
        <v>22575.190374550271</v>
      </c>
      <c r="D304" s="21">
        <f>Tableau!$G$17*SIN(B304*PI()/180)+Tableau!$H$16</f>
        <v>3214.1634964894383</v>
      </c>
      <c r="F304" s="28">
        <v>301</v>
      </c>
      <c r="G304" s="29">
        <f>Tableau!$G$26*COS(F304*PI()/180)+Tableau!$G$25</f>
        <v>-18197.366737814809</v>
      </c>
      <c r="H304" s="29">
        <f>Tableau!$G$26*SIN(F304*PI()/180)+Tableau!$H$25</f>
        <v>6999.9144475426074</v>
      </c>
      <c r="J304" s="36">
        <v>301</v>
      </c>
      <c r="K304" s="37">
        <f>Tableau!$G$36*COS(J304*PI()/180)+Tableau!$G$35</f>
        <v>-2424.8096254497291</v>
      </c>
      <c r="L304" s="37">
        <f>Tableau!$G$36*SIN(J304*PI()/180)+Tableau!$H$35</f>
        <v>-19285.83650351056</v>
      </c>
      <c r="N304" s="92">
        <v>300</v>
      </c>
      <c r="O304" s="93">
        <v>150</v>
      </c>
      <c r="P304" s="96">
        <f>P303+R303*Tableau!$G$2+((1/2)*T303)*Tableau!$G$2^2</f>
        <v>-10019845.146601152</v>
      </c>
      <c r="Q304" s="96">
        <f>Q303+S303*Tableau!$G$2+((1/2)*U303)*Tableau!$G$2^2</f>
        <v>4907420.9209934408</v>
      </c>
      <c r="R304" s="96">
        <f>R303+T303*Tableau!$G$2</f>
        <v>-68698.739717299861</v>
      </c>
      <c r="S304" s="96">
        <f>S303+U303*Tableau!$G$2</f>
        <v>33800.991187530541</v>
      </c>
      <c r="T304" s="96">
        <f t="shared" si="8"/>
        <v>8.8446223315239245E-3</v>
      </c>
      <c r="U304" s="96">
        <f t="shared" si="9"/>
        <v>-4.3318850303075201E-3</v>
      </c>
      <c r="V304" s="96">
        <f>((Tableau!$G$16-P304)/(AC304^2+Tableau!$G$21^2)^(3/2))*Tableau!$G$20</f>
        <v>3.7701921543806874E-3</v>
      </c>
      <c r="W304" s="96">
        <f>((Tableau!$H$16-Q304)/(AC304^2+Tableau!$G$21^2)^(3/2))*Tableau!$G$20</f>
        <v>-1.8400327040571192E-3</v>
      </c>
      <c r="X304" s="96">
        <f>((Tableau!$G$25-P304)/(AD304^2+Tableau!$G$30^2)^(3/2))*Tableau!$G$29</f>
        <v>1.3009181716641097E-3</v>
      </c>
      <c r="Y304" s="96">
        <f>((Tableau!$H$25-Q304)/(AD304^2+Tableau!$G$30^2)^(3/2))*Tableau!$G$29</f>
        <v>-6.3712425312644318E-4</v>
      </c>
      <c r="Z304" s="96">
        <f>((Tableau!$G$35-P304)/(AE304^2+Tableau!$G$40^2)^(3/2))*Tableau!$G$39</f>
        <v>3.7735120054791277E-3</v>
      </c>
      <c r="AA304" s="97">
        <f>((Tableau!$H$35-Q304)/(AE304^2+Tableau!$G$40^2)^(3/2))*Tableau!$G$39</f>
        <v>-1.8547280731239576E-3</v>
      </c>
      <c r="AC304" s="110">
        <f>SQRT((Tableau!$G$16-P304)^2+(Tableau!$H$16-Q304)^2)</f>
        <v>11171737.358160542</v>
      </c>
      <c r="AD304" s="111">
        <f>SQRT((Tableau!$G$25-P304)^2+(Tableau!$H$25-Q304)^2)</f>
        <v>11134704.065819928</v>
      </c>
      <c r="AE304" s="112">
        <f>SQRT((Tableau!$G$35-P304)^2+(Tableau!$H$35-Q304)^2)</f>
        <v>11159182.364037007</v>
      </c>
    </row>
    <row r="305" spans="2:31" x14ac:dyDescent="0.25">
      <c r="B305" s="18">
        <v>302</v>
      </c>
      <c r="C305" s="19">
        <f>Tableau!$G$17*COS(B305*PI()/180)+Tableau!$G$16</f>
        <v>22649.596321166024</v>
      </c>
      <c r="D305" s="19">
        <f>Tableau!$G$17*SIN(B305*PI()/180)+Tableau!$H$16</f>
        <v>3259.7595192178687</v>
      </c>
      <c r="F305" s="26">
        <v>302</v>
      </c>
      <c r="G305" s="27">
        <f>Tableau!$G$26*COS(F305*PI()/180)+Tableau!$G$25</f>
        <v>-18145.282575183785</v>
      </c>
      <c r="H305" s="27">
        <f>Tableau!$G$26*SIN(F305*PI()/180)+Tableau!$H$25</f>
        <v>7031.831663452509</v>
      </c>
      <c r="J305" s="34">
        <v>302</v>
      </c>
      <c r="K305" s="35">
        <f>Tableau!$G$36*COS(J305*PI()/180)+Tableau!$G$35</f>
        <v>-2350.4036788339768</v>
      </c>
      <c r="L305" s="35">
        <f>Tableau!$G$36*SIN(J305*PI()/180)+Tableau!$H$35</f>
        <v>-19240.240480782129</v>
      </c>
      <c r="N305" s="98">
        <v>301</v>
      </c>
      <c r="O305" s="99">
        <v>150.5</v>
      </c>
      <c r="P305" s="101">
        <f>P304+R304*Tableau!$G$2+((1/2)*T304)*Tableau!$G$2^2</f>
        <v>-10054194.515354224</v>
      </c>
      <c r="Q305" s="101">
        <f>Q304+S304*Tableau!$G$2+((1/2)*U304)*Tableau!$G$2^2</f>
        <v>4924321.4160457198</v>
      </c>
      <c r="R305" s="101">
        <f>R304+T304*Tableau!$G$2</f>
        <v>-68698.735294988699</v>
      </c>
      <c r="S305" s="101">
        <f>S304+U304*Tableau!$G$2</f>
        <v>33800.989021588022</v>
      </c>
      <c r="T305" s="101">
        <f t="shared" si="8"/>
        <v>8.7842326598541864E-3</v>
      </c>
      <c r="U305" s="101">
        <f t="shared" si="9"/>
        <v>-4.3023747813129131E-3</v>
      </c>
      <c r="V305" s="101">
        <f>((Tableau!$G$16-P305)/(AC305^2+Tableau!$G$21^2)^(3/2))*Tableau!$G$20</f>
        <v>3.744466056021183E-3</v>
      </c>
      <c r="W305" s="101">
        <f>((Tableau!$H$16-Q305)/(AC305^2+Tableau!$G$21^2)^(3/2))*Tableau!$G$20</f>
        <v>-1.8275278353858399E-3</v>
      </c>
      <c r="X305" s="101">
        <f>((Tableau!$G$25-P305)/(AD305^2+Tableau!$G$30^2)^(3/2))*Tableau!$G$29</f>
        <v>1.2920148420228017E-3</v>
      </c>
      <c r="Y305" s="101">
        <f>((Tableau!$H$25-Q305)/(AD305^2+Tableau!$G$30^2)^(3/2))*Tableau!$G$29</f>
        <v>-6.327738811805801E-4</v>
      </c>
      <c r="Z305" s="101">
        <f>((Tableau!$G$35-P305)/(AE305^2+Tableau!$G$40^2)^(3/2))*Tableau!$G$39</f>
        <v>3.7477517618102014E-3</v>
      </c>
      <c r="AA305" s="102">
        <f>((Tableau!$H$35-Q305)/(AE305^2+Tableau!$G$40^2)^(3/2))*Tableau!$G$39</f>
        <v>-1.8420730647464932E-3</v>
      </c>
      <c r="AC305" s="113">
        <f>SQRT((Tableau!$G$16-P305)^2+(Tableau!$H$16-Q305)^2)</f>
        <v>11210019.088765146</v>
      </c>
      <c r="AD305" s="114">
        <f>SQRT((Tableau!$G$25-P305)^2+(Tableau!$H$25-Q305)^2)</f>
        <v>11172985.928218579</v>
      </c>
      <c r="AE305" s="115">
        <f>SQRT((Tableau!$G$35-P305)^2+(Tableau!$H$35-Q305)^2)</f>
        <v>11197464.286990751</v>
      </c>
    </row>
    <row r="306" spans="2:31" x14ac:dyDescent="0.25">
      <c r="B306" s="20">
        <v>303</v>
      </c>
      <c r="C306" s="21">
        <f>Tableau!$G$17*COS(B306*PI()/180)+Tableau!$G$16</f>
        <v>22723.195175075132</v>
      </c>
      <c r="D306" s="21">
        <f>Tableau!$G$17*SIN(B306*PI()/180)+Tableau!$H$16</f>
        <v>3306.6471602728789</v>
      </c>
      <c r="F306" s="28">
        <v>303</v>
      </c>
      <c r="G306" s="29">
        <f>Tableau!$G$26*COS(F306*PI()/180)+Tableau!$G$25</f>
        <v>-18093.763377447405</v>
      </c>
      <c r="H306" s="29">
        <f>Tableau!$G$26*SIN(F306*PI()/180)+Tableau!$H$25</f>
        <v>7064.6530121910146</v>
      </c>
      <c r="J306" s="36">
        <v>303</v>
      </c>
      <c r="K306" s="37">
        <f>Tableau!$G$36*COS(J306*PI()/180)+Tableau!$G$35</f>
        <v>-2276.8048249248668</v>
      </c>
      <c r="L306" s="37">
        <f>Tableau!$G$36*SIN(J306*PI()/180)+Tableau!$H$35</f>
        <v>-19193.352839727122</v>
      </c>
      <c r="N306" s="92">
        <v>302</v>
      </c>
      <c r="O306" s="93">
        <v>151</v>
      </c>
      <c r="P306" s="96">
        <f>P305+R305*Tableau!$G$2+((1/2)*T305)*Tableau!$G$2^2</f>
        <v>-10088543.881903689</v>
      </c>
      <c r="Q306" s="96">
        <f>Q305+S305*Tableau!$G$2+((1/2)*U305)*Tableau!$G$2^2</f>
        <v>4941221.9100187169</v>
      </c>
      <c r="R306" s="96">
        <f>R305+T305*Tableau!$G$2</f>
        <v>-68698.730902872368</v>
      </c>
      <c r="S306" s="96">
        <f>S305+U305*Tableau!$G$2</f>
        <v>33800.986870400629</v>
      </c>
      <c r="T306" s="96">
        <f t="shared" si="8"/>
        <v>8.7244593826062821E-3</v>
      </c>
      <c r="U306" s="96">
        <f t="shared" si="9"/>
        <v>-4.2731650598033435E-3</v>
      </c>
      <c r="V306" s="96">
        <f>((Tableau!$G$16-P306)/(AC306^2+Tableau!$G$21^2)^(3/2))*Tableau!$G$20</f>
        <v>3.7190023772530664E-3</v>
      </c>
      <c r="W306" s="96">
        <f>((Tableau!$H$16-Q306)/(AC306^2+Tableau!$G$21^2)^(3/2))*Tableau!$G$20</f>
        <v>-1.8151500083916801E-3</v>
      </c>
      <c r="X306" s="96">
        <f>((Tableau!$G$25-P306)/(AD306^2+Tableau!$G$30^2)^(3/2))*Tableau!$G$29</f>
        <v>1.2832026009866476E-3</v>
      </c>
      <c r="Y306" s="96">
        <f>((Tableau!$H$25-Q306)/(AD306^2+Tableau!$G$30^2)^(3/2))*Tableau!$G$29</f>
        <v>-6.2846791504294014E-4</v>
      </c>
      <c r="Z306" s="96">
        <f>((Tableau!$G$35-P306)/(AE306^2+Tableau!$G$40^2)^(3/2))*Tableau!$G$39</f>
        <v>3.7222544043665679E-3</v>
      </c>
      <c r="AA306" s="97">
        <f>((Tableau!$H$35-Q306)/(AE306^2+Tableau!$G$40^2)^(3/2))*Tableau!$G$39</f>
        <v>-1.8295471363687229E-3</v>
      </c>
      <c r="AC306" s="110">
        <f>SQRT((Tableau!$G$16-P306)^2+(Tableau!$H$16-Q306)^2)</f>
        <v>11248300.818246784</v>
      </c>
      <c r="AD306" s="111">
        <f>SQRT((Tableau!$G$25-P306)^2+(Tableau!$H$25-Q306)^2)</f>
        <v>11211267.788598614</v>
      </c>
      <c r="AE306" s="112">
        <f>SQRT((Tableau!$G$35-P306)^2+(Tableau!$H$35-Q306)^2)</f>
        <v>11235746.207512295</v>
      </c>
    </row>
    <row r="307" spans="2:31" x14ac:dyDescent="0.25">
      <c r="B307" s="18">
        <v>304</v>
      </c>
      <c r="C307" s="19">
        <f>Tableau!$G$17*COS(B307*PI()/180)+Tableau!$G$16</f>
        <v>22795.964517353732</v>
      </c>
      <c r="D307" s="19">
        <f>Tableau!$G$17*SIN(B307*PI()/180)+Tableau!$H$16</f>
        <v>3354.8121372247897</v>
      </c>
      <c r="F307" s="26">
        <v>304</v>
      </c>
      <c r="G307" s="27">
        <f>Tableau!$G$26*COS(F307*PI()/180)+Tableau!$G$25</f>
        <v>-18042.824837852389</v>
      </c>
      <c r="H307" s="27">
        <f>Tableau!$G$26*SIN(F307*PI()/180)+Tableau!$H$25</f>
        <v>7098.3684960573528</v>
      </c>
      <c r="J307" s="34">
        <v>304</v>
      </c>
      <c r="K307" s="35">
        <f>Tableau!$G$36*COS(J307*PI()/180)+Tableau!$G$35</f>
        <v>-2204.035482646269</v>
      </c>
      <c r="L307" s="35">
        <f>Tableau!$G$36*SIN(J307*PI()/180)+Tableau!$H$35</f>
        <v>-19145.187862775208</v>
      </c>
      <c r="N307" s="98">
        <v>303</v>
      </c>
      <c r="O307" s="99">
        <v>151.5</v>
      </c>
      <c r="P307" s="101">
        <f>P306+R306*Tableau!$G$2+((1/2)*T306)*Tableau!$G$2^2</f>
        <v>-10122893.246264568</v>
      </c>
      <c r="Q307" s="101">
        <f>Q306+S306*Tableau!$G$2+((1/2)*U306)*Tableau!$G$2^2</f>
        <v>4958122.4029197711</v>
      </c>
      <c r="R307" s="101">
        <f>R306+T306*Tableau!$G$2</f>
        <v>-68698.726540642674</v>
      </c>
      <c r="S307" s="101">
        <f>S306+U306*Tableau!$G$2</f>
        <v>33800.984733818099</v>
      </c>
      <c r="T307" s="101">
        <f t="shared" si="8"/>
        <v>8.6652941395311753E-3</v>
      </c>
      <c r="U307" s="101">
        <f t="shared" si="9"/>
        <v>-4.2442517988862524E-3</v>
      </c>
      <c r="V307" s="101">
        <f>((Tableau!$G$16-P307)/(AC307^2+Tableau!$G$21^2)^(3/2))*Tableau!$G$20</f>
        <v>3.6937975610890944E-3</v>
      </c>
      <c r="W307" s="101">
        <f>((Tableau!$H$16-Q307)/(AC307^2+Tableau!$G$21^2)^(3/2))*Tableau!$G$20</f>
        <v>-1.802897508017516E-3</v>
      </c>
      <c r="X307" s="101">
        <f>((Tableau!$G$25-P307)/(AD307^2+Tableau!$G$30^2)^(3/2))*Tableau!$G$29</f>
        <v>1.2744802102249968E-3</v>
      </c>
      <c r="Y307" s="101">
        <f>((Tableau!$H$25-Q307)/(AD307^2+Tableau!$G$30^2)^(3/2))*Tableau!$G$29</f>
        <v>-6.2420575240898296E-4</v>
      </c>
      <c r="Z307" s="101">
        <f>((Tableau!$G$35-P307)/(AE307^2+Tableau!$G$40^2)^(3/2))*Tableau!$G$39</f>
        <v>3.6970163682170844E-3</v>
      </c>
      <c r="AA307" s="102">
        <f>((Tableau!$H$35-Q307)/(AE307^2+Tableau!$G$40^2)^(3/2))*Tableau!$G$39</f>
        <v>-1.8171485384597538E-3</v>
      </c>
      <c r="AC307" s="113">
        <f>SQRT((Tableau!$G$16-P307)^2+(Tableau!$H$16-Q307)^2)</f>
        <v>11286582.546608629</v>
      </c>
      <c r="AD307" s="114">
        <f>SQRT((Tableau!$G$25-P307)^2+(Tableau!$H$25-Q307)^2)</f>
        <v>11249549.646972306</v>
      </c>
      <c r="AE307" s="115">
        <f>SQRT((Tableau!$G$35-P307)^2+(Tableau!$H$35-Q307)^2)</f>
        <v>11274028.125618132</v>
      </c>
    </row>
    <row r="308" spans="2:31" x14ac:dyDescent="0.25">
      <c r="B308" s="20">
        <v>305</v>
      </c>
      <c r="C308" s="21">
        <f>Tableau!$G$17*COS(B308*PI()/180)+Tableau!$G$16</f>
        <v>22867.882181755231</v>
      </c>
      <c r="D308" s="21">
        <f>Tableau!$G$17*SIN(B308*PI()/180)+Tableau!$H$16</f>
        <v>3404.2397785550411</v>
      </c>
      <c r="F308" s="28">
        <v>305</v>
      </c>
      <c r="G308" s="29">
        <f>Tableau!$G$26*COS(F308*PI()/180)+Tableau!$G$25</f>
        <v>-17992.482472771339</v>
      </c>
      <c r="H308" s="29">
        <f>Tableau!$G$26*SIN(F308*PI()/180)+Tableau!$H$25</f>
        <v>7132.9678449885287</v>
      </c>
      <c r="J308" s="36">
        <v>305</v>
      </c>
      <c r="K308" s="37">
        <f>Tableau!$G$36*COS(J308*PI()/180)+Tableau!$G$35</f>
        <v>-2132.1178182447698</v>
      </c>
      <c r="L308" s="37">
        <f>Tableau!$G$36*SIN(J308*PI()/180)+Tableau!$H$35</f>
        <v>-19095.760221444958</v>
      </c>
      <c r="N308" s="92">
        <v>304</v>
      </c>
      <c r="O308" s="93">
        <v>152</v>
      </c>
      <c r="P308" s="96">
        <f>P307+R307*Tableau!$G$2+((1/2)*T307)*Tableau!$G$2^2</f>
        <v>-10157242.608451728</v>
      </c>
      <c r="Q308" s="96">
        <f>Q307+S307*Tableau!$G$2+((1/2)*U307)*Tableau!$G$2^2</f>
        <v>4975022.8947561486</v>
      </c>
      <c r="R308" s="96">
        <f>R307+T307*Tableau!$G$2</f>
        <v>-68698.722207995597</v>
      </c>
      <c r="S308" s="96">
        <f>S307+U307*Tableau!$G$2</f>
        <v>33800.982611692198</v>
      </c>
      <c r="T308" s="96">
        <f t="shared" si="8"/>
        <v>8.6067287116400586E-3</v>
      </c>
      <c r="U308" s="96">
        <f t="shared" si="9"/>
        <v>-4.2156310002311745E-3</v>
      </c>
      <c r="V308" s="96">
        <f>((Tableau!$G$16-P308)/(AC308^2+Tableau!$G$21^2)^(3/2))*Tableau!$G$20</f>
        <v>3.6688481106050327E-3</v>
      </c>
      <c r="W308" s="96">
        <f>((Tableau!$H$16-Q308)/(AC308^2+Tableau!$G$21^2)^(3/2))*Tableau!$G$20</f>
        <v>-1.7907686480499393E-3</v>
      </c>
      <c r="X308" s="96">
        <f>((Tableau!$G$25-P308)/(AD308^2+Tableau!$G$30^2)^(3/2))*Tableau!$G$29</f>
        <v>1.2658464523794678E-3</v>
      </c>
      <c r="Y308" s="96">
        <f>((Tableau!$H$25-Q308)/(AD308^2+Tableau!$G$30^2)^(3/2))*Tableau!$G$29</f>
        <v>-6.1998680115142428E-4</v>
      </c>
      <c r="Z308" s="96">
        <f>((Tableau!$G$35-P308)/(AE308^2+Tableau!$G$40^2)^(3/2))*Tableau!$G$39</f>
        <v>3.6720341486555582E-3</v>
      </c>
      <c r="AA308" s="97">
        <f>((Tableau!$H$35-Q308)/(AE308^2+Tableau!$G$40^2)^(3/2))*Tableau!$G$39</f>
        <v>-1.8048755510298108E-3</v>
      </c>
      <c r="AC308" s="110">
        <f>SQRT((Tableau!$G$16-P308)^2+(Tableau!$H$16-Q308)^2)</f>
        <v>11324864.273853874</v>
      </c>
      <c r="AD308" s="111">
        <f>SQRT((Tableau!$G$25-P308)^2+(Tableau!$H$25-Q308)^2)</f>
        <v>11287831.503351824</v>
      </c>
      <c r="AE308" s="112">
        <f>SQRT((Tableau!$G$35-P308)^2+(Tableau!$H$35-Q308)^2)</f>
        <v>11312310.041324595</v>
      </c>
    </row>
    <row r="309" spans="2:31" x14ac:dyDescent="0.25">
      <c r="B309" s="18">
        <v>306</v>
      </c>
      <c r="C309" s="19">
        <f>Tableau!$G$17*COS(B309*PI()/180)+Tableau!$G$16</f>
        <v>22938.926261462366</v>
      </c>
      <c r="D309" s="19">
        <f>Tableau!$G$17*SIN(B309*PI()/180)+Tableau!$H$16</f>
        <v>3454.9150281252623</v>
      </c>
      <c r="F309" s="26">
        <v>306</v>
      </c>
      <c r="G309" s="27">
        <f>Tableau!$G$26*COS(F309*PI()/180)+Tableau!$G$25</f>
        <v>-17942.751616976344</v>
      </c>
      <c r="H309" s="27">
        <f>Tableau!$G$26*SIN(F309*PI()/180)+Tableau!$H$25</f>
        <v>7168.4405196876833</v>
      </c>
      <c r="J309" s="34">
        <v>306</v>
      </c>
      <c r="K309" s="35">
        <f>Tableau!$G$36*COS(J309*PI()/180)+Tableau!$G$35</f>
        <v>-2061.0737385376356</v>
      </c>
      <c r="L309" s="35">
        <f>Tableau!$G$36*SIN(J309*PI()/180)+Tableau!$H$35</f>
        <v>-19045.084971874738</v>
      </c>
      <c r="N309" s="98">
        <v>305</v>
      </c>
      <c r="O309" s="99">
        <v>152.5</v>
      </c>
      <c r="P309" s="101">
        <f>P308+R308*Tableau!$G$2+((1/2)*T308)*Tableau!$G$2^2</f>
        <v>-10191591.968479885</v>
      </c>
      <c r="Q309" s="101">
        <f>Q308+S308*Tableau!$G$2+((1/2)*U308)*Tableau!$G$2^2</f>
        <v>4991923.3855350409</v>
      </c>
      <c r="R309" s="101">
        <f>R308+T308*Tableau!$G$2</f>
        <v>-68698.717904631238</v>
      </c>
      <c r="S309" s="101">
        <f>S308+U308*Tableau!$G$2</f>
        <v>33800.980503876701</v>
      </c>
      <c r="T309" s="101">
        <f t="shared" si="8"/>
        <v>8.5487550183498337E-3</v>
      </c>
      <c r="U309" s="101">
        <f t="shared" si="9"/>
        <v>-4.1872987326873759E-3</v>
      </c>
      <c r="V309" s="101">
        <f>((Tableau!$G$16-P309)/(AC309^2+Tableau!$G$21^2)^(3/2))*Tableau!$G$20</f>
        <v>3.6441505877269501E-3</v>
      </c>
      <c r="W309" s="101">
        <f>((Tableau!$H$16-Q309)/(AC309^2+Tableau!$G$21^2)^(3/2))*Tableau!$G$20</f>
        <v>-1.7787617705392312E-3</v>
      </c>
      <c r="X309" s="101">
        <f>((Tableau!$G$25-P309)/(AD309^2+Tableau!$G$30^2)^(3/2))*Tableau!$G$29</f>
        <v>1.2573001306392484E-3</v>
      </c>
      <c r="Y309" s="101">
        <f>((Tableau!$H$25-Q309)/(AD309^2+Tableau!$G$30^2)^(3/2))*Tableau!$G$29</f>
        <v>-6.1581047911461165E-4</v>
      </c>
      <c r="Z309" s="101">
        <f>((Tableau!$G$35-P309)/(AE309^2+Tableau!$G$40^2)^(3/2))*Tableau!$G$39</f>
        <v>3.6473042999836352E-3</v>
      </c>
      <c r="AA309" s="102">
        <f>((Tableau!$H$35-Q309)/(AE309^2+Tableau!$G$40^2)^(3/2))*Tableau!$G$39</f>
        <v>-1.7927264830335328E-3</v>
      </c>
      <c r="AC309" s="113">
        <f>SQRT((Tableau!$G$16-P309)^2+(Tableau!$H$16-Q309)^2)</f>
        <v>11363145.999985721</v>
      </c>
      <c r="AD309" s="114">
        <f>SQRT((Tableau!$G$25-P309)^2+(Tableau!$H$25-Q309)^2)</f>
        <v>11326113.357749226</v>
      </c>
      <c r="AE309" s="115">
        <f>SQRT((Tableau!$G$35-P309)^2+(Tableau!$H$35-Q309)^2)</f>
        <v>11350591.954647852</v>
      </c>
    </row>
    <row r="310" spans="2:31" x14ac:dyDescent="0.25">
      <c r="B310" s="20">
        <v>307</v>
      </c>
      <c r="C310" s="21">
        <f>Tableau!$G$17*COS(B310*PI()/180)+Tableau!$G$16</f>
        <v>23009.075115760239</v>
      </c>
      <c r="D310" s="21">
        <f>Tableau!$G$17*SIN(B310*PI()/180)+Tableau!$H$16</f>
        <v>3506.8224497635347</v>
      </c>
      <c r="F310" s="28">
        <v>307</v>
      </c>
      <c r="G310" s="29">
        <f>Tableau!$G$26*COS(F310*PI()/180)+Tableau!$G$25</f>
        <v>-17893.647418967834</v>
      </c>
      <c r="H310" s="29">
        <f>Tableau!$G$26*SIN(F310*PI()/180)+Tableau!$H$25</f>
        <v>7204.7757148344745</v>
      </c>
      <c r="J310" s="36">
        <v>307</v>
      </c>
      <c r="K310" s="37">
        <f>Tableau!$G$36*COS(J310*PI()/180)+Tableau!$G$35</f>
        <v>-1990.9248842397601</v>
      </c>
      <c r="L310" s="37">
        <f>Tableau!$G$36*SIN(J310*PI()/180)+Tableau!$H$35</f>
        <v>-18993.177550236465</v>
      </c>
      <c r="N310" s="92">
        <v>306</v>
      </c>
      <c r="O310" s="93">
        <v>153</v>
      </c>
      <c r="P310" s="96">
        <f>P309+R309*Tableau!$G$2+((1/2)*T309)*Tableau!$G$2^2</f>
        <v>-10225941.326363606</v>
      </c>
      <c r="Q310" s="96">
        <f>Q309+S309*Tableau!$G$2+((1/2)*U309)*Tableau!$G$2^2</f>
        <v>5008823.8752635671</v>
      </c>
      <c r="R310" s="96">
        <f>R309+T309*Tableau!$G$2</f>
        <v>-68698.713630253726</v>
      </c>
      <c r="S310" s="96">
        <f>S309+U309*Tableau!$G$2</f>
        <v>33800.978410227333</v>
      </c>
      <c r="T310" s="96">
        <f t="shared" si="8"/>
        <v>8.4913651146956409E-3</v>
      </c>
      <c r="U310" s="96">
        <f t="shared" si="9"/>
        <v>-4.1592511309338949E-3</v>
      </c>
      <c r="V310" s="96">
        <f>((Tableau!$G$16-P310)/(AC310^2+Tableau!$G$21^2)^(3/2))*Tableau!$G$20</f>
        <v>3.6197016120464377E-3</v>
      </c>
      <c r="W310" s="96">
        <f>((Tableau!$H$16-Q310)/(AC310^2+Tableau!$G$21^2)^(3/2))*Tableau!$G$20</f>
        <v>-1.7668752452326335E-3</v>
      </c>
      <c r="X310" s="96">
        <f>((Tableau!$G$25-P310)/(AD310^2+Tableau!$G$30^2)^(3/2))*Tableau!$G$29</f>
        <v>1.2488400683261798E-3</v>
      </c>
      <c r="Y310" s="96">
        <f>((Tableau!$H$25-Q310)/(AD310^2+Tableau!$G$30^2)^(3/2))*Tableau!$G$29</f>
        <v>-6.1167621391362511E-4</v>
      </c>
      <c r="Z310" s="96">
        <f>((Tableau!$G$35-P310)/(AE310^2+Tableau!$G$40^2)^(3/2))*Tableau!$G$39</f>
        <v>3.6228234343230236E-3</v>
      </c>
      <c r="AA310" s="97">
        <f>((Tableau!$H$35-Q310)/(AE310^2+Tableau!$G$40^2)^(3/2))*Tableau!$G$39</f>
        <v>-1.7806996717876357E-3</v>
      </c>
      <c r="AC310" s="110">
        <f>SQRT((Tableau!$G$16-P310)^2+(Tableau!$H$16-Q310)^2)</f>
        <v>11401427.725007381</v>
      </c>
      <c r="AD310" s="111">
        <f>SQRT((Tableau!$G$25-P310)^2+(Tableau!$H$25-Q310)^2)</f>
        <v>11364395.210176457</v>
      </c>
      <c r="AE310" s="112">
        <f>SQRT((Tableau!$G$35-P310)^2+(Tableau!$H$35-Q310)^2)</f>
        <v>11388873.865603907</v>
      </c>
    </row>
    <row r="311" spans="2:31" x14ac:dyDescent="0.25">
      <c r="B311" s="18">
        <v>308</v>
      </c>
      <c r="C311" s="19">
        <f>Tableau!$G$17*COS(B311*PI()/180)+Tableau!$G$16</f>
        <v>23078.307376628294</v>
      </c>
      <c r="D311" s="19">
        <f>Tableau!$G$17*SIN(B311*PI()/180)+Tableau!$H$16</f>
        <v>3559.9462319663912</v>
      </c>
      <c r="F311" s="26">
        <v>308</v>
      </c>
      <c r="G311" s="27">
        <f>Tableau!$G$26*COS(F311*PI()/180)+Tableau!$G$25</f>
        <v>-17845.184836360197</v>
      </c>
      <c r="H311" s="27">
        <f>Tableau!$G$26*SIN(F311*PI()/180)+Tableau!$H$25</f>
        <v>7241.9623623764737</v>
      </c>
      <c r="J311" s="34">
        <v>308</v>
      </c>
      <c r="K311" s="35">
        <f>Tableau!$G$36*COS(J311*PI()/180)+Tableau!$G$35</f>
        <v>-1921.6926233717072</v>
      </c>
      <c r="L311" s="35">
        <f>Tableau!$G$36*SIN(J311*PI()/180)+Tableau!$H$35</f>
        <v>-18940.053768033609</v>
      </c>
      <c r="N311" s="98">
        <v>307</v>
      </c>
      <c r="O311" s="99">
        <v>153.5</v>
      </c>
      <c r="P311" s="101">
        <f>P310+R310*Tableau!$G$2+((1/2)*T310)*Tableau!$G$2^2</f>
        <v>-10260290.682117313</v>
      </c>
      <c r="Q311" s="101">
        <f>Q310+S310*Tableau!$G$2+((1/2)*U310)*Tableau!$G$2^2</f>
        <v>5025724.3639487745</v>
      </c>
      <c r="R311" s="101">
        <f>R310+T310*Tableau!$G$2</f>
        <v>-68698.709384571164</v>
      </c>
      <c r="S311" s="101">
        <f>S310+U310*Tableau!$G$2</f>
        <v>33800.97633060177</v>
      </c>
      <c r="T311" s="101">
        <f t="shared" si="8"/>
        <v>8.4345511886088371E-3</v>
      </c>
      <c r="U311" s="101">
        <f t="shared" si="9"/>
        <v>-4.1314843941612066E-3</v>
      </c>
      <c r="V311" s="101">
        <f>((Tableau!$G$16-P311)/(AC311^2+Tableau!$G$21^2)^(3/2))*Tableau!$G$20</f>
        <v>3.5954978596642131E-3</v>
      </c>
      <c r="W311" s="101">
        <f>((Tableau!$H$16-Q311)/(AC311^2+Tableau!$G$21^2)^(3/2))*Tableau!$G$20</f>
        <v>-1.7551074690211497E-3</v>
      </c>
      <c r="X311" s="101">
        <f>((Tableau!$G$25-P311)/(AD311^2+Tableau!$G$30^2)^(3/2))*Tableau!$G$29</f>
        <v>1.2404651084898775E-3</v>
      </c>
      <c r="Y311" s="101">
        <f>((Tableau!$H$25-Q311)/(AD311^2+Tableau!$G$30^2)^(3/2))*Tableau!$G$29</f>
        <v>-6.0758344273822843E-4</v>
      </c>
      <c r="Z311" s="101">
        <f>((Tableau!$G$35-P311)/(AE311^2+Tableau!$G$40^2)^(3/2))*Tableau!$G$39</f>
        <v>3.5985882204547467E-3</v>
      </c>
      <c r="AA311" s="102">
        <f>((Tableau!$H$35-Q311)/(AE311^2+Tableau!$G$40^2)^(3/2))*Tableau!$G$39</f>
        <v>-1.7687934824018286E-3</v>
      </c>
      <c r="AC311" s="113">
        <f>SQRT((Tableau!$G$16-P311)^2+(Tableau!$H$16-Q311)^2)</f>
        <v>11439709.448922081</v>
      </c>
      <c r="AD311" s="114">
        <f>SQRT((Tableau!$G$25-P311)^2+(Tableau!$H$25-Q311)^2)</f>
        <v>11402677.060645364</v>
      </c>
      <c r="AE311" s="115">
        <f>SQRT((Tableau!$G$35-P311)^2+(Tableau!$H$35-Q311)^2)</f>
        <v>11427155.774208602</v>
      </c>
    </row>
    <row r="312" spans="2:31" x14ac:dyDescent="0.25">
      <c r="B312" s="20">
        <v>309</v>
      </c>
      <c r="C312" s="21">
        <f>Tableau!$G$17*COS(B312*PI()/180)+Tableau!$G$16</f>
        <v>23146.601955249189</v>
      </c>
      <c r="D312" s="21">
        <f>Tableau!$G$17*SIN(B312*PI()/180)+Tableau!$H$16</f>
        <v>3614.2701927151461</v>
      </c>
      <c r="F312" s="28">
        <v>309</v>
      </c>
      <c r="G312" s="29">
        <f>Tableau!$G$26*COS(F312*PI()/180)+Tableau!$G$25</f>
        <v>-17797.37863132557</v>
      </c>
      <c r="H312" s="29">
        <f>Tableau!$G$26*SIN(F312*PI()/180)+Tableau!$H$25</f>
        <v>7279.989134900602</v>
      </c>
      <c r="J312" s="36">
        <v>309</v>
      </c>
      <c r="K312" s="37">
        <f>Tableau!$G$36*COS(J312*PI()/180)+Tableau!$G$35</f>
        <v>-1853.3980447508125</v>
      </c>
      <c r="L312" s="37">
        <f>Tableau!$G$36*SIN(J312*PI()/180)+Tableau!$H$35</f>
        <v>-18885.729807284853</v>
      </c>
      <c r="N312" s="92">
        <v>308</v>
      </c>
      <c r="O312" s="93">
        <v>154</v>
      </c>
      <c r="P312" s="96">
        <f>P311+R311*Tableau!$G$2+((1/2)*T311)*Tableau!$G$2^2</f>
        <v>-10294640.03575528</v>
      </c>
      <c r="Q312" s="96">
        <f>Q311+S311*Tableau!$G$2+((1/2)*U311)*Tableau!$G$2^2</f>
        <v>5042624.8515976407</v>
      </c>
      <c r="R312" s="96">
        <f>R311+T311*Tableau!$G$2</f>
        <v>-68698.705167295571</v>
      </c>
      <c r="S312" s="96">
        <f>S311+U311*Tableau!$G$2</f>
        <v>33800.974264859571</v>
      </c>
      <c r="T312" s="96">
        <f t="shared" si="8"/>
        <v>8.3783055582579945E-3</v>
      </c>
      <c r="U312" s="96">
        <f t="shared" si="9"/>
        <v>-4.1039947847833439E-3</v>
      </c>
      <c r="V312" s="96">
        <f>((Tableau!$G$16-P312)/(AC312^2+Tableau!$G$21^2)^(3/2))*Tableau!$G$20</f>
        <v>3.5715360620598453E-3</v>
      </c>
      <c r="W312" s="96">
        <f>((Tableau!$H$16-Q312)/(AC312^2+Tableau!$G$21^2)^(3/2))*Tableau!$G$20</f>
        <v>-1.7434568653987839E-3</v>
      </c>
      <c r="X312" s="96">
        <f>((Tableau!$G$25-P312)/(AD312^2+Tableau!$G$30^2)^(3/2))*Tableau!$G$29</f>
        <v>1.2321741135120391E-3</v>
      </c>
      <c r="Y312" s="96">
        <f>((Tableau!$H$25-Q312)/(AD312^2+Tableau!$G$30^2)^(3/2))*Tableau!$G$29</f>
        <v>-6.0353161216125705E-4</v>
      </c>
      <c r="Z312" s="96">
        <f>((Tableau!$G$35-P312)/(AE312^2+Tableau!$G$40^2)^(3/2))*Tableau!$G$39</f>
        <v>3.5745953826861092E-3</v>
      </c>
      <c r="AA312" s="97">
        <f>((Tableau!$H$35-Q312)/(AE312^2+Tableau!$G$40^2)^(3/2))*Tableau!$G$39</f>
        <v>-1.7570063072233034E-3</v>
      </c>
      <c r="AC312" s="110">
        <f>SQRT((Tableau!$G$16-P312)^2+(Tableau!$H$16-Q312)^2)</f>
        <v>11477991.17173305</v>
      </c>
      <c r="AD312" s="111">
        <f>SQRT((Tableau!$G$25-P312)^2+(Tableau!$H$25-Q312)^2)</f>
        <v>11440958.909167686</v>
      </c>
      <c r="AE312" s="112">
        <f>SQRT((Tableau!$G$35-P312)^2+(Tableau!$H$35-Q312)^2)</f>
        <v>11465437.680477617</v>
      </c>
    </row>
    <row r="313" spans="2:31" x14ac:dyDescent="0.25">
      <c r="B313" s="18">
        <v>310</v>
      </c>
      <c r="C313" s="19">
        <f>Tableau!$G$17*COS(B313*PI()/180)+Tableau!$G$16</f>
        <v>23213.938048432698</v>
      </c>
      <c r="D313" s="19">
        <f>Tableau!$G$17*SIN(B313*PI()/180)+Tableau!$H$16</f>
        <v>3669.7777844051093</v>
      </c>
      <c r="F313" s="26">
        <v>310</v>
      </c>
      <c r="G313" s="27">
        <f>Tableau!$G$26*COS(F313*PI()/180)+Tableau!$G$25</f>
        <v>-17750.243366097115</v>
      </c>
      <c r="H313" s="27">
        <f>Tableau!$G$26*SIN(F313*PI()/180)+Tableau!$H$25</f>
        <v>7318.8444490835764</v>
      </c>
      <c r="J313" s="34">
        <v>310</v>
      </c>
      <c r="K313" s="35">
        <f>Tableau!$G$36*COS(J313*PI()/180)+Tableau!$G$35</f>
        <v>-1786.0619515673038</v>
      </c>
      <c r="L313" s="35">
        <f>Tableau!$G$36*SIN(J313*PI()/180)+Tableau!$H$35</f>
        <v>-18830.222215594891</v>
      </c>
      <c r="N313" s="98">
        <v>309</v>
      </c>
      <c r="O313" s="99">
        <v>154.5</v>
      </c>
      <c r="P313" s="101">
        <f>P312+R312*Tableau!$G$2+((1/2)*T312)*Tableau!$G$2^2</f>
        <v>-10328989.38729164</v>
      </c>
      <c r="Q313" s="101">
        <f>Q312+S312*Tableau!$G$2+((1/2)*U312)*Tableau!$G$2^2</f>
        <v>5059525.3382170713</v>
      </c>
      <c r="R313" s="101">
        <f>R312+T312*Tableau!$G$2</f>
        <v>-68698.700978142791</v>
      </c>
      <c r="S313" s="101">
        <f>S312+U312*Tableau!$G$2</f>
        <v>33800.97221286218</v>
      </c>
      <c r="T313" s="101">
        <f t="shared" si="8"/>
        <v>8.3226206694524511E-3</v>
      </c>
      <c r="U313" s="101">
        <f t="shared" si="9"/>
        <v>-4.0767786271802458E-3</v>
      </c>
      <c r="V313" s="101">
        <f>((Tableau!$G$16-P313)/(AC313^2+Tableau!$G$21^2)^(3/2))*Tableau!$G$20</f>
        <v>3.5478130049888426E-3</v>
      </c>
      <c r="W313" s="101">
        <f>((Tableau!$H$16-Q313)/(AC313^2+Tableau!$G$21^2)^(3/2))*Tableau!$G$20</f>
        <v>-1.7319218839348281E-3</v>
      </c>
      <c r="X313" s="101">
        <f>((Tableau!$G$25-P313)/(AD313^2+Tableau!$G$30^2)^(3/2))*Tableau!$G$29</f>
        <v>1.2239659647201577E-3</v>
      </c>
      <c r="Y313" s="101">
        <f>((Tableau!$H$25-Q313)/(AD313^2+Tableau!$G$30^2)^(3/2))*Tableau!$G$29</f>
        <v>-5.9952017795155137E-4</v>
      </c>
      <c r="Z313" s="101">
        <f>((Tableau!$G$35-P313)/(AE313^2+Tableau!$G$40^2)^(3/2))*Tableau!$G$39</f>
        <v>3.550841699743451E-3</v>
      </c>
      <c r="AA313" s="102">
        <f>((Tableau!$H$35-Q313)/(AE313^2+Tableau!$G$40^2)^(3/2))*Tableau!$G$39</f>
        <v>-1.7453365652938663E-3</v>
      </c>
      <c r="AC313" s="113">
        <f>SQRT((Tableau!$G$16-P313)^2+(Tableau!$H$16-Q313)^2)</f>
        <v>11516272.893443534</v>
      </c>
      <c r="AD313" s="114">
        <f>SQRT((Tableau!$G$25-P313)^2+(Tableau!$H$25-Q313)^2)</f>
        <v>11479240.755755054</v>
      </c>
      <c r="AE313" s="115">
        <f>SQRT((Tableau!$G$35-P313)^2+(Tableau!$H$35-Q313)^2)</f>
        <v>11503719.584426487</v>
      </c>
    </row>
    <row r="314" spans="2:31" x14ac:dyDescent="0.25">
      <c r="B314" s="20">
        <v>311</v>
      </c>
      <c r="C314" s="21">
        <f>Tableau!$G$17*COS(B314*PI()/180)+Tableau!$G$16</f>
        <v>23280.295144952535</v>
      </c>
      <c r="D314" s="21">
        <f>Tableau!$G$17*SIN(B314*PI()/180)+Tableau!$H$16</f>
        <v>3726.4520988861386</v>
      </c>
      <c r="F314" s="28">
        <v>311</v>
      </c>
      <c r="G314" s="29">
        <f>Tableau!$G$26*COS(F314*PI()/180)+Tableau!$G$25</f>
        <v>-17703.793398533224</v>
      </c>
      <c r="H314" s="29">
        <f>Tableau!$G$26*SIN(F314*PI()/180)+Tableau!$H$25</f>
        <v>7358.516469220297</v>
      </c>
      <c r="J314" s="36">
        <v>311</v>
      </c>
      <c r="K314" s="37">
        <f>Tableau!$G$36*COS(J314*PI()/180)+Tableau!$G$35</f>
        <v>-1719.7048550474647</v>
      </c>
      <c r="L314" s="37">
        <f>Tableau!$G$36*SIN(J314*PI()/180)+Tableau!$H$35</f>
        <v>-18773.54790111386</v>
      </c>
      <c r="N314" s="92">
        <v>310</v>
      </c>
      <c r="O314" s="93">
        <v>155</v>
      </c>
      <c r="P314" s="96">
        <f>P313+R313*Tableau!$G$2+((1/2)*T313)*Tableau!$G$2^2</f>
        <v>-10363338.736740382</v>
      </c>
      <c r="Q314" s="96">
        <f>Q313+S313*Tableau!$G$2+((1/2)*U313)*Tableau!$G$2^2</f>
        <v>5076425.823813905</v>
      </c>
      <c r="R314" s="96">
        <f>R313+T313*Tableau!$G$2</f>
        <v>-68698.696816832453</v>
      </c>
      <c r="S314" s="96">
        <f>S313+U313*Tableau!$G$2</f>
        <v>33800.970174472866</v>
      </c>
      <c r="T314" s="96">
        <f t="shared" si="8"/>
        <v>8.2674890931053197E-3</v>
      </c>
      <c r="U314" s="96">
        <f t="shared" si="9"/>
        <v>-4.0498323064688379E-3</v>
      </c>
      <c r="V314" s="96">
        <f>((Tableau!$G$16-P314)/(AC314^2+Tableau!$G$21^2)^(3/2))*Tableau!$G$20</f>
        <v>3.5243255274040939E-3</v>
      </c>
      <c r="W314" s="96">
        <f>((Tableau!$H$16-Q314)/(AC314^2+Tableau!$G$21^2)^(3/2))*Tableau!$G$20</f>
        <v>-1.7205009997577473E-3</v>
      </c>
      <c r="X314" s="96">
        <f>((Tableau!$G$25-P314)/(AD314^2+Tableau!$G$30^2)^(3/2))*Tableau!$G$29</f>
        <v>1.2158395620100822E-3</v>
      </c>
      <c r="Y314" s="96">
        <f>((Tableau!$H$25-Q314)/(AD314^2+Tableau!$G$30^2)^(3/2))*Tableau!$G$29</f>
        <v>-5.9554860489116396E-4</v>
      </c>
      <c r="Z314" s="96">
        <f>((Tableau!$G$35-P314)/(AE314^2+Tableau!$G$40^2)^(3/2))*Tableau!$G$39</f>
        <v>3.5273240036911443E-3</v>
      </c>
      <c r="AA314" s="97">
        <f>((Tableau!$H$35-Q314)/(AE314^2+Tableau!$G$40^2)^(3/2))*Tableau!$G$39</f>
        <v>-1.7337827018199265E-3</v>
      </c>
      <c r="AC314" s="110">
        <f>SQRT((Tableau!$G$16-P314)^2+(Tableau!$H$16-Q314)^2)</f>
        <v>11554554.614056781</v>
      </c>
      <c r="AD314" s="111">
        <f>SQRT((Tableau!$G$25-P314)^2+(Tableau!$H$25-Q314)^2)</f>
        <v>11517522.600419004</v>
      </c>
      <c r="AE314" s="112">
        <f>SQRT((Tableau!$G$35-P314)^2+(Tableau!$H$35-Q314)^2)</f>
        <v>11542001.486070579</v>
      </c>
    </row>
    <row r="315" spans="2:31" x14ac:dyDescent="0.25">
      <c r="B315" s="18">
        <v>312</v>
      </c>
      <c r="C315" s="19">
        <f>Tableau!$G$17*COS(B315*PI()/180)+Tableau!$G$16</f>
        <v>23345.653031794289</v>
      </c>
      <c r="D315" s="19">
        <f>Tableau!$G$17*SIN(B315*PI()/180)+Tableau!$H$16</f>
        <v>3784.2758726130273</v>
      </c>
      <c r="F315" s="26">
        <v>312</v>
      </c>
      <c r="G315" s="27">
        <f>Tableau!$G$26*COS(F315*PI()/180)+Tableau!$G$25</f>
        <v>-17658.042877743999</v>
      </c>
      <c r="H315" s="27">
        <f>Tableau!$G$26*SIN(F315*PI()/180)+Tableau!$H$25</f>
        <v>7398.9931108291185</v>
      </c>
      <c r="J315" s="34">
        <v>312</v>
      </c>
      <c r="K315" s="35">
        <f>Tableau!$G$36*COS(J315*PI()/180)+Tableau!$G$35</f>
        <v>-1654.3469682057112</v>
      </c>
      <c r="L315" s="35">
        <f>Tableau!$G$36*SIN(J315*PI()/180)+Tableau!$H$35</f>
        <v>-18715.724127386973</v>
      </c>
      <c r="N315" s="98">
        <v>311</v>
      </c>
      <c r="O315" s="99">
        <v>155.5</v>
      </c>
      <c r="P315" s="101">
        <f>P314+R314*Tableau!$G$2+((1/2)*T314)*Tableau!$G$2^2</f>
        <v>-10397688.084115362</v>
      </c>
      <c r="Q315" s="101">
        <f>Q314+S314*Tableau!$G$2+((1/2)*U314)*Tableau!$G$2^2</f>
        <v>5093326.3083949126</v>
      </c>
      <c r="R315" s="101">
        <f>R314+T314*Tableau!$G$2</f>
        <v>-68698.692683087909</v>
      </c>
      <c r="S315" s="101">
        <f>S314+U314*Tableau!$G$2</f>
        <v>33800.968149556713</v>
      </c>
      <c r="T315" s="101">
        <f t="shared" si="8"/>
        <v>8.212903522755912E-3</v>
      </c>
      <c r="U315" s="101">
        <f t="shared" si="9"/>
        <v>-4.0231522673028416E-3</v>
      </c>
      <c r="V315" s="101">
        <f>((Tableau!$G$16-P315)/(AC315^2+Tableau!$G$21^2)^(3/2))*Tableau!$G$20</f>
        <v>3.5010705204032411E-3</v>
      </c>
      <c r="W315" s="101">
        <f>((Tableau!$H$16-Q315)/(AC315^2+Tableau!$G$21^2)^(3/2))*Tableau!$G$20</f>
        <v>-1.7091927130514285E-3</v>
      </c>
      <c r="X315" s="101">
        <f>((Tableau!$G$25-P315)/(AD315^2+Tableau!$G$30^2)^(3/2))*Tableau!$G$29</f>
        <v>1.207793823477529E-3</v>
      </c>
      <c r="Y315" s="101">
        <f>((Tableau!$H$25-Q315)/(AD315^2+Tableau!$G$30^2)^(3/2))*Tableau!$G$29</f>
        <v>-5.9161636659689314E-4</v>
      </c>
      <c r="Z315" s="101">
        <f>((Tableau!$G$35-P315)/(AE315^2+Tableau!$G$40^2)^(3/2))*Tableau!$G$39</f>
        <v>3.5040391788751413E-3</v>
      </c>
      <c r="AA315" s="102">
        <f>((Tableau!$H$35-Q315)/(AE315^2+Tableau!$G$40^2)^(3/2))*Tableau!$G$39</f>
        <v>-1.7223431876545194E-3</v>
      </c>
      <c r="AC315" s="113">
        <f>SQRT((Tableau!$G$16-P315)^2+(Tableau!$H$16-Q315)^2)</f>
        <v>11592836.333576052</v>
      </c>
      <c r="AD315" s="114">
        <f>SQRT((Tableau!$G$25-P315)^2+(Tableau!$H$25-Q315)^2)</f>
        <v>11555804.443170965</v>
      </c>
      <c r="AE315" s="115">
        <f>SQRT((Tableau!$G$35-P315)^2+(Tableau!$H$35-Q315)^2)</f>
        <v>11580283.385425117</v>
      </c>
    </row>
    <row r="316" spans="2:31" x14ac:dyDescent="0.25">
      <c r="B316" s="20">
        <v>313</v>
      </c>
      <c r="C316" s="21">
        <f>Tableau!$G$17*COS(B316*PI()/180)+Tableau!$G$16</f>
        <v>23409.991800312491</v>
      </c>
      <c r="D316" s="21">
        <f>Tableau!$G$17*SIN(B316*PI()/180)+Tableau!$H$16</f>
        <v>3843.2314919041451</v>
      </c>
      <c r="F316" s="28">
        <v>313</v>
      </c>
      <c r="G316" s="29">
        <f>Tableau!$G$26*COS(F316*PI()/180)+Tableau!$G$25</f>
        <v>-17613.005739781256</v>
      </c>
      <c r="H316" s="29">
        <f>Tableau!$G$26*SIN(F316*PI()/180)+Tableau!$H$25</f>
        <v>7440.2620443329015</v>
      </c>
      <c r="J316" s="36">
        <v>313</v>
      </c>
      <c r="K316" s="37">
        <f>Tableau!$G$36*COS(J316*PI()/180)+Tableau!$G$35</f>
        <v>-1590.0081996875097</v>
      </c>
      <c r="L316" s="37">
        <f>Tableau!$G$36*SIN(J316*PI()/180)+Tableau!$H$35</f>
        <v>-18656.768508095854</v>
      </c>
      <c r="N316" s="92">
        <v>312</v>
      </c>
      <c r="O316" s="93">
        <v>156</v>
      </c>
      <c r="P316" s="96">
        <f>P315+R315*Tableau!$G$2+((1/2)*T315)*Tableau!$G$2^2</f>
        <v>-10432037.429430293</v>
      </c>
      <c r="Q316" s="96">
        <f>Q315+S315*Tableau!$G$2+((1/2)*U315)*Tableau!$G$2^2</f>
        <v>5110226.7919667969</v>
      </c>
      <c r="R316" s="96">
        <f>R315+T315*Tableau!$G$2</f>
        <v>-68698.688576636152</v>
      </c>
      <c r="S316" s="96">
        <f>S315+U315*Tableau!$G$2</f>
        <v>33800.966137980577</v>
      </c>
      <c r="T316" s="96">
        <f t="shared" si="8"/>
        <v>8.1588567721485178E-3</v>
      </c>
      <c r="U316" s="96">
        <f t="shared" si="9"/>
        <v>-3.9967350126998138E-3</v>
      </c>
      <c r="V316" s="96">
        <f>((Tableau!$G$16-P316)/(AC316^2+Tableau!$G$21^2)^(3/2))*Tableau!$G$20</f>
        <v>3.4780449261997328E-3</v>
      </c>
      <c r="W316" s="96">
        <f>((Tableau!$H$16-Q316)/(AC316^2+Tableau!$G$21^2)^(3/2))*Tableau!$G$20</f>
        <v>-1.6979955485627188E-3</v>
      </c>
      <c r="X316" s="96">
        <f>((Tableau!$G$25-P316)/(AD316^2+Tableau!$G$30^2)^(3/2))*Tableau!$G$29</f>
        <v>1.1998276850577875E-3</v>
      </c>
      <c r="Y316" s="96">
        <f>((Tableau!$H$25-Q316)/(AD316^2+Tableau!$G$30^2)^(3/2))*Tableau!$G$29</f>
        <v>-5.8772294534577545E-4</v>
      </c>
      <c r="Z316" s="96">
        <f>((Tableau!$G$35-P316)/(AE316^2+Tableau!$G$40^2)^(3/2))*Tableau!$G$39</f>
        <v>3.4809841608909988E-3</v>
      </c>
      <c r="AA316" s="97">
        <f>((Tableau!$H$35-Q316)/(AE316^2+Tableau!$G$40^2)^(3/2))*Tableau!$G$39</f>
        <v>-1.7110165187913192E-3</v>
      </c>
      <c r="AC316" s="110">
        <f>SQRT((Tableau!$G$16-P316)^2+(Tableau!$H$16-Q316)^2)</f>
        <v>11631118.052004613</v>
      </c>
      <c r="AD316" s="111">
        <f>SQRT((Tableau!$G$25-P316)^2+(Tableau!$H$25-Q316)^2)</f>
        <v>11594086.284022268</v>
      </c>
      <c r="AE316" s="112">
        <f>SQRT((Tableau!$G$35-P316)^2+(Tableau!$H$35-Q316)^2)</f>
        <v>11618565.282505175</v>
      </c>
    </row>
    <row r="317" spans="2:31" x14ac:dyDescent="0.25">
      <c r="B317" s="18">
        <v>314</v>
      </c>
      <c r="C317" s="19">
        <f>Tableau!$G$17*COS(B317*PI()/180)+Tableau!$G$16</f>
        <v>23473.291852294984</v>
      </c>
      <c r="D317" s="19">
        <f>Tableau!$G$17*SIN(B317*PI()/180)+Tableau!$H$16</f>
        <v>3903.3009983067413</v>
      </c>
      <c r="F317" s="26">
        <v>314</v>
      </c>
      <c r="G317" s="27">
        <f>Tableau!$G$26*COS(F317*PI()/180)+Tableau!$G$25</f>
        <v>-17568.69570339351</v>
      </c>
      <c r="H317" s="27">
        <f>Tableau!$G$26*SIN(F317*PI()/180)+Tableau!$H$25</f>
        <v>7482.3106988147192</v>
      </c>
      <c r="J317" s="34">
        <v>314</v>
      </c>
      <c r="K317" s="35">
        <f>Tableau!$G$36*COS(J317*PI()/180)+Tableau!$G$35</f>
        <v>-1526.7081477050169</v>
      </c>
      <c r="L317" s="35">
        <f>Tableau!$G$36*SIN(J317*PI()/180)+Tableau!$H$35</f>
        <v>-18596.699001693258</v>
      </c>
      <c r="N317" s="98">
        <v>313</v>
      </c>
      <c r="O317" s="99">
        <v>156.5</v>
      </c>
      <c r="P317" s="101">
        <f>P316+R316*Tableau!$G$2+((1/2)*T316)*Tableau!$G$2^2</f>
        <v>-10466386.772698753</v>
      </c>
      <c r="Q317" s="101">
        <f>Q316+S316*Tableau!$G$2+((1/2)*U316)*Tableau!$G$2^2</f>
        <v>5127127.2745361952</v>
      </c>
      <c r="R317" s="101">
        <f>R316+T316*Tableau!$G$2</f>
        <v>-68698.684497207767</v>
      </c>
      <c r="S317" s="101">
        <f>S316+U316*Tableau!$G$2</f>
        <v>33800.964139613068</v>
      </c>
      <c r="T317" s="101">
        <f t="shared" si="8"/>
        <v>8.1053417728671508E-3</v>
      </c>
      <c r="U317" s="101">
        <f t="shared" si="9"/>
        <v>-3.9705771028952404E-3</v>
      </c>
      <c r="V317" s="101">
        <f>((Tableau!$G$16-P317)/(AC317^2+Tableau!$G$21^2)^(3/2))*Tableau!$G$20</f>
        <v>3.455245737117525E-3</v>
      </c>
      <c r="W317" s="101">
        <f>((Tableau!$H$16-Q317)/(AC317^2+Tableau!$G$21^2)^(3/2))*Tableau!$G$20</f>
        <v>-1.6869080551202341E-3</v>
      </c>
      <c r="X317" s="101">
        <f>((Tableau!$G$25-P317)/(AD317^2+Tableau!$G$30^2)^(3/2))*Tableau!$G$29</f>
        <v>1.191940100174038E-3</v>
      </c>
      <c r="Y317" s="101">
        <f>((Tableau!$H$25-Q317)/(AD317^2+Tableau!$G$30^2)^(3/2))*Tableau!$G$29</f>
        <v>-5.8386783190473993E-4</v>
      </c>
      <c r="Z317" s="101">
        <f>((Tableau!$G$35-P317)/(AE317^2+Tableau!$G$40^2)^(3/2))*Tableau!$G$39</f>
        <v>3.4581559355755884E-3</v>
      </c>
      <c r="AA317" s="102">
        <f>((Tableau!$H$35-Q317)/(AE317^2+Tableau!$G$40^2)^(3/2))*Tableau!$G$39</f>
        <v>-1.6998012158702667E-3</v>
      </c>
      <c r="AC317" s="113">
        <f>SQRT((Tableau!$G$16-P317)^2+(Tableau!$H$16-Q317)^2)</f>
        <v>11669399.769345734</v>
      </c>
      <c r="AD317" s="114">
        <f>SQRT((Tableau!$G$25-P317)^2+(Tableau!$H$25-Q317)^2)</f>
        <v>11632368.122984145</v>
      </c>
      <c r="AE317" s="115">
        <f>SQRT((Tableau!$G$35-P317)^2+(Tableau!$H$35-Q317)^2)</f>
        <v>11656847.177325672</v>
      </c>
    </row>
    <row r="318" spans="2:31" x14ac:dyDescent="0.25">
      <c r="B318" s="20">
        <v>315</v>
      </c>
      <c r="C318" s="21">
        <f>Tableau!$G$17*COS(B318*PI()/180)+Tableau!$G$16</f>
        <v>23535.533905932738</v>
      </c>
      <c r="D318" s="21">
        <f>Tableau!$G$17*SIN(B318*PI()/180)+Tableau!$H$16</f>
        <v>3964.4660940672616</v>
      </c>
      <c r="F318" s="28">
        <v>315</v>
      </c>
      <c r="G318" s="29">
        <f>Tableau!$G$26*COS(F318*PI()/180)+Tableau!$G$25</f>
        <v>-17525.126265847084</v>
      </c>
      <c r="H318" s="29">
        <f>Tableau!$G$26*SIN(F318*PI()/180)+Tableau!$H$25</f>
        <v>7525.1262658470832</v>
      </c>
      <c r="J318" s="36">
        <v>315</v>
      </c>
      <c r="K318" s="37">
        <f>Tableau!$G$36*COS(J318*PI()/180)+Tableau!$G$35</f>
        <v>-1464.4660940672634</v>
      </c>
      <c r="L318" s="37">
        <f>Tableau!$G$36*SIN(J318*PI()/180)+Tableau!$H$35</f>
        <v>-18535.533905932738</v>
      </c>
      <c r="N318" s="92">
        <v>314</v>
      </c>
      <c r="O318" s="93">
        <v>157</v>
      </c>
      <c r="P318" s="96">
        <f>P317+R317*Tableau!$G$2+((1/2)*T317)*Tableau!$G$2^2</f>
        <v>-10500736.113934189</v>
      </c>
      <c r="Q318" s="96">
        <f>Q317+S317*Tableau!$G$2+((1/2)*U317)*Tableau!$G$2^2</f>
        <v>5144027.7561096791</v>
      </c>
      <c r="R318" s="96">
        <f>R317+T317*Tableau!$G$2</f>
        <v>-68698.680444536876</v>
      </c>
      <c r="S318" s="96">
        <f>S317+U317*Tableau!$G$2</f>
        <v>33800.962154324516</v>
      </c>
      <c r="T318" s="96">
        <f t="shared" si="8"/>
        <v>8.0523515720243542E-3</v>
      </c>
      <c r="U318" s="96">
        <f t="shared" si="9"/>
        <v>-3.9446751542227734E-3</v>
      </c>
      <c r="V318" s="96">
        <f>((Tableau!$G$16-P318)/(AC318^2+Tableau!$G$21^2)^(3/2))*Tableau!$G$20</f>
        <v>3.4326699946090125E-3</v>
      </c>
      <c r="W318" s="96">
        <f>((Tableau!$H$16-Q318)/(AC318^2+Tableau!$G$21^2)^(3/2))*Tableau!$G$20</f>
        <v>-1.6759288051642457E-3</v>
      </c>
      <c r="X318" s="96">
        <f>((Tableau!$G$25-P318)/(AD318^2+Tableau!$G$30^2)^(3/2))*Tableau!$G$29</f>
        <v>1.1841300393934857E-3</v>
      </c>
      <c r="Y318" s="96">
        <f>((Tableau!$H$25-Q318)/(AD318^2+Tableau!$G$30^2)^(3/2))*Tableau!$G$29</f>
        <v>-5.8005052536404104E-4</v>
      </c>
      <c r="Z318" s="96">
        <f>((Tableau!$G$35-P318)/(AE318^2+Tableau!$G$40^2)^(3/2))*Tableau!$G$39</f>
        <v>3.4355515380218569E-3</v>
      </c>
      <c r="AA318" s="97">
        <f>((Tableau!$H$35-Q318)/(AE318^2+Tableau!$G$40^2)^(3/2))*Tableau!$G$39</f>
        <v>-1.6886958236944861E-3</v>
      </c>
      <c r="AC318" s="110">
        <f>SQRT((Tableau!$G$16-P318)^2+(Tableau!$H$16-Q318)^2)</f>
        <v>11707681.485602697</v>
      </c>
      <c r="AD318" s="111">
        <f>SQRT((Tableau!$G$25-P318)^2+(Tableau!$H$25-Q318)^2)</f>
        <v>11670649.96006773</v>
      </c>
      <c r="AE318" s="112">
        <f>SQRT((Tableau!$G$35-P318)^2+(Tableau!$H$35-Q318)^2)</f>
        <v>11695129.069901384</v>
      </c>
    </row>
    <row r="319" spans="2:31" x14ac:dyDescent="0.25">
      <c r="B319" s="18">
        <v>316</v>
      </c>
      <c r="C319" s="19">
        <f>Tableau!$G$17*COS(B319*PI()/180)+Tableau!$G$16</f>
        <v>23596.699001693254</v>
      </c>
      <c r="D319" s="19">
        <f>Tableau!$G$17*SIN(B319*PI()/180)+Tableau!$H$16</f>
        <v>4026.7081477050119</v>
      </c>
      <c r="F319" s="26">
        <v>316</v>
      </c>
      <c r="G319" s="27">
        <f>Tableau!$G$26*COS(F319*PI()/180)+Tableau!$G$25</f>
        <v>-17482.310698814723</v>
      </c>
      <c r="H319" s="27">
        <f>Tableau!$G$26*SIN(F319*PI()/180)+Tableau!$H$25</f>
        <v>7568.6957033935087</v>
      </c>
      <c r="J319" s="34">
        <v>316</v>
      </c>
      <c r="K319" s="35">
        <f>Tableau!$G$36*COS(J319*PI()/180)+Tableau!$G$35</f>
        <v>-1403.3009983067459</v>
      </c>
      <c r="L319" s="35">
        <f>Tableau!$G$36*SIN(J319*PI()/180)+Tableau!$H$35</f>
        <v>-18473.291852294988</v>
      </c>
      <c r="N319" s="98">
        <v>315</v>
      </c>
      <c r="O319" s="99">
        <v>157.5</v>
      </c>
      <c r="P319" s="101">
        <f>P318+R318*Tableau!$G$2+((1/2)*T318)*Tableau!$G$2^2</f>
        <v>-10535085.453149915</v>
      </c>
      <c r="Q319" s="101">
        <f>Q318+S318*Tableau!$G$2+((1/2)*U318)*Tableau!$G$2^2</f>
        <v>5160928.2366937576</v>
      </c>
      <c r="R319" s="101">
        <f>R318+T318*Tableau!$G$2</f>
        <v>-68698.676418361094</v>
      </c>
      <c r="S319" s="101">
        <f>S318+U318*Tableau!$G$2</f>
        <v>33800.960181986942</v>
      </c>
      <c r="T319" s="101">
        <f t="shared" si="8"/>
        <v>7.9998793300027314E-3</v>
      </c>
      <c r="U319" s="101">
        <f t="shared" si="9"/>
        <v>-3.9190258380199369E-3</v>
      </c>
      <c r="V319" s="101">
        <f>((Tableau!$G$16-P319)/(AC319^2+Tableau!$G$21^2)^(3/2))*Tableau!$G$20</f>
        <v>3.4103147882950497E-3</v>
      </c>
      <c r="W319" s="101">
        <f>((Tableau!$H$16-Q319)/(AC319^2+Tableau!$G$21^2)^(3/2))*Tableau!$G$20</f>
        <v>-1.6650563942870989E-3</v>
      </c>
      <c r="X319" s="101">
        <f>((Tableau!$G$25-P319)/(AD319^2+Tableau!$G$30^2)^(3/2))*Tableau!$G$29</f>
        <v>1.1763964900915313E-3</v>
      </c>
      <c r="Y319" s="101">
        <f>((Tableau!$H$25-Q319)/(AD319^2+Tableau!$G$30^2)^(3/2))*Tableau!$G$29</f>
        <v>-5.7627053297457456E-4</v>
      </c>
      <c r="Z319" s="101">
        <f>((Tableau!$G$35-P319)/(AE319^2+Tableau!$G$40^2)^(3/2))*Tableau!$G$39</f>
        <v>3.4131680516161504E-3</v>
      </c>
      <c r="AA319" s="102">
        <f>((Tableau!$H$35-Q319)/(AE319^2+Tableau!$G$40^2)^(3/2))*Tableau!$G$39</f>
        <v>-1.6776989107582638E-3</v>
      </c>
      <c r="AC319" s="113">
        <f>SQRT((Tableau!$G$16-P319)^2+(Tableau!$H$16-Q319)^2)</f>
        <v>11745963.200778788</v>
      </c>
      <c r="AD319" s="114">
        <f>SQRT((Tableau!$G$25-P319)^2+(Tableau!$H$25-Q319)^2)</f>
        <v>11708931.795284061</v>
      </c>
      <c r="AE319" s="115">
        <f>SQRT((Tableau!$G$35-P319)^2+(Tableau!$H$35-Q319)^2)</f>
        <v>11733410.960246947</v>
      </c>
    </row>
    <row r="320" spans="2:31" x14ac:dyDescent="0.25">
      <c r="B320" s="20">
        <v>317</v>
      </c>
      <c r="C320" s="21">
        <f>Tableau!$G$17*COS(B320*PI()/180)+Tableau!$G$16</f>
        <v>23656.768508095854</v>
      </c>
      <c r="D320" s="21">
        <f>Tableau!$G$17*SIN(B320*PI()/180)+Tableau!$H$16</f>
        <v>4090.0081996875087</v>
      </c>
      <c r="F320" s="28">
        <v>317</v>
      </c>
      <c r="G320" s="29">
        <f>Tableau!$G$26*COS(F320*PI()/180)+Tableau!$G$25</f>
        <v>-17440.262044332903</v>
      </c>
      <c r="H320" s="29">
        <f>Tableau!$G$26*SIN(F320*PI()/180)+Tableau!$H$25</f>
        <v>7613.0057397812561</v>
      </c>
      <c r="J320" s="36">
        <v>317</v>
      </c>
      <c r="K320" s="37">
        <f>Tableau!$G$36*COS(J320*PI()/180)+Tableau!$G$35</f>
        <v>-1343.2314919041464</v>
      </c>
      <c r="L320" s="37">
        <f>Tableau!$G$36*SIN(J320*PI()/180)+Tableau!$H$35</f>
        <v>-18409.991800312491</v>
      </c>
      <c r="N320" s="92">
        <v>316</v>
      </c>
      <c r="O320" s="93">
        <v>158</v>
      </c>
      <c r="P320" s="96">
        <f>P319+R319*Tableau!$G$2+((1/2)*T319)*Tableau!$G$2^2</f>
        <v>-10569434.79035911</v>
      </c>
      <c r="Q320" s="96">
        <f>Q319+S319*Tableau!$G$2+((1/2)*U319)*Tableau!$G$2^2</f>
        <v>5177828.7162948726</v>
      </c>
      <c r="R320" s="96">
        <f>R319+T319*Tableau!$G$2</f>
        <v>-68698.672418421425</v>
      </c>
      <c r="S320" s="96">
        <f>S319+U319*Tableau!$G$2</f>
        <v>33800.958222474022</v>
      </c>
      <c r="T320" s="96">
        <f t="shared" si="8"/>
        <v>7.947918318247706E-3</v>
      </c>
      <c r="U320" s="96">
        <f t="shared" si="9"/>
        <v>-3.8936258795586286E-3</v>
      </c>
      <c r="V320" s="96">
        <f>((Tableau!$G$16-P320)/(AC320^2+Tableau!$G$21^2)^(3/2))*Tableau!$G$20</f>
        <v>3.3881772550270399E-3</v>
      </c>
      <c r="W320" s="96">
        <f>((Tableau!$H$16-Q320)/(AC320^2+Tableau!$G$21^2)^(3/2))*Tableau!$G$20</f>
        <v>-1.6542894407841544E-3</v>
      </c>
      <c r="X320" s="96">
        <f>((Tableau!$G$25-P320)/(AD320^2+Tableau!$G$30^2)^(3/2))*Tableau!$G$29</f>
        <v>1.1687384561234334E-3</v>
      </c>
      <c r="Y320" s="96">
        <f>((Tableau!$H$25-Q320)/(AD320^2+Tableau!$G$30^2)^(3/2))*Tableau!$G$29</f>
        <v>-5.7252736998881571E-4</v>
      </c>
      <c r="Z320" s="96">
        <f>((Tableau!$G$35-P320)/(AE320^2+Tableau!$G$40^2)^(3/2))*Tableau!$G$39</f>
        <v>3.391002607097232E-3</v>
      </c>
      <c r="AA320" s="97">
        <f>((Tableau!$H$35-Q320)/(AE320^2+Tableau!$G$40^2)^(3/2))*Tableau!$G$39</f>
        <v>-1.6668090687856588E-3</v>
      </c>
      <c r="AC320" s="110">
        <f>SQRT((Tableau!$G$16-P320)^2+(Tableau!$H$16-Q320)^2)</f>
        <v>11784244.91487729</v>
      </c>
      <c r="AD320" s="111">
        <f>SQRT((Tableau!$G$25-P320)^2+(Tableau!$H$25-Q320)^2)</f>
        <v>11747213.628644073</v>
      </c>
      <c r="AE320" s="112">
        <f>SQRT((Tableau!$G$35-P320)^2+(Tableau!$H$35-Q320)^2)</f>
        <v>11771692.848376846</v>
      </c>
    </row>
    <row r="321" spans="2:31" x14ac:dyDescent="0.25">
      <c r="B321" s="18">
        <v>318</v>
      </c>
      <c r="C321" s="19">
        <f>Tableau!$G$17*COS(B321*PI()/180)+Tableau!$G$16</f>
        <v>23715.724127386973</v>
      </c>
      <c r="D321" s="19">
        <f>Tableau!$G$17*SIN(B321*PI()/180)+Tableau!$H$16</f>
        <v>4154.3469682057093</v>
      </c>
      <c r="F321" s="26">
        <v>318</v>
      </c>
      <c r="G321" s="27">
        <f>Tableau!$G$26*COS(F321*PI()/180)+Tableau!$G$25</f>
        <v>-17398.99311082912</v>
      </c>
      <c r="H321" s="27">
        <f>Tableau!$G$26*SIN(F321*PI()/180)+Tableau!$H$25</f>
        <v>7658.0428777439965</v>
      </c>
      <c r="J321" s="34">
        <v>318</v>
      </c>
      <c r="K321" s="35">
        <f>Tableau!$G$36*COS(J321*PI()/180)+Tableau!$G$35</f>
        <v>-1284.2758726130287</v>
      </c>
      <c r="L321" s="35">
        <f>Tableau!$G$36*SIN(J321*PI()/180)+Tableau!$H$35</f>
        <v>-18345.653031794289</v>
      </c>
      <c r="N321" s="98">
        <v>317</v>
      </c>
      <c r="O321" s="99">
        <v>158.5</v>
      </c>
      <c r="P321" s="101">
        <f>P320+R320*Tableau!$G$2+((1/2)*T320)*Tableau!$G$2^2</f>
        <v>-10603784.125574831</v>
      </c>
      <c r="Q321" s="101">
        <f>Q320+S320*Tableau!$G$2+((1/2)*U320)*Tableau!$G$2^2</f>
        <v>5194729.1949194064</v>
      </c>
      <c r="R321" s="101">
        <f>R320+T320*Tableau!$G$2</f>
        <v>-68698.668444462266</v>
      </c>
      <c r="S321" s="101">
        <f>S320+U320*Tableau!$G$2</f>
        <v>33800.956275661083</v>
      </c>
      <c r="T321" s="101">
        <f t="shared" si="8"/>
        <v>7.8964619171104887E-3</v>
      </c>
      <c r="U321" s="101">
        <f t="shared" si="9"/>
        <v>-3.868472056999874E-3</v>
      </c>
      <c r="V321" s="101">
        <f>((Tableau!$G$16-P321)/(AC321^2+Tableau!$G$21^2)^(3/2))*Tableau!$G$20</f>
        <v>3.3662545779701218E-3</v>
      </c>
      <c r="W321" s="101">
        <f>((Tableau!$H$16-Q321)/(AC321^2+Tableau!$G$21^2)^(3/2))*Tableau!$G$20</f>
        <v>-1.6436265852147966E-3</v>
      </c>
      <c r="X321" s="101">
        <f>((Tableau!$G$25-P321)/(AD321^2+Tableau!$G$30^2)^(3/2))*Tableau!$G$29</f>
        <v>1.1611549575036237E-3</v>
      </c>
      <c r="Y321" s="101">
        <f>((Tableau!$H$25-Q321)/(AD321^2+Tableau!$G$30^2)^(3/2))*Tableau!$G$29</f>
        <v>-5.6882055950545612E-4</v>
      </c>
      <c r="Z321" s="101">
        <f>((Tableau!$G$35-P321)/(AE321^2+Tableau!$G$40^2)^(3/2))*Tableau!$G$39</f>
        <v>3.3690523816367439E-3</v>
      </c>
      <c r="AA321" s="102">
        <f>((Tableau!$H$35-Q321)/(AE321^2+Tableau!$G$40^2)^(3/2))*Tableau!$G$39</f>
        <v>-1.6560249122796213E-3</v>
      </c>
      <c r="AC321" s="113">
        <f>SQRT((Tableau!$G$16-P321)^2+(Tableau!$H$16-Q321)^2)</f>
        <v>11822526.6279015</v>
      </c>
      <c r="AD321" s="114">
        <f>SQRT((Tableau!$G$25-P321)^2+(Tableau!$H$25-Q321)^2)</f>
        <v>11785495.46015862</v>
      </c>
      <c r="AE321" s="115">
        <f>SQRT((Tableau!$G$35-P321)^2+(Tableau!$H$35-Q321)^2)</f>
        <v>11809974.734305432</v>
      </c>
    </row>
    <row r="322" spans="2:31" x14ac:dyDescent="0.25">
      <c r="B322" s="20">
        <v>319</v>
      </c>
      <c r="C322" s="21">
        <f>Tableau!$G$17*COS(B322*PI()/180)+Tableau!$G$16</f>
        <v>23773.54790111386</v>
      </c>
      <c r="D322" s="21">
        <f>Tableau!$G$17*SIN(B322*PI()/180)+Tableau!$H$16</f>
        <v>4219.7048550474628</v>
      </c>
      <c r="F322" s="28">
        <v>319</v>
      </c>
      <c r="G322" s="29">
        <f>Tableau!$G$26*COS(F322*PI()/180)+Tableau!$G$25</f>
        <v>-17358.5164692203</v>
      </c>
      <c r="H322" s="29">
        <f>Tableau!$G$26*SIN(F322*PI()/180)+Tableau!$H$25</f>
        <v>7703.7933985332238</v>
      </c>
      <c r="J322" s="36">
        <v>319</v>
      </c>
      <c r="K322" s="37">
        <f>Tableau!$G$36*COS(J322*PI()/180)+Tableau!$G$35</f>
        <v>-1226.4520988861404</v>
      </c>
      <c r="L322" s="37">
        <f>Tableau!$G$36*SIN(J322*PI()/180)+Tableau!$H$35</f>
        <v>-18280.295144952535</v>
      </c>
      <c r="N322" s="92">
        <v>318</v>
      </c>
      <c r="O322" s="93">
        <v>159</v>
      </c>
      <c r="P322" s="96">
        <f>P321+R321*Tableau!$G$2+((1/2)*T321)*Tableau!$G$2^2</f>
        <v>-10638133.458810003</v>
      </c>
      <c r="Q322" s="96">
        <f>Q321+S321*Tableau!$G$2+((1/2)*U321)*Tableau!$G$2^2</f>
        <v>5211629.6725736773</v>
      </c>
      <c r="R322" s="96">
        <f>R321+T321*Tableau!$G$2</f>
        <v>-68698.6644962313</v>
      </c>
      <c r="S322" s="96">
        <f>S321+U321*Tableau!$G$2</f>
        <v>33800.954341425051</v>
      </c>
      <c r="T322" s="96">
        <f t="shared" si="8"/>
        <v>7.8455036137394431E-3</v>
      </c>
      <c r="U322" s="96">
        <f t="shared" si="9"/>
        <v>-3.843561200371986E-3</v>
      </c>
      <c r="V322" s="96">
        <f>((Tableau!$G$16-P322)/(AC322^2+Tableau!$G$21^2)^(3/2))*Tableau!$G$20</f>
        <v>3.3445439857069169E-3</v>
      </c>
      <c r="W322" s="96">
        <f>((Tableau!$H$16-Q322)/(AC322^2+Tableau!$G$21^2)^(3/2))*Tableau!$G$20</f>
        <v>-1.6330664899732398E-3</v>
      </c>
      <c r="X322" s="96">
        <f>((Tableau!$G$25-P322)/(AD322^2+Tableau!$G$30^2)^(3/2))*Tableau!$G$29</f>
        <v>1.1536450300920628E-3</v>
      </c>
      <c r="Y322" s="96">
        <f>((Tableau!$H$25-Q322)/(AD322^2+Tableau!$G$30^2)^(3/2))*Tableau!$G$29</f>
        <v>-5.6514963231744431E-4</v>
      </c>
      <c r="Z322" s="96">
        <f>((Tableau!$G$35-P322)/(AE322^2+Tableau!$G$40^2)^(3/2))*Tableau!$G$39</f>
        <v>3.3473145979404637E-3</v>
      </c>
      <c r="AA322" s="97">
        <f>((Tableau!$H$35-Q322)/(AE322^2+Tableau!$G$40^2)^(3/2))*Tableau!$G$39</f>
        <v>-1.6453450780813024E-3</v>
      </c>
      <c r="AC322" s="110">
        <f>SQRT((Tableau!$G$16-P322)^2+(Tableau!$H$16-Q322)^2)</f>
        <v>11860808.339854712</v>
      </c>
      <c r="AD322" s="111">
        <f>SQRT((Tableau!$G$25-P322)^2+(Tableau!$H$25-Q322)^2)</f>
        <v>11823777.289838448</v>
      </c>
      <c r="AE322" s="112">
        <f>SQRT((Tableau!$G$35-P322)^2+(Tableau!$H$35-Q322)^2)</f>
        <v>11848256.61804691</v>
      </c>
    </row>
    <row r="323" spans="2:31" x14ac:dyDescent="0.25">
      <c r="B323" s="18">
        <v>320</v>
      </c>
      <c r="C323" s="19">
        <f>Tableau!$G$17*COS(B323*PI()/180)+Tableau!$G$16</f>
        <v>23830.222215594888</v>
      </c>
      <c r="D323" s="19">
        <f>Tableau!$G$17*SIN(B323*PI()/180)+Tableau!$H$16</f>
        <v>4286.0619515673025</v>
      </c>
      <c r="F323" s="26">
        <v>320</v>
      </c>
      <c r="G323" s="27">
        <f>Tableau!$G$26*COS(F323*PI()/180)+Tableau!$G$25</f>
        <v>-17318.844449083579</v>
      </c>
      <c r="H323" s="27">
        <f>Tableau!$G$26*SIN(F323*PI()/180)+Tableau!$H$25</f>
        <v>7750.243366097111</v>
      </c>
      <c r="J323" s="34">
        <v>320</v>
      </c>
      <c r="K323" s="35">
        <f>Tableau!$G$36*COS(J323*PI()/180)+Tableau!$G$35</f>
        <v>-1169.7777844051111</v>
      </c>
      <c r="L323" s="35">
        <f>Tableau!$G$36*SIN(J323*PI()/180)+Tableau!$H$35</f>
        <v>-18213.938048432698</v>
      </c>
      <c r="N323" s="98">
        <v>319</v>
      </c>
      <c r="O323" s="99">
        <v>159.5</v>
      </c>
      <c r="P323" s="101">
        <f>P322+R322*Tableau!$G$2+((1/2)*T322)*Tableau!$G$2^2</f>
        <v>-10672482.790077431</v>
      </c>
      <c r="Q323" s="101">
        <f>Q322+S322*Tableau!$G$2+((1/2)*U322)*Tableau!$G$2^2</f>
        <v>5228530.1492639445</v>
      </c>
      <c r="R323" s="101">
        <f>R322+T322*Tableau!$G$2</f>
        <v>-68698.660573479487</v>
      </c>
      <c r="S323" s="101">
        <f>S322+U322*Tableau!$G$2</f>
        <v>33800.952419644454</v>
      </c>
      <c r="T323" s="101">
        <f t="shared" si="8"/>
        <v>7.7950370000193321E-3</v>
      </c>
      <c r="U323" s="101">
        <f t="shared" si="9"/>
        <v>-3.8188901905718961E-3</v>
      </c>
      <c r="V323" s="101">
        <f>((Tableau!$G$16-P323)/(AC323^2+Tableau!$G$21^2)^(3/2))*Tableau!$G$20</f>
        <v>3.3230427513618569E-3</v>
      </c>
      <c r="W323" s="101">
        <f>((Tableau!$H$16-Q323)/(AC323^2+Tableau!$G$21^2)^(3/2))*Tableau!$G$20</f>
        <v>-1.6226078388691635E-3</v>
      </c>
      <c r="X323" s="101">
        <f>((Tableau!$G$25-P323)/(AD323^2+Tableau!$G$30^2)^(3/2))*Tableau!$G$29</f>
        <v>1.146207725287835E-3</v>
      </c>
      <c r="Y323" s="101">
        <f>((Tableau!$H$25-Q323)/(AD323^2+Tableau!$G$30^2)^(3/2))*Tableau!$G$29</f>
        <v>-5.615141267635255E-4</v>
      </c>
      <c r="Z323" s="101">
        <f>((Tableau!$G$35-P323)/(AE323^2+Tableau!$G$40^2)^(3/2))*Tableau!$G$39</f>
        <v>3.32578652336964E-3</v>
      </c>
      <c r="AA323" s="102">
        <f>((Tableau!$H$35-Q323)/(AE323^2+Tableau!$G$40^2)^(3/2))*Tableau!$G$39</f>
        <v>-1.6347682249392072E-3</v>
      </c>
      <c r="AC323" s="113">
        <f>SQRT((Tableau!$G$16-P323)^2+(Tableau!$H$16-Q323)^2)</f>
        <v>11899090.050740229</v>
      </c>
      <c r="AD323" s="114">
        <f>SQRT((Tableau!$G$25-P323)^2+(Tableau!$H$25-Q323)^2)</f>
        <v>11862059.117694221</v>
      </c>
      <c r="AE323" s="115">
        <f>SQRT((Tableau!$G$35-P323)^2+(Tableau!$H$35-Q323)^2)</f>
        <v>11886538.499615358</v>
      </c>
    </row>
    <row r="324" spans="2:31" x14ac:dyDescent="0.25">
      <c r="B324" s="20">
        <v>321</v>
      </c>
      <c r="C324" s="21">
        <f>Tableau!$G$17*COS(B324*PI()/180)+Tableau!$G$16</f>
        <v>23885.729807284853</v>
      </c>
      <c r="D324" s="21">
        <f>Tableau!$G$17*SIN(B324*PI()/180)+Tableau!$H$16</f>
        <v>4353.3980447508111</v>
      </c>
      <c r="F324" s="28">
        <v>321</v>
      </c>
      <c r="G324" s="29">
        <f>Tableau!$G$26*COS(F324*PI()/180)+Tableau!$G$25</f>
        <v>-17279.989134900603</v>
      </c>
      <c r="H324" s="29">
        <f>Tableau!$G$26*SIN(F324*PI()/180)+Tableau!$H$25</f>
        <v>7797.3786313255678</v>
      </c>
      <c r="J324" s="36">
        <v>321</v>
      </c>
      <c r="K324" s="37">
        <f>Tableau!$G$36*COS(J324*PI()/180)+Tableau!$G$35</f>
        <v>-1114.270192715147</v>
      </c>
      <c r="L324" s="37">
        <f>Tableau!$G$36*SIN(J324*PI()/180)+Tableau!$H$35</f>
        <v>-18146.601955249189</v>
      </c>
      <c r="N324" s="92">
        <v>320</v>
      </c>
      <c r="O324" s="93">
        <v>160</v>
      </c>
      <c r="P324" s="96">
        <f>P323+R323*Tableau!$G$2+((1/2)*T323)*Tableau!$G$2^2</f>
        <v>-10706832.119389791</v>
      </c>
      <c r="Q324" s="96">
        <f>Q323+S323*Tableau!$G$2+((1/2)*U323)*Tableau!$G$2^2</f>
        <v>5245430.6249964051</v>
      </c>
      <c r="R324" s="96">
        <f>R323+T323*Tableau!$G$2</f>
        <v>-68698.656675960985</v>
      </c>
      <c r="S324" s="96">
        <f>S323+U323*Tableau!$G$2</f>
        <v>33800.950510199356</v>
      </c>
      <c r="T324" s="96">
        <f t="shared" ref="T324:T387" si="10">V324+X324+Z324</f>
        <v>7.7450557705566157E-3</v>
      </c>
      <c r="U324" s="96">
        <f t="shared" ref="U324:U387" si="11">W324+Y324+AA324</f>
        <v>-3.7944559583887282E-3</v>
      </c>
      <c r="V324" s="96">
        <f>((Tableau!$G$16-P324)/(AC324^2+Tableau!$G$21^2)^(3/2))*Tableau!$G$20</f>
        <v>3.301748191744737E-3</v>
      </c>
      <c r="W324" s="96">
        <f>((Tableau!$H$16-Q324)/(AC324^2+Tableau!$G$21^2)^(3/2))*Tableau!$G$20</f>
        <v>-1.612249336717509E-3</v>
      </c>
      <c r="X324" s="96">
        <f>((Tableau!$G$25-P324)/(AD324^2+Tableau!$G$30^2)^(3/2))*Tableau!$G$29</f>
        <v>1.1388421097295546E-3</v>
      </c>
      <c r="Y324" s="96">
        <f>((Tableau!$H$25-Q324)/(AD324^2+Tableau!$G$30^2)^(3/2))*Tableau!$G$29</f>
        <v>-5.5791358858307491E-4</v>
      </c>
      <c r="Z324" s="96">
        <f>((Tableau!$G$35-P324)/(AE324^2+Tableau!$G$40^2)^(3/2))*Tableau!$G$39</f>
        <v>3.3044654690823241E-3</v>
      </c>
      <c r="AA324" s="97">
        <f>((Tableau!$H$35-Q324)/(AE324^2+Tableau!$G$40^2)^(3/2))*Tableau!$G$39</f>
        <v>-1.6242930330881446E-3</v>
      </c>
      <c r="AC324" s="110">
        <f>SQRT((Tableau!$G$16-P324)^2+(Tableau!$H$16-Q324)^2)</f>
        <v>11937371.760561354</v>
      </c>
      <c r="AD324" s="111">
        <f>SQRT((Tableau!$G$25-P324)^2+(Tableau!$H$25-Q324)^2)</f>
        <v>11900340.94373651</v>
      </c>
      <c r="AE324" s="112">
        <f>SQRT((Tableau!$G$35-P324)^2+(Tableau!$H$35-Q324)^2)</f>
        <v>11924820.379024711</v>
      </c>
    </row>
    <row r="325" spans="2:31" x14ac:dyDescent="0.25">
      <c r="B325" s="18">
        <v>322</v>
      </c>
      <c r="C325" s="19">
        <f>Tableau!$G$17*COS(B325*PI()/180)+Tableau!$G$16</f>
        <v>23940.053768033609</v>
      </c>
      <c r="D325" s="19">
        <f>Tableau!$G$17*SIN(B325*PI()/180)+Tableau!$H$16</f>
        <v>4421.6926233717058</v>
      </c>
      <c r="F325" s="26">
        <v>322</v>
      </c>
      <c r="G325" s="27">
        <f>Tableau!$G$26*COS(F325*PI()/180)+Tableau!$G$25</f>
        <v>-17241.962362376475</v>
      </c>
      <c r="H325" s="27">
        <f>Tableau!$G$26*SIN(F325*PI()/180)+Tableau!$H$25</f>
        <v>7845.1848363601939</v>
      </c>
      <c r="J325" s="34">
        <v>322</v>
      </c>
      <c r="K325" s="35">
        <f>Tableau!$G$36*COS(J325*PI()/180)+Tableau!$G$35</f>
        <v>-1059.9462319663921</v>
      </c>
      <c r="L325" s="35">
        <f>Tableau!$G$36*SIN(J325*PI()/180)+Tableau!$H$35</f>
        <v>-18078.307376628294</v>
      </c>
      <c r="N325" s="98">
        <v>321</v>
      </c>
      <c r="O325" s="99">
        <v>160.5</v>
      </c>
      <c r="P325" s="101">
        <f>P324+R324*Tableau!$G$2+((1/2)*T324)*Tableau!$G$2^2</f>
        <v>-10741181.446759639</v>
      </c>
      <c r="Q325" s="101">
        <f>Q324+S324*Tableau!$G$2+((1/2)*U324)*Tableau!$G$2^2</f>
        <v>5262331.0997771984</v>
      </c>
      <c r="R325" s="101">
        <f>R324+T324*Tableau!$G$2</f>
        <v>-68698.652803433099</v>
      </c>
      <c r="S325" s="101">
        <f>S324+U324*Tableau!$G$2</f>
        <v>33800.948612971377</v>
      </c>
      <c r="T325" s="101">
        <f t="shared" si="10"/>
        <v>7.69555372070976E-3</v>
      </c>
      <c r="U325" s="101">
        <f t="shared" si="11"/>
        <v>-3.7702554835491618E-3</v>
      </c>
      <c r="V325" s="101">
        <f>((Tableau!$G$16-P325)/(AC325^2+Tableau!$G$21^2)^(3/2))*Tableau!$G$20</f>
        <v>3.2806576665136726E-3</v>
      </c>
      <c r="W325" s="101">
        <f>((Tableau!$H$16-Q325)/(AC325^2+Tableau!$G$21^2)^(3/2))*Tableau!$G$20</f>
        <v>-1.6019897089375407E-3</v>
      </c>
      <c r="X325" s="101">
        <f>((Tableau!$G$25-P325)/(AD325^2+Tableau!$G$30^2)^(3/2))*Tableau!$G$29</f>
        <v>1.1315472650025437E-3</v>
      </c>
      <c r="Y325" s="101">
        <f>((Tableau!$H$25-Q325)/(AD325^2+Tableau!$G$30^2)^(3/2))*Tableau!$G$29</f>
        <v>-5.5434757077420585E-4</v>
      </c>
      <c r="Z325" s="101">
        <f>((Tableau!$G$35-P325)/(AE325^2+Tableau!$G$40^2)^(3/2))*Tableau!$G$39</f>
        <v>3.2833487891935445E-3</v>
      </c>
      <c r="AA325" s="102">
        <f>((Tableau!$H$35-Q325)/(AE325^2+Tableau!$G$40^2)^(3/2))*Tableau!$G$39</f>
        <v>-1.6139182038374155E-3</v>
      </c>
      <c r="AC325" s="113">
        <f>SQRT((Tableau!$G$16-P325)^2+(Tableau!$H$16-Q325)^2)</f>
        <v>11975653.469321394</v>
      </c>
      <c r="AD325" s="114">
        <f>SQRT((Tableau!$G$25-P325)^2+(Tableau!$H$25-Q325)^2)</f>
        <v>11938622.767975789</v>
      </c>
      <c r="AE325" s="115">
        <f>SQRT((Tableau!$G$35-P325)^2+(Tableau!$H$35-Q325)^2)</f>
        <v>11963102.256288772</v>
      </c>
    </row>
    <row r="326" spans="2:31" x14ac:dyDescent="0.25">
      <c r="B326" s="20">
        <v>323</v>
      </c>
      <c r="C326" s="21">
        <f>Tableau!$G$17*COS(B326*PI()/180)+Tableau!$G$16</f>
        <v>23993.177550236465</v>
      </c>
      <c r="D326" s="21">
        <f>Tableau!$G$17*SIN(B326*PI()/180)+Tableau!$H$16</f>
        <v>4490.9248842397592</v>
      </c>
      <c r="F326" s="28">
        <v>323</v>
      </c>
      <c r="G326" s="29">
        <f>Tableau!$G$26*COS(F326*PI()/180)+Tableau!$G$25</f>
        <v>-17204.775714834475</v>
      </c>
      <c r="H326" s="29">
        <f>Tableau!$G$26*SIN(F326*PI()/180)+Tableau!$H$25</f>
        <v>7893.6474189678311</v>
      </c>
      <c r="J326" s="36">
        <v>323</v>
      </c>
      <c r="K326" s="37">
        <f>Tableau!$G$36*COS(J326*PI()/180)+Tableau!$G$35</f>
        <v>-1006.822449763536</v>
      </c>
      <c r="L326" s="37">
        <f>Tableau!$G$36*SIN(J326*PI()/180)+Tableau!$H$35</f>
        <v>-18009.075115760243</v>
      </c>
      <c r="N326" s="92">
        <v>322</v>
      </c>
      <c r="O326" s="93">
        <v>161</v>
      </c>
      <c r="P326" s="96">
        <f>P325+R325*Tableau!$G$2+((1/2)*T325)*Tableau!$G$2^2</f>
        <v>-10775530.772199411</v>
      </c>
      <c r="Q326" s="96">
        <f>Q325+S325*Tableau!$G$2+((1/2)*U325)*Tableau!$G$2^2</f>
        <v>5279231.5736124022</v>
      </c>
      <c r="R326" s="96">
        <f>R325+T325*Tableau!$G$2</f>
        <v>-68698.648955656245</v>
      </c>
      <c r="S326" s="96">
        <f>S325+U325*Tableau!$G$2</f>
        <v>33800.946727843635</v>
      </c>
      <c r="T326" s="96">
        <f t="shared" si="10"/>
        <v>7.6465247446634585E-3</v>
      </c>
      <c r="U326" s="96">
        <f t="shared" si="11"/>
        <v>-3.7462857937840188E-3</v>
      </c>
      <c r="V326" s="96">
        <f>((Tableau!$G$16-P326)/(AC326^2+Tableau!$G$21^2)^(3/2))*Tableau!$G$20</f>
        <v>3.2597685773564419E-3</v>
      </c>
      <c r="W326" s="96">
        <f>((Tableau!$H$16-Q326)/(AC326^2+Tableau!$G$21^2)^(3/2))*Tableau!$G$20</f>
        <v>-1.5918277011606771E-3</v>
      </c>
      <c r="X326" s="96">
        <f>((Tableau!$G$25-P326)/(AD326^2+Tableau!$G$30^2)^(3/2))*Tableau!$G$29</f>
        <v>1.1243222873525266E-3</v>
      </c>
      <c r="Y326" s="96">
        <f>((Tableau!$H$25-Q326)/(AD326^2+Tableau!$G$30^2)^(3/2))*Tableau!$G$29</f>
        <v>-5.5081563345502657E-4</v>
      </c>
      <c r="Z326" s="96">
        <f>((Tableau!$G$35-P326)/(AE326^2+Tableau!$G$40^2)^(3/2))*Tableau!$G$39</f>
        <v>3.2624338799544898E-3</v>
      </c>
      <c r="AA326" s="97">
        <f>((Tableau!$H$35-Q326)/(AE326^2+Tableau!$G$40^2)^(3/2))*Tableau!$G$39</f>
        <v>-1.6036424591683151E-3</v>
      </c>
      <c r="AC326" s="110">
        <f>SQRT((Tableau!$G$16-P326)^2+(Tableau!$H$16-Q326)^2)</f>
        <v>12013935.177023651</v>
      </c>
      <c r="AD326" s="111">
        <f>SQRT((Tableau!$G$25-P326)^2+(Tableau!$H$25-Q326)^2)</f>
        <v>11976904.590422448</v>
      </c>
      <c r="AE326" s="112">
        <f>SQRT((Tableau!$G$35-P326)^2+(Tableau!$H$35-Q326)^2)</f>
        <v>12001384.131421212</v>
      </c>
    </row>
    <row r="327" spans="2:31" x14ac:dyDescent="0.25">
      <c r="B327" s="18">
        <v>324</v>
      </c>
      <c r="C327" s="19">
        <f>Tableau!$G$17*COS(B327*PI()/180)+Tableau!$G$16</f>
        <v>24045.084971874738</v>
      </c>
      <c r="D327" s="19">
        <f>Tableau!$G$17*SIN(B327*PI()/180)+Tableau!$H$16</f>
        <v>4561.0737385376333</v>
      </c>
      <c r="F327" s="26">
        <v>324</v>
      </c>
      <c r="G327" s="27">
        <f>Tableau!$G$26*COS(F327*PI()/180)+Tableau!$G$25</f>
        <v>-17168.440519687683</v>
      </c>
      <c r="H327" s="27">
        <f>Tableau!$G$26*SIN(F327*PI()/180)+Tableau!$H$25</f>
        <v>7942.751616976343</v>
      </c>
      <c r="J327" s="34">
        <v>324</v>
      </c>
      <c r="K327" s="35">
        <f>Tableau!$G$36*COS(J327*PI()/180)+Tableau!$G$35</f>
        <v>-954.91502812526323</v>
      </c>
      <c r="L327" s="35">
        <f>Tableau!$G$36*SIN(J327*PI()/180)+Tableau!$H$35</f>
        <v>-17938.926261462366</v>
      </c>
      <c r="N327" s="98">
        <v>323</v>
      </c>
      <c r="O327" s="99">
        <v>161.5</v>
      </c>
      <c r="P327" s="101">
        <f>P326+R326*Tableau!$G$2+((1/2)*T326)*Tableau!$G$2^2</f>
        <v>-10809880.095721424</v>
      </c>
      <c r="Q327" s="101">
        <f>Q326+S326*Tableau!$G$2+((1/2)*U326)*Tableau!$G$2^2</f>
        <v>5296132.0465080384</v>
      </c>
      <c r="R327" s="101">
        <f>R326+T326*Tableau!$G$2</f>
        <v>-68698.645132393867</v>
      </c>
      <c r="S327" s="101">
        <f>S326+U326*Tableau!$G$2</f>
        <v>33800.944854700741</v>
      </c>
      <c r="T327" s="101">
        <f t="shared" si="10"/>
        <v>7.5979628335458979E-3</v>
      </c>
      <c r="U327" s="101">
        <f t="shared" si="11"/>
        <v>-3.7225439639156791E-3</v>
      </c>
      <c r="V327" s="101">
        <f>((Tableau!$G$16-P327)/(AC327^2+Tableau!$G$21^2)^(3/2))*Tableau!$G$20</f>
        <v>3.2390783671904645E-3</v>
      </c>
      <c r="W327" s="101">
        <f>((Tableau!$H$16-Q327)/(AC327^2+Tableau!$G$21^2)^(3/2))*Tableau!$G$20</f>
        <v>-1.5817620788472176E-3</v>
      </c>
      <c r="X327" s="101">
        <f>((Tableau!$G$25-P327)/(AD327^2+Tableau!$G$30^2)^(3/2))*Tableau!$G$29</f>
        <v>1.1171662874056635E-3</v>
      </c>
      <c r="Y327" s="101">
        <f>((Tableau!$H$25-Q327)/(AD327^2+Tableau!$G$30^2)^(3/2))*Tableau!$G$29</f>
        <v>-5.4731734372796468E-4</v>
      </c>
      <c r="Z327" s="101">
        <f>((Tableau!$G$35-P327)/(AE327^2+Tableau!$G$40^2)^(3/2))*Tableau!$G$39</f>
        <v>3.2417181789497701E-3</v>
      </c>
      <c r="AA327" s="102">
        <f>((Tableau!$H$35-Q327)/(AE327^2+Tableau!$G$40^2)^(3/2))*Tableau!$G$39</f>
        <v>-1.5934645413404971E-3</v>
      </c>
      <c r="AC327" s="113">
        <f>SQRT((Tableau!$G$16-P327)^2+(Tableau!$H$16-Q327)^2)</f>
        <v>12052216.883671438</v>
      </c>
      <c r="AD327" s="114">
        <f>SQRT((Tableau!$G$25-P327)^2+(Tableau!$H$25-Q327)^2)</f>
        <v>12015186.411086788</v>
      </c>
      <c r="AE327" s="115">
        <f>SQRT((Tableau!$G$35-P327)^2+(Tableau!$H$35-Q327)^2)</f>
        <v>12039666.004435575</v>
      </c>
    </row>
    <row r="328" spans="2:31" x14ac:dyDescent="0.25">
      <c r="B328" s="20">
        <v>325</v>
      </c>
      <c r="C328" s="21">
        <f>Tableau!$G$17*COS(B328*PI()/180)+Tableau!$G$16</f>
        <v>24095.760221444958</v>
      </c>
      <c r="D328" s="21">
        <f>Tableau!$G$17*SIN(B328*PI()/180)+Tableau!$H$16</f>
        <v>4632.1178182447675</v>
      </c>
      <c r="F328" s="28">
        <v>325</v>
      </c>
      <c r="G328" s="29">
        <f>Tableau!$G$26*COS(F328*PI()/180)+Tableau!$G$25</f>
        <v>-17132.967844988529</v>
      </c>
      <c r="H328" s="29">
        <f>Tableau!$G$26*SIN(F328*PI()/180)+Tableau!$H$25</f>
        <v>7992.4824727713376</v>
      </c>
      <c r="J328" s="36">
        <v>325</v>
      </c>
      <c r="K328" s="37">
        <f>Tableau!$G$36*COS(J328*PI()/180)+Tableau!$G$35</f>
        <v>-904.23977855504199</v>
      </c>
      <c r="L328" s="37">
        <f>Tableau!$G$36*SIN(J328*PI()/180)+Tableau!$H$35</f>
        <v>-17867.882181755231</v>
      </c>
      <c r="N328" s="92">
        <v>324</v>
      </c>
      <c r="O328" s="93">
        <v>162</v>
      </c>
      <c r="P328" s="96">
        <f>P327+R327*Tableau!$G$2+((1/2)*T327)*Tableau!$G$2^2</f>
        <v>-10844229.417337874</v>
      </c>
      <c r="Q328" s="96">
        <f>Q327+S327*Tableau!$G$2+((1/2)*U327)*Tableau!$G$2^2</f>
        <v>5313032.5184700713</v>
      </c>
      <c r="R328" s="96">
        <f>R327+T327*Tableau!$G$2</f>
        <v>-68698.641333412452</v>
      </c>
      <c r="S328" s="96">
        <f>S327+U327*Tableau!$G$2</f>
        <v>33800.942993428762</v>
      </c>
      <c r="T328" s="96">
        <f t="shared" si="10"/>
        <v>7.5498620735873897E-3</v>
      </c>
      <c r="U328" s="96">
        <f t="shared" si="11"/>
        <v>-3.6990271149655008E-3</v>
      </c>
      <c r="V328" s="96">
        <f>((Tableau!$G$16-P328)/(AC328^2+Tableau!$G$21^2)^(3/2))*Tableau!$G$20</f>
        <v>3.2185845193799041E-3</v>
      </c>
      <c r="W328" s="96">
        <f>((Tableau!$H$16-Q328)/(AC328^2+Tableau!$G$21^2)^(3/2))*Tableau!$G$20</f>
        <v>-1.5717916269112398E-3</v>
      </c>
      <c r="X328" s="96">
        <f>((Tableau!$G$25-P328)/(AD328^2+Tableau!$G$30^2)^(3/2))*Tableau!$G$29</f>
        <v>1.1100783898948122E-3</v>
      </c>
      <c r="Y328" s="96">
        <f>((Tableau!$H$25-Q328)/(AD328^2+Tableau!$G$30^2)^(3/2))*Tableau!$G$29</f>
        <v>-5.4385227554710233E-4</v>
      </c>
      <c r="Z328" s="96">
        <f>((Tableau!$G$35-P328)/(AE328^2+Tableau!$G$40^2)^(3/2))*Tableau!$G$39</f>
        <v>3.221199164312673E-3</v>
      </c>
      <c r="AA328" s="97">
        <f>((Tableau!$H$35-Q328)/(AE328^2+Tableau!$G$40^2)^(3/2))*Tableau!$G$39</f>
        <v>-1.5833832125071588E-3</v>
      </c>
      <c r="AC328" s="110">
        <f>SQRT((Tableau!$G$16-P328)^2+(Tableau!$H$16-Q328)^2)</f>
        <v>12090498.589268064</v>
      </c>
      <c r="AD328" s="111">
        <f>SQRT((Tableau!$G$25-P328)^2+(Tableau!$H$25-Q328)^2)</f>
        <v>12053468.229979021</v>
      </c>
      <c r="AE328" s="112">
        <f>SQRT((Tableau!$G$35-P328)^2+(Tableau!$H$35-Q328)^2)</f>
        <v>12077947.875345269</v>
      </c>
    </row>
    <row r="329" spans="2:31" x14ac:dyDescent="0.25">
      <c r="B329" s="18">
        <v>326</v>
      </c>
      <c r="C329" s="19">
        <f>Tableau!$G$17*COS(B329*PI()/180)+Tableau!$G$16</f>
        <v>24145.187862775208</v>
      </c>
      <c r="D329" s="19">
        <f>Tableau!$G$17*SIN(B329*PI()/180)+Tableau!$H$16</f>
        <v>4704.0354826462626</v>
      </c>
      <c r="F329" s="26">
        <v>326</v>
      </c>
      <c r="G329" s="27">
        <f>Tableau!$G$26*COS(F329*PI()/180)+Tableau!$G$25</f>
        <v>-17098.368496057356</v>
      </c>
      <c r="H329" s="27">
        <f>Tableau!$G$26*SIN(F329*PI()/180)+Tableau!$H$25</f>
        <v>8042.824837852384</v>
      </c>
      <c r="J329" s="34">
        <v>326</v>
      </c>
      <c r="K329" s="35">
        <f>Tableau!$G$36*COS(J329*PI()/180)+Tableau!$G$35</f>
        <v>-854.81213722479333</v>
      </c>
      <c r="L329" s="35">
        <f>Tableau!$G$36*SIN(J329*PI()/180)+Tableau!$H$35</f>
        <v>-17795.964517353736</v>
      </c>
      <c r="N329" s="98">
        <v>325</v>
      </c>
      <c r="O329" s="99">
        <v>162.5</v>
      </c>
      <c r="P329" s="101">
        <f>P328+R328*Tableau!$G$2+((1/2)*T328)*Tableau!$G$2^2</f>
        <v>-10878578.737060847</v>
      </c>
      <c r="Q329" s="101">
        <f>Q328+S328*Tableau!$G$2+((1/2)*U328)*Tableau!$G$2^2</f>
        <v>5329932.9895044072</v>
      </c>
      <c r="R329" s="101">
        <f>R328+T328*Tableau!$G$2</f>
        <v>-68698.637558481409</v>
      </c>
      <c r="S329" s="101">
        <f>S328+U328*Tableau!$G$2</f>
        <v>33800.941143915203</v>
      </c>
      <c r="T329" s="101">
        <f t="shared" si="10"/>
        <v>7.502216644319909E-3</v>
      </c>
      <c r="U329" s="101">
        <f t="shared" si="11"/>
        <v>-3.6757324132810215E-3</v>
      </c>
      <c r="V329" s="101">
        <f>((Tableau!$G$16-P329)/(AC329^2+Tableau!$G$21^2)^(3/2))*Tableau!$G$20</f>
        <v>3.1982845569705903E-3</v>
      </c>
      <c r="W329" s="101">
        <f>((Tableau!$H$16-Q329)/(AC329^2+Tableau!$G$21^2)^(3/2))*Tableau!$G$20</f>
        <v>-1.5619151493540032E-3</v>
      </c>
      <c r="X329" s="101">
        <f>((Tableau!$G$25-P329)/(AD329^2+Tableau!$G$30^2)^(3/2))*Tableau!$G$29</f>
        <v>1.1030577333920044E-3</v>
      </c>
      <c r="Y329" s="101">
        <f>((Tableau!$H$25-Q329)/(AD329^2+Tableau!$G$30^2)^(3/2))*Tableau!$G$29</f>
        <v>-5.4042000958851619E-4</v>
      </c>
      <c r="Z329" s="101">
        <f>((Tableau!$G$35-P329)/(AE329^2+Tableau!$G$40^2)^(3/2))*Tableau!$G$39</f>
        <v>3.2008743539573147E-3</v>
      </c>
      <c r="AA329" s="102">
        <f>((Tableau!$H$35-Q329)/(AE329^2+Tableau!$G$40^2)^(3/2))*Tableau!$G$39</f>
        <v>-1.5733972543385023E-3</v>
      </c>
      <c r="AC329" s="113">
        <f>SQRT((Tableau!$G$16-P329)^2+(Tableau!$H$16-Q329)^2)</f>
        <v>12128780.293816837</v>
      </c>
      <c r="AD329" s="114">
        <f>SQRT((Tableau!$G$25-P329)^2+(Tableau!$H$25-Q329)^2)</f>
        <v>12091750.04710928</v>
      </c>
      <c r="AE329" s="115">
        <f>SQRT((Tableau!$G$35-P329)^2+(Tableau!$H$35-Q329)^2)</f>
        <v>12116229.744163582</v>
      </c>
    </row>
    <row r="330" spans="2:31" x14ac:dyDescent="0.25">
      <c r="B330" s="20">
        <v>327</v>
      </c>
      <c r="C330" s="21">
        <f>Tableau!$G$17*COS(B330*PI()/180)+Tableau!$G$16</f>
        <v>24193.352839727122</v>
      </c>
      <c r="D330" s="21">
        <f>Tableau!$G$17*SIN(B330*PI()/180)+Tableau!$H$16</f>
        <v>4776.804824924865</v>
      </c>
      <c r="F330" s="28">
        <v>327</v>
      </c>
      <c r="G330" s="29">
        <f>Tableau!$G$26*COS(F330*PI()/180)+Tableau!$G$25</f>
        <v>-17064.653012191015</v>
      </c>
      <c r="H330" s="29">
        <f>Tableau!$G$26*SIN(F330*PI()/180)+Tableau!$H$25</f>
        <v>8093.7633774474052</v>
      </c>
      <c r="J330" s="36">
        <v>327</v>
      </c>
      <c r="K330" s="37">
        <f>Tableau!$G$36*COS(J330*PI()/180)+Tableau!$G$35</f>
        <v>-806.64716027287977</v>
      </c>
      <c r="L330" s="37">
        <f>Tableau!$G$36*SIN(J330*PI()/180)+Tableau!$H$35</f>
        <v>-17723.195175075136</v>
      </c>
      <c r="N330" s="92">
        <v>326</v>
      </c>
      <c r="O330" s="93">
        <v>163</v>
      </c>
      <c r="P330" s="96">
        <f>P329+R329*Tableau!$G$2+((1/2)*T329)*Tableau!$G$2^2</f>
        <v>-10912928.054902311</v>
      </c>
      <c r="Q330" s="96">
        <f>Q329+S329*Tableau!$G$2+((1/2)*U329)*Tableau!$G$2^2</f>
        <v>5346833.4596168986</v>
      </c>
      <c r="R330" s="96">
        <f>R329+T329*Tableau!$G$2</f>
        <v>-68698.633807373088</v>
      </c>
      <c r="S330" s="96">
        <f>S329+U329*Tableau!$G$2</f>
        <v>33800.939306048997</v>
      </c>
      <c r="T330" s="96">
        <f t="shared" si="10"/>
        <v>7.4550208168163573E-3</v>
      </c>
      <c r="U330" s="96">
        <f t="shared" si="11"/>
        <v>-3.6526570696823906E-3</v>
      </c>
      <c r="V330" s="96">
        <f>((Tableau!$G$16-P330)/(AC330^2+Tableau!$G$21^2)^(3/2))*Tableau!$G$20</f>
        <v>3.1781760419415206E-3</v>
      </c>
      <c r="W330" s="96">
        <f>((Tableau!$H$16-Q330)/(AC330^2+Tableau!$G$21^2)^(3/2))*Tableau!$G$20</f>
        <v>-1.5521314689052699E-3</v>
      </c>
      <c r="X330" s="96">
        <f>((Tableau!$G$25-P330)/(AD330^2+Tableau!$G$30^2)^(3/2))*Tableau!$G$29</f>
        <v>1.096103470046521E-3</v>
      </c>
      <c r="Y330" s="96">
        <f>((Tableau!$H$25-Q330)/(AD330^2+Tableau!$G$30^2)^(3/2))*Tableau!$G$29</f>
        <v>-5.3702013312332696E-4</v>
      </c>
      <c r="Z330" s="96">
        <f>((Tableau!$G$35-P330)/(AE330^2+Tableau!$G$40^2)^(3/2))*Tableau!$G$39</f>
        <v>3.1807413048283162E-3</v>
      </c>
      <c r="AA330" s="97">
        <f>((Tableau!$H$35-Q330)/(AE330^2+Tableau!$G$40^2)^(3/2))*Tableau!$G$39</f>
        <v>-1.5635054676537939E-3</v>
      </c>
      <c r="AC330" s="110">
        <f>SQRT((Tableau!$G$16-P330)^2+(Tableau!$H$16-Q330)^2)</f>
        <v>12167061.997321071</v>
      </c>
      <c r="AD330" s="111">
        <f>SQRT((Tableau!$G$25-P330)^2+(Tableau!$H$25-Q330)^2)</f>
        <v>12130031.862487597</v>
      </c>
      <c r="AE330" s="112">
        <f>SQRT((Tableau!$G$35-P330)^2+(Tableau!$H$35-Q330)^2)</f>
        <v>12154511.610903675</v>
      </c>
    </row>
    <row r="331" spans="2:31" x14ac:dyDescent="0.25">
      <c r="B331" s="18">
        <v>328</v>
      </c>
      <c r="C331" s="19">
        <f>Tableau!$G$17*COS(B331*PI()/180)+Tableau!$G$16</f>
        <v>24240.240480782126</v>
      </c>
      <c r="D331" s="19">
        <f>Tableau!$G$17*SIN(B331*PI()/180)+Tableau!$H$16</f>
        <v>4850.4036788339708</v>
      </c>
      <c r="F331" s="26">
        <v>328</v>
      </c>
      <c r="G331" s="27">
        <f>Tableau!$G$26*COS(F331*PI()/180)+Tableau!$G$25</f>
        <v>-17031.831663452511</v>
      </c>
      <c r="H331" s="27">
        <f>Tableau!$G$26*SIN(F331*PI()/180)+Tableau!$H$25</f>
        <v>8145.28257518378</v>
      </c>
      <c r="J331" s="34">
        <v>328</v>
      </c>
      <c r="K331" s="35">
        <f>Tableau!$G$36*COS(J331*PI()/180)+Tableau!$G$35</f>
        <v>-759.75951921787328</v>
      </c>
      <c r="L331" s="35">
        <f>Tableau!$G$36*SIN(J331*PI()/180)+Tableau!$H$35</f>
        <v>-17649.596321166027</v>
      </c>
      <c r="N331" s="98">
        <v>327</v>
      </c>
      <c r="O331" s="99">
        <v>163.5</v>
      </c>
      <c r="P331" s="101">
        <f>P330+R330*Tableau!$G$2+((1/2)*T330)*Tableau!$G$2^2</f>
        <v>-10947277.37087412</v>
      </c>
      <c r="Q331" s="101">
        <f>Q330+S330*Tableau!$G$2+((1/2)*U330)*Tableau!$G$2^2</f>
        <v>5363733.9288133411</v>
      </c>
      <c r="R331" s="101">
        <f>R330+T330*Tableau!$G$2</f>
        <v>-68698.630079862676</v>
      </c>
      <c r="S331" s="101">
        <f>S330+U330*Tableau!$G$2</f>
        <v>33800.937479720458</v>
      </c>
      <c r="T331" s="101">
        <f t="shared" si="10"/>
        <v>7.4082689519681579E-3</v>
      </c>
      <c r="U331" s="101">
        <f t="shared" si="11"/>
        <v>-3.6297983386273307E-3</v>
      </c>
      <c r="V331" s="101">
        <f>((Tableau!$G$16-P331)/(AC331^2+Tableau!$G$21^2)^(3/2))*Tableau!$G$20</f>
        <v>3.1582565744727106E-3</v>
      </c>
      <c r="W331" s="101">
        <f>((Tableau!$H$16-Q331)/(AC331^2+Tableau!$G$21^2)^(3/2))*Tableau!$G$20</f>
        <v>-1.5424394266724244E-3</v>
      </c>
      <c r="X331" s="101">
        <f>((Tableau!$G$25-P331)/(AD331^2+Tableau!$G$30^2)^(3/2))*Tableau!$G$29</f>
        <v>1.0892147653290677E-3</v>
      </c>
      <c r="Y331" s="101">
        <f>((Tableau!$H$25-Q331)/(AD331^2+Tableau!$G$30^2)^(3/2))*Tableau!$G$29</f>
        <v>-5.336522398936977E-4</v>
      </c>
      <c r="Z331" s="101">
        <f>((Tableau!$G$35-P331)/(AE331^2+Tableau!$G$40^2)^(3/2))*Tableau!$G$39</f>
        <v>3.1607976121663796E-3</v>
      </c>
      <c r="AA331" s="102">
        <f>((Tableau!$H$35-Q331)/(AE331^2+Tableau!$G$40^2)^(3/2))*Tableau!$G$39</f>
        <v>-1.5537066720612085E-3</v>
      </c>
      <c r="AC331" s="113">
        <f>SQRT((Tableau!$G$16-P331)^2+(Tableau!$H$16-Q331)^2)</f>
        <v>12205343.699784072</v>
      </c>
      <c r="AD331" s="114">
        <f>SQRT((Tableau!$G$25-P331)^2+(Tableau!$H$25-Q331)^2)</f>
        <v>12168313.676123934</v>
      </c>
      <c r="AE331" s="115">
        <f>SQRT((Tableau!$G$35-P331)^2+(Tableau!$H$35-Q331)^2)</f>
        <v>12192793.475578582</v>
      </c>
    </row>
    <row r="332" spans="2:31" x14ac:dyDescent="0.25">
      <c r="B332" s="20">
        <v>329</v>
      </c>
      <c r="C332" s="21">
        <f>Tableau!$G$17*COS(B332*PI()/180)+Tableau!$G$16</f>
        <v>24285.83650351056</v>
      </c>
      <c r="D332" s="21">
        <f>Tableau!$G$17*SIN(B332*PI()/180)+Tableau!$H$16</f>
        <v>4924.8096254497277</v>
      </c>
      <c r="F332" s="28">
        <v>329</v>
      </c>
      <c r="G332" s="29">
        <f>Tableau!$G$26*COS(F332*PI()/180)+Tableau!$G$25</f>
        <v>-16999.914447542607</v>
      </c>
      <c r="H332" s="29">
        <f>Tableau!$G$26*SIN(F332*PI()/180)+Tableau!$H$25</f>
        <v>8197.3667378148093</v>
      </c>
      <c r="J332" s="36">
        <v>329</v>
      </c>
      <c r="K332" s="37">
        <f>Tableau!$G$36*COS(J332*PI()/180)+Tableau!$G$35</f>
        <v>-714.16349648943924</v>
      </c>
      <c r="L332" s="37">
        <f>Tableau!$G$36*SIN(J332*PI()/180)+Tableau!$H$35</f>
        <v>-17575.190374550271</v>
      </c>
      <c r="N332" s="92">
        <v>328</v>
      </c>
      <c r="O332" s="93">
        <v>164</v>
      </c>
      <c r="P332" s="96">
        <f>P331+R331*Tableau!$G$2+((1/2)*T331)*Tableau!$G$2^2</f>
        <v>-10981626.684988016</v>
      </c>
      <c r="Q332" s="96">
        <f>Q331+S331*Tableau!$G$2+((1/2)*U331)*Tableau!$G$2^2</f>
        <v>5380634.3970994772</v>
      </c>
      <c r="R332" s="96">
        <f>R331+T331*Tableau!$G$2</f>
        <v>-68698.626375728199</v>
      </c>
      <c r="S332" s="96">
        <f>S331+U331*Tableau!$G$2</f>
        <v>33800.935664821292</v>
      </c>
      <c r="T332" s="96">
        <f t="shared" si="10"/>
        <v>7.3619554988008495E-3</v>
      </c>
      <c r="U332" s="96">
        <f t="shared" si="11"/>
        <v>-3.6071535173944902E-3</v>
      </c>
      <c r="V332" s="96">
        <f>((Tableau!$G$16-P332)/(AC332^2+Tableau!$G$21^2)^(3/2))*Tableau!$G$20</f>
        <v>3.1385237922292608E-3</v>
      </c>
      <c r="W332" s="96">
        <f>((Tableau!$H$16-Q332)/(AC332^2+Tableau!$G$21^2)^(3/2))*Tableau!$G$20</f>
        <v>-1.5328378817973411E-3</v>
      </c>
      <c r="X332" s="96">
        <f>((Tableau!$G$25-P332)/(AD332^2+Tableau!$G$30^2)^(3/2))*Tableau!$G$29</f>
        <v>1.0823907977812659E-3</v>
      </c>
      <c r="Y332" s="96">
        <f>((Tableau!$H$25-Q332)/(AD332^2+Tableau!$G$30^2)^(3/2))*Tableau!$G$29</f>
        <v>-5.3031592999140404E-4</v>
      </c>
      <c r="Z332" s="96">
        <f>((Tableau!$G$35-P332)/(AE332^2+Tableau!$G$40^2)^(3/2))*Tableau!$G$39</f>
        <v>3.1410409087903224E-3</v>
      </c>
      <c r="AA332" s="97">
        <f>((Tableau!$H$35-Q332)/(AE332^2+Tableau!$G$40^2)^(3/2))*Tableau!$G$39</f>
        <v>-1.5439997056057452E-3</v>
      </c>
      <c r="AC332" s="110">
        <f>SQRT((Tableau!$G$16-P332)^2+(Tableau!$H$16-Q332)^2)</f>
        <v>12243625.401209151</v>
      </c>
      <c r="AD332" s="111">
        <f>SQRT((Tableau!$G$25-P332)^2+(Tableau!$H$25-Q332)^2)</f>
        <v>12206595.488028159</v>
      </c>
      <c r="AE332" s="112">
        <f>SQRT((Tableau!$G$35-P332)^2+(Tableau!$H$35-Q332)^2)</f>
        <v>12231075.338201217</v>
      </c>
    </row>
    <row r="333" spans="2:31" x14ac:dyDescent="0.25">
      <c r="B333" s="18">
        <v>330</v>
      </c>
      <c r="C333" s="19">
        <f>Tableau!$G$17*COS(B333*PI()/180)+Tableau!$G$16</f>
        <v>24330.12701892219</v>
      </c>
      <c r="D333" s="19">
        <f>Tableau!$G$17*SIN(B333*PI()/180)+Tableau!$H$16</f>
        <v>4999.9999999999982</v>
      </c>
      <c r="F333" s="26">
        <v>330</v>
      </c>
      <c r="G333" s="27">
        <f>Tableau!$G$26*COS(F333*PI()/180)+Tableau!$G$25</f>
        <v>-16968.911086754466</v>
      </c>
      <c r="H333" s="27">
        <f>Tableau!$G$26*SIN(F333*PI()/180)+Tableau!$H$25</f>
        <v>8249.9999999999982</v>
      </c>
      <c r="J333" s="34">
        <v>330</v>
      </c>
      <c r="K333" s="35">
        <f>Tableau!$G$36*COS(J333*PI()/180)+Tableau!$G$35</f>
        <v>-669.87298107780771</v>
      </c>
      <c r="L333" s="35">
        <f>Tableau!$G$36*SIN(J333*PI()/180)+Tableau!$H$35</f>
        <v>-17500.000000000004</v>
      </c>
      <c r="N333" s="98">
        <v>329</v>
      </c>
      <c r="O333" s="99">
        <v>164.5</v>
      </c>
      <c r="P333" s="101">
        <f>P332+R332*Tableau!$G$2+((1/2)*T332)*Tableau!$G$2^2</f>
        <v>-11015975.997255636</v>
      </c>
      <c r="Q333" s="101">
        <f>Q332+S332*Tableau!$G$2+((1/2)*U332)*Tableau!$G$2^2</f>
        <v>5397534.8644809937</v>
      </c>
      <c r="R333" s="101">
        <f>R332+T332*Tableau!$G$2</f>
        <v>-68698.622694750447</v>
      </c>
      <c r="S333" s="101">
        <f>S332+U332*Tableau!$G$2</f>
        <v>33800.933861244535</v>
      </c>
      <c r="T333" s="101">
        <f t="shared" si="10"/>
        <v>7.3160749928261569E-3</v>
      </c>
      <c r="U333" s="101">
        <f t="shared" si="11"/>
        <v>-3.5847199452844428E-3</v>
      </c>
      <c r="V333" s="101">
        <f>((Tableau!$G$16-P333)/(AC333^2+Tableau!$G$21^2)^(3/2))*Tableau!$G$20</f>
        <v>3.118975369660932E-3</v>
      </c>
      <c r="W333" s="101">
        <f>((Tableau!$H$16-Q333)/(AC333^2+Tableau!$G$21^2)^(3/2))*Tableau!$G$20</f>
        <v>-1.5233257111206546E-3</v>
      </c>
      <c r="X333" s="101">
        <f>((Tableau!$G$25-P333)/(AD333^2+Tableau!$G$30^2)^(3/2))*Tableau!$G$29</f>
        <v>1.075630758770802E-3</v>
      </c>
      <c r="Y333" s="101">
        <f>((Tableau!$H$25-Q333)/(AD333^2+Tableau!$G$30^2)^(3/2))*Tableau!$G$29</f>
        <v>-5.2701080973914017E-4</v>
      </c>
      <c r="Z333" s="101">
        <f>((Tableau!$G$35-P333)/(AE333^2+Tableau!$G$40^2)^(3/2))*Tableau!$G$39</f>
        <v>3.1214688643944224E-3</v>
      </c>
      <c r="AA333" s="102">
        <f>((Tableau!$H$35-Q333)/(AE333^2+Tableau!$G$40^2)^(3/2))*Tableau!$G$39</f>
        <v>-1.534383424424648E-3</v>
      </c>
      <c r="AC333" s="113">
        <f>SQRT((Tableau!$G$16-P333)^2+(Tableau!$H$16-Q333)^2)</f>
        <v>12281907.101599621</v>
      </c>
      <c r="AD333" s="114">
        <f>SQRT((Tableau!$G$25-P333)^2+(Tableau!$H$25-Q333)^2)</f>
        <v>12244877.29821007</v>
      </c>
      <c r="AE333" s="115">
        <f>SQRT((Tableau!$G$35-P333)^2+(Tableau!$H$35-Q333)^2)</f>
        <v>12269357.198784377</v>
      </c>
    </row>
    <row r="334" spans="2:31" x14ac:dyDescent="0.25">
      <c r="B334" s="20">
        <v>331</v>
      </c>
      <c r="C334" s="21">
        <f>Tableau!$G$17*COS(B334*PI()/180)+Tableau!$G$16</f>
        <v>24373.09853569698</v>
      </c>
      <c r="D334" s="21">
        <f>Tableau!$G$17*SIN(B334*PI()/180)+Tableau!$H$16</f>
        <v>5075.951898768315</v>
      </c>
      <c r="F334" s="28">
        <v>331</v>
      </c>
      <c r="G334" s="29">
        <f>Tableau!$G$26*COS(F334*PI()/180)+Tableau!$G$25</f>
        <v>-16938.831025012114</v>
      </c>
      <c r="H334" s="29">
        <f>Tableau!$G$26*SIN(F334*PI()/180)+Tableau!$H$25</f>
        <v>8303.1663291378209</v>
      </c>
      <c r="J334" s="36">
        <v>331</v>
      </c>
      <c r="K334" s="37">
        <f>Tableau!$G$36*COS(J334*PI()/180)+Tableau!$G$35</f>
        <v>-626.90146430302048</v>
      </c>
      <c r="L334" s="37">
        <f>Tableau!$G$36*SIN(J334*PI()/180)+Tableau!$H$35</f>
        <v>-17424.048101231685</v>
      </c>
      <c r="N334" s="92">
        <v>330</v>
      </c>
      <c r="O334" s="93">
        <v>165</v>
      </c>
      <c r="P334" s="96">
        <f>P333+R333*Tableau!$G$2+((1/2)*T333)*Tableau!$G$2^2</f>
        <v>-11050325.307688503</v>
      </c>
      <c r="Q334" s="96">
        <f>Q333+S333*Tableau!$G$2+((1/2)*U333)*Tableau!$G$2^2</f>
        <v>5414435.3309635259</v>
      </c>
      <c r="R334" s="96">
        <f>R333+T333*Tableau!$G$2</f>
        <v>-68698.619036712946</v>
      </c>
      <c r="S334" s="96">
        <f>S333+U333*Tableau!$G$2</f>
        <v>33800.932068884562</v>
      </c>
      <c r="T334" s="96">
        <f t="shared" si="10"/>
        <v>7.27062205443018E-3</v>
      </c>
      <c r="U334" s="96">
        <f t="shared" si="11"/>
        <v>-3.5624950028381635E-3</v>
      </c>
      <c r="V334" s="96">
        <f>((Tableau!$G$16-P334)/(AC334^2+Tableau!$G$21^2)^(3/2))*Tableau!$G$20</f>
        <v>3.099609017316849E-3</v>
      </c>
      <c r="W334" s="96">
        <f>((Tableau!$H$16-Q334)/(AC334^2+Tableau!$G$21^2)^(3/2))*Tableau!$G$20</f>
        <v>-1.5139018088532563E-3</v>
      </c>
      <c r="X334" s="96">
        <f>((Tableau!$G$25-P334)/(AD334^2+Tableau!$G$30^2)^(3/2))*Tableau!$G$29</f>
        <v>1.0689338522518964E-3</v>
      </c>
      <c r="Y334" s="96">
        <f>((Tableau!$H$25-Q334)/(AD334^2+Tableau!$G$30^2)^(3/2))*Tableau!$G$29</f>
        <v>-5.2373649157440045E-4</v>
      </c>
      <c r="Z334" s="96">
        <f>((Tableau!$G$35-P334)/(AE334^2+Tableau!$G$40^2)^(3/2))*Tableau!$G$39</f>
        <v>3.1020791848614337E-3</v>
      </c>
      <c r="AA334" s="97">
        <f>((Tableau!$H$35-Q334)/(AE334^2+Tableau!$G$40^2)^(3/2))*Tableau!$G$39</f>
        <v>-1.5248567024105065E-3</v>
      </c>
      <c r="AC334" s="110">
        <f>SQRT((Tableau!$G$16-P334)^2+(Tableau!$H$16-Q334)^2)</f>
        <v>12320188.800958782</v>
      </c>
      <c r="AD334" s="111">
        <f>SQRT((Tableau!$G$25-P334)^2+(Tableau!$H$25-Q334)^2)</f>
        <v>12283159.106679367</v>
      </c>
      <c r="AE334" s="112">
        <f>SQRT((Tableau!$G$35-P334)^2+(Tableau!$H$35-Q334)^2)</f>
        <v>12307639.057340734</v>
      </c>
    </row>
    <row r="335" spans="2:31" x14ac:dyDescent="0.25">
      <c r="B335" s="18">
        <v>332</v>
      </c>
      <c r="C335" s="19">
        <f>Tableau!$G$17*COS(B335*PI()/180)+Tableau!$G$16</f>
        <v>24414.737964294633</v>
      </c>
      <c r="D335" s="19">
        <f>Tableau!$G$17*SIN(B335*PI()/180)+Tableau!$H$16</f>
        <v>5152.6421860705459</v>
      </c>
      <c r="F335" s="26">
        <v>332</v>
      </c>
      <c r="G335" s="27">
        <f>Tableau!$G$26*COS(F335*PI()/180)+Tableau!$G$25</f>
        <v>-16909.683424993756</v>
      </c>
      <c r="H335" s="27">
        <f>Tableau!$G$26*SIN(F335*PI()/180)+Tableau!$H$25</f>
        <v>8356.849530249383</v>
      </c>
      <c r="J335" s="34">
        <v>332</v>
      </c>
      <c r="K335" s="35">
        <f>Tableau!$G$36*COS(J335*PI()/180)+Tableau!$G$35</f>
        <v>-585.26203570536563</v>
      </c>
      <c r="L335" s="35">
        <f>Tableau!$G$36*SIN(J335*PI()/180)+Tableau!$H$35</f>
        <v>-17347.357813929455</v>
      </c>
      <c r="N335" s="98">
        <v>331</v>
      </c>
      <c r="O335" s="99">
        <v>165.5</v>
      </c>
      <c r="P335" s="101">
        <f>P334+R334*Tableau!$G$2+((1/2)*T334)*Tableau!$G$2^2</f>
        <v>-11084674.616298031</v>
      </c>
      <c r="Q335" s="101">
        <f>Q334+S334*Tableau!$G$2+((1/2)*U334)*Tableau!$G$2^2</f>
        <v>5431335.7965526562</v>
      </c>
      <c r="R335" s="101">
        <f>R334+T334*Tableau!$G$2</f>
        <v>-68698.615401401912</v>
      </c>
      <c r="S335" s="101">
        <f>S334+U334*Tableau!$G$2</f>
        <v>33800.930287637064</v>
      </c>
      <c r="T335" s="101">
        <f t="shared" si="10"/>
        <v>7.2255913872962358E-3</v>
      </c>
      <c r="U335" s="101">
        <f t="shared" si="11"/>
        <v>-3.540476111072271E-3</v>
      </c>
      <c r="V335" s="101">
        <f>((Tableau!$G$16-P335)/(AC335^2+Tableau!$G$21^2)^(3/2))*Tableau!$G$20</f>
        <v>3.0804224811751793E-3</v>
      </c>
      <c r="W335" s="101">
        <f>((Tableau!$H$16-Q335)/(AC335^2+Tableau!$G$21^2)^(3/2))*Tableau!$G$20</f>
        <v>-1.5045650862549398E-3</v>
      </c>
      <c r="X335" s="101">
        <f>((Tableau!$G$25-P335)/(AD335^2+Tableau!$G$30^2)^(3/2))*Tableau!$G$29</f>
        <v>1.0622992945308531E-3</v>
      </c>
      <c r="Y335" s="101">
        <f>((Tableau!$H$25-Q335)/(AD335^2+Tableau!$G$30^2)^(3/2))*Tableau!$G$29</f>
        <v>-5.2049259393581644E-4</v>
      </c>
      <c r="Z335" s="101">
        <f>((Tableau!$G$35-P335)/(AE335^2+Tableau!$G$40^2)^(3/2))*Tableau!$G$39</f>
        <v>3.0828696115902032E-3</v>
      </c>
      <c r="AA335" s="102">
        <f>((Tableau!$H$35-Q335)/(AE335^2+Tableau!$G$40^2)^(3/2))*Tableau!$G$39</f>
        <v>-1.5154184308815144E-3</v>
      </c>
      <c r="AC335" s="113">
        <f>SQRT((Tableau!$G$16-P335)^2+(Tableau!$H$16-Q335)^2)</f>
        <v>12358470.499289943</v>
      </c>
      <c r="AD335" s="114">
        <f>SQRT((Tableau!$G$25-P335)^2+(Tableau!$H$25-Q335)^2)</f>
        <v>12321440.913445685</v>
      </c>
      <c r="AE335" s="115">
        <f>SQRT((Tableau!$G$35-P335)^2+(Tableau!$H$35-Q335)^2)</f>
        <v>12345920.913882844</v>
      </c>
    </row>
    <row r="336" spans="2:31" x14ac:dyDescent="0.25">
      <c r="B336" s="20">
        <v>333</v>
      </c>
      <c r="C336" s="21">
        <f>Tableau!$G$17*COS(B336*PI()/180)+Tableau!$G$16</f>
        <v>24455.032620941838</v>
      </c>
      <c r="D336" s="21">
        <f>Tableau!$G$17*SIN(B336*PI()/180)+Tableau!$H$16</f>
        <v>5230.0475013022651</v>
      </c>
      <c r="F336" s="28">
        <v>333</v>
      </c>
      <c r="G336" s="29">
        <f>Tableau!$G$26*COS(F336*PI()/180)+Tableau!$G$25</f>
        <v>-16881.477165340712</v>
      </c>
      <c r="H336" s="29">
        <f>Tableau!$G$26*SIN(F336*PI()/180)+Tableau!$H$25</f>
        <v>8411.0332509115851</v>
      </c>
      <c r="J336" s="36">
        <v>333</v>
      </c>
      <c r="K336" s="37">
        <f>Tableau!$G$36*COS(J336*PI()/180)+Tableau!$G$35</f>
        <v>-544.96737905816099</v>
      </c>
      <c r="L336" s="37">
        <f>Tableau!$G$36*SIN(J336*PI()/180)+Tableau!$H$35</f>
        <v>-17269.952498697734</v>
      </c>
      <c r="N336" s="92">
        <v>332</v>
      </c>
      <c r="O336" s="93">
        <v>166</v>
      </c>
      <c r="P336" s="96">
        <f>P335+R335*Tableau!$G$2+((1/2)*T335)*Tableau!$G$2^2</f>
        <v>-11119023.923095534</v>
      </c>
      <c r="Q336" s="96">
        <f>Q335+S335*Tableau!$G$2+((1/2)*U335)*Tableau!$G$2^2</f>
        <v>5448236.2612539148</v>
      </c>
      <c r="R336" s="96">
        <f>R335+T335*Tableau!$G$2</f>
        <v>-68698.611788606213</v>
      </c>
      <c r="S336" s="96">
        <f>S335+U335*Tableau!$G$2</f>
        <v>33800.928517399007</v>
      </c>
      <c r="T336" s="96">
        <f t="shared" si="10"/>
        <v>7.1809777768619826E-3</v>
      </c>
      <c r="U336" s="96">
        <f t="shared" si="11"/>
        <v>-3.5186607307308563E-3</v>
      </c>
      <c r="V336" s="96">
        <f>((Tableau!$G$16-P336)/(AC336^2+Tableau!$G$21^2)^(3/2))*Tableau!$G$20</f>
        <v>3.0614135419873194E-3</v>
      </c>
      <c r="W336" s="96">
        <f>((Tableau!$H$16-Q336)/(AC336^2+Tableau!$G$21^2)^(3/2))*Tableau!$G$20</f>
        <v>-1.4953144713199785E-3</v>
      </c>
      <c r="X336" s="96">
        <f>((Tableau!$G$25-P336)/(AD336^2+Tableau!$G$30^2)^(3/2))*Tableau!$G$29</f>
        <v>1.0557263140368734E-3</v>
      </c>
      <c r="Y336" s="96">
        <f>((Tableau!$H$25-Q336)/(AD336^2+Tableau!$G$30^2)^(3/2))*Tableau!$G$29</f>
        <v>-5.1727874115204255E-4</v>
      </c>
      <c r="Z336" s="96">
        <f>((Tableau!$G$35-P336)/(AE336^2+Tableau!$G$40^2)^(3/2))*Tableau!$G$39</f>
        <v>3.0638379208377899E-3</v>
      </c>
      <c r="AA336" s="97">
        <f>((Tableau!$H$35-Q336)/(AE336^2+Tableau!$G$40^2)^(3/2))*Tableau!$G$39</f>
        <v>-1.5060675182588354E-3</v>
      </c>
      <c r="AC336" s="110">
        <f>SQRT((Tableau!$G$16-P336)^2+(Tableau!$H$16-Q336)^2)</f>
        <v>12396752.196596406</v>
      </c>
      <c r="AD336" s="111">
        <f>SQRT((Tableau!$G$25-P336)^2+(Tableau!$H$25-Q336)^2)</f>
        <v>12359722.718518564</v>
      </c>
      <c r="AE336" s="112">
        <f>SQRT((Tableau!$G$35-P336)^2+(Tableau!$H$35-Q336)^2)</f>
        <v>12384202.768423144</v>
      </c>
    </row>
    <row r="337" spans="2:31" x14ac:dyDescent="0.25">
      <c r="B337" s="18">
        <v>334</v>
      </c>
      <c r="C337" s="19">
        <f>Tableau!$G$17*COS(B337*PI()/180)+Tableau!$G$16</f>
        <v>24493.970231495834</v>
      </c>
      <c r="D337" s="19">
        <f>Tableau!$G$17*SIN(B337*PI()/180)+Tableau!$H$16</f>
        <v>5308.1442660546145</v>
      </c>
      <c r="F337" s="26">
        <v>334</v>
      </c>
      <c r="G337" s="27">
        <f>Tableau!$G$26*COS(F337*PI()/180)+Tableau!$G$25</f>
        <v>-16854.220837952915</v>
      </c>
      <c r="H337" s="27">
        <f>Tableau!$G$26*SIN(F337*PI()/180)+Tableau!$H$25</f>
        <v>8465.7009862382311</v>
      </c>
      <c r="J337" s="34">
        <v>334</v>
      </c>
      <c r="K337" s="35">
        <f>Tableau!$G$36*COS(J337*PI()/180)+Tableau!$G$35</f>
        <v>-506.02976850416417</v>
      </c>
      <c r="L337" s="35">
        <f>Tableau!$G$36*SIN(J337*PI()/180)+Tableau!$H$35</f>
        <v>-17191.855733945384</v>
      </c>
      <c r="N337" s="98">
        <v>333</v>
      </c>
      <c r="O337" s="99">
        <v>166.5</v>
      </c>
      <c r="P337" s="101">
        <f>P336+R336*Tableau!$G$2+((1/2)*T336)*Tableau!$G$2^2</f>
        <v>-11153373.228092214</v>
      </c>
      <c r="Q337" s="101">
        <f>Q336+S336*Tableau!$G$2+((1/2)*U336)*Tableau!$G$2^2</f>
        <v>5465136.7250727816</v>
      </c>
      <c r="R337" s="101">
        <f>R336+T336*Tableau!$G$2</f>
        <v>-68698.608198117319</v>
      </c>
      <c r="S337" s="101">
        <f>S336+U336*Tableau!$G$2</f>
        <v>33800.926758068643</v>
      </c>
      <c r="T337" s="101">
        <f t="shared" si="10"/>
        <v>7.1367760888097487E-3</v>
      </c>
      <c r="U337" s="101">
        <f t="shared" si="11"/>
        <v>-3.4970463615533898E-3</v>
      </c>
      <c r="V337" s="101">
        <f>((Tableau!$G$16-P337)/(AC337^2+Tableau!$G$21^2)^(3/2))*Tableau!$G$20</f>
        <v>3.0425800146360602E-3</v>
      </c>
      <c r="W337" s="101">
        <f>((Tableau!$H$16-Q337)/(AC337^2+Tableau!$G$21^2)^(3/2))*Tableau!$G$20</f>
        <v>-1.4861489084693805E-3</v>
      </c>
      <c r="X337" s="101">
        <f>((Tableau!$G$25-P337)/(AD337^2+Tableau!$G$30^2)^(3/2))*Tableau!$G$29</f>
        <v>1.0492141510976178E-3</v>
      </c>
      <c r="Y337" s="101">
        <f>((Tableau!$H$25-Q337)/(AD337^2+Tableau!$G$30^2)^(3/2))*Tableau!$G$29</f>
        <v>-5.1409456333293693E-4</v>
      </c>
      <c r="Z337" s="101">
        <f>((Tableau!$G$35-P337)/(AE337^2+Tableau!$G$40^2)^(3/2))*Tableau!$G$39</f>
        <v>3.0449819230760709E-3</v>
      </c>
      <c r="AA337" s="102">
        <f>((Tableau!$H$35-Q337)/(AE337^2+Tableau!$G$40^2)^(3/2))*Tableau!$G$39</f>
        <v>-1.4968028897510727E-3</v>
      </c>
      <c r="AC337" s="113">
        <f>SQRT((Tableau!$G$16-P337)^2+(Tableau!$H$16-Q337)^2)</f>
        <v>12435033.892881475</v>
      </c>
      <c r="AD337" s="114">
        <f>SQRT((Tableau!$G$25-P337)^2+(Tableau!$H$25-Q337)^2)</f>
        <v>12398004.521907477</v>
      </c>
      <c r="AE337" s="115">
        <f>SQRT((Tableau!$G$35-P337)^2+(Tableau!$H$35-Q337)^2)</f>
        <v>12422484.620973965</v>
      </c>
    </row>
    <row r="338" spans="2:31" x14ac:dyDescent="0.25">
      <c r="B338" s="20">
        <v>335</v>
      </c>
      <c r="C338" s="21">
        <f>Tableau!$G$17*COS(B338*PI()/180)+Tableau!$G$16</f>
        <v>24531.538935183249</v>
      </c>
      <c r="D338" s="21">
        <f>Tableau!$G$17*SIN(B338*PI()/180)+Tableau!$H$16</f>
        <v>5386.9086912964995</v>
      </c>
      <c r="F338" s="28">
        <v>335</v>
      </c>
      <c r="G338" s="29">
        <f>Tableau!$G$26*COS(F338*PI()/180)+Tableau!$G$25</f>
        <v>-16827.922745371725</v>
      </c>
      <c r="H338" s="29">
        <f>Tableau!$G$26*SIN(F338*PI()/180)+Tableau!$H$25</f>
        <v>8520.8360839075503</v>
      </c>
      <c r="J338" s="36">
        <v>335</v>
      </c>
      <c r="K338" s="37">
        <f>Tableau!$G$36*COS(J338*PI()/180)+Tableau!$G$35</f>
        <v>-468.46106481675179</v>
      </c>
      <c r="L338" s="37">
        <f>Tableau!$G$36*SIN(J338*PI()/180)+Tableau!$H$35</f>
        <v>-17113.091308703501</v>
      </c>
      <c r="N338" s="92">
        <v>334</v>
      </c>
      <c r="O338" s="93">
        <v>167</v>
      </c>
      <c r="P338" s="96">
        <f>P337+R337*Tableau!$G$2+((1/2)*T337)*Tableau!$G$2^2</f>
        <v>-11187722.531299176</v>
      </c>
      <c r="Q338" s="96">
        <f>Q337+S337*Tableau!$G$2+((1/2)*U337)*Tableau!$G$2^2</f>
        <v>5482037.1880146852</v>
      </c>
      <c r="R338" s="96">
        <f>R337+T337*Tableau!$G$2</f>
        <v>-68698.604629729278</v>
      </c>
      <c r="S338" s="96">
        <f>S337+U337*Tableau!$G$2</f>
        <v>33800.925009545463</v>
      </c>
      <c r="T338" s="96">
        <f t="shared" si="10"/>
        <v>7.0929812675892667E-3</v>
      </c>
      <c r="U338" s="96">
        <f t="shared" si="11"/>
        <v>-3.4756305415582969E-3</v>
      </c>
      <c r="V338" s="96">
        <f>((Tableau!$G$16-P338)/(AC338^2+Tableau!$G$21^2)^(3/2))*Tableau!$G$20</f>
        <v>3.0239197475076854E-3</v>
      </c>
      <c r="W338" s="96">
        <f>((Tableau!$H$16-Q338)/(AC338^2+Tableau!$G$21^2)^(3/2))*Tableau!$G$20</f>
        <v>-1.4770673582497969E-3</v>
      </c>
      <c r="X338" s="96">
        <f>((Tableau!$G$25-P338)/(AD338^2+Tableau!$G$30^2)^(3/2))*Tableau!$G$29</f>
        <v>1.0427620577197537E-3</v>
      </c>
      <c r="Y338" s="96">
        <f>((Tableau!$H$25-Q338)/(AD338^2+Tableau!$G$30^2)^(3/2))*Tableau!$G$29</f>
        <v>-5.1093969626315626E-4</v>
      </c>
      <c r="Z338" s="96">
        <f>((Tableau!$G$35-P338)/(AE338^2+Tableau!$G$40^2)^(3/2))*Tableau!$G$39</f>
        <v>3.0262994623618277E-3</v>
      </c>
      <c r="AA338" s="97">
        <f>((Tableau!$H$35-Q338)/(AE338^2+Tableau!$G$40^2)^(3/2))*Tableau!$G$39</f>
        <v>-1.4876234870453439E-3</v>
      </c>
      <c r="AC338" s="110">
        <f>SQRT((Tableau!$G$16-P338)^2+(Tableau!$H$16-Q338)^2)</f>
        <v>12473315.588148443</v>
      </c>
      <c r="AD338" s="111">
        <f>SQRT((Tableau!$G$25-P338)^2+(Tableau!$H$25-Q338)^2)</f>
        <v>12436286.323621813</v>
      </c>
      <c r="AE338" s="112">
        <f>SQRT((Tableau!$G$35-P338)^2+(Tableau!$H$35-Q338)^2)</f>
        <v>12460766.471547512</v>
      </c>
    </row>
    <row r="339" spans="2:31" x14ac:dyDescent="0.25">
      <c r="B339" s="18">
        <v>336</v>
      </c>
      <c r="C339" s="19">
        <f>Tableau!$G$17*COS(B339*PI()/180)+Tableau!$G$16</f>
        <v>24567.727288213006</v>
      </c>
      <c r="D339" s="19">
        <f>Tableau!$G$17*SIN(B339*PI()/180)+Tableau!$H$16</f>
        <v>5466.316784620999</v>
      </c>
      <c r="F339" s="26">
        <v>336</v>
      </c>
      <c r="G339" s="27">
        <f>Tableau!$G$26*COS(F339*PI()/180)+Tableau!$G$25</f>
        <v>-16802.590898250895</v>
      </c>
      <c r="H339" s="27">
        <f>Tableau!$G$26*SIN(F339*PI()/180)+Tableau!$H$25</f>
        <v>8576.4217492346997</v>
      </c>
      <c r="J339" s="34">
        <v>336</v>
      </c>
      <c r="K339" s="35">
        <f>Tableau!$G$36*COS(J339*PI()/180)+Tableau!$G$35</f>
        <v>-432.27271178699539</v>
      </c>
      <c r="L339" s="35">
        <f>Tableau!$G$36*SIN(J339*PI()/180)+Tableau!$H$35</f>
        <v>-17033.683215379002</v>
      </c>
      <c r="N339" s="98">
        <v>335</v>
      </c>
      <c r="O339" s="99">
        <v>167.5</v>
      </c>
      <c r="P339" s="101">
        <f>P338+R338*Tableau!$G$2+((1/2)*T338)*Tableau!$G$2^2</f>
        <v>-11222071.832727417</v>
      </c>
      <c r="Q339" s="101">
        <f>Q338+S338*Tableau!$G$2+((1/2)*U338)*Tableau!$G$2^2</f>
        <v>5498937.650085004</v>
      </c>
      <c r="R339" s="101">
        <f>R338+T338*Tableau!$G$2</f>
        <v>-68698.601083238638</v>
      </c>
      <c r="S339" s="101">
        <f>S338+U338*Tableau!$G$2</f>
        <v>33800.923271730193</v>
      </c>
      <c r="T339" s="101">
        <f t="shared" si="10"/>
        <v>7.0495883349719277E-3</v>
      </c>
      <c r="U339" s="101">
        <f t="shared" si="11"/>
        <v>-3.4544108463417994E-3</v>
      </c>
      <c r="V339" s="101">
        <f>((Tableau!$G$16-P339)/(AC339^2+Tableau!$G$21^2)^(3/2))*Tableau!$G$20</f>
        <v>3.0054306218772258E-3</v>
      </c>
      <c r="W339" s="101">
        <f>((Tableau!$H$16-Q339)/(AC339^2+Tableau!$G$21^2)^(3/2))*Tableau!$G$20</f>
        <v>-1.468068797038717E-3</v>
      </c>
      <c r="X339" s="101">
        <f>((Tableau!$G$25-P339)/(AD339^2+Tableau!$G$30^2)^(3/2))*Tableau!$G$29</f>
        <v>1.0363692973741803E-3</v>
      </c>
      <c r="Y339" s="101">
        <f>((Tableau!$H$25-Q339)/(AD339^2+Tableau!$G$30^2)^(3/2))*Tableau!$G$29</f>
        <v>-5.0781378129801367E-4</v>
      </c>
      <c r="Z339" s="101">
        <f>((Tableau!$G$35-P339)/(AE339^2+Tableau!$G$40^2)^(3/2))*Tableau!$G$39</f>
        <v>3.0077884157205209E-3</v>
      </c>
      <c r="AA339" s="102">
        <f>((Tableau!$H$35-Q339)/(AE339^2+Tableau!$G$40^2)^(3/2))*Tableau!$G$39</f>
        <v>-1.4785282680050684E-3</v>
      </c>
      <c r="AC339" s="113">
        <f>SQRT((Tableau!$G$16-P339)^2+(Tableau!$H$16-Q339)^2)</f>
        <v>12511597.28240061</v>
      </c>
      <c r="AD339" s="114">
        <f>SQRT((Tableau!$G$25-P339)^2+(Tableau!$H$25-Q339)^2)</f>
        <v>12474568.123670883</v>
      </c>
      <c r="AE339" s="115">
        <f>SQRT((Tableau!$G$35-P339)^2+(Tableau!$H$35-Q339)^2)</f>
        <v>12499048.320155889</v>
      </c>
    </row>
    <row r="340" spans="2:31" x14ac:dyDescent="0.25">
      <c r="B340" s="20">
        <v>337</v>
      </c>
      <c r="C340" s="21">
        <f>Tableau!$G$17*COS(B340*PI()/180)+Tableau!$G$16</f>
        <v>24602.524267262201</v>
      </c>
      <c r="D340" s="21">
        <f>Tableau!$G$17*SIN(B340*PI()/180)+Tableau!$H$16</f>
        <v>5546.3443575536267</v>
      </c>
      <c r="F340" s="28">
        <v>337</v>
      </c>
      <c r="G340" s="29">
        <f>Tableau!$G$26*COS(F340*PI()/180)+Tableau!$G$25</f>
        <v>-16778.233012916462</v>
      </c>
      <c r="H340" s="29">
        <f>Tableau!$G$26*SIN(F340*PI()/180)+Tableau!$H$25</f>
        <v>8632.441050287538</v>
      </c>
      <c r="J340" s="36">
        <v>337</v>
      </c>
      <c r="K340" s="37">
        <f>Tableau!$G$36*COS(J340*PI()/180)+Tableau!$G$35</f>
        <v>-397.47573273780017</v>
      </c>
      <c r="L340" s="37">
        <f>Tableau!$G$36*SIN(J340*PI()/180)+Tableau!$H$35</f>
        <v>-16953.655642446374</v>
      </c>
      <c r="N340" s="92">
        <v>336</v>
      </c>
      <c r="O340" s="93">
        <v>168</v>
      </c>
      <c r="P340" s="96">
        <f>P339+R339*Tableau!$G$2+((1/2)*T339)*Tableau!$G$2^2</f>
        <v>-11256421.132387837</v>
      </c>
      <c r="Q340" s="96">
        <f>Q339+S339*Tableau!$G$2+((1/2)*U339)*Tableau!$G$2^2</f>
        <v>5515838.1112890681</v>
      </c>
      <c r="R340" s="96">
        <f>R339+T339*Tableau!$G$2</f>
        <v>-68698.597558444468</v>
      </c>
      <c r="S340" s="96">
        <f>S339+U339*Tableau!$G$2</f>
        <v>33800.921544524768</v>
      </c>
      <c r="T340" s="96">
        <f t="shared" si="10"/>
        <v>7.0065923886360295E-3</v>
      </c>
      <c r="U340" s="96">
        <f t="shared" si="11"/>
        <v>-3.4333848883917528E-3</v>
      </c>
      <c r="V340" s="96">
        <f>((Tableau!$G$16-P340)/(AC340^2+Tableau!$G$21^2)^(3/2))*Tableau!$G$20</f>
        <v>2.9871105513072814E-3</v>
      </c>
      <c r="W340" s="96">
        <f>((Tableau!$H$16-Q340)/(AC340^2+Tableau!$G$21^2)^(3/2))*Tableau!$G$20</f>
        <v>-1.4591522167561493E-3</v>
      </c>
      <c r="X340" s="96">
        <f>((Tableau!$G$25-P340)/(AD340^2+Tableau!$G$30^2)^(3/2))*Tableau!$G$29</f>
        <v>1.0300351447857482E-3</v>
      </c>
      <c r="Y340" s="96">
        <f>((Tableau!$H$25-Q340)/(AD340^2+Tableau!$G$30^2)^(3/2))*Tableau!$G$29</f>
        <v>-5.047164652615102E-4</v>
      </c>
      <c r="Z340" s="96">
        <f>((Tableau!$G$35-P340)/(AE340^2+Tableau!$G$40^2)^(3/2))*Tableau!$G$39</f>
        <v>2.9894466925430001E-3</v>
      </c>
      <c r="AA340" s="97">
        <f>((Tableau!$H$35-Q340)/(AE340^2+Tableau!$G$40^2)^(3/2))*Tableau!$G$39</f>
        <v>-1.4695162063740931E-3</v>
      </c>
      <c r="AC340" s="110">
        <f>SQRT((Tableau!$G$16-P340)^2+(Tableau!$H$16-Q340)^2)</f>
        <v>12549878.975641264</v>
      </c>
      <c r="AD340" s="111">
        <f>SQRT((Tableau!$G$25-P340)^2+(Tableau!$H$25-Q340)^2)</f>
        <v>12512849.922063923</v>
      </c>
      <c r="AE340" s="112">
        <f>SQRT((Tableau!$G$35-P340)^2+(Tableau!$H$35-Q340)^2)</f>
        <v>12537330.166811084</v>
      </c>
    </row>
    <row r="341" spans="2:31" x14ac:dyDescent="0.25">
      <c r="B341" s="18">
        <v>338</v>
      </c>
      <c r="C341" s="19">
        <f>Tableau!$G$17*COS(B341*PI()/180)+Tableau!$G$16</f>
        <v>24635.919272833937</v>
      </c>
      <c r="D341" s="19">
        <f>Tableau!$G$17*SIN(B341*PI()/180)+Tableau!$H$16</f>
        <v>5626.9670329204382</v>
      </c>
      <c r="F341" s="26">
        <v>338</v>
      </c>
      <c r="G341" s="27">
        <f>Tableau!$G$26*COS(F341*PI()/180)+Tableau!$G$25</f>
        <v>-16754.856509016245</v>
      </c>
      <c r="H341" s="27">
        <f>Tableau!$G$26*SIN(F341*PI()/180)+Tableau!$H$25</f>
        <v>8688.8769230443067</v>
      </c>
      <c r="J341" s="34">
        <v>338</v>
      </c>
      <c r="K341" s="35">
        <f>Tableau!$G$36*COS(J341*PI()/180)+Tableau!$G$35</f>
        <v>-364.0807271660633</v>
      </c>
      <c r="L341" s="35">
        <f>Tableau!$G$36*SIN(J341*PI()/180)+Tableau!$H$35</f>
        <v>-16873.032967079562</v>
      </c>
      <c r="N341" s="98">
        <v>337</v>
      </c>
      <c r="O341" s="99">
        <v>168.5</v>
      </c>
      <c r="P341" s="101">
        <f>P340+R340*Tableau!$G$2+((1/2)*T340)*Tableau!$G$2^2</f>
        <v>-11290770.430291237</v>
      </c>
      <c r="Q341" s="101">
        <f>Q340+S340*Tableau!$G$2+((1/2)*U340)*Tableau!$G$2^2</f>
        <v>5532738.5716321571</v>
      </c>
      <c r="R341" s="101">
        <f>R340+T340*Tableau!$G$2</f>
        <v>-68698.594055148278</v>
      </c>
      <c r="S341" s="101">
        <f>S340+U340*Tableau!$G$2</f>
        <v>33800.919827832324</v>
      </c>
      <c r="T341" s="101">
        <f t="shared" si="10"/>
        <v>6.9639886007822078E-3</v>
      </c>
      <c r="U341" s="101">
        <f t="shared" si="11"/>
        <v>-3.4125503164160916E-3</v>
      </c>
      <c r="V341" s="101">
        <f>((Tableau!$G$16-P341)/(AC341^2+Tableau!$G$21^2)^(3/2))*Tableau!$G$20</f>
        <v>2.9689574810592154E-3</v>
      </c>
      <c r="W341" s="101">
        <f>((Tableau!$H$16-Q341)/(AC341^2+Tableau!$G$21^2)^(3/2))*Tableau!$G$20</f>
        <v>-1.450316624582207E-3</v>
      </c>
      <c r="X341" s="101">
        <f>((Tableau!$G$25-P341)/(AD341^2+Tableau!$G$30^2)^(3/2))*Tableau!$G$29</f>
        <v>1.0237588857275942E-3</v>
      </c>
      <c r="Y341" s="101">
        <f>((Tableau!$H$25-Q341)/(AD341^2+Tableau!$G$30^2)^(3/2))*Tableau!$G$29</f>
        <v>-5.0164740034660106E-4</v>
      </c>
      <c r="Z341" s="101">
        <f>((Tableau!$G$35-P341)/(AE341^2+Tableau!$G$40^2)^(3/2))*Tableau!$G$39</f>
        <v>2.9712722339953982E-3</v>
      </c>
      <c r="AA341" s="102">
        <f>((Tableau!$H$35-Q341)/(AE341^2+Tableau!$G$40^2)^(3/2))*Tableau!$G$39</f>
        <v>-1.4605862914872831E-3</v>
      </c>
      <c r="AC341" s="113">
        <f>SQRT((Tableau!$G$16-P341)^2+(Tableau!$H$16-Q341)^2)</f>
        <v>12588160.667873697</v>
      </c>
      <c r="AD341" s="114">
        <f>SQRT((Tableau!$G$25-P341)^2+(Tableau!$H$25-Q341)^2)</f>
        <v>12551131.718810098</v>
      </c>
      <c r="AE341" s="115">
        <f>SQRT((Tableau!$G$35-P341)^2+(Tableau!$H$35-Q341)^2)</f>
        <v>12575612.011524977</v>
      </c>
    </row>
    <row r="342" spans="2:31" x14ac:dyDescent="0.25">
      <c r="B342" s="20">
        <v>339</v>
      </c>
      <c r="C342" s="21">
        <f>Tableau!$G$17*COS(B342*PI()/180)+Tableau!$G$16</f>
        <v>24667.902132486008</v>
      </c>
      <c r="D342" s="21">
        <f>Tableau!$G$17*SIN(B342*PI()/180)+Tableau!$H$16</f>
        <v>5708.1602522734956</v>
      </c>
      <c r="F342" s="28">
        <v>339</v>
      </c>
      <c r="G342" s="29">
        <f>Tableau!$G$26*COS(F342*PI()/180)+Tableau!$G$25</f>
        <v>-16732.468507259793</v>
      </c>
      <c r="H342" s="29">
        <f>Tableau!$G$26*SIN(F342*PI()/180)+Tableau!$H$25</f>
        <v>8745.7121765914471</v>
      </c>
      <c r="J342" s="36">
        <v>339</v>
      </c>
      <c r="K342" s="37">
        <f>Tableau!$G$36*COS(J342*PI()/180)+Tableau!$G$35</f>
        <v>-332.09786751399224</v>
      </c>
      <c r="L342" s="37">
        <f>Tableau!$G$36*SIN(J342*PI()/180)+Tableau!$H$35</f>
        <v>-16791.839747726503</v>
      </c>
      <c r="N342" s="92">
        <v>338</v>
      </c>
      <c r="O342" s="93">
        <v>169</v>
      </c>
      <c r="P342" s="96">
        <f>P341+R341*Tableau!$G$2+((1/2)*T341)*Tableau!$G$2^2</f>
        <v>-11325119.726448314</v>
      </c>
      <c r="Q342" s="96">
        <f>Q341+S341*Tableau!$G$2+((1/2)*U341)*Tableau!$G$2^2</f>
        <v>5549639.031119504</v>
      </c>
      <c r="R342" s="96">
        <f>R341+T341*Tableau!$G$2</f>
        <v>-68698.590573153982</v>
      </c>
      <c r="S342" s="96">
        <f>S341+U341*Tableau!$G$2</f>
        <v>33800.918121557166</v>
      </c>
      <c r="T342" s="96">
        <f t="shared" si="10"/>
        <v>6.9217722167780197E-3</v>
      </c>
      <c r="U342" s="96">
        <f t="shared" si="11"/>
        <v>-3.3919048146853949E-3</v>
      </c>
      <c r="V342" s="96">
        <f>((Tableau!$G$16-P342)/(AC342^2+Tableau!$G$21^2)^(3/2))*Tableau!$G$20</f>
        <v>2.950969387517008E-3</v>
      </c>
      <c r="W342" s="96">
        <f>((Tableau!$H$16-Q342)/(AC342^2+Tableau!$G$21^2)^(3/2))*Tableau!$G$20</f>
        <v>-1.4415610426807544E-3</v>
      </c>
      <c r="X342" s="96">
        <f>((Tableau!$G$25-P342)/(AD342^2+Tableau!$G$30^2)^(3/2))*Tableau!$G$29</f>
        <v>1.0175398168197861E-3</v>
      </c>
      <c r="Y342" s="96">
        <f>((Tableau!$H$25-Q342)/(AD342^2+Tableau!$G$30^2)^(3/2))*Tableau!$G$29</f>
        <v>-4.9860624401754745E-4</v>
      </c>
      <c r="Z342" s="96">
        <f>((Tableau!$G$35-P342)/(AE342^2+Tableau!$G$40^2)^(3/2))*Tableau!$G$39</f>
        <v>2.9532630124412254E-3</v>
      </c>
      <c r="AA342" s="97">
        <f>((Tableau!$H$35-Q342)/(AE342^2+Tableau!$G$40^2)^(3/2))*Tableau!$G$39</f>
        <v>-1.4517375279870933E-3</v>
      </c>
      <c r="AC342" s="110">
        <f>SQRT((Tableau!$G$16-P342)^2+(Tableau!$H$16-Q342)^2)</f>
        <v>12626442.359101193</v>
      </c>
      <c r="AD342" s="111">
        <f>SQRT((Tableau!$G$25-P342)^2+(Tableau!$H$25-Q342)^2)</f>
        <v>12589413.513918487</v>
      </c>
      <c r="AE342" s="112">
        <f>SQRT((Tableau!$G$35-P342)^2+(Tableau!$H$35-Q342)^2)</f>
        <v>12613893.854309337</v>
      </c>
    </row>
    <row r="343" spans="2:31" x14ac:dyDescent="0.25">
      <c r="B343" s="18">
        <v>340</v>
      </c>
      <c r="C343" s="19">
        <f>Tableau!$G$17*COS(B343*PI()/180)+Tableau!$G$16</f>
        <v>24698.463103929542</v>
      </c>
      <c r="D343" s="19">
        <f>Tableau!$G$17*SIN(B343*PI()/180)+Tableau!$H$16</f>
        <v>5789.8992833716566</v>
      </c>
      <c r="F343" s="26">
        <v>340</v>
      </c>
      <c r="G343" s="27">
        <f>Tableau!$G$26*COS(F343*PI()/180)+Tableau!$G$25</f>
        <v>-16711.075827249319</v>
      </c>
      <c r="H343" s="27">
        <f>Tableau!$G$26*SIN(F343*PI()/180)+Tableau!$H$25</f>
        <v>8802.9294983601594</v>
      </c>
      <c r="J343" s="34">
        <v>340</v>
      </c>
      <c r="K343" s="35">
        <f>Tableau!$G$36*COS(J343*PI()/180)+Tableau!$G$35</f>
        <v>-301.53689607045817</v>
      </c>
      <c r="L343" s="35">
        <f>Tableau!$G$36*SIN(J343*PI()/180)+Tableau!$H$35</f>
        <v>-16710.100716628342</v>
      </c>
      <c r="N343" s="98">
        <v>339</v>
      </c>
      <c r="O343" s="99">
        <v>169.5</v>
      </c>
      <c r="P343" s="101">
        <f>P342+R342*Tableau!$G$2+((1/2)*T342)*Tableau!$G$2^2</f>
        <v>-11359469.02086967</v>
      </c>
      <c r="Q343" s="101">
        <f>Q342+S342*Tableau!$G$2+((1/2)*U342)*Tableau!$G$2^2</f>
        <v>5566539.4897562945</v>
      </c>
      <c r="R343" s="101">
        <f>R342+T342*Tableau!$G$2</f>
        <v>-68698.58711226788</v>
      </c>
      <c r="S343" s="101">
        <f>S342+U342*Tableau!$G$2</f>
        <v>33800.916425604759</v>
      </c>
      <c r="T343" s="101">
        <f t="shared" si="10"/>
        <v>6.8799385538314091E-3</v>
      </c>
      <c r="U343" s="101">
        <f t="shared" si="11"/>
        <v>-3.3714461023894218E-3</v>
      </c>
      <c r="V343" s="101">
        <f>((Tableau!$G$16-P343)/(AC343^2+Tableau!$G$21^2)^(3/2))*Tableau!$G$20</f>
        <v>2.9331442776233661E-3</v>
      </c>
      <c r="W343" s="101">
        <f>((Tableau!$H$16-Q343)/(AC343^2+Tableau!$G$21^2)^(3/2))*Tableau!$G$20</f>
        <v>-1.4328845079288994E-3</v>
      </c>
      <c r="X343" s="101">
        <f>((Tableau!$G$25-P343)/(AD343^2+Tableau!$G$30^2)^(3/2))*Tableau!$G$29</f>
        <v>1.0113772453322432E-3</v>
      </c>
      <c r="Y343" s="101">
        <f>((Tableau!$H$25-Q343)/(AD343^2+Tableau!$G$30^2)^(3/2))*Tableau!$G$29</f>
        <v>-4.9559265891433661E-4</v>
      </c>
      <c r="Z343" s="101">
        <f>((Tableau!$G$35-P343)/(AE343^2+Tableau!$G$40^2)^(3/2))*Tableau!$G$39</f>
        <v>2.9354170308758002E-3</v>
      </c>
      <c r="AA343" s="102">
        <f>((Tableau!$H$35-Q343)/(AE343^2+Tableau!$G$40^2)^(3/2))*Tableau!$G$39</f>
        <v>-1.4429689355461861E-3</v>
      </c>
      <c r="AC343" s="113">
        <f>SQRT((Tableau!$G$16-P343)^2+(Tableau!$H$16-Q343)^2)</f>
        <v>12664724.049327029</v>
      </c>
      <c r="AD343" s="114">
        <f>SQRT((Tableau!$G$25-P343)^2+(Tableau!$H$25-Q343)^2)</f>
        <v>12627695.307398105</v>
      </c>
      <c r="AE343" s="115">
        <f>SQRT((Tableau!$G$35-P343)^2+(Tableau!$H$35-Q343)^2)</f>
        <v>12652175.69517583</v>
      </c>
    </row>
    <row r="344" spans="2:31" x14ac:dyDescent="0.25">
      <c r="B344" s="20">
        <v>341</v>
      </c>
      <c r="C344" s="21">
        <f>Tableau!$G$17*COS(B344*PI()/180)+Tableau!$G$16</f>
        <v>24727.592877996583</v>
      </c>
      <c r="D344" s="21">
        <f>Tableau!$G$17*SIN(B344*PI()/180)+Tableau!$H$16</f>
        <v>5872.1592277142126</v>
      </c>
      <c r="F344" s="28">
        <v>341</v>
      </c>
      <c r="G344" s="29">
        <f>Tableau!$G$26*COS(F344*PI()/180)+Tableau!$G$25</f>
        <v>-16690.684985402393</v>
      </c>
      <c r="H344" s="29">
        <f>Tableau!$G$26*SIN(F344*PI()/180)+Tableau!$H$25</f>
        <v>8860.5114593999479</v>
      </c>
      <c r="J344" s="36">
        <v>341</v>
      </c>
      <c r="K344" s="37">
        <f>Tableau!$G$36*COS(J344*PI()/180)+Tableau!$G$35</f>
        <v>-272.4071220034175</v>
      </c>
      <c r="L344" s="37">
        <f>Tableau!$G$36*SIN(J344*PI()/180)+Tableau!$H$35</f>
        <v>-16627.840772285788</v>
      </c>
      <c r="N344" s="92">
        <v>340</v>
      </c>
      <c r="O344" s="93">
        <v>170</v>
      </c>
      <c r="P344" s="96">
        <f>P343+R343*Tableau!$G$2+((1/2)*T343)*Tableau!$G$2^2</f>
        <v>-11393818.313565811</v>
      </c>
      <c r="Q344" s="96">
        <f>Q343+S343*Tableau!$G$2+((1/2)*U343)*Tableau!$G$2^2</f>
        <v>5583439.9475476658</v>
      </c>
      <c r="R344" s="96">
        <f>R343+T343*Tableau!$G$2</f>
        <v>-68698.583672298599</v>
      </c>
      <c r="S344" s="96">
        <f>S343+U343*Tableau!$G$2</f>
        <v>33800.914739881708</v>
      </c>
      <c r="T344" s="96">
        <f t="shared" si="10"/>
        <v>6.8384829996920001E-3</v>
      </c>
      <c r="U344" s="96">
        <f t="shared" si="11"/>
        <v>-3.3511719330071178E-3</v>
      </c>
      <c r="V344" s="96">
        <f>((Tableau!$G$16-P344)/(AC344^2+Tableau!$G$21^2)^(3/2))*Tableau!$G$20</f>
        <v>2.915480188327586E-3</v>
      </c>
      <c r="W344" s="96">
        <f>((Tableau!$H$16-Q344)/(AC344^2+Tableau!$G$21^2)^(3/2))*Tableau!$G$20</f>
        <v>-1.4242860716521114E-3</v>
      </c>
      <c r="X344" s="96">
        <f>((Tableau!$G$25-P344)/(AD344^2+Tableau!$G$30^2)^(3/2))*Tableau!$G$29</f>
        <v>1.0052704889917819E-3</v>
      </c>
      <c r="Y344" s="96">
        <f>((Tableau!$H$25-Q344)/(AD344^2+Tableau!$G$30^2)^(3/2))*Tableau!$G$29</f>
        <v>-4.9260631275909958E-4</v>
      </c>
      <c r="Z344" s="96">
        <f>((Tableau!$G$35-P344)/(AE344^2+Tableau!$G$40^2)^(3/2))*Tableau!$G$39</f>
        <v>2.9177323223726322E-3</v>
      </c>
      <c r="AA344" s="97">
        <f>((Tableau!$H$35-Q344)/(AE344^2+Tableau!$G$40^2)^(3/2))*Tableau!$G$39</f>
        <v>-1.4342795485959069E-3</v>
      </c>
      <c r="AC344" s="110">
        <f>SQRT((Tableau!$G$16-P344)^2+(Tableau!$H$16-Q344)^2)</f>
        <v>12703005.738554483</v>
      </c>
      <c r="AD344" s="111">
        <f>SQRT((Tableau!$G$25-P344)^2+(Tableau!$H$25-Q344)^2)</f>
        <v>12665977.099257885</v>
      </c>
      <c r="AE344" s="112">
        <f>SQRT((Tableau!$G$35-P344)^2+(Tableau!$H$35-Q344)^2)</f>
        <v>12690457.534136014</v>
      </c>
    </row>
    <row r="345" spans="2:31" x14ac:dyDescent="0.25">
      <c r="B345" s="18">
        <v>342</v>
      </c>
      <c r="C345" s="19">
        <f>Tableau!$G$17*COS(B345*PI()/180)+Tableau!$G$16</f>
        <v>24755.282581475767</v>
      </c>
      <c r="D345" s="19">
        <f>Tableau!$G$17*SIN(B345*PI()/180)+Tableau!$H$16</f>
        <v>5954.9150281252623</v>
      </c>
      <c r="F345" s="26">
        <v>342</v>
      </c>
      <c r="G345" s="27">
        <f>Tableau!$G$26*COS(F345*PI()/180)+Tableau!$G$25</f>
        <v>-16671.302192966963</v>
      </c>
      <c r="H345" s="27">
        <f>Tableau!$G$26*SIN(F345*PI()/180)+Tableau!$H$25</f>
        <v>8918.4405196876833</v>
      </c>
      <c r="J345" s="34">
        <v>342</v>
      </c>
      <c r="K345" s="35">
        <f>Tableau!$G$36*COS(J345*PI()/180)+Tableau!$G$35</f>
        <v>-244.71741852423202</v>
      </c>
      <c r="L345" s="35">
        <f>Tableau!$G$36*SIN(J345*PI()/180)+Tableau!$H$35</f>
        <v>-16545.084971874738</v>
      </c>
      <c r="N345" s="98">
        <v>341</v>
      </c>
      <c r="O345" s="99">
        <v>170.5</v>
      </c>
      <c r="P345" s="101">
        <f>P344+R344*Tableau!$G$2+((1/2)*T344)*Tableau!$G$2^2</f>
        <v>-11428167.60454715</v>
      </c>
      <c r="Q345" s="101">
        <f>Q344+S344*Tableau!$G$2+((1/2)*U344)*Tableau!$G$2^2</f>
        <v>5600340.4044987103</v>
      </c>
      <c r="R345" s="101">
        <f>R344+T344*Tableau!$G$2</f>
        <v>-68698.580253057095</v>
      </c>
      <c r="S345" s="101">
        <f>S344+U344*Tableau!$G$2</f>
        <v>33800.913064295739</v>
      </c>
      <c r="T345" s="101">
        <f t="shared" si="10"/>
        <v>6.7974010113797372E-3</v>
      </c>
      <c r="U345" s="101">
        <f t="shared" si="11"/>
        <v>-3.3310800936898724E-3</v>
      </c>
      <c r="V345" s="101">
        <f>((Tableau!$G$16-P345)/(AC345^2+Tableau!$G$21^2)^(3/2))*Tableau!$G$20</f>
        <v>2.8979751860449491E-3</v>
      </c>
      <c r="W345" s="101">
        <f>((Tableau!$H$16-Q345)/(AC345^2+Tableau!$G$21^2)^(3/2))*Tableau!$G$20</f>
        <v>-1.4157647993648485E-3</v>
      </c>
      <c r="X345" s="101">
        <f>((Tableau!$G$25-P345)/(AD345^2+Tableau!$G$30^2)^(3/2))*Tableau!$G$29</f>
        <v>9.9921887579333224E-4</v>
      </c>
      <c r="Y345" s="101">
        <f>((Tableau!$H$25-Q345)/(AD345^2+Tableau!$G$30^2)^(3/2))*Tableau!$G$29</f>
        <v>-4.8964687826454664E-4</v>
      </c>
      <c r="Z345" s="101">
        <f>((Tableau!$G$35-P345)/(AE345^2+Tableau!$G$40^2)^(3/2))*Tableau!$G$39</f>
        <v>2.9002069495414561E-3</v>
      </c>
      <c r="AA345" s="102">
        <f>((Tableau!$H$35-Q345)/(AE345^2+Tableau!$G$40^2)^(3/2))*Tableau!$G$39</f>
        <v>-1.4256684160604772E-3</v>
      </c>
      <c r="AC345" s="113">
        <f>SQRT((Tableau!$G$16-P345)^2+(Tableau!$H$16-Q345)^2)</f>
        <v>12741287.426786829</v>
      </c>
      <c r="AD345" s="114">
        <f>SQRT((Tableau!$G$25-P345)^2+(Tableau!$H$25-Q345)^2)</f>
        <v>12704258.889506694</v>
      </c>
      <c r="AE345" s="115">
        <f>SQRT((Tableau!$G$35-P345)^2+(Tableau!$H$35-Q345)^2)</f>
        <v>12728739.371201346</v>
      </c>
    </row>
    <row r="346" spans="2:31" x14ac:dyDescent="0.25">
      <c r="B346" s="20">
        <v>343</v>
      </c>
      <c r="C346" s="21">
        <f>Tableau!$G$17*COS(B346*PI()/180)+Tableau!$G$16</f>
        <v>24781.523779815179</v>
      </c>
      <c r="D346" s="21">
        <f>Tableau!$G$17*SIN(B346*PI()/180)+Tableau!$H$16</f>
        <v>6038.1414763863186</v>
      </c>
      <c r="F346" s="28">
        <v>343</v>
      </c>
      <c r="G346" s="29">
        <f>Tableau!$G$26*COS(F346*PI()/180)+Tableau!$G$25</f>
        <v>-16652.933354129374</v>
      </c>
      <c r="H346" s="29">
        <f>Tableau!$G$26*SIN(F346*PI()/180)+Tableau!$H$25</f>
        <v>8976.6990334704224</v>
      </c>
      <c r="J346" s="36">
        <v>343</v>
      </c>
      <c r="K346" s="37">
        <f>Tableau!$G$36*COS(J346*PI()/180)+Tableau!$G$35</f>
        <v>-218.47622018482161</v>
      </c>
      <c r="L346" s="37">
        <f>Tableau!$G$36*SIN(J346*PI()/180)+Tableau!$H$35</f>
        <v>-16461.858523613682</v>
      </c>
      <c r="N346" s="92">
        <v>342</v>
      </c>
      <c r="O346" s="93">
        <v>171</v>
      </c>
      <c r="P346" s="96">
        <f>P345+R345*Tableau!$G$2+((1/2)*T345)*Tableau!$G$2^2</f>
        <v>-11462516.893824004</v>
      </c>
      <c r="Q346" s="96">
        <f>Q345+S345*Tableau!$G$2+((1/2)*U345)*Tableau!$G$2^2</f>
        <v>5617240.860614473</v>
      </c>
      <c r="R346" s="96">
        <f>R345+T345*Tableau!$G$2</f>
        <v>-68698.576854356594</v>
      </c>
      <c r="S346" s="96">
        <f>S345+U345*Tableau!$G$2</f>
        <v>33800.911398755692</v>
      </c>
      <c r="T346" s="96">
        <f t="shared" si="10"/>
        <v>6.7566881139403782E-3</v>
      </c>
      <c r="U346" s="96">
        <f t="shared" si="11"/>
        <v>-3.3111684046577662E-3</v>
      </c>
      <c r="V346" s="96">
        <f>((Tableau!$G$16-P346)/(AC346^2+Tableau!$G$21^2)^(3/2))*Tableau!$G$20</f>
        <v>2.8806273661278053E-3</v>
      </c>
      <c r="W346" s="96">
        <f>((Tableau!$H$16-Q346)/(AC346^2+Tableau!$G$21^2)^(3/2))*Tableau!$G$20</f>
        <v>-1.4073197705167758E-3</v>
      </c>
      <c r="X346" s="96">
        <f>((Tableau!$G$25-P346)/(AD346^2+Tableau!$G$30^2)^(3/2))*Tableau!$G$29</f>
        <v>9.9322174381499036E-4</v>
      </c>
      <c r="Y346" s="96">
        <f>((Tableau!$H$25-Q346)/(AD346^2+Tableau!$G$30^2)^(3/2))*Tableau!$G$29</f>
        <v>-4.867140330442613E-4</v>
      </c>
      <c r="Z346" s="96">
        <f>((Tableau!$G$35-P346)/(AE346^2+Tableau!$G$40^2)^(3/2))*Tableau!$G$39</f>
        <v>2.8828390039975825E-3</v>
      </c>
      <c r="AA346" s="97">
        <f>((Tableau!$H$35-Q346)/(AE346^2+Tableau!$G$40^2)^(3/2))*Tableau!$G$39</f>
        <v>-1.4171346010967293E-3</v>
      </c>
      <c r="AC346" s="110">
        <f>SQRT((Tableau!$G$16-P346)^2+(Tableau!$H$16-Q346)^2)</f>
        <v>12779569.114027329</v>
      </c>
      <c r="AD346" s="111">
        <f>SQRT((Tableau!$G$25-P346)^2+(Tableau!$H$25-Q346)^2)</f>
        <v>12742540.678153327</v>
      </c>
      <c r="AE346" s="112">
        <f>SQRT((Tableau!$G$35-P346)^2+(Tableau!$H$35-Q346)^2)</f>
        <v>12767021.206383174</v>
      </c>
    </row>
    <row r="347" spans="2:31" x14ac:dyDescent="0.25">
      <c r="B347" s="18">
        <v>344</v>
      </c>
      <c r="C347" s="19">
        <f>Tableau!$G$17*COS(B347*PI()/180)+Tableau!$G$16</f>
        <v>24806.308479691594</v>
      </c>
      <c r="D347" s="19">
        <f>Tableau!$G$17*SIN(B347*PI()/180)+Tableau!$H$16</f>
        <v>6121.8132209150008</v>
      </c>
      <c r="F347" s="26">
        <v>344</v>
      </c>
      <c r="G347" s="27">
        <f>Tableau!$G$26*COS(F347*PI()/180)+Tableau!$G$25</f>
        <v>-16635.584064215884</v>
      </c>
      <c r="H347" s="27">
        <f>Tableau!$G$26*SIN(F347*PI()/180)+Tableau!$H$25</f>
        <v>9035.2692546405015</v>
      </c>
      <c r="J347" s="34">
        <v>344</v>
      </c>
      <c r="K347" s="35">
        <f>Tableau!$G$36*COS(J347*PI()/180)+Tableau!$G$35</f>
        <v>-193.69152030840633</v>
      </c>
      <c r="L347" s="35">
        <f>Tableau!$G$36*SIN(J347*PI()/180)+Tableau!$H$35</f>
        <v>-16378.186779084999</v>
      </c>
      <c r="N347" s="98">
        <v>343</v>
      </c>
      <c r="O347" s="99">
        <v>171.5</v>
      </c>
      <c r="P347" s="101">
        <f>P346+R346*Tableau!$G$2+((1/2)*T346)*Tableau!$G$2^2</f>
        <v>-11496866.181406595</v>
      </c>
      <c r="Q347" s="101">
        <f>Q346+S346*Tableau!$G$2+((1/2)*U346)*Tableau!$G$2^2</f>
        <v>5634141.3158999542</v>
      </c>
      <c r="R347" s="101">
        <f>R346+T346*Tableau!$G$2</f>
        <v>-68698.573476012534</v>
      </c>
      <c r="S347" s="101">
        <f>S346+U346*Tableau!$G$2</f>
        <v>33800.909743171491</v>
      </c>
      <c r="T347" s="101">
        <f t="shared" si="10"/>
        <v>6.7163398992265413E-3</v>
      </c>
      <c r="U347" s="101">
        <f t="shared" si="11"/>
        <v>-3.2914347186081927E-3</v>
      </c>
      <c r="V347" s="101">
        <f>((Tableau!$G$16-P347)/(AC347^2+Tableau!$G$21^2)^(3/2))*Tableau!$G$20</f>
        <v>2.8634348523471883E-3</v>
      </c>
      <c r="W347" s="101">
        <f>((Tableau!$H$16-Q347)/(AC347^2+Tableau!$G$21^2)^(3/2))*Tableau!$G$20</f>
        <v>-1.3989500782440123E-3</v>
      </c>
      <c r="X347" s="101">
        <f>((Tableau!$G$25-P347)/(AD347^2+Tableau!$G$30^2)^(3/2))*Tableau!$G$29</f>
        <v>9.8727844103709494E-4</v>
      </c>
      <c r="Y347" s="101">
        <f>((Tableau!$H$25-Q347)/(AD347^2+Tableau!$G$30^2)^(3/2))*Tableau!$G$29</f>
        <v>-4.838074595249398E-4</v>
      </c>
      <c r="Z347" s="101">
        <f>((Tableau!$G$35-P347)/(AE347^2+Tableau!$G$40^2)^(3/2))*Tableau!$G$39</f>
        <v>2.8656266058422579E-3</v>
      </c>
      <c r="AA347" s="102">
        <f>((Tableau!$H$35-Q347)/(AE347^2+Tableau!$G$40^2)^(3/2))*Tableau!$G$39</f>
        <v>-1.4086771808392406E-3</v>
      </c>
      <c r="AC347" s="113">
        <f>SQRT((Tableau!$G$16-P347)^2+(Tableau!$H$16-Q347)^2)</f>
        <v>12817850.800279245</v>
      </c>
      <c r="AD347" s="114">
        <f>SQRT((Tableau!$G$25-P347)^2+(Tableau!$H$25-Q347)^2)</f>
        <v>12780822.465206504</v>
      </c>
      <c r="AE347" s="115">
        <f>SQRT((Tableau!$G$35-P347)^2+(Tableau!$H$35-Q347)^2)</f>
        <v>12805303.039692754</v>
      </c>
    </row>
    <row r="348" spans="2:31" x14ac:dyDescent="0.25">
      <c r="B348" s="20">
        <v>345</v>
      </c>
      <c r="C348" s="21">
        <f>Tableau!$G$17*COS(B348*PI()/180)+Tableau!$G$16</f>
        <v>24829.629131445341</v>
      </c>
      <c r="D348" s="21">
        <f>Tableau!$G$17*SIN(B348*PI()/180)+Tableau!$H$16</f>
        <v>6205.9047744873969</v>
      </c>
      <c r="F348" s="28">
        <v>345</v>
      </c>
      <c r="G348" s="29">
        <f>Tableau!$G$26*COS(F348*PI()/180)+Tableau!$G$25</f>
        <v>-16619.259607988261</v>
      </c>
      <c r="H348" s="29">
        <f>Tableau!$G$26*SIN(F348*PI()/180)+Tableau!$H$25</f>
        <v>9094.1333421411782</v>
      </c>
      <c r="J348" s="36">
        <v>345</v>
      </c>
      <c r="K348" s="37">
        <f>Tableau!$G$36*COS(J348*PI()/180)+Tableau!$G$35</f>
        <v>-170.37086855465805</v>
      </c>
      <c r="L348" s="37">
        <f>Tableau!$G$36*SIN(J348*PI()/180)+Tableau!$H$35</f>
        <v>-16294.095225512603</v>
      </c>
      <c r="N348" s="92">
        <v>344</v>
      </c>
      <c r="O348" s="93">
        <v>172</v>
      </c>
      <c r="P348" s="96">
        <f>P347+R347*Tableau!$G$2+((1/2)*T347)*Tableau!$G$2^2</f>
        <v>-11531215.467305059</v>
      </c>
      <c r="Q348" s="96">
        <f>Q347+S347*Tableau!$G$2+((1/2)*U347)*Tableau!$G$2^2</f>
        <v>5651041.7703601103</v>
      </c>
      <c r="R348" s="96">
        <f>R347+T347*Tableau!$G$2</f>
        <v>-68698.570117842581</v>
      </c>
      <c r="S348" s="96">
        <f>S347+U347*Tableau!$G$2</f>
        <v>33800.908097454128</v>
      </c>
      <c r="T348" s="96">
        <f t="shared" si="10"/>
        <v>6.6763520247045249E-3</v>
      </c>
      <c r="U348" s="96">
        <f t="shared" si="11"/>
        <v>-3.2718769201369622E-3</v>
      </c>
      <c r="V348" s="96">
        <f>((Tableau!$G$16-P348)/(AC348^2+Tableau!$G$21^2)^(3/2))*Tableau!$G$20</f>
        <v>2.8463957963856569E-3</v>
      </c>
      <c r="W348" s="96">
        <f>((Tableau!$H$16-Q348)/(AC348^2+Tableau!$G$21^2)^(3/2))*Tableau!$G$20</f>
        <v>-1.3906548291257544E-3</v>
      </c>
      <c r="X348" s="96">
        <f>((Tableau!$G$25-P348)/(AD348^2+Tableau!$G$30^2)^(3/2))*Tableau!$G$29</f>
        <v>9.8138832516486653E-4</v>
      </c>
      <c r="Y348" s="96">
        <f>((Tableau!$H$25-Q348)/(AD348^2+Tableau!$G$30^2)^(3/2))*Tableau!$G$29</f>
        <v>-4.8092684486035703E-4</v>
      </c>
      <c r="Z348" s="96">
        <f>((Tableau!$G$35-P348)/(AE348^2+Tableau!$G$40^2)^(3/2))*Tableau!$G$39</f>
        <v>2.848567903154001E-3</v>
      </c>
      <c r="AA348" s="97">
        <f>((Tableau!$H$35-Q348)/(AE348^2+Tableau!$G$40^2)^(3/2))*Tableau!$G$39</f>
        <v>-1.400295246150851E-3</v>
      </c>
      <c r="AC348" s="110">
        <f>SQRT((Tableau!$G$16-P348)^2+(Tableau!$H$16-Q348)^2)</f>
        <v>12856132.485545835</v>
      </c>
      <c r="AD348" s="111">
        <f>SQRT((Tableau!$G$25-P348)^2+(Tableau!$H$25-Q348)^2)</f>
        <v>12819104.250674879</v>
      </c>
      <c r="AE348" s="112">
        <f>SQRT((Tableau!$G$35-P348)^2+(Tableau!$H$35-Q348)^2)</f>
        <v>12843584.871141231</v>
      </c>
    </row>
    <row r="349" spans="2:31" x14ac:dyDescent="0.25">
      <c r="B349" s="18">
        <v>346</v>
      </c>
      <c r="C349" s="19">
        <f>Tableau!$G$17*COS(B349*PI()/180)+Tableau!$G$16</f>
        <v>24851.478631379981</v>
      </c>
      <c r="D349" s="19">
        <f>Tableau!$G$17*SIN(B349*PI()/180)+Tableau!$H$16</f>
        <v>6290.3905220016604</v>
      </c>
      <c r="F349" s="26">
        <v>346</v>
      </c>
      <c r="G349" s="27">
        <f>Tableau!$G$26*COS(F349*PI()/180)+Tableau!$G$25</f>
        <v>-16603.964958034012</v>
      </c>
      <c r="H349" s="27">
        <f>Tableau!$G$26*SIN(F349*PI()/180)+Tableau!$H$25</f>
        <v>9153.2733654011627</v>
      </c>
      <c r="J349" s="34">
        <v>346</v>
      </c>
      <c r="K349" s="35">
        <f>Tableau!$G$36*COS(J349*PI()/180)+Tableau!$G$35</f>
        <v>-148.52136862001771</v>
      </c>
      <c r="L349" s="35">
        <f>Tableau!$G$36*SIN(J349*PI()/180)+Tableau!$H$35</f>
        <v>-16209.60947799834</v>
      </c>
      <c r="N349" s="98">
        <v>345</v>
      </c>
      <c r="O349" s="99">
        <v>172.5</v>
      </c>
      <c r="P349" s="101">
        <f>P348+R348*Tableau!$G$2+((1/2)*T348)*Tableau!$G$2^2</f>
        <v>-11565564.751529437</v>
      </c>
      <c r="Q349" s="101">
        <f>Q348+S348*Tableau!$G$2+((1/2)*U348)*Tableau!$G$2^2</f>
        <v>5667942.2239998523</v>
      </c>
      <c r="R349" s="101">
        <f>R348+T348*Tableau!$G$2</f>
        <v>-68698.566779666566</v>
      </c>
      <c r="S349" s="101">
        <f>S348+U348*Tableau!$G$2</f>
        <v>33800.906461515668</v>
      </c>
      <c r="T349" s="101">
        <f t="shared" si="10"/>
        <v>6.6367202122860191E-3</v>
      </c>
      <c r="U349" s="101">
        <f t="shared" si="11"/>
        <v>-3.252492925171456E-3</v>
      </c>
      <c r="V349" s="101">
        <f>((Tableau!$G$16-P349)/(AC349^2+Tableau!$G$21^2)^(3/2))*Tableau!$G$20</f>
        <v>2.8295083773405456E-3</v>
      </c>
      <c r="W349" s="101">
        <f>((Tableau!$H$16-Q349)/(AC349^2+Tableau!$G$21^2)^(3/2))*Tableau!$G$20</f>
        <v>-1.3824331429458702E-3</v>
      </c>
      <c r="X349" s="101">
        <f>((Tableau!$G$25-P349)/(AD349^2+Tableau!$G$30^2)^(3/2))*Tableau!$G$29</f>
        <v>9.7555076345500521E-4</v>
      </c>
      <c r="Y349" s="101">
        <f>((Tableau!$H$25-Q349)/(AD349^2+Tableau!$G$30^2)^(3/2))*Tableau!$G$29</f>
        <v>-4.7807188084724784E-4</v>
      </c>
      <c r="Z349" s="101">
        <f>((Tableau!$G$35-P349)/(AE349^2+Tableau!$G$40^2)^(3/2))*Tableau!$G$39</f>
        <v>2.8316610714904681E-3</v>
      </c>
      <c r="AA349" s="102">
        <f>((Tableau!$H$35-Q349)/(AE349^2+Tableau!$G$40^2)^(3/2))*Tableau!$G$39</f>
        <v>-1.3919879013783378E-3</v>
      </c>
      <c r="AC349" s="113">
        <f>SQRT((Tableau!$G$16-P349)^2+(Tableau!$H$16-Q349)^2)</f>
        <v>12894414.16983035</v>
      </c>
      <c r="AD349" s="114">
        <f>SQRT((Tableau!$G$25-P349)^2+(Tableau!$H$25-Q349)^2)</f>
        <v>12857386.034567034</v>
      </c>
      <c r="AE349" s="115">
        <f>SQRT((Tableau!$G$35-P349)^2+(Tableau!$H$35-Q349)^2)</f>
        <v>12881866.700739658</v>
      </c>
    </row>
    <row r="350" spans="2:31" x14ac:dyDescent="0.25">
      <c r="B350" s="20">
        <v>347</v>
      </c>
      <c r="C350" s="21">
        <f>Tableau!$G$17*COS(B350*PI()/180)+Tableau!$G$16</f>
        <v>24871.850323926177</v>
      </c>
      <c r="D350" s="21">
        <f>Tableau!$G$17*SIN(B350*PI()/180)+Tableau!$H$16</f>
        <v>6375.2447282806734</v>
      </c>
      <c r="F350" s="28">
        <v>347</v>
      </c>
      <c r="G350" s="29">
        <f>Tableau!$G$26*COS(F350*PI()/180)+Tableau!$G$25</f>
        <v>-16589.704773251677</v>
      </c>
      <c r="H350" s="29">
        <f>Tableau!$G$26*SIN(F350*PI()/180)+Tableau!$H$25</f>
        <v>9212.6713097964712</v>
      </c>
      <c r="J350" s="36">
        <v>347</v>
      </c>
      <c r="K350" s="37">
        <f>Tableau!$G$36*COS(J350*PI()/180)+Tableau!$G$35</f>
        <v>-128.14967607382459</v>
      </c>
      <c r="L350" s="37">
        <f>Tableau!$G$36*SIN(J350*PI()/180)+Tableau!$H$35</f>
        <v>-16124.755271719327</v>
      </c>
      <c r="N350" s="92">
        <v>346</v>
      </c>
      <c r="O350" s="93">
        <v>173</v>
      </c>
      <c r="P350" s="96">
        <f>P349+R349*Tableau!$G$2+((1/2)*T349)*Tableau!$G$2^2</f>
        <v>-11599914.034089679</v>
      </c>
      <c r="Q350" s="96">
        <f>Q349+S349*Tableau!$G$2+((1/2)*U349)*Tableau!$G$2^2</f>
        <v>5684842.6768240491</v>
      </c>
      <c r="R350" s="96">
        <f>R349+T349*Tableau!$G$2</f>
        <v>-68698.563461306461</v>
      </c>
      <c r="S350" s="96">
        <f>S349+U349*Tableau!$G$2</f>
        <v>33800.904835269204</v>
      </c>
      <c r="T350" s="96">
        <f t="shared" si="10"/>
        <v>6.5974402471834868E-3</v>
      </c>
      <c r="U350" s="96">
        <f t="shared" si="11"/>
        <v>-3.2332806804152426E-3</v>
      </c>
      <c r="V350" s="96">
        <f>((Tableau!$G$16-P350)/(AC350^2+Tableau!$G$21^2)^(3/2))*Tableau!$G$20</f>
        <v>2.8127708012372411E-3</v>
      </c>
      <c r="W350" s="96">
        <f>((Tableau!$H$16-Q350)/(AC350^2+Tableau!$G$21^2)^(3/2))*Tableau!$G$20</f>
        <v>-1.3742841524592919E-3</v>
      </c>
      <c r="X350" s="96">
        <f>((Tableau!$G$25-P350)/(AD350^2+Tableau!$G$30^2)^(3/2))*Tableau!$G$29</f>
        <v>9.6976513254563249E-4</v>
      </c>
      <c r="Y350" s="96">
        <f>((Tableau!$H$25-Q350)/(AD350^2+Tableau!$G$30^2)^(3/2))*Tableau!$G$29</f>
        <v>-4.7524226384280835E-4</v>
      </c>
      <c r="Z350" s="96">
        <f>((Tableau!$G$35-P350)/(AE350^2+Tableau!$G$40^2)^(3/2))*Tableau!$G$39</f>
        <v>2.8149043134006128E-3</v>
      </c>
      <c r="AA350" s="97">
        <f>((Tableau!$H$35-Q350)/(AE350^2+Tableau!$G$40^2)^(3/2))*Tableau!$G$39</f>
        <v>-1.3837542641131424E-3</v>
      </c>
      <c r="AC350" s="110">
        <f>SQRT((Tableau!$G$16-P350)^2+(Tableau!$H$16-Q350)^2)</f>
        <v>12932695.853136033</v>
      </c>
      <c r="AD350" s="111">
        <f>SQRT((Tableau!$G$25-P350)^2+(Tableau!$H$25-Q350)^2)</f>
        <v>12895667.816891478</v>
      </c>
      <c r="AE350" s="112">
        <f>SQRT((Tableau!$G$35-P350)^2+(Tableau!$H$35-Q350)^2)</f>
        <v>12920148.528498987</v>
      </c>
    </row>
    <row r="351" spans="2:31" x14ac:dyDescent="0.25">
      <c r="B351" s="18">
        <v>348</v>
      </c>
      <c r="C351" s="19">
        <f>Tableau!$G$17*COS(B351*PI()/180)+Tableau!$G$16</f>
        <v>24890.73800366903</v>
      </c>
      <c r="D351" s="19">
        <f>Tableau!$G$17*SIN(B351*PI()/180)+Tableau!$H$16</f>
        <v>6460.4415459112006</v>
      </c>
      <c r="F351" s="26">
        <v>348</v>
      </c>
      <c r="G351" s="27">
        <f>Tableau!$G$26*COS(F351*PI()/180)+Tableau!$G$25</f>
        <v>-16576.483397431679</v>
      </c>
      <c r="H351" s="27">
        <f>Tableau!$G$26*SIN(F351*PI()/180)+Tableau!$H$25</f>
        <v>9272.309082137841</v>
      </c>
      <c r="J351" s="34">
        <v>348</v>
      </c>
      <c r="K351" s="35">
        <f>Tableau!$G$36*COS(J351*PI()/180)+Tableau!$G$35</f>
        <v>-109.26199633097167</v>
      </c>
      <c r="L351" s="35">
        <f>Tableau!$G$36*SIN(J351*PI()/180)+Tableau!$H$35</f>
        <v>-16039.558454088799</v>
      </c>
      <c r="N351" s="98">
        <v>347</v>
      </c>
      <c r="O351" s="99">
        <v>173.5</v>
      </c>
      <c r="P351" s="101">
        <f>P350+R350*Tableau!$G$2+((1/2)*T350)*Tableau!$G$2^2</f>
        <v>-11634263.314995652</v>
      </c>
      <c r="Q351" s="101">
        <f>Q350+S350*Tableau!$G$2+((1/2)*U350)*Tableau!$G$2^2</f>
        <v>5701743.1288375231</v>
      </c>
      <c r="R351" s="101">
        <f>R350+T350*Tableau!$G$2</f>
        <v>-68698.560162586335</v>
      </c>
      <c r="S351" s="101">
        <f>S350+U350*Tableau!$G$2</f>
        <v>33800.903218628868</v>
      </c>
      <c r="T351" s="101">
        <f t="shared" si="10"/>
        <v>6.5585079767898494E-3</v>
      </c>
      <c r="U351" s="101">
        <f t="shared" si="11"/>
        <v>-3.2142381628044608E-3</v>
      </c>
      <c r="V351" s="101">
        <f>((Tableau!$G$16-P351)/(AC351^2+Tableau!$G$21^2)^(3/2))*Tableau!$G$20</f>
        <v>2.7961813005529888E-3</v>
      </c>
      <c r="W351" s="101">
        <f>((Tableau!$H$16-Q351)/(AC351^2+Tableau!$G$21^2)^(3/2))*Tableau!$G$20</f>
        <v>-1.3662070031634397E-3</v>
      </c>
      <c r="X351" s="101">
        <f>((Tableau!$G$25-P351)/(AD351^2+Tableau!$G$30^2)^(3/2))*Tableau!$G$29</f>
        <v>9.6403081828998888E-4</v>
      </c>
      <c r="Y351" s="101">
        <f>((Tableau!$H$25-Q351)/(AD351^2+Tableau!$G$30^2)^(3/2))*Tableau!$G$29</f>
        <v>-4.724376946840139E-4</v>
      </c>
      <c r="Z351" s="101">
        <f>((Tableau!$G$35-P351)/(AE351^2+Tableau!$G$40^2)^(3/2))*Tableau!$G$39</f>
        <v>2.7982958579468717E-3</v>
      </c>
      <c r="AA351" s="102">
        <f>((Tableau!$H$35-Q351)/(AE351^2+Tableau!$G$40^2)^(3/2))*Tableau!$G$39</f>
        <v>-1.3755934649570072E-3</v>
      </c>
      <c r="AC351" s="113">
        <f>SQRT((Tableau!$G$16-P351)^2+(Tableau!$H$16-Q351)^2)</f>
        <v>12970977.535466122</v>
      </c>
      <c r="AD351" s="114">
        <f>SQRT((Tableau!$G$25-P351)^2+(Tableau!$H$25-Q351)^2)</f>
        <v>12933949.597656662</v>
      </c>
      <c r="AE351" s="115">
        <f>SQRT((Tableau!$G$35-P351)^2+(Tableau!$H$35-Q351)^2)</f>
        <v>12958430.354430072</v>
      </c>
    </row>
    <row r="352" spans="2:31" x14ac:dyDescent="0.25">
      <c r="B352" s="20">
        <v>349</v>
      </c>
      <c r="C352" s="21">
        <f>Tableau!$G$17*COS(B352*PI()/180)+Tableau!$G$16</f>
        <v>24908.13591723832</v>
      </c>
      <c r="D352" s="21">
        <f>Tableau!$G$17*SIN(B352*PI()/180)+Tableau!$H$16</f>
        <v>6545.9550231172771</v>
      </c>
      <c r="F352" s="28">
        <v>349</v>
      </c>
      <c r="G352" s="29">
        <f>Tableau!$G$26*COS(F352*PI()/180)+Tableau!$G$25</f>
        <v>-16564.304857933177</v>
      </c>
      <c r="H352" s="29">
        <f>Tableau!$G$26*SIN(F352*PI()/180)+Tableau!$H$25</f>
        <v>9332.1685161820933</v>
      </c>
      <c r="J352" s="36">
        <v>349</v>
      </c>
      <c r="K352" s="37">
        <f>Tableau!$G$36*COS(J352*PI()/180)+Tableau!$G$35</f>
        <v>-91.864082761680038</v>
      </c>
      <c r="L352" s="37">
        <f>Tableau!$G$36*SIN(J352*PI()/180)+Tableau!$H$35</f>
        <v>-15954.044976882724</v>
      </c>
      <c r="N352" s="92">
        <v>348</v>
      </c>
      <c r="O352" s="93">
        <v>174</v>
      </c>
      <c r="P352" s="96">
        <f>P351+R351*Tableau!$G$2+((1/2)*T351)*Tableau!$G$2^2</f>
        <v>-11668612.594257131</v>
      </c>
      <c r="Q352" s="96">
        <f>Q351+S351*Tableau!$G$2+((1/2)*U351)*Tableau!$G$2^2</f>
        <v>5718643.5800450575</v>
      </c>
      <c r="R352" s="96">
        <f>R351+T351*Tableau!$G$2</f>
        <v>-68698.556883332349</v>
      </c>
      <c r="S352" s="96">
        <f>S351+U351*Tableau!$G$2</f>
        <v>33800.901611509784</v>
      </c>
      <c r="T352" s="96">
        <f t="shared" si="10"/>
        <v>6.5199193095806639E-3</v>
      </c>
      <c r="U352" s="96">
        <f t="shared" si="11"/>
        <v>-3.1953633789751036E-3</v>
      </c>
      <c r="V352" s="96">
        <f>((Tableau!$G$16-P352)/(AC352^2+Tableau!$G$21^2)^(3/2))*Tableau!$G$20</f>
        <v>2.7797381337500925E-3</v>
      </c>
      <c r="W352" s="96">
        <f>((Tableau!$H$16-Q352)/(AC352^2+Tableau!$G$21^2)^(3/2))*Tableau!$G$20</f>
        <v>-1.3582008530741484E-3</v>
      </c>
      <c r="X352" s="96">
        <f>((Tableau!$G$25-P352)/(AD352^2+Tableau!$G$30^2)^(3/2))*Tableau!$G$29</f>
        <v>9.5834721559330603E-4</v>
      </c>
      <c r="Y352" s="96">
        <f>((Tableau!$H$25-Q352)/(AD352^2+Tableau!$G$30^2)^(3/2))*Tableau!$G$29</f>
        <v>-4.6965787860847624E-4</v>
      </c>
      <c r="Z352" s="96">
        <f>((Tableau!$G$35-P352)/(AE352^2+Tableau!$G$40^2)^(3/2))*Tableau!$G$39</f>
        <v>2.7818339602372652E-3</v>
      </c>
      <c r="AA352" s="97">
        <f>((Tableau!$H$35-Q352)/(AE352^2+Tableau!$G$40^2)^(3/2))*Tableau!$G$39</f>
        <v>-1.3675046472924788E-3</v>
      </c>
      <c r="AC352" s="110">
        <f>SQRT((Tableau!$G$16-P352)^2+(Tableau!$H$16-Q352)^2)</f>
        <v>13009259.216823852</v>
      </c>
      <c r="AD352" s="111">
        <f>SQRT((Tableau!$G$25-P352)^2+(Tableau!$H$25-Q352)^2)</f>
        <v>12972231.376870962</v>
      </c>
      <c r="AE352" s="112">
        <f>SQRT((Tableau!$G$35-P352)^2+(Tableau!$H$35-Q352)^2)</f>
        <v>12996712.178543674</v>
      </c>
    </row>
    <row r="353" spans="2:31" x14ac:dyDescent="0.25">
      <c r="B353" s="18">
        <v>350</v>
      </c>
      <c r="C353" s="19">
        <f>Tableau!$G$17*COS(B353*PI()/180)+Tableau!$G$16</f>
        <v>24924.038765061039</v>
      </c>
      <c r="D353" s="19">
        <f>Tableau!$G$17*SIN(B353*PI()/180)+Tableau!$H$16</f>
        <v>6631.7591116653439</v>
      </c>
      <c r="F353" s="26">
        <v>350</v>
      </c>
      <c r="G353" s="27">
        <f>Tableau!$G$26*COS(F353*PI()/180)+Tableau!$G$25</f>
        <v>-16553.172864457272</v>
      </c>
      <c r="H353" s="27">
        <f>Tableau!$G$26*SIN(F353*PI()/180)+Tableau!$H$25</f>
        <v>9392.2313781657413</v>
      </c>
      <c r="J353" s="34">
        <v>350</v>
      </c>
      <c r="K353" s="35">
        <f>Tableau!$G$36*COS(J353*PI()/180)+Tableau!$G$35</f>
        <v>-75.961234938960843</v>
      </c>
      <c r="L353" s="35">
        <f>Tableau!$G$36*SIN(J353*PI()/180)+Tableau!$H$35</f>
        <v>-15868.240888334656</v>
      </c>
      <c r="N353" s="98">
        <v>349</v>
      </c>
      <c r="O353" s="99">
        <v>174.5</v>
      </c>
      <c r="P353" s="101">
        <f>P352+R352*Tableau!$G$2+((1/2)*T352)*Tableau!$G$2^2</f>
        <v>-11702961.871883808</v>
      </c>
      <c r="Q353" s="101">
        <f>Q352+S352*Tableau!$G$2+((1/2)*U352)*Tableau!$G$2^2</f>
        <v>5735544.0304513928</v>
      </c>
      <c r="R353" s="101">
        <f>R352+T352*Tableau!$G$2</f>
        <v>-68698.553623372689</v>
      </c>
      <c r="S353" s="101">
        <f>S352+U352*Tableau!$G$2</f>
        <v>33800.900013828097</v>
      </c>
      <c r="T353" s="101">
        <f t="shared" si="10"/>
        <v>6.481670214039217E-3</v>
      </c>
      <c r="U353" s="101">
        <f t="shared" si="11"/>
        <v>-3.1766543647413908E-3</v>
      </c>
      <c r="V353" s="101">
        <f>((Tableau!$G$16-P353)/(AC353^2+Tableau!$G$21^2)^(3/2))*Tableau!$G$20</f>
        <v>2.7634395848188634E-3</v>
      </c>
      <c r="W353" s="101">
        <f>((Tableau!$H$16-Q353)/(AC353^2+Tableau!$G$21^2)^(3/2))*Tableau!$G$20</f>
        <v>-1.3502648725062455E-3</v>
      </c>
      <c r="X353" s="101">
        <f>((Tableau!$G$25-P353)/(AD353^2+Tableau!$G$30^2)^(3/2))*Tableau!$G$29</f>
        <v>9.5271372825331073E-4</v>
      </c>
      <c r="Y353" s="101">
        <f>((Tableau!$H$25-Q353)/(AD353^2+Tableau!$G$30^2)^(3/2))*Tableau!$G$29</f>
        <v>-4.669025251770576E-4</v>
      </c>
      <c r="Z353" s="101">
        <f>((Tableau!$G$35-P353)/(AE353^2+Tableau!$G$40^2)^(3/2))*Tableau!$G$39</f>
        <v>2.7655169009670431E-3</v>
      </c>
      <c r="AA353" s="102">
        <f>((Tableau!$H$35-Q353)/(AE353^2+Tableau!$G$40^2)^(3/2))*Tableau!$G$39</f>
        <v>-1.3594869670580877E-3</v>
      </c>
      <c r="AC353" s="113">
        <f>SQRT((Tableau!$G$16-P353)^2+(Tableau!$H$16-Q353)^2)</f>
        <v>13047540.897212446</v>
      </c>
      <c r="AD353" s="114">
        <f>SQRT((Tableau!$G$25-P353)^2+(Tableau!$H$25-Q353)^2)</f>
        <v>13010513.15454269</v>
      </c>
      <c r="AE353" s="115">
        <f>SQRT((Tableau!$G$35-P353)^2+(Tableau!$H$35-Q353)^2)</f>
        <v>13034994.00085046</v>
      </c>
    </row>
    <row r="354" spans="2:31" x14ac:dyDescent="0.25">
      <c r="B354" s="20">
        <v>351</v>
      </c>
      <c r="C354" s="21">
        <f>Tableau!$G$17*COS(B354*PI()/180)+Tableau!$G$16</f>
        <v>24938.441702975688</v>
      </c>
      <c r="D354" s="21">
        <f>Tableau!$G$17*SIN(B354*PI()/180)+Tableau!$H$16</f>
        <v>6717.8276747988448</v>
      </c>
      <c r="F354" s="28">
        <v>351</v>
      </c>
      <c r="G354" s="29">
        <f>Tableau!$G$26*COS(F354*PI()/180)+Tableau!$G$25</f>
        <v>-16543.090807917019</v>
      </c>
      <c r="H354" s="29">
        <f>Tableau!$G$26*SIN(F354*PI()/180)+Tableau!$H$25</f>
        <v>9452.4793723591902</v>
      </c>
      <c r="J354" s="36">
        <v>351</v>
      </c>
      <c r="K354" s="37">
        <f>Tableau!$G$36*COS(J354*PI()/180)+Tableau!$G$35</f>
        <v>-61.558297024311287</v>
      </c>
      <c r="L354" s="37">
        <f>Tableau!$G$36*SIN(J354*PI()/180)+Tableau!$H$35</f>
        <v>-15782.172325201156</v>
      </c>
      <c r="N354" s="92">
        <v>350</v>
      </c>
      <c r="O354" s="93">
        <v>175</v>
      </c>
      <c r="P354" s="96">
        <f>P353+R353*Tableau!$G$2+((1/2)*T353)*Tableau!$G$2^2</f>
        <v>-11737311.147885285</v>
      </c>
      <c r="Q354" s="96">
        <f>Q353+S353*Tableau!$G$2+((1/2)*U353)*Tableau!$G$2^2</f>
        <v>5752444.4800612256</v>
      </c>
      <c r="R354" s="96">
        <f>R353+T353*Tableau!$G$2</f>
        <v>-68698.550382537578</v>
      </c>
      <c r="S354" s="96">
        <f>S353+U353*Tableau!$G$2</f>
        <v>33800.898425500913</v>
      </c>
      <c r="T354" s="96">
        <f t="shared" si="10"/>
        <v>6.4437567176034664E-3</v>
      </c>
      <c r="U354" s="96">
        <f t="shared" si="11"/>
        <v>-3.1581091845847261E-3</v>
      </c>
      <c r="V354" s="96">
        <f>((Tableau!$G$16-P354)/(AC354^2+Tableau!$G$21^2)^(3/2))*Tableau!$G$20</f>
        <v>2.7472839628298672E-3</v>
      </c>
      <c r="W354" s="96">
        <f>((Tableau!$H$16-Q354)/(AC354^2+Tableau!$G$21^2)^(3/2))*Tableau!$G$20</f>
        <v>-1.3423982438585851E-3</v>
      </c>
      <c r="X354" s="96">
        <f>((Tableau!$G$25-P354)/(AD354^2+Tableau!$G$30^2)^(3/2))*Tableau!$G$29</f>
        <v>9.4712976880376328E-4</v>
      </c>
      <c r="Y354" s="96">
        <f>((Tableau!$H$25-Q354)/(AD354^2+Tableau!$G$30^2)^(3/2))*Tableau!$G$29</f>
        <v>-4.6417134819795456E-4</v>
      </c>
      <c r="Z354" s="96">
        <f>((Tableau!$G$35-P354)/(AE354^2+Tableau!$G$40^2)^(3/2))*Tableau!$G$39</f>
        <v>2.7493429859698358E-3</v>
      </c>
      <c r="AA354" s="97">
        <f>((Tableau!$H$35-Q354)/(AE354^2+Tableau!$G$40^2)^(3/2))*Tableau!$G$39</f>
        <v>-1.3515395925281864E-3</v>
      </c>
      <c r="AC354" s="110">
        <f>SQRT((Tableau!$G$16-P354)^2+(Tableau!$H$16-Q354)^2)</f>
        <v>13085822.576635126</v>
      </c>
      <c r="AD354" s="111">
        <f>SQRT((Tableau!$G$25-P354)^2+(Tableau!$H$25-Q354)^2)</f>
        <v>13048794.930680091</v>
      </c>
      <c r="AE354" s="112">
        <f>SQRT((Tableau!$G$35-P354)^2+(Tableau!$H$35-Q354)^2)</f>
        <v>13073275.821360996</v>
      </c>
    </row>
    <row r="355" spans="2:31" x14ac:dyDescent="0.25">
      <c r="B355" s="18">
        <v>352</v>
      </c>
      <c r="C355" s="19">
        <f>Tableau!$G$17*COS(B355*PI()/180)+Tableau!$G$16</f>
        <v>24951.340343707852</v>
      </c>
      <c r="D355" s="19">
        <f>Tableau!$G$17*SIN(B355*PI()/180)+Tableau!$H$16</f>
        <v>6804.1344951996707</v>
      </c>
      <c r="F355" s="26">
        <v>352</v>
      </c>
      <c r="G355" s="27">
        <f>Tableau!$G$26*COS(F355*PI()/180)+Tableau!$G$25</f>
        <v>-16534.061759404503</v>
      </c>
      <c r="H355" s="27">
        <f>Tableau!$G$26*SIN(F355*PI()/180)+Tableau!$H$25</f>
        <v>9512.89414663977</v>
      </c>
      <c r="J355" s="34">
        <v>352</v>
      </c>
      <c r="K355" s="35">
        <f>Tableau!$G$36*COS(J355*PI()/180)+Tableau!$G$35</f>
        <v>-48.659656292148611</v>
      </c>
      <c r="L355" s="35">
        <f>Tableau!$G$36*SIN(J355*PI()/180)+Tableau!$H$35</f>
        <v>-15695.865504800329</v>
      </c>
      <c r="N355" s="98">
        <v>351</v>
      </c>
      <c r="O355" s="99">
        <v>175.5</v>
      </c>
      <c r="P355" s="101">
        <f>P354+R354*Tableau!$G$2+((1/2)*T354)*Tableau!$G$2^2</f>
        <v>-11771660.422271084</v>
      </c>
      <c r="Q355" s="101">
        <f>Q354+S354*Tableau!$G$2+((1/2)*U354)*Tableau!$G$2^2</f>
        <v>5769344.9288792126</v>
      </c>
      <c r="R355" s="101">
        <f>R354+T354*Tableau!$G$2</f>
        <v>-68698.547160659218</v>
      </c>
      <c r="S355" s="101">
        <f>S354+U354*Tableau!$G$2</f>
        <v>33800.896846446318</v>
      </c>
      <c r="T355" s="101">
        <f t="shared" si="10"/>
        <v>6.4061749056345142E-3</v>
      </c>
      <c r="U355" s="101">
        <f t="shared" si="11"/>
        <v>-3.1397259311530899E-3</v>
      </c>
      <c r="V355" s="101">
        <f>((Tableau!$G$16-P355)/(AC355^2+Tableau!$G$21^2)^(3/2))*Tableau!$G$20</f>
        <v>2.7312696014954599E-3</v>
      </c>
      <c r="W355" s="101">
        <f>((Tableau!$H$16-Q355)/(AC355^2+Tableau!$G$21^2)^(3/2))*Tableau!$G$20</f>
        <v>-1.3346001614035264E-3</v>
      </c>
      <c r="X355" s="101">
        <f>((Tableau!$G$25-P355)/(AD355^2+Tableau!$G$30^2)^(3/2))*Tableau!$G$29</f>
        <v>9.4159475836136689E-4</v>
      </c>
      <c r="Y355" s="101">
        <f>((Tableau!$H$25-Q355)/(AD355^2+Tableau!$G$30^2)^(3/2))*Tableau!$G$29</f>
        <v>-4.6146406565241463E-4</v>
      </c>
      <c r="Z355" s="101">
        <f>((Tableau!$G$35-P355)/(AE355^2+Tableau!$G$40^2)^(3/2))*Tableau!$G$39</f>
        <v>2.7333105457776874E-3</v>
      </c>
      <c r="AA355" s="102">
        <f>((Tableau!$H$35-Q355)/(AE355^2+Tableau!$G$40^2)^(3/2))*Tableau!$G$39</f>
        <v>-1.3436617040971485E-3</v>
      </c>
      <c r="AC355" s="113">
        <f>SQRT((Tableau!$G$16-P355)^2+(Tableau!$H$16-Q355)^2)</f>
        <v>13124104.255095102</v>
      </c>
      <c r="AD355" s="114">
        <f>SQRT((Tableau!$G$25-P355)^2+(Tableau!$H$25-Q355)^2)</f>
        <v>13087076.705291344</v>
      </c>
      <c r="AE355" s="115">
        <f>SQRT((Tableau!$G$35-P355)^2+(Tableau!$H$35-Q355)^2)</f>
        <v>13111557.640085764</v>
      </c>
    </row>
    <row r="356" spans="2:31" x14ac:dyDescent="0.25">
      <c r="B356" s="20">
        <v>353</v>
      </c>
      <c r="C356" s="21">
        <f>Tableau!$G$17*COS(B356*PI()/180)+Tableau!$G$16</f>
        <v>24962.73075820661</v>
      </c>
      <c r="D356" s="21">
        <f>Tableau!$G$17*SIN(B356*PI()/180)+Tableau!$H$16</f>
        <v>6890.6532829742591</v>
      </c>
      <c r="F356" s="28">
        <v>353</v>
      </c>
      <c r="G356" s="29">
        <f>Tableau!$G$26*COS(F356*PI()/180)+Tableau!$G$25</f>
        <v>-16526.088469255374</v>
      </c>
      <c r="H356" s="29">
        <f>Tableau!$G$26*SIN(F356*PI()/180)+Tableau!$H$25</f>
        <v>9573.4572980819812</v>
      </c>
      <c r="J356" s="36">
        <v>353</v>
      </c>
      <c r="K356" s="37">
        <f>Tableau!$G$36*COS(J356*PI()/180)+Tableau!$G$35</f>
        <v>-37.269241793390393</v>
      </c>
      <c r="L356" s="37">
        <f>Tableau!$G$36*SIN(J356*PI()/180)+Tableau!$H$35</f>
        <v>-15609.346717025741</v>
      </c>
      <c r="N356" s="92">
        <v>352</v>
      </c>
      <c r="O356" s="93">
        <v>176</v>
      </c>
      <c r="P356" s="96">
        <f>P355+R355*Tableau!$G$2+((1/2)*T355)*Tableau!$G$2^2</f>
        <v>-11806009.695050642</v>
      </c>
      <c r="Q356" s="96">
        <f>Q355+S355*Tableau!$G$2+((1/2)*U355)*Tableau!$G$2^2</f>
        <v>5786245.3769099703</v>
      </c>
      <c r="R356" s="96">
        <f>R355+T355*Tableau!$G$2</f>
        <v>-68698.543957571761</v>
      </c>
      <c r="S356" s="96">
        <f>S355+U355*Tableau!$G$2</f>
        <v>33800.895276583353</v>
      </c>
      <c r="T356" s="96">
        <f t="shared" si="10"/>
        <v>6.3689209204060744E-3</v>
      </c>
      <c r="U356" s="96">
        <f t="shared" si="11"/>
        <v>-3.1215027247705886E-3</v>
      </c>
      <c r="V356" s="96">
        <f>((Tableau!$G$16-P356)/(AC356^2+Tableau!$G$21^2)^(3/2))*Tableau!$G$20</f>
        <v>2.7153948587398799E-3</v>
      </c>
      <c r="W356" s="96">
        <f>((Tableau!$H$16-Q356)/(AC356^2+Tableau!$G$21^2)^(3/2))*Tableau!$G$20</f>
        <v>-1.3268698310804985E-3</v>
      </c>
      <c r="X356" s="96">
        <f>((Tableau!$G$25-P356)/(AD356^2+Tableau!$G$30^2)^(3/2))*Tableau!$G$29</f>
        <v>9.361081264756487E-4</v>
      </c>
      <c r="Y356" s="96">
        <f>((Tableau!$H$25-Q356)/(AD356^2+Tableau!$G$30^2)^(3/2))*Tableau!$G$29</f>
        <v>-4.5878039962189135E-4</v>
      </c>
      <c r="Z356" s="96">
        <f>((Tableau!$G$35-P356)/(AE356^2+Tableau!$G$40^2)^(3/2))*Tableau!$G$39</f>
        <v>2.7174179351905463E-3</v>
      </c>
      <c r="AA356" s="97">
        <f>((Tableau!$H$35-Q356)/(AE356^2+Tableau!$G$40^2)^(3/2))*Tableau!$G$39</f>
        <v>-1.3358524940681987E-3</v>
      </c>
      <c r="AC356" s="110">
        <f>SQRT((Tableau!$G$16-P356)^2+(Tableau!$H$16-Q356)^2)</f>
        <v>13162385.932595585</v>
      </c>
      <c r="AD356" s="111">
        <f>SQRT((Tableau!$G$25-P356)^2+(Tableau!$H$25-Q356)^2)</f>
        <v>13125358.478384564</v>
      </c>
      <c r="AE356" s="112">
        <f>SQRT((Tableau!$G$35-P356)^2+(Tableau!$H$35-Q356)^2)</f>
        <v>13149839.457035152</v>
      </c>
    </row>
    <row r="357" spans="2:31" x14ac:dyDescent="0.25">
      <c r="B357" s="18">
        <v>354</v>
      </c>
      <c r="C357" s="19">
        <f>Tableau!$G$17*COS(B357*PI()/180)+Tableau!$G$16</f>
        <v>24972.609476841368</v>
      </c>
      <c r="D357" s="19">
        <f>Tableau!$G$17*SIN(B357*PI()/180)+Tableau!$H$16</f>
        <v>6977.3576836617331</v>
      </c>
      <c r="F357" s="26">
        <v>354</v>
      </c>
      <c r="G357" s="27">
        <f>Tableau!$G$26*COS(F357*PI()/180)+Tableau!$G$25</f>
        <v>-16519.173366211042</v>
      </c>
      <c r="H357" s="27">
        <f>Tableau!$G$26*SIN(F357*PI()/180)+Tableau!$H$25</f>
        <v>9634.1503785632121</v>
      </c>
      <c r="J357" s="34">
        <v>354</v>
      </c>
      <c r="K357" s="35">
        <f>Tableau!$G$36*COS(J357*PI()/180)+Tableau!$G$35</f>
        <v>-27.390523158633187</v>
      </c>
      <c r="L357" s="35">
        <f>Tableau!$G$36*SIN(J357*PI()/180)+Tableau!$H$35</f>
        <v>-15522.642316338268</v>
      </c>
      <c r="N357" s="98">
        <v>353</v>
      </c>
      <c r="O357" s="99">
        <v>176.5</v>
      </c>
      <c r="P357" s="101">
        <f>P356+R356*Tableau!$G$2+((1/2)*T356)*Tableau!$G$2^2</f>
        <v>-11840358.966233313</v>
      </c>
      <c r="Q357" s="101">
        <f>Q356+S356*Tableau!$G$2+((1/2)*U356)*Tableau!$G$2^2</f>
        <v>5803145.8241580743</v>
      </c>
      <c r="R357" s="101">
        <f>R356+T356*Tableau!$G$2</f>
        <v>-68698.540773111294</v>
      </c>
      <c r="S357" s="101">
        <f>S356+U356*Tableau!$G$2</f>
        <v>33800.89371583199</v>
      </c>
      <c r="T357" s="101">
        <f t="shared" si="10"/>
        <v>6.3319909601144645E-3</v>
      </c>
      <c r="U357" s="101">
        <f t="shared" si="11"/>
        <v>-3.103437712956957E-3</v>
      </c>
      <c r="V357" s="101">
        <f>((Tableau!$G$16-P357)/(AC357^2+Tableau!$G$21^2)^(3/2))*Tableau!$G$20</f>
        <v>2.6996581162786501E-3</v>
      </c>
      <c r="W357" s="101">
        <f>((Tableau!$H$16-Q357)/(AC357^2+Tableau!$G$21^2)^(3/2))*Tableau!$G$20</f>
        <v>-1.3192064702940312E-3</v>
      </c>
      <c r="X357" s="101">
        <f>((Tableau!$G$25-P357)/(AD357^2+Tableau!$G$30^2)^(3/2))*Tableau!$G$29</f>
        <v>9.3066931098206775E-4</v>
      </c>
      <c r="Y357" s="101">
        <f>((Tableau!$H$25-Q357)/(AD357^2+Tableau!$G$30^2)^(3/2))*Tableau!$G$29</f>
        <v>-4.5612007621676312E-4</v>
      </c>
      <c r="Z357" s="101">
        <f>((Tableau!$G$35-P357)/(AE357^2+Tableau!$G$40^2)^(3/2))*Tableau!$G$39</f>
        <v>2.7016635328537472E-3</v>
      </c>
      <c r="AA357" s="102">
        <f>((Tableau!$H$35-Q357)/(AE357^2+Tableau!$G$40^2)^(3/2))*Tableau!$G$39</f>
        <v>-1.3281111664461629E-3</v>
      </c>
      <c r="AC357" s="113">
        <f>SQRT((Tableau!$G$16-P357)^2+(Tableau!$H$16-Q357)^2)</f>
        <v>13200667.60913977</v>
      </c>
      <c r="AD357" s="114">
        <f>SQRT((Tableau!$G$25-P357)^2+(Tableau!$H$25-Q357)^2)</f>
        <v>13163640.249967802</v>
      </c>
      <c r="AE357" s="115">
        <f>SQRT((Tableau!$G$35-P357)^2+(Tableau!$H$35-Q357)^2)</f>
        <v>13188121.272219455</v>
      </c>
    </row>
    <row r="358" spans="2:31" x14ac:dyDescent="0.25">
      <c r="B358" s="20">
        <v>355</v>
      </c>
      <c r="C358" s="21">
        <f>Tableau!$G$17*COS(B358*PI()/180)+Tableau!$G$16</f>
        <v>24980.973490458728</v>
      </c>
      <c r="D358" s="21">
        <f>Tableau!$G$17*SIN(B358*PI()/180)+Tableau!$H$16</f>
        <v>7064.2212862617089</v>
      </c>
      <c r="F358" s="28">
        <v>355</v>
      </c>
      <c r="G358" s="29">
        <f>Tableau!$G$26*COS(F358*PI()/180)+Tableau!$G$25</f>
        <v>-16513.318556678889</v>
      </c>
      <c r="H358" s="29">
        <f>Tableau!$G$26*SIN(F358*PI()/180)+Tableau!$H$25</f>
        <v>9694.9549003831962</v>
      </c>
      <c r="J358" s="36">
        <v>355</v>
      </c>
      <c r="K358" s="37">
        <f>Tableau!$G$36*COS(J358*PI()/180)+Tableau!$G$35</f>
        <v>-19.026509541272389</v>
      </c>
      <c r="L358" s="37">
        <f>Tableau!$G$36*SIN(J358*PI()/180)+Tableau!$H$35</f>
        <v>-15435.778713738291</v>
      </c>
      <c r="N358" s="92">
        <v>354</v>
      </c>
      <c r="O358" s="93">
        <v>177</v>
      </c>
      <c r="P358" s="96">
        <f>P357+R357*Tableau!$G$2+((1/2)*T357)*Tableau!$G$2^2</f>
        <v>-11874708.23582837</v>
      </c>
      <c r="Q358" s="96">
        <f>Q357+S357*Tableau!$G$2+((1/2)*U357)*Tableau!$G$2^2</f>
        <v>5820046.2706280611</v>
      </c>
      <c r="R358" s="96">
        <f>R357+T357*Tableau!$G$2</f>
        <v>-68698.53760711581</v>
      </c>
      <c r="S358" s="96">
        <f>S357+U357*Tableau!$G$2</f>
        <v>33800.892164113131</v>
      </c>
      <c r="T358" s="96">
        <f t="shared" si="10"/>
        <v>6.2953812779086024E-3</v>
      </c>
      <c r="U358" s="96">
        <f t="shared" si="11"/>
        <v>-3.0855290699567462E-3</v>
      </c>
      <c r="V358" s="96">
        <f>((Tableau!$G$16-P358)/(AC358^2+Tableau!$G$21^2)^(3/2))*Tableau!$G$20</f>
        <v>2.6840577792057408E-3</v>
      </c>
      <c r="W358" s="96">
        <f>((Tableau!$H$16-Q358)/(AC358^2+Tableau!$G$21^2)^(3/2))*Tableau!$G$20</f>
        <v>-1.3116093077154883E-3</v>
      </c>
      <c r="X358" s="96">
        <f>((Tableau!$G$25-P358)/(AD358^2+Tableau!$G$30^2)^(3/2))*Tableau!$G$29</f>
        <v>9.2527775785795311E-4</v>
      </c>
      <c r="Y358" s="96">
        <f>((Tableau!$H$25-Q358)/(AD358^2+Tableau!$G$30^2)^(3/2))*Tableau!$G$29</f>
        <v>-4.5348282550642153E-4</v>
      </c>
      <c r="Z358" s="96">
        <f>((Tableau!$G$35-P358)/(AE358^2+Tableau!$G$40^2)^(3/2))*Tableau!$G$39</f>
        <v>2.6860457408449086E-3</v>
      </c>
      <c r="AA358" s="97">
        <f>((Tableau!$H$35-Q358)/(AE358^2+Tableau!$G$40^2)^(3/2))*Tableau!$G$39</f>
        <v>-1.3204369367348365E-3</v>
      </c>
      <c r="AC358" s="110">
        <f>SQRT((Tableau!$G$16-P358)^2+(Tableau!$H$16-Q358)^2)</f>
        <v>13238949.284730848</v>
      </c>
      <c r="AD358" s="111">
        <f>SQRT((Tableau!$G$25-P358)^2+(Tableau!$H$25-Q358)^2)</f>
        <v>13201922.020049052</v>
      </c>
      <c r="AE358" s="112">
        <f>SQRT((Tableau!$G$35-P358)^2+(Tableau!$H$35-Q358)^2)</f>
        <v>13226403.085648883</v>
      </c>
    </row>
    <row r="359" spans="2:31" x14ac:dyDescent="0.25">
      <c r="B359" s="18">
        <v>356</v>
      </c>
      <c r="C359" s="19">
        <f>Tableau!$G$17*COS(B359*PI()/180)+Tableau!$G$16</f>
        <v>24987.820251299123</v>
      </c>
      <c r="D359" s="19">
        <f>Tableau!$G$17*SIN(B359*PI()/180)+Tableau!$H$16</f>
        <v>7151.2176312793763</v>
      </c>
      <c r="F359" s="26">
        <v>356</v>
      </c>
      <c r="G359" s="27">
        <f>Tableau!$G$26*COS(F359*PI()/180)+Tableau!$G$25</f>
        <v>-16508.525824090615</v>
      </c>
      <c r="H359" s="27">
        <f>Tableau!$G$26*SIN(F359*PI()/180)+Tableau!$H$25</f>
        <v>9755.8523418955629</v>
      </c>
      <c r="J359" s="34">
        <v>356</v>
      </c>
      <c r="K359" s="35">
        <f>Tableau!$G$36*COS(J359*PI()/180)+Tableau!$G$35</f>
        <v>-12.179748700878008</v>
      </c>
      <c r="L359" s="35">
        <f>Tableau!$G$36*SIN(J359*PI()/180)+Tableau!$H$35</f>
        <v>-15348.782368720624</v>
      </c>
      <c r="N359" s="98">
        <v>355</v>
      </c>
      <c r="O359" s="99">
        <v>177.5</v>
      </c>
      <c r="P359" s="101">
        <f>P358+R358*Tableau!$G$2+((1/2)*T358)*Tableau!$G$2^2</f>
        <v>-11909057.503845004</v>
      </c>
      <c r="Q359" s="101">
        <f>Q358+S358*Tableau!$G$2+((1/2)*U358)*Tableau!$G$2^2</f>
        <v>5836946.7163244262</v>
      </c>
      <c r="R359" s="101">
        <f>R358+T358*Tableau!$G$2</f>
        <v>-68698.534459425166</v>
      </c>
      <c r="S359" s="101">
        <f>S358+U358*Tableau!$G$2</f>
        <v>33800.890621348597</v>
      </c>
      <c r="T359" s="101">
        <f t="shared" si="10"/>
        <v>6.2590881809395198E-3</v>
      </c>
      <c r="U359" s="101">
        <f t="shared" si="11"/>
        <v>-3.0677749962779643E-3</v>
      </c>
      <c r="V359" s="101">
        <f>((Tableau!$G$16-P359)/(AC359^2+Tableau!$G$21^2)^(3/2))*Tableau!$G$20</f>
        <v>2.6685922755896965E-3</v>
      </c>
      <c r="W359" s="101">
        <f>((Tableau!$H$16-Q359)/(AC359^2+Tableau!$G$21^2)^(3/2))*Tableau!$G$20</f>
        <v>-1.3040775830891001E-3</v>
      </c>
      <c r="X359" s="101">
        <f>((Tableau!$G$25-P359)/(AD359^2+Tableau!$G$30^2)^(3/2))*Tableau!$G$29</f>
        <v>9.1993292108140607E-4</v>
      </c>
      <c r="Y359" s="101">
        <f>((Tableau!$H$25-Q359)/(AD359^2+Tableau!$G$30^2)^(3/2))*Tableau!$G$29</f>
        <v>-4.5086838145079586E-4</v>
      </c>
      <c r="Z359" s="101">
        <f>((Tableau!$G$35-P359)/(AE359^2+Tableau!$G$40^2)^(3/2))*Tableau!$G$39</f>
        <v>2.6705629842684168E-3</v>
      </c>
      <c r="AA359" s="102">
        <f>((Tableau!$H$35-Q359)/(AE359^2+Tableau!$G$40^2)^(3/2))*Tableau!$G$39</f>
        <v>-1.3128290317380683E-3</v>
      </c>
      <c r="AC359" s="113">
        <f>SQRT((Tableau!$G$16-P359)^2+(Tableau!$H$16-Q359)^2)</f>
        <v>13277230.959372004</v>
      </c>
      <c r="AD359" s="114">
        <f>SQRT((Tableau!$G$25-P359)^2+(Tableau!$H$25-Q359)^2)</f>
        <v>13240203.788636232</v>
      </c>
      <c r="AE359" s="115">
        <f>SQRT((Tableau!$G$35-P359)^2+(Tableau!$H$35-Q359)^2)</f>
        <v>13264684.897333551</v>
      </c>
    </row>
    <row r="360" spans="2:31" x14ac:dyDescent="0.25">
      <c r="B360" s="20">
        <v>357</v>
      </c>
      <c r="C360" s="21">
        <f>Tableau!$G$17*COS(B360*PI()/180)+Tableau!$G$16</f>
        <v>24993.14767377287</v>
      </c>
      <c r="D360" s="21">
        <f>Tableau!$G$17*SIN(B360*PI()/180)+Tableau!$H$16</f>
        <v>7238.3202187852785</v>
      </c>
      <c r="F360" s="28">
        <v>357</v>
      </c>
      <c r="G360" s="29">
        <f>Tableau!$G$26*COS(F360*PI()/180)+Tableau!$G$25</f>
        <v>-16504.796628358992</v>
      </c>
      <c r="H360" s="29">
        <f>Tableau!$G$26*SIN(F360*PI()/180)+Tableau!$H$25</f>
        <v>9816.8241531496951</v>
      </c>
      <c r="J360" s="36">
        <v>357</v>
      </c>
      <c r="K360" s="37">
        <f>Tableau!$G$36*COS(J360*PI()/180)+Tableau!$G$35</f>
        <v>-6.8523262271310159</v>
      </c>
      <c r="L360" s="37">
        <f>Tableau!$G$36*SIN(J360*PI()/180)+Tableau!$H$35</f>
        <v>-15261.679781214722</v>
      </c>
      <c r="N360" s="92">
        <v>356</v>
      </c>
      <c r="O360" s="93">
        <v>178</v>
      </c>
      <c r="P360" s="96">
        <f>P359+R359*Tableau!$G$2+((1/2)*T359)*Tableau!$G$2^2</f>
        <v>-11943406.770292332</v>
      </c>
      <c r="Q360" s="96">
        <f>Q359+S359*Tableau!$G$2+((1/2)*U359)*Tableau!$G$2^2</f>
        <v>5853847.1612516288</v>
      </c>
      <c r="R360" s="96">
        <f>R359+T359*Tableau!$G$2</f>
        <v>-68698.53132988108</v>
      </c>
      <c r="S360" s="96">
        <f>S359+U359*Tableau!$G$2</f>
        <v>33800.889087461102</v>
      </c>
      <c r="T360" s="96">
        <f t="shared" si="10"/>
        <v>6.2231080294292722E-3</v>
      </c>
      <c r="U360" s="96">
        <f t="shared" si="11"/>
        <v>-3.0501737182401195E-3</v>
      </c>
      <c r="V360" s="96">
        <f>((Tableau!$G$16-P360)/(AC360^2+Tableau!$G$21^2)^(3/2))*Tableau!$G$20</f>
        <v>2.6532600560777043E-3</v>
      </c>
      <c r="W360" s="96">
        <f>((Tableau!$H$16-Q360)/(AC360^2+Tableau!$G$21^2)^(3/2))*Tableau!$G$20</f>
        <v>-1.2966105470417924E-3</v>
      </c>
      <c r="X360" s="96">
        <f>((Tableau!$G$25-P360)/(AD360^2+Tableau!$G$30^2)^(3/2))*Tableau!$G$29</f>
        <v>9.1463426249308673E-4</v>
      </c>
      <c r="Y360" s="96">
        <f>((Tableau!$H$25-Q360)/(AD360^2+Tableau!$G$30^2)^(3/2))*Tableau!$G$29</f>
        <v>-4.4827648183327527E-4</v>
      </c>
      <c r="Z360" s="96">
        <f>((Tableau!$G$35-P360)/(AE360^2+Tableau!$G$40^2)^(3/2))*Tableau!$G$39</f>
        <v>2.655213710858481E-3</v>
      </c>
      <c r="AA360" s="97">
        <f>((Tableau!$H$35-Q360)/(AE360^2+Tableau!$G$40^2)^(3/2))*Tableau!$G$39</f>
        <v>-1.3052866893650517E-3</v>
      </c>
      <c r="AC360" s="110">
        <f>SQRT((Tableau!$G$16-P360)^2+(Tableau!$H$16-Q360)^2)</f>
        <v>13315512.633066418</v>
      </c>
      <c r="AD360" s="111">
        <f>SQRT((Tableau!$G$25-P360)^2+(Tableau!$H$25-Q360)^2)</f>
        <v>13278485.55573721</v>
      </c>
      <c r="AE360" s="112">
        <f>SQRT((Tableau!$G$35-P360)^2+(Tableau!$H$35-Q360)^2)</f>
        <v>13302966.707283497</v>
      </c>
    </row>
    <row r="361" spans="2:31" x14ac:dyDescent="0.25">
      <c r="B361" s="18">
        <v>358</v>
      </c>
      <c r="C361" s="19">
        <f>Tableau!$G$17*COS(B361*PI()/180)+Tableau!$G$16</f>
        <v>24996.954135095479</v>
      </c>
      <c r="D361" s="19">
        <f>Tableau!$G$17*SIN(B361*PI()/180)+Tableau!$H$16</f>
        <v>7325.502516487496</v>
      </c>
      <c r="F361" s="26">
        <v>358</v>
      </c>
      <c r="G361" s="27">
        <f>Tableau!$G$26*COS(F361*PI()/180)+Tableau!$G$25</f>
        <v>-16502.132105433164</v>
      </c>
      <c r="H361" s="27">
        <f>Tableau!$G$26*SIN(F361*PI()/180)+Tableau!$H$25</f>
        <v>9877.8517615412475</v>
      </c>
      <c r="J361" s="34">
        <v>358</v>
      </c>
      <c r="K361" s="35">
        <f>Tableau!$G$36*COS(J361*PI()/180)+Tableau!$G$35</f>
        <v>-3.0458649045212951</v>
      </c>
      <c r="L361" s="35">
        <f>Tableau!$G$36*SIN(J361*PI()/180)+Tableau!$H$35</f>
        <v>-15174.497483512505</v>
      </c>
      <c r="N361" s="98">
        <v>357</v>
      </c>
      <c r="O361" s="99">
        <v>178.5</v>
      </c>
      <c r="P361" s="101">
        <f>P360+R360*Tableau!$G$2+((1/2)*T360)*Tableau!$G$2^2</f>
        <v>-11977756.035179384</v>
      </c>
      <c r="Q361" s="101">
        <f>Q360+S360*Tableau!$G$2+((1/2)*U360)*Tableau!$G$2^2</f>
        <v>5870747.6054140879</v>
      </c>
      <c r="R361" s="101">
        <f>R360+T360*Tableau!$G$2</f>
        <v>-68698.528218327061</v>
      </c>
      <c r="S361" s="101">
        <f>S360+U360*Tableau!$G$2</f>
        <v>33800.887562374242</v>
      </c>
      <c r="T361" s="101">
        <f t="shared" si="10"/>
        <v>6.1874372357580074E-3</v>
      </c>
      <c r="U361" s="101">
        <f t="shared" si="11"/>
        <v>-3.0327234875310569E-3</v>
      </c>
      <c r="V361" s="101">
        <f>((Tableau!$G$16-P361)/(AC361^2+Tableau!$G$21^2)^(3/2))*Tableau!$G$20</f>
        <v>2.6380595935072537E-3</v>
      </c>
      <c r="W361" s="101">
        <f>((Tableau!$H$16-Q361)/(AC361^2+Tableau!$G$21^2)^(3/2))*Tableau!$G$20</f>
        <v>-1.2892074608966495E-3</v>
      </c>
      <c r="X361" s="101">
        <f>((Tableau!$G$25-P361)/(AD361^2+Tableau!$G$30^2)^(3/2))*Tableau!$G$29</f>
        <v>9.0938125166067528E-4</v>
      </c>
      <c r="Y361" s="101">
        <f>((Tableau!$H$25-Q361)/(AD361^2+Tableau!$G$30^2)^(3/2))*Tableau!$G$29</f>
        <v>-4.4570686819492516E-4</v>
      </c>
      <c r="Z361" s="101">
        <f>((Tableau!$G$35-P361)/(AE361^2+Tableau!$G$40^2)^(3/2))*Tableau!$G$39</f>
        <v>2.639996390590078E-3</v>
      </c>
      <c r="AA361" s="102">
        <f>((Tableau!$H$35-Q361)/(AE361^2+Tableau!$G$40^2)^(3/2))*Tableau!$G$39</f>
        <v>-1.2978091584394823E-3</v>
      </c>
      <c r="AC361" s="113">
        <f>SQRT((Tableau!$G$16-P361)^2+(Tableau!$H$16-Q361)^2)</f>
        <v>13353794.305817256</v>
      </c>
      <c r="AD361" s="114">
        <f>SQRT((Tableau!$G$25-P361)^2+(Tableau!$H$25-Q361)^2)</f>
        <v>13316767.321359787</v>
      </c>
      <c r="AE361" s="115">
        <f>SQRT((Tableau!$G$35-P361)^2+(Tableau!$H$35-Q361)^2)</f>
        <v>13341248.515508661</v>
      </c>
    </row>
    <row r="362" spans="2:31" x14ac:dyDescent="0.25">
      <c r="B362" s="20">
        <v>359</v>
      </c>
      <c r="C362" s="21">
        <f>Tableau!$G$17*COS(B362*PI()/180)+Tableau!$G$16</f>
        <v>24999.238475781956</v>
      </c>
      <c r="D362" s="21">
        <f>Tableau!$G$17*SIN(B362*PI()/180)+Tableau!$H$16</f>
        <v>7412.7379678135776</v>
      </c>
      <c r="F362" s="28">
        <v>359</v>
      </c>
      <c r="G362" s="29">
        <f>Tableau!$G$26*COS(F362*PI()/180)+Tableau!$G$25</f>
        <v>-16500.53306695263</v>
      </c>
      <c r="H362" s="29">
        <f>Tableau!$G$26*SIN(F362*PI()/180)+Tableau!$H$25</f>
        <v>9938.9165774695048</v>
      </c>
      <c r="J362" s="36">
        <v>359</v>
      </c>
      <c r="K362" s="37">
        <f>Tableau!$G$36*COS(J362*PI()/180)+Tableau!$G$35</f>
        <v>-0.76152421804363257</v>
      </c>
      <c r="L362" s="37">
        <f>Tableau!$G$36*SIN(J362*PI()/180)+Tableau!$H$35</f>
        <v>-15087.262032186421</v>
      </c>
      <c r="N362" s="92">
        <v>358</v>
      </c>
      <c r="O362" s="93">
        <v>179</v>
      </c>
      <c r="P362" s="96">
        <f>P361+R361*Tableau!$G$2+((1/2)*T361)*Tableau!$G$2^2</f>
        <v>-12012105.298515117</v>
      </c>
      <c r="Q362" s="96">
        <f>Q361+S361*Tableau!$G$2+((1/2)*U361)*Tableau!$G$2^2</f>
        <v>5887648.0488161845</v>
      </c>
      <c r="R362" s="96">
        <f>R361+T361*Tableau!$G$2</f>
        <v>-68698.525124608437</v>
      </c>
      <c r="S362" s="96">
        <f>S361+U361*Tableau!$G$2</f>
        <v>33800.8860460125</v>
      </c>
      <c r="T362" s="96">
        <f t="shared" si="10"/>
        <v>6.1520722635699755E-3</v>
      </c>
      <c r="U362" s="96">
        <f t="shared" si="11"/>
        <v>-3.0154225807729725E-3</v>
      </c>
      <c r="V362" s="96">
        <f>((Tableau!$G$16-P362)/(AC362^2+Tableau!$G$21^2)^(3/2))*Tableau!$G$20</f>
        <v>2.6229893825261215E-3</v>
      </c>
      <c r="W362" s="96">
        <f>((Tableau!$H$16-Q362)/(AC362^2+Tableau!$G$21^2)^(3/2))*Tableau!$G$20</f>
        <v>-1.2818675964903637E-3</v>
      </c>
      <c r="X362" s="96">
        <f>((Tableau!$G$25-P362)/(AD362^2+Tableau!$G$30^2)^(3/2))*Tableau!$G$29</f>
        <v>9.0417336574619481E-4</v>
      </c>
      <c r="Y362" s="96">
        <f>((Tableau!$H$25-Q362)/(AD362^2+Tableau!$G$30^2)^(3/2))*Tableau!$G$29</f>
        <v>-4.4315928577009107E-4</v>
      </c>
      <c r="Z362" s="96">
        <f>((Tableau!$G$35-P362)/(AE362^2+Tableau!$G$40^2)^(3/2))*Tableau!$G$39</f>
        <v>2.6249095152976591E-3</v>
      </c>
      <c r="AA362" s="97">
        <f>((Tableau!$H$35-Q362)/(AE362^2+Tableau!$G$40^2)^(3/2))*Tableau!$G$39</f>
        <v>-1.2903956985125175E-3</v>
      </c>
      <c r="AC362" s="110">
        <f>SQRT((Tableau!$G$16-P362)^2+(Tableau!$H$16-Q362)^2)</f>
        <v>13392075.977627678</v>
      </c>
      <c r="AD362" s="111">
        <f>SQRT((Tableau!$G$25-P362)^2+(Tableau!$H$25-Q362)^2)</f>
        <v>13355049.085511705</v>
      </c>
      <c r="AE362" s="112">
        <f>SQRT((Tableau!$G$35-P362)^2+(Tableau!$H$35-Q362)^2)</f>
        <v>13379530.322018905</v>
      </c>
    </row>
    <row r="363" spans="2:31" x14ac:dyDescent="0.25">
      <c r="B363" s="18">
        <v>360</v>
      </c>
      <c r="C363" s="19">
        <f>Tableau!$G$17*COS(B363*PI()/180)+Tableau!$G$16</f>
        <v>25000</v>
      </c>
      <c r="D363" s="19">
        <f>Tableau!$G$17*SIN(B363*PI()/180)+Tableau!$H$16</f>
        <v>7499.9999999999991</v>
      </c>
      <c r="F363" s="26">
        <v>360</v>
      </c>
      <c r="G363" s="27">
        <f>Tableau!$G$26*COS(F363*PI()/180)+Tableau!$G$25</f>
        <v>-16500</v>
      </c>
      <c r="H363" s="27">
        <f>Tableau!$G$26*SIN(F363*PI()/180)+Tableau!$H$25</f>
        <v>10000</v>
      </c>
      <c r="J363" s="34">
        <v>360</v>
      </c>
      <c r="K363" s="35">
        <f>Tableau!$G$36*COS(J363*PI()/180)+Tableau!$G$35</f>
        <v>0</v>
      </c>
      <c r="L363" s="35">
        <f>Tableau!$G$36*SIN(J363*PI()/180)+Tableau!$H$35</f>
        <v>-15000.000000000002</v>
      </c>
      <c r="N363" s="98">
        <v>359</v>
      </c>
      <c r="O363" s="99">
        <v>179.5</v>
      </c>
      <c r="P363" s="101">
        <f>P362+R362*Tableau!$G$2+((1/2)*T362)*Tableau!$G$2^2</f>
        <v>-12046454.560308412</v>
      </c>
      <c r="Q363" s="101">
        <f>Q362+S362*Tableau!$G$2+((1/2)*U362)*Tableau!$G$2^2</f>
        <v>5904548.4914622633</v>
      </c>
      <c r="R363" s="101">
        <f>R362+T362*Tableau!$G$2</f>
        <v>-68698.522048572311</v>
      </c>
      <c r="S363" s="101">
        <f>S362+U362*Tableau!$G$2</f>
        <v>33800.884538301209</v>
      </c>
      <c r="T363" s="101">
        <f t="shared" si="10"/>
        <v>6.1170096268967061E-3</v>
      </c>
      <c r="U363" s="101">
        <f t="shared" si="11"/>
        <v>-2.9982692990967444E-3</v>
      </c>
      <c r="V363" s="101">
        <f>((Tableau!$G$16-P363)/(AC363^2+Tableau!$G$21^2)^(3/2))*Tableau!$G$20</f>
        <v>2.6080479392195312E-3</v>
      </c>
      <c r="W363" s="101">
        <f>((Tableau!$H$16-Q363)/(AC363^2+Tableau!$G$21^2)^(3/2))*Tableau!$G$20</f>
        <v>-1.2745902359941181E-3</v>
      </c>
      <c r="X363" s="101">
        <f>((Tableau!$G$25-P363)/(AD363^2+Tableau!$G$30^2)^(3/2))*Tableau!$G$29</f>
        <v>8.9901008937588256E-4</v>
      </c>
      <c r="Y363" s="101">
        <f>((Tableau!$H$25-Q363)/(AD363^2+Tableau!$G$30^2)^(3/2))*Tableau!$G$29</f>
        <v>-4.406334834232364E-4</v>
      </c>
      <c r="Z363" s="101">
        <f>((Tableau!$G$35-P363)/(AE363^2+Tableau!$G$40^2)^(3/2))*Tableau!$G$39</f>
        <v>2.6099515983012927E-3</v>
      </c>
      <c r="AA363" s="102">
        <f>((Tableau!$H$35-Q363)/(AE363^2+Tableau!$G$40^2)^(3/2))*Tableau!$G$39</f>
        <v>-1.28304557967939E-3</v>
      </c>
      <c r="AC363" s="113">
        <f>SQRT((Tableau!$G$16-P363)^2+(Tableau!$H$16-Q363)^2)</f>
        <v>13430357.648500839</v>
      </c>
      <c r="AD363" s="114">
        <f>SQRT((Tableau!$G$25-P363)^2+(Tableau!$H$25-Q363)^2)</f>
        <v>13393330.848200645</v>
      </c>
      <c r="AE363" s="115">
        <f>SQRT((Tableau!$G$35-P363)^2+(Tableau!$H$35-Q363)^2)</f>
        <v>13417812.126824008</v>
      </c>
    </row>
    <row r="364" spans="2:31" x14ac:dyDescent="0.25">
      <c r="B364" s="20">
        <v>361</v>
      </c>
      <c r="C364" s="21">
        <f>Tableau!$G$17*COS(B364*PI()/180)+Tableau!$G$16</f>
        <v>24999.238475781956</v>
      </c>
      <c r="D364" s="21">
        <f>Tableau!$G$17*SIN(B364*PI()/180)+Tableau!$H$16</f>
        <v>7587.2620321864151</v>
      </c>
      <c r="F364" s="28">
        <v>361</v>
      </c>
      <c r="G364" s="29">
        <f>Tableau!$G$26*COS(F364*PI()/180)+Tableau!$G$25</f>
        <v>-16500.53306695263</v>
      </c>
      <c r="H364" s="29">
        <f>Tableau!$G$26*SIN(F364*PI()/180)+Tableau!$H$25</f>
        <v>10061.083422530492</v>
      </c>
      <c r="J364" s="36">
        <v>361</v>
      </c>
      <c r="K364" s="37">
        <f>Tableau!$G$36*COS(J364*PI()/180)+Tableau!$G$35</f>
        <v>-0.76152421804363257</v>
      </c>
      <c r="L364" s="37">
        <f>Tableau!$G$36*SIN(J364*PI()/180)+Tableau!$H$35</f>
        <v>-14912.737967813584</v>
      </c>
      <c r="N364" s="92">
        <v>360</v>
      </c>
      <c r="O364" s="93">
        <v>180</v>
      </c>
      <c r="P364" s="96">
        <f>P363+R363*Tableau!$G$2+((1/2)*T363)*Tableau!$G$2^2</f>
        <v>-12080803.820568072</v>
      </c>
      <c r="Q364" s="96">
        <f>Q363+S363*Tableau!$G$2+((1/2)*U363)*Tableau!$G$2^2</f>
        <v>5921448.9333566297</v>
      </c>
      <c r="R364" s="96">
        <f>R363+T363*Tableau!$G$2</f>
        <v>-68698.518990067503</v>
      </c>
      <c r="S364" s="96">
        <f>S363+U363*Tableau!$G$2</f>
        <v>33800.883039166562</v>
      </c>
      <c r="T364" s="96">
        <f t="shared" si="10"/>
        <v>6.0822458892981221E-3</v>
      </c>
      <c r="U364" s="96">
        <f t="shared" si="11"/>
        <v>-2.9812619677249603E-3</v>
      </c>
      <c r="V364" s="96">
        <f>((Tableau!$G$16-P364)/(AC364^2+Tableau!$G$21^2)^(3/2))*Tableau!$G$20</f>
        <v>2.5932338007448831E-3</v>
      </c>
      <c r="W364" s="96">
        <f>((Tableau!$H$16-Q364)/(AC364^2+Tableau!$G$21^2)^(3/2))*Tableau!$G$20</f>
        <v>-1.2673746717380961E-3</v>
      </c>
      <c r="X364" s="96">
        <f>((Tableau!$G$25-P364)/(AD364^2+Tableau!$G$30^2)^(3/2))*Tableau!$G$29</f>
        <v>8.9389091451262941E-4</v>
      </c>
      <c r="Y364" s="96">
        <f>((Tableau!$H$25-Q364)/(AD364^2+Tableau!$G$30^2)^(3/2))*Tableau!$G$29</f>
        <v>-4.3812921358702414E-4</v>
      </c>
      <c r="Z364" s="96">
        <f>((Tableau!$G$35-P364)/(AE364^2+Tableau!$G$40^2)^(3/2))*Tableau!$G$39</f>
        <v>2.5951211740406098E-3</v>
      </c>
      <c r="AA364" s="97">
        <f>((Tableau!$H$35-Q364)/(AE364^2+Tableau!$G$40^2)^(3/2))*Tableau!$G$39</f>
        <v>-1.2757580823998401E-3</v>
      </c>
      <c r="AC364" s="110">
        <f>SQRT((Tableau!$G$16-P364)^2+(Tableau!$H$16-Q364)^2)</f>
        <v>13468639.318439888</v>
      </c>
      <c r="AD364" s="111">
        <f>SQRT((Tableau!$G$25-P364)^2+(Tableau!$H$25-Q364)^2)</f>
        <v>13431612.60943423</v>
      </c>
      <c r="AE364" s="112">
        <f>SQRT((Tableau!$G$35-P364)^2+(Tableau!$H$35-Q364)^2)</f>
        <v>13456093.92993366</v>
      </c>
    </row>
    <row r="365" spans="2:31" x14ac:dyDescent="0.25">
      <c r="B365" s="18">
        <v>362</v>
      </c>
      <c r="C365" s="19">
        <f>Tableau!$G$17*COS(B365*PI()/180)+Tableau!$G$16</f>
        <v>24996.954135095479</v>
      </c>
      <c r="D365" s="19">
        <f>Tableau!$G$17*SIN(B365*PI()/180)+Tableau!$H$16</f>
        <v>7674.4974835125013</v>
      </c>
      <c r="F365" s="26">
        <v>362</v>
      </c>
      <c r="G365" s="27">
        <f>Tableau!$G$26*COS(F365*PI()/180)+Tableau!$G$25</f>
        <v>-16502.132105433164</v>
      </c>
      <c r="H365" s="27">
        <f>Tableau!$G$26*SIN(F365*PI()/180)+Tableau!$H$25</f>
        <v>10122.148238458751</v>
      </c>
      <c r="J365" s="34">
        <v>362</v>
      </c>
      <c r="K365" s="35">
        <f>Tableau!$G$36*COS(J365*PI()/180)+Tableau!$G$35</f>
        <v>-3.0458649045212951</v>
      </c>
      <c r="L365" s="35">
        <f>Tableau!$G$36*SIN(J365*PI()/180)+Tableau!$H$35</f>
        <v>-14825.502516487499</v>
      </c>
      <c r="N365" s="98">
        <v>361</v>
      </c>
      <c r="O365" s="99">
        <v>180.5</v>
      </c>
      <c r="P365" s="101">
        <f>P364+R364*Tableau!$G$2+((1/2)*T364)*Tableau!$G$2^2</f>
        <v>-12115153.079302823</v>
      </c>
      <c r="Q365" s="101">
        <f>Q364+S364*Tableau!$G$2+((1/2)*U364)*Tableau!$G$2^2</f>
        <v>5938349.3745035557</v>
      </c>
      <c r="R365" s="101">
        <f>R364+T364*Tableau!$G$2</f>
        <v>-68698.515948944565</v>
      </c>
      <c r="S365" s="101">
        <f>S364+U364*Tableau!$G$2</f>
        <v>33800.881548535581</v>
      </c>
      <c r="T365" s="101">
        <f t="shared" si="10"/>
        <v>6.0477776630202748E-3</v>
      </c>
      <c r="U365" s="101">
        <f t="shared" si="11"/>
        <v>-2.964398935562993E-3</v>
      </c>
      <c r="V365" s="101">
        <f>((Tableau!$G$16-P365)/(AC365^2+Tableau!$G$21^2)^(3/2))*Tableau!$G$20</f>
        <v>2.5785455249735384E-3</v>
      </c>
      <c r="W365" s="101">
        <f>((Tableau!$H$16-Q365)/(AC365^2+Tableau!$G$21^2)^(3/2))*Tableau!$G$20</f>
        <v>-1.2602202060393664E-3</v>
      </c>
      <c r="X365" s="101">
        <f>((Tableau!$G$25-P365)/(AD365^2+Tableau!$G$30^2)^(3/2))*Tableau!$G$29</f>
        <v>8.8881534033109126E-4</v>
      </c>
      <c r="Y365" s="101">
        <f>((Tableau!$H$25-Q365)/(AD365^2+Tableau!$G$30^2)^(3/2))*Tableau!$G$29</f>
        <v>-4.3564623220169384E-4</v>
      </c>
      <c r="Z365" s="101">
        <f>((Tableau!$G$35-P365)/(AE365^2+Tableau!$G$40^2)^(3/2))*Tableau!$G$39</f>
        <v>2.5804167977156456E-3</v>
      </c>
      <c r="AA365" s="102">
        <f>((Tableau!$H$35-Q365)/(AE365^2+Tableau!$G$40^2)^(3/2))*Tableau!$G$39</f>
        <v>-1.2685324973219327E-3</v>
      </c>
      <c r="AC365" s="113">
        <f>SQRT((Tableau!$G$16-P365)^2+(Tableau!$H$16-Q365)^2)</f>
        <v>13506920.987447953</v>
      </c>
      <c r="AD365" s="114">
        <f>SQRT((Tableau!$G$25-P365)^2+(Tableau!$H$25-Q365)^2)</f>
        <v>13469894.369220022</v>
      </c>
      <c r="AE365" s="115">
        <f>SQRT((Tableau!$G$35-P365)^2+(Tableau!$H$35-Q365)^2)</f>
        <v>13494375.731357472</v>
      </c>
    </row>
    <row r="366" spans="2:31" x14ac:dyDescent="0.25">
      <c r="B366" s="20">
        <v>363</v>
      </c>
      <c r="C366" s="21">
        <f>Tableau!$G$17*COS(B366*PI()/180)+Tableau!$G$16</f>
        <v>24993.14767377287</v>
      </c>
      <c r="D366" s="21">
        <f>Tableau!$G$17*SIN(B366*PI()/180)+Tableau!$H$16</f>
        <v>7761.6797812147197</v>
      </c>
      <c r="F366" s="28">
        <v>363</v>
      </c>
      <c r="G366" s="29">
        <f>Tableau!$G$26*COS(F366*PI()/180)+Tableau!$G$25</f>
        <v>-16504.796628358992</v>
      </c>
      <c r="H366" s="29">
        <f>Tableau!$G$26*SIN(F366*PI()/180)+Tableau!$H$25</f>
        <v>10183.175846850303</v>
      </c>
      <c r="J366" s="36">
        <v>363</v>
      </c>
      <c r="K366" s="37">
        <f>Tableau!$G$36*COS(J366*PI()/180)+Tableau!$G$35</f>
        <v>-6.8523262271310159</v>
      </c>
      <c r="L366" s="37">
        <f>Tableau!$G$36*SIN(J366*PI()/180)+Tableau!$H$35</f>
        <v>-14738.32021878528</v>
      </c>
      <c r="N366" s="92">
        <v>362</v>
      </c>
      <c r="O366" s="93">
        <v>181</v>
      </c>
      <c r="P366" s="96">
        <f>P365+R365*Tableau!$G$2+((1/2)*T365)*Tableau!$G$2^2</f>
        <v>-12149502.336521324</v>
      </c>
      <c r="Q366" s="96">
        <f>Q365+S365*Tableau!$G$2+((1/2)*U365)*Tableau!$G$2^2</f>
        <v>5955249.8149072733</v>
      </c>
      <c r="R366" s="96">
        <f>R365+T365*Tableau!$G$2</f>
        <v>-68698.512925055737</v>
      </c>
      <c r="S366" s="96">
        <f>S365+U365*Tableau!$G$2</f>
        <v>33800.880066336111</v>
      </c>
      <c r="T366" s="96">
        <f t="shared" si="10"/>
        <v>6.0136016081703651E-3</v>
      </c>
      <c r="U366" s="96">
        <f t="shared" si="11"/>
        <v>-2.9476785747984541E-3</v>
      </c>
      <c r="V366" s="96">
        <f>((Tableau!$G$16-P366)/(AC366^2+Tableau!$G$21^2)^(3/2))*Tableau!$G$20</f>
        <v>2.5639816901401901E-3</v>
      </c>
      <c r="W366" s="96">
        <f>((Tableau!$H$16-Q366)/(AC366^2+Tableau!$G$21^2)^(3/2))*Tableau!$G$20</f>
        <v>-1.2531261510334015E-3</v>
      </c>
      <c r="X366" s="96">
        <f>((Tableau!$G$25-P366)/(AD366^2+Tableau!$G$30^2)^(3/2))*Tableau!$G$29</f>
        <v>8.8378287309509075E-4</v>
      </c>
      <c r="Y366" s="96">
        <f>((Tableau!$H$25-Q366)/(AD366^2+Tableau!$G$30^2)^(3/2))*Tableau!$G$29</f>
        <v>-4.3318429865554683E-4</v>
      </c>
      <c r="Z366" s="96">
        <f>((Tableau!$G$35-P366)/(AE366^2+Tableau!$G$40^2)^(3/2))*Tableau!$G$39</f>
        <v>2.5658370449350844E-3</v>
      </c>
      <c r="AA366" s="97">
        <f>((Tableau!$H$35-Q366)/(AE366^2+Tableau!$G$40^2)^(3/2))*Tableau!$G$39</f>
        <v>-1.2613681251095056E-3</v>
      </c>
      <c r="AC366" s="110">
        <f>SQRT((Tableau!$G$16-P366)^2+(Tableau!$H$16-Q366)^2)</f>
        <v>13545202.655528173</v>
      </c>
      <c r="AD366" s="111">
        <f>SQRT((Tableau!$G$25-P366)^2+(Tableau!$H$25-Q366)^2)</f>
        <v>13508176.127565527</v>
      </c>
      <c r="AE366" s="112">
        <f>SQRT((Tableau!$G$35-P366)^2+(Tableau!$H$35-Q366)^2)</f>
        <v>13532657.531104976</v>
      </c>
    </row>
    <row r="367" spans="2:31" x14ac:dyDescent="0.25">
      <c r="B367" s="18">
        <v>364</v>
      </c>
      <c r="C367" s="19">
        <f>Tableau!$G$17*COS(B367*PI()/180)+Tableau!$G$16</f>
        <v>24987.820251299123</v>
      </c>
      <c r="D367" s="19">
        <f>Tableau!$G$17*SIN(B367*PI()/180)+Tableau!$H$16</f>
        <v>7848.7823687206255</v>
      </c>
      <c r="F367" s="26">
        <v>364</v>
      </c>
      <c r="G367" s="27">
        <f>Tableau!$G$26*COS(F367*PI()/180)+Tableau!$G$25</f>
        <v>-16508.525824090615</v>
      </c>
      <c r="H367" s="27">
        <f>Tableau!$G$26*SIN(F367*PI()/180)+Tableau!$H$25</f>
        <v>10244.147658104437</v>
      </c>
      <c r="J367" s="34">
        <v>364</v>
      </c>
      <c r="K367" s="35">
        <f>Tableau!$G$36*COS(J367*PI()/180)+Tableau!$G$35</f>
        <v>-12.179748700878008</v>
      </c>
      <c r="L367" s="35">
        <f>Tableau!$G$36*SIN(J367*PI()/180)+Tableau!$H$35</f>
        <v>-14651.217631279374</v>
      </c>
      <c r="N367" s="98">
        <v>363</v>
      </c>
      <c r="O367" s="99">
        <v>181.5</v>
      </c>
      <c r="P367" s="101">
        <f>P366+R366*Tableau!$G$2+((1/2)*T366)*Tableau!$G$2^2</f>
        <v>-12183851.592232151</v>
      </c>
      <c r="Q367" s="101">
        <f>Q366+S366*Tableau!$G$2+((1/2)*U366)*Tableau!$G$2^2</f>
        <v>5972150.2545719808</v>
      </c>
      <c r="R367" s="101">
        <f>R366+T366*Tableau!$G$2</f>
        <v>-68698.509918254931</v>
      </c>
      <c r="S367" s="101">
        <f>S366+U366*Tableau!$G$2</f>
        <v>33800.878592496825</v>
      </c>
      <c r="T367" s="101">
        <f t="shared" si="10"/>
        <v>5.9797144319071929E-3</v>
      </c>
      <c r="U367" s="101">
        <f t="shared" si="11"/>
        <v>-2.9310992805081284E-3</v>
      </c>
      <c r="V367" s="101">
        <f>((Tableau!$G$16-P367)/(AC367^2+Tableau!$G$21^2)^(3/2))*Tableau!$G$20</f>
        <v>2.5495408944984331E-3</v>
      </c>
      <c r="W367" s="101">
        <f>((Tableau!$H$16-Q367)/(AC367^2+Tableau!$G$21^2)^(3/2))*Tableau!$G$20</f>
        <v>-1.2460918285085677E-3</v>
      </c>
      <c r="X367" s="101">
        <f>((Tableau!$G$25-P367)/(AD367^2+Tableau!$G$30^2)^(3/2))*Tableau!$G$29</f>
        <v>8.7879302603765554E-4</v>
      </c>
      <c r="Y367" s="101">
        <f>((Tableau!$H$25-Q367)/(AD367^2+Tableau!$G$30^2)^(3/2))*Tableau!$G$29</f>
        <v>-4.3074317572671121E-4</v>
      </c>
      <c r="Z367" s="101">
        <f>((Tableau!$G$35-P367)/(AE367^2+Tableau!$G$40^2)^(3/2))*Tableau!$G$39</f>
        <v>2.5513805113711045E-3</v>
      </c>
      <c r="AA367" s="102">
        <f>((Tableau!$H$35-Q367)/(AE367^2+Tableau!$G$40^2)^(3/2))*Tableau!$G$39</f>
        <v>-1.2542642762728496E-3</v>
      </c>
      <c r="AC367" s="113">
        <f>SQRT((Tableau!$G$16-P367)^2+(Tableau!$H$16-Q367)^2)</f>
        <v>13583484.322683662</v>
      </c>
      <c r="AD367" s="114">
        <f>SQRT((Tableau!$G$25-P367)^2+(Tableau!$H$25-Q367)^2)</f>
        <v>13546457.884478193</v>
      </c>
      <c r="AE367" s="115">
        <f>SQRT((Tableau!$G$35-P367)^2+(Tableau!$H$35-Q367)^2)</f>
        <v>13570939.329185616</v>
      </c>
    </row>
    <row r="368" spans="2:31" x14ac:dyDescent="0.25">
      <c r="B368" s="20">
        <v>365</v>
      </c>
      <c r="C368" s="21">
        <f>Tableau!$G$17*COS(B368*PI()/180)+Tableau!$G$16</f>
        <v>24980.973490458728</v>
      </c>
      <c r="D368" s="21">
        <f>Tableau!$G$17*SIN(B368*PI()/180)+Tableau!$H$16</f>
        <v>7935.7787137382938</v>
      </c>
      <c r="F368" s="28">
        <v>365</v>
      </c>
      <c r="G368" s="29">
        <f>Tableau!$G$26*COS(F368*PI()/180)+Tableau!$G$25</f>
        <v>-16513.318556678892</v>
      </c>
      <c r="H368" s="29">
        <f>Tableau!$G$26*SIN(F368*PI()/180)+Tableau!$H$25</f>
        <v>10305.045099616806</v>
      </c>
      <c r="J368" s="36">
        <v>365</v>
      </c>
      <c r="K368" s="37">
        <f>Tableau!$G$36*COS(J368*PI()/180)+Tableau!$G$35</f>
        <v>-19.026509541272389</v>
      </c>
      <c r="L368" s="37">
        <f>Tableau!$G$36*SIN(J368*PI()/180)+Tableau!$H$35</f>
        <v>-14564.221286261707</v>
      </c>
      <c r="N368" s="92">
        <v>364</v>
      </c>
      <c r="O368" s="93">
        <v>182</v>
      </c>
      <c r="P368" s="96">
        <f>P367+R367*Tableau!$G$2+((1/2)*T367)*Tableau!$G$2^2</f>
        <v>-12218200.846443813</v>
      </c>
      <c r="Q368" s="96">
        <f>Q367+S367*Tableau!$G$2+((1/2)*U367)*Tableau!$G$2^2</f>
        <v>5989050.6935018422</v>
      </c>
      <c r="R368" s="96">
        <f>R367+T367*Tableau!$G$2</f>
        <v>-68698.506928397721</v>
      </c>
      <c r="S368" s="96">
        <f>S367+U367*Tableau!$G$2</f>
        <v>33800.877126947184</v>
      </c>
      <c r="T368" s="96">
        <f t="shared" si="10"/>
        <v>5.9461128876482231E-3</v>
      </c>
      <c r="U368" s="96">
        <f t="shared" si="11"/>
        <v>-2.9146594702729551E-3</v>
      </c>
      <c r="V368" s="96">
        <f>((Tableau!$G$16-P368)/(AC368^2+Tableau!$G$21^2)^(3/2))*Tableau!$G$20</f>
        <v>2.5352217559836952E-3</v>
      </c>
      <c r="W368" s="96">
        <f>((Tableau!$H$16-Q368)/(AC368^2+Tableau!$G$21^2)^(3/2))*Tableau!$G$20</f>
        <v>-1.2391165697441353E-3</v>
      </c>
      <c r="X368" s="96">
        <f>((Tableau!$G$25-P368)/(AD368^2+Tableau!$G$30^2)^(3/2))*Tableau!$G$29</f>
        <v>8.7384531924318651E-4</v>
      </c>
      <c r="Y368" s="96">
        <f>((Tableau!$H$25-Q368)/(AD368^2+Tableau!$G$30^2)^(3/2))*Tableau!$G$29</f>
        <v>-4.2832262952593612E-4</v>
      </c>
      <c r="Z368" s="96">
        <f>((Tableau!$G$35-P368)/(AE368^2+Tableau!$G$40^2)^(3/2))*Tableau!$G$39</f>
        <v>2.5370458124213415E-3</v>
      </c>
      <c r="AA368" s="97">
        <f>((Tableau!$H$35-Q368)/(AE368^2+Tableau!$G$40^2)^(3/2))*Tableau!$G$39</f>
        <v>-1.2472202710028836E-3</v>
      </c>
      <c r="AC368" s="110">
        <f>SQRT((Tableau!$G$16-P368)^2+(Tableau!$H$16-Q368)^2)</f>
        <v>13621765.988917531</v>
      </c>
      <c r="AD368" s="111">
        <f>SQRT((Tableau!$G$25-P368)^2+(Tableau!$H$25-Q368)^2)</f>
        <v>13584739.639965406</v>
      </c>
      <c r="AE368" s="112">
        <f>SQRT((Tableau!$G$35-P368)^2+(Tableau!$H$35-Q368)^2)</f>
        <v>13609221.125608761</v>
      </c>
    </row>
    <row r="369" spans="2:31" x14ac:dyDescent="0.25">
      <c r="B369" s="18">
        <v>366</v>
      </c>
      <c r="C369" s="19">
        <f>Tableau!$G$17*COS(B369*PI()/180)+Tableau!$G$16</f>
        <v>24972.609476841368</v>
      </c>
      <c r="D369" s="19">
        <f>Tableau!$G$17*SIN(B369*PI()/180)+Tableau!$H$16</f>
        <v>8022.6423163382642</v>
      </c>
      <c r="F369" s="26">
        <v>366</v>
      </c>
      <c r="G369" s="27">
        <f>Tableau!$G$26*COS(F369*PI()/180)+Tableau!$G$25</f>
        <v>-16519.173366211042</v>
      </c>
      <c r="H369" s="27">
        <f>Tableau!$G$26*SIN(F369*PI()/180)+Tableau!$H$25</f>
        <v>10365.849621436786</v>
      </c>
      <c r="J369" s="34">
        <v>366</v>
      </c>
      <c r="K369" s="35">
        <f>Tableau!$G$36*COS(J369*PI()/180)+Tableau!$G$35</f>
        <v>-27.390523158633187</v>
      </c>
      <c r="L369" s="35">
        <f>Tableau!$G$36*SIN(J369*PI()/180)+Tableau!$H$35</f>
        <v>-14477.357683661736</v>
      </c>
      <c r="N369" s="98">
        <v>365</v>
      </c>
      <c r="O369" s="99">
        <v>182.5</v>
      </c>
      <c r="P369" s="101">
        <f>P368+R368*Tableau!$G$2+((1/2)*T368)*Tableau!$G$2^2</f>
        <v>-12252550.099164749</v>
      </c>
      <c r="Q369" s="101">
        <f>Q368+S368*Tableau!$G$2+((1/2)*U368)*Tableau!$G$2^2</f>
        <v>6005951.1317009833</v>
      </c>
      <c r="R369" s="101">
        <f>R368+T368*Tableau!$G$2</f>
        <v>-68698.503955341279</v>
      </c>
      <c r="S369" s="101">
        <f>S368+U368*Tableau!$G$2</f>
        <v>33800.875669617446</v>
      </c>
      <c r="T369" s="101">
        <f t="shared" si="10"/>
        <v>5.9127937742917865E-3</v>
      </c>
      <c r="U369" s="101">
        <f t="shared" si="11"/>
        <v>-2.8983575838003465E-3</v>
      </c>
      <c r="V369" s="101">
        <f>((Tableau!$G$16-P369)/(AC369^2+Tableau!$G$21^2)^(3/2))*Tableau!$G$20</f>
        <v>2.5210229118823339E-3</v>
      </c>
      <c r="W369" s="101">
        <f>((Tableau!$H$16-Q369)/(AC369^2+Tableau!$G$21^2)^(3/2))*Tableau!$G$20</f>
        <v>-1.2321997153512446E-3</v>
      </c>
      <c r="X369" s="101">
        <f>((Tableau!$G$25-P369)/(AD369^2+Tableau!$G$30^2)^(3/2))*Tableau!$G$29</f>
        <v>8.6893927953214829E-4</v>
      </c>
      <c r="Y369" s="101">
        <f>((Tableau!$H$25-Q369)/(AD369^2+Tableau!$G$30^2)^(3/2))*Tableau!$G$29</f>
        <v>-4.2592242944060972E-4</v>
      </c>
      <c r="Z369" s="101">
        <f>((Tableau!$G$35-P369)/(AE369^2+Tableau!$G$40^2)^(3/2))*Tableau!$G$39</f>
        <v>2.5228315828773047E-3</v>
      </c>
      <c r="AA369" s="102">
        <f>((Tableau!$H$35-Q369)/(AE369^2+Tableau!$G$40^2)^(3/2))*Tableau!$G$39</f>
        <v>-1.240235439008492E-3</v>
      </c>
      <c r="AC369" s="113">
        <f>SQRT((Tableau!$G$16-P369)^2+(Tableau!$H$16-Q369)^2)</f>
        <v>13660047.654232891</v>
      </c>
      <c r="AD369" s="114">
        <f>SQRT((Tableau!$G$25-P369)^2+(Tableau!$H$25-Q369)^2)</f>
        <v>13623021.394034505</v>
      </c>
      <c r="AE369" s="115">
        <f>SQRT((Tableau!$G$35-P369)^2+(Tableau!$H$35-Q369)^2)</f>
        <v>13647502.920383707</v>
      </c>
    </row>
    <row r="370" spans="2:31" x14ac:dyDescent="0.25">
      <c r="B370" s="20">
        <v>367</v>
      </c>
      <c r="C370" s="21">
        <f>Tableau!$G$17*COS(B370*PI()/180)+Tableau!$G$16</f>
        <v>24962.73075820661</v>
      </c>
      <c r="D370" s="21">
        <f>Tableau!$G$17*SIN(B370*PI()/180)+Tableau!$H$16</f>
        <v>8109.3467170257381</v>
      </c>
      <c r="F370" s="28">
        <v>367</v>
      </c>
      <c r="G370" s="29">
        <f>Tableau!$G$26*COS(F370*PI()/180)+Tableau!$G$25</f>
        <v>-16526.088469255374</v>
      </c>
      <c r="H370" s="29">
        <f>Tableau!$G$26*SIN(F370*PI()/180)+Tableau!$H$25</f>
        <v>10426.542701918017</v>
      </c>
      <c r="J370" s="36">
        <v>367</v>
      </c>
      <c r="K370" s="37">
        <f>Tableau!$G$36*COS(J370*PI()/180)+Tableau!$G$35</f>
        <v>-37.269241793390393</v>
      </c>
      <c r="L370" s="37">
        <f>Tableau!$G$36*SIN(J370*PI()/180)+Tableau!$H$35</f>
        <v>-14390.653282974261</v>
      </c>
      <c r="N370" s="92">
        <v>366</v>
      </c>
      <c r="O370" s="93">
        <v>183</v>
      </c>
      <c r="P370" s="96">
        <f>P369+R369*Tableau!$G$2+((1/2)*T369)*Tableau!$G$2^2</f>
        <v>-12286899.35040332</v>
      </c>
      <c r="Q370" s="96">
        <f>Q369+S369*Tableau!$G$2+((1/2)*U369)*Tableau!$G$2^2</f>
        <v>6022851.5691734971</v>
      </c>
      <c r="R370" s="96">
        <f>R369+T369*Tableau!$G$2</f>
        <v>-68698.500998944393</v>
      </c>
      <c r="S370" s="96">
        <f>S369+U369*Tableau!$G$2</f>
        <v>33800.874220438651</v>
      </c>
      <c r="T370" s="96">
        <f t="shared" si="10"/>
        <v>5.8797539354549216E-3</v>
      </c>
      <c r="U370" s="96">
        <f t="shared" si="11"/>
        <v>-2.8821920825540916E-3</v>
      </c>
      <c r="V370" s="96">
        <f>((Tableau!$G$16-P370)/(AC370^2+Tableau!$G$21^2)^(3/2))*Tableau!$G$20</f>
        <v>2.506943018507716E-3</v>
      </c>
      <c r="W370" s="96">
        <f>((Tableau!$H$16-Q370)/(AC370^2+Tableau!$G$21^2)^(3/2))*Tableau!$G$20</f>
        <v>-1.2253406151172212E-3</v>
      </c>
      <c r="X370" s="96">
        <f>((Tableau!$G$25-P370)/(AD370^2+Tableau!$G$30^2)^(3/2))*Tableau!$G$29</f>
        <v>8.640744403478921E-4</v>
      </c>
      <c r="Y370" s="96">
        <f>((Tableau!$H$25-Q370)/(AD370^2+Tableau!$G$30^2)^(3/2))*Tableau!$G$29</f>
        <v>-4.2354234807981129E-4</v>
      </c>
      <c r="Z370" s="96">
        <f>((Tableau!$G$35-P370)/(AE370^2+Tableau!$G$40^2)^(3/2))*Tableau!$G$39</f>
        <v>2.5087364765993131E-3</v>
      </c>
      <c r="AA370" s="97">
        <f>((Tableau!$H$35-Q370)/(AE370^2+Tableau!$G$40^2)^(3/2))*Tableau!$G$39</f>
        <v>-1.2333091193570591E-3</v>
      </c>
      <c r="AC370" s="110">
        <f>SQRT((Tableau!$G$16-P370)^2+(Tableau!$H$16-Q370)^2)</f>
        <v>13698329.318632828</v>
      </c>
      <c r="AD370" s="111">
        <f>SQRT((Tableau!$G$25-P370)^2+(Tableau!$H$25-Q370)^2)</f>
        <v>13661303.146692764</v>
      </c>
      <c r="AE370" s="112">
        <f>SQRT((Tableau!$G$35-P370)^2+(Tableau!$H$35-Q370)^2)</f>
        <v>13685784.713519659</v>
      </c>
    </row>
    <row r="371" spans="2:31" x14ac:dyDescent="0.25">
      <c r="B371" s="18">
        <v>368</v>
      </c>
      <c r="C371" s="19">
        <f>Tableau!$G$17*COS(B371*PI()/180)+Tableau!$G$16</f>
        <v>24951.340343707852</v>
      </c>
      <c r="D371" s="19">
        <f>Tableau!$G$17*SIN(B371*PI()/180)+Tableau!$H$16</f>
        <v>8195.865504800322</v>
      </c>
      <c r="F371" s="26">
        <v>368</v>
      </c>
      <c r="G371" s="27">
        <f>Tableau!$G$26*COS(F371*PI()/180)+Tableau!$G$25</f>
        <v>-16534.061759404503</v>
      </c>
      <c r="H371" s="27">
        <f>Tableau!$G$26*SIN(F371*PI()/180)+Tableau!$H$25</f>
        <v>10487.105853360226</v>
      </c>
      <c r="J371" s="34">
        <v>368</v>
      </c>
      <c r="K371" s="35">
        <f>Tableau!$G$36*COS(J371*PI()/180)+Tableau!$G$35</f>
        <v>-48.659656292147702</v>
      </c>
      <c r="L371" s="35">
        <f>Tableau!$G$36*SIN(J371*PI()/180)+Tableau!$H$35</f>
        <v>-14304.134495199678</v>
      </c>
      <c r="N371" s="98">
        <v>367</v>
      </c>
      <c r="O371" s="99">
        <v>183.5</v>
      </c>
      <c r="P371" s="101">
        <f>P370+R370*Tableau!$G$2+((1/2)*T370)*Tableau!$G$2^2</f>
        <v>-12321248.600167822</v>
      </c>
      <c r="Q371" s="101">
        <f>Q370+S370*Tableau!$G$2+((1/2)*U370)*Tableau!$G$2^2</f>
        <v>6039752.0059234425</v>
      </c>
      <c r="R371" s="101">
        <f>R370+T370*Tableau!$G$2</f>
        <v>-68698.498059067424</v>
      </c>
      <c r="S371" s="101">
        <f>S370+U370*Tableau!$G$2</f>
        <v>33800.872779342608</v>
      </c>
      <c r="T371" s="101">
        <f t="shared" si="10"/>
        <v>5.8469902587254914E-3</v>
      </c>
      <c r="U371" s="101">
        <f t="shared" si="11"/>
        <v>-2.8661614493911726E-3</v>
      </c>
      <c r="V371" s="101">
        <f>((Tableau!$G$16-P371)/(AC371^2+Tableau!$G$21^2)^(3/2))*Tableau!$G$20</f>
        <v>2.4929807508820116E-3</v>
      </c>
      <c r="W371" s="101">
        <f>((Tableau!$H$16-Q371)/(AC371^2+Tableau!$G$21^2)^(3/2))*Tableau!$G$20</f>
        <v>-1.2185386278526183E-3</v>
      </c>
      <c r="X371" s="101">
        <f>((Tableau!$G$25-P371)/(AD371^2+Tableau!$G$30^2)^(3/2))*Tableau!$G$29</f>
        <v>8.5925034164574955E-4</v>
      </c>
      <c r="Y371" s="101">
        <f>((Tableau!$H$25-Q371)/(AD371^2+Tableau!$G$30^2)^(3/2))*Tableau!$G$29</f>
        <v>-4.211821612204616E-4</v>
      </c>
      <c r="Z371" s="101">
        <f>((Tableau!$G$35-P371)/(AE371^2+Tableau!$G$40^2)^(3/2))*Tableau!$G$39</f>
        <v>2.4947591661977301E-3</v>
      </c>
      <c r="AA371" s="102">
        <f>((Tableau!$H$35-Q371)/(AE371^2+Tableau!$G$40^2)^(3/2))*Tableau!$G$39</f>
        <v>-1.2264406603180924E-3</v>
      </c>
      <c r="AC371" s="113">
        <f>SQRT((Tableau!$G$16-P371)^2+(Tableau!$H$16-Q371)^2)</f>
        <v>13736610.98212043</v>
      </c>
      <c r="AD371" s="114">
        <f>SQRT((Tableau!$G$25-P371)^2+(Tableau!$H$25-Q371)^2)</f>
        <v>13699584.897947405</v>
      </c>
      <c r="AE371" s="115">
        <f>SQRT((Tableau!$G$35-P371)^2+(Tableau!$H$35-Q371)^2)</f>
        <v>13724066.505025754</v>
      </c>
    </row>
    <row r="372" spans="2:31" x14ac:dyDescent="0.25">
      <c r="B372" s="20">
        <v>369</v>
      </c>
      <c r="C372" s="21">
        <f>Tableau!$G$17*COS(B372*PI()/180)+Tableau!$G$16</f>
        <v>24938.441702975688</v>
      </c>
      <c r="D372" s="21">
        <f>Tableau!$G$17*SIN(B372*PI()/180)+Tableau!$H$16</f>
        <v>8282.1723252011525</v>
      </c>
      <c r="F372" s="28">
        <v>369</v>
      </c>
      <c r="G372" s="29">
        <f>Tableau!$G$26*COS(F372*PI()/180)+Tableau!$G$25</f>
        <v>-16543.090807917019</v>
      </c>
      <c r="H372" s="29">
        <f>Tableau!$G$26*SIN(F372*PI()/180)+Tableau!$H$25</f>
        <v>10547.520627640808</v>
      </c>
      <c r="J372" s="36">
        <v>369</v>
      </c>
      <c r="K372" s="37">
        <f>Tableau!$G$36*COS(J372*PI()/180)+Tableau!$G$35</f>
        <v>-61.558297024311287</v>
      </c>
      <c r="L372" s="37">
        <f>Tableau!$G$36*SIN(J372*PI()/180)+Tableau!$H$35</f>
        <v>-14217.827674798848</v>
      </c>
      <c r="N372" s="92">
        <v>368</v>
      </c>
      <c r="O372" s="93">
        <v>184</v>
      </c>
      <c r="P372" s="96">
        <f>P371+R371*Tableau!$G$2+((1/2)*T371)*Tableau!$G$2^2</f>
        <v>-12355597.848466482</v>
      </c>
      <c r="Q372" s="96">
        <f>Q371+S371*Tableau!$G$2+((1/2)*U371)*Tableau!$G$2^2</f>
        <v>6056652.4419548437</v>
      </c>
      <c r="R372" s="96">
        <f>R371+T371*Tableau!$G$2</f>
        <v>-68698.495135572288</v>
      </c>
      <c r="S372" s="96">
        <f>S371+U371*Tableau!$G$2</f>
        <v>33800.871346261883</v>
      </c>
      <c r="T372" s="96">
        <f t="shared" si="10"/>
        <v>5.8144996749293354E-3</v>
      </c>
      <c r="U372" s="96">
        <f t="shared" si="11"/>
        <v>-2.8502641882058688E-3</v>
      </c>
      <c r="V372" s="96">
        <f>((Tableau!$G$16-P372)/(AC372^2+Tableau!$G$21^2)^(3/2))*Tableau!$G$20</f>
        <v>2.4791348024246554E-3</v>
      </c>
      <c r="W372" s="96">
        <f>((Tableau!$H$16-Q372)/(AC372^2+Tableau!$G$21^2)^(3/2))*Tableau!$G$20</f>
        <v>-1.2117931212414638E-3</v>
      </c>
      <c r="X372" s="96">
        <f>((Tableau!$G$25-P372)/(AD372^2+Tableau!$G$30^2)^(3/2))*Tableau!$G$29</f>
        <v>8.5446652978420263E-4</v>
      </c>
      <c r="Y372" s="96">
        <f>((Tableau!$H$25-Q372)/(AD372^2+Tableau!$G$30^2)^(3/2))*Tableau!$G$29</f>
        <v>-4.188416477544809E-4</v>
      </c>
      <c r="Z372" s="96">
        <f>((Tableau!$G$35-P372)/(AE372^2+Tableau!$G$40^2)^(3/2))*Tableau!$G$39</f>
        <v>2.4808983427204779E-3</v>
      </c>
      <c r="AA372" s="97">
        <f>((Tableau!$H$35-Q372)/(AE372^2+Tableau!$G$40^2)^(3/2))*Tableau!$G$39</f>
        <v>-1.219629419209924E-3</v>
      </c>
      <c r="AC372" s="110">
        <f>SQRT((Tableau!$G$16-P372)^2+(Tableau!$H$16-Q372)^2)</f>
        <v>13774892.644698776</v>
      </c>
      <c r="AD372" s="111">
        <f>SQRT((Tableau!$G$25-P372)^2+(Tableau!$H$25-Q372)^2)</f>
        <v>13737866.647805596</v>
      </c>
      <c r="AE372" s="112">
        <f>SQRT((Tableau!$G$35-P372)^2+(Tableau!$H$35-Q372)^2)</f>
        <v>13762348.294911051</v>
      </c>
    </row>
    <row r="373" spans="2:31" x14ac:dyDescent="0.25">
      <c r="B373" s="18">
        <v>370</v>
      </c>
      <c r="C373" s="19">
        <f>Tableau!$G$17*COS(B373*PI()/180)+Tableau!$G$16</f>
        <v>24924.038765061043</v>
      </c>
      <c r="D373" s="19">
        <f>Tableau!$G$17*SIN(B373*PI()/180)+Tableau!$H$16</f>
        <v>8368.2408883346488</v>
      </c>
      <c r="F373" s="26">
        <v>370</v>
      </c>
      <c r="G373" s="27">
        <f>Tableau!$G$26*COS(F373*PI()/180)+Tableau!$G$25</f>
        <v>-16553.172864457272</v>
      </c>
      <c r="H373" s="27">
        <f>Tableau!$G$26*SIN(F373*PI()/180)+Tableau!$H$25</f>
        <v>10607.768621834255</v>
      </c>
      <c r="J373" s="34">
        <v>370</v>
      </c>
      <c r="K373" s="35">
        <f>Tableau!$G$36*COS(J373*PI()/180)+Tableau!$G$35</f>
        <v>-75.961234938959024</v>
      </c>
      <c r="L373" s="35">
        <f>Tableau!$G$36*SIN(J373*PI()/180)+Tableau!$H$35</f>
        <v>-14131.759111665351</v>
      </c>
      <c r="N373" s="98">
        <v>369</v>
      </c>
      <c r="O373" s="99">
        <v>184.5</v>
      </c>
      <c r="P373" s="101">
        <f>P372+R372*Tableau!$G$2+((1/2)*T372)*Tableau!$G$2^2</f>
        <v>-12389947.095307456</v>
      </c>
      <c r="Q373" s="101">
        <f>Q372+S372*Tableau!$G$2+((1/2)*U372)*Tableau!$G$2^2</f>
        <v>6073552.8772716913</v>
      </c>
      <c r="R373" s="101">
        <f>R372+T372*Tableau!$G$2</f>
        <v>-68698.492228322444</v>
      </c>
      <c r="S373" s="101">
        <f>S372+U372*Tableau!$G$2</f>
        <v>33800.869921129786</v>
      </c>
      <c r="T373" s="101">
        <f t="shared" si="10"/>
        <v>5.7822791574114948E-3</v>
      </c>
      <c r="U373" s="101">
        <f t="shared" si="11"/>
        <v>-2.834498823580691E-3</v>
      </c>
      <c r="V373" s="101">
        <f>((Tableau!$G$16-P373)/(AC373^2+Tableau!$G$21^2)^(3/2))*Tableau!$G$20</f>
        <v>2.4654038846465792E-3</v>
      </c>
      <c r="W373" s="101">
        <f>((Tableau!$H$16-Q373)/(AC373^2+Tableau!$G$21^2)^(3/2))*Tableau!$G$20</f>
        <v>-1.205103471694266E-3</v>
      </c>
      <c r="X373" s="101">
        <f>((Tableau!$G$25-P373)/(AD373^2+Tableau!$G$30^2)^(3/2))*Tableau!$G$29</f>
        <v>8.4972255741834002E-4</v>
      </c>
      <c r="Y373" s="101">
        <f>((Tableau!$H$25-Q373)/(AD373^2+Tableau!$G$30^2)^(3/2))*Tableau!$G$29</f>
        <v>-4.1652058963705487E-4</v>
      </c>
      <c r="Z373" s="101">
        <f>((Tableau!$G$35-P373)/(AE373^2+Tableau!$G$40^2)^(3/2))*Tableau!$G$39</f>
        <v>2.467152715346576E-3</v>
      </c>
      <c r="AA373" s="102">
        <f>((Tableau!$H$35-Q373)/(AE373^2+Tableau!$G$40^2)^(3/2))*Tableau!$G$39</f>
        <v>-1.2128747622493702E-3</v>
      </c>
      <c r="AC373" s="113">
        <f>SQRT((Tableau!$G$16-P373)^2+(Tableau!$H$16-Q373)^2)</f>
        <v>13813174.306370934</v>
      </c>
      <c r="AD373" s="114">
        <f>SQRT((Tableau!$G$25-P373)^2+(Tableau!$H$25-Q373)^2)</f>
        <v>13776148.396274453</v>
      </c>
      <c r="AE373" s="115">
        <f>SQRT((Tableau!$G$35-P373)^2+(Tableau!$H$35-Q373)^2)</f>
        <v>13800630.083184535</v>
      </c>
    </row>
    <row r="374" spans="2:31" x14ac:dyDescent="0.25">
      <c r="B374" s="20">
        <v>371</v>
      </c>
      <c r="C374" s="21">
        <f>Tableau!$G$17*COS(B374*PI()/180)+Tableau!$G$16</f>
        <v>24908.13591723832</v>
      </c>
      <c r="D374" s="21">
        <f>Tableau!$G$17*SIN(B374*PI()/180)+Tableau!$H$16</f>
        <v>8454.0449768827257</v>
      </c>
      <c r="F374" s="28">
        <v>371</v>
      </c>
      <c r="G374" s="29">
        <f>Tableau!$G$26*COS(F374*PI()/180)+Tableau!$G$25</f>
        <v>-16564.304857933177</v>
      </c>
      <c r="H374" s="29">
        <f>Tableau!$G$26*SIN(F374*PI()/180)+Tableau!$H$25</f>
        <v>10667.831483817909</v>
      </c>
      <c r="J374" s="36">
        <v>371</v>
      </c>
      <c r="K374" s="37">
        <f>Tableau!$G$36*COS(J374*PI()/180)+Tableau!$G$35</f>
        <v>-91.864082761680947</v>
      </c>
      <c r="L374" s="37">
        <f>Tableau!$G$36*SIN(J374*PI()/180)+Tableau!$H$35</f>
        <v>-14045.955023117274</v>
      </c>
      <c r="N374" s="92">
        <v>370</v>
      </c>
      <c r="O374" s="93">
        <v>185</v>
      </c>
      <c r="P374" s="96">
        <f>P373+R373*Tableau!$G$2+((1/2)*T373)*Tableau!$G$2^2</f>
        <v>-12424296.340698833</v>
      </c>
      <c r="Q374" s="96">
        <f>Q373+S373*Tableau!$G$2+((1/2)*U373)*Tableau!$G$2^2</f>
        <v>6090453.3118779436</v>
      </c>
      <c r="R374" s="96">
        <f>R373+T373*Tableau!$G$2</f>
        <v>-68698.489337182866</v>
      </c>
      <c r="S374" s="96">
        <f>S373+U373*Tableau!$G$2</f>
        <v>33800.868503880374</v>
      </c>
      <c r="T374" s="96">
        <f t="shared" si="10"/>
        <v>5.7503257213311499E-3</v>
      </c>
      <c r="U374" s="96">
        <f t="shared" si="11"/>
        <v>-2.8188639004439525E-3</v>
      </c>
      <c r="V374" s="96">
        <f>((Tableau!$G$16-P374)/(AC374^2+Tableau!$G$21^2)^(3/2))*Tableau!$G$20</f>
        <v>2.4517867268504375E-3</v>
      </c>
      <c r="W374" s="96">
        <f>((Tableau!$H$16-Q374)/(AC374^2+Tableau!$G$21^2)^(3/2))*Tableau!$G$20</f>
        <v>-1.1984690642038922E-3</v>
      </c>
      <c r="X374" s="96">
        <f>((Tableau!$G$25-P374)/(AD374^2+Tableau!$G$30^2)^(3/2))*Tableau!$G$29</f>
        <v>8.4501798339519046E-4</v>
      </c>
      <c r="Y374" s="96">
        <f>((Tableau!$H$25-Q374)/(AD374^2+Tableau!$G$30^2)^(3/2))*Tableau!$G$29</f>
        <v>-4.1421877183581038E-4</v>
      </c>
      <c r="Z374" s="96">
        <f>((Tableau!$G$35-P374)/(AE374^2+Tableau!$G$40^2)^(3/2))*Tableau!$G$39</f>
        <v>2.4535210110855216E-3</v>
      </c>
      <c r="AA374" s="97">
        <f>((Tableau!$H$35-Q374)/(AE374^2+Tableau!$G$40^2)^(3/2))*Tableau!$G$39</f>
        <v>-1.2061760644042497E-3</v>
      </c>
      <c r="AC374" s="110">
        <f>SQRT((Tableau!$G$16-P374)^2+(Tableau!$H$16-Q374)^2)</f>
        <v>13851455.967139959</v>
      </c>
      <c r="AD374" s="111">
        <f>SQRT((Tableau!$G$25-P374)^2+(Tableau!$H$25-Q374)^2)</f>
        <v>13814430.14336103</v>
      </c>
      <c r="AE374" s="112">
        <f>SQRT((Tableau!$G$35-P374)^2+(Tableau!$H$35-Q374)^2)</f>
        <v>13838911.869855113</v>
      </c>
    </row>
    <row r="375" spans="2:31" x14ac:dyDescent="0.25">
      <c r="B375" s="18">
        <v>372</v>
      </c>
      <c r="C375" s="19">
        <f>Tableau!$G$17*COS(B375*PI()/180)+Tableau!$G$16</f>
        <v>24890.73800366903</v>
      </c>
      <c r="D375" s="19">
        <f>Tableau!$G$17*SIN(B375*PI()/180)+Tableau!$H$16</f>
        <v>8539.5584540887921</v>
      </c>
      <c r="F375" s="26">
        <v>372</v>
      </c>
      <c r="G375" s="27">
        <f>Tableau!$G$26*COS(F375*PI()/180)+Tableau!$G$25</f>
        <v>-16576.483397431679</v>
      </c>
      <c r="H375" s="27">
        <f>Tableau!$G$26*SIN(F375*PI()/180)+Tableau!$H$25</f>
        <v>10727.690917862155</v>
      </c>
      <c r="J375" s="34">
        <v>372</v>
      </c>
      <c r="K375" s="35">
        <f>Tableau!$G$36*COS(J375*PI()/180)+Tableau!$G$35</f>
        <v>-109.26199633097076</v>
      </c>
      <c r="L375" s="35">
        <f>Tableau!$G$36*SIN(J375*PI()/180)+Tableau!$H$35</f>
        <v>-13960.441545911208</v>
      </c>
      <c r="N375" s="98">
        <v>371</v>
      </c>
      <c r="O375" s="99">
        <v>185.5</v>
      </c>
      <c r="P375" s="101">
        <f>P374+R374*Tableau!$G$2+((1/2)*T374)*Tableau!$G$2^2</f>
        <v>-12458645.584648633</v>
      </c>
      <c r="Q375" s="101">
        <f>Q374+S374*Tableau!$G$2+((1/2)*U374)*Tableau!$G$2^2</f>
        <v>6107353.745777525</v>
      </c>
      <c r="R375" s="101">
        <f>R374+T374*Tableau!$G$2</f>
        <v>-68698.48646202001</v>
      </c>
      <c r="S375" s="101">
        <f>S374+U374*Tableau!$G$2</f>
        <v>33800.867094448426</v>
      </c>
      <c r="T375" s="101">
        <f t="shared" si="10"/>
        <v>5.718636422970518E-3</v>
      </c>
      <c r="U375" s="101">
        <f t="shared" si="11"/>
        <v>-2.8033579837341139E-3</v>
      </c>
      <c r="V375" s="101">
        <f>((Tableau!$G$16-P375)/(AC375^2+Tableau!$G$21^2)^(3/2))*Tableau!$G$20</f>
        <v>2.4382820758366642E-3</v>
      </c>
      <c r="W375" s="101">
        <f>((Tableau!$H$16-Q375)/(AC375^2+Tableau!$G$21^2)^(3/2))*Tableau!$G$20</f>
        <v>-1.1918892922042441E-3</v>
      </c>
      <c r="X375" s="101">
        <f>((Tableau!$G$25-P375)/(AD375^2+Tableau!$G$30^2)^(3/2))*Tableau!$G$29</f>
        <v>8.403523726511834E-4</v>
      </c>
      <c r="Y375" s="101">
        <f>((Tableau!$H$25-Q375)/(AD375^2+Tableau!$G$30^2)^(3/2))*Tableau!$G$29</f>
        <v>-4.1193598228102133E-4</v>
      </c>
      <c r="Z375" s="101">
        <f>((Tableau!$G$35-P375)/(AE375^2+Tableau!$G$40^2)^(3/2))*Tableau!$G$39</f>
        <v>2.4400019744826706E-3</v>
      </c>
      <c r="AA375" s="102">
        <f>((Tableau!$H$35-Q375)/(AE375^2+Tableau!$G$40^2)^(3/2))*Tableau!$G$39</f>
        <v>-1.1995327092488486E-3</v>
      </c>
      <c r="AC375" s="113">
        <f>SQRT((Tableau!$G$16-P375)^2+(Tableau!$H$16-Q375)^2)</f>
        <v>13889737.627008904</v>
      </c>
      <c r="AD375" s="114">
        <f>SQRT((Tableau!$G$25-P375)^2+(Tableau!$H$25-Q375)^2)</f>
        <v>13852711.88907234</v>
      </c>
      <c r="AE375" s="115">
        <f>SQRT((Tableau!$G$35-P375)^2+(Tableau!$H$35-Q375)^2)</f>
        <v>13877193.654931623</v>
      </c>
    </row>
    <row r="376" spans="2:31" x14ac:dyDescent="0.25">
      <c r="B376" s="20">
        <v>373</v>
      </c>
      <c r="C376" s="21">
        <f>Tableau!$G$17*COS(B376*PI()/180)+Tableau!$G$16</f>
        <v>24871.850323926177</v>
      </c>
      <c r="D376" s="21">
        <f>Tableau!$G$17*SIN(B376*PI()/180)+Tableau!$H$16</f>
        <v>8624.7552717193248</v>
      </c>
      <c r="F376" s="28">
        <v>373</v>
      </c>
      <c r="G376" s="29">
        <f>Tableau!$G$26*COS(F376*PI()/180)+Tableau!$G$25</f>
        <v>-16589.704773251677</v>
      </c>
      <c r="H376" s="29">
        <f>Tableau!$G$26*SIN(F376*PI()/180)+Tableau!$H$25</f>
        <v>10787.328690203527</v>
      </c>
      <c r="J376" s="36">
        <v>373</v>
      </c>
      <c r="K376" s="37">
        <f>Tableau!$G$36*COS(J376*PI()/180)+Tableau!$G$35</f>
        <v>-128.14967607382368</v>
      </c>
      <c r="L376" s="37">
        <f>Tableau!$G$36*SIN(J376*PI()/180)+Tableau!$H$35</f>
        <v>-13875.244728280675</v>
      </c>
      <c r="N376" s="92">
        <v>372</v>
      </c>
      <c r="O376" s="93">
        <v>186</v>
      </c>
      <c r="P376" s="96">
        <f>P375+R375*Tableau!$G$2+((1/2)*T375)*Tableau!$G$2^2</f>
        <v>-12492994.827164814</v>
      </c>
      <c r="Q376" s="96">
        <f>Q375+S375*Tableau!$G$2+((1/2)*U375)*Tableau!$G$2^2</f>
        <v>6124254.1789743295</v>
      </c>
      <c r="R376" s="96">
        <f>R375+T375*Tableau!$G$2</f>
        <v>-68698.483602701803</v>
      </c>
      <c r="S376" s="96">
        <f>S375+U375*Tableau!$G$2</f>
        <v>33800.865692769432</v>
      </c>
      <c r="T376" s="96">
        <f t="shared" si="10"/>
        <v>5.6872083590567722E-3</v>
      </c>
      <c r="U376" s="96">
        <f t="shared" si="11"/>
        <v>-2.7879796580704379E-3</v>
      </c>
      <c r="V376" s="96">
        <f>((Tableau!$G$16-P376)/(AC376^2+Tableau!$G$21^2)^(3/2))*Tableau!$G$20</f>
        <v>2.4248886956151428E-3</v>
      </c>
      <c r="W376" s="96">
        <f>((Tableau!$H$16-Q376)/(AC376^2+Tableau!$G$21^2)^(3/2))*Tableau!$G$20</f>
        <v>-1.1853635574316191E-3</v>
      </c>
      <c r="X376" s="96">
        <f>((Tableau!$G$25-P376)/(AD376^2+Tableau!$G$30^2)^(3/2))*Tableau!$G$29</f>
        <v>8.3572529611155948E-4</v>
      </c>
      <c r="Y376" s="96">
        <f>((Tableau!$H$25-Q376)/(AD376^2+Tableau!$G$30^2)^(3/2))*Tableau!$G$29</f>
        <v>-4.0967201181676093E-4</v>
      </c>
      <c r="Z376" s="96">
        <f>((Tableau!$G$35-P376)/(AE376^2+Tableau!$G$40^2)^(3/2))*Tableau!$G$39</f>
        <v>2.4265943673300698E-3</v>
      </c>
      <c r="AA376" s="97">
        <f>((Tableau!$H$35-Q376)/(AE376^2+Tableau!$G$40^2)^(3/2))*Tableau!$G$39</f>
        <v>-1.1929440888220578E-3</v>
      </c>
      <c r="AC376" s="110">
        <f>SQRT((Tableau!$G$16-P376)^2+(Tableau!$H$16-Q376)^2)</f>
        <v>13928019.285980808</v>
      </c>
      <c r="AD376" s="111">
        <f>SQRT((Tableau!$G$25-P376)^2+(Tableau!$H$25-Q376)^2)</f>
        <v>13890993.633415332</v>
      </c>
      <c r="AE376" s="112">
        <f>SQRT((Tableau!$G$35-P376)^2+(Tableau!$H$35-Q376)^2)</f>
        <v>13915475.438422825</v>
      </c>
    </row>
    <row r="377" spans="2:31" x14ac:dyDescent="0.25">
      <c r="B377" s="18">
        <v>374</v>
      </c>
      <c r="C377" s="19">
        <f>Tableau!$G$17*COS(B377*PI()/180)+Tableau!$G$16</f>
        <v>24851.478631379981</v>
      </c>
      <c r="D377" s="19">
        <f>Tableau!$G$17*SIN(B377*PI()/180)+Tableau!$H$16</f>
        <v>8709.6094779983414</v>
      </c>
      <c r="F377" s="26">
        <v>374</v>
      </c>
      <c r="G377" s="27">
        <f>Tableau!$G$26*COS(F377*PI()/180)+Tableau!$G$25</f>
        <v>-16603.964958034012</v>
      </c>
      <c r="H377" s="27">
        <f>Tableau!$G$26*SIN(F377*PI()/180)+Tableau!$H$25</f>
        <v>10846.726634598839</v>
      </c>
      <c r="J377" s="34">
        <v>374</v>
      </c>
      <c r="K377" s="35">
        <f>Tableau!$G$36*COS(J377*PI()/180)+Tableau!$G$35</f>
        <v>-148.52136862001862</v>
      </c>
      <c r="L377" s="35">
        <f>Tableau!$G$36*SIN(J377*PI()/180)+Tableau!$H$35</f>
        <v>-13790.390522001659</v>
      </c>
      <c r="N377" s="98">
        <v>373</v>
      </c>
      <c r="O377" s="99">
        <v>186.5</v>
      </c>
      <c r="P377" s="101">
        <f>P376+R376*Tableau!$G$2+((1/2)*T376)*Tableau!$G$2^2</f>
        <v>-12527344.068255264</v>
      </c>
      <c r="Q377" s="101">
        <f>Q376+S376*Tableau!$G$2+((1/2)*U376)*Tableau!$G$2^2</f>
        <v>6141154.6114722174</v>
      </c>
      <c r="R377" s="101">
        <f>R376+T376*Tableau!$G$2</f>
        <v>-68698.480759097627</v>
      </c>
      <c r="S377" s="101">
        <f>S376+U376*Tableau!$G$2</f>
        <v>33800.864298779605</v>
      </c>
      <c r="T377" s="101">
        <f t="shared" si="10"/>
        <v>5.6560386660969558E-3</v>
      </c>
      <c r="U377" s="101">
        <f t="shared" si="11"/>
        <v>-2.7727275274299474E-3</v>
      </c>
      <c r="V377" s="101">
        <f>((Tableau!$G$16-P377)/(AC377^2+Tableau!$G$21^2)^(3/2))*Tableau!$G$20</f>
        <v>2.4116053671222955E-3</v>
      </c>
      <c r="W377" s="101">
        <f>((Tableau!$H$16-Q377)/(AC377^2+Tableau!$G$21^2)^(3/2))*Tableau!$G$20</f>
        <v>-1.1788912697886728E-3</v>
      </c>
      <c r="X377" s="101">
        <f>((Tableau!$G$25-P377)/(AD377^2+Tableau!$G$30^2)^(3/2))*Tableau!$G$29</f>
        <v>8.3113633059171406E-4</v>
      </c>
      <c r="Y377" s="101">
        <f>((Tableau!$H$25-Q377)/(AD377^2+Tableau!$G$30^2)^(3/2))*Tableau!$G$29</f>
        <v>-4.0742665415298971E-4</v>
      </c>
      <c r="Z377" s="101">
        <f>((Tableau!$G$35-P377)/(AE377^2+Tableau!$G$40^2)^(3/2))*Tableau!$G$39</f>
        <v>2.4132969683829469E-3</v>
      </c>
      <c r="AA377" s="102">
        <f>((Tableau!$H$35-Q377)/(AE377^2+Tableau!$G$40^2)^(3/2))*Tableau!$G$39</f>
        <v>-1.1864096034882848E-3</v>
      </c>
      <c r="AC377" s="113">
        <f>SQRT((Tableau!$G$16-P377)^2+(Tableau!$H$16-Q377)^2)</f>
        <v>13966300.944058701</v>
      </c>
      <c r="AD377" s="114">
        <f>SQRT((Tableau!$G$25-P377)^2+(Tableau!$H$25-Q377)^2)</f>
        <v>13929275.376396907</v>
      </c>
      <c r="AE377" s="115">
        <f>SQRT((Tableau!$G$35-P377)^2+(Tableau!$H$35-Q377)^2)</f>
        <v>13953757.220337413</v>
      </c>
    </row>
    <row r="378" spans="2:31" x14ac:dyDescent="0.25">
      <c r="B378" s="20">
        <v>375</v>
      </c>
      <c r="C378" s="21">
        <f>Tableau!$G$17*COS(B378*PI()/180)+Tableau!$G$16</f>
        <v>24829.629131445341</v>
      </c>
      <c r="D378" s="21">
        <f>Tableau!$G$17*SIN(B378*PI()/180)+Tableau!$H$16</f>
        <v>8794.0952255126012</v>
      </c>
      <c r="F378" s="28">
        <v>375</v>
      </c>
      <c r="G378" s="29">
        <f>Tableau!$G$26*COS(F378*PI()/180)+Tableau!$G$25</f>
        <v>-16619.259607988261</v>
      </c>
      <c r="H378" s="29">
        <f>Tableau!$G$26*SIN(F378*PI()/180)+Tableau!$H$25</f>
        <v>10905.86665785882</v>
      </c>
      <c r="J378" s="36">
        <v>375</v>
      </c>
      <c r="K378" s="37">
        <f>Tableau!$G$36*COS(J378*PI()/180)+Tableau!$G$35</f>
        <v>-170.37086855465805</v>
      </c>
      <c r="L378" s="37">
        <f>Tableau!$G$36*SIN(J378*PI()/180)+Tableau!$H$35</f>
        <v>-13705.904774487399</v>
      </c>
      <c r="N378" s="92">
        <v>374</v>
      </c>
      <c r="O378" s="93">
        <v>187</v>
      </c>
      <c r="P378" s="96">
        <f>P377+R377*Tableau!$G$2+((1/2)*T377)*Tableau!$G$2^2</f>
        <v>-12561693.30792781</v>
      </c>
      <c r="Q378" s="96">
        <f>Q377+S377*Tableau!$G$2+((1/2)*U377)*Tableau!$G$2^2</f>
        <v>6158055.0432750164</v>
      </c>
      <c r="R378" s="96">
        <f>R377+T377*Tableau!$G$2</f>
        <v>-68698.477931078291</v>
      </c>
      <c r="S378" s="96">
        <f>S377+U377*Tableau!$G$2</f>
        <v>33800.86291241584</v>
      </c>
      <c r="T378" s="96">
        <f t="shared" si="10"/>
        <v>5.6251245197257906E-3</v>
      </c>
      <c r="U378" s="96">
        <f t="shared" si="11"/>
        <v>-2.7576002148306253E-3</v>
      </c>
      <c r="V378" s="96">
        <f>((Tableau!$G$16-P378)/(AC378^2+Tableau!$G$21^2)^(3/2))*Tableau!$G$20</f>
        <v>2.3984308879437251E-3</v>
      </c>
      <c r="W378" s="96">
        <f>((Tableau!$H$16-Q378)/(AC378^2+Tableau!$G$21^2)^(3/2))*Tableau!$G$20</f>
        <v>-1.1724718472110364E-3</v>
      </c>
      <c r="X378" s="96">
        <f>((Tableau!$G$25-P378)/(AD378^2+Tableau!$G$30^2)^(3/2))*Tableau!$G$29</f>
        <v>8.2658505870044599E-4</v>
      </c>
      <c r="Y378" s="96">
        <f>((Tableau!$H$25-Q378)/(AD378^2+Tableau!$G$30^2)^(3/2))*Tableau!$G$29</f>
        <v>-4.0519970581856806E-4</v>
      </c>
      <c r="Z378" s="96">
        <f>((Tableau!$G$35-P378)/(AE378^2+Tableau!$G$40^2)^(3/2))*Tableau!$G$39</f>
        <v>2.4001085730816192E-3</v>
      </c>
      <c r="AA378" s="97">
        <f>((Tableau!$H$35-Q378)/(AE378^2+Tableau!$G$40^2)^(3/2))*Tableau!$G$39</f>
        <v>-1.1799286618010209E-3</v>
      </c>
      <c r="AC378" s="110">
        <f>SQRT((Tableau!$G$16-P378)^2+(Tableau!$H$16-Q378)^2)</f>
        <v>14004582.601245608</v>
      </c>
      <c r="AD378" s="111">
        <f>SQRT((Tableau!$G$25-P378)^2+(Tableau!$H$25-Q378)^2)</f>
        <v>13967557.118023917</v>
      </c>
      <c r="AE378" s="112">
        <f>SQRT((Tableau!$G$35-P378)^2+(Tableau!$H$35-Q378)^2)</f>
        <v>13992039.000684002</v>
      </c>
    </row>
    <row r="379" spans="2:31" x14ac:dyDescent="0.25">
      <c r="B379" s="18">
        <v>376</v>
      </c>
      <c r="C379" s="19">
        <f>Tableau!$G$17*COS(B379*PI()/180)+Tableau!$G$16</f>
        <v>24806.308479691594</v>
      </c>
      <c r="D379" s="19">
        <f>Tableau!$G$17*SIN(B379*PI()/180)+Tableau!$H$16</f>
        <v>8878.1867790849974</v>
      </c>
      <c r="F379" s="26">
        <v>376</v>
      </c>
      <c r="G379" s="27">
        <f>Tableau!$G$26*COS(F379*PI()/180)+Tableau!$G$25</f>
        <v>-16635.584064215884</v>
      </c>
      <c r="H379" s="27">
        <f>Tableau!$G$26*SIN(F379*PI()/180)+Tableau!$H$25</f>
        <v>10964.730745359499</v>
      </c>
      <c r="J379" s="34">
        <v>376</v>
      </c>
      <c r="K379" s="35">
        <f>Tableau!$G$36*COS(J379*PI()/180)+Tableau!$G$35</f>
        <v>-193.69152030840633</v>
      </c>
      <c r="L379" s="35">
        <f>Tableau!$G$36*SIN(J379*PI()/180)+Tableau!$H$35</f>
        <v>-13621.813220915003</v>
      </c>
      <c r="N379" s="98">
        <v>375</v>
      </c>
      <c r="O379" s="99">
        <v>187.5</v>
      </c>
      <c r="P379" s="101">
        <f>P378+R378*Tableau!$G$2+((1/2)*T378)*Tableau!$G$2^2</f>
        <v>-12596042.546190208</v>
      </c>
      <c r="Q379" s="101">
        <f>Q378+S378*Tableau!$G$2+((1/2)*U378)*Tableau!$G$2^2</f>
        <v>6174955.4743865244</v>
      </c>
      <c r="R379" s="101">
        <f>R378+T378*Tableau!$G$2</f>
        <v>-68698.475118516028</v>
      </c>
      <c r="S379" s="101">
        <f>S378+U378*Tableau!$G$2</f>
        <v>33800.861533615731</v>
      </c>
      <c r="T379" s="101">
        <f t="shared" si="10"/>
        <v>5.5944631340658253E-3</v>
      </c>
      <c r="U379" s="101">
        <f t="shared" si="11"/>
        <v>-2.7425963620206187E-3</v>
      </c>
      <c r="V379" s="101">
        <f>((Tableau!$G$16-P379)/(AC379^2+Tableau!$G$21^2)^(3/2))*Tableau!$G$20</f>
        <v>2.3853640720421752E-3</v>
      </c>
      <c r="W379" s="101">
        <f>((Tableau!$H$16-Q379)/(AC379^2+Tableau!$G$21^2)^(3/2))*Tableau!$G$20</f>
        <v>-1.1661047155364949E-3</v>
      </c>
      <c r="X379" s="101">
        <f>((Tableau!$G$25-P379)/(AD379^2+Tableau!$G$30^2)^(3/2))*Tableau!$G$29</f>
        <v>8.2207106874503133E-4</v>
      </c>
      <c r="Y379" s="101">
        <f>((Tableau!$H$25-Q379)/(AD379^2+Tableau!$G$30^2)^(3/2))*Tableau!$G$29</f>
        <v>-4.0299096611515309E-4</v>
      </c>
      <c r="Z379" s="101">
        <f>((Tableau!$G$35-P379)/(AE379^2+Tableau!$G$40^2)^(3/2))*Tableau!$G$39</f>
        <v>2.387027993278619E-3</v>
      </c>
      <c r="AA379" s="102">
        <f>((Tableau!$H$35-Q379)/(AE379^2+Tableau!$G$40^2)^(3/2))*Tableau!$G$39</f>
        <v>-1.1735006803689706E-3</v>
      </c>
      <c r="AC379" s="113">
        <f>SQRT((Tableau!$G$16-P379)^2+(Tableau!$H$16-Q379)^2)</f>
        <v>14042864.257544534</v>
      </c>
      <c r="AD379" s="114">
        <f>SQRT((Tableau!$G$25-P379)^2+(Tableau!$H$25-Q379)^2)</f>
        <v>14005838.858303156</v>
      </c>
      <c r="AE379" s="115">
        <f>SQRT((Tableau!$G$35-P379)^2+(Tableau!$H$35-Q379)^2)</f>
        <v>14030320.77947114</v>
      </c>
    </row>
    <row r="380" spans="2:31" x14ac:dyDescent="0.25">
      <c r="B380" s="20">
        <v>377</v>
      </c>
      <c r="C380" s="21">
        <f>Tableau!$G$17*COS(B380*PI()/180)+Tableau!$G$16</f>
        <v>24781.523779815179</v>
      </c>
      <c r="D380" s="21">
        <f>Tableau!$G$17*SIN(B380*PI()/180)+Tableau!$H$16</f>
        <v>8961.8585236136823</v>
      </c>
      <c r="F380" s="28">
        <v>377</v>
      </c>
      <c r="G380" s="29">
        <f>Tableau!$G$26*COS(F380*PI()/180)+Tableau!$G$25</f>
        <v>-16652.933354129374</v>
      </c>
      <c r="H380" s="29">
        <f>Tableau!$G$26*SIN(F380*PI()/180)+Tableau!$H$25</f>
        <v>11023.300966529578</v>
      </c>
      <c r="J380" s="36">
        <v>377</v>
      </c>
      <c r="K380" s="37">
        <f>Tableau!$G$36*COS(J380*PI()/180)+Tableau!$G$35</f>
        <v>-218.47622018482252</v>
      </c>
      <c r="L380" s="37">
        <f>Tableau!$G$36*SIN(J380*PI()/180)+Tableau!$H$35</f>
        <v>-13538.141476386318</v>
      </c>
      <c r="N380" s="92">
        <v>376</v>
      </c>
      <c r="O380" s="93">
        <v>188</v>
      </c>
      <c r="P380" s="96">
        <f>P379+R379*Tableau!$G$2+((1/2)*T379)*Tableau!$G$2^2</f>
        <v>-12630391.783050159</v>
      </c>
      <c r="Q380" s="96">
        <f>Q379+S379*Tableau!$G$2+((1/2)*U379)*Tableau!$G$2^2</f>
        <v>6191855.9048105078</v>
      </c>
      <c r="R380" s="96">
        <f>R379+T379*Tableau!$G$2</f>
        <v>-68698.472321284455</v>
      </c>
      <c r="S380" s="96">
        <f>S379+U379*Tableau!$G$2</f>
        <v>33800.860162317549</v>
      </c>
      <c r="T380" s="96">
        <f t="shared" si="10"/>
        <v>5.5640517610998173E-3</v>
      </c>
      <c r="U380" s="96">
        <f t="shared" si="11"/>
        <v>-2.7277146291733471E-3</v>
      </c>
      <c r="V380" s="96">
        <f>((Tableau!$G$16-P380)/(AC380^2+Tableau!$G$21^2)^(3/2))*Tableau!$G$20</f>
        <v>2.3724037494904761E-3</v>
      </c>
      <c r="W380" s="96">
        <f>((Tableau!$H$16-Q380)/(AC380^2+Tableau!$G$21^2)^(3/2))*Tableau!$G$20</f>
        <v>-1.1597893083765407E-3</v>
      </c>
      <c r="X380" s="96">
        <f>((Tableau!$G$25-P380)/(AD380^2+Tableau!$G$30^2)^(3/2))*Tableau!$G$29</f>
        <v>8.1759395463811956E-4</v>
      </c>
      <c r="Y380" s="96">
        <f>((Tableau!$H$25-Q380)/(AD380^2+Tableau!$G$30^2)^(3/2))*Tableau!$G$29</f>
        <v>-4.0080023707197851E-4</v>
      </c>
      <c r="Z380" s="96">
        <f>((Tableau!$G$35-P380)/(AE380^2+Tableau!$G$40^2)^(3/2))*Tableau!$G$39</f>
        <v>2.3740540569712212E-3</v>
      </c>
      <c r="AA380" s="97">
        <f>((Tableau!$H$35-Q380)/(AE380^2+Tableau!$G$40^2)^(3/2))*Tableau!$G$39</f>
        <v>-1.1671250837248276E-3</v>
      </c>
      <c r="AC380" s="110">
        <f>SQRT((Tableau!$G$16-P380)^2+(Tableau!$H$16-Q380)^2)</f>
        <v>14081145.91295849</v>
      </c>
      <c r="AD380" s="111">
        <f>SQRT((Tableau!$G$25-P380)^2+(Tableau!$H$25-Q380)^2)</f>
        <v>14044120.597241377</v>
      </c>
      <c r="AE380" s="112">
        <f>SQRT((Tableau!$G$35-P380)^2+(Tableau!$H$35-Q380)^2)</f>
        <v>14068602.556707313</v>
      </c>
    </row>
    <row r="381" spans="2:31" x14ac:dyDescent="0.25">
      <c r="B381" s="18">
        <v>378</v>
      </c>
      <c r="C381" s="19">
        <f>Tableau!$G$17*COS(B381*PI()/180)+Tableau!$G$16</f>
        <v>24755.282581475767</v>
      </c>
      <c r="D381" s="19">
        <f>Tableau!$G$17*SIN(B381*PI()/180)+Tableau!$H$16</f>
        <v>9045.0849718747359</v>
      </c>
      <c r="F381" s="26">
        <v>378</v>
      </c>
      <c r="G381" s="27">
        <f>Tableau!$G$26*COS(F381*PI()/180)+Tableau!$G$25</f>
        <v>-16671.302192966963</v>
      </c>
      <c r="H381" s="27">
        <f>Tableau!$G$26*SIN(F381*PI()/180)+Tableau!$H$25</f>
        <v>11081.559480312315</v>
      </c>
      <c r="J381" s="34">
        <v>378</v>
      </c>
      <c r="K381" s="35">
        <f>Tableau!$G$36*COS(J381*PI()/180)+Tableau!$G$35</f>
        <v>-244.71741852423202</v>
      </c>
      <c r="L381" s="35">
        <f>Tableau!$G$36*SIN(J381*PI()/180)+Tableau!$H$35</f>
        <v>-13454.915028125264</v>
      </c>
      <c r="N381" s="98">
        <v>377</v>
      </c>
      <c r="O381" s="99">
        <v>188.5</v>
      </c>
      <c r="P381" s="101">
        <f>P380+R380*Tableau!$G$2+((1/2)*T380)*Tableau!$G$2^2</f>
        <v>-12664741.018515294</v>
      </c>
      <c r="Q381" s="101">
        <f>Q380+S380*Tableau!$G$2+((1/2)*U380)*Tableau!$G$2^2</f>
        <v>6208756.334550702</v>
      </c>
      <c r="R381" s="101">
        <f>R380+T380*Tableau!$G$2</f>
        <v>-68698.469539258571</v>
      </c>
      <c r="S381" s="101">
        <f>S380+U380*Tableau!$G$2</f>
        <v>33800.858798460235</v>
      </c>
      <c r="T381" s="101">
        <f t="shared" si="10"/>
        <v>5.5338876900547698E-3</v>
      </c>
      <c r="U381" s="101">
        <f t="shared" si="11"/>
        <v>-2.7129536945882842E-3</v>
      </c>
      <c r="V381" s="101">
        <f>((Tableau!$G$16-P381)/(AC381^2+Tableau!$G$21^2)^(3/2))*Tableau!$G$20</f>
        <v>2.3595487662096443E-3</v>
      </c>
      <c r="W381" s="101">
        <f>((Tableau!$H$16-Q381)/(AC381^2+Tableau!$G$21^2)^(3/2))*Tableau!$G$20</f>
        <v>-1.1535250669904096E-3</v>
      </c>
      <c r="X381" s="101">
        <f>((Tableau!$G$25-P381)/(AD381^2+Tableau!$G$30^2)^(3/2))*Tableau!$G$29</f>
        <v>8.1315331580640148E-4</v>
      </c>
      <c r="Y381" s="101">
        <f>((Tableau!$H$25-Q381)/(AD381^2+Tableau!$G$30^2)^(3/2))*Tableau!$G$29</f>
        <v>-3.9862732340149453E-4</v>
      </c>
      <c r="Z381" s="101">
        <f>((Tableau!$G$35-P381)/(AE381^2+Tableau!$G$40^2)^(3/2))*Tableau!$G$39</f>
        <v>2.3611856080387244E-3</v>
      </c>
      <c r="AA381" s="102">
        <f>((Tableau!$H$35-Q381)/(AE381^2+Tableau!$G$40^2)^(3/2))*Tableau!$G$39</f>
        <v>-1.16080130419638E-3</v>
      </c>
      <c r="AC381" s="113">
        <f>SQRT((Tableau!$G$16-P381)^2+(Tableau!$H$16-Q381)^2)</f>
        <v>14119427.567490462</v>
      </c>
      <c r="AD381" s="114">
        <f>SQRT((Tableau!$G$25-P381)^2+(Tableau!$H$25-Q381)^2)</f>
        <v>14082402.334845277</v>
      </c>
      <c r="AE381" s="115">
        <f>SQRT((Tableau!$G$35-P381)^2+(Tableau!$H$35-Q381)^2)</f>
        <v>14106884.332400924</v>
      </c>
    </row>
    <row r="382" spans="2:31" x14ac:dyDescent="0.25">
      <c r="B382" s="20">
        <v>379</v>
      </c>
      <c r="C382" s="21">
        <f>Tableau!$G$17*COS(B382*PI()/180)+Tableau!$G$16</f>
        <v>24727.592877996583</v>
      </c>
      <c r="D382" s="21">
        <f>Tableau!$G$17*SIN(B382*PI()/180)+Tableau!$H$16</f>
        <v>9127.840772285781</v>
      </c>
      <c r="F382" s="28">
        <v>379</v>
      </c>
      <c r="G382" s="29">
        <f>Tableau!$G$26*COS(F382*PI()/180)+Tableau!$G$25</f>
        <v>-16690.684985402389</v>
      </c>
      <c r="H382" s="29">
        <f>Tableau!$G$26*SIN(F382*PI()/180)+Tableau!$H$25</f>
        <v>11139.488540600047</v>
      </c>
      <c r="J382" s="36">
        <v>379</v>
      </c>
      <c r="K382" s="37">
        <f>Tableau!$G$36*COS(J382*PI()/180)+Tableau!$G$35</f>
        <v>-272.40712200341477</v>
      </c>
      <c r="L382" s="37">
        <f>Tableau!$G$36*SIN(J382*PI()/180)+Tableau!$H$35</f>
        <v>-13372.159227714219</v>
      </c>
      <c r="N382" s="92">
        <v>378</v>
      </c>
      <c r="O382" s="93">
        <v>189</v>
      </c>
      <c r="P382" s="96">
        <f>P381+R381*Tableau!$G$2+((1/2)*T381)*Tableau!$G$2^2</f>
        <v>-12699090.252593188</v>
      </c>
      <c r="Q382" s="96">
        <f>Q381+S381*Tableau!$G$2+((1/2)*U381)*Tableau!$G$2^2</f>
        <v>6225656.7636108138</v>
      </c>
      <c r="R382" s="96">
        <f>R381+T381*Tableau!$G$2</f>
        <v>-68698.466772314729</v>
      </c>
      <c r="S382" s="96">
        <f>S381+U381*Tableau!$G$2</f>
        <v>33800.857441983389</v>
      </c>
      <c r="T382" s="96">
        <f t="shared" si="10"/>
        <v>5.5039682467982222E-3</v>
      </c>
      <c r="U382" s="96">
        <f t="shared" si="11"/>
        <v>-2.6983122543976709E-3</v>
      </c>
      <c r="V382" s="96">
        <f>((Tableau!$G$16-P382)/(AC382^2+Tableau!$G$21^2)^(3/2))*Tableau!$G$20</f>
        <v>2.3467979837121689E-3</v>
      </c>
      <c r="W382" s="96">
        <f>((Tableau!$H$16-Q382)/(AC382^2+Tableau!$G$21^2)^(3/2))*Tableau!$G$20</f>
        <v>-1.1473114401615986E-3</v>
      </c>
      <c r="X382" s="96">
        <f>((Tableau!$G$25-P382)/(AD382^2+Tableau!$G$30^2)^(3/2))*Tableau!$G$29</f>
        <v>8.0874875710100372E-4</v>
      </c>
      <c r="Y382" s="96">
        <f>((Tableau!$H$25-Q382)/(AD382^2+Tableau!$G$30^2)^(3/2))*Tableau!$G$29</f>
        <v>-3.9647203245584328E-4</v>
      </c>
      <c r="Z382" s="96">
        <f>((Tableau!$G$35-P382)/(AE382^2+Tableau!$G$40^2)^(3/2))*Tableau!$G$39</f>
        <v>2.3484215059850501E-3</v>
      </c>
      <c r="AA382" s="97">
        <f>((Tableau!$H$35-Q382)/(AE382^2+Tableau!$G$40^2)^(3/2))*Tableau!$G$39</f>
        <v>-1.154528781780229E-3</v>
      </c>
      <c r="AC382" s="110">
        <f>SQRT((Tableau!$G$16-P382)^2+(Tableau!$H$16-Q382)^2)</f>
        <v>14157709.221143438</v>
      </c>
      <c r="AD382" s="111">
        <f>SQRT((Tableau!$G$25-P382)^2+(Tableau!$H$25-Q382)^2)</f>
        <v>14120684.071121499</v>
      </c>
      <c r="AE382" s="112">
        <f>SQRT((Tableau!$G$35-P382)^2+(Tableau!$H$35-Q382)^2)</f>
        <v>14145166.106560318</v>
      </c>
    </row>
    <row r="383" spans="2:31" x14ac:dyDescent="0.25">
      <c r="B383" s="18">
        <v>380</v>
      </c>
      <c r="C383" s="19">
        <f>Tableau!$G$17*COS(B383*PI()/180)+Tableau!$G$16</f>
        <v>24698.463103929542</v>
      </c>
      <c r="D383" s="19">
        <f>Tableau!$G$17*SIN(B383*PI()/180)+Tableau!$H$16</f>
        <v>9210.1007166283453</v>
      </c>
      <c r="F383" s="26">
        <v>380</v>
      </c>
      <c r="G383" s="27">
        <f>Tableau!$G$26*COS(F383*PI()/180)+Tableau!$G$25</f>
        <v>-16711.075827249322</v>
      </c>
      <c r="H383" s="27">
        <f>Tableau!$G$26*SIN(F383*PI()/180)+Tableau!$H$25</f>
        <v>11197.070501639841</v>
      </c>
      <c r="J383" s="34">
        <v>380</v>
      </c>
      <c r="K383" s="35">
        <f>Tableau!$G$36*COS(J383*PI()/180)+Tableau!$G$35</f>
        <v>-301.53689607045817</v>
      </c>
      <c r="L383" s="35">
        <f>Tableau!$G$36*SIN(J383*PI()/180)+Tableau!$H$35</f>
        <v>-13289.899283371655</v>
      </c>
      <c r="N383" s="98">
        <v>379</v>
      </c>
      <c r="O383" s="99">
        <v>189.5</v>
      </c>
      <c r="P383" s="101">
        <f>P382+R382*Tableau!$G$2+((1/2)*T382)*Tableau!$G$2^2</f>
        <v>-12733439.485291349</v>
      </c>
      <c r="Q383" s="101">
        <f>Q382+S382*Tableau!$G$2+((1/2)*U382)*Tableau!$G$2^2</f>
        <v>6242557.1919945171</v>
      </c>
      <c r="R383" s="101">
        <f>R382+T382*Tableau!$G$2</f>
        <v>-68698.464020330604</v>
      </c>
      <c r="S383" s="101">
        <f>S382+U382*Tableau!$G$2</f>
        <v>33800.856092827264</v>
      </c>
      <c r="T383" s="101">
        <f t="shared" si="10"/>
        <v>5.4742907932451576E-3</v>
      </c>
      <c r="U383" s="101">
        <f t="shared" si="11"/>
        <v>-2.6837890222783808E-3</v>
      </c>
      <c r="V383" s="101">
        <f>((Tableau!$G$16-P383)/(AC383^2+Tableau!$G$21^2)^(3/2))*Tableau!$G$20</f>
        <v>2.3341502788496362E-3</v>
      </c>
      <c r="W383" s="101">
        <f>((Tableau!$H$16-Q383)/(AC383^2+Tableau!$G$21^2)^(3/2))*Tableau!$G$20</f>
        <v>-1.1411478840764626E-3</v>
      </c>
      <c r="X383" s="101">
        <f>((Tableau!$G$25-P383)/(AD383^2+Tableau!$G$30^2)^(3/2))*Tableau!$G$29</f>
        <v>8.0437988870958176E-4</v>
      </c>
      <c r="Y383" s="101">
        <f>((Tableau!$H$25-Q383)/(AD383^2+Tableau!$G$30^2)^(3/2))*Tableau!$G$29</f>
        <v>-3.9433417418415975E-4</v>
      </c>
      <c r="Z383" s="101">
        <f>((Tableau!$G$35-P383)/(AE383^2+Tableau!$G$40^2)^(3/2))*Tableau!$G$39</f>
        <v>2.3357606256859398E-3</v>
      </c>
      <c r="AA383" s="102">
        <f>((Tableau!$H$35-Q383)/(AE383^2+Tableau!$G$40^2)^(3/2))*Tableau!$G$39</f>
        <v>-1.1483069640177584E-3</v>
      </c>
      <c r="AC383" s="113">
        <f>SQRT((Tableau!$G$16-P383)^2+(Tableau!$H$16-Q383)^2)</f>
        <v>14195990.87392039</v>
      </c>
      <c r="AD383" s="114">
        <f>SQRT((Tableau!$G$25-P383)^2+(Tableau!$H$25-Q383)^2)</f>
        <v>14158965.806076648</v>
      </c>
      <c r="AE383" s="115">
        <f>SQRT((Tableau!$G$35-P383)^2+(Tableau!$H$35-Q383)^2)</f>
        <v>14183447.879193768</v>
      </c>
    </row>
    <row r="384" spans="2:31" x14ac:dyDescent="0.25">
      <c r="B384" s="20">
        <v>381</v>
      </c>
      <c r="C384" s="21">
        <f>Tableau!$G$17*COS(B384*PI()/180)+Tableau!$G$16</f>
        <v>24667.902132486011</v>
      </c>
      <c r="D384" s="21">
        <f>Tableau!$G$17*SIN(B384*PI()/180)+Tableau!$H$16</f>
        <v>9291.8397477264971</v>
      </c>
      <c r="F384" s="28">
        <v>381</v>
      </c>
      <c r="G384" s="29">
        <f>Tableau!$G$26*COS(F384*PI()/180)+Tableau!$G$25</f>
        <v>-16732.468507259793</v>
      </c>
      <c r="H384" s="29">
        <f>Tableau!$G$26*SIN(F384*PI()/180)+Tableau!$H$25</f>
        <v>11254.287823408547</v>
      </c>
      <c r="J384" s="36">
        <v>381</v>
      </c>
      <c r="K384" s="37">
        <f>Tableau!$G$36*COS(J384*PI()/180)+Tableau!$G$35</f>
        <v>-332.09786751398951</v>
      </c>
      <c r="L384" s="37">
        <f>Tableau!$G$36*SIN(J384*PI()/180)+Tableau!$H$35</f>
        <v>-13208.160252273503</v>
      </c>
      <c r="N384" s="92">
        <v>380</v>
      </c>
      <c r="O384" s="93">
        <v>190</v>
      </c>
      <c r="P384" s="96">
        <f>P383+R383*Tableau!$G$2+((1/2)*T383)*Tableau!$G$2^2</f>
        <v>-12767788.716617228</v>
      </c>
      <c r="Q384" s="96">
        <f>Q383+S383*Tableau!$G$2+((1/2)*U383)*Tableau!$G$2^2</f>
        <v>6259457.6197054572</v>
      </c>
      <c r="R384" s="96">
        <f>R383+T383*Tableau!$G$2</f>
        <v>-68698.461283185214</v>
      </c>
      <c r="S384" s="96">
        <f>S383+U383*Tableau!$G$2</f>
        <v>33800.854750932755</v>
      </c>
      <c r="T384" s="96">
        <f t="shared" si="10"/>
        <v>5.4448527267766927E-3</v>
      </c>
      <c r="U384" s="96">
        <f t="shared" si="11"/>
        <v>-2.6693827291694931E-3</v>
      </c>
      <c r="V384" s="96">
        <f>((Tableau!$G$16-P384)/(AC384^2+Tableau!$G$21^2)^(3/2))*Tableau!$G$20</f>
        <v>2.3216045435656102E-3</v>
      </c>
      <c r="W384" s="96">
        <f>((Tableau!$H$16-Q384)/(AC384^2+Tableau!$G$21^2)^(3/2))*Tableau!$G$20</f>
        <v>-1.1350338622053329E-3</v>
      </c>
      <c r="X384" s="96">
        <f>((Tableau!$G$25-P384)/(AD384^2+Tableau!$G$30^2)^(3/2))*Tableau!$G$29</f>
        <v>8.000463260700837E-4</v>
      </c>
      <c r="Y384" s="96">
        <f>((Tableau!$H$25-Q384)/(AD384^2+Tableau!$G$30^2)^(3/2))*Tableau!$G$29</f>
        <v>-3.9221356109068073E-4</v>
      </c>
      <c r="Z384" s="96">
        <f>((Tableau!$G$35-P384)/(AE384^2+Tableau!$G$40^2)^(3/2))*Tableau!$G$39</f>
        <v>2.3232018571409992E-3</v>
      </c>
      <c r="AA384" s="97">
        <f>((Tableau!$H$35-Q384)/(AE384^2+Tableau!$G$40^2)^(3/2))*Tableau!$G$39</f>
        <v>-1.1421353058734796E-3</v>
      </c>
      <c r="AC384" s="110">
        <f>SQRT((Tableau!$G$16-P384)^2+(Tableau!$H$16-Q384)^2)</f>
        <v>14234272.525824284</v>
      </c>
      <c r="AD384" s="111">
        <f>SQRT((Tableau!$G$25-P384)^2+(Tableau!$H$25-Q384)^2)</f>
        <v>14197247.539717272</v>
      </c>
      <c r="AE384" s="112">
        <f>SQRT((Tableau!$G$35-P384)^2+(Tableau!$H$35-Q384)^2)</f>
        <v>14221729.650309484</v>
      </c>
    </row>
    <row r="385" spans="2:31" x14ac:dyDescent="0.25">
      <c r="B385" s="18">
        <v>382</v>
      </c>
      <c r="C385" s="19">
        <f>Tableau!$G$17*COS(B385*PI()/180)+Tableau!$G$16</f>
        <v>24635.919272833937</v>
      </c>
      <c r="D385" s="19">
        <f>Tableau!$G$17*SIN(B385*PI()/180)+Tableau!$H$16</f>
        <v>9373.03296707956</v>
      </c>
      <c r="F385" s="26">
        <v>382</v>
      </c>
      <c r="G385" s="27">
        <f>Tableau!$G$26*COS(F385*PI()/180)+Tableau!$G$25</f>
        <v>-16754.856509016245</v>
      </c>
      <c r="H385" s="27">
        <f>Tableau!$G$26*SIN(F385*PI()/180)+Tableau!$H$25</f>
        <v>11311.123076955691</v>
      </c>
      <c r="J385" s="34">
        <v>382</v>
      </c>
      <c r="K385" s="35">
        <f>Tableau!$G$36*COS(J385*PI()/180)+Tableau!$G$35</f>
        <v>-364.0807271660633</v>
      </c>
      <c r="L385" s="35">
        <f>Tableau!$G$36*SIN(J385*PI()/180)+Tableau!$H$35</f>
        <v>-13126.96703292044</v>
      </c>
      <c r="N385" s="98">
        <v>381</v>
      </c>
      <c r="O385" s="99">
        <v>190.5</v>
      </c>
      <c r="P385" s="101">
        <f>P384+R384*Tableau!$G$2+((1/2)*T384)*Tableau!$G$2^2</f>
        <v>-12802137.946578214</v>
      </c>
      <c r="Q385" s="101">
        <f>Q384+S384*Tableau!$G$2+((1/2)*U384)*Tableau!$G$2^2</f>
        <v>6276358.0467472514</v>
      </c>
      <c r="R385" s="101">
        <f>R384+T384*Tableau!$G$2</f>
        <v>-68698.458560758852</v>
      </c>
      <c r="S385" s="101">
        <f>S384+U384*Tableau!$G$2</f>
        <v>33800.853416241393</v>
      </c>
      <c r="T385" s="101">
        <f t="shared" si="10"/>
        <v>5.415651479669421E-3</v>
      </c>
      <c r="U385" s="101">
        <f t="shared" si="11"/>
        <v>-2.6550921229950442E-3</v>
      </c>
      <c r="V385" s="101">
        <f>((Tableau!$G$16-P385)/(AC385^2+Tableau!$G$21^2)^(3/2))*Tableau!$G$20</f>
        <v>2.309159684652895E-3</v>
      </c>
      <c r="W385" s="101">
        <f>((Tableau!$H$16-Q385)/(AC385^2+Tableau!$G$21^2)^(3/2))*Tableau!$G$20</f>
        <v>-1.1289688451857388E-3</v>
      </c>
      <c r="X385" s="101">
        <f>((Tableau!$G$25-P385)/(AD385^2+Tableau!$G$30^2)^(3/2))*Tableau!$G$29</f>
        <v>7.9574768978607903E-4</v>
      </c>
      <c r="Y385" s="101">
        <f>((Tableau!$H$25-Q385)/(AD385^2+Tableau!$G$30^2)^(3/2))*Tableau!$G$29</f>
        <v>-3.9011000819361402E-4</v>
      </c>
      <c r="Z385" s="101">
        <f>((Tableau!$G$35-P385)/(AE385^2+Tableau!$G$40^2)^(3/2))*Tableau!$G$39</f>
        <v>2.3107441052304463E-3</v>
      </c>
      <c r="AA385" s="102">
        <f>((Tableau!$H$35-Q385)/(AE385^2+Tableau!$G$40^2)^(3/2))*Tableau!$G$39</f>
        <v>-1.1360132696156911E-3</v>
      </c>
      <c r="AC385" s="113">
        <f>SQRT((Tableau!$G$16-P385)^2+(Tableau!$H$16-Q385)^2)</f>
        <v>14272554.176858071</v>
      </c>
      <c r="AD385" s="114">
        <f>SQRT((Tableau!$G$25-P385)^2+(Tableau!$H$25-Q385)^2)</f>
        <v>14235529.272049872</v>
      </c>
      <c r="AE385" s="115">
        <f>SQRT((Tableau!$G$35-P385)^2+(Tableau!$H$35-Q385)^2)</f>
        <v>14260011.419915603</v>
      </c>
    </row>
    <row r="386" spans="2:31" x14ac:dyDescent="0.25">
      <c r="B386" s="20">
        <v>383</v>
      </c>
      <c r="C386" s="21">
        <f>Tableau!$G$17*COS(B386*PI()/180)+Tableau!$G$16</f>
        <v>24602.524267262204</v>
      </c>
      <c r="D386" s="21">
        <f>Tableau!$G$17*SIN(B386*PI()/180)+Tableau!$H$16</f>
        <v>9453.6556424463633</v>
      </c>
      <c r="F386" s="28">
        <v>383</v>
      </c>
      <c r="G386" s="29">
        <f>Tableau!$G$26*COS(F386*PI()/180)+Tableau!$G$25</f>
        <v>-16778.233012916458</v>
      </c>
      <c r="H386" s="29">
        <f>Tableau!$G$26*SIN(F386*PI()/180)+Tableau!$H$25</f>
        <v>11367.558949712455</v>
      </c>
      <c r="J386" s="36">
        <v>383</v>
      </c>
      <c r="K386" s="37">
        <f>Tableau!$G$36*COS(J386*PI()/180)+Tableau!$G$35</f>
        <v>-397.47573273779562</v>
      </c>
      <c r="L386" s="37">
        <f>Tableau!$G$36*SIN(J386*PI()/180)+Tableau!$H$35</f>
        <v>-13046.344357553637</v>
      </c>
      <c r="N386" s="92">
        <v>382</v>
      </c>
      <c r="O386" s="93">
        <v>191</v>
      </c>
      <c r="P386" s="96">
        <f>P385+R385*Tableau!$G$2+((1/2)*T385)*Tableau!$G$2^2</f>
        <v>-12836487.175181637</v>
      </c>
      <c r="Q386" s="96">
        <f>Q385+S385*Tableau!$G$2+((1/2)*U385)*Tableau!$G$2^2</f>
        <v>6293258.4731234862</v>
      </c>
      <c r="R386" s="96">
        <f>R385+T385*Tableau!$G$2</f>
        <v>-68698.455852933112</v>
      </c>
      <c r="S386" s="96">
        <f>S385+U385*Tableau!$G$2</f>
        <v>33800.852088695334</v>
      </c>
      <c r="T386" s="96">
        <f t="shared" si="10"/>
        <v>5.3866845185353389E-3</v>
      </c>
      <c r="U386" s="96">
        <f t="shared" si="11"/>
        <v>-2.6409159683918994E-3</v>
      </c>
      <c r="V386" s="96">
        <f>((Tableau!$G$16-P386)/(AC386^2+Tableau!$G$21^2)^(3/2))*Tableau!$G$20</f>
        <v>2.2968146235152701E-3</v>
      </c>
      <c r="W386" s="96">
        <f>((Tableau!$H$16-Q386)/(AC386^2+Tableau!$G$21^2)^(3/2))*Tableau!$G$20</f>
        <v>-1.1229523107077707E-3</v>
      </c>
      <c r="X386" s="96">
        <f>((Tableau!$G$25-P386)/(AD386^2+Tableau!$G$30^2)^(3/2))*Tableau!$G$29</f>
        <v>7.9148360554374801E-4</v>
      </c>
      <c r="Y386" s="96">
        <f>((Tableau!$H$25-Q386)/(AD386^2+Tableau!$G$30^2)^(3/2))*Tableau!$G$29</f>
        <v>-3.8802333298481245E-4</v>
      </c>
      <c r="Z386" s="96">
        <f>((Tableau!$G$35-P386)/(AE386^2+Tableau!$G$40^2)^(3/2))*Tableau!$G$39</f>
        <v>2.2983862894763204E-3</v>
      </c>
      <c r="AA386" s="97">
        <f>((Tableau!$H$35-Q386)/(AE386^2+Tableau!$G$40^2)^(3/2))*Tableau!$G$39</f>
        <v>-1.1299403246993161E-3</v>
      </c>
      <c r="AC386" s="110">
        <f>SQRT((Tableau!$G$16-P386)^2+(Tableau!$H$16-Q386)^2)</f>
        <v>14310835.827024696</v>
      </c>
      <c r="AD386" s="111">
        <f>SQRT((Tableau!$G$25-P386)^2+(Tableau!$H$25-Q386)^2)</f>
        <v>14273811.003080903</v>
      </c>
      <c r="AE386" s="112">
        <f>SQRT((Tableau!$G$35-P386)^2+(Tableau!$H$35-Q386)^2)</f>
        <v>14298293.188020207</v>
      </c>
    </row>
    <row r="387" spans="2:31" x14ac:dyDescent="0.25">
      <c r="B387" s="18">
        <v>384</v>
      </c>
      <c r="C387" s="19">
        <f>Tableau!$G$17*COS(B387*PI()/180)+Tableau!$G$16</f>
        <v>24567.727288213006</v>
      </c>
      <c r="D387" s="19">
        <f>Tableau!$G$17*SIN(B387*PI()/180)+Tableau!$H$16</f>
        <v>9533.6832153789983</v>
      </c>
      <c r="F387" s="26">
        <v>384</v>
      </c>
      <c r="G387" s="27">
        <f>Tableau!$G$26*COS(F387*PI()/180)+Tableau!$G$25</f>
        <v>-16802.590898250895</v>
      </c>
      <c r="H387" s="27">
        <f>Tableau!$G$26*SIN(F387*PI()/180)+Tableau!$H$25</f>
        <v>11423.578250765298</v>
      </c>
      <c r="J387" s="34">
        <v>384</v>
      </c>
      <c r="K387" s="35">
        <f>Tableau!$G$36*COS(J387*PI()/180)+Tableau!$G$35</f>
        <v>-432.27271178699448</v>
      </c>
      <c r="L387" s="35">
        <f>Tableau!$G$36*SIN(J387*PI()/180)+Tableau!$H$35</f>
        <v>-12966.316784621002</v>
      </c>
      <c r="N387" s="98">
        <v>383</v>
      </c>
      <c r="O387" s="99">
        <v>191.5</v>
      </c>
      <c r="P387" s="101">
        <f>P386+R386*Tableau!$G$2+((1/2)*T386)*Tableau!$G$2^2</f>
        <v>-12870836.402434768</v>
      </c>
      <c r="Q387" s="101">
        <f>Q386+S386*Tableau!$G$2+((1/2)*U386)*Tableau!$G$2^2</f>
        <v>6310158.8988377191</v>
      </c>
      <c r="R387" s="101">
        <f>R386+T386*Tableau!$G$2</f>
        <v>-68698.453159590848</v>
      </c>
      <c r="S387" s="101">
        <f>S386+U386*Tableau!$G$2</f>
        <v>33800.850768237353</v>
      </c>
      <c r="T387" s="101">
        <f t="shared" si="10"/>
        <v>5.3579493437724895E-3</v>
      </c>
      <c r="U387" s="101">
        <f t="shared" si="11"/>
        <v>-2.6268530464428289E-3</v>
      </c>
      <c r="V387" s="101">
        <f>((Tableau!$G$16-P387)/(AC387^2+Tableau!$G$21^2)^(3/2))*Tableau!$G$20</f>
        <v>2.2845682959338658E-3</v>
      </c>
      <c r="W387" s="101">
        <f>((Tableau!$H$16-Q387)/(AC387^2+Tableau!$G$21^2)^(3/2))*Tableau!$G$20</f>
        <v>-1.1169837434016701E-3</v>
      </c>
      <c r="X387" s="101">
        <f>((Tableau!$G$25-P387)/(AD387^2+Tableau!$G$30^2)^(3/2))*Tableau!$G$29</f>
        <v>7.8725370403040843E-4</v>
      </c>
      <c r="Y387" s="101">
        <f>((Tableau!$H$25-Q387)/(AD387^2+Tableau!$G$30^2)^(3/2))*Tableau!$G$29</f>
        <v>-3.8595335539019288E-4</v>
      </c>
      <c r="Z387" s="101">
        <f>((Tableau!$G$35-P387)/(AE387^2+Tableau!$G$40^2)^(3/2))*Tableau!$G$39</f>
        <v>2.2861273438082152E-3</v>
      </c>
      <c r="AA387" s="102">
        <f>((Tableau!$H$35-Q387)/(AE387^2+Tableau!$G$40^2)^(3/2))*Tableau!$G$39</f>
        <v>-1.123915947650966E-3</v>
      </c>
      <c r="AC387" s="113">
        <f>SQRT((Tableau!$G$16-P387)^2+(Tableau!$H$16-Q387)^2)</f>
        <v>14349117.476327093</v>
      </c>
      <c r="AD387" s="114">
        <f>SQRT((Tableau!$G$25-P387)^2+(Tableau!$H$25-Q387)^2)</f>
        <v>14312092.732816773</v>
      </c>
      <c r="AE387" s="115">
        <f>SQRT((Tableau!$G$35-P387)^2+(Tableau!$H$35-Q387)^2)</f>
        <v>14336574.954631306</v>
      </c>
    </row>
    <row r="388" spans="2:31" x14ac:dyDescent="0.25">
      <c r="B388" s="20">
        <v>385</v>
      </c>
      <c r="C388" s="21">
        <f>Tableau!$G$17*COS(B388*PI()/180)+Tableau!$G$16</f>
        <v>24531.538935183249</v>
      </c>
      <c r="D388" s="21">
        <f>Tableau!$G$17*SIN(B388*PI()/180)+Tableau!$H$16</f>
        <v>9613.0913087034969</v>
      </c>
      <c r="F388" s="28">
        <v>385</v>
      </c>
      <c r="G388" s="29">
        <f>Tableau!$G$26*COS(F388*PI()/180)+Tableau!$G$25</f>
        <v>-16827.922745371725</v>
      </c>
      <c r="H388" s="29">
        <f>Tableau!$G$26*SIN(F388*PI()/180)+Tableau!$H$25</f>
        <v>11479.163916092448</v>
      </c>
      <c r="J388" s="36">
        <v>385</v>
      </c>
      <c r="K388" s="37">
        <f>Tableau!$G$36*COS(J388*PI()/180)+Tableau!$G$35</f>
        <v>-468.46106481674997</v>
      </c>
      <c r="L388" s="37">
        <f>Tableau!$G$36*SIN(J388*PI()/180)+Tableau!$H$35</f>
        <v>-12886.908691296503</v>
      </c>
      <c r="N388" s="92">
        <v>384</v>
      </c>
      <c r="O388" s="93">
        <v>192</v>
      </c>
      <c r="P388" s="96">
        <f>P387+R387*Tableau!$G$2+((1/2)*T387)*Tableau!$G$2^2</f>
        <v>-12905185.628344819</v>
      </c>
      <c r="Q388" s="96">
        <f>Q387+S387*Tableau!$G$2+((1/2)*U387)*Tableau!$G$2^2</f>
        <v>6327059.3238934809</v>
      </c>
      <c r="R388" s="96">
        <f>R387+T387*Tableau!$G$2</f>
        <v>-68698.450480616171</v>
      </c>
      <c r="S388" s="96">
        <f>S387+U387*Tableau!$G$2</f>
        <v>33800.849454810828</v>
      </c>
      <c r="T388" s="96">
        <f t="shared" ref="T388:T451" si="12">V388+X388+Z388</f>
        <v>5.3294434890256998E-3</v>
      </c>
      <c r="U388" s="96">
        <f t="shared" ref="U388:U451" si="13">W388+Y388+AA388</f>
        <v>-2.6129021544144806E-3</v>
      </c>
      <c r="V388" s="96">
        <f>((Tableau!$G$16-P388)/(AC388^2+Tableau!$G$21^2)^(3/2))*Tableau!$G$20</f>
        <v>2.2724196518378367E-3</v>
      </c>
      <c r="W388" s="96">
        <f>((Tableau!$H$16-Q388)/(AC388^2+Tableau!$G$21^2)^(3/2))*Tableau!$G$20</f>
        <v>-1.1110626347274818E-3</v>
      </c>
      <c r="X388" s="96">
        <f>((Tableau!$G$25-P388)/(AD388^2+Tableau!$G$30^2)^(3/2))*Tableau!$G$29</f>
        <v>7.8305762085448315E-4</v>
      </c>
      <c r="Y388" s="96">
        <f>((Tableau!$H$25-Q388)/(AD388^2+Tableau!$G$30^2)^(3/2))*Tableau!$G$29</f>
        <v>-3.8389989773085503E-4</v>
      </c>
      <c r="Z388" s="96">
        <f>((Tableau!$G$35-P388)/(AE388^2+Tableau!$G$40^2)^(3/2))*Tableau!$G$39</f>
        <v>2.2739662163333797E-3</v>
      </c>
      <c r="AA388" s="97">
        <f>((Tableau!$H$35-Q388)/(AE388^2+Tableau!$G$40^2)^(3/2))*Tableau!$G$39</f>
        <v>-1.117939621956144E-3</v>
      </c>
      <c r="AC388" s="110">
        <f>SQRT((Tableau!$G$16-P388)^2+(Tableau!$H$16-Q388)^2)</f>
        <v>14387399.12476819</v>
      </c>
      <c r="AD388" s="111">
        <f>SQRT((Tableau!$G$25-P388)^2+(Tableau!$H$25-Q388)^2)</f>
        <v>14350374.461263839</v>
      </c>
      <c r="AE388" s="112">
        <f>SQRT((Tableau!$G$35-P388)^2+(Tableau!$H$35-Q388)^2)</f>
        <v>14374856.719756842</v>
      </c>
    </row>
    <row r="389" spans="2:31" x14ac:dyDescent="0.25">
      <c r="B389" s="18">
        <v>386</v>
      </c>
      <c r="C389" s="19">
        <f>Tableau!$G$17*COS(B389*PI()/180)+Tableau!$G$16</f>
        <v>24493.970231495834</v>
      </c>
      <c r="D389" s="19">
        <f>Tableau!$G$17*SIN(B389*PI()/180)+Tableau!$H$16</f>
        <v>9691.8557339453873</v>
      </c>
      <c r="F389" s="26">
        <v>386</v>
      </c>
      <c r="G389" s="27">
        <f>Tableau!$G$26*COS(F389*PI()/180)+Tableau!$G$25</f>
        <v>-16854.220837952915</v>
      </c>
      <c r="H389" s="27">
        <f>Tableau!$G$26*SIN(F389*PI()/180)+Tableau!$H$25</f>
        <v>11534.299013761771</v>
      </c>
      <c r="J389" s="34">
        <v>386</v>
      </c>
      <c r="K389" s="35">
        <f>Tableau!$G$36*COS(J389*PI()/180)+Tableau!$G$35</f>
        <v>-506.02976850416508</v>
      </c>
      <c r="L389" s="35">
        <f>Tableau!$G$36*SIN(J389*PI()/180)+Tableau!$H$35</f>
        <v>-12808.144266054613</v>
      </c>
      <c r="N389" s="98">
        <v>385</v>
      </c>
      <c r="O389" s="99">
        <v>192.5</v>
      </c>
      <c r="P389" s="101">
        <f>P388+R388*Tableau!$G$2+((1/2)*T388)*Tableau!$G$2^2</f>
        <v>-12939534.852918947</v>
      </c>
      <c r="Q389" s="101">
        <f>Q388+S388*Tableau!$G$2+((1/2)*U388)*Tableau!$G$2^2</f>
        <v>6343959.7482942734</v>
      </c>
      <c r="R389" s="101">
        <f>R388+T388*Tableau!$G$2</f>
        <v>-68698.447815894426</v>
      </c>
      <c r="S389" s="101">
        <f>S388+U388*Tableau!$G$2</f>
        <v>33800.84814835975</v>
      </c>
      <c r="T389" s="101">
        <f t="shared" si="12"/>
        <v>5.3011645206572679E-3</v>
      </c>
      <c r="U389" s="101">
        <f t="shared" si="13"/>
        <v>-2.5990621055001755E-3</v>
      </c>
      <c r="V389" s="101">
        <f>((Tableau!$G$16-P389)/(AC389^2+Tableau!$G$21^2)^(3/2))*Tableau!$G$20</f>
        <v>2.2603676550791594E-3</v>
      </c>
      <c r="W389" s="101">
        <f>((Tableau!$H$16-Q389)/(AC389^2+Tableau!$G$21^2)^(3/2))*Tableau!$G$20</f>
        <v>-1.1051884828666841E-3</v>
      </c>
      <c r="X389" s="101">
        <f>((Tableau!$G$25-P389)/(AD389^2+Tableau!$G$30^2)^(3/2))*Tableau!$G$29</f>
        <v>7.7889499646711306E-4</v>
      </c>
      <c r="Y389" s="101">
        <f>((Tableau!$H$25-Q389)/(AD389^2+Tableau!$G$30^2)^(3/2))*Tableau!$G$29</f>
        <v>-3.8186278468499711E-4</v>
      </c>
      <c r="Z389" s="101">
        <f>((Tableau!$G$35-P389)/(AE389^2+Tableau!$G$40^2)^(3/2))*Tableau!$G$39</f>
        <v>2.2619018691109952E-3</v>
      </c>
      <c r="AA389" s="102">
        <f>((Tableau!$H$35-Q389)/(AE389^2+Tableau!$G$40^2)^(3/2))*Tableau!$G$39</f>
        <v>-1.1120108379484941E-3</v>
      </c>
      <c r="AC389" s="113">
        <f>SQRT((Tableau!$G$16-P389)^2+(Tableau!$H$16-Q389)^2)</f>
        <v>14425680.7723509</v>
      </c>
      <c r="AD389" s="114">
        <f>SQRT((Tableau!$G$25-P389)^2+(Tableau!$H$25-Q389)^2)</f>
        <v>14388656.188428421</v>
      </c>
      <c r="AE389" s="115">
        <f>SQRT((Tableau!$G$35-P389)^2+(Tableau!$H$35-Q389)^2)</f>
        <v>14413138.483404707</v>
      </c>
    </row>
    <row r="390" spans="2:31" x14ac:dyDescent="0.25">
      <c r="B390" s="20">
        <v>387</v>
      </c>
      <c r="C390" s="21">
        <f>Tableau!$G$17*COS(B390*PI()/180)+Tableau!$G$16</f>
        <v>24455.032620941838</v>
      </c>
      <c r="D390" s="21">
        <f>Tableau!$G$17*SIN(B390*PI()/180)+Tableau!$H$16</f>
        <v>9769.9524986977376</v>
      </c>
      <c r="F390" s="28">
        <v>387</v>
      </c>
      <c r="G390" s="29">
        <f>Tableau!$G$26*COS(F390*PI()/180)+Tableau!$G$25</f>
        <v>-16881.477165340715</v>
      </c>
      <c r="H390" s="29">
        <f>Tableau!$G$26*SIN(F390*PI()/180)+Tableau!$H$25</f>
        <v>11588.966749088417</v>
      </c>
      <c r="J390" s="36">
        <v>387</v>
      </c>
      <c r="K390" s="37">
        <f>Tableau!$G$36*COS(J390*PI()/180)+Tableau!$G$35</f>
        <v>-544.9673790581619</v>
      </c>
      <c r="L390" s="37">
        <f>Tableau!$G$36*SIN(J390*PI()/180)+Tableau!$H$35</f>
        <v>-12730.047501302262</v>
      </c>
      <c r="N390" s="92">
        <v>386</v>
      </c>
      <c r="O390" s="93">
        <v>193</v>
      </c>
      <c r="P390" s="96">
        <f>P389+R389*Tableau!$G$2+((1/2)*T389)*Tableau!$G$2^2</f>
        <v>-12973884.076164249</v>
      </c>
      <c r="Q390" s="96">
        <f>Q389+S389*Tableau!$G$2+((1/2)*U389)*Tableau!$G$2^2</f>
        <v>6360860.1720435703</v>
      </c>
      <c r="R390" s="96">
        <f>R389+T389*Tableau!$G$2</f>
        <v>-68698.445165312165</v>
      </c>
      <c r="S390" s="96">
        <f>S389+U389*Tableau!$G$2</f>
        <v>33800.846848828696</v>
      </c>
      <c r="T390" s="96">
        <f t="shared" si="12"/>
        <v>5.273110037227512E-3</v>
      </c>
      <c r="U390" s="96">
        <f t="shared" si="13"/>
        <v>-2.5853317285674856E-3</v>
      </c>
      <c r="V390" s="96">
        <f>((Tableau!$G$16-P390)/(AC390^2+Tableau!$G$21^2)^(3/2))*Tableau!$G$20</f>
        <v>2.2484112832117488E-3</v>
      </c>
      <c r="W390" s="96">
        <f>((Tableau!$H$16-Q390)/(AC390^2+Tableau!$G$21^2)^(3/2))*Tableau!$G$20</f>
        <v>-1.0993607926158887E-3</v>
      </c>
      <c r="X390" s="96">
        <f>((Tableau!$G$25-P390)/(AD390^2+Tableau!$G$30^2)^(3/2))*Tableau!$G$29</f>
        <v>7.7476547608503962E-4</v>
      </c>
      <c r="Y390" s="96">
        <f>((Tableau!$H$25-Q390)/(AD390^2+Tableau!$G$30^2)^(3/2))*Tableau!$G$29</f>
        <v>-3.7984184325044789E-4</v>
      </c>
      <c r="Z390" s="96">
        <f>((Tableau!$G$35-P390)/(AE390^2+Tableau!$G$40^2)^(3/2))*Tableau!$G$39</f>
        <v>2.249933277930724E-3</v>
      </c>
      <c r="AA390" s="97">
        <f>((Tableau!$H$35-Q390)/(AE390^2+Tableau!$G$40^2)^(3/2))*Tableau!$G$39</f>
        <v>-1.106129092701149E-3</v>
      </c>
      <c r="AC390" s="110">
        <f>SQRT((Tableau!$G$16-P390)^2+(Tableau!$H$16-Q390)^2)</f>
        <v>14463962.419078127</v>
      </c>
      <c r="AD390" s="111">
        <f>SQRT((Tableau!$G$25-P390)^2+(Tableau!$H$25-Q390)^2)</f>
        <v>14426937.914316779</v>
      </c>
      <c r="AE390" s="112">
        <f>SQRT((Tableau!$G$35-P390)^2+(Tableau!$H$35-Q390)^2)</f>
        <v>14451420.245582718</v>
      </c>
    </row>
    <row r="391" spans="2:31" x14ac:dyDescent="0.25">
      <c r="B391" s="18">
        <v>388</v>
      </c>
      <c r="C391" s="19">
        <f>Tableau!$G$17*COS(B391*PI()/180)+Tableau!$G$16</f>
        <v>24414.737964294636</v>
      </c>
      <c r="D391" s="19">
        <f>Tableau!$G$17*SIN(B391*PI()/180)+Tableau!$H$16</f>
        <v>9847.3578139294514</v>
      </c>
      <c r="F391" s="26">
        <v>388</v>
      </c>
      <c r="G391" s="27">
        <f>Tableau!$G$26*COS(F391*PI()/180)+Tableau!$G$25</f>
        <v>-16909.683424993753</v>
      </c>
      <c r="H391" s="27">
        <f>Tableau!$G$26*SIN(F391*PI()/180)+Tableau!$H$25</f>
        <v>11643.150469750617</v>
      </c>
      <c r="J391" s="34">
        <v>388</v>
      </c>
      <c r="K391" s="35">
        <f>Tableau!$G$36*COS(J391*PI()/180)+Tableau!$G$35</f>
        <v>-585.26203570536381</v>
      </c>
      <c r="L391" s="35">
        <f>Tableau!$G$36*SIN(J391*PI()/180)+Tableau!$H$35</f>
        <v>-12652.642186070549</v>
      </c>
      <c r="N391" s="98">
        <v>387</v>
      </c>
      <c r="O391" s="99">
        <v>193.5</v>
      </c>
      <c r="P391" s="101">
        <f>P390+R390*Tableau!$G$2+((1/2)*T390)*Tableau!$G$2^2</f>
        <v>-13008233.298087768</v>
      </c>
      <c r="Q391" s="101">
        <f>Q390+S390*Tableau!$G$2+((1/2)*U390)*Tableau!$G$2^2</f>
        <v>6377760.5951448185</v>
      </c>
      <c r="R391" s="101">
        <f>R390+T390*Tableau!$G$2</f>
        <v>-68698.44252875715</v>
      </c>
      <c r="S391" s="101">
        <f>S390+U390*Tableau!$G$2</f>
        <v>33800.845556162829</v>
      </c>
      <c r="T391" s="101">
        <f t="shared" si="12"/>
        <v>5.245277668985018E-3</v>
      </c>
      <c r="U391" s="101">
        <f t="shared" si="13"/>
        <v>-2.5717098679105214E-3</v>
      </c>
      <c r="V391" s="101">
        <f>((Tableau!$G$16-P391)/(AC391^2+Tableau!$G$21^2)^(3/2))*Tableau!$G$20</f>
        <v>2.2365495272746276E-3</v>
      </c>
      <c r="W391" s="101">
        <f>((Tableau!$H$16-Q391)/(AC391^2+Tableau!$G$21^2)^(3/2))*Tableau!$G$20</f>
        <v>-1.0935790752824872E-3</v>
      </c>
      <c r="X391" s="101">
        <f>((Tableau!$G$25-P391)/(AD391^2+Tableau!$G$30^2)^(3/2))*Tableau!$G$29</f>
        <v>7.7066870961506112E-4</v>
      </c>
      <c r="Y391" s="101">
        <f>((Tableau!$H$25-Q391)/(AD391^2+Tableau!$G$30^2)^(3/2))*Tableau!$G$29</f>
        <v>-3.7783690270796127E-4</v>
      </c>
      <c r="Z391" s="101">
        <f>((Tableau!$G$35-P391)/(AE391^2+Tableau!$G$40^2)^(3/2))*Tableau!$G$39</f>
        <v>2.2380594320953293E-3</v>
      </c>
      <c r="AA391" s="102">
        <f>((Tableau!$H$35-Q391)/(AE391^2+Tableau!$G$40^2)^(3/2))*Tableau!$G$39</f>
        <v>-1.100293889920073E-3</v>
      </c>
      <c r="AC391" s="113">
        <f>SQRT((Tableau!$G$16-P391)^2+(Tableau!$H$16-Q391)^2)</f>
        <v>14502244.064952765</v>
      </c>
      <c r="AD391" s="114">
        <f>SQRT((Tableau!$G$25-P391)^2+(Tableau!$H$25-Q391)^2)</f>
        <v>14465219.638935143</v>
      </c>
      <c r="AE391" s="115">
        <f>SQRT((Tableau!$G$35-P391)^2+(Tableau!$H$35-Q391)^2)</f>
        <v>14489702.006298641</v>
      </c>
    </row>
    <row r="392" spans="2:31" x14ac:dyDescent="0.25">
      <c r="B392" s="20">
        <v>389</v>
      </c>
      <c r="C392" s="21">
        <f>Tableau!$G$17*COS(B392*PI()/180)+Tableau!$G$16</f>
        <v>24373.09853569698</v>
      </c>
      <c r="D392" s="21">
        <f>Tableau!$G$17*SIN(B392*PI()/180)+Tableau!$H$16</f>
        <v>9924.048101231685</v>
      </c>
      <c r="F392" s="28">
        <v>389</v>
      </c>
      <c r="G392" s="29">
        <f>Tableau!$G$26*COS(F392*PI()/180)+Tableau!$G$25</f>
        <v>-16938.831025012114</v>
      </c>
      <c r="H392" s="29">
        <f>Tableau!$G$26*SIN(F392*PI()/180)+Tableau!$H$25</f>
        <v>11696.833670862181</v>
      </c>
      <c r="J392" s="36">
        <v>389</v>
      </c>
      <c r="K392" s="37">
        <f>Tableau!$G$36*COS(J392*PI()/180)+Tableau!$G$35</f>
        <v>-626.90146430302138</v>
      </c>
      <c r="L392" s="37">
        <f>Tableau!$G$36*SIN(J392*PI()/180)+Tableau!$H$35</f>
        <v>-12575.951898768315</v>
      </c>
      <c r="N392" s="92">
        <v>388</v>
      </c>
      <c r="O392" s="93">
        <v>194</v>
      </c>
      <c r="P392" s="96">
        <f>P391+R391*Tableau!$G$2+((1/2)*T391)*Tableau!$G$2^2</f>
        <v>-13042582.518696487</v>
      </c>
      <c r="Q392" s="96">
        <f>Q391+S391*Tableau!$G$2+((1/2)*U391)*Tableau!$G$2^2</f>
        <v>6394661.017601436</v>
      </c>
      <c r="R392" s="96">
        <f>R391+T391*Tableau!$G$2</f>
        <v>-68698.439906118321</v>
      </c>
      <c r="S392" s="96">
        <f>S391+U391*Tableau!$G$2</f>
        <v>33800.844270307898</v>
      </c>
      <c r="T392" s="96">
        <f t="shared" si="12"/>
        <v>5.2176650773662027E-3</v>
      </c>
      <c r="U392" s="96">
        <f t="shared" si="13"/>
        <v>-2.5581953830067393E-3</v>
      </c>
      <c r="V392" s="96">
        <f>((Tableau!$G$16-P392)/(AC392^2+Tableau!$G$21^2)^(3/2))*Tableau!$G$20</f>
        <v>2.2247813915790243E-3</v>
      </c>
      <c r="W392" s="96">
        <f>((Tableau!$H$16-Q392)/(AC392^2+Tableau!$G$21^2)^(3/2))*Tableau!$G$20</f>
        <v>-1.0878428485821836E-3</v>
      </c>
      <c r="X392" s="96">
        <f>((Tableau!$G$25-P392)/(AD392^2+Tableau!$G$30^2)^(3/2))*Tableau!$G$29</f>
        <v>7.6660435157981273E-4</v>
      </c>
      <c r="Y392" s="96">
        <f>((Tableau!$H$25-Q392)/(AD392^2+Tableau!$G$30^2)^(3/2))*Tableau!$G$29</f>
        <v>-3.7584779458515414E-4</v>
      </c>
      <c r="Z392" s="96">
        <f>((Tableau!$G$35-P392)/(AE392^2+Tableau!$G$40^2)^(3/2))*Tableau!$G$39</f>
        <v>2.2262793342073656E-3</v>
      </c>
      <c r="AA392" s="97">
        <f>((Tableau!$H$35-Q392)/(AE392^2+Tableau!$G$40^2)^(3/2))*Tableau!$G$39</f>
        <v>-1.0945047398394016E-3</v>
      </c>
      <c r="AC392" s="110">
        <f>SQRT((Tableau!$G$16-P392)^2+(Tableau!$H$16-Q392)^2)</f>
        <v>14540525.709977699</v>
      </c>
      <c r="AD392" s="111">
        <f>SQRT((Tableau!$G$25-P392)^2+(Tableau!$H$25-Q392)^2)</f>
        <v>14503501.362289686</v>
      </c>
      <c r="AE392" s="112">
        <f>SQRT((Tableau!$G$35-P392)^2+(Tableau!$H$35-Q392)^2)</f>
        <v>14527983.765560165</v>
      </c>
    </row>
    <row r="393" spans="2:31" x14ac:dyDescent="0.25">
      <c r="B393" s="18">
        <v>390</v>
      </c>
      <c r="C393" s="19">
        <f>Tableau!$G$17*COS(B393*PI()/180)+Tableau!$G$16</f>
        <v>24330.127018922194</v>
      </c>
      <c r="D393" s="19">
        <f>Tableau!$G$17*SIN(B393*PI()/180)+Tableau!$H$16</f>
        <v>9999.9999999999964</v>
      </c>
      <c r="F393" s="26">
        <v>390</v>
      </c>
      <c r="G393" s="27">
        <f>Tableau!$G$26*COS(F393*PI()/180)+Tableau!$G$25</f>
        <v>-16968.911086754462</v>
      </c>
      <c r="H393" s="27">
        <f>Tableau!$G$26*SIN(F393*PI()/180)+Tableau!$H$25</f>
        <v>11749.999999999998</v>
      </c>
      <c r="J393" s="34">
        <v>390</v>
      </c>
      <c r="K393" s="35">
        <f>Tableau!$G$36*COS(J393*PI()/180)+Tableau!$G$35</f>
        <v>-669.87298107780498</v>
      </c>
      <c r="L393" s="35">
        <f>Tableau!$G$36*SIN(J393*PI()/180)+Tableau!$H$35</f>
        <v>-12500.000000000004</v>
      </c>
      <c r="N393" s="98">
        <v>389</v>
      </c>
      <c r="O393" s="99">
        <v>194.5</v>
      </c>
      <c r="P393" s="101">
        <f>P392+R392*Tableau!$G$2+((1/2)*T392)*Tableau!$G$2^2</f>
        <v>-13076931.737997336</v>
      </c>
      <c r="Q393" s="101">
        <f>Q392+S392*Tableau!$G$2+((1/2)*U392)*Tableau!$G$2^2</f>
        <v>6411561.4394168155</v>
      </c>
      <c r="R393" s="101">
        <f>R392+T392*Tableau!$G$2</f>
        <v>-68698.437297285782</v>
      </c>
      <c r="S393" s="101">
        <f>S392+U392*Tableau!$G$2</f>
        <v>33800.842991210207</v>
      </c>
      <c r="T393" s="101">
        <f t="shared" si="12"/>
        <v>5.1902699545038483E-3</v>
      </c>
      <c r="U393" s="101">
        <f t="shared" si="13"/>
        <v>-2.5447871482780901E-3</v>
      </c>
      <c r="V393" s="101">
        <f>((Tableau!$G$16-P393)/(AC393^2+Tableau!$G$21^2)^(3/2))*Tableau!$G$20</f>
        <v>2.2131058934993669E-3</v>
      </c>
      <c r="W393" s="101">
        <f>((Tableau!$H$16-Q393)/(AC393^2+Tableau!$G$21^2)^(3/2))*Tableau!$G$20</f>
        <v>-1.0821516365383897E-3</v>
      </c>
      <c r="X393" s="101">
        <f>((Tableau!$G$25-P393)/(AD393^2+Tableau!$G$30^2)^(3/2))*Tableau!$G$29</f>
        <v>7.6257206104494708E-4</v>
      </c>
      <c r="Y393" s="101">
        <f>((Tableau!$H$25-Q393)/(AD393^2+Tableau!$G$30^2)^(3/2))*Tableau!$G$29</f>
        <v>-3.7387435262112225E-4</v>
      </c>
      <c r="Z393" s="101">
        <f>((Tableau!$G$35-P393)/(AE393^2+Tableau!$G$40^2)^(3/2))*Tableau!$G$39</f>
        <v>2.2145919999595346E-3</v>
      </c>
      <c r="AA393" s="102">
        <f>((Tableau!$H$35-Q393)/(AE393^2+Tableau!$G$40^2)^(3/2))*Tableau!$G$39</f>
        <v>-1.0887611591185783E-3</v>
      </c>
      <c r="AC393" s="113">
        <f>SQRT((Tableau!$G$16-P393)^2+(Tableau!$H$16-Q393)^2)</f>
        <v>14578807.354155803</v>
      </c>
      <c r="AD393" s="114">
        <f>SQRT((Tableau!$G$25-P393)^2+(Tableau!$H$25-Q393)^2)</f>
        <v>14541783.084386537</v>
      </c>
      <c r="AE393" s="115">
        <f>SQRT((Tableau!$G$35-P393)^2+(Tableau!$H$35-Q393)^2)</f>
        <v>14566265.523374932</v>
      </c>
    </row>
    <row r="394" spans="2:31" x14ac:dyDescent="0.25">
      <c r="B394" s="20">
        <v>391</v>
      </c>
      <c r="C394" s="21">
        <f>Tableau!$G$17*COS(B394*PI()/180)+Tableau!$G$16</f>
        <v>24285.83650351056</v>
      </c>
      <c r="D394" s="21">
        <f>Tableau!$G$17*SIN(B394*PI()/180)+Tableau!$H$16</f>
        <v>10075.19037455027</v>
      </c>
      <c r="F394" s="28">
        <v>391</v>
      </c>
      <c r="G394" s="29">
        <f>Tableau!$G$26*COS(F394*PI()/180)+Tableau!$G$25</f>
        <v>-16999.914447542607</v>
      </c>
      <c r="H394" s="29">
        <f>Tableau!$G$26*SIN(F394*PI()/180)+Tableau!$H$25</f>
        <v>11802.633262185189</v>
      </c>
      <c r="J394" s="36">
        <v>391</v>
      </c>
      <c r="K394" s="37">
        <f>Tableau!$G$36*COS(J394*PI()/180)+Tableau!$G$35</f>
        <v>-714.16349648943833</v>
      </c>
      <c r="L394" s="37">
        <f>Tableau!$G$36*SIN(J394*PI()/180)+Tableau!$H$35</f>
        <v>-12424.80962544973</v>
      </c>
      <c r="N394" s="92">
        <v>390</v>
      </c>
      <c r="O394" s="93">
        <v>195</v>
      </c>
      <c r="P394" s="96">
        <f>P393+R393*Tableau!$G$2+((1/2)*T393)*Tableau!$G$2^2</f>
        <v>-13111280.955997195</v>
      </c>
      <c r="Q394" s="96">
        <f>Q393+S393*Tableau!$G$2+((1/2)*U393)*Tableau!$G$2^2</f>
        <v>6428461.860594322</v>
      </c>
      <c r="R394" s="96">
        <f>R393+T393*Tableau!$G$2</f>
        <v>-68698.4347021508</v>
      </c>
      <c r="S394" s="96">
        <f>S393+U393*Tableau!$G$2</f>
        <v>33800.841718816635</v>
      </c>
      <c r="T394" s="96">
        <f t="shared" si="12"/>
        <v>5.1630900227451031E-3</v>
      </c>
      <c r="U394" s="96">
        <f t="shared" si="13"/>
        <v>-2.5314840528567716E-3</v>
      </c>
      <c r="V394" s="96">
        <f>((Tableau!$G$16-P394)/(AC394^2+Tableau!$G$21^2)^(3/2))*Tableau!$G$20</f>
        <v>2.2015220632682834E-3</v>
      </c>
      <c r="W394" s="96">
        <f>((Tableau!$H$16-Q394)/(AC394^2+Tableau!$G$21^2)^(3/2))*Tableau!$G$20</f>
        <v>-1.0765049693835511E-3</v>
      </c>
      <c r="X394" s="96">
        <f>((Tableau!$G$25-P394)/(AD394^2+Tableau!$G$30^2)^(3/2))*Tableau!$G$29</f>
        <v>7.5857150154758459E-4</v>
      </c>
      <c r="Y394" s="96">
        <f>((Tableau!$H$25-Q394)/(AD394^2+Tableau!$G$30^2)^(3/2))*Tableau!$G$29</f>
        <v>-3.7191641273167265E-4</v>
      </c>
      <c r="Z394" s="96">
        <f>((Tableau!$G$35-P394)/(AE394^2+Tableau!$G$40^2)^(3/2))*Tableau!$G$39</f>
        <v>2.2029964579292349E-3</v>
      </c>
      <c r="AA394" s="97">
        <f>((Tableau!$H$35-Q394)/(AE394^2+Tableau!$G$40^2)^(3/2))*Tableau!$G$39</f>
        <v>-1.0830626707415479E-3</v>
      </c>
      <c r="AC394" s="110">
        <f>SQRT((Tableau!$G$16-P394)^2+(Tableau!$H$16-Q394)^2)</f>
        <v>14617088.997489942</v>
      </c>
      <c r="AD394" s="111">
        <f>SQRT((Tableau!$G$25-P394)^2+(Tableau!$H$25-Q394)^2)</f>
        <v>14580064.805231791</v>
      </c>
      <c r="AE394" s="112">
        <f>SQRT((Tableau!$G$35-P394)^2+(Tableau!$H$35-Q394)^2)</f>
        <v>14604547.279750522</v>
      </c>
    </row>
    <row r="395" spans="2:31" x14ac:dyDescent="0.25">
      <c r="B395" s="18">
        <v>392</v>
      </c>
      <c r="C395" s="19">
        <f>Tableau!$G$17*COS(B395*PI()/180)+Tableau!$G$16</f>
        <v>24240.240480782129</v>
      </c>
      <c r="D395" s="19">
        <f>Tableau!$G$17*SIN(B395*PI()/180)+Tableau!$H$16</f>
        <v>10149.596321166024</v>
      </c>
      <c r="F395" s="26">
        <v>392</v>
      </c>
      <c r="G395" s="27">
        <f>Tableau!$G$26*COS(F395*PI()/180)+Tableau!$G$25</f>
        <v>-17031.831663452507</v>
      </c>
      <c r="H395" s="27">
        <f>Tableau!$G$26*SIN(F395*PI()/180)+Tableau!$H$25</f>
        <v>11854.717424816215</v>
      </c>
      <c r="J395" s="34">
        <v>392</v>
      </c>
      <c r="K395" s="35">
        <f>Tableau!$G$36*COS(J395*PI()/180)+Tableau!$G$35</f>
        <v>-759.75951921786873</v>
      </c>
      <c r="L395" s="35">
        <f>Tableau!$G$36*SIN(J395*PI()/180)+Tableau!$H$35</f>
        <v>-12350.403678833976</v>
      </c>
      <c r="N395" s="98">
        <v>391</v>
      </c>
      <c r="O395" s="99">
        <v>195.5</v>
      </c>
      <c r="P395" s="101">
        <f>P394+R394*Tableau!$G$2+((1/2)*T394)*Tableau!$G$2^2</f>
        <v>-13145630.172702884</v>
      </c>
      <c r="Q395" s="101">
        <f>Q394+S394*Tableau!$G$2+((1/2)*U394)*Tableau!$G$2^2</f>
        <v>6445362.2811372951</v>
      </c>
      <c r="R395" s="101">
        <f>R394+T394*Tableau!$G$2</f>
        <v>-68698.432120605794</v>
      </c>
      <c r="S395" s="101">
        <f>S394+U394*Tableau!$G$2</f>
        <v>33800.840453074612</v>
      </c>
      <c r="T395" s="101">
        <f t="shared" si="12"/>
        <v>5.1361230341779307E-3</v>
      </c>
      <c r="U395" s="101">
        <f t="shared" si="13"/>
        <v>-2.5182850003550774E-3</v>
      </c>
      <c r="V395" s="101">
        <f>((Tableau!$G$16-P395)/(AC395^2+Tableau!$G$21^2)^(3/2))*Tableau!$G$20</f>
        <v>2.1900289437750907E-3</v>
      </c>
      <c r="W395" s="101">
        <f>((Tableau!$H$16-Q395)/(AC395^2+Tableau!$G$21^2)^(3/2))*Tableau!$G$20</f>
        <v>-1.0709023834621417E-3</v>
      </c>
      <c r="X395" s="101">
        <f>((Tableau!$G$25-P395)/(AD395^2+Tableau!$G$30^2)^(3/2))*Tableau!$G$29</f>
        <v>7.546023410261929E-4</v>
      </c>
      <c r="Y395" s="101">
        <f>((Tableau!$H$25-Q395)/(AD395^2+Tableau!$G$30^2)^(3/2))*Tableau!$G$29</f>
        <v>-3.6997381297524914E-4</v>
      </c>
      <c r="Z395" s="101">
        <f>((Tableau!$G$35-P395)/(AE395^2+Tableau!$G$40^2)^(3/2))*Tableau!$G$39</f>
        <v>2.1914917493766469E-3</v>
      </c>
      <c r="AA395" s="102">
        <f>((Tableau!$H$35-Q395)/(AE395^2+Tableau!$G$40^2)^(3/2))*Tableau!$G$39</f>
        <v>-1.0774088039176865E-3</v>
      </c>
      <c r="AC395" s="113">
        <f>SQRT((Tableau!$G$16-P395)^2+(Tableau!$H$16-Q395)^2)</f>
        <v>14655370.63998297</v>
      </c>
      <c r="AD395" s="114">
        <f>SQRT((Tableau!$G$25-P395)^2+(Tableau!$H$25-Q395)^2)</f>
        <v>14618346.524831491</v>
      </c>
      <c r="AE395" s="115">
        <f>SQRT((Tableau!$G$35-P395)^2+(Tableau!$H$35-Q395)^2)</f>
        <v>14642829.034694454</v>
      </c>
    </row>
    <row r="396" spans="2:31" x14ac:dyDescent="0.25">
      <c r="B396" s="20">
        <v>393</v>
      </c>
      <c r="C396" s="21">
        <f>Tableau!$G$17*COS(B396*PI()/180)+Tableau!$G$16</f>
        <v>24193.352839727122</v>
      </c>
      <c r="D396" s="21">
        <f>Tableau!$G$17*SIN(B396*PI()/180)+Tableau!$H$16</f>
        <v>10223.195175075132</v>
      </c>
      <c r="F396" s="28">
        <v>393</v>
      </c>
      <c r="G396" s="29">
        <f>Tableau!$G$26*COS(F396*PI()/180)+Tableau!$G$25</f>
        <v>-17064.653012191015</v>
      </c>
      <c r="H396" s="29">
        <f>Tableau!$G$26*SIN(F396*PI()/180)+Tableau!$H$25</f>
        <v>11906.236622552593</v>
      </c>
      <c r="J396" s="36">
        <v>393</v>
      </c>
      <c r="K396" s="37">
        <f>Tableau!$G$36*COS(J396*PI()/180)+Tableau!$G$35</f>
        <v>-806.64716027287795</v>
      </c>
      <c r="L396" s="37">
        <f>Tableau!$G$36*SIN(J396*PI()/180)+Tableau!$H$35</f>
        <v>-12276.804824924868</v>
      </c>
      <c r="N396" s="92">
        <v>392</v>
      </c>
      <c r="O396" s="93">
        <v>196</v>
      </c>
      <c r="P396" s="96">
        <f>P395+R395*Tableau!$G$2+((1/2)*T395)*Tableau!$G$2^2</f>
        <v>-13179979.388121173</v>
      </c>
      <c r="Q396" s="96">
        <f>Q395+S395*Tableau!$G$2+((1/2)*U395)*Tableau!$G$2^2</f>
        <v>6462262.7010490475</v>
      </c>
      <c r="R396" s="96">
        <f>R395+T395*Tableau!$G$2</f>
        <v>-68698.429552544272</v>
      </c>
      <c r="S396" s="96">
        <f>S395+U395*Tableau!$G$2</f>
        <v>33800.839193932115</v>
      </c>
      <c r="T396" s="96">
        <f t="shared" si="12"/>
        <v>5.1093667701663376E-3</v>
      </c>
      <c r="U396" s="96">
        <f t="shared" si="13"/>
        <v>-2.5051889086394998E-3</v>
      </c>
      <c r="V396" s="96">
        <f>((Tableau!$G$16-P396)/(AC396^2+Tableau!$G$21^2)^(3/2))*Tableau!$G$20</f>
        <v>2.1786255903682539E-3</v>
      </c>
      <c r="W396" s="96">
        <f>((Tableau!$H$16-Q396)/(AC396^2+Tableau!$G$21^2)^(3/2))*Tableau!$G$20</f>
        <v>-1.0653434211355659E-3</v>
      </c>
      <c r="X396" s="96">
        <f>((Tableau!$G$25-P396)/(AD396^2+Tableau!$G$30^2)^(3/2))*Tableau!$G$29</f>
        <v>7.5066425175160649E-4</v>
      </c>
      <c r="Y396" s="96">
        <f>((Tableau!$H$25-Q396)/(AD396^2+Tableau!$G$30^2)^(3/2))*Tableau!$G$29</f>
        <v>-3.6804639351941092E-4</v>
      </c>
      <c r="Z396" s="96">
        <f>((Tableau!$G$35-P396)/(AE396^2+Tableau!$G$40^2)^(3/2))*Tableau!$G$39</f>
        <v>2.1800769280464777E-3</v>
      </c>
      <c r="AA396" s="97">
        <f>((Tableau!$H$35-Q396)/(AE396^2+Tableau!$G$40^2)^(3/2))*Tableau!$G$39</f>
        <v>-1.0717990939845231E-3</v>
      </c>
      <c r="AC396" s="110">
        <f>SQRT((Tableau!$G$16-P396)^2+(Tableau!$H$16-Q396)^2)</f>
        <v>14693652.281637736</v>
      </c>
      <c r="AD396" s="111">
        <f>SQRT((Tableau!$G$25-P396)^2+(Tableau!$H$25-Q396)^2)</f>
        <v>14656628.243191641</v>
      </c>
      <c r="AE396" s="112">
        <f>SQRT((Tableau!$G$35-P396)^2+(Tableau!$H$35-Q396)^2)</f>
        <v>14681110.788214186</v>
      </c>
    </row>
    <row r="397" spans="2:31" x14ac:dyDescent="0.25">
      <c r="B397" s="18">
        <v>394</v>
      </c>
      <c r="C397" s="19">
        <f>Tableau!$G$17*COS(B397*PI()/180)+Tableau!$G$16</f>
        <v>24145.187862775208</v>
      </c>
      <c r="D397" s="19">
        <f>Tableau!$G$17*SIN(B397*PI()/180)+Tableau!$H$16</f>
        <v>10295.964517353732</v>
      </c>
      <c r="F397" s="26">
        <v>394</v>
      </c>
      <c r="G397" s="27">
        <f>Tableau!$G$26*COS(F397*PI()/180)+Tableau!$G$25</f>
        <v>-17098.368496057352</v>
      </c>
      <c r="H397" s="27">
        <f>Tableau!$G$26*SIN(F397*PI()/180)+Tableau!$H$25</f>
        <v>11957.175162147612</v>
      </c>
      <c r="J397" s="34">
        <v>394</v>
      </c>
      <c r="K397" s="35">
        <f>Tableau!$G$36*COS(J397*PI()/180)+Tableau!$G$35</f>
        <v>-854.81213722478969</v>
      </c>
      <c r="L397" s="35">
        <f>Tableau!$G$36*SIN(J397*PI()/180)+Tableau!$H$35</f>
        <v>-12204.035482646268</v>
      </c>
      <c r="N397" s="98">
        <v>393</v>
      </c>
      <c r="O397" s="99">
        <v>196.5</v>
      </c>
      <c r="P397" s="101">
        <f>P396+R396*Tableau!$G$2+((1/2)*T396)*Tableau!$G$2^2</f>
        <v>-13214328.602258774</v>
      </c>
      <c r="Q397" s="101">
        <f>Q396+S396*Tableau!$G$2+((1/2)*U396)*Tableau!$G$2^2</f>
        <v>6479163.120332865</v>
      </c>
      <c r="R397" s="101">
        <f>R396+T396*Tableau!$G$2</f>
        <v>-68698.426997860894</v>
      </c>
      <c r="S397" s="101">
        <f>S396+U396*Tableau!$G$2</f>
        <v>33800.837941337661</v>
      </c>
      <c r="T397" s="101">
        <f t="shared" si="12"/>
        <v>5.0828190408939416E-3</v>
      </c>
      <c r="U397" s="101">
        <f t="shared" si="13"/>
        <v>-2.4921947096088852E-3</v>
      </c>
      <c r="V397" s="101">
        <f>((Tableau!$G$16-P397)/(AC397^2+Tableau!$G$21^2)^(3/2))*Tableau!$G$20</f>
        <v>2.1673110706609978E-3</v>
      </c>
      <c r="W397" s="101">
        <f>((Tableau!$H$16-Q397)/(AC397^2+Tableau!$G$21^2)^(3/2))*Tableau!$G$20</f>
        <v>-1.0598276306885716E-3</v>
      </c>
      <c r="X397" s="101">
        <f>((Tableau!$G$25-P397)/(AD397^2+Tableau!$G$30^2)^(3/2))*Tableau!$G$29</f>
        <v>7.4675691025942448E-4</v>
      </c>
      <c r="Y397" s="101">
        <f>((Tableau!$H$25-Q397)/(AD397^2+Tableau!$G$30^2)^(3/2))*Tableau!$G$29</f>
        <v>-3.6613399660798005E-4</v>
      </c>
      <c r="Z397" s="101">
        <f>((Tableau!$G$35-P397)/(AE397^2+Tableau!$G$40^2)^(3/2))*Tableau!$G$39</f>
        <v>2.1687510599735192E-3</v>
      </c>
      <c r="AA397" s="102">
        <f>((Tableau!$H$35-Q397)/(AE397^2+Tableau!$G$40^2)^(3/2))*Tableau!$G$39</f>
        <v>-1.0662330823123334E-3</v>
      </c>
      <c r="AC397" s="113">
        <f>SQRT((Tableau!$G$16-P397)^2+(Tableau!$H$16-Q397)^2)</f>
        <v>14731933.922457064</v>
      </c>
      <c r="AD397" s="114">
        <f>SQRT((Tableau!$G$25-P397)^2+(Tableau!$H$25-Q397)^2)</f>
        <v>14694909.960318193</v>
      </c>
      <c r="AE397" s="115">
        <f>SQRT((Tableau!$G$35-P397)^2+(Tableau!$H$35-Q397)^2)</f>
        <v>14719392.540317118</v>
      </c>
    </row>
    <row r="398" spans="2:31" x14ac:dyDescent="0.25">
      <c r="B398" s="20">
        <v>395</v>
      </c>
      <c r="C398" s="21">
        <f>Tableau!$G$17*COS(B398*PI()/180)+Tableau!$G$16</f>
        <v>24095.760221444958</v>
      </c>
      <c r="D398" s="21">
        <f>Tableau!$G$17*SIN(B398*PI()/180)+Tableau!$H$16</f>
        <v>10367.882181755231</v>
      </c>
      <c r="F398" s="28">
        <v>395</v>
      </c>
      <c r="G398" s="29">
        <f>Tableau!$G$26*COS(F398*PI()/180)+Tableau!$G$25</f>
        <v>-17132.967844988529</v>
      </c>
      <c r="H398" s="29">
        <f>Tableau!$G$26*SIN(F398*PI()/180)+Tableau!$H$25</f>
        <v>12007.517527228661</v>
      </c>
      <c r="J398" s="36">
        <v>395</v>
      </c>
      <c r="K398" s="37">
        <f>Tableau!$G$36*COS(J398*PI()/180)+Tableau!$G$35</f>
        <v>-904.23977855504108</v>
      </c>
      <c r="L398" s="37">
        <f>Tableau!$G$36*SIN(J398*PI()/180)+Tableau!$H$35</f>
        <v>-12132.117818244769</v>
      </c>
      <c r="N398" s="92">
        <v>394</v>
      </c>
      <c r="O398" s="93">
        <v>197</v>
      </c>
      <c r="P398" s="96">
        <f>P397+R397*Tableau!$G$2+((1/2)*T397)*Tableau!$G$2^2</f>
        <v>-13248677.815122351</v>
      </c>
      <c r="Q398" s="96">
        <f>Q397+S397*Tableau!$G$2+((1/2)*U397)*Tableau!$G$2^2</f>
        <v>6496063.5389920091</v>
      </c>
      <c r="R398" s="96">
        <f>R397+T397*Tableau!$G$2</f>
        <v>-68698.424456451379</v>
      </c>
      <c r="S398" s="96">
        <f>S397+U397*Tableau!$G$2</f>
        <v>33800.836695240308</v>
      </c>
      <c r="T398" s="96">
        <f t="shared" si="12"/>
        <v>5.0564776849161015E-3</v>
      </c>
      <c r="U398" s="96">
        <f t="shared" si="13"/>
        <v>-2.4793013489767405E-3</v>
      </c>
      <c r="V398" s="96">
        <f>((Tableau!$G$16-P398)/(AC398^2+Tableau!$G$21^2)^(3/2))*Tableau!$G$20</f>
        <v>2.156084464341076E-3</v>
      </c>
      <c r="W398" s="96">
        <f>((Tableau!$H$16-Q398)/(AC398^2+Tableau!$G$21^2)^(3/2))*Tableau!$G$20</f>
        <v>-1.0543545662376622E-3</v>
      </c>
      <c r="X398" s="96">
        <f>((Tableau!$G$25-P398)/(AD398^2+Tableau!$G$30^2)^(3/2))*Tableau!$G$29</f>
        <v>7.4287999728359197E-4</v>
      </c>
      <c r="Y398" s="96">
        <f>((Tableau!$H$25-Q398)/(AD398^2+Tableau!$G$30^2)^(3/2))*Tableau!$G$29</f>
        <v>-3.6423646652876195E-4</v>
      </c>
      <c r="Z398" s="96">
        <f>((Tableau!$G$35-P398)/(AE398^2+Tableau!$G$40^2)^(3/2))*Tableau!$G$39</f>
        <v>2.1575132232914342E-3</v>
      </c>
      <c r="AA398" s="97">
        <f>((Tableau!$H$35-Q398)/(AE398^2+Tableau!$G$40^2)^(3/2))*Tableau!$G$39</f>
        <v>-1.0607103162103165E-3</v>
      </c>
      <c r="AC398" s="110">
        <f>SQRT((Tableau!$G$16-P398)^2+(Tableau!$H$16-Q398)^2)</f>
        <v>14770215.562443785</v>
      </c>
      <c r="AD398" s="111">
        <f>SQRT((Tableau!$G$25-P398)^2+(Tableau!$H$25-Q398)^2)</f>
        <v>14733191.676217064</v>
      </c>
      <c r="AE398" s="112">
        <f>SQRT((Tableau!$G$35-P398)^2+(Tableau!$H$35-Q398)^2)</f>
        <v>14757674.291010596</v>
      </c>
    </row>
    <row r="399" spans="2:31" x14ac:dyDescent="0.25">
      <c r="B399" s="18">
        <v>396</v>
      </c>
      <c r="C399" s="19">
        <f>Tableau!$G$17*COS(B399*PI()/180)+Tableau!$G$16</f>
        <v>24045.084971874734</v>
      </c>
      <c r="D399" s="19">
        <f>Tableau!$G$17*SIN(B399*PI()/180)+Tableau!$H$16</f>
        <v>10438.926261462368</v>
      </c>
      <c r="F399" s="26">
        <v>396</v>
      </c>
      <c r="G399" s="27">
        <f>Tableau!$G$26*COS(F399*PI()/180)+Tableau!$G$25</f>
        <v>-17168.440519687687</v>
      </c>
      <c r="H399" s="27">
        <f>Tableau!$G$26*SIN(F399*PI()/180)+Tableau!$H$25</f>
        <v>12057.248383023658</v>
      </c>
      <c r="J399" s="34">
        <v>396</v>
      </c>
      <c r="K399" s="35">
        <f>Tableau!$G$36*COS(J399*PI()/180)+Tableau!$G$35</f>
        <v>-954.91502812526505</v>
      </c>
      <c r="L399" s="35">
        <f>Tableau!$G$36*SIN(J399*PI()/180)+Tableau!$H$35</f>
        <v>-12061.073738537632</v>
      </c>
      <c r="N399" s="98">
        <v>395</v>
      </c>
      <c r="O399" s="99">
        <v>197.5</v>
      </c>
      <c r="P399" s="101">
        <f>P398+R398*Tableau!$G$2+((1/2)*T398)*Tableau!$G$2^2</f>
        <v>-13283027.026718518</v>
      </c>
      <c r="Q399" s="101">
        <f>Q398+S398*Tableau!$G$2+((1/2)*U398)*Tableau!$G$2^2</f>
        <v>6512963.957029717</v>
      </c>
      <c r="R399" s="101">
        <f>R398+T398*Tableau!$G$2</f>
        <v>-68698.421928212541</v>
      </c>
      <c r="S399" s="101">
        <f>S398+U398*Tableau!$G$2</f>
        <v>33800.835455589637</v>
      </c>
      <c r="T399" s="101">
        <f t="shared" si="12"/>
        <v>5.0303405687196594E-3</v>
      </c>
      <c r="U399" s="101">
        <f t="shared" si="13"/>
        <v>-2.4665077860572338E-3</v>
      </c>
      <c r="V399" s="101">
        <f>((Tableau!$G$16-P399)/(AC399^2+Tableau!$G$21^2)^(3/2))*Tableau!$G$20</f>
        <v>2.144944862983241E-3</v>
      </c>
      <c r="W399" s="101">
        <f>((Tableau!$H$16-Q399)/(AC399^2+Tableau!$G$21^2)^(3/2))*Tableau!$G$20</f>
        <v>-1.0489237876408002E-3</v>
      </c>
      <c r="X399" s="101">
        <f>((Tableau!$G$25-P399)/(AD399^2+Tableau!$G$30^2)^(3/2))*Tableau!$G$29</f>
        <v>7.3903319769110442E-4</v>
      </c>
      <c r="Y399" s="101">
        <f>((Tableau!$H$25-Q399)/(AD399^2+Tableau!$G$30^2)^(3/2))*Tableau!$G$29</f>
        <v>-3.6235364958181243E-4</v>
      </c>
      <c r="Z399" s="101">
        <f>((Tableau!$G$35-P399)/(AE399^2+Tableau!$G$40^2)^(3/2))*Tableau!$G$39</f>
        <v>2.1463625080453139E-3</v>
      </c>
      <c r="AA399" s="102">
        <f>((Tableau!$H$35-Q399)/(AE399^2+Tableau!$G$40^2)^(3/2))*Tableau!$G$39</f>
        <v>-1.0552303488346214E-3</v>
      </c>
      <c r="AC399" s="113">
        <f>SQRT((Tableau!$G$16-P399)^2+(Tableau!$H$16-Q399)^2)</f>
        <v>14808497.20160071</v>
      </c>
      <c r="AD399" s="114">
        <f>SQRT((Tableau!$G$25-P399)^2+(Tableau!$H$25-Q399)^2)</f>
        <v>14771473.390894134</v>
      </c>
      <c r="AE399" s="115">
        <f>SQRT((Tableau!$G$35-P399)^2+(Tableau!$H$35-Q399)^2)</f>
        <v>14795956.040301908</v>
      </c>
    </row>
    <row r="400" spans="2:31" x14ac:dyDescent="0.25">
      <c r="B400" s="20">
        <v>397</v>
      </c>
      <c r="C400" s="21">
        <f>Tableau!$G$17*COS(B400*PI()/180)+Tableau!$G$16</f>
        <v>23993.177550236465</v>
      </c>
      <c r="D400" s="21">
        <f>Tableau!$G$17*SIN(B400*PI()/180)+Tableau!$H$16</f>
        <v>10509.075115760239</v>
      </c>
      <c r="F400" s="28">
        <v>397</v>
      </c>
      <c r="G400" s="29">
        <f>Tableau!$G$26*COS(F400*PI()/180)+Tableau!$G$25</f>
        <v>-17204.775714834475</v>
      </c>
      <c r="H400" s="29">
        <f>Tableau!$G$26*SIN(F400*PI()/180)+Tableau!$H$25</f>
        <v>12106.352581032168</v>
      </c>
      <c r="J400" s="36">
        <v>397</v>
      </c>
      <c r="K400" s="37">
        <f>Tableau!$G$36*COS(J400*PI()/180)+Tableau!$G$35</f>
        <v>-1006.8224497635342</v>
      </c>
      <c r="L400" s="37">
        <f>Tableau!$G$36*SIN(J400*PI()/180)+Tableau!$H$35</f>
        <v>-11990.924884239761</v>
      </c>
      <c r="N400" s="92">
        <v>396</v>
      </c>
      <c r="O400" s="93">
        <v>198</v>
      </c>
      <c r="P400" s="96">
        <f>P399+R399*Tableau!$G$2+((1/2)*T399)*Tableau!$G$2^2</f>
        <v>-13317376.237053832</v>
      </c>
      <c r="Q400" s="96">
        <f>Q399+S399*Tableau!$G$2+((1/2)*U399)*Tableau!$G$2^2</f>
        <v>6529864.3744491981</v>
      </c>
      <c r="R400" s="96">
        <f>R399+T399*Tableau!$G$2</f>
        <v>-68698.419413042255</v>
      </c>
      <c r="S400" s="96">
        <f>S399+U399*Tableau!$G$2</f>
        <v>33800.834222335747</v>
      </c>
      <c r="T400" s="96">
        <f t="shared" si="12"/>
        <v>5.0044055862912377E-3</v>
      </c>
      <c r="U400" s="96">
        <f t="shared" si="13"/>
        <v>-2.4538129935553475E-3</v>
      </c>
      <c r="V400" s="96">
        <f>((Tableau!$G$16-P400)/(AC400^2+Tableau!$G$21^2)^(3/2))*Tableau!$G$20</f>
        <v>2.1338913698657953E-3</v>
      </c>
      <c r="W400" s="96">
        <f>((Tableau!$H$16-Q400)/(AC400^2+Tableau!$G$21^2)^(3/2))*Tableau!$G$20</f>
        <v>-1.0435348604090732E-3</v>
      </c>
      <c r="X400" s="96">
        <f>((Tableau!$G$25-P400)/(AD400^2+Tableau!$G$30^2)^(3/2))*Tableau!$G$29</f>
        <v>7.3521620041808373E-4</v>
      </c>
      <c r="Y400" s="96">
        <f>((Tableau!$H$25-Q400)/(AD400^2+Tableau!$G$30^2)^(3/2))*Tableau!$G$29</f>
        <v>-3.6048539404836871E-4</v>
      </c>
      <c r="Z400" s="96">
        <f>((Tableau!$G$35-P400)/(AE400^2+Tableau!$G$40^2)^(3/2))*Tableau!$G$39</f>
        <v>2.1352980160073581E-3</v>
      </c>
      <c r="AA400" s="97">
        <f>((Tableau!$H$35-Q400)/(AE400^2+Tableau!$G$40^2)^(3/2))*Tableau!$G$39</f>
        <v>-1.0497927390979056E-3</v>
      </c>
      <c r="AC400" s="110">
        <f>SQRT((Tableau!$G$16-P400)^2+(Tableau!$H$16-Q400)^2)</f>
        <v>14846778.839930644</v>
      </c>
      <c r="AD400" s="111">
        <f>SQRT((Tableau!$G$25-P400)^2+(Tableau!$H$25-Q400)^2)</f>
        <v>14809755.104355229</v>
      </c>
      <c r="AE400" s="112">
        <f>SQRT((Tableau!$G$35-P400)^2+(Tableau!$H$35-Q400)^2)</f>
        <v>14834237.788198281</v>
      </c>
    </row>
    <row r="401" spans="2:31" x14ac:dyDescent="0.25">
      <c r="B401" s="18">
        <v>398</v>
      </c>
      <c r="C401" s="19">
        <f>Tableau!$G$17*COS(B401*PI()/180)+Tableau!$G$16</f>
        <v>23940.053768033609</v>
      </c>
      <c r="D401" s="19">
        <f>Tableau!$G$17*SIN(B401*PI()/180)+Tableau!$H$16</f>
        <v>10578.307376628292</v>
      </c>
      <c r="F401" s="26">
        <v>398</v>
      </c>
      <c r="G401" s="27">
        <f>Tableau!$G$26*COS(F401*PI()/180)+Tableau!$G$25</f>
        <v>-17241.962362376475</v>
      </c>
      <c r="H401" s="27">
        <f>Tableau!$G$26*SIN(F401*PI()/180)+Tableau!$H$25</f>
        <v>12154.815163639803</v>
      </c>
      <c r="J401" s="34">
        <v>398</v>
      </c>
      <c r="K401" s="35">
        <f>Tableau!$G$36*COS(J401*PI()/180)+Tableau!$G$35</f>
        <v>-1059.9462319663912</v>
      </c>
      <c r="L401" s="35">
        <f>Tableau!$G$36*SIN(J401*PI()/180)+Tableau!$H$35</f>
        <v>-11921.692623371708</v>
      </c>
      <c r="N401" s="98">
        <v>397</v>
      </c>
      <c r="O401" s="99">
        <v>198.5</v>
      </c>
      <c r="P401" s="101">
        <f>P400+R400*Tableau!$G$2+((1/2)*T400)*Tableau!$G$2^2</f>
        <v>-13351725.446134802</v>
      </c>
      <c r="Q401" s="101">
        <f>Q400+S400*Tableau!$G$2+((1/2)*U400)*Tableau!$G$2^2</f>
        <v>6546764.7912536394</v>
      </c>
      <c r="R401" s="101">
        <f>R400+T400*Tableau!$G$2</f>
        <v>-68698.416910839456</v>
      </c>
      <c r="S401" s="101">
        <f>S400+U400*Tableau!$G$2</f>
        <v>33800.832995429249</v>
      </c>
      <c r="T401" s="101">
        <f t="shared" si="12"/>
        <v>4.9786706586926995E-3</v>
      </c>
      <c r="U401" s="101">
        <f t="shared" si="13"/>
        <v>-2.441215957360506E-3</v>
      </c>
      <c r="V401" s="101">
        <f>((Tableau!$G$16-P401)/(AC401^2+Tableau!$G$21^2)^(3/2))*Tableau!$G$20</f>
        <v>2.1229230997899E-3</v>
      </c>
      <c r="W401" s="101">
        <f>((Tableau!$H$16-Q401)/(AC401^2+Tableau!$G$21^2)^(3/2))*Tableau!$G$20</f>
        <v>-1.038187355619684E-3</v>
      </c>
      <c r="X401" s="101">
        <f>((Tableau!$G$25-P401)/(AD401^2+Tableau!$G$30^2)^(3/2))*Tableau!$G$29</f>
        <v>7.3142869840677805E-4</v>
      </c>
      <c r="Y401" s="101">
        <f>((Tableau!$H$25-Q401)/(AD401^2+Tableau!$G$30^2)^(3/2))*Tableau!$G$29</f>
        <v>-3.586315501602297E-4</v>
      </c>
      <c r="Z401" s="101">
        <f>((Tableau!$G$35-P401)/(AE401^2+Tableau!$G$40^2)^(3/2))*Tableau!$G$39</f>
        <v>2.1243188604960217E-3</v>
      </c>
      <c r="AA401" s="102">
        <f>((Tableau!$H$35-Q401)/(AE401^2+Tableau!$G$40^2)^(3/2))*Tableau!$G$39</f>
        <v>-1.0443970515805921E-3</v>
      </c>
      <c r="AC401" s="113">
        <f>SQRT((Tableau!$G$16-P401)^2+(Tableau!$H$16-Q401)^2)</f>
        <v>14885060.477436377</v>
      </c>
      <c r="AD401" s="114">
        <f>SQRT((Tableau!$G$25-P401)^2+(Tableau!$H$25-Q401)^2)</f>
        <v>14848036.816606142</v>
      </c>
      <c r="AE401" s="115">
        <f>SQRT((Tableau!$G$35-P401)^2+(Tableau!$H$35-Q401)^2)</f>
        <v>14872519.534706892</v>
      </c>
    </row>
    <row r="402" spans="2:31" x14ac:dyDescent="0.25">
      <c r="B402" s="20">
        <v>399</v>
      </c>
      <c r="C402" s="21">
        <f>Tableau!$G$17*COS(B402*PI()/180)+Tableau!$G$16</f>
        <v>23885.729807284857</v>
      </c>
      <c r="D402" s="21">
        <f>Tableau!$G$17*SIN(B402*PI()/180)+Tableau!$H$16</f>
        <v>10646.601955249185</v>
      </c>
      <c r="F402" s="28">
        <v>399</v>
      </c>
      <c r="G402" s="29">
        <f>Tableau!$G$26*COS(F402*PI()/180)+Tableau!$G$25</f>
        <v>-17279.989134900599</v>
      </c>
      <c r="H402" s="29">
        <f>Tableau!$G$26*SIN(F402*PI()/180)+Tableau!$H$25</f>
        <v>12202.621368674429</v>
      </c>
      <c r="J402" s="36">
        <v>399</v>
      </c>
      <c r="K402" s="37">
        <f>Tableau!$G$36*COS(J402*PI()/180)+Tableau!$G$35</f>
        <v>-1114.2701927151429</v>
      </c>
      <c r="L402" s="37">
        <f>Tableau!$G$36*SIN(J402*PI()/180)+Tableau!$H$35</f>
        <v>-11853.398044750815</v>
      </c>
      <c r="N402" s="92">
        <v>398</v>
      </c>
      <c r="O402" s="93">
        <v>199</v>
      </c>
      <c r="P402" s="96">
        <f>P401+R401*Tableau!$G$2+((1/2)*T401)*Tableau!$G$2^2</f>
        <v>-13386074.653967887</v>
      </c>
      <c r="Q402" s="96">
        <f>Q401+S401*Tableau!$G$2+((1/2)*U401)*Tableau!$G$2^2</f>
        <v>6563665.2074462026</v>
      </c>
      <c r="R402" s="96">
        <f>R401+T401*Tableau!$G$2</f>
        <v>-68698.414421504131</v>
      </c>
      <c r="S402" s="96">
        <f>S401+U401*Tableau!$G$2</f>
        <v>33800.831774821272</v>
      </c>
      <c r="T402" s="96">
        <f t="shared" si="12"/>
        <v>4.9531337336446999E-3</v>
      </c>
      <c r="U402" s="96">
        <f t="shared" si="13"/>
        <v>-2.4287156763441267E-3</v>
      </c>
      <c r="V402" s="96">
        <f>((Tableau!$G$16-P402)/(AC402^2+Tableau!$G$21^2)^(3/2))*Tableau!$G$20</f>
        <v>2.1120391789024606E-3</v>
      </c>
      <c r="W402" s="96">
        <f>((Tableau!$H$16-Q402)/(AC402^2+Tableau!$G$21^2)^(3/2))*Tableau!$G$20</f>
        <v>-1.0328808498306552E-3</v>
      </c>
      <c r="X402" s="96">
        <f>((Tableau!$G$25-P402)/(AD402^2+Tableau!$G$30^2)^(3/2))*Tableau!$G$29</f>
        <v>7.2767038854389663E-4</v>
      </c>
      <c r="Y402" s="96">
        <f>((Tableau!$H$25-Q402)/(AD402^2+Tableau!$G$30^2)^(3/2))*Tableau!$G$29</f>
        <v>-3.5679197006978299E-4</v>
      </c>
      <c r="Z402" s="96">
        <f>((Tableau!$G$35-P402)/(AE402^2+Tableau!$G$40^2)^(3/2))*Tableau!$G$39</f>
        <v>2.1134241661983424E-3</v>
      </c>
      <c r="AA402" s="97">
        <f>((Tableau!$H$35-Q402)/(AE402^2+Tableau!$G$40^2)^(3/2))*Tableau!$G$39</f>
        <v>-1.0390428564436885E-3</v>
      </c>
      <c r="AC402" s="110">
        <f>SQRT((Tableau!$G$16-P402)^2+(Tableau!$H$16-Q402)^2)</f>
        <v>14923342.114120694</v>
      </c>
      <c r="AD402" s="111">
        <f>SQRT((Tableau!$G$25-P402)^2+(Tableau!$H$25-Q402)^2)</f>
        <v>14886318.527652619</v>
      </c>
      <c r="AE402" s="112">
        <f>SQRT((Tableau!$G$35-P402)^2+(Tableau!$H$35-Q402)^2)</f>
        <v>14910801.279834863</v>
      </c>
    </row>
    <row r="403" spans="2:31" x14ac:dyDescent="0.25">
      <c r="B403" s="18">
        <v>400</v>
      </c>
      <c r="C403" s="19">
        <f>Tableau!$G$17*COS(B403*PI()/180)+Tableau!$G$16</f>
        <v>23830.222215594891</v>
      </c>
      <c r="D403" s="19">
        <f>Tableau!$G$17*SIN(B403*PI()/180)+Tableau!$H$16</f>
        <v>10713.938048432696</v>
      </c>
      <c r="F403" s="26">
        <v>400</v>
      </c>
      <c r="G403" s="27">
        <f>Tableau!$G$26*COS(F403*PI()/180)+Tableau!$G$25</f>
        <v>-17318.844449083575</v>
      </c>
      <c r="H403" s="27">
        <f>Tableau!$G$26*SIN(F403*PI()/180)+Tableau!$H$25</f>
        <v>12249.756633902887</v>
      </c>
      <c r="J403" s="34">
        <v>400</v>
      </c>
      <c r="K403" s="35">
        <f>Tableau!$G$36*COS(J403*PI()/180)+Tableau!$G$35</f>
        <v>-1169.7777844051093</v>
      </c>
      <c r="L403" s="35">
        <f>Tableau!$G$36*SIN(J403*PI()/180)+Tableau!$H$35</f>
        <v>-11786.061951567304</v>
      </c>
      <c r="N403" s="98">
        <v>399</v>
      </c>
      <c r="O403" s="99">
        <v>199.5</v>
      </c>
      <c r="P403" s="101">
        <f>P402+R402*Tableau!$G$2+((1/2)*T402)*Tableau!$G$2^2</f>
        <v>-13420423.860559497</v>
      </c>
      <c r="Q403" s="101">
        <f>Q402+S402*Tableau!$G$2+((1/2)*U402)*Tableau!$G$2^2</f>
        <v>6580565.6230300236</v>
      </c>
      <c r="R403" s="101">
        <f>R402+T402*Tableau!$G$2</f>
        <v>-68698.411944937267</v>
      </c>
      <c r="S403" s="101">
        <f>S402+U402*Tableau!$G$2</f>
        <v>33800.830560463437</v>
      </c>
      <c r="T403" s="101">
        <f t="shared" si="12"/>
        <v>4.9277927851174436E-3</v>
      </c>
      <c r="U403" s="101">
        <f t="shared" si="13"/>
        <v>-2.4163111621606794E-3</v>
      </c>
      <c r="V403" s="101">
        <f>((Tableau!$G$16-P403)/(AC403^2+Tableau!$G$21^2)^(3/2))*Tableau!$G$20</f>
        <v>2.1012387445220482E-3</v>
      </c>
      <c r="W403" s="101">
        <f>((Tableau!$H$16-Q403)/(AC403^2+Tableau!$G$21^2)^(3/2))*Tableau!$G$20</f>
        <v>-1.0276149249969929E-3</v>
      </c>
      <c r="X403" s="101">
        <f>((Tableau!$G$25-P403)/(AD403^2+Tableau!$G$30^2)^(3/2))*Tableau!$G$29</f>
        <v>7.2394097159988893E-4</v>
      </c>
      <c r="Y403" s="101">
        <f>((Tableau!$H$25-Q403)/(AD403^2+Tableau!$G$30^2)^(3/2))*Tableau!$G$29</f>
        <v>-3.5496650782049081E-4</v>
      </c>
      <c r="Z403" s="101">
        <f>((Tableau!$G$35-P403)/(AE403^2+Tableau!$G$40^2)^(3/2))*Tableau!$G$39</f>
        <v>2.1026130689955069E-3</v>
      </c>
      <c r="AA403" s="102">
        <f>((Tableau!$H$35-Q403)/(AE403^2+Tableau!$G$40^2)^(3/2))*Tableau!$G$39</f>
        <v>-1.0337297293431958E-3</v>
      </c>
      <c r="AC403" s="113">
        <f>SQRT((Tableau!$G$16-P403)^2+(Tableau!$H$16-Q403)^2)</f>
        <v>14961623.749986367</v>
      </c>
      <c r="AD403" s="114">
        <f>SQRT((Tableau!$G$25-P403)^2+(Tableau!$H$25-Q403)^2)</f>
        <v>14924600.237500373</v>
      </c>
      <c r="AE403" s="115">
        <f>SQRT((Tableau!$G$35-P403)^2+(Tableau!$H$35-Q403)^2)</f>
        <v>14949083.023589257</v>
      </c>
    </row>
    <row r="404" spans="2:31" x14ac:dyDescent="0.25">
      <c r="B404" s="20">
        <v>401</v>
      </c>
      <c r="C404" s="21">
        <f>Tableau!$G$17*COS(B404*PI()/180)+Tableau!$G$16</f>
        <v>23773.54790111386</v>
      </c>
      <c r="D404" s="21">
        <f>Tableau!$G$17*SIN(B404*PI()/180)+Tableau!$H$16</f>
        <v>10780.295144952535</v>
      </c>
      <c r="F404" s="28">
        <v>401</v>
      </c>
      <c r="G404" s="29">
        <f>Tableau!$G$26*COS(F404*PI()/180)+Tableau!$G$25</f>
        <v>-17358.516469220296</v>
      </c>
      <c r="H404" s="29">
        <f>Tableau!$G$26*SIN(F404*PI()/180)+Tableau!$H$25</f>
        <v>12296.206601466774</v>
      </c>
      <c r="J404" s="36">
        <v>401</v>
      </c>
      <c r="K404" s="37">
        <f>Tableau!$G$36*COS(J404*PI()/180)+Tableau!$G$35</f>
        <v>-1226.4520988861386</v>
      </c>
      <c r="L404" s="37">
        <f>Tableau!$G$36*SIN(J404*PI()/180)+Tableau!$H$35</f>
        <v>-11719.704855047465</v>
      </c>
      <c r="N404" s="92">
        <v>400</v>
      </c>
      <c r="O404" s="93">
        <v>200</v>
      </c>
      <c r="P404" s="96">
        <f>P403+R403*Tableau!$G$2+((1/2)*T403)*Tableau!$G$2^2</f>
        <v>-13454773.065915991</v>
      </c>
      <c r="Q404" s="96">
        <f>Q403+S403*Tableau!$G$2+((1/2)*U403)*Tableau!$G$2^2</f>
        <v>6597466.0380082158</v>
      </c>
      <c r="R404" s="96">
        <f>R403+T403*Tableau!$G$2</f>
        <v>-68698.409481040871</v>
      </c>
      <c r="S404" s="96">
        <f>S403+U403*Tableau!$G$2</f>
        <v>33800.829352307854</v>
      </c>
      <c r="T404" s="96">
        <f t="shared" si="12"/>
        <v>4.9026458129289184E-3</v>
      </c>
      <c r="U404" s="96">
        <f t="shared" si="13"/>
        <v>-2.4040014390523589E-3</v>
      </c>
      <c r="V404" s="96">
        <f>((Tableau!$G$16-P404)/(AC404^2+Tableau!$G$21^2)^(3/2))*Tableau!$G$20</f>
        <v>2.0905209449679604E-3</v>
      </c>
      <c r="W404" s="96">
        <f>((Tableau!$H$16-Q404)/(AC404^2+Tableau!$G$21^2)^(3/2))*Tableau!$G$20</f>
        <v>-1.0223891683883584E-3</v>
      </c>
      <c r="X404" s="96">
        <f>((Tableau!$G$25-P404)/(AD404^2+Tableau!$G$30^2)^(3/2))*Tableau!$G$29</f>
        <v>7.2024015216942889E-4</v>
      </c>
      <c r="Y404" s="96">
        <f>((Tableau!$H$25-Q404)/(AD404^2+Tableau!$G$30^2)^(3/2))*Tableau!$G$29</f>
        <v>-3.5315501931796093E-4</v>
      </c>
      <c r="Z404" s="96">
        <f>((Tableau!$G$35-P404)/(AE404^2+Tableau!$G$40^2)^(3/2))*Tableau!$G$39</f>
        <v>2.0918847157915289E-3</v>
      </c>
      <c r="AA404" s="97">
        <f>((Tableau!$H$35-Q404)/(AE404^2+Tableau!$G$40^2)^(3/2))*Tableau!$G$39</f>
        <v>-1.0284572513460394E-3</v>
      </c>
      <c r="AC404" s="110">
        <f>SQRT((Tableau!$G$16-P404)^2+(Tableau!$H$16-Q404)^2)</f>
        <v>14999905.385036159</v>
      </c>
      <c r="AD404" s="111">
        <f>SQRT((Tableau!$G$25-P404)^2+(Tableau!$H$25-Q404)^2)</f>
        <v>14962881.946155073</v>
      </c>
      <c r="AE404" s="112">
        <f>SQRT((Tableau!$G$35-P404)^2+(Tableau!$H$35-Q404)^2)</f>
        <v>14987364.765977083</v>
      </c>
    </row>
    <row r="405" spans="2:31" x14ac:dyDescent="0.25">
      <c r="B405" s="18">
        <v>402</v>
      </c>
      <c r="C405" s="19">
        <f>Tableau!$G$17*COS(B405*PI()/180)+Tableau!$G$16</f>
        <v>23715.724127386969</v>
      </c>
      <c r="D405" s="19">
        <f>Tableau!$G$17*SIN(B405*PI()/180)+Tableau!$H$16</f>
        <v>10845.653031794292</v>
      </c>
      <c r="F405" s="26">
        <v>402</v>
      </c>
      <c r="G405" s="27">
        <f>Tableau!$G$26*COS(F405*PI()/180)+Tableau!$G$25</f>
        <v>-17398.99311082912</v>
      </c>
      <c r="H405" s="27">
        <f>Tableau!$G$26*SIN(F405*PI()/180)+Tableau!$H$25</f>
        <v>12341.957122256004</v>
      </c>
      <c r="J405" s="34">
        <v>402</v>
      </c>
      <c r="K405" s="35">
        <f>Tableau!$G$36*COS(J405*PI()/180)+Tableau!$G$35</f>
        <v>-1284.2758726130301</v>
      </c>
      <c r="L405" s="35">
        <f>Tableau!$G$36*SIN(J405*PI()/180)+Tableau!$H$35</f>
        <v>-11654.346968205708</v>
      </c>
      <c r="N405" s="98">
        <v>401</v>
      </c>
      <c r="O405" s="99">
        <v>200.5</v>
      </c>
      <c r="P405" s="101">
        <f>P404+R404*Tableau!$G$2+((1/2)*T404)*Tableau!$G$2^2</f>
        <v>-13489122.27004368</v>
      </c>
      <c r="Q405" s="101">
        <f>Q404+S404*Tableau!$G$2+((1/2)*U404)*Tableau!$G$2^2</f>
        <v>6614366.4523838693</v>
      </c>
      <c r="R405" s="101">
        <f>R404+T404*Tableau!$G$2</f>
        <v>-68698.407029717971</v>
      </c>
      <c r="S405" s="101">
        <f>S404+U404*Tableau!$G$2</f>
        <v>33800.828150307134</v>
      </c>
      <c r="T405" s="101">
        <f t="shared" si="12"/>
        <v>4.8776908423499438E-3</v>
      </c>
      <c r="U405" s="101">
        <f t="shared" si="13"/>
        <v>-2.3917855436570764E-3</v>
      </c>
      <c r="V405" s="101">
        <f>((Tableau!$G$16-P405)/(AC405^2+Tableau!$G$21^2)^(3/2))*Tableau!$G$20</f>
        <v>2.0798849393922061E-3</v>
      </c>
      <c r="W405" s="101">
        <f>((Tableau!$H$16-Q405)/(AC405^2+Tableau!$G$21^2)^(3/2))*Tableau!$G$20</f>
        <v>-1.017203172508142E-3</v>
      </c>
      <c r="X405" s="101">
        <f>((Tableau!$G$25-P405)/(AD405^2+Tableau!$G$30^2)^(3/2))*Tableau!$G$29</f>
        <v>7.1656763861290863E-4</v>
      </c>
      <c r="Y405" s="101">
        <f>((Tableau!$H$25-Q405)/(AD405^2+Tableau!$G$30^2)^(3/2))*Tableau!$G$29</f>
        <v>-3.5135736230150607E-4</v>
      </c>
      <c r="Z405" s="101">
        <f>((Tableau!$G$35-P405)/(AE405^2+Tableau!$G$40^2)^(3/2))*Tableau!$G$39</f>
        <v>2.0812382643448295E-3</v>
      </c>
      <c r="AA405" s="102">
        <f>((Tableau!$H$35-Q405)/(AE405^2+Tableau!$G$40^2)^(3/2))*Tableau!$G$39</f>
        <v>-1.023225008847428E-3</v>
      </c>
      <c r="AC405" s="113">
        <f>SQRT((Tableau!$G$16-P405)^2+(Tableau!$H$16-Q405)^2)</f>
        <v>15038187.019272819</v>
      </c>
      <c r="AD405" s="114">
        <f>SQRT((Tableau!$G$25-P405)^2+(Tableau!$H$25-Q405)^2)</f>
        <v>15001163.653622346</v>
      </c>
      <c r="AE405" s="115">
        <f>SQRT((Tableau!$G$35-P405)^2+(Tableau!$H$35-Q405)^2)</f>
        <v>15025646.507005302</v>
      </c>
    </row>
    <row r="406" spans="2:31" x14ac:dyDescent="0.25">
      <c r="B406" s="20">
        <v>403</v>
      </c>
      <c r="C406" s="21">
        <f>Tableau!$G$17*COS(B406*PI()/180)+Tableau!$G$16</f>
        <v>23656.768508095854</v>
      </c>
      <c r="D406" s="21">
        <f>Tableau!$G$17*SIN(B406*PI()/180)+Tableau!$H$16</f>
        <v>10909.991800312489</v>
      </c>
      <c r="F406" s="28">
        <v>403</v>
      </c>
      <c r="G406" s="29">
        <f>Tableau!$G$26*COS(F406*PI()/180)+Tableau!$G$25</f>
        <v>-17440.2620443329</v>
      </c>
      <c r="H406" s="29">
        <f>Tableau!$G$26*SIN(F406*PI()/180)+Tableau!$H$25</f>
        <v>12386.994260218742</v>
      </c>
      <c r="J406" s="36">
        <v>403</v>
      </c>
      <c r="K406" s="37">
        <f>Tableau!$G$36*COS(J406*PI()/180)+Tableau!$G$35</f>
        <v>-1343.2314919041451</v>
      </c>
      <c r="L406" s="37">
        <f>Tableau!$G$36*SIN(J406*PI()/180)+Tableau!$H$35</f>
        <v>-11590.008199687511</v>
      </c>
      <c r="N406" s="92">
        <v>402</v>
      </c>
      <c r="O406" s="93">
        <v>201</v>
      </c>
      <c r="P406" s="96">
        <f>P405+R405*Tableau!$G$2+((1/2)*T405)*Tableau!$G$2^2</f>
        <v>-13523471.472948829</v>
      </c>
      <c r="Q406" s="96">
        <f>Q405+S405*Tableau!$G$2+((1/2)*U405)*Tableau!$G$2^2</f>
        <v>6631266.86616005</v>
      </c>
      <c r="R406" s="96">
        <f>R405+T405*Tableau!$G$2</f>
        <v>-68698.404590872553</v>
      </c>
      <c r="S406" s="96">
        <f>S405+U405*Tableau!$G$2</f>
        <v>33800.826954414362</v>
      </c>
      <c r="T406" s="96">
        <f t="shared" si="12"/>
        <v>4.8529259237167482E-3</v>
      </c>
      <c r="U406" s="96">
        <f t="shared" si="13"/>
        <v>-2.3796625248200965E-3</v>
      </c>
      <c r="V406" s="96">
        <f>((Tableau!$G$16-P406)/(AC406^2+Tableau!$G$21^2)^(3/2))*Tableau!$G$20</f>
        <v>2.0693298976147616E-3</v>
      </c>
      <c r="W406" s="96">
        <f>((Tableau!$H$16-Q406)/(AC406^2+Tableau!$G$21^2)^(3/2))*Tableau!$G$20</f>
        <v>-1.0120565350141091E-3</v>
      </c>
      <c r="X406" s="96">
        <f>((Tableau!$G$25-P406)/(AD406^2+Tableau!$G$30^2)^(3/2))*Tableau!$G$29</f>
        <v>7.1292314299896875E-4</v>
      </c>
      <c r="Y406" s="96">
        <f>((Tableau!$H$25-Q406)/(AD406^2+Tableau!$G$30^2)^(3/2))*Tableau!$G$29</f>
        <v>-3.4957339631620836E-4</v>
      </c>
      <c r="Z406" s="96">
        <f>((Tableau!$G$35-P406)/(AE406^2+Tableau!$G$40^2)^(3/2))*Tableau!$G$39</f>
        <v>2.0706728831030173E-3</v>
      </c>
      <c r="AA406" s="97">
        <f>((Tableau!$H$35-Q406)/(AE406^2+Tableau!$G$40^2)^(3/2))*Tableau!$G$39</f>
        <v>-1.0180325934897791E-3</v>
      </c>
      <c r="AC406" s="110">
        <f>SQRT((Tableau!$G$16-P406)^2+(Tableau!$H$16-Q406)^2)</f>
        <v>15076468.652699094</v>
      </c>
      <c r="AD406" s="111">
        <f>SQRT((Tableau!$G$25-P406)^2+(Tableau!$H$25-Q406)^2)</f>
        <v>15039445.359907784</v>
      </c>
      <c r="AE406" s="112">
        <f>SQRT((Tableau!$G$35-P406)^2+(Tableau!$H$35-Q406)^2)</f>
        <v>15063928.246680818</v>
      </c>
    </row>
    <row r="407" spans="2:31" x14ac:dyDescent="0.25">
      <c r="B407" s="18">
        <v>404</v>
      </c>
      <c r="C407" s="19">
        <f>Tableau!$G$17*COS(B407*PI()/180)+Tableau!$G$16</f>
        <v>23596.699001693254</v>
      </c>
      <c r="D407" s="19">
        <f>Tableau!$G$17*SIN(B407*PI()/180)+Tableau!$H$16</f>
        <v>10973.291852294986</v>
      </c>
      <c r="F407" s="26">
        <v>404</v>
      </c>
      <c r="G407" s="27">
        <f>Tableau!$G$26*COS(F407*PI()/180)+Tableau!$G$25</f>
        <v>-17482.310698814719</v>
      </c>
      <c r="H407" s="27">
        <f>Tableau!$G$26*SIN(F407*PI()/180)+Tableau!$H$25</f>
        <v>12431.30429660649</v>
      </c>
      <c r="J407" s="34">
        <v>404</v>
      </c>
      <c r="K407" s="35">
        <f>Tableau!$G$36*COS(J407*PI()/180)+Tableau!$G$35</f>
        <v>-1403.3009983067441</v>
      </c>
      <c r="L407" s="35">
        <f>Tableau!$G$36*SIN(J407*PI()/180)+Tableau!$H$35</f>
        <v>-11526.708147705014</v>
      </c>
      <c r="N407" s="98">
        <v>403</v>
      </c>
      <c r="O407" s="99">
        <v>201.5</v>
      </c>
      <c r="P407" s="101">
        <f>P406+R406*Tableau!$G$2+((1/2)*T406)*Tableau!$G$2^2</f>
        <v>-13557820.674637649</v>
      </c>
      <c r="Q407" s="101">
        <f>Q406+S406*Tableau!$G$2+((1/2)*U406)*Tableau!$G$2^2</f>
        <v>6648167.2793397997</v>
      </c>
      <c r="R407" s="101">
        <f>R406+T406*Tableau!$G$2</f>
        <v>-68698.402164409592</v>
      </c>
      <c r="S407" s="101">
        <f>S406+U406*Tableau!$G$2</f>
        <v>33800.825764583096</v>
      </c>
      <c r="T407" s="101">
        <f t="shared" si="12"/>
        <v>4.8283491320500714E-3</v>
      </c>
      <c r="U407" s="101">
        <f t="shared" si="13"/>
        <v>-2.3676314434088542E-3</v>
      </c>
      <c r="V407" s="101">
        <f>((Tableau!$G$16-P407)/(AC407^2+Tableau!$G$21^2)^(3/2))*Tableau!$G$20</f>
        <v>2.0588549999614402E-3</v>
      </c>
      <c r="W407" s="101">
        <f>((Tableau!$H$16-Q407)/(AC407^2+Tableau!$G$21^2)^(3/2))*Tableau!$G$20</f>
        <v>-1.0069488586403022E-3</v>
      </c>
      <c r="X407" s="101">
        <f>((Tableau!$G$25-P407)/(AD407^2+Tableau!$G$30^2)^(3/2))*Tableau!$G$29</f>
        <v>7.0930638104808061E-4</v>
      </c>
      <c r="Y407" s="101">
        <f>((Tableau!$H$25-Q407)/(AD407^2+Tableau!$G$30^2)^(3/2))*Tableau!$G$29</f>
        <v>-3.478029826854922E-4</v>
      </c>
      <c r="Z407" s="101">
        <f>((Tableau!$G$35-P407)/(AE407^2+Tableau!$G$40^2)^(3/2))*Tableau!$G$39</f>
        <v>2.0601877510405511E-3</v>
      </c>
      <c r="AA407" s="102">
        <f>((Tableau!$H$35-Q407)/(AE407^2+Tableau!$G$40^2)^(3/2))*Tableau!$G$39</f>
        <v>-1.01287960208306E-3</v>
      </c>
      <c r="AC407" s="113">
        <f>SQRT((Tableau!$G$16-P407)^2+(Tableau!$H$16-Q407)^2)</f>
        <v>15114750.285317712</v>
      </c>
      <c r="AD407" s="114">
        <f>SQRT((Tableau!$G$25-P407)^2+(Tableau!$H$25-Q407)^2)</f>
        <v>15077727.065016933</v>
      </c>
      <c r="AE407" s="115">
        <f>SQRT((Tableau!$G$35-P407)^2+(Tableau!$H$35-Q407)^2)</f>
        <v>15102209.985010481</v>
      </c>
    </row>
    <row r="408" spans="2:31" x14ac:dyDescent="0.25">
      <c r="B408" s="20">
        <v>405</v>
      </c>
      <c r="C408" s="21">
        <f>Tableau!$G$17*COS(B408*PI()/180)+Tableau!$G$16</f>
        <v>23535.533905932742</v>
      </c>
      <c r="D408" s="21">
        <f>Tableau!$G$17*SIN(B408*PI()/180)+Tableau!$H$16</f>
        <v>11035.533905932734</v>
      </c>
      <c r="F408" s="28">
        <v>405</v>
      </c>
      <c r="G408" s="29">
        <f>Tableau!$G$26*COS(F408*PI()/180)+Tableau!$G$25</f>
        <v>-17525.126265847081</v>
      </c>
      <c r="H408" s="29">
        <f>Tableau!$G$26*SIN(F408*PI()/180)+Tableau!$H$25</f>
        <v>12474.873734152914</v>
      </c>
      <c r="J408" s="36">
        <v>405</v>
      </c>
      <c r="K408" s="37">
        <f>Tableau!$G$36*COS(J408*PI()/180)+Tableau!$G$35</f>
        <v>-1464.4660940672584</v>
      </c>
      <c r="L408" s="37">
        <f>Tableau!$G$36*SIN(J408*PI()/180)+Tableau!$H$35</f>
        <v>-11464.466094067266</v>
      </c>
      <c r="N408" s="92">
        <v>404</v>
      </c>
      <c r="O408" s="93">
        <v>202</v>
      </c>
      <c r="P408" s="96">
        <f>P407+R407*Tableau!$G$2+((1/2)*T407)*Tableau!$G$2^2</f>
        <v>-13592169.875116311</v>
      </c>
      <c r="Q408" s="96">
        <f>Q407+S407*Tableau!$G$2+((1/2)*U407)*Tableau!$G$2^2</f>
        <v>6665067.6919261375</v>
      </c>
      <c r="R408" s="96">
        <f>R407+T407*Tableau!$G$2</f>
        <v>-68698.399750235025</v>
      </c>
      <c r="S408" s="96">
        <f>S407+U407*Tableau!$G$2</f>
        <v>33800.824580767374</v>
      </c>
      <c r="T408" s="96">
        <f t="shared" si="12"/>
        <v>4.8039585666809458E-3</v>
      </c>
      <c r="U408" s="96">
        <f t="shared" si="13"/>
        <v>-2.355691372130994E-3</v>
      </c>
      <c r="V408" s="96">
        <f>((Tableau!$G$16-P408)/(AC408^2+Tableau!$G$21^2)^(3/2))*Tableau!$G$20</f>
        <v>2.048459437104834E-3</v>
      </c>
      <c r="W408" s="96">
        <f>((Tableau!$H$16-Q408)/(AC408^2+Tableau!$G$21^2)^(3/2))*Tableau!$G$20</f>
        <v>-1.0018797511204154E-3</v>
      </c>
      <c r="X408" s="96">
        <f>((Tableau!$G$25-P408)/(AD408^2+Tableau!$G$30^2)^(3/2))*Tableau!$G$29</f>
        <v>7.0571707207704585E-4</v>
      </c>
      <c r="Y408" s="96">
        <f>((Tableau!$H$25-Q408)/(AD408^2+Tableau!$G$30^2)^(3/2))*Tableau!$G$29</f>
        <v>-3.4604598448414342E-4</v>
      </c>
      <c r="Z408" s="96">
        <f>((Tableau!$G$35-P408)/(AE408^2+Tableau!$G$40^2)^(3/2))*Tableau!$G$39</f>
        <v>2.0497820574990658E-3</v>
      </c>
      <c r="AA408" s="97">
        <f>((Tableau!$H$35-Q408)/(AE408^2+Tableau!$G$40^2)^(3/2))*Tableau!$G$39</f>
        <v>-1.0077656365264352E-3</v>
      </c>
      <c r="AC408" s="110">
        <f>SQRT((Tableau!$G$16-P408)^2+(Tableau!$H$16-Q408)^2)</f>
        <v>15153031.917131394</v>
      </c>
      <c r="AD408" s="111">
        <f>SQRT((Tableau!$G$25-P408)^2+(Tableau!$H$25-Q408)^2)</f>
        <v>15116008.768955309</v>
      </c>
      <c r="AE408" s="112">
        <f>SQRT((Tableau!$G$35-P408)^2+(Tableau!$H$35-Q408)^2)</f>
        <v>15140491.722001091</v>
      </c>
    </row>
    <row r="409" spans="2:31" x14ac:dyDescent="0.25">
      <c r="B409" s="18">
        <v>406</v>
      </c>
      <c r="C409" s="19">
        <f>Tableau!$G$17*COS(B409*PI()/180)+Tableau!$G$16</f>
        <v>23473.291852294988</v>
      </c>
      <c r="D409" s="19">
        <f>Tableau!$G$17*SIN(B409*PI()/180)+Tableau!$H$16</f>
        <v>11096.699001693254</v>
      </c>
      <c r="F409" s="26">
        <v>406</v>
      </c>
      <c r="G409" s="27">
        <f>Tableau!$G$26*COS(F409*PI()/180)+Tableau!$G$25</f>
        <v>-17568.69570339351</v>
      </c>
      <c r="H409" s="27">
        <f>Tableau!$G$26*SIN(F409*PI()/180)+Tableau!$H$25</f>
        <v>12517.689301185277</v>
      </c>
      <c r="J409" s="34">
        <v>406</v>
      </c>
      <c r="K409" s="35">
        <f>Tableau!$G$36*COS(J409*PI()/180)+Tableau!$G$35</f>
        <v>-1526.7081477050119</v>
      </c>
      <c r="L409" s="35">
        <f>Tableau!$G$36*SIN(J409*PI()/180)+Tableau!$H$35</f>
        <v>-11403.300998306746</v>
      </c>
      <c r="N409" s="98">
        <v>405</v>
      </c>
      <c r="O409" s="99">
        <v>202.5</v>
      </c>
      <c r="P409" s="101">
        <f>P408+R408*Tableau!$G$2+((1/2)*T408)*Tableau!$G$2^2</f>
        <v>-13626519.074390935</v>
      </c>
      <c r="Q409" s="101">
        <f>Q408+S408*Tableau!$G$2+((1/2)*U408)*Tableau!$G$2^2</f>
        <v>6681968.1039220598</v>
      </c>
      <c r="R409" s="101">
        <f>R408+T408*Tableau!$G$2</f>
        <v>-68698.397348255749</v>
      </c>
      <c r="S409" s="101">
        <f>S408+U408*Tableau!$G$2</f>
        <v>33800.823402921691</v>
      </c>
      <c r="T409" s="101">
        <f t="shared" si="12"/>
        <v>4.779752350883416E-3</v>
      </c>
      <c r="U409" s="101">
        <f t="shared" si="13"/>
        <v>-2.343841395355796E-3</v>
      </c>
      <c r="V409" s="101">
        <f>((Tableau!$G$16-P409)/(AC409^2+Tableau!$G$21^2)^(3/2))*Tableau!$G$20</f>
        <v>2.0381424099078613E-3</v>
      </c>
      <c r="W409" s="101">
        <f>((Tableau!$H$16-Q409)/(AC409^2+Tableau!$G$21^2)^(3/2))*Tableau!$G$20</f>
        <v>-9.9684882511242179E-4</v>
      </c>
      <c r="X409" s="101">
        <f>((Tableau!$G$25-P409)/(AD409^2+Tableau!$G$30^2)^(3/2))*Tableau!$G$29</f>
        <v>7.0215493894465008E-4</v>
      </c>
      <c r="Y409" s="101">
        <f>((Tableau!$H$25-Q409)/(AD409^2+Tableau!$G$30^2)^(3/2))*Tableau!$G$29</f>
        <v>-3.4430226651188884E-4</v>
      </c>
      <c r="Z409" s="101">
        <f>((Tableau!$G$35-P409)/(AE409^2+Tableau!$G$40^2)^(3/2))*Tableau!$G$39</f>
        <v>2.0394550020309044E-3</v>
      </c>
      <c r="AA409" s="102">
        <f>((Tableau!$H$35-Q409)/(AE409^2+Tableau!$G$40^2)^(3/2))*Tableau!$G$39</f>
        <v>-1.0026903037314854E-3</v>
      </c>
      <c r="AC409" s="113">
        <f>SQRT((Tableau!$G$16-P409)^2+(Tableau!$H$16-Q409)^2)</f>
        <v>15191313.548142852</v>
      </c>
      <c r="AD409" s="114">
        <f>SQRT((Tableau!$G$25-P409)^2+(Tableau!$H$25-Q409)^2)</f>
        <v>15154290.471728384</v>
      </c>
      <c r="AE409" s="115">
        <f>SQRT((Tableau!$G$35-P409)^2+(Tableau!$H$35-Q409)^2)</f>
        <v>15178773.457659401</v>
      </c>
    </row>
    <row r="410" spans="2:31" x14ac:dyDescent="0.25">
      <c r="B410" s="20">
        <v>407</v>
      </c>
      <c r="C410" s="21">
        <f>Tableau!$G$17*COS(B410*PI()/180)+Tableau!$G$16</f>
        <v>23409.991800312491</v>
      </c>
      <c r="D410" s="21">
        <f>Tableau!$G$17*SIN(B410*PI()/180)+Tableau!$H$16</f>
        <v>11156.768508095854</v>
      </c>
      <c r="F410" s="28">
        <v>407</v>
      </c>
      <c r="G410" s="29">
        <f>Tableau!$G$26*COS(F410*PI()/180)+Tableau!$G$25</f>
        <v>-17613.005739781256</v>
      </c>
      <c r="H410" s="29">
        <f>Tableau!$G$26*SIN(F410*PI()/180)+Tableau!$H$25</f>
        <v>12559.737955667097</v>
      </c>
      <c r="J410" s="36">
        <v>407</v>
      </c>
      <c r="K410" s="37">
        <f>Tableau!$G$36*COS(J410*PI()/180)+Tableau!$G$35</f>
        <v>-1590.0081996875083</v>
      </c>
      <c r="L410" s="37">
        <f>Tableau!$G$36*SIN(J410*PI()/180)+Tableau!$H$35</f>
        <v>-11343.231491904146</v>
      </c>
      <c r="N410" s="92">
        <v>406</v>
      </c>
      <c r="O410" s="93">
        <v>203</v>
      </c>
      <c r="P410" s="96">
        <f>P409+R409*Tableau!$G$2+((1/2)*T409)*Tableau!$G$2^2</f>
        <v>-13660868.272467593</v>
      </c>
      <c r="Q410" s="96">
        <f>Q409+S409*Tableau!$G$2+((1/2)*U409)*Tableau!$G$2^2</f>
        <v>6698868.5153305409</v>
      </c>
      <c r="R410" s="96">
        <f>R409+T409*Tableau!$G$2</f>
        <v>-68698.394958379577</v>
      </c>
      <c r="S410" s="96">
        <f>S409+U409*Tableau!$G$2</f>
        <v>33800.822231000995</v>
      </c>
      <c r="T410" s="96">
        <f t="shared" si="12"/>
        <v>4.7557286315133319E-3</v>
      </c>
      <c r="U410" s="96">
        <f t="shared" si="13"/>
        <v>-2.3320806089385405E-3</v>
      </c>
      <c r="V410" s="96">
        <f>((Tableau!$G$16-P410)/(AC410^2+Tableau!$G$21^2)^(3/2))*Tableau!$G$20</f>
        <v>2.0279031292703333E-3</v>
      </c>
      <c r="W410" s="96">
        <f>((Tableau!$H$16-Q410)/(AC410^2+Tableau!$G$21^2)^(3/2))*Tableau!$G$20</f>
        <v>-9.9185569812465513E-4</v>
      </c>
      <c r="X410" s="96">
        <f>((Tableau!$G$25-P410)/(AD410^2+Tableau!$G$30^2)^(3/2))*Tableau!$G$29</f>
        <v>6.9861970799805757E-4</v>
      </c>
      <c r="Y410" s="96">
        <f>((Tableau!$H$25-Q410)/(AD410^2+Tableau!$G$30^2)^(3/2))*Tableau!$G$29</f>
        <v>-3.4257169526733482E-4</v>
      </c>
      <c r="Z410" s="96">
        <f>((Tableau!$G$35-P410)/(AE410^2+Tableau!$G$40^2)^(3/2))*Tableau!$G$39</f>
        <v>2.0292057942449412E-3</v>
      </c>
      <c r="AA410" s="97">
        <f>((Tableau!$H$35-Q410)/(AE410^2+Tableau!$G$40^2)^(3/2))*Tableau!$G$39</f>
        <v>-9.976532155465507E-4</v>
      </c>
      <c r="AC410" s="110">
        <f>SQRT((Tableau!$G$16-P410)^2+(Tableau!$H$16-Q410)^2)</f>
        <v>15229595.178354783</v>
      </c>
      <c r="AD410" s="111">
        <f>SQRT((Tableau!$G$25-P410)^2+(Tableau!$H$25-Q410)^2)</f>
        <v>15192572.173341589</v>
      </c>
      <c r="AE410" s="112">
        <f>SQRT((Tableau!$G$35-P410)^2+(Tableau!$H$35-Q410)^2)</f>
        <v>15217055.1919921</v>
      </c>
    </row>
    <row r="411" spans="2:31" x14ac:dyDescent="0.25">
      <c r="B411" s="18">
        <v>408</v>
      </c>
      <c r="C411" s="19">
        <f>Tableau!$G$17*COS(B411*PI()/180)+Tableau!$G$16</f>
        <v>23345.653031794296</v>
      </c>
      <c r="D411" s="19">
        <f>Tableau!$G$17*SIN(B411*PI()/180)+Tableau!$H$16</f>
        <v>11215.724127386969</v>
      </c>
      <c r="F411" s="26">
        <v>408</v>
      </c>
      <c r="G411" s="27">
        <f>Tableau!$G$26*COS(F411*PI()/180)+Tableau!$G$25</f>
        <v>-17658.042877743996</v>
      </c>
      <c r="H411" s="27">
        <f>Tableau!$G$26*SIN(F411*PI()/180)+Tableau!$H$25</f>
        <v>12601.006889170878</v>
      </c>
      <c r="J411" s="34">
        <v>408</v>
      </c>
      <c r="K411" s="35">
        <f>Tableau!$G$36*COS(J411*PI()/180)+Tableau!$G$35</f>
        <v>-1654.3469682057057</v>
      </c>
      <c r="L411" s="35">
        <f>Tableau!$G$36*SIN(J411*PI()/180)+Tableau!$H$35</f>
        <v>-11284.275872613031</v>
      </c>
      <c r="N411" s="98">
        <v>407</v>
      </c>
      <c r="O411" s="99">
        <v>203.5</v>
      </c>
      <c r="P411" s="101">
        <f>P410+R410*Tableau!$G$2+((1/2)*T410)*Tableau!$G$2^2</f>
        <v>-13695217.469352316</v>
      </c>
      <c r="Q411" s="101">
        <f>Q410+S410*Tableau!$G$2+((1/2)*U410)*Tableau!$G$2^2</f>
        <v>6715768.9261545306</v>
      </c>
      <c r="R411" s="101">
        <f>R410+T410*Tableau!$G$2</f>
        <v>-68698.392580515254</v>
      </c>
      <c r="S411" s="101">
        <f>S410+U410*Tableau!$G$2</f>
        <v>33800.821064960692</v>
      </c>
      <c r="T411" s="101">
        <f t="shared" si="12"/>
        <v>4.7318855786538157E-3</v>
      </c>
      <c r="U411" s="101">
        <f t="shared" si="13"/>
        <v>-2.3204081200481103E-3</v>
      </c>
      <c r="V411" s="101">
        <f>((Tableau!$G$16-P411)/(AC411^2+Tableau!$G$21^2)^(3/2))*Tableau!$G$20</f>
        <v>2.0177408159779845E-3</v>
      </c>
      <c r="W411" s="101">
        <f>((Tableau!$H$16-Q411)/(AC411^2+Tableau!$G$21^2)^(3/2))*Tableau!$G$20</f>
        <v>-9.8689999244306551E-4</v>
      </c>
      <c r="X411" s="101">
        <f>((Tableau!$G$25-P411)/(AD411^2+Tableau!$G$30^2)^(3/2))*Tableau!$G$29</f>
        <v>6.9511110902029105E-4</v>
      </c>
      <c r="Y411" s="101">
        <f>((Tableau!$H$25-Q411)/(AD411^2+Tableau!$G$30^2)^(3/2))*Tableau!$G$29</f>
        <v>-3.4085413892243191E-4</v>
      </c>
      <c r="Z411" s="101">
        <f>((Tableau!$G$35-P411)/(AE411^2+Tableau!$G$40^2)^(3/2))*Tableau!$G$39</f>
        <v>2.0190336536555402E-3</v>
      </c>
      <c r="AA411" s="102">
        <f>((Tableau!$H$35-Q411)/(AE411^2+Tableau!$G$40^2)^(3/2))*Tableau!$G$39</f>
        <v>-9.926539886826128E-4</v>
      </c>
      <c r="AC411" s="113">
        <f>SQRT((Tableau!$G$16-P411)^2+(Tableau!$H$16-Q411)^2)</f>
        <v>15267876.807769882</v>
      </c>
      <c r="AD411" s="114">
        <f>SQRT((Tableau!$G$25-P411)^2+(Tableau!$H$25-Q411)^2)</f>
        <v>15230853.873800328</v>
      </c>
      <c r="AE411" s="115">
        <f>SQRT((Tableau!$G$35-P411)^2+(Tableau!$H$35-Q411)^2)</f>
        <v>15255336.925005844</v>
      </c>
    </row>
    <row r="412" spans="2:31" x14ac:dyDescent="0.25">
      <c r="B412" s="20">
        <v>409</v>
      </c>
      <c r="C412" s="21">
        <f>Tableau!$G$17*COS(B412*PI()/180)+Tableau!$G$16</f>
        <v>23280.295144952535</v>
      </c>
      <c r="D412" s="21">
        <f>Tableau!$G$17*SIN(B412*PI()/180)+Tableau!$H$16</f>
        <v>11273.54790111386</v>
      </c>
      <c r="F412" s="28">
        <v>409</v>
      </c>
      <c r="G412" s="29">
        <f>Tableau!$G$26*COS(F412*PI()/180)+Tableau!$G$25</f>
        <v>-17703.793398533224</v>
      </c>
      <c r="H412" s="29">
        <f>Tableau!$G$26*SIN(F412*PI()/180)+Tableau!$H$25</f>
        <v>12641.483530779702</v>
      </c>
      <c r="J412" s="36">
        <v>409</v>
      </c>
      <c r="K412" s="37">
        <f>Tableau!$G$36*COS(J412*PI()/180)+Tableau!$G$35</f>
        <v>-1719.7048550474628</v>
      </c>
      <c r="L412" s="37">
        <f>Tableau!$G$36*SIN(J412*PI()/180)+Tableau!$H$35</f>
        <v>-11226.45209888614</v>
      </c>
      <c r="N412" s="92">
        <v>408</v>
      </c>
      <c r="O412" s="93">
        <v>204</v>
      </c>
      <c r="P412" s="96">
        <f>P411+R411*Tableau!$G$2+((1/2)*T411)*Tableau!$G$2^2</f>
        <v>-13729566.66505109</v>
      </c>
      <c r="Q412" s="96">
        <f>Q411+S411*Tableau!$G$2+((1/2)*U411)*Tableau!$G$2^2</f>
        <v>6732669.3363969596</v>
      </c>
      <c r="R412" s="96">
        <f>R411+T411*Tableau!$G$2</f>
        <v>-68698.390214572471</v>
      </c>
      <c r="S412" s="96">
        <f>S411+U411*Tableau!$G$2</f>
        <v>33800.81990475663</v>
      </c>
      <c r="T412" s="96">
        <f t="shared" si="12"/>
        <v>4.7082213852665915E-3</v>
      </c>
      <c r="U412" s="96">
        <f t="shared" si="13"/>
        <v>-2.3088230469974452E-3</v>
      </c>
      <c r="V412" s="96">
        <f>((Tableau!$G$16-P412)/(AC412^2+Tableau!$G$21^2)^(3/2))*Tableau!$G$20</f>
        <v>2.0076547005541791E-3</v>
      </c>
      <c r="W412" s="96">
        <f>((Tableau!$H$16-Q412)/(AC412^2+Tableau!$G$21^2)^(3/2))*Tableau!$G$20</f>
        <v>-9.8198133505977034E-4</v>
      </c>
      <c r="X412" s="96">
        <f>((Tableau!$G$25-P412)/(AD412^2+Tableau!$G$30^2)^(3/2))*Tableau!$G$29</f>
        <v>6.9162887517861189E-4</v>
      </c>
      <c r="Y412" s="96">
        <f>((Tableau!$H$25-Q412)/(AD412^2+Tableau!$G$30^2)^(3/2))*Tableau!$G$29</f>
        <v>-3.3914946729737849E-4</v>
      </c>
      <c r="Z412" s="96">
        <f>((Tableau!$G$35-P412)/(AE412^2+Tableau!$G$40^2)^(3/2))*Tableau!$G$39</f>
        <v>2.0089378095337999E-3</v>
      </c>
      <c r="AA412" s="97">
        <f>((Tableau!$H$35-Q412)/(AE412^2+Tableau!$G$40^2)^(3/2))*Tableau!$G$39</f>
        <v>-9.8769224464029639E-4</v>
      </c>
      <c r="AC412" s="110">
        <f>SQRT((Tableau!$G$16-P412)^2+(Tableau!$H$16-Q412)^2)</f>
        <v>15306158.436390826</v>
      </c>
      <c r="AD412" s="111">
        <f>SQRT((Tableau!$G$25-P412)^2+(Tableau!$H$25-Q412)^2)</f>
        <v>15269135.573109958</v>
      </c>
      <c r="AE412" s="112">
        <f>SQRT((Tableau!$G$35-P412)^2+(Tableau!$H$35-Q412)^2)</f>
        <v>15293618.656707227</v>
      </c>
    </row>
    <row r="413" spans="2:31" x14ac:dyDescent="0.25">
      <c r="B413" s="18">
        <v>410</v>
      </c>
      <c r="C413" s="19">
        <f>Tableau!$G$17*COS(B413*PI()/180)+Tableau!$G$16</f>
        <v>23213.938048432698</v>
      </c>
      <c r="D413" s="19">
        <f>Tableau!$G$17*SIN(B413*PI()/180)+Tableau!$H$16</f>
        <v>11330.222215594889</v>
      </c>
      <c r="F413" s="26">
        <v>410</v>
      </c>
      <c r="G413" s="27">
        <f>Tableau!$G$26*COS(F413*PI()/180)+Tableau!$G$25</f>
        <v>-17750.243366097111</v>
      </c>
      <c r="H413" s="27">
        <f>Tableau!$G$26*SIN(F413*PI()/180)+Tableau!$H$25</f>
        <v>12681.155550916423</v>
      </c>
      <c r="J413" s="34">
        <v>410</v>
      </c>
      <c r="K413" s="35">
        <f>Tableau!$G$36*COS(J413*PI()/180)+Tableau!$G$35</f>
        <v>-1786.061951567302</v>
      </c>
      <c r="L413" s="35">
        <f>Tableau!$G$36*SIN(J413*PI()/180)+Tableau!$H$35</f>
        <v>-11169.777784405111</v>
      </c>
      <c r="N413" s="98">
        <v>409</v>
      </c>
      <c r="O413" s="99">
        <v>204.5</v>
      </c>
      <c r="P413" s="101">
        <f>P412+R412*Tableau!$G$2+((1/2)*T412)*Tableau!$G$2^2</f>
        <v>-13763915.859569849</v>
      </c>
      <c r="Q413" s="101">
        <f>Q412+S412*Tableau!$G$2+((1/2)*U412)*Tableau!$G$2^2</f>
        <v>6749569.7460607346</v>
      </c>
      <c r="R413" s="101">
        <f>R412+T412*Tableau!$G$2</f>
        <v>-68698.387860461778</v>
      </c>
      <c r="S413" s="101">
        <f>S412+U412*Tableau!$G$2</f>
        <v>33800.818750345104</v>
      </c>
      <c r="T413" s="101">
        <f t="shared" si="12"/>
        <v>4.6847342668498567E-3</v>
      </c>
      <c r="U413" s="101">
        <f t="shared" si="13"/>
        <v>-2.2973245190771744E-3</v>
      </c>
      <c r="V413" s="101">
        <f>((Tableau!$G$16-P413)/(AC413^2+Tableau!$G$21^2)^(3/2))*Tableau!$G$20</f>
        <v>1.9976440231143583E-3</v>
      </c>
      <c r="W413" s="101">
        <f>((Tableau!$H$16-Q413)/(AC413^2+Tableau!$G$21^2)^(3/2))*Tableau!$G$20</f>
        <v>-9.7709935760291748E-4</v>
      </c>
      <c r="X413" s="101">
        <f>((Tableau!$G$25-P413)/(AD413^2+Tableau!$G$30^2)^(3/2))*Tableau!$G$29</f>
        <v>6.8817274297377617E-4</v>
      </c>
      <c r="Y413" s="101">
        <f>((Tableau!$H$25-Q413)/(AD413^2+Tableau!$G$30^2)^(3/2))*Tableau!$G$29</f>
        <v>-3.3745755183594737E-4</v>
      </c>
      <c r="Z413" s="101">
        <f>((Tableau!$G$35-P413)/(AE413^2+Tableau!$G$40^2)^(3/2))*Tableau!$G$39</f>
        <v>1.9989175007617222E-3</v>
      </c>
      <c r="AA413" s="102">
        <f>((Tableau!$H$35-Q413)/(AE413^2+Tableau!$G$40^2)^(3/2))*Tableau!$G$39</f>
        <v>-9.8276760963830929E-4</v>
      </c>
      <c r="AC413" s="113">
        <f>SQRT((Tableau!$G$16-P413)^2+(Tableau!$H$16-Q413)^2)</f>
        <v>15344440.064220287</v>
      </c>
      <c r="AD413" s="114">
        <f>SQRT((Tableau!$G$25-P413)^2+(Tableau!$H$25-Q413)^2)</f>
        <v>15307417.271275803</v>
      </c>
      <c r="AE413" s="115">
        <f>SQRT((Tableau!$G$35-P413)^2+(Tableau!$H$35-Q413)^2)</f>
        <v>15331900.387102798</v>
      </c>
    </row>
    <row r="414" spans="2:31" x14ac:dyDescent="0.25">
      <c r="B414" s="20">
        <v>411</v>
      </c>
      <c r="C414" s="21">
        <f>Tableau!$G$17*COS(B414*PI()/180)+Tableau!$G$16</f>
        <v>23146.601955249185</v>
      </c>
      <c r="D414" s="21">
        <f>Tableau!$G$17*SIN(B414*PI()/180)+Tableau!$H$16</f>
        <v>11385.729807284855</v>
      </c>
      <c r="F414" s="28">
        <v>411</v>
      </c>
      <c r="G414" s="29">
        <f>Tableau!$G$26*COS(F414*PI()/180)+Tableau!$G$25</f>
        <v>-17797.37863132557</v>
      </c>
      <c r="H414" s="29">
        <f>Tableau!$G$26*SIN(F414*PI()/180)+Tableau!$H$25</f>
        <v>12720.010865099399</v>
      </c>
      <c r="J414" s="36">
        <v>411</v>
      </c>
      <c r="K414" s="37">
        <f>Tableau!$G$36*COS(J414*PI()/180)+Tableau!$G$35</f>
        <v>-1853.3980447508143</v>
      </c>
      <c r="L414" s="37">
        <f>Tableau!$G$36*SIN(J414*PI()/180)+Tableau!$H$35</f>
        <v>-11114.270192715145</v>
      </c>
      <c r="N414" s="92">
        <v>410</v>
      </c>
      <c r="O414" s="93">
        <v>205</v>
      </c>
      <c r="P414" s="96">
        <f>P413+R413*Tableau!$G$2+((1/2)*T413)*Tableau!$G$2^2</f>
        <v>-13798265.052914489</v>
      </c>
      <c r="Q414" s="96">
        <f>Q413+S413*Tableau!$G$2+((1/2)*U413)*Tableau!$G$2^2</f>
        <v>6766470.1551487409</v>
      </c>
      <c r="R414" s="96">
        <f>R413+T413*Tableau!$G$2</f>
        <v>-68698.385518094641</v>
      </c>
      <c r="S414" s="96">
        <f>S413+U413*Tableau!$G$2</f>
        <v>33800.817601682844</v>
      </c>
      <c r="T414" s="96">
        <f t="shared" si="12"/>
        <v>4.661422461101533E-3</v>
      </c>
      <c r="U414" s="96">
        <f t="shared" si="13"/>
        <v>-2.2859116763918447E-3</v>
      </c>
      <c r="V414" s="96">
        <f>((Tableau!$G$16-P414)/(AC414^2+Tableau!$G$21^2)^(3/2))*Tableau!$G$20</f>
        <v>1.9877080332227843E-3</v>
      </c>
      <c r="W414" s="96">
        <f>((Tableau!$H$16-Q414)/(AC414^2+Tableau!$G$21^2)^(3/2))*Tableau!$G$20</f>
        <v>-9.7225369626764984E-4</v>
      </c>
      <c r="X414" s="96">
        <f>((Tableau!$G$25-P414)/(AD414^2+Tableau!$G$30^2)^(3/2))*Tableau!$G$29</f>
        <v>6.8474245219014764E-4</v>
      </c>
      <c r="Y414" s="96">
        <f>((Tableau!$H$25-Q414)/(AD414^2+Tableau!$G$30^2)^(3/2))*Tableau!$G$29</f>
        <v>-3.3577826558122965E-4</v>
      </c>
      <c r="Z414" s="96">
        <f>((Tableau!$G$35-P414)/(AE414^2+Tableau!$G$40^2)^(3/2))*Tableau!$G$39</f>
        <v>1.9889719756886011E-3</v>
      </c>
      <c r="AA414" s="97">
        <f>((Tableau!$H$35-Q414)/(AE414^2+Tableau!$G$40^2)^(3/2))*Tableau!$G$39</f>
        <v>-9.7787971454296524E-4</v>
      </c>
      <c r="AC414" s="110">
        <f>SQRT((Tableau!$G$16-P414)^2+(Tableau!$H$16-Q414)^2)</f>
        <v>15382721.691260921</v>
      </c>
      <c r="AD414" s="111">
        <f>SQRT((Tableau!$G$25-P414)^2+(Tableau!$H$25-Q414)^2)</f>
        <v>15345698.96830315</v>
      </c>
      <c r="AE414" s="112">
        <f>SQRT((Tableau!$G$35-P414)^2+(Tableau!$H$35-Q414)^2)</f>
        <v>15370182.116199054</v>
      </c>
    </row>
    <row r="415" spans="2:31" x14ac:dyDescent="0.25">
      <c r="B415" s="18">
        <v>412</v>
      </c>
      <c r="C415" s="19">
        <f>Tableau!$G$17*COS(B415*PI()/180)+Tableau!$G$16</f>
        <v>23078.307376628294</v>
      </c>
      <c r="D415" s="19">
        <f>Tableau!$G$17*SIN(B415*PI()/180)+Tableau!$H$16</f>
        <v>11440.053768033607</v>
      </c>
      <c r="F415" s="26">
        <v>412</v>
      </c>
      <c r="G415" s="27">
        <f>Tableau!$G$26*COS(F415*PI()/180)+Tableau!$G$25</f>
        <v>-17845.184836360193</v>
      </c>
      <c r="H415" s="27">
        <f>Tableau!$G$26*SIN(F415*PI()/180)+Tableau!$H$25</f>
        <v>12758.037637623525</v>
      </c>
      <c r="J415" s="34">
        <v>412</v>
      </c>
      <c r="K415" s="35">
        <f>Tableau!$G$36*COS(J415*PI()/180)+Tableau!$G$35</f>
        <v>-1921.6926233717058</v>
      </c>
      <c r="L415" s="35">
        <f>Tableau!$G$36*SIN(J415*PI()/180)+Tableau!$H$35</f>
        <v>-11059.946231966393</v>
      </c>
      <c r="N415" s="98">
        <v>411</v>
      </c>
      <c r="O415" s="99">
        <v>205.5</v>
      </c>
      <c r="P415" s="101">
        <f>P414+R414*Tableau!$G$2+((1/2)*T414)*Tableau!$G$2^2</f>
        <v>-13832614.245090859</v>
      </c>
      <c r="Q415" s="101">
        <f>Q414+S414*Tableau!$G$2+((1/2)*U414)*Tableau!$G$2^2</f>
        <v>6783370.5636638431</v>
      </c>
      <c r="R415" s="101">
        <f>R414+T414*Tableau!$G$2</f>
        <v>-68698.383187383413</v>
      </c>
      <c r="S415" s="101">
        <f>S414+U414*Tableau!$G$2</f>
        <v>33800.816458727008</v>
      </c>
      <c r="T415" s="101">
        <f t="shared" si="12"/>
        <v>4.6382842275889654E-3</v>
      </c>
      <c r="U415" s="101">
        <f t="shared" si="13"/>
        <v>-2.2745836696993005E-3</v>
      </c>
      <c r="V415" s="101">
        <f>((Tableau!$G$16-P415)/(AC415^2+Tableau!$G$21^2)^(3/2))*Tableau!$G$20</f>
        <v>1.9778459897520184E-3</v>
      </c>
      <c r="W415" s="101">
        <f>((Tableau!$H$16-Q415)/(AC415^2+Tableau!$G$21^2)^(3/2))*Tableau!$G$20</f>
        <v>-9.6744399174838785E-4</v>
      </c>
      <c r="X415" s="101">
        <f>((Tableau!$G$25-P415)/(AD415^2+Tableau!$G$30^2)^(3/2))*Tableau!$G$29</f>
        <v>6.8133774584679238E-4</v>
      </c>
      <c r="Y415" s="101">
        <f>((Tableau!$H$25-Q415)/(AD415^2+Tableau!$G$30^2)^(3/2))*Tableau!$G$29</f>
        <v>-3.3411148315185452E-4</v>
      </c>
      <c r="Z415" s="101">
        <f>((Tableau!$G$35-P415)/(AE415^2+Tableau!$G$40^2)^(3/2))*Tableau!$G$39</f>
        <v>1.9791004919901545E-3</v>
      </c>
      <c r="AA415" s="102">
        <f>((Tableau!$H$35-Q415)/(AE415^2+Tableau!$G$40^2)^(3/2))*Tableau!$G$39</f>
        <v>-9.7302819479905798E-4</v>
      </c>
      <c r="AC415" s="113">
        <f>SQRT((Tableau!$G$16-P415)^2+(Tableau!$H$16-Q415)^2)</f>
        <v>15421003.317515379</v>
      </c>
      <c r="AD415" s="114">
        <f>SQRT((Tableau!$G$25-P415)^2+(Tableau!$H$25-Q415)^2)</f>
        <v>15383980.664197246</v>
      </c>
      <c r="AE415" s="115">
        <f>SQRT((Tableau!$G$35-P415)^2+(Tableau!$H$35-Q415)^2)</f>
        <v>15408463.844002448</v>
      </c>
    </row>
    <row r="416" spans="2:31" x14ac:dyDescent="0.25">
      <c r="B416" s="20">
        <v>413</v>
      </c>
      <c r="C416" s="21">
        <f>Tableau!$G$17*COS(B416*PI()/180)+Tableau!$G$16</f>
        <v>23009.075115760243</v>
      </c>
      <c r="D416" s="21">
        <f>Tableau!$G$17*SIN(B416*PI()/180)+Tableau!$H$16</f>
        <v>11493.177550236464</v>
      </c>
      <c r="F416" s="28">
        <v>413</v>
      </c>
      <c r="G416" s="29">
        <f>Tableau!$G$26*COS(F416*PI()/180)+Tableau!$G$25</f>
        <v>-17893.64741896783</v>
      </c>
      <c r="H416" s="29">
        <f>Tableau!$G$26*SIN(F416*PI()/180)+Tableau!$H$25</f>
        <v>12795.224285165525</v>
      </c>
      <c r="J416" s="36">
        <v>413</v>
      </c>
      <c r="K416" s="37">
        <f>Tableau!$G$36*COS(J416*PI()/180)+Tableau!$G$35</f>
        <v>-1990.9248842397583</v>
      </c>
      <c r="L416" s="37">
        <f>Tableau!$G$36*SIN(J416*PI()/180)+Tableau!$H$35</f>
        <v>-11006.822449763536</v>
      </c>
      <c r="N416" s="92">
        <v>412</v>
      </c>
      <c r="O416" s="93">
        <v>206</v>
      </c>
      <c r="P416" s="96">
        <f>P415+R415*Tableau!$G$2+((1/2)*T415)*Tableau!$G$2^2</f>
        <v>-13866963.436104765</v>
      </c>
      <c r="Q416" s="96">
        <f>Q415+S415*Tableau!$G$2+((1/2)*U415)*Tableau!$G$2^2</f>
        <v>6800270.9716088837</v>
      </c>
      <c r="R416" s="96">
        <f>R415+T415*Tableau!$G$2</f>
        <v>-68698.380868241293</v>
      </c>
      <c r="S416" s="96">
        <f>S415+U415*Tableau!$G$2</f>
        <v>33800.81532143517</v>
      </c>
      <c r="T416" s="96">
        <f t="shared" si="12"/>
        <v>4.6153178474238835E-3</v>
      </c>
      <c r="U416" s="96">
        <f t="shared" si="13"/>
        <v>-2.263339660252604E-3</v>
      </c>
      <c r="V416" s="96">
        <f>((Tableau!$G$16-P416)/(AC416^2+Tableau!$G$21^2)^(3/2))*Tableau!$G$20</f>
        <v>1.9680571607446906E-3</v>
      </c>
      <c r="W416" s="96">
        <f>((Tableau!$H$16-Q416)/(AC416^2+Tableau!$G$21^2)^(3/2))*Tableau!$G$20</f>
        <v>-9.6266988917221186E-4</v>
      </c>
      <c r="X416" s="96">
        <f>((Tableau!$G$25-P416)/(AD416^2+Tableau!$G$30^2)^(3/2))*Tableau!$G$29</f>
        <v>6.7795837014926995E-4</v>
      </c>
      <c r="Y416" s="96">
        <f>((Tableau!$H$25-Q416)/(AD416^2+Tableau!$G$30^2)^(3/2))*Tableau!$G$29</f>
        <v>-3.3245708071854755E-4</v>
      </c>
      <c r="Z416" s="96">
        <f>((Tableau!$G$35-P416)/(AE416^2+Tableau!$G$40^2)^(3/2))*Tableau!$G$39</f>
        <v>1.969302316529923E-3</v>
      </c>
      <c r="AA416" s="97">
        <f>((Tableau!$H$35-Q416)/(AE416^2+Tableau!$G$40^2)^(3/2))*Tableau!$G$39</f>
        <v>-9.6821269036184449E-4</v>
      </c>
      <c r="AC416" s="110">
        <f>SQRT((Tableau!$G$16-P416)^2+(Tableau!$H$16-Q416)^2)</f>
        <v>15459284.9429863</v>
      </c>
      <c r="AD416" s="111">
        <f>SQRT((Tableau!$G$25-P416)^2+(Tableau!$H$25-Q416)^2)</f>
        <v>15422262.358963309</v>
      </c>
      <c r="AE416" s="112">
        <f>SQRT((Tableau!$G$35-P416)^2+(Tableau!$H$35-Q416)^2)</f>
        <v>15446745.570519382</v>
      </c>
    </row>
    <row r="417" spans="2:31" x14ac:dyDescent="0.25">
      <c r="B417" s="18">
        <v>414</v>
      </c>
      <c r="C417" s="19">
        <f>Tableau!$G$17*COS(B417*PI()/180)+Tableau!$G$16</f>
        <v>22938.926261462369</v>
      </c>
      <c r="D417" s="19">
        <f>Tableau!$G$17*SIN(B417*PI()/180)+Tableau!$H$16</f>
        <v>11545.084971874734</v>
      </c>
      <c r="F417" s="26">
        <v>414</v>
      </c>
      <c r="G417" s="27">
        <f>Tableau!$G$26*COS(F417*PI()/180)+Tableau!$G$25</f>
        <v>-17942.75161697634</v>
      </c>
      <c r="H417" s="27">
        <f>Tableau!$G$26*SIN(F417*PI()/180)+Tableau!$H$25</f>
        <v>12831.559480312313</v>
      </c>
      <c r="J417" s="34">
        <v>414</v>
      </c>
      <c r="K417" s="35">
        <f>Tableau!$G$36*COS(J417*PI()/180)+Tableau!$G$35</f>
        <v>-2061.0737385376297</v>
      </c>
      <c r="L417" s="35">
        <f>Tableau!$G$36*SIN(J417*PI()/180)+Tableau!$H$35</f>
        <v>-10954.915028125266</v>
      </c>
      <c r="N417" s="98">
        <v>413</v>
      </c>
      <c r="O417" s="99">
        <v>206.5</v>
      </c>
      <c r="P417" s="101">
        <f>P416+R416*Tableau!$G$2+((1/2)*T416)*Tableau!$G$2^2</f>
        <v>-13901312.625961971</v>
      </c>
      <c r="Q417" s="101">
        <f>Q416+S416*Tableau!$G$2+((1/2)*U416)*Tableau!$G$2^2</f>
        <v>6817171.3789866837</v>
      </c>
      <c r="R417" s="101">
        <f>R416+T416*Tableau!$G$2</f>
        <v>-68698.378560582365</v>
      </c>
      <c r="S417" s="101">
        <f>S416+U416*Tableau!$G$2</f>
        <v>33800.81418976534</v>
      </c>
      <c r="T417" s="101">
        <f t="shared" si="12"/>
        <v>4.5925216229432044E-3</v>
      </c>
      <c r="U417" s="101">
        <f t="shared" si="13"/>
        <v>-2.2521788196447966E-3</v>
      </c>
      <c r="V417" s="101">
        <f>((Tableau!$G$16-P417)/(AC417^2+Tableau!$G$21^2)^(3/2))*Tableau!$G$20</f>
        <v>1.9583408232775323E-3</v>
      </c>
      <c r="W417" s="101">
        <f>((Tableau!$H$16-Q417)/(AC417^2+Tableau!$G$21^2)^(3/2))*Tableau!$G$20</f>
        <v>-9.5793103803332841E-4</v>
      </c>
      <c r="X417" s="101">
        <f>((Tableau!$G$25-P417)/(AD417^2+Tableau!$G$30^2)^(3/2))*Tableau!$G$29</f>
        <v>6.7460407444238496E-4</v>
      </c>
      <c r="Y417" s="101">
        <f>((Tableau!$H$25-Q417)/(AD417^2+Tableau!$G$30^2)^(3/2))*Tableau!$G$29</f>
        <v>-3.308149359811548E-4</v>
      </c>
      <c r="Z417" s="101">
        <f>((Tableau!$G$35-P417)/(AE417^2+Tableau!$G$40^2)^(3/2))*Tableau!$G$39</f>
        <v>1.959576725223287E-3</v>
      </c>
      <c r="AA417" s="102">
        <f>((Tableau!$H$35-Q417)/(AE417^2+Tableau!$G$40^2)^(3/2))*Tableau!$G$39</f>
        <v>-9.6343284563031345E-4</v>
      </c>
      <c r="AC417" s="113">
        <f>SQRT((Tableau!$G$16-P417)^2+(Tableau!$H$16-Q417)^2)</f>
        <v>15497566.567676313</v>
      </c>
      <c r="AD417" s="114">
        <f>SQRT((Tableau!$G$25-P417)^2+(Tableau!$H$25-Q417)^2)</f>
        <v>15460544.052606516</v>
      </c>
      <c r="AE417" s="115">
        <f>SQRT((Tableau!$G$35-P417)^2+(Tableau!$H$35-Q417)^2)</f>
        <v>15485027.29575621</v>
      </c>
    </row>
    <row r="418" spans="2:31" x14ac:dyDescent="0.25">
      <c r="B418" s="20">
        <v>415</v>
      </c>
      <c r="C418" s="21">
        <f>Tableau!$G$17*COS(B418*PI()/180)+Tableau!$G$16</f>
        <v>22867.882181755231</v>
      </c>
      <c r="D418" s="21">
        <f>Tableau!$G$17*SIN(B418*PI()/180)+Tableau!$H$16</f>
        <v>11595.760221444958</v>
      </c>
      <c r="F418" s="28">
        <v>415</v>
      </c>
      <c r="G418" s="29">
        <f>Tableau!$G$26*COS(F418*PI()/180)+Tableau!$G$25</f>
        <v>-17992.482472771339</v>
      </c>
      <c r="H418" s="29">
        <f>Tableau!$G$26*SIN(F418*PI()/180)+Tableau!$H$25</f>
        <v>12867.03215501147</v>
      </c>
      <c r="J418" s="36">
        <v>415</v>
      </c>
      <c r="K418" s="37">
        <f>Tableau!$G$36*COS(J418*PI()/180)+Tableau!$G$35</f>
        <v>-2132.1178182447675</v>
      </c>
      <c r="L418" s="37">
        <f>Tableau!$G$36*SIN(J418*PI()/180)+Tableau!$H$35</f>
        <v>-10904.239778555042</v>
      </c>
      <c r="N418" s="92">
        <v>414</v>
      </c>
      <c r="O418" s="93">
        <v>207</v>
      </c>
      <c r="P418" s="96">
        <f>P417+R417*Tableau!$G$2+((1/2)*T417)*Tableau!$G$2^2</f>
        <v>-13935661.814668197</v>
      </c>
      <c r="Q418" s="96">
        <f>Q417+S417*Tableau!$G$2+((1/2)*U417)*Tableau!$G$2^2</f>
        <v>6834071.7858000444</v>
      </c>
      <c r="R418" s="96">
        <f>R417+T417*Tableau!$G$2</f>
        <v>-68698.37626432156</v>
      </c>
      <c r="S418" s="96">
        <f>S417+U417*Tableau!$G$2</f>
        <v>33800.813063675931</v>
      </c>
      <c r="T418" s="96">
        <f t="shared" si="12"/>
        <v>4.5698938773953233E-3</v>
      </c>
      <c r="U418" s="96">
        <f t="shared" si="13"/>
        <v>-2.2411003296563246E-3</v>
      </c>
      <c r="V418" s="96">
        <f>((Tableau!$G$16-P418)/(AC418^2+Tableau!$G$21^2)^(3/2))*Tableau!$G$20</f>
        <v>1.9486962633281451E-3</v>
      </c>
      <c r="W418" s="96">
        <f>((Tableau!$H$16-Q418)/(AC418^2+Tableau!$G$21^2)^(3/2))*Tableau!$G$20</f>
        <v>-9.5322709212885669E-4</v>
      </c>
      <c r="X418" s="96">
        <f>((Tableau!$G$25-P418)/(AD418^2+Tableau!$G$30^2)^(3/2))*Tableau!$G$29</f>
        <v>6.7127461116368197E-4</v>
      </c>
      <c r="Y418" s="96">
        <f>((Tableau!$H$25-Q418)/(AD418^2+Tableau!$G$30^2)^(3/2))*Tableau!$G$29</f>
        <v>-3.2918492814602813E-4</v>
      </c>
      <c r="Z418" s="96">
        <f>((Tableau!$G$35-P418)/(AE418^2+Tableau!$G$40^2)^(3/2))*Tableau!$G$39</f>
        <v>1.9499230029034966E-3</v>
      </c>
      <c r="AA418" s="97">
        <f>((Tableau!$H$35-Q418)/(AE418^2+Tableau!$G$40^2)^(3/2))*Tableau!$G$39</f>
        <v>-9.5868830938143992E-4</v>
      </c>
      <c r="AC418" s="110">
        <f>SQRT((Tableau!$G$16-P418)^2+(Tableau!$H$16-Q418)^2)</f>
        <v>15535848.191588037</v>
      </c>
      <c r="AD418" s="111">
        <f>SQRT((Tableau!$G$25-P418)^2+(Tableau!$H$25-Q418)^2)</f>
        <v>15498825.74513201</v>
      </c>
      <c r="AE418" s="112">
        <f>SQRT((Tableau!$G$35-P418)^2+(Tableau!$H$35-Q418)^2)</f>
        <v>15523309.019719245</v>
      </c>
    </row>
    <row r="419" spans="2:31" x14ac:dyDescent="0.25">
      <c r="B419" s="18">
        <v>416</v>
      </c>
      <c r="C419" s="19">
        <f>Tableau!$G$17*COS(B419*PI()/180)+Tableau!$G$16</f>
        <v>22795.964517353732</v>
      </c>
      <c r="D419" s="19">
        <f>Tableau!$G$17*SIN(B419*PI()/180)+Tableau!$H$16</f>
        <v>11645.187862775208</v>
      </c>
      <c r="F419" s="26">
        <v>416</v>
      </c>
      <c r="G419" s="27">
        <f>Tableau!$G$26*COS(F419*PI()/180)+Tableau!$G$25</f>
        <v>-18042.824837852386</v>
      </c>
      <c r="H419" s="27">
        <f>Tableau!$G$26*SIN(F419*PI()/180)+Tableau!$H$25</f>
        <v>12901.631503942646</v>
      </c>
      <c r="J419" s="34">
        <v>416</v>
      </c>
      <c r="K419" s="35">
        <f>Tableau!$G$36*COS(J419*PI()/180)+Tableau!$G$35</f>
        <v>-2204.0354826462667</v>
      </c>
      <c r="L419" s="35">
        <f>Tableau!$G$36*SIN(J419*PI()/180)+Tableau!$H$35</f>
        <v>-10854.812137224792</v>
      </c>
      <c r="N419" s="98">
        <v>415</v>
      </c>
      <c r="O419" s="99">
        <v>207.5</v>
      </c>
      <c r="P419" s="101">
        <f>P418+R418*Tableau!$G$2+((1/2)*T418)*Tableau!$G$2^2</f>
        <v>-13970011.002229122</v>
      </c>
      <c r="Q419" s="101">
        <f>Q418+S418*Tableau!$G$2+((1/2)*U418)*Tableau!$G$2^2</f>
        <v>6850972.192051745</v>
      </c>
      <c r="R419" s="101">
        <f>R418+T418*Tableau!$G$2</f>
        <v>-68698.373979374621</v>
      </c>
      <c r="S419" s="101">
        <f>S418+U418*Tableau!$G$2</f>
        <v>33800.811943125766</v>
      </c>
      <c r="T419" s="101">
        <f t="shared" si="12"/>
        <v>4.5474329546317813E-3</v>
      </c>
      <c r="U419" s="101">
        <f t="shared" si="13"/>
        <v>-2.2301033821050752E-3</v>
      </c>
      <c r="V419" s="101">
        <f>((Tableau!$G$16-P419)/(AC419^2+Tableau!$G$21^2)^(3/2))*Tableau!$G$20</f>
        <v>1.9391227756436463E-3</v>
      </c>
      <c r="W419" s="101">
        <f>((Tableau!$H$16-Q419)/(AC419^2+Tableau!$G$21^2)^(3/2))*Tableau!$G$20</f>
        <v>-9.4855770949551328E-4</v>
      </c>
      <c r="X419" s="101">
        <f>((Tableau!$G$25-P419)/(AD419^2+Tableau!$G$30^2)^(3/2))*Tableau!$G$29</f>
        <v>6.6796973579779403E-4</v>
      </c>
      <c r="Y419" s="101">
        <f>((Tableau!$H$25-Q419)/(AD419^2+Tableau!$G$30^2)^(3/2))*Tableau!$G$29</f>
        <v>-3.2756693790382476E-4</v>
      </c>
      <c r="Z419" s="101">
        <f>((Tableau!$G$35-P419)/(AE419^2+Tableau!$G$40^2)^(3/2))*Tableau!$G$39</f>
        <v>1.9403404431903406E-3</v>
      </c>
      <c r="AA419" s="102">
        <f>((Tableau!$H$35-Q419)/(AE419^2+Tableau!$G$40^2)^(3/2))*Tableau!$G$39</f>
        <v>-9.5397873470573719E-4</v>
      </c>
      <c r="AC419" s="113">
        <f>SQRT((Tableau!$G$16-P419)^2+(Tableau!$H$16-Q419)^2)</f>
        <v>15574129.814724078</v>
      </c>
      <c r="AD419" s="114">
        <f>SQRT((Tableau!$G$25-P419)^2+(Tableau!$H$25-Q419)^2)</f>
        <v>15537107.436544899</v>
      </c>
      <c r="AE419" s="115">
        <f>SQRT((Tableau!$G$35-P419)^2+(Tableau!$H$35-Q419)^2)</f>
        <v>15561590.742414745</v>
      </c>
    </row>
    <row r="420" spans="2:31" x14ac:dyDescent="0.25">
      <c r="B420" s="20">
        <v>417</v>
      </c>
      <c r="C420" s="21">
        <f>Tableau!$G$17*COS(B420*PI()/180)+Tableau!$G$16</f>
        <v>22723.195175075136</v>
      </c>
      <c r="D420" s="21">
        <f>Tableau!$G$17*SIN(B420*PI()/180)+Tableau!$H$16</f>
        <v>11693.35283972712</v>
      </c>
      <c r="F420" s="28">
        <v>417</v>
      </c>
      <c r="G420" s="29">
        <f>Tableau!$G$26*COS(F420*PI()/180)+Tableau!$G$25</f>
        <v>-18093.763377447405</v>
      </c>
      <c r="H420" s="29">
        <f>Tableau!$G$26*SIN(F420*PI()/180)+Tableau!$H$25</f>
        <v>12935.346987808984</v>
      </c>
      <c r="J420" s="36">
        <v>417</v>
      </c>
      <c r="K420" s="37">
        <f>Tableau!$G$36*COS(J420*PI()/180)+Tableau!$G$35</f>
        <v>-2276.8048249248645</v>
      </c>
      <c r="L420" s="37">
        <f>Tableau!$G$36*SIN(J420*PI()/180)+Tableau!$H$35</f>
        <v>-10806.64716027288</v>
      </c>
      <c r="N420" s="92">
        <v>416</v>
      </c>
      <c r="O420" s="93">
        <v>208</v>
      </c>
      <c r="P420" s="96">
        <f>P419+R419*Tableau!$G$2+((1/2)*T419)*Tableau!$G$2^2</f>
        <v>-14004360.188650381</v>
      </c>
      <c r="Q420" s="96">
        <f>Q419+S419*Tableau!$G$2+((1/2)*U419)*Tableau!$G$2^2</f>
        <v>6867872.597744545</v>
      </c>
      <c r="R420" s="96">
        <f>R419+T419*Tableau!$G$2</f>
        <v>-68698.371705658137</v>
      </c>
      <c r="S420" s="96">
        <f>S419+U419*Tableau!$G$2</f>
        <v>33800.810828074078</v>
      </c>
      <c r="T420" s="96">
        <f t="shared" si="12"/>
        <v>4.5251372188041166E-3</v>
      </c>
      <c r="U420" s="96">
        <f t="shared" si="13"/>
        <v>-2.2191871786989325E-3</v>
      </c>
      <c r="V420" s="96">
        <f>((Tableau!$G$16-P420)/(AC420^2+Tableau!$G$21^2)^(3/2))*Tableau!$G$20</f>
        <v>1.9296196636117676E-3</v>
      </c>
      <c r="W420" s="96">
        <f>((Tableau!$H$16-Q420)/(AC420^2+Tableau!$G$21^2)^(3/2))*Tableau!$G$20</f>
        <v>-9.4392255234747747E-4</v>
      </c>
      <c r="X420" s="96">
        <f>((Tableau!$G$25-P420)/(AD420^2+Tableau!$G$30^2)^(3/2))*Tableau!$G$29</f>
        <v>6.6468920683149376E-4</v>
      </c>
      <c r="Y420" s="96">
        <f>((Tableau!$H$25-Q420)/(AD420^2+Tableau!$G$30^2)^(3/2))*Tableau!$G$29</f>
        <v>-3.2596084740764815E-4</v>
      </c>
      <c r="Z420" s="96">
        <f>((Tableau!$G$35-P420)/(AE420^2+Tableau!$G$40^2)^(3/2))*Tableau!$G$39</f>
        <v>1.9308283483608552E-3</v>
      </c>
      <c r="AA420" s="97">
        <f>((Tableau!$H$35-Q420)/(AE420^2+Tableau!$G$40^2)^(3/2))*Tableau!$G$39</f>
        <v>-9.4930377894380667E-4</v>
      </c>
      <c r="AC420" s="110">
        <f>SQRT((Tableau!$G$16-P420)^2+(Tableau!$H$16-Q420)^2)</f>
        <v>15612411.437087033</v>
      </c>
      <c r="AD420" s="111">
        <f>SQRT((Tableau!$G$25-P420)^2+(Tableau!$H$25-Q420)^2)</f>
        <v>15575389.126850259</v>
      </c>
      <c r="AE420" s="112">
        <f>SQRT((Tableau!$G$35-P420)^2+(Tableau!$H$35-Q420)^2)</f>
        <v>15599872.463848926</v>
      </c>
    </row>
    <row r="421" spans="2:31" x14ac:dyDescent="0.25">
      <c r="B421" s="18">
        <v>418</v>
      </c>
      <c r="C421" s="19">
        <f>Tableau!$G$17*COS(B421*PI()/180)+Tableau!$G$16</f>
        <v>22649.596321166027</v>
      </c>
      <c r="D421" s="19">
        <f>Tableau!$G$17*SIN(B421*PI()/180)+Tableau!$H$16</f>
        <v>11740.240480782129</v>
      </c>
      <c r="F421" s="26">
        <v>418</v>
      </c>
      <c r="G421" s="27">
        <f>Tableau!$G$26*COS(F421*PI()/180)+Tableau!$G$25</f>
        <v>-18145.282575183781</v>
      </c>
      <c r="H421" s="27">
        <f>Tableau!$G$26*SIN(F421*PI()/180)+Tableau!$H$25</f>
        <v>12968.168336547491</v>
      </c>
      <c r="J421" s="34">
        <v>418</v>
      </c>
      <c r="K421" s="35">
        <f>Tableau!$G$36*COS(J421*PI()/180)+Tableau!$G$35</f>
        <v>-2350.4036788339745</v>
      </c>
      <c r="L421" s="35">
        <f>Tableau!$G$36*SIN(J421*PI()/180)+Tableau!$H$35</f>
        <v>-10759.759519217871</v>
      </c>
      <c r="N421" s="98">
        <v>417</v>
      </c>
      <c r="O421" s="99">
        <v>208.5</v>
      </c>
      <c r="P421" s="101">
        <f>P420+R420*Tableau!$G$2+((1/2)*T420)*Tableau!$G$2^2</f>
        <v>-14038709.373937568</v>
      </c>
      <c r="Q421" s="101">
        <f>Q420+S420*Tableau!$G$2+((1/2)*U420)*Tableau!$G$2^2</f>
        <v>6884773.0028811842</v>
      </c>
      <c r="R421" s="101">
        <f>R420+T420*Tableau!$G$2</f>
        <v>-68698.369443089527</v>
      </c>
      <c r="S421" s="101">
        <f>S420+U420*Tableau!$G$2</f>
        <v>33800.809718480486</v>
      </c>
      <c r="T421" s="101">
        <f t="shared" si="12"/>
        <v>4.5030050540661691E-3</v>
      </c>
      <c r="U421" s="101">
        <f t="shared" si="13"/>
        <v>-2.2083509308909741E-3</v>
      </c>
      <c r="V421" s="101">
        <f>((Tableau!$G$16-P421)/(AC421^2+Tableau!$G$21^2)^(3/2))*Tableau!$G$20</f>
        <v>1.9201862391341608E-3</v>
      </c>
      <c r="W421" s="101">
        <f>((Tableau!$H$16-Q421)/(AC421^2+Tableau!$G$21^2)^(3/2))*Tableau!$G$20</f>
        <v>-9.3932128701531572E-4</v>
      </c>
      <c r="X421" s="101">
        <f>((Tableau!$G$25-P421)/(AD421^2+Tableau!$G$30^2)^(3/2))*Tableau!$G$29</f>
        <v>6.6143278570964393E-4</v>
      </c>
      <c r="Y421" s="101">
        <f>((Tableau!$H$25-Q421)/(AD421^2+Tableau!$G$30^2)^(3/2))*Tableau!$G$29</f>
        <v>-3.2436654025162526E-4</v>
      </c>
      <c r="Z421" s="101">
        <f>((Tableau!$G$35-P421)/(AE421^2+Tableau!$G$40^2)^(3/2))*Tableau!$G$39</f>
        <v>1.9213860292223639E-3</v>
      </c>
      <c r="AA421" s="102">
        <f>((Tableau!$H$35-Q421)/(AE421^2+Tableau!$G$40^2)^(3/2))*Tableau!$G$39</f>
        <v>-9.4466310362403285E-4</v>
      </c>
      <c r="AC421" s="113">
        <f>SQRT((Tableau!$G$16-P421)^2+(Tableau!$H$16-Q421)^2)</f>
        <v>15650693.058679491</v>
      </c>
      <c r="AD421" s="114">
        <f>SQRT((Tableau!$G$25-P421)^2+(Tableau!$H$25-Q421)^2)</f>
        <v>15613670.816053122</v>
      </c>
      <c r="AE421" s="115">
        <f>SQRT((Tableau!$G$35-P421)^2+(Tableau!$H$35-Q421)^2)</f>
        <v>15638154.184027961</v>
      </c>
    </row>
    <row r="422" spans="2:31" x14ac:dyDescent="0.25">
      <c r="B422" s="20">
        <v>419</v>
      </c>
      <c r="C422" s="21">
        <f>Tableau!$G$17*COS(B422*PI()/180)+Tableau!$G$16</f>
        <v>22575.190374550271</v>
      </c>
      <c r="D422" s="21">
        <f>Tableau!$G$17*SIN(B422*PI()/180)+Tableau!$H$16</f>
        <v>11785.83650351056</v>
      </c>
      <c r="F422" s="28">
        <v>419</v>
      </c>
      <c r="G422" s="29">
        <f>Tableau!$G$26*COS(F422*PI()/180)+Tableau!$G$25</f>
        <v>-18197.366737814809</v>
      </c>
      <c r="H422" s="29">
        <f>Tableau!$G$26*SIN(F422*PI()/180)+Tableau!$H$25</f>
        <v>13000.085552457393</v>
      </c>
      <c r="J422" s="36">
        <v>419</v>
      </c>
      <c r="K422" s="37">
        <f>Tableau!$G$36*COS(J422*PI()/180)+Tableau!$G$35</f>
        <v>-2424.8096254497277</v>
      </c>
      <c r="L422" s="37">
        <f>Tableau!$G$36*SIN(J422*PI()/180)+Tableau!$H$35</f>
        <v>-10714.16349648944</v>
      </c>
      <c r="N422" s="92">
        <v>418</v>
      </c>
      <c r="O422" s="93">
        <v>209</v>
      </c>
      <c r="P422" s="96">
        <f>P421+R421*Tableau!$G$2+((1/2)*T421)*Tableau!$G$2^2</f>
        <v>-14073058.558096236</v>
      </c>
      <c r="Q422" s="96">
        <f>Q421+S421*Tableau!$G$2+((1/2)*U421)*Tableau!$G$2^2</f>
        <v>6901673.4074643804</v>
      </c>
      <c r="R422" s="96">
        <f>R421+T421*Tableau!$G$2</f>
        <v>-68698.367191586993</v>
      </c>
      <c r="S422" s="96">
        <f>S421+U421*Tableau!$G$2</f>
        <v>33800.808614305024</v>
      </c>
      <c r="T422" s="96">
        <f t="shared" si="12"/>
        <v>4.4810348642811068E-3</v>
      </c>
      <c r="U422" s="96">
        <f t="shared" si="13"/>
        <v>-2.1975938597369694E-3</v>
      </c>
      <c r="V422" s="96">
        <f>((Tableau!$G$16-P422)/(AC422^2+Tableau!$G$21^2)^(3/2))*Tableau!$G$20</f>
        <v>1.9108218225018132E-3</v>
      </c>
      <c r="W422" s="96">
        <f>((Tableau!$H$16-Q422)/(AC422^2+Tableau!$G$21^2)^(3/2))*Tableau!$G$20</f>
        <v>-9.3475358388592222E-4</v>
      </c>
      <c r="X422" s="96">
        <f>((Tableau!$G$25-P422)/(AD422^2+Tableau!$G$30^2)^(3/2))*Tableau!$G$29</f>
        <v>6.582002367917641E-4</v>
      </c>
      <c r="Y422" s="96">
        <f>((Tableau!$H$25-Q422)/(AD422^2+Tableau!$G$30^2)^(3/2))*Tableau!$G$29</f>
        <v>-3.2278390144978254E-4</v>
      </c>
      <c r="Z422" s="96">
        <f>((Tableau!$G$35-P422)/(AE422^2+Tableau!$G$40^2)^(3/2))*Tableau!$G$39</f>
        <v>1.9120128049875298E-3</v>
      </c>
      <c r="AA422" s="97">
        <f>((Tableau!$H$35-Q422)/(AE422^2+Tableau!$G$40^2)^(3/2))*Tableau!$G$39</f>
        <v>-9.4005637440126443E-4</v>
      </c>
      <c r="AC422" s="110">
        <f>SQRT((Tableau!$G$16-P422)^2+(Tableau!$H$16-Q422)^2)</f>
        <v>15688974.679504031</v>
      </c>
      <c r="AD422" s="111">
        <f>SQRT((Tableau!$G$25-P422)^2+(Tableau!$H$25-Q422)^2)</f>
        <v>15651952.504158501</v>
      </c>
      <c r="AE422" s="112">
        <f>SQRT((Tableau!$G$35-P422)^2+(Tableau!$H$35-Q422)^2)</f>
        <v>15676435.90295797</v>
      </c>
    </row>
    <row r="423" spans="2:31" x14ac:dyDescent="0.25">
      <c r="B423" s="18">
        <v>420</v>
      </c>
      <c r="C423" s="19">
        <f>Tableau!$G$17*COS(B423*PI()/180)+Tableau!$G$16</f>
        <v>22500</v>
      </c>
      <c r="D423" s="19">
        <f>Tableau!$G$17*SIN(B423*PI()/180)+Tableau!$H$16</f>
        <v>11830.127018922194</v>
      </c>
      <c r="F423" s="26">
        <v>420</v>
      </c>
      <c r="G423" s="27">
        <f>Tableau!$G$26*COS(F423*PI()/180)+Tableau!$G$25</f>
        <v>-18250</v>
      </c>
      <c r="H423" s="27">
        <f>Tableau!$G$26*SIN(F423*PI()/180)+Tableau!$H$25</f>
        <v>13031.088913245536</v>
      </c>
      <c r="J423" s="34">
        <v>420</v>
      </c>
      <c r="K423" s="35">
        <f>Tableau!$G$36*COS(J423*PI()/180)+Tableau!$G$35</f>
        <v>-2500.0000000000014</v>
      </c>
      <c r="L423" s="35">
        <f>Tableau!$G$36*SIN(J423*PI()/180)+Tableau!$H$35</f>
        <v>-10669.872981077806</v>
      </c>
      <c r="N423" s="98">
        <v>419</v>
      </c>
      <c r="O423" s="99">
        <v>209.5</v>
      </c>
      <c r="P423" s="101">
        <f>P422+R422*Tableau!$G$2+((1/2)*T422)*Tableau!$G$2^2</f>
        <v>-14107407.7411319</v>
      </c>
      <c r="Q423" s="101">
        <f>Q422+S422*Tableau!$G$2+((1/2)*U422)*Tableau!$G$2^2</f>
        <v>6918573.8114968333</v>
      </c>
      <c r="R423" s="101">
        <f>R422+T422*Tableau!$G$2</f>
        <v>-68698.364951069554</v>
      </c>
      <c r="S423" s="101">
        <f>S422+U422*Tableau!$G$2</f>
        <v>33800.807515508095</v>
      </c>
      <c r="T423" s="101">
        <f t="shared" si="12"/>
        <v>4.4592250727338257E-3</v>
      </c>
      <c r="U423" s="101">
        <f t="shared" si="13"/>
        <v>-2.1869151957554819E-3</v>
      </c>
      <c r="V423" s="101">
        <f>((Tableau!$G$16-P423)/(AC423^2+Tableau!$G$21^2)^(3/2))*Tableau!$G$20</f>
        <v>1.901525742272672E-3</v>
      </c>
      <c r="W423" s="101">
        <f>((Tableau!$H$16-Q423)/(AC423^2+Tableau!$G$21^2)^(3/2))*Tableau!$G$20</f>
        <v>-9.3021911734352089E-4</v>
      </c>
      <c r="X423" s="101">
        <f>((Tableau!$G$25-P423)/(AD423^2+Tableau!$G$30^2)^(3/2))*Tableau!$G$29</f>
        <v>6.5499132730941173E-4</v>
      </c>
      <c r="Y423" s="101">
        <f>((Tableau!$H$25-Q423)/(AD423^2+Tableau!$G$30^2)^(3/2))*Tableau!$G$29</f>
        <v>-3.2121281741531905E-4</v>
      </c>
      <c r="Z423" s="101">
        <f>((Tableau!$G$35-P423)/(AE423^2+Tableau!$G$40^2)^(3/2))*Tableau!$G$39</f>
        <v>1.9027080031517422E-3</v>
      </c>
      <c r="AA423" s="102">
        <f>((Tableau!$H$35-Q423)/(AE423^2+Tableau!$G$40^2)^(3/2))*Tableau!$G$39</f>
        <v>-9.3548326099664192E-4</v>
      </c>
      <c r="AC423" s="113">
        <f>SQRT((Tableau!$G$16-P423)^2+(Tableau!$H$16-Q423)^2)</f>
        <v>15727256.299563218</v>
      </c>
      <c r="AD423" s="114">
        <f>SQRT((Tableau!$G$25-P423)^2+(Tableau!$H$25-Q423)^2)</f>
        <v>15690234.191171361</v>
      </c>
      <c r="AE423" s="115">
        <f>SQRT((Tableau!$G$35-P423)^2+(Tableau!$H$35-Q423)^2)</f>
        <v>15714717.620645039</v>
      </c>
    </row>
    <row r="424" spans="2:31" x14ac:dyDescent="0.25">
      <c r="B424" s="20">
        <v>421</v>
      </c>
      <c r="C424" s="21">
        <f>Tableau!$G$17*COS(B424*PI()/180)+Tableau!$G$16</f>
        <v>22424.048101231689</v>
      </c>
      <c r="D424" s="21">
        <f>Tableau!$G$17*SIN(B424*PI()/180)+Tableau!$H$16</f>
        <v>11873.098535696976</v>
      </c>
      <c r="F424" s="28">
        <v>421</v>
      </c>
      <c r="G424" s="29">
        <f>Tableau!$G$26*COS(F424*PI()/180)+Tableau!$G$25</f>
        <v>-18303.166329137817</v>
      </c>
      <c r="H424" s="29">
        <f>Tableau!$G$26*SIN(F424*PI()/180)+Tableau!$H$25</f>
        <v>13061.168974987884</v>
      </c>
      <c r="J424" s="36">
        <v>421</v>
      </c>
      <c r="K424" s="37">
        <f>Tableau!$G$36*COS(J424*PI()/180)+Tableau!$G$35</f>
        <v>-2575.9518987683114</v>
      </c>
      <c r="L424" s="37">
        <f>Tableau!$G$36*SIN(J424*PI()/180)+Tableau!$H$35</f>
        <v>-10626.901464303024</v>
      </c>
      <c r="N424" s="92">
        <v>420</v>
      </c>
      <c r="O424" s="93">
        <v>210</v>
      </c>
      <c r="P424" s="96">
        <f>P423+R423*Tableau!$G$2+((1/2)*T423)*Tableau!$G$2^2</f>
        <v>-14141756.923050031</v>
      </c>
      <c r="Q424" s="96">
        <f>Q423+S423*Tableau!$G$2+((1/2)*U423)*Tableau!$G$2^2</f>
        <v>6935474.2149812225</v>
      </c>
      <c r="R424" s="96">
        <f>R423+T423*Tableau!$G$2</f>
        <v>-68698.362721457015</v>
      </c>
      <c r="S424" s="96">
        <f>S423+U423*Tableau!$G$2</f>
        <v>33800.806422050497</v>
      </c>
      <c r="T424" s="96">
        <f t="shared" si="12"/>
        <v>4.4375741218479828E-3</v>
      </c>
      <c r="U424" s="96">
        <f t="shared" si="13"/>
        <v>-2.1763141787902248E-3</v>
      </c>
      <c r="V424" s="96">
        <f>((Tableau!$G$16-P424)/(AC424^2+Tableau!$G$21^2)^(3/2))*Tableau!$G$20</f>
        <v>1.8922973351511456E-3</v>
      </c>
      <c r="W424" s="96">
        <f>((Tableau!$H$16-Q424)/(AC424^2+Tableau!$G$21^2)^(3/2))*Tableau!$G$20</f>
        <v>-9.2571756571156781E-4</v>
      </c>
      <c r="X424" s="96">
        <f>((Tableau!$G$25-P424)/(AD424^2+Tableau!$G$30^2)^(3/2))*Tableau!$G$29</f>
        <v>6.5180582732433175E-4</v>
      </c>
      <c r="Y424" s="96">
        <f>((Tableau!$H$25-Q424)/(AD424^2+Tableau!$G$30^2)^(3/2))*Tableau!$G$29</f>
        <v>-3.1965317594025058E-4</v>
      </c>
      <c r="Z424" s="96">
        <f>((Tableau!$G$35-P424)/(AE424^2+Tableau!$G$40^2)^(3/2))*Tableau!$G$39</f>
        <v>1.8934709593725054E-3</v>
      </c>
      <c r="AA424" s="97">
        <f>((Tableau!$H$35-Q424)/(AE424^2+Tableau!$G$40^2)^(3/2))*Tableau!$G$39</f>
        <v>-9.3094343713840625E-4</v>
      </c>
      <c r="AC424" s="110">
        <f>SQRT((Tableau!$G$16-P424)^2+(Tableau!$H$16-Q424)^2)</f>
        <v>15765537.918859608</v>
      </c>
      <c r="AD424" s="111">
        <f>SQRT((Tableau!$G$25-P424)^2+(Tableau!$H$25-Q424)^2)</f>
        <v>15728515.877096646</v>
      </c>
      <c r="AE424" s="112">
        <f>SQRT((Tableau!$G$35-P424)^2+(Tableau!$H$35-Q424)^2)</f>
        <v>15752999.337095199</v>
      </c>
    </row>
    <row r="425" spans="2:31" x14ac:dyDescent="0.25">
      <c r="B425" s="18">
        <v>422</v>
      </c>
      <c r="C425" s="19">
        <f>Tableau!$G$17*COS(B425*PI()/180)+Tableau!$G$16</f>
        <v>22347.357813929455</v>
      </c>
      <c r="D425" s="19">
        <f>Tableau!$G$17*SIN(B425*PI()/180)+Tableau!$H$16</f>
        <v>11914.737964294634</v>
      </c>
      <c r="F425" s="26">
        <v>422</v>
      </c>
      <c r="G425" s="27">
        <f>Tableau!$G$26*COS(F425*PI()/180)+Tableau!$G$25</f>
        <v>-18356.849530249383</v>
      </c>
      <c r="H425" s="27">
        <f>Tableau!$G$26*SIN(F425*PI()/180)+Tableau!$H$25</f>
        <v>13090.316575006244</v>
      </c>
      <c r="J425" s="34">
        <v>422</v>
      </c>
      <c r="K425" s="35">
        <f>Tableau!$G$36*COS(J425*PI()/180)+Tableau!$G$35</f>
        <v>-2652.6421860705459</v>
      </c>
      <c r="L425" s="35">
        <f>Tableau!$G$36*SIN(J425*PI()/180)+Tableau!$H$35</f>
        <v>-10585.262035705366</v>
      </c>
      <c r="N425" s="98">
        <v>421</v>
      </c>
      <c r="O425" s="99">
        <v>210.5</v>
      </c>
      <c r="P425" s="101">
        <f>P424+R424*Tableau!$G$2+((1/2)*T424)*Tableau!$G$2^2</f>
        <v>-14176106.103856063</v>
      </c>
      <c r="Q425" s="101">
        <f>Q424+S424*Tableau!$G$2+((1/2)*U424)*Tableau!$G$2^2</f>
        <v>6952374.6179202087</v>
      </c>
      <c r="R425" s="101">
        <f>R424+T424*Tableau!$G$2</f>
        <v>-68698.360502669952</v>
      </c>
      <c r="S425" s="101">
        <f>S424+U424*Tableau!$G$2</f>
        <v>33800.805333893404</v>
      </c>
      <c r="T425" s="101">
        <f t="shared" si="12"/>
        <v>4.4160804729077956E-3</v>
      </c>
      <c r="U425" s="101">
        <f t="shared" si="13"/>
        <v>-2.1657900578747279E-3</v>
      </c>
      <c r="V425" s="101">
        <f>((Tableau!$G$16-P425)/(AC425^2+Tableau!$G$21^2)^(3/2))*Tableau!$G$20</f>
        <v>1.8831359458698902E-3</v>
      </c>
      <c r="W425" s="101">
        <f>((Tableau!$H$16-Q425)/(AC425^2+Tableau!$G$21^2)^(3/2))*Tableau!$G$20</f>
        <v>-9.2124861119575411E-4</v>
      </c>
      <c r="X425" s="101">
        <f>((Tableau!$G$25-P425)/(AD425^2+Tableau!$G$30^2)^(3/2))*Tableau!$G$29</f>
        <v>6.4864350968716841E-4</v>
      </c>
      <c r="Y425" s="101">
        <f>((Tableau!$H$25-Q425)/(AD425^2+Tableau!$G$30^2)^(3/2))*Tableau!$G$29</f>
        <v>-3.1810486617532817E-4</v>
      </c>
      <c r="Z425" s="101">
        <f>((Tableau!$G$35-P425)/(AE425^2+Tableau!$G$40^2)^(3/2))*Tableau!$G$39</f>
        <v>1.8843010173507371E-3</v>
      </c>
      <c r="AA425" s="102">
        <f>((Tableau!$H$35-Q425)/(AE425^2+Tableau!$G$40^2)^(3/2))*Tableau!$G$39</f>
        <v>-9.2643658050364558E-4</v>
      </c>
      <c r="AC425" s="113">
        <f>SQRT((Tableau!$G$16-P425)^2+(Tableau!$H$16-Q425)^2)</f>
        <v>15803819.537395753</v>
      </c>
      <c r="AD425" s="114">
        <f>SQRT((Tableau!$G$25-P425)^2+(Tableau!$H$25-Q425)^2)</f>
        <v>15766797.561939254</v>
      </c>
      <c r="AE425" s="115">
        <f>SQRT((Tableau!$G$35-P425)^2+(Tableau!$H$35-Q425)^2)</f>
        <v>15791281.052314449</v>
      </c>
    </row>
    <row r="426" spans="2:31" x14ac:dyDescent="0.25">
      <c r="B426" s="20">
        <v>423</v>
      </c>
      <c r="C426" s="21">
        <f>Tableau!$G$17*COS(B426*PI()/180)+Tableau!$G$16</f>
        <v>22269.952498697734</v>
      </c>
      <c r="D426" s="21">
        <f>Tableau!$G$17*SIN(B426*PI()/180)+Tableau!$H$16</f>
        <v>11955.032620941838</v>
      </c>
      <c r="F426" s="28">
        <v>423</v>
      </c>
      <c r="G426" s="29">
        <f>Tableau!$G$26*COS(F426*PI()/180)+Tableau!$G$25</f>
        <v>-18411.033250911587</v>
      </c>
      <c r="H426" s="29">
        <f>Tableau!$G$26*SIN(F426*PI()/180)+Tableau!$H$25</f>
        <v>13118.522834659287</v>
      </c>
      <c r="J426" s="36">
        <v>423</v>
      </c>
      <c r="K426" s="37">
        <f>Tableau!$G$36*COS(J426*PI()/180)+Tableau!$G$35</f>
        <v>-2730.0475013022647</v>
      </c>
      <c r="L426" s="37">
        <f>Tableau!$G$36*SIN(J426*PI()/180)+Tableau!$H$35</f>
        <v>-10544.967379058162</v>
      </c>
      <c r="N426" s="92">
        <v>422</v>
      </c>
      <c r="O426" s="93">
        <v>211</v>
      </c>
      <c r="P426" s="96">
        <f>P425+R425*Tableau!$G$2+((1/2)*T425)*Tableau!$G$2^2</f>
        <v>-14210455.283555388</v>
      </c>
      <c r="Q426" s="96">
        <f>Q425+S425*Tableau!$G$2+((1/2)*U425)*Tableau!$G$2^2</f>
        <v>6969275.0203164322</v>
      </c>
      <c r="R426" s="96">
        <f>R425+T425*Tableau!$G$2</f>
        <v>-68698.35829462971</v>
      </c>
      <c r="S426" s="96">
        <f>S425+U425*Tableau!$G$2</f>
        <v>33800.804250998379</v>
      </c>
      <c r="T426" s="96">
        <f t="shared" si="12"/>
        <v>4.3947426057848338E-3</v>
      </c>
      <c r="U426" s="96">
        <f t="shared" si="13"/>
        <v>-2.1553420910994311E-3</v>
      </c>
      <c r="V426" s="96">
        <f>((Tableau!$G$16-P426)/(AC426^2+Tableau!$G$21^2)^(3/2))*Tableau!$G$20</f>
        <v>1.8740409270734868E-3</v>
      </c>
      <c r="W426" s="96">
        <f>((Tableau!$H$16-Q426)/(AC426^2+Tableau!$G$21^2)^(3/2))*Tableau!$G$20</f>
        <v>-9.16811939827917E-4</v>
      </c>
      <c r="X426" s="96">
        <f>((Tableau!$G$25-P426)/(AD426^2+Tableau!$G$30^2)^(3/2))*Tableau!$G$29</f>
        <v>6.4550414999707149E-4</v>
      </c>
      <c r="Y426" s="96">
        <f>((Tableau!$H$25-Q426)/(AD426^2+Tableau!$G$30^2)^(3/2))*Tableau!$G$29</f>
        <v>-3.1656777861039065E-4</v>
      </c>
      <c r="Z426" s="96">
        <f>((Tableau!$G$35-P426)/(AE426^2+Tableau!$G$40^2)^(3/2))*Tableau!$G$39</f>
        <v>1.8751975287142754E-3</v>
      </c>
      <c r="AA426" s="97">
        <f>((Tableau!$H$35-Q426)/(AE426^2+Tableau!$G$40^2)^(3/2))*Tableau!$G$39</f>
        <v>-9.2196237266112344E-4</v>
      </c>
      <c r="AC426" s="110">
        <f>SQRT((Tableau!$G$16-P426)^2+(Tableau!$H$16-Q426)^2)</f>
        <v>15842101.155174186</v>
      </c>
      <c r="AD426" s="111">
        <f>SQRT((Tableau!$G$25-P426)^2+(Tableau!$H$25-Q426)^2)</f>
        <v>15805079.245704062</v>
      </c>
      <c r="AE426" s="112">
        <f>SQRT((Tableau!$G$35-P426)^2+(Tableau!$H$35-Q426)^2)</f>
        <v>15829562.766308732</v>
      </c>
    </row>
    <row r="427" spans="2:31" x14ac:dyDescent="0.25">
      <c r="B427" s="18">
        <v>424</v>
      </c>
      <c r="C427" s="19">
        <f>Tableau!$G$17*COS(B427*PI()/180)+Tableau!$G$16</f>
        <v>22191.855733945391</v>
      </c>
      <c r="D427" s="19">
        <f>Tableau!$G$17*SIN(B427*PI()/180)+Tableau!$H$16</f>
        <v>11993.970231495834</v>
      </c>
      <c r="F427" s="26">
        <v>424</v>
      </c>
      <c r="G427" s="27">
        <f>Tableau!$G$26*COS(F427*PI()/180)+Tableau!$G$25</f>
        <v>-18465.700986238229</v>
      </c>
      <c r="H427" s="27">
        <f>Tableau!$G$26*SIN(F427*PI()/180)+Tableau!$H$25</f>
        <v>13145.779162047083</v>
      </c>
      <c r="J427" s="34">
        <v>424</v>
      </c>
      <c r="K427" s="35">
        <f>Tableau!$G$36*COS(J427*PI()/180)+Tableau!$G$35</f>
        <v>-2808.1442660546109</v>
      </c>
      <c r="L427" s="35">
        <f>Tableau!$G$36*SIN(J427*PI()/180)+Tableau!$H$35</f>
        <v>-10506.029768504166</v>
      </c>
      <c r="N427" s="98">
        <v>423</v>
      </c>
      <c r="O427" s="99">
        <v>211.5</v>
      </c>
      <c r="P427" s="101">
        <f>P426+R426*Tableau!$G$2+((1/2)*T426)*Tableau!$G$2^2</f>
        <v>-14244804.46215336</v>
      </c>
      <c r="Q427" s="101">
        <f>Q426+S426*Tableau!$G$2+((1/2)*U426)*Tableau!$G$2^2</f>
        <v>6986175.4221725138</v>
      </c>
      <c r="R427" s="101">
        <f>R426+T426*Tableau!$G$2</f>
        <v>-68698.356097258409</v>
      </c>
      <c r="S427" s="101">
        <f>S426+U426*Tableau!$G$2</f>
        <v>33800.803173327331</v>
      </c>
      <c r="T427" s="101">
        <f t="shared" si="12"/>
        <v>4.3735590186690125E-3</v>
      </c>
      <c r="U427" s="101">
        <f t="shared" si="13"/>
        <v>-2.1449695454808203E-3</v>
      </c>
      <c r="V427" s="101">
        <f>((Tableau!$G$16-P427)/(AC427^2+Tableau!$G$21^2)^(3/2))*Tableau!$G$20</f>
        <v>1.865011639203997E-3</v>
      </c>
      <c r="W427" s="101">
        <f>((Tableau!$H$16-Q427)/(AC427^2+Tableau!$G$21^2)^(3/2))*Tableau!$G$20</f>
        <v>-9.1240724141085524E-4</v>
      </c>
      <c r="X427" s="101">
        <f>((Tableau!$G$25-P427)/(AD427^2+Tableau!$G$30^2)^(3/2))*Tableau!$G$29</f>
        <v>6.4238752656181294E-4</v>
      </c>
      <c r="Y427" s="101">
        <f>((Tableau!$H$25-Q427)/(AD427^2+Tableau!$G$30^2)^(3/2))*Tableau!$G$29</f>
        <v>-3.1504180505496481E-4</v>
      </c>
      <c r="Z427" s="101">
        <f>((Tableau!$G$35-P427)/(AE427^2+Tableau!$G$40^2)^(3/2))*Tableau!$G$39</f>
        <v>1.8661598529032028E-3</v>
      </c>
      <c r="AA427" s="102">
        <f>((Tableau!$H$35-Q427)/(AE427^2+Tableau!$G$40^2)^(3/2))*Tableau!$G$39</f>
        <v>-9.1752049901500012E-4</v>
      </c>
      <c r="AC427" s="113">
        <f>SQRT((Tableau!$G$16-P427)^2+(Tableau!$H$16-Q427)^2)</f>
        <v>15880382.772197437</v>
      </c>
      <c r="AD427" s="114">
        <f>SQRT((Tableau!$G$25-P427)^2+(Tableau!$H$25-Q427)^2)</f>
        <v>15843360.928395906</v>
      </c>
      <c r="AE427" s="115">
        <f>SQRT((Tableau!$G$35-P427)^2+(Tableau!$H$35-Q427)^2)</f>
        <v>15867844.479083957</v>
      </c>
    </row>
    <row r="428" spans="2:31" x14ac:dyDescent="0.25">
      <c r="B428" s="20">
        <v>425</v>
      </c>
      <c r="C428" s="21">
        <f>Tableau!$G$17*COS(B428*PI()/180)+Tableau!$G$16</f>
        <v>22113.091308703501</v>
      </c>
      <c r="D428" s="21">
        <f>Tableau!$G$17*SIN(B428*PI()/180)+Tableau!$H$16</f>
        <v>12031.538935183249</v>
      </c>
      <c r="F428" s="28">
        <v>425</v>
      </c>
      <c r="G428" s="29">
        <f>Tableau!$G$26*COS(F428*PI()/180)+Tableau!$G$25</f>
        <v>-18520.83608390755</v>
      </c>
      <c r="H428" s="29">
        <f>Tableau!$G$26*SIN(F428*PI()/180)+Tableau!$H$25</f>
        <v>13172.077254628275</v>
      </c>
      <c r="J428" s="36">
        <v>425</v>
      </c>
      <c r="K428" s="37">
        <f>Tableau!$G$36*COS(J428*PI()/180)+Tableau!$G$35</f>
        <v>-2886.9086912964999</v>
      </c>
      <c r="L428" s="37">
        <f>Tableau!$G$36*SIN(J428*PI()/180)+Tableau!$H$35</f>
        <v>-10468.461064816751</v>
      </c>
      <c r="N428" s="92">
        <v>424</v>
      </c>
      <c r="O428" s="93">
        <v>212</v>
      </c>
      <c r="P428" s="96">
        <f>P427+R427*Tableau!$G$2+((1/2)*T427)*Tableau!$G$2^2</f>
        <v>-14279153.639655294</v>
      </c>
      <c r="Q428" s="96">
        <f>Q427+S427*Tableau!$G$2+((1/2)*U427)*Tableau!$G$2^2</f>
        <v>7003075.8234910564</v>
      </c>
      <c r="R428" s="96">
        <f>R427+T427*Tableau!$G$2</f>
        <v>-68698.353910478894</v>
      </c>
      <c r="S428" s="96">
        <f>S427+U427*Tableau!$G$2</f>
        <v>33800.802100842557</v>
      </c>
      <c r="T428" s="96">
        <f t="shared" si="12"/>
        <v>4.3525282278046099E-3</v>
      </c>
      <c r="U428" s="96">
        <f t="shared" si="13"/>
        <v>-2.1346716968329979E-3</v>
      </c>
      <c r="V428" s="96">
        <f>((Tableau!$G$16-P428)/(AC428^2+Tableau!$G$21^2)^(3/2))*Tableau!$G$20</f>
        <v>1.8560474503886543E-3</v>
      </c>
      <c r="W428" s="96">
        <f>((Tableau!$H$16-Q428)/(AC428^2+Tableau!$G$21^2)^(3/2))*Tableau!$G$20</f>
        <v>-9.0803420946416872E-4</v>
      </c>
      <c r="X428" s="96">
        <f>((Tableau!$G$25-P428)/(AD428^2+Tableau!$G$30^2)^(3/2))*Tableau!$G$29</f>
        <v>6.39293420358681E-4</v>
      </c>
      <c r="Y428" s="96">
        <f>((Tableau!$H$25-Q428)/(AD428^2+Tableau!$G$30^2)^(3/2))*Tableau!$G$29</f>
        <v>-3.1352683861924301E-4</v>
      </c>
      <c r="Z428" s="96">
        <f>((Tableau!$G$35-P428)/(AE428^2+Tableau!$G$40^2)^(3/2))*Tableau!$G$39</f>
        <v>1.8571873570572743E-3</v>
      </c>
      <c r="AA428" s="97">
        <f>((Tableau!$H$35-Q428)/(AE428^2+Tableau!$G$40^2)^(3/2))*Tableau!$G$39</f>
        <v>-9.1311064874958592E-4</v>
      </c>
      <c r="AC428" s="110">
        <f>SQRT((Tableau!$G$16-P428)^2+(Tableau!$H$16-Q428)^2)</f>
        <v>15918664.388468016</v>
      </c>
      <c r="AD428" s="111">
        <f>SQRT((Tableau!$G$25-P428)^2+(Tableau!$H$25-Q428)^2)</f>
        <v>15881642.610019593</v>
      </c>
      <c r="AE428" s="112">
        <f>SQRT((Tableau!$G$35-P428)^2+(Tableau!$H$35-Q428)^2)</f>
        <v>15906126.190645983</v>
      </c>
    </row>
    <row r="429" spans="2:31" x14ac:dyDescent="0.25">
      <c r="B429" s="18">
        <v>426</v>
      </c>
      <c r="C429" s="19">
        <f>Tableau!$G$17*COS(B429*PI()/180)+Tableau!$G$16</f>
        <v>22033.683215379002</v>
      </c>
      <c r="D429" s="19">
        <f>Tableau!$G$17*SIN(B429*PI()/180)+Tableau!$H$16</f>
        <v>12067.727288213006</v>
      </c>
      <c r="F429" s="26">
        <v>426</v>
      </c>
      <c r="G429" s="27">
        <f>Tableau!$G$26*COS(F429*PI()/180)+Tableau!$G$25</f>
        <v>-18576.421749234698</v>
      </c>
      <c r="H429" s="27">
        <f>Tableau!$G$26*SIN(F429*PI()/180)+Tableau!$H$25</f>
        <v>13197.409101749103</v>
      </c>
      <c r="J429" s="34">
        <v>426</v>
      </c>
      <c r="K429" s="35">
        <f>Tableau!$G$36*COS(J429*PI()/180)+Tableau!$G$35</f>
        <v>-2966.316784620999</v>
      </c>
      <c r="L429" s="35">
        <f>Tableau!$G$36*SIN(J429*PI()/180)+Tableau!$H$35</f>
        <v>-10432.272711786994</v>
      </c>
      <c r="N429" s="98">
        <v>425</v>
      </c>
      <c r="O429" s="99">
        <v>212.5</v>
      </c>
      <c r="P429" s="101">
        <f>P428+R428*Tableau!$G$2+((1/2)*T428)*Tableau!$G$2^2</f>
        <v>-14313502.816066468</v>
      </c>
      <c r="Q429" s="101">
        <f>Q428+S428*Tableau!$G$2+((1/2)*U428)*Tableau!$G$2^2</f>
        <v>7019976.2242746437</v>
      </c>
      <c r="R429" s="101">
        <f>R428+T428*Tableau!$G$2</f>
        <v>-68698.351734214782</v>
      </c>
      <c r="S429" s="101">
        <f>S428+U428*Tableau!$G$2</f>
        <v>33800.801033506708</v>
      </c>
      <c r="T429" s="101">
        <f t="shared" si="12"/>
        <v>4.3316487672301826E-3</v>
      </c>
      <c r="U429" s="101">
        <f t="shared" si="13"/>
        <v>-2.1244478296411542E-3</v>
      </c>
      <c r="V429" s="101">
        <f>((Tableau!$G$16-P429)/(AC429^2+Tableau!$G$21^2)^(3/2))*Tableau!$G$20</f>
        <v>1.8471477363291749E-3</v>
      </c>
      <c r="W429" s="101">
        <f>((Tableau!$H$16-Q429)/(AC429^2+Tableau!$G$21^2)^(3/2))*Tableau!$G$20</f>
        <v>-9.0369254117087959E-4</v>
      </c>
      <c r="X429" s="101">
        <f>((Tableau!$G$25-P429)/(AD429^2+Tableau!$G$30^2)^(3/2))*Tableau!$G$29</f>
        <v>6.3622161499598661E-4</v>
      </c>
      <c r="Y429" s="101">
        <f>((Tableau!$H$25-Q429)/(AD429^2+Tableau!$G$30^2)^(3/2))*Tableau!$G$29</f>
        <v>-3.1202277369535888E-4</v>
      </c>
      <c r="Z429" s="101">
        <f>((Tableau!$G$35-P429)/(AE429^2+Tableau!$G$40^2)^(3/2))*Tableau!$G$39</f>
        <v>1.8482794159050205E-3</v>
      </c>
      <c r="AA429" s="102">
        <f>((Tableau!$H$35-Q429)/(AE429^2+Tableau!$G$40^2)^(3/2))*Tableau!$G$39</f>
        <v>-9.0873251477491571E-4</v>
      </c>
      <c r="AC429" s="113">
        <f>SQRT((Tableau!$G$16-P429)^2+(Tableau!$H$16-Q429)^2)</f>
        <v>15956946.003988437</v>
      </c>
      <c r="AD429" s="114">
        <f>SQRT((Tableau!$G$25-P429)^2+(Tableau!$H$25-Q429)^2)</f>
        <v>15919924.290579896</v>
      </c>
      <c r="AE429" s="115">
        <f>SQRT((Tableau!$G$35-P429)^2+(Tableau!$H$35-Q429)^2)</f>
        <v>15944407.901000639</v>
      </c>
    </row>
    <row r="430" spans="2:31" x14ac:dyDescent="0.25">
      <c r="B430" s="20">
        <v>427</v>
      </c>
      <c r="C430" s="21">
        <f>Tableau!$G$17*COS(B430*PI()/180)+Tableau!$G$16</f>
        <v>21953.655642446367</v>
      </c>
      <c r="D430" s="21">
        <f>Tableau!$G$17*SIN(B430*PI()/180)+Tableau!$H$16</f>
        <v>12102.524267262203</v>
      </c>
      <c r="F430" s="28">
        <v>427</v>
      </c>
      <c r="G430" s="29">
        <f>Tableau!$G$26*COS(F430*PI()/180)+Tableau!$G$25</f>
        <v>-18632.441050287543</v>
      </c>
      <c r="H430" s="29">
        <f>Tableau!$G$26*SIN(F430*PI()/180)+Tableau!$H$25</f>
        <v>13221.766987083542</v>
      </c>
      <c r="J430" s="36">
        <v>427</v>
      </c>
      <c r="K430" s="37">
        <f>Tableau!$G$36*COS(J430*PI()/180)+Tableau!$G$35</f>
        <v>-3046.3443575536344</v>
      </c>
      <c r="L430" s="37">
        <f>Tableau!$G$36*SIN(J430*PI()/180)+Tableau!$H$35</f>
        <v>-10397.475732737797</v>
      </c>
      <c r="N430" s="92">
        <v>426</v>
      </c>
      <c r="O430" s="93">
        <v>213</v>
      </c>
      <c r="P430" s="96">
        <f>P429+R429*Tableau!$G$2+((1/2)*T429)*Tableau!$G$2^2</f>
        <v>-14347851.991392119</v>
      </c>
      <c r="Q430" s="96">
        <f>Q429+S429*Tableau!$G$2+((1/2)*U429)*Tableau!$G$2^2</f>
        <v>7036876.6245258404</v>
      </c>
      <c r="R430" s="96">
        <f>R429+T429*Tableau!$G$2</f>
        <v>-68698.349568390404</v>
      </c>
      <c r="S430" s="96">
        <f>S429+U429*Tableau!$G$2</f>
        <v>33800.799971282795</v>
      </c>
      <c r="T430" s="96">
        <f t="shared" si="12"/>
        <v>4.3109191885231527E-3</v>
      </c>
      <c r="U430" s="96">
        <f t="shared" si="13"/>
        <v>-2.1142972369373033E-3</v>
      </c>
      <c r="V430" s="96">
        <f>((Tableau!$G$16-P430)/(AC430^2+Tableau!$G$21^2)^(3/2))*Tableau!$G$20</f>
        <v>1.8383118801931528E-3</v>
      </c>
      <c r="W430" s="96">
        <f>((Tableau!$H$16-Q430)/(AC430^2+Tableau!$G$21^2)^(3/2))*Tableau!$G$20</f>
        <v>-8.9938193732505512E-4</v>
      </c>
      <c r="X430" s="96">
        <f>((Tableau!$G$25-P430)/(AD430^2+Tableau!$G$30^2)^(3/2))*Tableau!$G$29</f>
        <v>6.3317189667522721E-4</v>
      </c>
      <c r="Y430" s="96">
        <f>((Tableau!$H$25-Q430)/(AD430^2+Tableau!$G$30^2)^(3/2))*Tableau!$G$29</f>
        <v>-3.1052950593898134E-4</v>
      </c>
      <c r="Z430" s="96">
        <f>((Tableau!$G$35-P430)/(AE430^2+Tableau!$G$40^2)^(3/2))*Tableau!$G$39</f>
        <v>1.8394354116547725E-3</v>
      </c>
      <c r="AA430" s="97">
        <f>((Tableau!$H$35-Q430)/(AE430^2+Tableau!$G$40^2)^(3/2))*Tableau!$G$39</f>
        <v>-9.0438579367326693E-4</v>
      </c>
      <c r="AC430" s="110">
        <f>SQRT((Tableau!$G$16-P430)^2+(Tableau!$H$16-Q430)^2)</f>
        <v>15995227.618761189</v>
      </c>
      <c r="AD430" s="111">
        <f>SQRT((Tableau!$G$25-P430)^2+(Tableau!$H$25-Q430)^2)</f>
        <v>15958205.97008156</v>
      </c>
      <c r="AE430" s="112">
        <f>SQRT((Tableau!$G$35-P430)^2+(Tableau!$H$35-Q430)^2)</f>
        <v>15982689.610153694</v>
      </c>
    </row>
    <row r="431" spans="2:31" x14ac:dyDescent="0.25">
      <c r="B431" s="18">
        <v>428</v>
      </c>
      <c r="C431" s="19">
        <f>Tableau!$G$17*COS(B431*PI()/180)+Tableau!$G$16</f>
        <v>21873.032967079562</v>
      </c>
      <c r="D431" s="19">
        <f>Tableau!$G$17*SIN(B431*PI()/180)+Tableau!$H$16</f>
        <v>12135.919272833937</v>
      </c>
      <c r="F431" s="26">
        <v>428</v>
      </c>
      <c r="G431" s="27">
        <f>Tableau!$G$26*COS(F431*PI()/180)+Tableau!$G$25</f>
        <v>-18688.876923044307</v>
      </c>
      <c r="H431" s="27">
        <f>Tableau!$G$26*SIN(F431*PI()/180)+Tableau!$H$25</f>
        <v>13245.143490983755</v>
      </c>
      <c r="J431" s="34">
        <v>428</v>
      </c>
      <c r="K431" s="35">
        <f>Tableau!$G$36*COS(J431*PI()/180)+Tableau!$G$35</f>
        <v>-3126.9670329204382</v>
      </c>
      <c r="L431" s="35">
        <f>Tableau!$G$36*SIN(J431*PI()/180)+Tableau!$H$35</f>
        <v>-10364.080727166063</v>
      </c>
      <c r="N431" s="98">
        <v>427</v>
      </c>
      <c r="O431" s="99">
        <v>213.5</v>
      </c>
      <c r="P431" s="101">
        <f>P430+R430*Tableau!$G$2+((1/2)*T430)*Tableau!$G$2^2</f>
        <v>-14382201.165637448</v>
      </c>
      <c r="Q431" s="101">
        <f>Q430+S430*Tableau!$G$2+((1/2)*U430)*Tableau!$G$2^2</f>
        <v>7053777.0242471946</v>
      </c>
      <c r="R431" s="101">
        <f>R430+T430*Tableau!$G$2</f>
        <v>-68698.347412930816</v>
      </c>
      <c r="S431" s="101">
        <f>S430+U430*Tableau!$G$2</f>
        <v>33800.798914134175</v>
      </c>
      <c r="T431" s="101">
        <f t="shared" si="12"/>
        <v>4.2903380605487642E-3</v>
      </c>
      <c r="U431" s="101">
        <f t="shared" si="13"/>
        <v>-2.1042192201781401E-3</v>
      </c>
      <c r="V431" s="101">
        <f>((Tableau!$G$16-P431)/(AC431^2+Tableau!$G$21^2)^(3/2))*Tableau!$G$20</f>
        <v>1.8295392725071796E-3</v>
      </c>
      <c r="W431" s="101">
        <f>((Tableau!$H$16-Q431)/(AC431^2+Tableau!$G$21^2)^(3/2))*Tableau!$G$20</f>
        <v>-8.9510210228025831E-4</v>
      </c>
      <c r="X431" s="101">
        <f>((Tableau!$G$25-P431)/(AD431^2+Tableau!$G$30^2)^(3/2))*Tableau!$G$29</f>
        <v>6.3014405415390089E-4</v>
      </c>
      <c r="Y431" s="101">
        <f>((Tableau!$H$25-Q431)/(AD431^2+Tableau!$G$30^2)^(3/2))*Tableau!$G$29</f>
        <v>-3.0904693225122543E-4</v>
      </c>
      <c r="Z431" s="101">
        <f>((Tableau!$G$35-P431)/(AE431^2+Tableau!$G$40^2)^(3/2))*Tableau!$G$39</f>
        <v>1.8306547338876836E-3</v>
      </c>
      <c r="AA431" s="102">
        <f>((Tableau!$H$35-Q431)/(AE431^2+Tableau!$G$40^2)^(3/2))*Tableau!$G$39</f>
        <v>-9.0007018564665624E-4</v>
      </c>
      <c r="AC431" s="113">
        <f>SQRT((Tableau!$G$16-P431)^2+(Tableau!$H$16-Q431)^2)</f>
        <v>16033509.232788766</v>
      </c>
      <c r="AD431" s="114">
        <f>SQRT((Tableau!$G$25-P431)^2+(Tableau!$H$25-Q431)^2)</f>
        <v>15996487.648529297</v>
      </c>
      <c r="AE431" s="115">
        <f>SQRT((Tableau!$G$35-P431)^2+(Tableau!$H$35-Q431)^2)</f>
        <v>16020971.318110893</v>
      </c>
    </row>
    <row r="432" spans="2:31" x14ac:dyDescent="0.25">
      <c r="B432" s="20">
        <v>429</v>
      </c>
      <c r="C432" s="21">
        <f>Tableau!$G$17*COS(B432*PI()/180)+Tableau!$G$16</f>
        <v>21791.839747726499</v>
      </c>
      <c r="D432" s="21">
        <f>Tableau!$G$17*SIN(B432*PI()/180)+Tableau!$H$16</f>
        <v>12167.90213248601</v>
      </c>
      <c r="F432" s="28">
        <v>429</v>
      </c>
      <c r="G432" s="29">
        <f>Tableau!$G$26*COS(F432*PI()/180)+Tableau!$G$25</f>
        <v>-18745.712176591449</v>
      </c>
      <c r="H432" s="29">
        <f>Tableau!$G$26*SIN(F432*PI()/180)+Tableau!$H$25</f>
        <v>13267.531492740207</v>
      </c>
      <c r="J432" s="36">
        <v>429</v>
      </c>
      <c r="K432" s="37">
        <f>Tableau!$G$36*COS(J432*PI()/180)+Tableau!$G$35</f>
        <v>-3208.1602522735002</v>
      </c>
      <c r="L432" s="37">
        <f>Tableau!$G$36*SIN(J432*PI()/180)+Tableau!$H$35</f>
        <v>-10332.09786751399</v>
      </c>
      <c r="N432" s="92">
        <v>428</v>
      </c>
      <c r="O432" s="93">
        <v>214</v>
      </c>
      <c r="P432" s="96">
        <f>P431+R431*Tableau!$G$2+((1/2)*T431)*Tableau!$G$2^2</f>
        <v>-14416550.338807622</v>
      </c>
      <c r="Q432" s="96">
        <f>Q431+S431*Tableau!$G$2+((1/2)*U431)*Tableau!$G$2^2</f>
        <v>7070677.423441234</v>
      </c>
      <c r="R432" s="96">
        <f>R431+T431*Tableau!$G$2</f>
        <v>-68698.34526776179</v>
      </c>
      <c r="S432" s="96">
        <f>S431+U431*Tableau!$G$2</f>
        <v>33800.797862024563</v>
      </c>
      <c r="T432" s="96">
        <f t="shared" si="12"/>
        <v>4.269903969212837E-3</v>
      </c>
      <c r="U432" s="96">
        <f t="shared" si="13"/>
        <v>-2.0942130891247451E-3</v>
      </c>
      <c r="V432" s="96">
        <f>((Tableau!$G$16-P432)/(AC432^2+Tableau!$G$21^2)^(3/2))*Tableau!$G$20</f>
        <v>1.8208293110516323E-3</v>
      </c>
      <c r="W432" s="96">
        <f>((Tableau!$H$16-Q432)/(AC432^2+Tableau!$G$21^2)^(3/2))*Tableau!$G$20</f>
        <v>-8.9085274389880174E-4</v>
      </c>
      <c r="X432" s="96">
        <f>((Tableau!$G$25-P432)/(AD432^2+Tableau!$G$30^2)^(3/2))*Tableau!$G$29</f>
        <v>6.2713787870890669E-4</v>
      </c>
      <c r="Y432" s="96">
        <f>((Tableau!$H$25-Q432)/(AD432^2+Tableau!$G$30^2)^(3/2))*Tableau!$G$29</f>
        <v>-3.0757495076084665E-4</v>
      </c>
      <c r="Z432" s="96">
        <f>((Tableau!$G$35-P432)/(AE432^2+Tableau!$G$40^2)^(3/2))*Tableau!$G$39</f>
        <v>1.8219367794522982E-3</v>
      </c>
      <c r="AA432" s="97">
        <f>((Tableau!$H$35-Q432)/(AE432^2+Tableau!$G$40^2)^(3/2))*Tableau!$G$39</f>
        <v>-8.9578539446509651E-4</v>
      </c>
      <c r="AC432" s="110">
        <f>SQRT((Tableau!$G$16-P432)^2+(Tableau!$H$16-Q432)^2)</f>
        <v>16071790.846073641</v>
      </c>
      <c r="AD432" s="111">
        <f>SQRT((Tableau!$G$25-P432)^2+(Tableau!$H$25-Q432)^2)</f>
        <v>16034769.325927785</v>
      </c>
      <c r="AE432" s="112">
        <f>SQRT((Tableau!$G$35-P432)^2+(Tableau!$H$35-Q432)^2)</f>
        <v>16059253.024877928</v>
      </c>
    </row>
    <row r="433" spans="2:31" x14ac:dyDescent="0.25">
      <c r="B433" s="18">
        <v>430</v>
      </c>
      <c r="C433" s="19">
        <f>Tableau!$G$17*COS(B433*PI()/180)+Tableau!$G$16</f>
        <v>21710.100716628349</v>
      </c>
      <c r="D433" s="19">
        <f>Tableau!$G$17*SIN(B433*PI()/180)+Tableau!$H$16</f>
        <v>12198.463103929542</v>
      </c>
      <c r="F433" s="26">
        <v>430</v>
      </c>
      <c r="G433" s="27">
        <f>Tableau!$G$26*COS(F433*PI()/180)+Tableau!$G$25</f>
        <v>-18802.929498360158</v>
      </c>
      <c r="H433" s="27">
        <f>Tableau!$G$26*SIN(F433*PI()/180)+Tableau!$H$25</f>
        <v>13288.924172750678</v>
      </c>
      <c r="J433" s="34">
        <v>430</v>
      </c>
      <c r="K433" s="35">
        <f>Tableau!$G$36*COS(J433*PI()/180)+Tableau!$G$35</f>
        <v>-3289.8992833716525</v>
      </c>
      <c r="L433" s="35">
        <f>Tableau!$G$36*SIN(J433*PI()/180)+Tableau!$H$35</f>
        <v>-10301.536896070458</v>
      </c>
      <c r="N433" s="98">
        <v>429</v>
      </c>
      <c r="O433" s="99">
        <v>214.5</v>
      </c>
      <c r="P433" s="101">
        <f>P432+R432*Tableau!$G$2+((1/2)*T432)*Tableau!$G$2^2</f>
        <v>-14450899.510907765</v>
      </c>
      <c r="Q433" s="101">
        <f>Q432+S432*Tableau!$G$2+((1/2)*U432)*Tableau!$G$2^2</f>
        <v>7087577.8221104695</v>
      </c>
      <c r="R433" s="101">
        <f>R432+T432*Tableau!$G$2</f>
        <v>-68698.343132809809</v>
      </c>
      <c r="S433" s="101">
        <f>S432+U432*Tableau!$G$2</f>
        <v>33800.796814918016</v>
      </c>
      <c r="T433" s="101">
        <f t="shared" si="12"/>
        <v>4.249615517219054E-3</v>
      </c>
      <c r="U433" s="101">
        <f t="shared" si="13"/>
        <v>-2.0842781617244907E-3</v>
      </c>
      <c r="V433" s="101">
        <f>((Tableau!$G$16-P433)/(AC433^2+Tableau!$G$21^2)^(3/2))*Tableau!$G$20</f>
        <v>1.8121814007574968E-3</v>
      </c>
      <c r="W433" s="101">
        <f>((Tableau!$H$16-Q433)/(AC433^2+Tableau!$G$21^2)^(3/2))*Tableau!$G$20</f>
        <v>-8.8663357350198218E-4</v>
      </c>
      <c r="X433" s="101">
        <f>((Tableau!$G$25-P433)/(AD433^2+Tableau!$G$30^2)^(3/2))*Tableau!$G$29</f>
        <v>6.2415316410058253E-4</v>
      </c>
      <c r="Y433" s="101">
        <f>((Tableau!$H$25-Q433)/(AD433^2+Tableau!$G$30^2)^(3/2))*Tableau!$G$29</f>
        <v>-3.0611346080674633E-4</v>
      </c>
      <c r="Z433" s="101">
        <f>((Tableau!$G$35-P433)/(AE433^2+Tableau!$G$40^2)^(3/2))*Tableau!$G$39</f>
        <v>1.8132809523609746E-3</v>
      </c>
      <c r="AA433" s="102">
        <f>((Tableau!$H$35-Q433)/(AE433^2+Tableau!$G$40^2)^(3/2))*Tableau!$G$39</f>
        <v>-8.9153112741576228E-4</v>
      </c>
      <c r="AC433" s="113">
        <f>SQRT((Tableau!$G$16-P433)^2+(Tableau!$H$16-Q433)^2)</f>
        <v>16110072.458618276</v>
      </c>
      <c r="AD433" s="114">
        <f>SQRT((Tableau!$G$25-P433)^2+(Tableau!$H$25-Q433)^2)</f>
        <v>16073051.002281675</v>
      </c>
      <c r="AE433" s="115">
        <f>SQRT((Tableau!$G$35-P433)^2+(Tableau!$H$35-Q433)^2)</f>
        <v>16097534.730460459</v>
      </c>
    </row>
    <row r="434" spans="2:31" x14ac:dyDescent="0.25">
      <c r="B434" s="20">
        <v>431</v>
      </c>
      <c r="C434" s="21">
        <f>Tableau!$G$17*COS(B434*PI()/180)+Tableau!$G$16</f>
        <v>21627.840772285785</v>
      </c>
      <c r="D434" s="21">
        <f>Tableau!$G$17*SIN(B434*PI()/180)+Tableau!$H$16</f>
        <v>12227.592877996583</v>
      </c>
      <c r="F434" s="28">
        <v>431</v>
      </c>
      <c r="G434" s="29">
        <f>Tableau!$G$26*COS(F434*PI()/180)+Tableau!$G$25</f>
        <v>-18860.51145939995</v>
      </c>
      <c r="H434" s="29">
        <f>Tableau!$G$26*SIN(F434*PI()/180)+Tableau!$H$25</f>
        <v>13309.315014597609</v>
      </c>
      <c r="J434" s="36">
        <v>431</v>
      </c>
      <c r="K434" s="37">
        <f>Tableau!$G$36*COS(J434*PI()/180)+Tableau!$G$35</f>
        <v>-3372.1592277142163</v>
      </c>
      <c r="L434" s="37">
        <f>Tableau!$G$36*SIN(J434*PI()/180)+Tableau!$H$35</f>
        <v>-10272.407122003417</v>
      </c>
      <c r="N434" s="92">
        <v>430</v>
      </c>
      <c r="O434" s="93">
        <v>215</v>
      </c>
      <c r="P434" s="96">
        <f>P433+R433*Tableau!$G$2+((1/2)*T433)*Tableau!$G$2^2</f>
        <v>-14485248.681942968</v>
      </c>
      <c r="Q434" s="96">
        <f>Q433+S433*Tableau!$G$2+((1/2)*U433)*Tableau!$G$2^2</f>
        <v>7104478.220257394</v>
      </c>
      <c r="R434" s="96">
        <f>R433+T433*Tableau!$G$2</f>
        <v>-68698.341008002055</v>
      </c>
      <c r="S434" s="96">
        <f>S433+U433*Tableau!$G$2</f>
        <v>33800.795772778933</v>
      </c>
      <c r="T434" s="96">
        <f t="shared" si="12"/>
        <v>4.2294713238299319E-3</v>
      </c>
      <c r="U434" s="96">
        <f t="shared" si="13"/>
        <v>-2.0744137639947383E-3</v>
      </c>
      <c r="V434" s="96">
        <f>((Tableau!$G$16-P434)/(AC434^2+Tableau!$G$21^2)^(3/2))*Tableau!$G$20</f>
        <v>1.8035949536045429E-3</v>
      </c>
      <c r="W434" s="96">
        <f>((Tableau!$H$16-Q434)/(AC434^2+Tableau!$G$21^2)^(3/2))*Tableau!$G$20</f>
        <v>-8.82444305820962E-4</v>
      </c>
      <c r="X434" s="96">
        <f>((Tableau!$G$25-P434)/(AD434^2+Tableau!$G$30^2)^(3/2))*Tableau!$G$29</f>
        <v>6.2118970653732123E-4</v>
      </c>
      <c r="Y434" s="96">
        <f>((Tableau!$H$25-Q434)/(AD434^2+Tableau!$G$30^2)^(3/2))*Tableau!$G$29</f>
        <v>-3.0466236292075679E-4</v>
      </c>
      <c r="Z434" s="96">
        <f>((Tableau!$G$35-P434)/(AE434^2+Tableau!$G$40^2)^(3/2))*Tableau!$G$39</f>
        <v>1.8046866636880681E-3</v>
      </c>
      <c r="AA434" s="97">
        <f>((Tableau!$H$35-Q434)/(AE434^2+Tableau!$G$40^2)^(3/2))*Tableau!$G$39</f>
        <v>-8.873070952530196E-4</v>
      </c>
      <c r="AC434" s="110">
        <f>SQRT((Tableau!$G$16-P434)^2+(Tableau!$H$16-Q434)^2)</f>
        <v>16148354.070425134</v>
      </c>
      <c r="AD434" s="111">
        <f>SQRT((Tableau!$G$25-P434)^2+(Tableau!$H$25-Q434)^2)</f>
        <v>16111332.677595584</v>
      </c>
      <c r="AE434" s="112">
        <f>SQRT((Tableau!$G$35-P434)^2+(Tableau!$H$35-Q434)^2)</f>
        <v>16135816.434864102</v>
      </c>
    </row>
    <row r="435" spans="2:31" x14ac:dyDescent="0.25">
      <c r="B435" s="18">
        <v>432</v>
      </c>
      <c r="C435" s="19">
        <f>Tableau!$G$17*COS(B435*PI()/180)+Tableau!$G$16</f>
        <v>21545.084971874738</v>
      </c>
      <c r="D435" s="19">
        <f>Tableau!$G$17*SIN(B435*PI()/180)+Tableau!$H$16</f>
        <v>12255.282581475767</v>
      </c>
      <c r="F435" s="26">
        <v>432</v>
      </c>
      <c r="G435" s="27">
        <f>Tableau!$G$26*COS(F435*PI()/180)+Tableau!$G$25</f>
        <v>-18918.440519687683</v>
      </c>
      <c r="H435" s="27">
        <f>Tableau!$G$26*SIN(F435*PI()/180)+Tableau!$H$25</f>
        <v>13328.697807033037</v>
      </c>
      <c r="J435" s="34">
        <v>432</v>
      </c>
      <c r="K435" s="35">
        <f>Tableau!$G$36*COS(J435*PI()/180)+Tableau!$G$35</f>
        <v>-3454.9150281252614</v>
      </c>
      <c r="L435" s="35">
        <f>Tableau!$G$36*SIN(J435*PI()/180)+Tableau!$H$35</f>
        <v>-10244.717418524233</v>
      </c>
      <c r="N435" s="98">
        <v>431</v>
      </c>
      <c r="O435" s="99">
        <v>215.5</v>
      </c>
      <c r="P435" s="101">
        <f>P434+R434*Tableau!$G$2+((1/2)*T434)*Tableau!$G$2^2</f>
        <v>-14519597.851918286</v>
      </c>
      <c r="Q435" s="101">
        <f>Q434+S434*Tableau!$G$2+((1/2)*U434)*Tableau!$G$2^2</f>
        <v>7121378.6178844823</v>
      </c>
      <c r="R435" s="101">
        <f>R434+T434*Tableau!$G$2</f>
        <v>-68698.338893266395</v>
      </c>
      <c r="S435" s="101">
        <f>S434+U434*Tableau!$G$2</f>
        <v>33800.794735572053</v>
      </c>
      <c r="T435" s="101">
        <f t="shared" si="12"/>
        <v>4.2094700246320116E-3</v>
      </c>
      <c r="U435" s="101">
        <f t="shared" si="13"/>
        <v>-2.0646192299085789E-3</v>
      </c>
      <c r="V435" s="101">
        <f>((Tableau!$G$16-P435)/(AC435^2+Tableau!$G$21^2)^(3/2))*Tableau!$G$20</f>
        <v>1.7950693885214984E-3</v>
      </c>
      <c r="W435" s="101">
        <f>((Tableau!$H$16-Q435)/(AC435^2+Tableau!$G$21^2)^(3/2))*Tableau!$G$20</f>
        <v>-8.7828465894861454E-4</v>
      </c>
      <c r="X435" s="101">
        <f>((Tableau!$G$25-P435)/(AD435^2+Tableau!$G$30^2)^(3/2))*Tableau!$G$29</f>
        <v>6.1824730464080243E-4</v>
      </c>
      <c r="Y435" s="101">
        <f>((Tableau!$H$25-Q435)/(AD435^2+Tableau!$G$30^2)^(3/2))*Tableau!$G$29</f>
        <v>-3.0322155881072594E-4</v>
      </c>
      <c r="Z435" s="101">
        <f>((Tableau!$G$35-P435)/(AE435^2+Tableau!$G$40^2)^(3/2))*Tableau!$G$39</f>
        <v>1.7961533314697106E-3</v>
      </c>
      <c r="AA435" s="102">
        <f>((Tableau!$H$35-Q435)/(AE435^2+Tableau!$G$40^2)^(3/2))*Tableau!$G$39</f>
        <v>-8.8311301214923836E-4</v>
      </c>
      <c r="AC435" s="113">
        <f>SQRT((Tableau!$G$16-P435)^2+(Tableau!$H$16-Q435)^2)</f>
        <v>16186635.681496661</v>
      </c>
      <c r="AD435" s="114">
        <f>SQRT((Tableau!$G$25-P435)^2+(Tableau!$H$25-Q435)^2)</f>
        <v>16149614.351874104</v>
      </c>
      <c r="AE435" s="115">
        <f>SQRT((Tableau!$G$35-P435)^2+(Tableau!$H$35-Q435)^2)</f>
        <v>16174098.138094431</v>
      </c>
    </row>
    <row r="436" spans="2:31" x14ac:dyDescent="0.25">
      <c r="B436" s="20">
        <v>433</v>
      </c>
      <c r="C436" s="21">
        <f>Tableau!$G$17*COS(B436*PI()/180)+Tableau!$G$16</f>
        <v>21461.858523613682</v>
      </c>
      <c r="D436" s="21">
        <f>Tableau!$G$17*SIN(B436*PI()/180)+Tableau!$H$16</f>
        <v>12281.523779815177</v>
      </c>
      <c r="F436" s="28">
        <v>433</v>
      </c>
      <c r="G436" s="29">
        <f>Tableau!$G$26*COS(F436*PI()/180)+Tableau!$G$25</f>
        <v>-18976.699033470424</v>
      </c>
      <c r="H436" s="29">
        <f>Tableau!$G$26*SIN(F436*PI()/180)+Tableau!$H$25</f>
        <v>13347.066645870626</v>
      </c>
      <c r="J436" s="36">
        <v>433</v>
      </c>
      <c r="K436" s="37">
        <f>Tableau!$G$36*COS(J436*PI()/180)+Tableau!$G$35</f>
        <v>-3538.1414763863186</v>
      </c>
      <c r="L436" s="37">
        <f>Tableau!$G$36*SIN(J436*PI()/180)+Tableau!$H$35</f>
        <v>-10218.476220184823</v>
      </c>
      <c r="N436" s="92">
        <v>432</v>
      </c>
      <c r="O436" s="93">
        <v>216</v>
      </c>
      <c r="P436" s="96">
        <f>P435+R435*Tableau!$G$2+((1/2)*T435)*Tableau!$G$2^2</f>
        <v>-14553947.020838736</v>
      </c>
      <c r="Q436" s="96">
        <f>Q435+S435*Tableau!$G$2+((1/2)*U435)*Tableau!$G$2^2</f>
        <v>7138279.0149941901</v>
      </c>
      <c r="R436" s="96">
        <f>R435+T435*Tableau!$G$2</f>
        <v>-68698.336788531378</v>
      </c>
      <c r="S436" s="96">
        <f>S435+U435*Tableau!$G$2</f>
        <v>33800.79370326244</v>
      </c>
      <c r="T436" s="96">
        <f t="shared" si="12"/>
        <v>4.1896102713047693E-3</v>
      </c>
      <c r="U436" s="96">
        <f t="shared" si="13"/>
        <v>-2.0548939012823898E-3</v>
      </c>
      <c r="V436" s="96">
        <f>((Tableau!$G$16-P436)/(AC436^2+Tableau!$G$21^2)^(3/2))*Tableau!$G$20</f>
        <v>1.7866041312877016E-3</v>
      </c>
      <c r="W436" s="96">
        <f>((Tableau!$H$16-Q436)/(AC436^2+Tableau!$G$21^2)^(3/2))*Tableau!$G$20</f>
        <v>-8.7415435429207987E-4</v>
      </c>
      <c r="X436" s="96">
        <f>((Tableau!$G$25-P436)/(AD436^2+Tableau!$G$30^2)^(3/2))*Tableau!$G$29</f>
        <v>6.1532575941175343E-4</v>
      </c>
      <c r="Y436" s="96">
        <f>((Tableau!$H$25-Q436)/(AD436^2+Tableau!$G$30^2)^(3/2))*Tableau!$G$29</f>
        <v>-3.0179095134385891E-4</v>
      </c>
      <c r="Z436" s="96">
        <f>((Tableau!$G$35-P436)/(AE436^2+Tableau!$G$40^2)^(3/2))*Tableau!$G$39</f>
        <v>1.7876803806053142E-3</v>
      </c>
      <c r="AA436" s="97">
        <f>((Tableau!$H$35-Q436)/(AE436^2+Tableau!$G$40^2)^(3/2))*Tableau!$G$39</f>
        <v>-8.7894859564645095E-4</v>
      </c>
      <c r="AC436" s="110">
        <f>SQRT((Tableau!$G$16-P436)^2+(Tableau!$H$16-Q436)^2)</f>
        <v>16224917.291835288</v>
      </c>
      <c r="AD436" s="111">
        <f>SQRT((Tableau!$G$25-P436)^2+(Tableau!$H$25-Q436)^2)</f>
        <v>16187896.025121786</v>
      </c>
      <c r="AE436" s="112">
        <f>SQRT((Tableau!$G$35-P436)^2+(Tableau!$H$35-Q436)^2)</f>
        <v>16212379.840156984</v>
      </c>
    </row>
    <row r="437" spans="2:31" x14ac:dyDescent="0.25">
      <c r="B437" s="18">
        <v>434</v>
      </c>
      <c r="C437" s="19">
        <f>Tableau!$G$17*COS(B437*PI()/180)+Tableau!$G$16</f>
        <v>21378.186779085001</v>
      </c>
      <c r="D437" s="19">
        <f>Tableau!$G$17*SIN(B437*PI()/180)+Tableau!$H$16</f>
        <v>12306.308479691594</v>
      </c>
      <c r="F437" s="26">
        <v>434</v>
      </c>
      <c r="G437" s="27">
        <f>Tableau!$G$26*COS(F437*PI()/180)+Tableau!$G$25</f>
        <v>-19035.269254640501</v>
      </c>
      <c r="H437" s="27">
        <f>Tableau!$G$26*SIN(F437*PI()/180)+Tableau!$H$25</f>
        <v>13364.415935784116</v>
      </c>
      <c r="J437" s="34">
        <v>434</v>
      </c>
      <c r="K437" s="35">
        <f>Tableau!$G$36*COS(J437*PI()/180)+Tableau!$G$35</f>
        <v>-3621.8132209150008</v>
      </c>
      <c r="L437" s="35">
        <f>Tableau!$G$36*SIN(J437*PI()/180)+Tableau!$H$35</f>
        <v>-10193.691520308406</v>
      </c>
      <c r="N437" s="98">
        <v>433</v>
      </c>
      <c r="O437" s="99">
        <v>216.5</v>
      </c>
      <c r="P437" s="101">
        <f>P436+R436*Tableau!$G$2+((1/2)*T436)*Tableau!$G$2^2</f>
        <v>-14588296.1887093</v>
      </c>
      <c r="Q437" s="101">
        <f>Q436+S436*Tableau!$G$2+((1/2)*U436)*Tableau!$G$2^2</f>
        <v>7155179.4115889594</v>
      </c>
      <c r="R437" s="101">
        <f>R436+T436*Tableau!$G$2</f>
        <v>-68698.334693726239</v>
      </c>
      <c r="S437" s="101">
        <f>S436+U436*Tableau!$G$2</f>
        <v>33800.792675815486</v>
      </c>
      <c r="T437" s="101">
        <f t="shared" si="12"/>
        <v>4.169890731393313E-3</v>
      </c>
      <c r="U437" s="101">
        <f t="shared" si="13"/>
        <v>-2.0452371276652253E-3</v>
      </c>
      <c r="V437" s="101">
        <f>((Tableau!$G$16-P437)/(AC437^2+Tableau!$G$21^2)^(3/2))*Tableau!$G$20</f>
        <v>1.7781986144363513E-3</v>
      </c>
      <c r="W437" s="101">
        <f>((Tableau!$H$16-Q437)/(AC437^2+Tableau!$G$21^2)^(3/2))*Tableau!$G$20</f>
        <v>-8.7005311652608953E-4</v>
      </c>
      <c r="X437" s="101">
        <f>((Tableau!$G$25-P437)/(AD437^2+Tableau!$G$30^2)^(3/2))*Tableau!$G$29</f>
        <v>6.1242487419632446E-4</v>
      </c>
      <c r="Y437" s="101">
        <f>((Tableau!$H$25-Q437)/(AD437^2+Tableau!$G$30^2)^(3/2))*Tableau!$G$29</f>
        <v>-3.0037044453035821E-4</v>
      </c>
      <c r="Z437" s="101">
        <f>((Tableau!$G$35-P437)/(AE437^2+Tableau!$G$40^2)^(3/2))*Tableau!$G$39</f>
        <v>1.7792672427606369E-3</v>
      </c>
      <c r="AA437" s="102">
        <f>((Tableau!$H$35-Q437)/(AE437^2+Tableau!$G$40^2)^(3/2))*Tableau!$G$39</f>
        <v>-8.7481356660877748E-4</v>
      </c>
      <c r="AC437" s="113">
        <f>SQRT((Tableau!$G$16-P437)^2+(Tableau!$H$16-Q437)^2)</f>
        <v>16263198.901443448</v>
      </c>
      <c r="AD437" s="114">
        <f>SQRT((Tableau!$G$25-P437)^2+(Tableau!$H$25-Q437)^2)</f>
        <v>16226177.697343163</v>
      </c>
      <c r="AE437" s="115">
        <f>SQRT((Tableau!$G$35-P437)^2+(Tableau!$H$35-Q437)^2)</f>
        <v>16250661.541057255</v>
      </c>
    </row>
    <row r="438" spans="2:31" x14ac:dyDescent="0.25">
      <c r="B438" s="20">
        <v>435</v>
      </c>
      <c r="C438" s="21">
        <f>Tableau!$G$17*COS(B438*PI()/180)+Tableau!$G$16</f>
        <v>21294.095225512603</v>
      </c>
      <c r="D438" s="21">
        <f>Tableau!$G$17*SIN(B438*PI()/180)+Tableau!$H$16</f>
        <v>12329.629131445341</v>
      </c>
      <c r="F438" s="28">
        <v>435</v>
      </c>
      <c r="G438" s="29">
        <f>Tableau!$G$26*COS(F438*PI()/180)+Tableau!$G$25</f>
        <v>-19094.133342141176</v>
      </c>
      <c r="H438" s="29">
        <f>Tableau!$G$26*SIN(F438*PI()/180)+Tableau!$H$25</f>
        <v>13380.740392011739</v>
      </c>
      <c r="J438" s="36">
        <v>435</v>
      </c>
      <c r="K438" s="37">
        <f>Tableau!$G$36*COS(J438*PI()/180)+Tableau!$G$35</f>
        <v>-3705.904774487396</v>
      </c>
      <c r="L438" s="37">
        <f>Tableau!$G$36*SIN(J438*PI()/180)+Tableau!$H$35</f>
        <v>-10170.370868554659</v>
      </c>
      <c r="N438" s="92">
        <v>434</v>
      </c>
      <c r="O438" s="93">
        <v>217</v>
      </c>
      <c r="P438" s="96">
        <f>P437+R437*Tableau!$G$2+((1/2)*T437)*Tableau!$G$2^2</f>
        <v>-14622645.355534926</v>
      </c>
      <c r="Q438" s="96">
        <f>Q437+S437*Tableau!$G$2+((1/2)*U437)*Tableau!$G$2^2</f>
        <v>7172079.8076712126</v>
      </c>
      <c r="R438" s="96">
        <f>R437+T437*Tableau!$G$2</f>
        <v>-68698.332608780867</v>
      </c>
      <c r="S438" s="96">
        <f>S437+U437*Tableau!$G$2</f>
        <v>33800.791653196924</v>
      </c>
      <c r="T438" s="96">
        <f t="shared" si="12"/>
        <v>4.1503100880850314E-3</v>
      </c>
      <c r="U438" s="96">
        <f t="shared" si="13"/>
        <v>-2.0356482662301301E-3</v>
      </c>
      <c r="V438" s="96">
        <f>((Tableau!$G$16-P438)/(AC438^2+Tableau!$G$21^2)^(3/2))*Tableau!$G$20</f>
        <v>1.7698522771594858E-3</v>
      </c>
      <c r="W438" s="96">
        <f>((Tableau!$H$16-Q438)/(AC438^2+Tableau!$G$21^2)^(3/2))*Tableau!$G$20</f>
        <v>-8.6598067354712153E-4</v>
      </c>
      <c r="X438" s="96">
        <f>((Tableau!$G$25-P438)/(AD438^2+Tableau!$G$30^2)^(3/2))*Tableau!$G$29</f>
        <v>6.0954445465298058E-4</v>
      </c>
      <c r="Y438" s="96">
        <f>((Tableau!$H$25-Q438)/(AD438^2+Tableau!$G$30^2)^(3/2))*Tableau!$G$29</f>
        <v>-2.9895994350731477E-4</v>
      </c>
      <c r="Z438" s="96">
        <f>((Tableau!$G$35-P438)/(AE438^2+Tableau!$G$40^2)^(3/2))*Tableau!$G$39</f>
        <v>1.7709133562725655E-3</v>
      </c>
      <c r="AA438" s="97">
        <f>((Tableau!$H$35-Q438)/(AE438^2+Tableau!$G$40^2)^(3/2))*Tableau!$G$39</f>
        <v>-8.7070764917569364E-4</v>
      </c>
      <c r="AC438" s="110">
        <f>SQRT((Tableau!$G$16-P438)^2+(Tableau!$H$16-Q438)^2)</f>
        <v>16301480.510323551</v>
      </c>
      <c r="AD438" s="111">
        <f>SQRT((Tableau!$G$25-P438)^2+(Tableau!$H$25-Q438)^2)</f>
        <v>16264459.368542733</v>
      </c>
      <c r="AE438" s="112">
        <f>SQRT((Tableau!$G$35-P438)^2+(Tableau!$H$35-Q438)^2)</f>
        <v>16288943.240800709</v>
      </c>
    </row>
    <row r="439" spans="2:31" x14ac:dyDescent="0.25">
      <c r="B439" s="18">
        <v>436</v>
      </c>
      <c r="C439" s="19">
        <f>Tableau!$G$17*COS(B439*PI()/180)+Tableau!$G$16</f>
        <v>21209.609477998343</v>
      </c>
      <c r="D439" s="19">
        <f>Tableau!$G$17*SIN(B439*PI()/180)+Tableau!$H$16</f>
        <v>12351.478631379981</v>
      </c>
      <c r="F439" s="26">
        <v>436</v>
      </c>
      <c r="G439" s="27">
        <f>Tableau!$G$26*COS(F439*PI()/180)+Tableau!$G$25</f>
        <v>-19153.273365401161</v>
      </c>
      <c r="H439" s="27">
        <f>Tableau!$G$26*SIN(F439*PI()/180)+Tableau!$H$25</f>
        <v>13396.035041965986</v>
      </c>
      <c r="J439" s="34">
        <v>436</v>
      </c>
      <c r="K439" s="35">
        <f>Tableau!$G$36*COS(J439*PI()/180)+Tableau!$G$35</f>
        <v>-3790.3905220016559</v>
      </c>
      <c r="L439" s="35">
        <f>Tableau!$G$36*SIN(J439*PI()/180)+Tableau!$H$35</f>
        <v>-10148.521368620019</v>
      </c>
      <c r="N439" s="98">
        <v>435</v>
      </c>
      <c r="O439" s="99">
        <v>217.5</v>
      </c>
      <c r="P439" s="101">
        <f>P438+R438*Tableau!$G$2+((1/2)*T438)*Tableau!$G$2^2</f>
        <v>-14656994.521320527</v>
      </c>
      <c r="Q439" s="101">
        <f>Q438+S438*Tableau!$G$2+((1/2)*U438)*Tableau!$G$2^2</f>
        <v>7188980.2032433553</v>
      </c>
      <c r="R439" s="101">
        <f>R438+T438*Tableau!$G$2</f>
        <v>-68698.33053362582</v>
      </c>
      <c r="S439" s="101">
        <f>S438+U438*Tableau!$G$2</f>
        <v>33800.790635372789</v>
      </c>
      <c r="T439" s="101">
        <f t="shared" si="12"/>
        <v>4.1308670399895541E-3</v>
      </c>
      <c r="U439" s="101">
        <f t="shared" si="13"/>
        <v>-2.0261266816670558E-3</v>
      </c>
      <c r="V439" s="101">
        <f>((Tableau!$G$16-P439)/(AC439^2+Tableau!$G$21^2)^(3/2))*Tableau!$G$20</f>
        <v>1.7615645652143948E-3</v>
      </c>
      <c r="W439" s="101">
        <f>((Tableau!$H$16-Q439)/(AC439^2+Tableau!$G$21^2)^(3/2))*Tableau!$G$20</f>
        <v>-8.6193675642824697E-4</v>
      </c>
      <c r="X439" s="101">
        <f>((Tableau!$G$25-P439)/(AD439^2+Tableau!$G$30^2)^(3/2))*Tableau!$G$29</f>
        <v>6.0668430871997007E-4</v>
      </c>
      <c r="Y439" s="101">
        <f>((Tableau!$H$25-Q439)/(AD439^2+Tableau!$G$30^2)^(3/2))*Tableau!$G$29</f>
        <v>-2.9755935452287848E-4</v>
      </c>
      <c r="Z439" s="101">
        <f>((Tableau!$G$35-P439)/(AE439^2+Tableau!$G$40^2)^(3/2))*Tableau!$G$39</f>
        <v>1.7626181660551894E-3</v>
      </c>
      <c r="AA439" s="102">
        <f>((Tableau!$H$35-Q439)/(AE439^2+Tableau!$G$40^2)^(3/2))*Tableau!$G$39</f>
        <v>-8.6663057071593042E-4</v>
      </c>
      <c r="AC439" s="113">
        <f>SQRT((Tableau!$G$16-P439)^2+(Tableau!$H$16-Q439)^2)</f>
        <v>16339762.118478011</v>
      </c>
      <c r="AD439" s="114">
        <f>SQRT((Tableau!$G$25-P439)^2+(Tableau!$H$25-Q439)^2)</f>
        <v>16302741.038724964</v>
      </c>
      <c r="AE439" s="115">
        <f>SQRT((Tableau!$G$35-P439)^2+(Tableau!$H$35-Q439)^2)</f>
        <v>16327224.93939276</v>
      </c>
    </row>
    <row r="440" spans="2:31" x14ac:dyDescent="0.25">
      <c r="B440" s="20">
        <v>437</v>
      </c>
      <c r="C440" s="21">
        <f>Tableau!$G$17*COS(B440*PI()/180)+Tableau!$G$16</f>
        <v>21124.755271719328</v>
      </c>
      <c r="D440" s="21">
        <f>Tableau!$G$17*SIN(B440*PI()/180)+Tableau!$H$16</f>
        <v>12371.850323926175</v>
      </c>
      <c r="F440" s="28">
        <v>437</v>
      </c>
      <c r="G440" s="29">
        <f>Tableau!$G$26*COS(F440*PI()/180)+Tableau!$G$25</f>
        <v>-19212.671309796471</v>
      </c>
      <c r="H440" s="29">
        <f>Tableau!$G$26*SIN(F440*PI()/180)+Tableau!$H$25</f>
        <v>13410.295226748323</v>
      </c>
      <c r="J440" s="36">
        <v>437</v>
      </c>
      <c r="K440" s="37">
        <f>Tableau!$G$36*COS(J440*PI()/180)+Tableau!$G$35</f>
        <v>-3875.2447282806734</v>
      </c>
      <c r="L440" s="37">
        <f>Tableau!$G$36*SIN(J440*PI()/180)+Tableau!$H$35</f>
        <v>-10128.149676073825</v>
      </c>
      <c r="N440" s="92">
        <v>436</v>
      </c>
      <c r="O440" s="93">
        <v>218</v>
      </c>
      <c r="P440" s="96">
        <f>P439+R439*Tableau!$G$2+((1/2)*T439)*Tableau!$G$2^2</f>
        <v>-14691343.686070982</v>
      </c>
      <c r="Q440" s="96">
        <f>Q439+S439*Tableau!$G$2+((1/2)*U439)*Tableau!$G$2^2</f>
        <v>7205880.5983077763</v>
      </c>
      <c r="R440" s="96">
        <f>R439+T439*Tableau!$G$2</f>
        <v>-68698.328468192296</v>
      </c>
      <c r="S440" s="96">
        <f>S439+U439*Tableau!$G$2</f>
        <v>33800.78962230945</v>
      </c>
      <c r="T440" s="96">
        <f t="shared" si="12"/>
        <v>4.1115603009226984E-3</v>
      </c>
      <c r="U440" s="96">
        <f t="shared" si="13"/>
        <v>-2.016671746077725E-3</v>
      </c>
      <c r="V440" s="96">
        <f>((Tableau!$G$16-P440)/(AC440^2+Tableau!$G$21^2)^(3/2))*Tableau!$G$20</f>
        <v>1.7533349308316323E-3</v>
      </c>
      <c r="W440" s="96">
        <f>((Tableau!$H$16-Q440)/(AC440^2+Tableau!$G$21^2)^(3/2))*Tableau!$G$20</f>
        <v>-8.5792109937474486E-4</v>
      </c>
      <c r="X440" s="96">
        <f>((Tableau!$G$25-P440)/(AD440^2+Tableau!$G$30^2)^(3/2))*Tableau!$G$29</f>
        <v>6.038442465832655E-4</v>
      </c>
      <c r="Y440" s="96">
        <f>((Tableau!$H$25-Q440)/(AD440^2+Tableau!$G$30^2)^(3/2))*Tableau!$G$29</f>
        <v>-2.9616858492065957E-4</v>
      </c>
      <c r="Z440" s="96">
        <f>((Tableau!$G$35-P440)/(AE440^2+Tableau!$G$40^2)^(3/2))*Tableau!$G$39</f>
        <v>1.7543811235078005E-3</v>
      </c>
      <c r="AA440" s="97">
        <f>((Tableau!$H$35-Q440)/(AE440^2+Tableau!$G$40^2)^(3/2))*Tableau!$G$39</f>
        <v>-8.6258206178232066E-4</v>
      </c>
      <c r="AC440" s="110">
        <f>SQRT((Tableau!$G$16-P440)^2+(Tableau!$H$16-Q440)^2)</f>
        <v>16378043.72590922</v>
      </c>
      <c r="AD440" s="111">
        <f>SQRT((Tableau!$G$25-P440)^2+(Tableau!$H$25-Q440)^2)</f>
        <v>16341022.707894299</v>
      </c>
      <c r="AE440" s="112">
        <f>SQRT((Tableau!$G$35-P440)^2+(Tableau!$H$35-Q440)^2)</f>
        <v>16365506.636838796</v>
      </c>
    </row>
    <row r="441" spans="2:31" x14ac:dyDescent="0.25">
      <c r="B441" s="18">
        <v>438</v>
      </c>
      <c r="C441" s="19">
        <f>Tableau!$G$17*COS(B441*PI()/180)+Tableau!$G$16</f>
        <v>21039.558454088794</v>
      </c>
      <c r="D441" s="19">
        <f>Tableau!$G$17*SIN(B441*PI()/180)+Tableau!$H$16</f>
        <v>12390.738003669028</v>
      </c>
      <c r="F441" s="26">
        <v>438</v>
      </c>
      <c r="G441" s="27">
        <f>Tableau!$G$26*COS(F441*PI()/180)+Tableau!$G$25</f>
        <v>-19272.309082137843</v>
      </c>
      <c r="H441" s="27">
        <f>Tableau!$G$26*SIN(F441*PI()/180)+Tableau!$H$25</f>
        <v>13423.516602568319</v>
      </c>
      <c r="J441" s="34">
        <v>438</v>
      </c>
      <c r="K441" s="35">
        <f>Tableau!$G$36*COS(J441*PI()/180)+Tableau!$G$35</f>
        <v>-3960.4415459112051</v>
      </c>
      <c r="L441" s="35">
        <f>Tableau!$G$36*SIN(J441*PI()/180)+Tableau!$H$35</f>
        <v>-10109.261996330972</v>
      </c>
      <c r="N441" s="98">
        <v>437</v>
      </c>
      <c r="O441" s="99">
        <v>218.5</v>
      </c>
      <c r="P441" s="101">
        <f>P440+R440*Tableau!$G$2+((1/2)*T440)*Tableau!$G$2^2</f>
        <v>-14725692.849791134</v>
      </c>
      <c r="Q441" s="101">
        <f>Q440+S440*Tableau!$G$2+((1/2)*U440)*Tableau!$G$2^2</f>
        <v>7222780.9928668467</v>
      </c>
      <c r="R441" s="101">
        <f>R440+T440*Tableau!$G$2</f>
        <v>-68698.326412412149</v>
      </c>
      <c r="S441" s="101">
        <f>S440+U440*Tableau!$G$2</f>
        <v>33800.788613973578</v>
      </c>
      <c r="T441" s="101">
        <f t="shared" si="12"/>
        <v>4.0923885996936669E-3</v>
      </c>
      <c r="U441" s="101">
        <f t="shared" si="13"/>
        <v>-2.0072828388720664E-3</v>
      </c>
      <c r="V441" s="101">
        <f>((Tableau!$G$16-P441)/(AC441^2+Tableau!$G$21^2)^(3/2))*Tableau!$G$20</f>
        <v>1.7451628326244704E-3</v>
      </c>
      <c r="W441" s="101">
        <f>((Tableau!$H$16-Q441)/(AC441^2+Tableau!$G$21^2)^(3/2))*Tableau!$G$20</f>
        <v>-8.5393343968041238E-4</v>
      </c>
      <c r="X441" s="101">
        <f>((Tableau!$G$25-P441)/(AD441^2+Tableau!$G$30^2)^(3/2))*Tableau!$G$29</f>
        <v>6.0102408064514608E-4</v>
      </c>
      <c r="Y441" s="101">
        <f>((Tableau!$H$25-Q441)/(AD441^2+Tableau!$G$30^2)^(3/2))*Tableau!$G$29</f>
        <v>-2.9478754312444052E-4</v>
      </c>
      <c r="Z441" s="101">
        <f>((Tableau!$G$35-P441)/(AE441^2+Tableau!$G$40^2)^(3/2))*Tableau!$G$39</f>
        <v>1.746201686424051E-3</v>
      </c>
      <c r="AA441" s="102">
        <f>((Tableau!$H$35-Q441)/(AE441^2+Tableau!$G$40^2)^(3/2))*Tableau!$G$39</f>
        <v>-8.585618560672133E-4</v>
      </c>
      <c r="AC441" s="113">
        <f>SQRT((Tableau!$G$16-P441)^2+(Tableau!$H$16-Q441)^2)</f>
        <v>16416325.332619568</v>
      </c>
      <c r="AD441" s="114">
        <f>SQRT((Tableau!$G$25-P441)^2+(Tableau!$H$25-Q441)^2)</f>
        <v>16379304.376055147</v>
      </c>
      <c r="AE441" s="115">
        <f>SQRT((Tableau!$G$35-P441)^2+(Tableau!$H$35-Q441)^2)</f>
        <v>16403788.333144158</v>
      </c>
    </row>
    <row r="442" spans="2:31" x14ac:dyDescent="0.25">
      <c r="B442" s="20">
        <v>439</v>
      </c>
      <c r="C442" s="21">
        <f>Tableau!$G$17*COS(B442*PI()/180)+Tableau!$G$16</f>
        <v>20954.044976882727</v>
      </c>
      <c r="D442" s="21">
        <f>Tableau!$G$17*SIN(B442*PI()/180)+Tableau!$H$16</f>
        <v>12408.13591723832</v>
      </c>
      <c r="F442" s="28">
        <v>439</v>
      </c>
      <c r="G442" s="29">
        <f>Tableau!$G$26*COS(F442*PI()/180)+Tableau!$G$25</f>
        <v>-19332.16851618209</v>
      </c>
      <c r="H442" s="29">
        <f>Tableau!$G$26*SIN(F442*PI()/180)+Tableau!$H$25</f>
        <v>13435.695142066823</v>
      </c>
      <c r="J442" s="36">
        <v>439</v>
      </c>
      <c r="K442" s="37">
        <f>Tableau!$G$36*COS(J442*PI()/180)+Tableau!$G$35</f>
        <v>-4045.955023117272</v>
      </c>
      <c r="L442" s="37">
        <f>Tableau!$G$36*SIN(J442*PI()/180)+Tableau!$H$35</f>
        <v>-10091.86408276168</v>
      </c>
      <c r="N442" s="92">
        <v>438</v>
      </c>
      <c r="O442" s="93">
        <v>219</v>
      </c>
      <c r="P442" s="96">
        <f>P441+R441*Tableau!$G$2+((1/2)*T441)*Tableau!$G$2^2</f>
        <v>-14760042.012485791</v>
      </c>
      <c r="Q442" s="96">
        <f>Q441+S441*Tableau!$G$2+((1/2)*U441)*Tableau!$G$2^2</f>
        <v>7239681.3869229229</v>
      </c>
      <c r="R442" s="96">
        <f>R441+T441*Tableau!$G$2</f>
        <v>-68698.324366217843</v>
      </c>
      <c r="S442" s="96">
        <f>S441+U441*Tableau!$G$2</f>
        <v>33800.787610332161</v>
      </c>
      <c r="T442" s="96">
        <f t="shared" si="12"/>
        <v>4.0733506798957307E-3</v>
      </c>
      <c r="U442" s="96">
        <f t="shared" si="13"/>
        <v>-1.9979593466663424E-3</v>
      </c>
      <c r="V442" s="96">
        <f>((Tableau!$G$16-P442)/(AC442^2+Tableau!$G$21^2)^(3/2))*Tableau!$G$20</f>
        <v>1.7370477354998618E-3</v>
      </c>
      <c r="W442" s="96">
        <f>((Tableau!$H$16-Q442)/(AC442^2+Tableau!$G$21^2)^(3/2))*Tableau!$G$20</f>
        <v>-8.4997351768459936E-4</v>
      </c>
      <c r="X442" s="96">
        <f>((Tableau!$G$25-P442)/(AD442^2+Tableau!$G$30^2)^(3/2))*Tableau!$G$29</f>
        <v>5.9822362549312111E-4</v>
      </c>
      <c r="Y442" s="96">
        <f>((Tableau!$H$25-Q442)/(AD442^2+Tableau!$G$30^2)^(3/2))*Tableau!$G$29</f>
        <v>-2.9341613862305375E-4</v>
      </c>
      <c r="Z442" s="96">
        <f>((Tableau!$G$35-P442)/(AE442^2+Tableau!$G$40^2)^(3/2))*Tableau!$G$39</f>
        <v>1.7380793189027478E-3</v>
      </c>
      <c r="AA442" s="97">
        <f>((Tableau!$H$35-Q442)/(AE442^2+Tableau!$G$40^2)^(3/2))*Tableau!$G$39</f>
        <v>-8.5456969035868928E-4</v>
      </c>
      <c r="AC442" s="110">
        <f>SQRT((Tableau!$G$16-P442)^2+(Tableau!$H$16-Q442)^2)</f>
        <v>16454606.938611429</v>
      </c>
      <c r="AD442" s="111">
        <f>SQRT((Tableau!$G$25-P442)^2+(Tableau!$H$25-Q442)^2)</f>
        <v>16417586.043211892</v>
      </c>
      <c r="AE442" s="112">
        <f>SQRT((Tableau!$G$35-P442)^2+(Tableau!$H$35-Q442)^2)</f>
        <v>16442070.028314156</v>
      </c>
    </row>
    <row r="443" spans="2:31" x14ac:dyDescent="0.25">
      <c r="B443" s="18">
        <v>440</v>
      </c>
      <c r="C443" s="19">
        <f>Tableau!$G$17*COS(B443*PI()/180)+Tableau!$G$16</f>
        <v>20868.240888334651</v>
      </c>
      <c r="D443" s="19">
        <f>Tableau!$G$17*SIN(B443*PI()/180)+Tableau!$H$16</f>
        <v>12424.038765061039</v>
      </c>
      <c r="F443" s="26">
        <v>440</v>
      </c>
      <c r="G443" s="27">
        <f>Tableau!$G$26*COS(F443*PI()/180)+Tableau!$G$25</f>
        <v>-19392.231378165743</v>
      </c>
      <c r="H443" s="27">
        <f>Tableau!$G$26*SIN(F443*PI()/180)+Tableau!$H$25</f>
        <v>13446.827135542728</v>
      </c>
      <c r="J443" s="34">
        <v>440</v>
      </c>
      <c r="K443" s="35">
        <f>Tableau!$G$36*COS(J443*PI()/180)+Tableau!$G$35</f>
        <v>-4131.7591116653475</v>
      </c>
      <c r="L443" s="35">
        <f>Tableau!$G$36*SIN(J443*PI()/180)+Tableau!$H$35</f>
        <v>-10075.961234938961</v>
      </c>
      <c r="N443" s="98">
        <v>439</v>
      </c>
      <c r="O443" s="99">
        <v>219.5</v>
      </c>
      <c r="P443" s="101">
        <f>P442+R442*Tableau!$G$2+((1/2)*T442)*Tableau!$G$2^2</f>
        <v>-14794391.174159732</v>
      </c>
      <c r="Q443" s="101">
        <f>Q442+S442*Tableau!$G$2+((1/2)*U442)*Tableau!$G$2^2</f>
        <v>7256581.7804783434</v>
      </c>
      <c r="R443" s="101">
        <f>R442+T442*Tableau!$G$2</f>
        <v>-68698.322329542498</v>
      </c>
      <c r="S443" s="101">
        <f>S442+U442*Tableau!$G$2</f>
        <v>33800.786611352487</v>
      </c>
      <c r="T443" s="101">
        <f t="shared" si="12"/>
        <v>4.0544452997005147E-3</v>
      </c>
      <c r="U443" s="101">
        <f t="shared" si="13"/>
        <v>-1.9887006631830375E-3</v>
      </c>
      <c r="V443" s="101">
        <f>((Tableau!$G$16-P443)/(AC443^2+Tableau!$G$21^2)^(3/2))*Tableau!$G$20</f>
        <v>1.7289891105708942E-3</v>
      </c>
      <c r="W443" s="101">
        <f>((Tableau!$H$16-Q443)/(AC443^2+Tableau!$G$21^2)^(3/2))*Tableau!$G$20</f>
        <v>-8.4604107672996067E-4</v>
      </c>
      <c r="X443" s="101">
        <f>((Tableau!$G$25-P443)/(AD443^2+Tableau!$G$30^2)^(3/2))*Tableau!$G$29</f>
        <v>5.9544269786952981E-4</v>
      </c>
      <c r="Y443" s="101">
        <f>((Tableau!$H$25-Q443)/(AD443^2+Tableau!$G$30^2)^(3/2))*Tableau!$G$29</f>
        <v>-2.9205428195558858E-4</v>
      </c>
      <c r="Z443" s="101">
        <f>((Tableau!$G$35-P443)/(AE443^2+Tableau!$G$40^2)^(3/2))*Tableau!$G$39</f>
        <v>1.7300134912600904E-3</v>
      </c>
      <c r="AA443" s="102">
        <f>((Tableau!$H$35-Q443)/(AE443^2+Tableau!$G$40^2)^(3/2))*Tableau!$G$39</f>
        <v>-8.5060530449748825E-4</v>
      </c>
      <c r="AC443" s="113">
        <f>SQRT((Tableau!$G$16-P443)^2+(Tableau!$H$16-Q443)^2)</f>
        <v>16492888.543887176</v>
      </c>
      <c r="AD443" s="114">
        <f>SQRT((Tableau!$G$25-P443)^2+(Tableau!$H$25-Q443)^2)</f>
        <v>16455867.709368888</v>
      </c>
      <c r="AE443" s="115">
        <f>SQRT((Tableau!$G$35-P443)^2+(Tableau!$H$35-Q443)^2)</f>
        <v>16480351.722354058</v>
      </c>
    </row>
    <row r="444" spans="2:31" x14ac:dyDescent="0.25">
      <c r="B444" s="20">
        <v>441</v>
      </c>
      <c r="C444" s="21">
        <f>Tableau!$G$17*COS(B444*PI()/180)+Tableau!$G$16</f>
        <v>20782.172325201154</v>
      </c>
      <c r="D444" s="21">
        <f>Tableau!$G$17*SIN(B444*PI()/180)+Tableau!$H$16</f>
        <v>12438.441702975688</v>
      </c>
      <c r="F444" s="28">
        <v>441</v>
      </c>
      <c r="G444" s="29">
        <f>Tableau!$G$26*COS(F444*PI()/180)+Tableau!$G$25</f>
        <v>-19452.47937235919</v>
      </c>
      <c r="H444" s="29">
        <f>Tableau!$G$26*SIN(F444*PI()/180)+Tableau!$H$25</f>
        <v>13456.909192082981</v>
      </c>
      <c r="J444" s="36">
        <v>441</v>
      </c>
      <c r="K444" s="37">
        <f>Tableau!$G$36*COS(J444*PI()/180)+Tableau!$G$35</f>
        <v>-4217.8276747988439</v>
      </c>
      <c r="L444" s="37">
        <f>Tableau!$G$36*SIN(J444*PI()/180)+Tableau!$H$35</f>
        <v>-10061.558297024312</v>
      </c>
      <c r="N444" s="92">
        <v>440</v>
      </c>
      <c r="O444" s="93">
        <v>220</v>
      </c>
      <c r="P444" s="96">
        <f>P443+R443*Tableau!$G$2+((1/2)*T443)*Tableau!$G$2^2</f>
        <v>-14828740.334817698</v>
      </c>
      <c r="Q444" s="96">
        <f>Q443+S443*Tableau!$G$2+((1/2)*U443)*Tableau!$G$2^2</f>
        <v>7273482.1735354317</v>
      </c>
      <c r="R444" s="96">
        <f>R443+T443*Tableau!$G$2</f>
        <v>-68698.320302319844</v>
      </c>
      <c r="S444" s="96">
        <f>S443+U443*Tableau!$G$2</f>
        <v>33800.785617002155</v>
      </c>
      <c r="T444" s="96">
        <f t="shared" si="12"/>
        <v>4.035671231655439E-3</v>
      </c>
      <c r="U444" s="96">
        <f t="shared" si="13"/>
        <v>-1.9795061891522679E-3</v>
      </c>
      <c r="V444" s="96">
        <f>((Tableau!$G$16-P444)/(AC444^2+Tableau!$G$21^2)^(3/2))*Tableau!$G$20</f>
        <v>1.7209864350705734E-3</v>
      </c>
      <c r="W444" s="96">
        <f>((Tableau!$H$16-Q444)/(AC444^2+Tableau!$G$21^2)^(3/2))*Tableau!$G$20</f>
        <v>-8.4213586312084979E-4</v>
      </c>
      <c r="X444" s="96">
        <f>((Tableau!$G$25-P444)/(AD444^2+Tableau!$G$30^2)^(3/2))*Tableau!$G$29</f>
        <v>5.926811166415333E-4</v>
      </c>
      <c r="Y444" s="96">
        <f>((Tableau!$H$25-Q444)/(AD444^2+Tableau!$G$30^2)^(3/2))*Tableau!$G$29</f>
        <v>-2.9070188469678819E-4</v>
      </c>
      <c r="Z444" s="96">
        <f>((Tableau!$G$35-P444)/(AE444^2+Tableau!$G$40^2)^(3/2))*Tableau!$G$39</f>
        <v>1.7220036799433318E-3</v>
      </c>
      <c r="AA444" s="97">
        <f>((Tableau!$H$35-Q444)/(AE444^2+Tableau!$G$40^2)^(3/2))*Tableau!$G$39</f>
        <v>-8.4666844133462994E-4</v>
      </c>
      <c r="AC444" s="110">
        <f>SQRT((Tableau!$G$16-P444)^2+(Tableau!$H$16-Q444)^2)</f>
        <v>16531170.148449162</v>
      </c>
      <c r="AD444" s="111">
        <f>SQRT((Tableau!$G$25-P444)^2+(Tableau!$H$25-Q444)^2)</f>
        <v>16494149.374530461</v>
      </c>
      <c r="AE444" s="112">
        <f>SQRT((Tableau!$G$35-P444)^2+(Tableau!$H$35-Q444)^2)</f>
        <v>16518633.415269101</v>
      </c>
    </row>
    <row r="445" spans="2:31" x14ac:dyDescent="0.25">
      <c r="B445" s="18">
        <v>442</v>
      </c>
      <c r="C445" s="19">
        <f>Tableau!$G$17*COS(B445*PI()/180)+Tableau!$G$16</f>
        <v>20695.865504800324</v>
      </c>
      <c r="D445" s="19">
        <f>Tableau!$G$17*SIN(B445*PI()/180)+Tableau!$H$16</f>
        <v>12451.340343707852</v>
      </c>
      <c r="F445" s="26">
        <v>442</v>
      </c>
      <c r="G445" s="27">
        <f>Tableau!$G$26*COS(F445*PI()/180)+Tableau!$G$25</f>
        <v>-19512.894146639774</v>
      </c>
      <c r="H445" s="27">
        <f>Tableau!$G$26*SIN(F445*PI()/180)+Tableau!$H$25</f>
        <v>13465.938240595497</v>
      </c>
      <c r="J445" s="34">
        <v>442</v>
      </c>
      <c r="K445" s="35">
        <f>Tableau!$G$36*COS(J445*PI()/180)+Tableau!$G$35</f>
        <v>-4304.1344951996743</v>
      </c>
      <c r="L445" s="35">
        <f>Tableau!$G$36*SIN(J445*PI()/180)+Tableau!$H$35</f>
        <v>-10048.659656292148</v>
      </c>
      <c r="N445" s="98">
        <v>441</v>
      </c>
      <c r="O445" s="99">
        <v>220.5</v>
      </c>
      <c r="P445" s="101">
        <f>P444+R444*Tableau!$G$2+((1/2)*T444)*Tableau!$G$2^2</f>
        <v>-14863089.494464399</v>
      </c>
      <c r="Q445" s="101">
        <f>Q444+S444*Tableau!$G$2+((1/2)*U444)*Tableau!$G$2^2</f>
        <v>7290382.566096494</v>
      </c>
      <c r="R445" s="101">
        <f>R444+T444*Tableau!$G$2</f>
        <v>-68698.318284484223</v>
      </c>
      <c r="S445" s="101">
        <f>S444+U444*Tableau!$G$2</f>
        <v>33800.784627249057</v>
      </c>
      <c r="T445" s="101">
        <f t="shared" si="12"/>
        <v>4.0170272624843965E-3</v>
      </c>
      <c r="U445" s="101">
        <f t="shared" si="13"/>
        <v>-1.9703753322147725E-3</v>
      </c>
      <c r="V445" s="101">
        <f>((Tableau!$G$16-P445)/(AC445^2+Tableau!$G$21^2)^(3/2))*Tableau!$G$20</f>
        <v>1.7130391922670245E-3</v>
      </c>
      <c r="W445" s="101">
        <f>((Tableau!$H$16-Q445)/(AC445^2+Tableau!$G$21^2)^(3/2))*Tableau!$G$20</f>
        <v>-8.3825762608239331E-4</v>
      </c>
      <c r="X445" s="101">
        <f>((Tableau!$G$25-P445)/(AD445^2+Tableau!$G$30^2)^(3/2))*Tableau!$G$29</f>
        <v>5.8993870277161621E-4</v>
      </c>
      <c r="Y445" s="101">
        <f>((Tableau!$H$25-Q445)/(AD445^2+Tableau!$G$30^2)^(3/2))*Tableau!$G$29</f>
        <v>-2.8935885944269423E-4</v>
      </c>
      <c r="Z445" s="101">
        <f>((Tableau!$G$35-P445)/(AE445^2+Tableau!$G$40^2)^(3/2))*Tableau!$G$39</f>
        <v>1.7140493674457553E-3</v>
      </c>
      <c r="AA445" s="102">
        <f>((Tableau!$H$35-Q445)/(AE445^2+Tableau!$G$40^2)^(3/2))*Tableau!$G$39</f>
        <v>-8.4275884668968514E-4</v>
      </c>
      <c r="AC445" s="113">
        <f>SQRT((Tableau!$G$16-P445)^2+(Tableau!$H$16-Q445)^2)</f>
        <v>16569451.752299737</v>
      </c>
      <c r="AD445" s="114">
        <f>SQRT((Tableau!$G$25-P445)^2+(Tableau!$H$25-Q445)^2)</f>
        <v>16532431.038700908</v>
      </c>
      <c r="AE445" s="115">
        <f>SQRT((Tableau!$G$35-P445)^2+(Tableau!$H$35-Q445)^2)</f>
        <v>16556915.107064478</v>
      </c>
    </row>
    <row r="446" spans="2:31" x14ac:dyDescent="0.25">
      <c r="B446" s="20">
        <v>443</v>
      </c>
      <c r="C446" s="21">
        <f>Tableau!$G$17*COS(B446*PI()/180)+Tableau!$G$16</f>
        <v>20609.346717025743</v>
      </c>
      <c r="D446" s="21">
        <f>Tableau!$G$17*SIN(B446*PI()/180)+Tableau!$H$16</f>
        <v>12462.73075820661</v>
      </c>
      <c r="F446" s="28">
        <v>443</v>
      </c>
      <c r="G446" s="29">
        <f>Tableau!$G$26*COS(F446*PI()/180)+Tableau!$G$25</f>
        <v>-19573.457298081983</v>
      </c>
      <c r="H446" s="29">
        <f>Tableau!$G$26*SIN(F446*PI()/180)+Tableau!$H$25</f>
        <v>13473.911530744626</v>
      </c>
      <c r="J446" s="36">
        <v>443</v>
      </c>
      <c r="K446" s="37">
        <f>Tableau!$G$36*COS(J446*PI()/180)+Tableau!$G$35</f>
        <v>-4390.6532829742591</v>
      </c>
      <c r="L446" s="37">
        <f>Tableau!$G$36*SIN(J446*PI()/180)+Tableau!$H$35</f>
        <v>-10037.26924179339</v>
      </c>
      <c r="N446" s="92">
        <v>442</v>
      </c>
      <c r="O446" s="93">
        <v>221</v>
      </c>
      <c r="P446" s="96">
        <f>P445+R445*Tableau!$G$2+((1/2)*T445)*Tableau!$G$2^2</f>
        <v>-14897438.653104514</v>
      </c>
      <c r="Q446" s="96">
        <f>Q445+S445*Tableau!$G$2+((1/2)*U445)*Tableau!$G$2^2</f>
        <v>7307282.9581638221</v>
      </c>
      <c r="R446" s="96">
        <f>R445+T445*Tableau!$G$2</f>
        <v>-68698.316275970588</v>
      </c>
      <c r="S446" s="96">
        <f>S445+U445*Tableau!$G$2</f>
        <v>33800.783642061389</v>
      </c>
      <c r="T446" s="96">
        <f t="shared" si="12"/>
        <v>3.998512192891812E-3</v>
      </c>
      <c r="U446" s="96">
        <f t="shared" si="13"/>
        <v>-1.9613075068265423E-3</v>
      </c>
      <c r="V446" s="96">
        <f>((Tableau!$G$16-P446)/(AC446^2+Tableau!$G$21^2)^(3/2))*Tableau!$G$20</f>
        <v>1.7051468713801001E-3</v>
      </c>
      <c r="W446" s="96">
        <f>((Tableau!$H$16-Q446)/(AC446^2+Tableau!$G$21^2)^(3/2))*Tableau!$G$20</f>
        <v>-8.3440611772024186E-4</v>
      </c>
      <c r="X446" s="96">
        <f>((Tableau!$G$25-P446)/(AD446^2+Tableau!$G$30^2)^(3/2))*Tableau!$G$29</f>
        <v>5.8721527928856166E-4</v>
      </c>
      <c r="Y446" s="96">
        <f>((Tableau!$H$25-Q446)/(AD446^2+Tableau!$G$30^2)^(3/2))*Tableau!$G$29</f>
        <v>-2.8802511979652168E-4</v>
      </c>
      <c r="Z446" s="96">
        <f>((Tableau!$G$35-P446)/(AE446^2+Tableau!$G$40^2)^(3/2))*Tableau!$G$39</f>
        <v>1.7061500422231506E-3</v>
      </c>
      <c r="AA446" s="97">
        <f>((Tableau!$H$35-Q446)/(AE446^2+Tableau!$G$40^2)^(3/2))*Tableau!$G$39</f>
        <v>-8.3887626930977881E-4</v>
      </c>
      <c r="AC446" s="110">
        <f>SQRT((Tableau!$G$16-P446)^2+(Tableau!$H$16-Q446)^2)</f>
        <v>16607733.355441241</v>
      </c>
      <c r="AD446" s="111">
        <f>SQRT((Tableau!$G$25-P446)^2+(Tableau!$H$25-Q446)^2)</f>
        <v>16570712.701884503</v>
      </c>
      <c r="AE446" s="112">
        <f>SQRT((Tableau!$G$35-P446)^2+(Tableau!$H$35-Q446)^2)</f>
        <v>16595196.797745356</v>
      </c>
    </row>
    <row r="447" spans="2:31" x14ac:dyDescent="0.25">
      <c r="B447" s="18">
        <v>444</v>
      </c>
      <c r="C447" s="19">
        <f>Tableau!$G$17*COS(B447*PI()/180)+Tableau!$G$16</f>
        <v>20522.642316338268</v>
      </c>
      <c r="D447" s="19">
        <f>Tableau!$G$17*SIN(B447*PI()/180)+Tableau!$H$16</f>
        <v>12472.609476841368</v>
      </c>
      <c r="F447" s="26">
        <v>444</v>
      </c>
      <c r="G447" s="27">
        <f>Tableau!$G$26*COS(F447*PI()/180)+Tableau!$G$25</f>
        <v>-19634.150378563212</v>
      </c>
      <c r="H447" s="27">
        <f>Tableau!$G$26*SIN(F447*PI()/180)+Tableau!$H$25</f>
        <v>13480.826633788956</v>
      </c>
      <c r="J447" s="34">
        <v>444</v>
      </c>
      <c r="K447" s="35">
        <f>Tableau!$G$36*COS(J447*PI()/180)+Tableau!$G$35</f>
        <v>-4477.3576836617322</v>
      </c>
      <c r="L447" s="35">
        <f>Tableau!$G$36*SIN(J447*PI()/180)+Tableau!$H$35</f>
        <v>-10027.390523158632</v>
      </c>
      <c r="N447" s="98">
        <v>443</v>
      </c>
      <c r="O447" s="99">
        <v>221.5</v>
      </c>
      <c r="P447" s="101">
        <f>P446+R446*Tableau!$G$2+((1/2)*T446)*Tableau!$G$2^2</f>
        <v>-14931787.810742684</v>
      </c>
      <c r="Q447" s="101">
        <f>Q446+S446*Tableau!$G$2+((1/2)*U446)*Tableau!$G$2^2</f>
        <v>7324183.3497396894</v>
      </c>
      <c r="R447" s="101">
        <f>R446+T446*Tableau!$G$2</f>
        <v>-68698.314276714489</v>
      </c>
      <c r="S447" s="101">
        <f>S446+U446*Tableau!$G$2</f>
        <v>33800.782661407633</v>
      </c>
      <c r="T447" s="101">
        <f t="shared" si="12"/>
        <v>3.9801248373697307E-3</v>
      </c>
      <c r="U447" s="101">
        <f t="shared" si="13"/>
        <v>-1.9523021341649235E-3</v>
      </c>
      <c r="V447" s="101">
        <f>((Tableau!$G$16-P447)/(AC447^2+Tableau!$G$21^2)^(3/2))*Tableau!$G$20</f>
        <v>1.6973089674993398E-3</v>
      </c>
      <c r="W447" s="101">
        <f>((Tableau!$H$16-Q447)/(AC447^2+Tableau!$G$21^2)^(3/2))*Tableau!$G$20</f>
        <v>-8.305810929809754E-4</v>
      </c>
      <c r="X447" s="101">
        <f>((Tableau!$G$25-P447)/(AD447^2+Tableau!$G$30^2)^(3/2))*Tableau!$G$29</f>
        <v>5.8451067125892681E-4</v>
      </c>
      <c r="Y447" s="101">
        <f>((Tableau!$H$25-Q447)/(AD447^2+Tableau!$G$30^2)^(3/2))*Tableau!$G$29</f>
        <v>-2.8670058035477669E-4</v>
      </c>
      <c r="Z447" s="101">
        <f>((Tableau!$G$35-P447)/(AE447^2+Tableau!$G$40^2)^(3/2))*Tableau!$G$39</f>
        <v>1.6983051986114641E-3</v>
      </c>
      <c r="AA447" s="102">
        <f>((Tableau!$H$35-Q447)/(AE447^2+Tableau!$G$40^2)^(3/2))*Tableau!$G$39</f>
        <v>-8.3502046082917138E-4</v>
      </c>
      <c r="AC447" s="113">
        <f>SQRT((Tableau!$G$16-P447)^2+(Tableau!$H$16-Q447)^2)</f>
        <v>16646014.957875999</v>
      </c>
      <c r="AD447" s="114">
        <f>SQRT((Tableau!$G$25-P447)^2+(Tableau!$H$25-Q447)^2)</f>
        <v>16608994.364085484</v>
      </c>
      <c r="AE447" s="115">
        <f>SQRT((Tableau!$G$35-P447)^2+(Tableau!$H$35-Q447)^2)</f>
        <v>16633478.487316856</v>
      </c>
    </row>
    <row r="448" spans="2:31" x14ac:dyDescent="0.25">
      <c r="B448" s="20">
        <v>445</v>
      </c>
      <c r="C448" s="21">
        <f>Tableau!$G$17*COS(B448*PI()/180)+Tableau!$G$16</f>
        <v>20435.778713738295</v>
      </c>
      <c r="D448" s="21">
        <f>Tableau!$G$17*SIN(B448*PI()/180)+Tableau!$H$16</f>
        <v>12480.973490458728</v>
      </c>
      <c r="F448" s="28">
        <v>445</v>
      </c>
      <c r="G448" s="29">
        <f>Tableau!$G$26*COS(F448*PI()/180)+Tableau!$G$25</f>
        <v>-19694.954900383193</v>
      </c>
      <c r="H448" s="29">
        <f>Tableau!$G$26*SIN(F448*PI()/180)+Tableau!$H$25</f>
        <v>13486.681443321109</v>
      </c>
      <c r="J448" s="36">
        <v>445</v>
      </c>
      <c r="K448" s="37">
        <f>Tableau!$G$36*COS(J448*PI()/180)+Tableau!$G$35</f>
        <v>-4564.2212862617034</v>
      </c>
      <c r="L448" s="37">
        <f>Tableau!$G$36*SIN(J448*PI()/180)+Tableau!$H$35</f>
        <v>-10019.026509541272</v>
      </c>
      <c r="N448" s="92">
        <v>444</v>
      </c>
      <c r="O448" s="93">
        <v>222</v>
      </c>
      <c r="P448" s="96">
        <f>P447+R447*Tableau!$G$2+((1/2)*T447)*Tableau!$G$2^2</f>
        <v>-14966136.967383524</v>
      </c>
      <c r="Q448" s="96">
        <f>Q447+S447*Tableau!$G$2+((1/2)*U447)*Tableau!$G$2^2</f>
        <v>7341083.7408263553</v>
      </c>
      <c r="R448" s="96">
        <f>R447+T447*Tableau!$G$2</f>
        <v>-68698.312286652072</v>
      </c>
      <c r="S448" s="96">
        <f>S447+U447*Tableau!$G$2</f>
        <v>33800.781685256567</v>
      </c>
      <c r="T448" s="96">
        <f t="shared" si="12"/>
        <v>3.9618640240080966E-3</v>
      </c>
      <c r="U448" s="96">
        <f t="shared" si="13"/>
        <v>-1.9433586420362723E-3</v>
      </c>
      <c r="V448" s="96">
        <f>((Tableau!$G$16-P448)/(AC448^2+Tableau!$G$21^2)^(3/2))*Tableau!$G$20</f>
        <v>1.6895249815031721E-3</v>
      </c>
      <c r="W448" s="96">
        <f>((Tableau!$H$16-Q448)/(AC448^2+Tableau!$G$21^2)^(3/2))*Tableau!$G$20</f>
        <v>-8.2678230961310032E-4</v>
      </c>
      <c r="X448" s="96">
        <f>((Tableau!$G$25-P448)/(AD448^2+Tableau!$G$30^2)^(3/2))*Tableau!$G$29</f>
        <v>5.8182470575890866E-4</v>
      </c>
      <c r="Y448" s="96">
        <f>((Tableau!$H$25-Q448)/(AD448^2+Tableau!$G$30^2)^(3/2))*Tableau!$G$29</f>
        <v>-2.8538515669356381E-4</v>
      </c>
      <c r="Z448" s="96">
        <f>((Tableau!$G$35-P448)/(AE448^2+Tableau!$G$40^2)^(3/2))*Tableau!$G$39</f>
        <v>1.6905143367460156E-3</v>
      </c>
      <c r="AA448" s="97">
        <f>((Tableau!$H$35-Q448)/(AE448^2+Tableau!$G$40^2)^(3/2))*Tableau!$G$39</f>
        <v>-8.3119117572960806E-4</v>
      </c>
      <c r="AC448" s="110">
        <f>SQRT((Tableau!$G$16-P448)^2+(Tableau!$H$16-Q448)^2)</f>
        <v>16684296.559606334</v>
      </c>
      <c r="AD448" s="111">
        <f>SQRT((Tableau!$G$25-P448)^2+(Tableau!$H$25-Q448)^2)</f>
        <v>16647276.025308073</v>
      </c>
      <c r="AE448" s="112">
        <f>SQRT((Tableau!$G$35-P448)^2+(Tableau!$H$35-Q448)^2)</f>
        <v>16671760.175784072</v>
      </c>
    </row>
    <row r="449" spans="2:31" x14ac:dyDescent="0.25">
      <c r="B449" s="18">
        <v>446</v>
      </c>
      <c r="C449" s="19">
        <f>Tableau!$G$17*COS(B449*PI()/180)+Tableau!$G$16</f>
        <v>20348.782368720629</v>
      </c>
      <c r="D449" s="19">
        <f>Tableau!$G$17*SIN(B449*PI()/180)+Tableau!$H$16</f>
        <v>12487.820251299121</v>
      </c>
      <c r="F449" s="26">
        <v>446</v>
      </c>
      <c r="G449" s="27">
        <f>Tableau!$G$26*COS(F449*PI()/180)+Tableau!$G$25</f>
        <v>-19755.852341895559</v>
      </c>
      <c r="H449" s="27">
        <f>Tableau!$G$26*SIN(F449*PI()/180)+Tableau!$H$25</f>
        <v>13491.474175909385</v>
      </c>
      <c r="J449" s="34">
        <v>446</v>
      </c>
      <c r="K449" s="35">
        <f>Tableau!$G$36*COS(J449*PI()/180)+Tableau!$G$35</f>
        <v>-4651.2176312793717</v>
      </c>
      <c r="L449" s="35">
        <f>Tableau!$G$36*SIN(J449*PI()/180)+Tableau!$H$35</f>
        <v>-10012.179748700879</v>
      </c>
      <c r="N449" s="98">
        <v>445</v>
      </c>
      <c r="O449" s="99">
        <v>222.5</v>
      </c>
      <c r="P449" s="101">
        <f>P448+R448*Tableau!$G$2+((1/2)*T448)*Tableau!$G$2^2</f>
        <v>-15000486.123031618</v>
      </c>
      <c r="Q449" s="101">
        <f>Q448+S448*Tableau!$G$2+((1/2)*U448)*Tableau!$G$2^2</f>
        <v>7357984.1314260643</v>
      </c>
      <c r="R449" s="101">
        <f>R448+T448*Tableau!$G$2</f>
        <v>-68698.310305720064</v>
      </c>
      <c r="S449" s="101">
        <f>S448+U448*Tableau!$G$2</f>
        <v>33800.780713577245</v>
      </c>
      <c r="T449" s="101">
        <f t="shared" si="12"/>
        <v>3.9437285943079419E-3</v>
      </c>
      <c r="U449" s="101">
        <f t="shared" si="13"/>
        <v>-1.934476464785023E-3</v>
      </c>
      <c r="V449" s="101">
        <f>((Tableau!$G$16-P449)/(AC449^2+Tableau!$G$21^2)^(3/2))*Tableau!$G$20</f>
        <v>1.6817944199794327E-3</v>
      </c>
      <c r="W449" s="101">
        <f>((Tableau!$H$16-Q449)/(AC449^2+Tableau!$G$21^2)^(3/2))*Tableau!$G$20</f>
        <v>-8.2300952812868551E-4</v>
      </c>
      <c r="X449" s="101">
        <f>((Tableau!$G$25-P449)/(AD449^2+Tableau!$G$30^2)^(3/2))*Tableau!$G$29</f>
        <v>5.7915721184675993E-4</v>
      </c>
      <c r="Y449" s="101">
        <f>((Tableau!$H$25-Q449)/(AD449^2+Tableau!$G$30^2)^(3/2))*Tableau!$G$29</f>
        <v>-2.8407876535516173E-4</v>
      </c>
      <c r="Z449" s="101">
        <f>((Tableau!$G$35-P449)/(AE449^2+Tableau!$G$40^2)^(3/2))*Tableau!$G$39</f>
        <v>1.6827769624817488E-3</v>
      </c>
      <c r="AA449" s="102">
        <f>((Tableau!$H$35-Q449)/(AE449^2+Tableau!$G$40^2)^(3/2))*Tableau!$G$39</f>
        <v>-8.2738817130117569E-4</v>
      </c>
      <c r="AC449" s="113">
        <f>SQRT((Tableau!$G$16-P449)^2+(Tableau!$H$16-Q449)^2)</f>
        <v>16722578.160634555</v>
      </c>
      <c r="AD449" s="114">
        <f>SQRT((Tableau!$G$25-P449)^2+(Tableau!$H$25-Q449)^2)</f>
        <v>16685557.685556456</v>
      </c>
      <c r="AE449" s="115">
        <f>SQRT((Tableau!$G$35-P449)^2+(Tableau!$H$35-Q449)^2)</f>
        <v>16710041.863152061</v>
      </c>
    </row>
    <row r="450" spans="2:31" x14ac:dyDescent="0.25">
      <c r="B450" s="20">
        <v>447</v>
      </c>
      <c r="C450" s="21">
        <f>Tableau!$G$17*COS(B450*PI()/180)+Tableau!$G$16</f>
        <v>20261.679781214723</v>
      </c>
      <c r="D450" s="21">
        <f>Tableau!$G$17*SIN(B450*PI()/180)+Tableau!$H$16</f>
        <v>12493.14767377287</v>
      </c>
      <c r="F450" s="28">
        <v>447</v>
      </c>
      <c r="G450" s="29">
        <f>Tableau!$G$26*COS(F450*PI()/180)+Tableau!$G$25</f>
        <v>-19816.824153149693</v>
      </c>
      <c r="H450" s="29">
        <f>Tableau!$G$26*SIN(F450*PI()/180)+Tableau!$H$25</f>
        <v>13495.203371641008</v>
      </c>
      <c r="J450" s="36">
        <v>447</v>
      </c>
      <c r="K450" s="37">
        <f>Tableau!$G$36*COS(J450*PI()/180)+Tableau!$G$35</f>
        <v>-4738.3202187852776</v>
      </c>
      <c r="L450" s="37">
        <f>Tableau!$G$36*SIN(J450*PI()/180)+Tableau!$H$35</f>
        <v>-10006.85232622713</v>
      </c>
      <c r="N450" s="92">
        <v>446</v>
      </c>
      <c r="O450" s="93">
        <v>223</v>
      </c>
      <c r="P450" s="96">
        <f>P449+R449*Tableau!$G$2+((1/2)*T449)*Tableau!$G$2^2</f>
        <v>-15034835.277691511</v>
      </c>
      <c r="Q450" s="96">
        <f>Q449+S449*Tableau!$G$2+((1/2)*U449)*Tableau!$G$2^2</f>
        <v>7374884.5215410432</v>
      </c>
      <c r="R450" s="96">
        <f>R449+T449*Tableau!$G$2</f>
        <v>-68698.308333855763</v>
      </c>
      <c r="S450" s="96">
        <f>S449+U449*Tableau!$G$2</f>
        <v>33800.779746339016</v>
      </c>
      <c r="T450" s="96">
        <f t="shared" si="12"/>
        <v>3.9257174029977103E-3</v>
      </c>
      <c r="U450" s="96">
        <f t="shared" si="13"/>
        <v>-1.9256550432042796E-3</v>
      </c>
      <c r="V450" s="96">
        <f>((Tableau!$G$16-P450)/(AC450^2+Tableau!$G$21^2)^(3/2))*Tableau!$G$20</f>
        <v>1.6741167951472098E-3</v>
      </c>
      <c r="W450" s="96">
        <f>((Tableau!$H$16-Q450)/(AC450^2+Tableau!$G$21^2)^(3/2))*Tableau!$G$20</f>
        <v>-8.1926251176563569E-4</v>
      </c>
      <c r="X450" s="96">
        <f>((Tableau!$G$25-P450)/(AD450^2+Tableau!$G$30^2)^(3/2))*Tableau!$G$29</f>
        <v>5.7650802053552217E-4</v>
      </c>
      <c r="Y450" s="96">
        <f>((Tableau!$H$25-Q450)/(AD450^2+Tableau!$G$30^2)^(3/2))*Tableau!$G$29</f>
        <v>-2.8278132383475146E-4</v>
      </c>
      <c r="Z450" s="96">
        <f>((Tableau!$G$35-P450)/(AE450^2+Tableau!$G$40^2)^(3/2))*Tableau!$G$39</f>
        <v>1.6750925873149779E-3</v>
      </c>
      <c r="AA450" s="97">
        <f>((Tableau!$H$35-Q450)/(AE450^2+Tableau!$G$40^2)^(3/2))*Tableau!$G$39</f>
        <v>-8.2361120760389265E-4</v>
      </c>
      <c r="AC450" s="110">
        <f>SQRT((Tableau!$G$16-P450)^2+(Tableau!$H$16-Q450)^2)</f>
        <v>16760859.760962961</v>
      </c>
      <c r="AD450" s="111">
        <f>SQRT((Tableau!$G$25-P450)^2+(Tableau!$H$25-Q450)^2)</f>
        <v>16723839.344834797</v>
      </c>
      <c r="AE450" s="112">
        <f>SQRT((Tableau!$G$35-P450)^2+(Tableau!$H$35-Q450)^2)</f>
        <v>16748323.54942584</v>
      </c>
    </row>
    <row r="451" spans="2:31" x14ac:dyDescent="0.25">
      <c r="B451" s="18">
        <v>448</v>
      </c>
      <c r="C451" s="19">
        <f>Tableau!$G$17*COS(B451*PI()/180)+Tableau!$G$16</f>
        <v>20174.497483512503</v>
      </c>
      <c r="D451" s="19">
        <f>Tableau!$G$17*SIN(B451*PI()/180)+Tableau!$H$16</f>
        <v>12496.954135095479</v>
      </c>
      <c r="F451" s="26">
        <v>448</v>
      </c>
      <c r="G451" s="27">
        <f>Tableau!$G$26*COS(F451*PI()/180)+Tableau!$G$25</f>
        <v>-19877.851761541246</v>
      </c>
      <c r="H451" s="27">
        <f>Tableau!$G$26*SIN(F451*PI()/180)+Tableau!$H$25</f>
        <v>13497.867894566836</v>
      </c>
      <c r="J451" s="34">
        <v>448</v>
      </c>
      <c r="K451" s="35">
        <f>Tableau!$G$36*COS(J451*PI()/180)+Tableau!$G$35</f>
        <v>-4825.502516487496</v>
      </c>
      <c r="L451" s="35">
        <f>Tableau!$G$36*SIN(J451*PI()/180)+Tableau!$H$35</f>
        <v>-10003.045864904521</v>
      </c>
      <c r="N451" s="98">
        <v>447</v>
      </c>
      <c r="O451" s="99">
        <v>223.5</v>
      </c>
      <c r="P451" s="101">
        <f>P450+R450*Tableau!$G$2+((1/2)*T450)*Tableau!$G$2^2</f>
        <v>-15069184.431367725</v>
      </c>
      <c r="Q451" s="101">
        <f>Q450+S450*Tableau!$G$2+((1/2)*U450)*Tableau!$G$2^2</f>
        <v>7391784.9111735057</v>
      </c>
      <c r="R451" s="101">
        <f>R450+T450*Tableau!$G$2</f>
        <v>-68698.306370997059</v>
      </c>
      <c r="S451" s="101">
        <f>S450+U450*Tableau!$G$2</f>
        <v>33800.778783511494</v>
      </c>
      <c r="T451" s="101">
        <f t="shared" si="12"/>
        <v>3.9078293178523623E-3</v>
      </c>
      <c r="U451" s="101">
        <f t="shared" si="13"/>
        <v>-1.9168938244477594E-3</v>
      </c>
      <c r="V451" s="101">
        <f>((Tableau!$G$16-P451)/(AC451^2+Tableau!$G$21^2)^(3/2))*Tableau!$G$20</f>
        <v>1.6664916247799196E-3</v>
      </c>
      <c r="W451" s="101">
        <f>((Tableau!$H$16-Q451)/(AC451^2+Tableau!$G$21^2)^(3/2))*Tableau!$G$20</f>
        <v>-8.1554102645055575E-4</v>
      </c>
      <c r="X451" s="101">
        <f>((Tableau!$G$25-P451)/(AD451^2+Tableau!$G$30^2)^(3/2))*Tableau!$G$29</f>
        <v>5.7387696476631509E-4</v>
      </c>
      <c r="Y451" s="101">
        <f>((Tableau!$H$25-Q451)/(AD451^2+Tableau!$G$30^2)^(3/2))*Tableau!$G$29</f>
        <v>-2.8149275056741594E-4</v>
      </c>
      <c r="Z451" s="101">
        <f>((Tableau!$G$35-P451)/(AE451^2+Tableau!$G$40^2)^(3/2))*Tableau!$G$39</f>
        <v>1.667460728306128E-3</v>
      </c>
      <c r="AA451" s="102">
        <f>((Tableau!$H$35-Q451)/(AE451^2+Tableau!$G$40^2)^(3/2))*Tableau!$G$39</f>
        <v>-8.198600474297878E-4</v>
      </c>
      <c r="AC451" s="113">
        <f>SQRT((Tableau!$G$16-P451)^2+(Tableau!$H$16-Q451)^2)</f>
        <v>16799141.360593844</v>
      </c>
      <c r="AD451" s="114">
        <f>SQRT((Tableau!$G$25-P451)^2+(Tableau!$H$25-Q451)^2)</f>
        <v>16762121.003147231</v>
      </c>
      <c r="AE451" s="115">
        <f>SQRT((Tableau!$G$35-P451)^2+(Tableau!$H$35-Q451)^2)</f>
        <v>16786605.234610397</v>
      </c>
    </row>
    <row r="452" spans="2:31" x14ac:dyDescent="0.25">
      <c r="B452" s="20">
        <v>449</v>
      </c>
      <c r="C452" s="21">
        <f>Tableau!$G$17*COS(B452*PI()/180)+Tableau!$G$16</f>
        <v>20087.26203218642</v>
      </c>
      <c r="D452" s="21">
        <f>Tableau!$G$17*SIN(B452*PI()/180)+Tableau!$H$16</f>
        <v>12499.238475781956</v>
      </c>
      <c r="F452" s="28">
        <v>449</v>
      </c>
      <c r="G452" s="29">
        <f>Tableau!$G$26*COS(F452*PI()/180)+Tableau!$G$25</f>
        <v>-19938.916577469507</v>
      </c>
      <c r="H452" s="29">
        <f>Tableau!$G$26*SIN(F452*PI()/180)+Tableau!$H$25</f>
        <v>13499.46693304737</v>
      </c>
      <c r="J452" s="36">
        <v>449</v>
      </c>
      <c r="K452" s="37">
        <f>Tableau!$G$36*COS(J452*PI()/180)+Tableau!$G$35</f>
        <v>-4912.7379678135821</v>
      </c>
      <c r="L452" s="37">
        <f>Tableau!$G$36*SIN(J452*PI()/180)+Tableau!$H$35</f>
        <v>-10000.761524218044</v>
      </c>
      <c r="N452" s="92">
        <v>448</v>
      </c>
      <c r="O452" s="93">
        <v>224</v>
      </c>
      <c r="P452" s="96">
        <f>P451+R451*Tableau!$G$2+((1/2)*T451)*Tableau!$G$2^2</f>
        <v>-15103533.584064744</v>
      </c>
      <c r="Q452" s="96">
        <f>Q451+S451*Tableau!$G$2+((1/2)*U451)*Tableau!$G$2^2</f>
        <v>7408685.3003256498</v>
      </c>
      <c r="R452" s="96">
        <f>R451+T451*Tableau!$G$2</f>
        <v>-68698.3044170824</v>
      </c>
      <c r="S452" s="96">
        <f>S451+U451*Tableau!$G$2</f>
        <v>33800.777825064579</v>
      </c>
      <c r="T452" s="96">
        <f t="shared" ref="T452:T515" si="14">V452+X452+Z452</f>
        <v>3.8900632195154922E-3</v>
      </c>
      <c r="U452" s="96">
        <f t="shared" ref="U452:U515" si="15">W452+Y452+AA452</f>
        <v>-1.908192261943198E-3</v>
      </c>
      <c r="V452" s="96">
        <f>((Tableau!$G$16-P452)/(AC452^2+Tableau!$G$21^2)^(3/2))*Tableau!$G$20</f>
        <v>1.6589184321294929E-3</v>
      </c>
      <c r="W452" s="96">
        <f>((Tableau!$H$16-Q452)/(AC452^2+Tableau!$G$21^2)^(3/2))*Tableau!$G$20</f>
        <v>-8.1184484076215048E-4</v>
      </c>
      <c r="X452" s="96">
        <f>((Tableau!$G$25-P452)/(AD452^2+Tableau!$G$30^2)^(3/2))*Tableau!$G$29</f>
        <v>5.7126387938199194E-4</v>
      </c>
      <c r="Y452" s="96">
        <f>((Tableau!$H$25-Q452)/(AD452^2+Tableau!$G$30^2)^(3/2))*Tableau!$G$29</f>
        <v>-2.8021296491531758E-4</v>
      </c>
      <c r="Z452" s="96">
        <f>((Tableau!$G$35-P452)/(AE452^2+Tableau!$G$40^2)^(3/2))*Tableau!$G$39</f>
        <v>1.6598809080040073E-3</v>
      </c>
      <c r="AA452" s="97">
        <f>((Tableau!$H$35-Q452)/(AE452^2+Tableau!$G$40^2)^(3/2))*Tableau!$G$39</f>
        <v>-8.1613445626572989E-4</v>
      </c>
      <c r="AC452" s="110">
        <f>SQRT((Tableau!$G$16-P452)^2+(Tableau!$H$16-Q452)^2)</f>
        <v>16837422.959529486</v>
      </c>
      <c r="AD452" s="111">
        <f>SQRT((Tableau!$G$25-P452)^2+(Tableau!$H$25-Q452)^2)</f>
        <v>16800402.66049787</v>
      </c>
      <c r="AE452" s="112">
        <f>SQRT((Tableau!$G$35-P452)^2+(Tableau!$H$35-Q452)^2)</f>
        <v>16824886.91871069</v>
      </c>
    </row>
    <row r="453" spans="2:31" x14ac:dyDescent="0.25">
      <c r="B453" s="18">
        <v>450</v>
      </c>
      <c r="C453" s="19">
        <f>Tableau!$G$17*COS(B453*PI()/180)+Tableau!$G$16</f>
        <v>20000</v>
      </c>
      <c r="D453" s="19">
        <f>Tableau!$G$17*SIN(B453*PI()/180)+Tableau!$H$16</f>
        <v>12500</v>
      </c>
      <c r="F453" s="26">
        <v>450</v>
      </c>
      <c r="G453" s="27">
        <f>Tableau!$G$26*COS(F453*PI()/180)+Tableau!$G$25</f>
        <v>-20000</v>
      </c>
      <c r="H453" s="27">
        <f>Tableau!$G$26*SIN(F453*PI()/180)+Tableau!$H$25</f>
        <v>13500</v>
      </c>
      <c r="J453" s="34">
        <v>450</v>
      </c>
      <c r="K453" s="35">
        <f>Tableau!$G$36*COS(J453*PI()/180)+Tableau!$G$35</f>
        <v>-4999.9999999999982</v>
      </c>
      <c r="L453" s="35">
        <f>Tableau!$G$36*SIN(J453*PI()/180)+Tableau!$H$35</f>
        <v>-10000</v>
      </c>
      <c r="N453" s="98">
        <v>449</v>
      </c>
      <c r="O453" s="99">
        <v>224.5</v>
      </c>
      <c r="P453" s="101">
        <f>P452+R452*Tableau!$G$2+((1/2)*T452)*Tableau!$G$2^2</f>
        <v>-15137882.735787027</v>
      </c>
      <c r="Q453" s="101">
        <f>Q452+S452*Tableau!$G$2+((1/2)*U452)*Tableau!$G$2^2</f>
        <v>7425585.6889996585</v>
      </c>
      <c r="R453" s="101">
        <f>R452+T452*Tableau!$G$2</f>
        <v>-68698.302472050796</v>
      </c>
      <c r="S453" s="101">
        <f>S452+U452*Tableau!$G$2</f>
        <v>33800.776870968446</v>
      </c>
      <c r="T453" s="101">
        <f t="shared" si="14"/>
        <v>3.872418001324247E-3</v>
      </c>
      <c r="U453" s="101">
        <f t="shared" si="15"/>
        <v>-1.8995498153071232E-3</v>
      </c>
      <c r="V453" s="101">
        <f>((Tableau!$G$16-P453)/(AC453^2+Tableau!$G$21^2)^(3/2))*Tableau!$G$20</f>
        <v>1.6513967458519645E-3</v>
      </c>
      <c r="W453" s="101">
        <f>((Tableau!$H$16-Q453)/(AC453^2+Tableau!$G$21^2)^(3/2))*Tableau!$G$20</f>
        <v>-8.0817372589530125E-4</v>
      </c>
      <c r="X453" s="101">
        <f>((Tableau!$G$25-P453)/(AD453^2+Tableau!$G$30^2)^(3/2))*Tableau!$G$29</f>
        <v>5.6866860110118124E-4</v>
      </c>
      <c r="Y453" s="101">
        <f>((Tableau!$H$25-Q453)/(AD453^2+Tableau!$G$30^2)^(3/2))*Tableau!$G$29</f>
        <v>-2.7894188715506263E-4</v>
      </c>
      <c r="Z453" s="101">
        <f>((Tableau!$G$35-P453)/(AE453^2+Tableau!$G$40^2)^(3/2))*Tableau!$G$39</f>
        <v>1.6523526543711013E-3</v>
      </c>
      <c r="AA453" s="102">
        <f>((Tableau!$H$35-Q453)/(AE453^2+Tableau!$G$40^2)^(3/2))*Tableau!$G$39</f>
        <v>-8.124342022567592E-4</v>
      </c>
      <c r="AC453" s="113">
        <f>SQRT((Tableau!$G$16-P453)^2+(Tableau!$H$16-Q453)^2)</f>
        <v>16875704.557772156</v>
      </c>
      <c r="AD453" s="114">
        <f>SQRT((Tableau!$G$25-P453)^2+(Tableau!$H$25-Q453)^2)</f>
        <v>16838684.316890795</v>
      </c>
      <c r="AE453" s="115">
        <f>SQRT((Tableau!$G$35-P453)^2+(Tableau!$H$35-Q453)^2)</f>
        <v>16863168.601731632</v>
      </c>
    </row>
    <row r="454" spans="2:31" x14ac:dyDescent="0.25">
      <c r="B454" s="20">
        <v>451</v>
      </c>
      <c r="C454" s="21">
        <f>Tableau!$G$17*COS(B454*PI()/180)+Tableau!$G$16</f>
        <v>19912.73796781358</v>
      </c>
      <c r="D454" s="21">
        <f>Tableau!$G$17*SIN(B454*PI()/180)+Tableau!$H$16</f>
        <v>12499.238475781956</v>
      </c>
      <c r="F454" s="28">
        <v>451</v>
      </c>
      <c r="G454" s="29">
        <f>Tableau!$G$26*COS(F454*PI()/180)+Tableau!$G$25</f>
        <v>-20061.083422530493</v>
      </c>
      <c r="H454" s="29">
        <f>Tableau!$G$26*SIN(F454*PI()/180)+Tableau!$H$25</f>
        <v>13499.46693304737</v>
      </c>
      <c r="J454" s="36">
        <v>451</v>
      </c>
      <c r="K454" s="37">
        <f>Tableau!$G$36*COS(J454*PI()/180)+Tableau!$G$35</f>
        <v>-5087.2620321864197</v>
      </c>
      <c r="L454" s="37">
        <f>Tableau!$G$36*SIN(J454*PI()/180)+Tableau!$H$35</f>
        <v>-10000.761524218044</v>
      </c>
      <c r="N454" s="92">
        <v>450</v>
      </c>
      <c r="O454" s="93">
        <v>225</v>
      </c>
      <c r="P454" s="96">
        <f>P453+R453*Tableau!$G$2+((1/2)*T453)*Tableau!$G$2^2</f>
        <v>-15172231.886538999</v>
      </c>
      <c r="Q454" s="96">
        <f>Q453+S453*Tableau!$G$2+((1/2)*U453)*Tableau!$G$2^2</f>
        <v>7442486.0771976989</v>
      </c>
      <c r="R454" s="96">
        <f>R453+T453*Tableau!$G$2</f>
        <v>-68698.300535841801</v>
      </c>
      <c r="S454" s="96">
        <f>S453+U453*Tableau!$G$2</f>
        <v>33800.775921193541</v>
      </c>
      <c r="T454" s="96">
        <f t="shared" si="14"/>
        <v>3.8548925691368179E-3</v>
      </c>
      <c r="U454" s="96">
        <f t="shared" si="15"/>
        <v>-1.8909659502608701E-3</v>
      </c>
      <c r="V454" s="96">
        <f>((Tableau!$G$16-P454)/(AC454^2+Tableau!$G$21^2)^(3/2))*Tableau!$G$20</f>
        <v>1.6439260999340506E-3</v>
      </c>
      <c r="W454" s="96">
        <f>((Tableau!$H$16-Q454)/(AC454^2+Tableau!$G$21^2)^(3/2))*Tableau!$G$20</f>
        <v>-8.0452745562561642E-4</v>
      </c>
      <c r="X454" s="96">
        <f>((Tableau!$G$25-P454)/(AD454^2+Tableau!$G$30^2)^(3/2))*Tableau!$G$29</f>
        <v>5.6609096849283193E-4</v>
      </c>
      <c r="Y454" s="96">
        <f>((Tableau!$H$25-Q454)/(AD454^2+Tableau!$G$30^2)^(3/2))*Tableau!$G$29</f>
        <v>-2.7767943846531134E-4</v>
      </c>
      <c r="Z454" s="96">
        <f>((Tableau!$G$35-P454)/(AE454^2+Tableau!$G$40^2)^(3/2))*Tableau!$G$39</f>
        <v>1.6448755007099352E-3</v>
      </c>
      <c r="AA454" s="97">
        <f>((Tableau!$H$35-Q454)/(AE454^2+Tableau!$G$40^2)^(3/2))*Tableau!$G$39</f>
        <v>-8.0875905616994244E-4</v>
      </c>
      <c r="AC454" s="110">
        <f>SQRT((Tableau!$G$16-P454)^2+(Tableau!$H$16-Q454)^2)</f>
        <v>16913986.155324116</v>
      </c>
      <c r="AD454" s="111">
        <f>SQRT((Tableau!$G$25-P454)^2+(Tableau!$H$25-Q454)^2)</f>
        <v>16876965.972330064</v>
      </c>
      <c r="AE454" s="112">
        <f>SQRT((Tableau!$G$35-P454)^2+(Tableau!$H$35-Q454)^2)</f>
        <v>16901450.283678111</v>
      </c>
    </row>
    <row r="455" spans="2:31" x14ac:dyDescent="0.25">
      <c r="B455" s="18">
        <v>452</v>
      </c>
      <c r="C455" s="19">
        <f>Tableau!$G$17*COS(B455*PI()/180)+Tableau!$G$16</f>
        <v>19825.502516487497</v>
      </c>
      <c r="D455" s="19">
        <f>Tableau!$G$17*SIN(B455*PI()/180)+Tableau!$H$16</f>
        <v>12496.954135095479</v>
      </c>
      <c r="F455" s="26">
        <v>452</v>
      </c>
      <c r="G455" s="27">
        <f>Tableau!$G$26*COS(F455*PI()/180)+Tableau!$G$25</f>
        <v>-20122.148238458751</v>
      </c>
      <c r="H455" s="27">
        <f>Tableau!$G$26*SIN(F455*PI()/180)+Tableau!$H$25</f>
        <v>13497.867894566836</v>
      </c>
      <c r="J455" s="34">
        <v>452</v>
      </c>
      <c r="K455" s="35">
        <f>Tableau!$G$36*COS(J455*PI()/180)+Tableau!$G$35</f>
        <v>-5174.4974835125013</v>
      </c>
      <c r="L455" s="35">
        <f>Tableau!$G$36*SIN(J455*PI()/180)+Tableau!$H$35</f>
        <v>-10003.045864904521</v>
      </c>
      <c r="N455" s="98">
        <v>451</v>
      </c>
      <c r="O455" s="99">
        <v>225.5</v>
      </c>
      <c r="P455" s="101">
        <f>P454+R454*Tableau!$G$2+((1/2)*T454)*Tableau!$G$2^2</f>
        <v>-15206581.03632506</v>
      </c>
      <c r="Q455" s="101">
        <f>Q454+S454*Tableau!$G$2+((1/2)*U454)*Tableau!$G$2^2</f>
        <v>7459386.4649219252</v>
      </c>
      <c r="R455" s="101">
        <f>R454+T454*Tableau!$G$2</f>
        <v>-68698.298608395518</v>
      </c>
      <c r="S455" s="101">
        <f>S454+U454*Tableau!$G$2</f>
        <v>33800.774975710563</v>
      </c>
      <c r="T455" s="101">
        <f t="shared" si="14"/>
        <v>3.8374858411630818E-3</v>
      </c>
      <c r="U455" s="101">
        <f t="shared" si="15"/>
        <v>-1.8824401385481365E-3</v>
      </c>
      <c r="V455" s="101">
        <f>((Tableau!$G$16-P455)/(AC455^2+Tableau!$G$21^2)^(3/2))*Tableau!$G$20</f>
        <v>1.6365060336210294E-3</v>
      </c>
      <c r="W455" s="101">
        <f>((Tableau!$H$16-Q455)/(AC455^2+Tableau!$G$21^2)^(3/2))*Tableau!$G$20</f>
        <v>-8.0090580627461031E-4</v>
      </c>
      <c r="X455" s="101">
        <f>((Tableau!$G$25-P455)/(AD455^2+Tableau!$G$30^2)^(3/2))*Tableau!$G$29</f>
        <v>5.635308219510488E-4</v>
      </c>
      <c r="Y455" s="101">
        <f>((Tableau!$H$25-Q455)/(AD455^2+Tableau!$G$30^2)^(3/2))*Tableau!$G$29</f>
        <v>-2.7642554091452813E-4</v>
      </c>
      <c r="Z455" s="101">
        <f>((Tableau!$G$35-P455)/(AE455^2+Tableau!$G$40^2)^(3/2))*Tableau!$G$39</f>
        <v>1.6374489855910032E-3</v>
      </c>
      <c r="AA455" s="102">
        <f>((Tableau!$H$35-Q455)/(AE455^2+Tableau!$G$40^2)^(3/2))*Tableau!$G$39</f>
        <v>-8.0510879135899799E-4</v>
      </c>
      <c r="AC455" s="113">
        <f>SQRT((Tableau!$G$16-P455)^2+(Tableau!$H$16-Q455)^2)</f>
        <v>16952267.752187625</v>
      </c>
      <c r="AD455" s="114">
        <f>SQRT((Tableau!$G$25-P455)^2+(Tableau!$H$25-Q455)^2)</f>
        <v>16915247.626819715</v>
      </c>
      <c r="AE455" s="115">
        <f>SQRT((Tableau!$G$35-P455)^2+(Tableau!$H$35-Q455)^2)</f>
        <v>16939731.96455498</v>
      </c>
    </row>
    <row r="456" spans="2:31" x14ac:dyDescent="0.25">
      <c r="B456" s="20">
        <v>453</v>
      </c>
      <c r="C456" s="21">
        <f>Tableau!$G$17*COS(B456*PI()/180)+Tableau!$G$16</f>
        <v>19738.32021878528</v>
      </c>
      <c r="D456" s="21">
        <f>Tableau!$G$17*SIN(B456*PI()/180)+Tableau!$H$16</f>
        <v>12493.14767377287</v>
      </c>
      <c r="F456" s="28">
        <v>453</v>
      </c>
      <c r="G456" s="29">
        <f>Tableau!$G$26*COS(F456*PI()/180)+Tableau!$G$25</f>
        <v>-20183.175846850303</v>
      </c>
      <c r="H456" s="29">
        <f>Tableau!$G$26*SIN(F456*PI()/180)+Tableau!$H$25</f>
        <v>13495.203371641008</v>
      </c>
      <c r="J456" s="36">
        <v>453</v>
      </c>
      <c r="K456" s="37">
        <f>Tableau!$G$36*COS(J456*PI()/180)+Tableau!$G$35</f>
        <v>-5261.6797812147188</v>
      </c>
      <c r="L456" s="37">
        <f>Tableau!$G$36*SIN(J456*PI()/180)+Tableau!$H$35</f>
        <v>-10006.85232622713</v>
      </c>
      <c r="N456" s="92">
        <v>452</v>
      </c>
      <c r="O456" s="93">
        <v>226</v>
      </c>
      <c r="P456" s="96">
        <f>P455+R455*Tableau!$G$2+((1/2)*T455)*Tableau!$G$2^2</f>
        <v>-15240930.185149573</v>
      </c>
      <c r="Q456" s="96">
        <f>Q455+S455*Tableau!$G$2+((1/2)*U455)*Tableau!$G$2^2</f>
        <v>7476286.8521744758</v>
      </c>
      <c r="R456" s="96">
        <f>R455+T455*Tableau!$G$2</f>
        <v>-68698.296689652605</v>
      </c>
      <c r="S456" s="96">
        <f>S455+U455*Tableau!$G$2</f>
        <v>33800.774034490496</v>
      </c>
      <c r="T456" s="96">
        <f t="shared" si="14"/>
        <v>3.8201967477973935E-3</v>
      </c>
      <c r="U456" s="96">
        <f t="shared" si="15"/>
        <v>-1.8739718578535758E-3</v>
      </c>
      <c r="V456" s="96">
        <f>((Tableau!$G$16-P456)/(AC456^2+Tableau!$G$21^2)^(3/2))*Tableau!$G$20</f>
        <v>1.6291360913456019E-3</v>
      </c>
      <c r="W456" s="96">
        <f>((Tableau!$H$16-Q456)/(AC456^2+Tableau!$G$21^2)^(3/2))*Tableau!$G$20</f>
        <v>-7.9730855667535386E-4</v>
      </c>
      <c r="X456" s="96">
        <f>((Tableau!$G$25-P456)/(AD456^2+Tableau!$G$30^2)^(3/2))*Tableau!$G$29</f>
        <v>5.6098800367047647E-4</v>
      </c>
      <c r="Y456" s="96">
        <f>((Tableau!$H$25-Q456)/(AD456^2+Tableau!$G$30^2)^(3/2))*Tableau!$G$29</f>
        <v>-2.7518011744899983E-4</v>
      </c>
      <c r="Z456" s="96">
        <f>((Tableau!$G$35-P456)/(AE456^2+Tableau!$G$40^2)^(3/2))*Tableau!$G$39</f>
        <v>1.6300726527813153E-3</v>
      </c>
      <c r="AA456" s="97">
        <f>((Tableau!$H$35-Q456)/(AE456^2+Tableau!$G$40^2)^(3/2))*Tableau!$G$39</f>
        <v>-8.0148318372922224E-4</v>
      </c>
      <c r="AC456" s="110">
        <f>SQRT((Tableau!$G$16-P456)^2+(Tableau!$H$16-Q456)^2)</f>
        <v>16990549.348364923</v>
      </c>
      <c r="AD456" s="111">
        <f>SQRT((Tableau!$G$25-P456)^2+(Tableau!$H$25-Q456)^2)</f>
        <v>16953529.280363746</v>
      </c>
      <c r="AE456" s="112">
        <f>SQRT((Tableau!$G$35-P456)^2+(Tableau!$H$35-Q456)^2)</f>
        <v>16978013.644367062</v>
      </c>
    </row>
    <row r="457" spans="2:31" x14ac:dyDescent="0.25">
      <c r="B457" s="18">
        <v>454</v>
      </c>
      <c r="C457" s="19">
        <f>Tableau!$G$17*COS(B457*PI()/180)+Tableau!$G$16</f>
        <v>19651.217631279378</v>
      </c>
      <c r="D457" s="19">
        <f>Tableau!$G$17*SIN(B457*PI()/180)+Tableau!$H$16</f>
        <v>12487.820251299123</v>
      </c>
      <c r="F457" s="26">
        <v>454</v>
      </c>
      <c r="G457" s="27">
        <f>Tableau!$G$26*COS(F457*PI()/180)+Tableau!$G$25</f>
        <v>-20244.147658104434</v>
      </c>
      <c r="H457" s="27">
        <f>Tableau!$G$26*SIN(F457*PI()/180)+Tableau!$H$25</f>
        <v>13491.474175909385</v>
      </c>
      <c r="J457" s="34">
        <v>454</v>
      </c>
      <c r="K457" s="35">
        <f>Tableau!$G$36*COS(J457*PI()/180)+Tableau!$G$35</f>
        <v>-5348.782368720621</v>
      </c>
      <c r="L457" s="35">
        <f>Tableau!$G$36*SIN(J457*PI()/180)+Tableau!$H$35</f>
        <v>-10012.179748700877</v>
      </c>
      <c r="N457" s="98">
        <v>453</v>
      </c>
      <c r="O457" s="99">
        <v>226.5</v>
      </c>
      <c r="P457" s="101">
        <f>P456+R456*Tableau!$G$2+((1/2)*T456)*Tableau!$G$2^2</f>
        <v>-15275279.333016874</v>
      </c>
      <c r="Q457" s="101">
        <f>Q456+S456*Tableau!$G$2+((1/2)*U456)*Tableau!$G$2^2</f>
        <v>7493187.2389574749</v>
      </c>
      <c r="R457" s="101">
        <f>R456+T456*Tableau!$G$2</f>
        <v>-68698.294779554228</v>
      </c>
      <c r="S457" s="101">
        <f>S456+U456*Tableau!$G$2</f>
        <v>33800.773097504571</v>
      </c>
      <c r="T457" s="101">
        <f t="shared" si="14"/>
        <v>3.8030242314544428E-3</v>
      </c>
      <c r="U457" s="101">
        <f t="shared" si="15"/>
        <v>-1.8655605917228847E-3</v>
      </c>
      <c r="V457" s="101">
        <f>((Tableau!$G$16-P457)/(AC457^2+Tableau!$G$21^2)^(3/2))*Tableau!$G$20</f>
        <v>1.6218158226580794E-3</v>
      </c>
      <c r="W457" s="101">
        <f>((Tableau!$H$16-Q457)/(AC457^2+Tableau!$G$21^2)^(3/2))*Tableau!$G$20</f>
        <v>-7.9373548813876438E-4</v>
      </c>
      <c r="X457" s="101">
        <f>((Tableau!$G$25-P457)/(AD457^2+Tableau!$G$30^2)^(3/2))*Tableau!$G$29</f>
        <v>5.5846235762186639E-4</v>
      </c>
      <c r="Y457" s="101">
        <f>((Tableau!$H$25-Q457)/(AD457^2+Tableau!$G$30^2)^(3/2))*Tableau!$G$29</f>
        <v>-2.7394309188094064E-4</v>
      </c>
      <c r="Z457" s="101">
        <f>((Tableau!$G$35-P457)/(AE457^2+Tableau!$G$40^2)^(3/2))*Tableau!$G$39</f>
        <v>1.6227460511744969E-3</v>
      </c>
      <c r="AA457" s="102">
        <f>((Tableau!$H$35-Q457)/(AE457^2+Tableau!$G$40^2)^(3/2))*Tableau!$G$39</f>
        <v>-7.9788201170317963E-4</v>
      </c>
      <c r="AC457" s="113">
        <f>SQRT((Tableau!$G$16-P457)^2+(Tableau!$H$16-Q457)^2)</f>
        <v>17028830.94385824</v>
      </c>
      <c r="AD457" s="114">
        <f>SQRT((Tableau!$G$25-P457)^2+(Tableau!$H$25-Q457)^2)</f>
        <v>16991810.932966143</v>
      </c>
      <c r="AE457" s="115">
        <f>SQRT((Tableau!$G$35-P457)^2+(Tableau!$H$35-Q457)^2)</f>
        <v>17016295.323119134</v>
      </c>
    </row>
    <row r="458" spans="2:31" x14ac:dyDescent="0.25">
      <c r="B458" s="20">
        <v>455</v>
      </c>
      <c r="C458" s="21">
        <f>Tableau!$G$17*COS(B458*PI()/180)+Tableau!$G$16</f>
        <v>19564.221286261713</v>
      </c>
      <c r="D458" s="21">
        <f>Tableau!$G$17*SIN(B458*PI()/180)+Tableau!$H$16</f>
        <v>12480.973490458728</v>
      </c>
      <c r="F458" s="28">
        <v>455</v>
      </c>
      <c r="G458" s="29">
        <f>Tableau!$G$26*COS(F458*PI()/180)+Tableau!$G$25</f>
        <v>-20305.045099616804</v>
      </c>
      <c r="H458" s="29">
        <f>Tableau!$G$26*SIN(F458*PI()/180)+Tableau!$H$25</f>
        <v>13486.681443321109</v>
      </c>
      <c r="J458" s="36">
        <v>455</v>
      </c>
      <c r="K458" s="37">
        <f>Tableau!$G$36*COS(J458*PI()/180)+Tableau!$G$35</f>
        <v>-5435.7787137382893</v>
      </c>
      <c r="L458" s="37">
        <f>Tableau!$G$36*SIN(J458*PI()/180)+Tableau!$H$35</f>
        <v>-10019.026509541272</v>
      </c>
      <c r="N458" s="92">
        <v>454</v>
      </c>
      <c r="O458" s="93">
        <v>227</v>
      </c>
      <c r="P458" s="96">
        <f>P457+R457*Tableau!$G$2+((1/2)*T457)*Tableau!$G$2^2</f>
        <v>-15309628.479931273</v>
      </c>
      <c r="Q458" s="96">
        <f>Q457+S457*Tableau!$G$2+((1/2)*U457)*Tableau!$G$2^2</f>
        <v>7510087.6252730321</v>
      </c>
      <c r="R458" s="96">
        <f>R457+T457*Tableau!$G$2</f>
        <v>-68698.292878042106</v>
      </c>
      <c r="S458" s="96">
        <f>S457+U457*Tableau!$G$2</f>
        <v>33800.772164724272</v>
      </c>
      <c r="T458" s="96">
        <f t="shared" si="14"/>
        <v>3.7859672464074642E-3</v>
      </c>
      <c r="U458" s="96">
        <f t="shared" si="15"/>
        <v>-1.8572058294840333E-3</v>
      </c>
      <c r="V458" s="96">
        <f>((Tableau!$G$16-P458)/(AC458^2+Tableau!$G$21^2)^(3/2))*Tableau!$G$20</f>
        <v>1.6145447821575112E-3</v>
      </c>
      <c r="W458" s="96">
        <f>((Tableau!$H$16-Q458)/(AC458^2+Tableau!$G$21^2)^(3/2))*Tableau!$G$20</f>
        <v>-7.9018638442034789E-4</v>
      </c>
      <c r="X458" s="96">
        <f>((Tableau!$G$25-P458)/(AD458^2+Tableau!$G$30^2)^(3/2))*Tableau!$G$29</f>
        <v>5.5595372952822871E-4</v>
      </c>
      <c r="Y458" s="96">
        <f>((Tableau!$H$25-Q458)/(AD458^2+Tableau!$G$30^2)^(3/2))*Tableau!$G$29</f>
        <v>-2.7271438887688405E-4</v>
      </c>
      <c r="Z458" s="96">
        <f>((Tableau!$G$35-P458)/(AE458^2+Tableau!$G$40^2)^(3/2))*Tableau!$G$39</f>
        <v>1.6154687347217243E-3</v>
      </c>
      <c r="AA458" s="97">
        <f>((Tableau!$H$35-Q458)/(AE458^2+Tableau!$G$40^2)^(3/2))*Tableau!$G$39</f>
        <v>-7.9430505618680145E-4</v>
      </c>
      <c r="AC458" s="110">
        <f>SQRT((Tableau!$G$16-P458)^2+(Tableau!$H$16-Q458)^2)</f>
        <v>17067112.538669802</v>
      </c>
      <c r="AD458" s="111">
        <f>SQRT((Tableau!$G$25-P458)^2+(Tableau!$H$25-Q458)^2)</f>
        <v>17030092.584630862</v>
      </c>
      <c r="AE458" s="112">
        <f>SQRT((Tableau!$G$35-P458)^2+(Tableau!$H$35-Q458)^2)</f>
        <v>17054577.000815962</v>
      </c>
    </row>
    <row r="459" spans="2:31" x14ac:dyDescent="0.25">
      <c r="B459" s="18">
        <v>456</v>
      </c>
      <c r="C459" s="19">
        <f>Tableau!$G$17*COS(B459*PI()/180)+Tableau!$G$16</f>
        <v>19477.357683661736</v>
      </c>
      <c r="D459" s="19">
        <f>Tableau!$G$17*SIN(B459*PI()/180)+Tableau!$H$16</f>
        <v>12472.609476841368</v>
      </c>
      <c r="F459" s="26">
        <v>456</v>
      </c>
      <c r="G459" s="27">
        <f>Tableau!$G$26*COS(F459*PI()/180)+Tableau!$G$25</f>
        <v>-20365.849621436784</v>
      </c>
      <c r="H459" s="27">
        <f>Tableau!$G$26*SIN(F459*PI()/180)+Tableau!$H$25</f>
        <v>13480.826633788956</v>
      </c>
      <c r="J459" s="34">
        <v>456</v>
      </c>
      <c r="K459" s="35">
        <f>Tableau!$G$36*COS(J459*PI()/180)+Tableau!$G$35</f>
        <v>-5522.6423163382642</v>
      </c>
      <c r="L459" s="35">
        <f>Tableau!$G$36*SIN(J459*PI()/180)+Tableau!$H$35</f>
        <v>-10027.390523158632</v>
      </c>
      <c r="N459" s="98">
        <v>455</v>
      </c>
      <c r="O459" s="99">
        <v>227.5</v>
      </c>
      <c r="P459" s="101">
        <f>P458+R458*Tableau!$G$2+((1/2)*T458)*Tableau!$G$2^2</f>
        <v>-15343977.625897048</v>
      </c>
      <c r="Q459" s="101">
        <f>Q458+S458*Tableau!$G$2+((1/2)*U458)*Tableau!$G$2^2</f>
        <v>7526988.0111232437</v>
      </c>
      <c r="R459" s="101">
        <f>R458+T458*Tableau!$G$2</f>
        <v>-68698.290985058484</v>
      </c>
      <c r="S459" s="101">
        <f>S458+U458*Tableau!$G$2</f>
        <v>33800.771236121356</v>
      </c>
      <c r="T459" s="101">
        <f t="shared" si="14"/>
        <v>3.7690247586289584E-3</v>
      </c>
      <c r="U459" s="101">
        <f t="shared" si="15"/>
        <v>-1.8489070661697154E-3</v>
      </c>
      <c r="V459" s="101">
        <f>((Tableau!$G$16-P459)/(AC459^2+Tableau!$G$21^2)^(3/2))*Tableau!$G$20</f>
        <v>1.6073225294238214E-3</v>
      </c>
      <c r="W459" s="101">
        <f>((Tableau!$H$16-Q459)/(AC459^2+Tableau!$G$21^2)^(3/2))*Tableau!$G$20</f>
        <v>-7.8666103168742669E-4</v>
      </c>
      <c r="X459" s="101">
        <f>((Tableau!$G$25-P459)/(AD459^2+Tableau!$G$30^2)^(3/2))*Tableau!$G$29</f>
        <v>5.5346196684124345E-4</v>
      </c>
      <c r="Y459" s="101">
        <f>((Tableau!$H$25-Q459)/(AD459^2+Tableau!$G$30^2)^(3/2))*Tableau!$G$29</f>
        <v>-2.7149393394619852E-4</v>
      </c>
      <c r="Z459" s="101">
        <f>((Tableau!$G$35-P459)/(AE459^2+Tableau!$G$40^2)^(3/2))*Tableau!$G$39</f>
        <v>1.6082402623638936E-3</v>
      </c>
      <c r="AA459" s="102">
        <f>((Tableau!$H$35-Q459)/(AE459^2+Tableau!$G$40^2)^(3/2))*Tableau!$G$39</f>
        <v>-7.9075210053609045E-4</v>
      </c>
      <c r="AC459" s="113">
        <f>SQRT((Tableau!$G$16-P459)^2+(Tableau!$H$16-Q459)^2)</f>
        <v>17105394.132801831</v>
      </c>
      <c r="AD459" s="114">
        <f>SQRT((Tableau!$G$25-P459)^2+(Tableau!$H$25-Q459)^2)</f>
        <v>17068374.235361841</v>
      </c>
      <c r="AE459" s="115">
        <f>SQRT((Tableau!$G$35-P459)^2+(Tableau!$H$35-Q459)^2)</f>
        <v>17092858.677462265</v>
      </c>
    </row>
    <row r="460" spans="2:31" x14ac:dyDescent="0.25">
      <c r="B460" s="20">
        <v>457</v>
      </c>
      <c r="C460" s="21">
        <f>Tableau!$G$17*COS(B460*PI()/180)+Tableau!$G$16</f>
        <v>19390.653282974261</v>
      </c>
      <c r="D460" s="21">
        <f>Tableau!$G$17*SIN(B460*PI()/180)+Tableau!$H$16</f>
        <v>12462.73075820661</v>
      </c>
      <c r="F460" s="28">
        <v>457</v>
      </c>
      <c r="G460" s="29">
        <f>Tableau!$G$26*COS(F460*PI()/180)+Tableau!$G$25</f>
        <v>-20426.542701918017</v>
      </c>
      <c r="H460" s="29">
        <f>Tableau!$G$26*SIN(F460*PI()/180)+Tableau!$H$25</f>
        <v>13473.911530744626</v>
      </c>
      <c r="J460" s="36">
        <v>457</v>
      </c>
      <c r="K460" s="37">
        <f>Tableau!$G$36*COS(J460*PI()/180)+Tableau!$G$35</f>
        <v>-5609.3467170257381</v>
      </c>
      <c r="L460" s="37">
        <f>Tableau!$G$36*SIN(J460*PI()/180)+Tableau!$H$35</f>
        <v>-10037.26924179339</v>
      </c>
      <c r="N460" s="92">
        <v>456</v>
      </c>
      <c r="O460" s="93">
        <v>228</v>
      </c>
      <c r="P460" s="96">
        <f>P459+R459*Tableau!$G$2+((1/2)*T459)*Tableau!$G$2^2</f>
        <v>-15378326.770918449</v>
      </c>
      <c r="Q460" s="96">
        <f>Q459+S459*Tableau!$G$2+((1/2)*U459)*Tableau!$G$2^2</f>
        <v>7543888.3965101913</v>
      </c>
      <c r="R460" s="96">
        <f>R459+T459*Tableau!$G$2</f>
        <v>-68698.289100546099</v>
      </c>
      <c r="S460" s="96">
        <f>S459+U459*Tableau!$G$2</f>
        <v>33800.770311667824</v>
      </c>
      <c r="T460" s="96">
        <f t="shared" si="14"/>
        <v>3.7521957456341792E-3</v>
      </c>
      <c r="U460" s="96">
        <f t="shared" si="15"/>
        <v>-1.8406638024411463E-3</v>
      </c>
      <c r="V460" s="96">
        <f>((Tableau!$G$16-P460)/(AC460^2+Tableau!$G$21^2)^(3/2))*Tableau!$G$20</f>
        <v>1.6001486289513381E-3</v>
      </c>
      <c r="W460" s="96">
        <f>((Tableau!$H$16-Q460)/(AC460^2+Tableau!$G$21^2)^(3/2))*Tableau!$G$20</f>
        <v>-7.8315921848703984E-4</v>
      </c>
      <c r="X460" s="96">
        <f>((Tableau!$G$25-P460)/(AD460^2+Tableau!$G$30^2)^(3/2))*Tableau!$G$29</f>
        <v>5.5098691871806685E-4</v>
      </c>
      <c r="Y460" s="96">
        <f>((Tableau!$H$25-Q460)/(AD460^2+Tableau!$G$30^2)^(3/2))*Tableau!$G$29</f>
        <v>-2.7028165342979664E-4</v>
      </c>
      <c r="Z460" s="96">
        <f>((Tableau!$G$35-P460)/(AE460^2+Tableau!$G$40^2)^(3/2))*Tableau!$G$39</f>
        <v>1.6010601979647744E-3</v>
      </c>
      <c r="AA460" s="97">
        <f>((Tableau!$H$35-Q460)/(AE460^2+Tableau!$G$40^2)^(3/2))*Tableau!$G$39</f>
        <v>-7.8722293052430959E-4</v>
      </c>
      <c r="AC460" s="110">
        <f>SQRT((Tableau!$G$16-P460)^2+(Tableau!$H$16-Q460)^2)</f>
        <v>17143675.726256527</v>
      </c>
      <c r="AD460" s="111">
        <f>SQRT((Tableau!$G$25-P460)^2+(Tableau!$H$25-Q460)^2)</f>
        <v>17106655.885162979</v>
      </c>
      <c r="AE460" s="112">
        <f>SQRT((Tableau!$G$35-P460)^2+(Tableau!$H$35-Q460)^2)</f>
        <v>17131140.353062734</v>
      </c>
    </row>
    <row r="461" spans="2:31" x14ac:dyDescent="0.25">
      <c r="B461" s="18">
        <v>458</v>
      </c>
      <c r="C461" s="19">
        <f>Tableau!$G$17*COS(B461*PI()/180)+Tableau!$G$16</f>
        <v>19304.134495199676</v>
      </c>
      <c r="D461" s="19">
        <f>Tableau!$G$17*SIN(B461*PI()/180)+Tableau!$H$16</f>
        <v>12451.340343707852</v>
      </c>
      <c r="F461" s="26">
        <v>458</v>
      </c>
      <c r="G461" s="27">
        <f>Tableau!$G$26*COS(F461*PI()/180)+Tableau!$G$25</f>
        <v>-20487.105853360226</v>
      </c>
      <c r="H461" s="27">
        <f>Tableau!$G$26*SIN(F461*PI()/180)+Tableau!$H$25</f>
        <v>13465.938240595497</v>
      </c>
      <c r="J461" s="34">
        <v>458</v>
      </c>
      <c r="K461" s="35">
        <f>Tableau!$G$36*COS(J461*PI()/180)+Tableau!$G$35</f>
        <v>-5695.865504800322</v>
      </c>
      <c r="L461" s="35">
        <f>Tableau!$G$36*SIN(J461*PI()/180)+Tableau!$H$35</f>
        <v>-10048.659656292148</v>
      </c>
      <c r="N461" s="98">
        <v>457</v>
      </c>
      <c r="O461" s="99">
        <v>228.5</v>
      </c>
      <c r="P461" s="101">
        <f>P460+R460*Tableau!$G$2+((1/2)*T460)*Tableau!$G$2^2</f>
        <v>-15412675.914999697</v>
      </c>
      <c r="Q461" s="101">
        <f>Q460+S460*Tableau!$G$2+((1/2)*U460)*Tableau!$G$2^2</f>
        <v>7560788.7814359423</v>
      </c>
      <c r="R461" s="101">
        <f>R460+T460*Tableau!$G$2</f>
        <v>-68698.287224448228</v>
      </c>
      <c r="S461" s="101">
        <f>S460+U460*Tableau!$G$2</f>
        <v>33800.769391335925</v>
      </c>
      <c r="T461" s="101">
        <f t="shared" si="14"/>
        <v>3.7354791963265877E-3</v>
      </c>
      <c r="U461" s="101">
        <f t="shared" si="15"/>
        <v>-1.8324755445128091E-3</v>
      </c>
      <c r="V461" s="101">
        <f>((Tableau!$G$16-P461)/(AC461^2+Tableau!$G$21^2)^(3/2))*Tableau!$G$20</f>
        <v>1.5930226500829225E-3</v>
      </c>
      <c r="W461" s="101">
        <f>((Tableau!$H$16-Q461)/(AC461^2+Tableau!$G$21^2)^(3/2))*Tableau!$G$20</f>
        <v>-7.7968073571412964E-4</v>
      </c>
      <c r="X461" s="101">
        <f>((Tableau!$G$25-P461)/(AD461^2+Tableau!$G$30^2)^(3/2))*Tableau!$G$29</f>
        <v>5.4852843599848509E-4</v>
      </c>
      <c r="Y461" s="101">
        <f>((Tableau!$H$25-Q461)/(AD461^2+Tableau!$G$30^2)^(3/2))*Tableau!$G$29</f>
        <v>-2.6907747448901232E-4</v>
      </c>
      <c r="Z461" s="101">
        <f>((Tableau!$G$35-P461)/(AE461^2+Tableau!$G$40^2)^(3/2))*Tableau!$G$39</f>
        <v>1.5939281102451801E-3</v>
      </c>
      <c r="AA461" s="102">
        <f>((Tableau!$H$35-Q461)/(AE461^2+Tableau!$G$40^2)^(3/2))*Tableau!$G$39</f>
        <v>-7.8371733430966726E-4</v>
      </c>
      <c r="AC461" s="113">
        <f>SQRT((Tableau!$G$16-P461)^2+(Tableau!$H$16-Q461)^2)</f>
        <v>17181957.319036089</v>
      </c>
      <c r="AD461" s="114">
        <f>SQRT((Tableau!$G$25-P461)^2+(Tableau!$H$25-Q461)^2)</f>
        <v>17144937.534038164</v>
      </c>
      <c r="AE461" s="115">
        <f>SQRT((Tableau!$G$35-P461)^2+(Tableau!$H$35-Q461)^2)</f>
        <v>17169422.027622025</v>
      </c>
    </row>
    <row r="462" spans="2:31" x14ac:dyDescent="0.25">
      <c r="B462" s="20">
        <v>459</v>
      </c>
      <c r="C462" s="21">
        <f>Tableau!$G$17*COS(B462*PI()/180)+Tableau!$G$16</f>
        <v>19217.827674798853</v>
      </c>
      <c r="D462" s="21">
        <f>Tableau!$G$17*SIN(B462*PI()/180)+Tableau!$H$16</f>
        <v>12438.44170297569</v>
      </c>
      <c r="F462" s="28">
        <v>459</v>
      </c>
      <c r="G462" s="29">
        <f>Tableau!$G$26*COS(F462*PI()/180)+Tableau!$G$25</f>
        <v>-20547.520627640803</v>
      </c>
      <c r="H462" s="29">
        <f>Tableau!$G$26*SIN(F462*PI()/180)+Tableau!$H$25</f>
        <v>13456.909192082981</v>
      </c>
      <c r="J462" s="36">
        <v>459</v>
      </c>
      <c r="K462" s="37">
        <f>Tableau!$G$36*COS(J462*PI()/180)+Tableau!$G$35</f>
        <v>-5782.1723252011489</v>
      </c>
      <c r="L462" s="37">
        <f>Tableau!$G$36*SIN(J462*PI()/180)+Tableau!$H$35</f>
        <v>-10061.55829702431</v>
      </c>
      <c r="N462" s="92">
        <v>458</v>
      </c>
      <c r="O462" s="93">
        <v>229</v>
      </c>
      <c r="P462" s="96">
        <f>P461+R461*Tableau!$G$2+((1/2)*T461)*Tableau!$G$2^2</f>
        <v>-15447025.058144987</v>
      </c>
      <c r="Q462" s="96">
        <f>Q461+S461*Tableau!$G$2+((1/2)*U461)*Tableau!$G$2^2</f>
        <v>7577689.1659025503</v>
      </c>
      <c r="R462" s="96">
        <f>R461+T461*Tableau!$G$2</f>
        <v>-68698.285356708628</v>
      </c>
      <c r="S462" s="96">
        <f>S461+U461*Tableau!$G$2</f>
        <v>33800.76847509815</v>
      </c>
      <c r="T462" s="96">
        <f t="shared" si="14"/>
        <v>3.7188741108462207E-3</v>
      </c>
      <c r="U462" s="96">
        <f t="shared" si="15"/>
        <v>-1.8243418040786311E-3</v>
      </c>
      <c r="V462" s="96">
        <f>((Tableau!$G$16-P462)/(AC462^2+Tableau!$G$21^2)^(3/2))*Tableau!$G$20</f>
        <v>1.5859441669454919E-3</v>
      </c>
      <c r="W462" s="96">
        <f>((Tableau!$H$16-Q462)/(AC462^2+Tableau!$G$21^2)^(3/2))*Tableau!$G$20</f>
        <v>-7.7622537658040202E-4</v>
      </c>
      <c r="X462" s="96">
        <f>((Tableau!$G$25-P462)/(AD462^2+Tableau!$G$30^2)^(3/2))*Tableau!$G$29</f>
        <v>5.4608637118248318E-4</v>
      </c>
      <c r="Y462" s="96">
        <f>((Tableau!$H$25-Q462)/(AD462^2+Tableau!$G$30^2)^(3/2))*Tableau!$G$29</f>
        <v>-2.6788132509468032E-4</v>
      </c>
      <c r="Z462" s="96">
        <f>((Tableau!$G$35-P462)/(AE462^2+Tableau!$G$40^2)^(3/2))*Tableau!$G$39</f>
        <v>1.5868435727182455E-3</v>
      </c>
      <c r="AA462" s="97">
        <f>((Tableau!$H$35-Q462)/(AE462^2+Tableau!$G$40^2)^(3/2))*Tableau!$G$39</f>
        <v>-7.8023510240354875E-4</v>
      </c>
      <c r="AC462" s="110">
        <f>SQRT((Tableau!$G$16-P462)^2+(Tableau!$H$16-Q462)^2)</f>
        <v>17220238.911142707</v>
      </c>
      <c r="AD462" s="111">
        <f>SQRT((Tableau!$G$25-P462)^2+(Tableau!$H$25-Q462)^2)</f>
        <v>17183219.181991253</v>
      </c>
      <c r="AE462" s="112">
        <f>SQRT((Tableau!$G$35-P462)^2+(Tableau!$H$35-Q462)^2)</f>
        <v>17207703.701144777</v>
      </c>
    </row>
    <row r="463" spans="2:31" x14ac:dyDescent="0.25">
      <c r="B463" s="18">
        <v>460</v>
      </c>
      <c r="C463" s="19">
        <f>Tableau!$G$17*COS(B463*PI()/180)+Tableau!$G$16</f>
        <v>19131.759111665349</v>
      </c>
      <c r="D463" s="19">
        <f>Tableau!$G$17*SIN(B463*PI()/180)+Tableau!$H$16</f>
        <v>12424.038765061041</v>
      </c>
      <c r="F463" s="26">
        <v>460</v>
      </c>
      <c r="G463" s="27">
        <f>Tableau!$G$26*COS(F463*PI()/180)+Tableau!$G$25</f>
        <v>-20607.768621834253</v>
      </c>
      <c r="H463" s="27">
        <f>Tableau!$G$26*SIN(F463*PI()/180)+Tableau!$H$25</f>
        <v>13446.827135542728</v>
      </c>
      <c r="J463" s="34">
        <v>460</v>
      </c>
      <c r="K463" s="35">
        <f>Tableau!$G$36*COS(J463*PI()/180)+Tableau!$G$35</f>
        <v>-5868.2408883346488</v>
      </c>
      <c r="L463" s="35">
        <f>Tableau!$G$36*SIN(J463*PI()/180)+Tableau!$H$35</f>
        <v>-10075.961234938959</v>
      </c>
      <c r="N463" s="98">
        <v>459</v>
      </c>
      <c r="O463" s="99">
        <v>229.5</v>
      </c>
      <c r="P463" s="101">
        <f>P462+R462*Tableau!$G$2+((1/2)*T462)*Tableau!$G$2^2</f>
        <v>-15481374.200358482</v>
      </c>
      <c r="Q463" s="101">
        <f>Q462+S462*Tableau!$G$2+((1/2)*U462)*Tableau!$G$2^2</f>
        <v>7594589.5499120569</v>
      </c>
      <c r="R463" s="101">
        <f>R462+T462*Tableau!$G$2</f>
        <v>-68698.283497271579</v>
      </c>
      <c r="S463" s="101">
        <f>S462+U462*Tableau!$G$2</f>
        <v>33800.767562927249</v>
      </c>
      <c r="T463" s="101">
        <f t="shared" si="14"/>
        <v>3.7023795004199889E-3</v>
      </c>
      <c r="U463" s="101">
        <f t="shared" si="15"/>
        <v>-1.8162620982390843E-3</v>
      </c>
      <c r="V463" s="101">
        <f>((Tableau!$G$16-P463)/(AC463^2+Tableau!$G$21^2)^(3/2))*Tableau!$G$20</f>
        <v>1.5789127583862486E-3</v>
      </c>
      <c r="W463" s="101">
        <f>((Tableau!$H$16-Q463)/(AC463^2+Tableau!$G$21^2)^(3/2))*Tableau!$G$20</f>
        <v>-7.7279293658352516E-4</v>
      </c>
      <c r="X463" s="101">
        <f>((Tableau!$G$25-P463)/(AD463^2+Tableau!$G$30^2)^(3/2))*Tableau!$G$29</f>
        <v>5.4366057840807887E-4</v>
      </c>
      <c r="Y463" s="101">
        <f>((Tableau!$H$25-Q463)/(AD463^2+Tableau!$G$30^2)^(3/2))*Tableau!$G$29</f>
        <v>-2.6669313401634471E-4</v>
      </c>
      <c r="Z463" s="101">
        <f>((Tableau!$G$35-P463)/(AE463^2+Tableau!$G$40^2)^(3/2))*Tableau!$G$39</f>
        <v>1.579806163625661E-3</v>
      </c>
      <c r="AA463" s="102">
        <f>((Tableau!$H$35-Q463)/(AE463^2+Tableau!$G$40^2)^(3/2))*Tableau!$G$39</f>
        <v>-7.7677602763921445E-4</v>
      </c>
      <c r="AC463" s="113">
        <f>SQRT((Tableau!$G$16-P463)^2+(Tableau!$H$16-Q463)^2)</f>
        <v>17258520.502578553</v>
      </c>
      <c r="AD463" s="114">
        <f>SQRT((Tableau!$G$25-P463)^2+(Tableau!$H$25-Q463)^2)</f>
        <v>17221500.829026084</v>
      </c>
      <c r="AE463" s="115">
        <f>SQRT((Tableau!$G$35-P463)^2+(Tableau!$H$35-Q463)^2)</f>
        <v>17245985.373635583</v>
      </c>
    </row>
    <row r="464" spans="2:31" x14ac:dyDescent="0.25">
      <c r="B464" s="20">
        <v>461</v>
      </c>
      <c r="C464" s="21">
        <f>Tableau!$G$17*COS(B464*PI()/180)+Tableau!$G$16</f>
        <v>19045.955023117276</v>
      </c>
      <c r="D464" s="21">
        <f>Tableau!$G$17*SIN(B464*PI()/180)+Tableau!$H$16</f>
        <v>12408.13591723832</v>
      </c>
      <c r="F464" s="28">
        <v>461</v>
      </c>
      <c r="G464" s="29">
        <f>Tableau!$G$26*COS(F464*PI()/180)+Tableau!$G$25</f>
        <v>-20667.831483817907</v>
      </c>
      <c r="H464" s="29">
        <f>Tableau!$G$26*SIN(F464*PI()/180)+Tableau!$H$25</f>
        <v>13435.695142066823</v>
      </c>
      <c r="J464" s="36">
        <v>461</v>
      </c>
      <c r="K464" s="37">
        <f>Tableau!$G$36*COS(J464*PI()/180)+Tableau!$G$35</f>
        <v>-5954.0449768827248</v>
      </c>
      <c r="L464" s="37">
        <f>Tableau!$G$36*SIN(J464*PI()/180)+Tableau!$H$35</f>
        <v>-10091.86408276168</v>
      </c>
      <c r="N464" s="92">
        <v>460</v>
      </c>
      <c r="O464" s="93">
        <v>230</v>
      </c>
      <c r="P464" s="96">
        <f>P463+R463*Tableau!$G$2+((1/2)*T463)*Tableau!$G$2^2</f>
        <v>-15515723.341644321</v>
      </c>
      <c r="Q464" s="96">
        <f>Q463+S463*Tableau!$G$2+((1/2)*U463)*Tableau!$G$2^2</f>
        <v>7611489.9334664876</v>
      </c>
      <c r="R464" s="96">
        <f>R463+T463*Tableau!$G$2</f>
        <v>-68698.281646081829</v>
      </c>
      <c r="S464" s="96">
        <f>S463+U463*Tableau!$G$2</f>
        <v>33800.7666547962</v>
      </c>
      <c r="T464" s="96">
        <f t="shared" si="14"/>
        <v>3.6859943872146277E-3</v>
      </c>
      <c r="U464" s="96">
        <f t="shared" si="15"/>
        <v>-1.8082359494295864E-3</v>
      </c>
      <c r="V464" s="96">
        <f>((Tableau!$G$16-P464)/(AC464^2+Tableau!$G$21^2)^(3/2))*Tableau!$G$20</f>
        <v>1.5719280079101933E-3</v>
      </c>
      <c r="W464" s="96">
        <f>((Tableau!$H$16-Q464)/(AC464^2+Tableau!$G$21^2)^(3/2))*Tableau!$G$20</f>
        <v>-7.6938321347694814E-4</v>
      </c>
      <c r="X464" s="96">
        <f>((Tableau!$G$25-P464)/(AD464^2+Tableau!$G$30^2)^(3/2))*Tableau!$G$29</f>
        <v>5.412509134295635E-4</v>
      </c>
      <c r="Y464" s="96">
        <f>((Tableau!$H$25-Q464)/(AD464^2+Tableau!$G$30^2)^(3/2))*Tableau!$G$29</f>
        <v>-2.6551283081166445E-4</v>
      </c>
      <c r="Z464" s="96">
        <f>((Tableau!$G$35-P464)/(AE464^2+Tableau!$G$40^2)^(3/2))*Tableau!$G$39</f>
        <v>1.5728154658748708E-3</v>
      </c>
      <c r="AA464" s="97">
        <f>((Tableau!$H$35-Q464)/(AE464^2+Tableau!$G$40^2)^(3/2))*Tableau!$G$39</f>
        <v>-7.7333990514097373E-4</v>
      </c>
      <c r="AC464" s="110">
        <f>SQRT((Tableau!$G$16-P464)^2+(Tableau!$H$16-Q464)^2)</f>
        <v>17296802.093345806</v>
      </c>
      <c r="AD464" s="111">
        <f>SQRT((Tableau!$G$25-P464)^2+(Tableau!$H$25-Q464)^2)</f>
        <v>17259782.475146465</v>
      </c>
      <c r="AE464" s="112">
        <f>SQRT((Tableau!$G$35-P464)^2+(Tableau!$H$35-Q464)^2)</f>
        <v>17284267.045099009</v>
      </c>
    </row>
    <row r="465" spans="2:31" x14ac:dyDescent="0.25">
      <c r="B465" s="18">
        <v>462</v>
      </c>
      <c r="C465" s="19">
        <f>Tableau!$G$17*COS(B465*PI()/180)+Tableau!$G$16</f>
        <v>18960.441545911199</v>
      </c>
      <c r="D465" s="19">
        <f>Tableau!$G$17*SIN(B465*PI()/180)+Tableau!$H$16</f>
        <v>12390.738003669027</v>
      </c>
      <c r="F465" s="26">
        <v>462</v>
      </c>
      <c r="G465" s="27">
        <f>Tableau!$G$26*COS(F465*PI()/180)+Tableau!$G$25</f>
        <v>-20727.690917862161</v>
      </c>
      <c r="H465" s="27">
        <f>Tableau!$G$26*SIN(F465*PI()/180)+Tableau!$H$25</f>
        <v>13423.516602568319</v>
      </c>
      <c r="J465" s="34">
        <v>462</v>
      </c>
      <c r="K465" s="35">
        <f>Tableau!$G$36*COS(J465*PI()/180)+Tableau!$G$35</f>
        <v>-6039.5584540888012</v>
      </c>
      <c r="L465" s="35">
        <f>Tableau!$G$36*SIN(J465*PI()/180)+Tableau!$H$35</f>
        <v>-10109.261996330973</v>
      </c>
      <c r="N465" s="98">
        <v>461</v>
      </c>
      <c r="O465" s="99">
        <v>230.5</v>
      </c>
      <c r="P465" s="101">
        <f>P464+R464*Tableau!$G$2+((1/2)*T464)*Tableau!$G$2^2</f>
        <v>-15550072.482006611</v>
      </c>
      <c r="Q465" s="101">
        <f>Q464+S464*Tableau!$G$2+((1/2)*U464)*Tableau!$G$2^2</f>
        <v>7628390.3165678568</v>
      </c>
      <c r="R465" s="101">
        <f>R464+T464*Tableau!$G$2</f>
        <v>-68698.279803084632</v>
      </c>
      <c r="S465" s="101">
        <f>S464+U464*Tableau!$G$2</f>
        <v>33800.765750678227</v>
      </c>
      <c r="T465" s="101">
        <f t="shared" si="14"/>
        <v>3.6697178041916936E-3</v>
      </c>
      <c r="U465" s="101">
        <f t="shared" si="15"/>
        <v>-1.8002628853498884E-3</v>
      </c>
      <c r="V465" s="101">
        <f>((Tableau!$G$16-P465)/(AC465^2+Tableau!$G$21^2)^(3/2))*Tableau!$G$20</f>
        <v>1.5649895036183165E-3</v>
      </c>
      <c r="W465" s="101">
        <f>((Tableau!$H$16-Q465)/(AC465^2+Tableau!$G$21^2)^(3/2))*Tableau!$G$20</f>
        <v>-7.6599600724004517E-4</v>
      </c>
      <c r="X465" s="101">
        <f>((Tableau!$G$25-P465)/(AD465^2+Tableau!$G$30^2)^(3/2))*Tableau!$G$29</f>
        <v>5.3885723359604985E-4</v>
      </c>
      <c r="Y465" s="101">
        <f>((Tableau!$H$25-Q465)/(AD465^2+Tableau!$G$30^2)^(3/2))*Tableau!$G$29</f>
        <v>-2.6434034581596886E-4</v>
      </c>
      <c r="Z465" s="101">
        <f>((Tableau!$G$35-P465)/(AE465^2+Tableau!$G$40^2)^(3/2))*Tableau!$G$39</f>
        <v>1.5658710669773275E-3</v>
      </c>
      <c r="AA465" s="102">
        <f>((Tableau!$H$35-Q465)/(AE465^2+Tableau!$G$40^2)^(3/2))*Tableau!$G$39</f>
        <v>-7.6992653229387444E-4</v>
      </c>
      <c r="AC465" s="113">
        <f>SQRT((Tableau!$G$16-P465)^2+(Tableau!$H$16-Q465)^2)</f>
        <v>17335083.68344662</v>
      </c>
      <c r="AD465" s="114">
        <f>SQRT((Tableau!$G$25-P465)^2+(Tableau!$H$25-Q465)^2)</f>
        <v>17298064.12035618</v>
      </c>
      <c r="AE465" s="115">
        <f>SQRT((Tableau!$G$35-P465)^2+(Tableau!$H$35-Q465)^2)</f>
        <v>17322548.715539597</v>
      </c>
    </row>
    <row r="466" spans="2:31" x14ac:dyDescent="0.25">
      <c r="B466" s="20">
        <v>463</v>
      </c>
      <c r="C466" s="21">
        <f>Tableau!$G$17*COS(B466*PI()/180)+Tableau!$G$16</f>
        <v>18875.244728280675</v>
      </c>
      <c r="D466" s="21">
        <f>Tableau!$G$17*SIN(B466*PI()/180)+Tableau!$H$16</f>
        <v>12371.850323926177</v>
      </c>
      <c r="F466" s="28">
        <v>463</v>
      </c>
      <c r="G466" s="29">
        <f>Tableau!$G$26*COS(F466*PI()/180)+Tableau!$G$25</f>
        <v>-20787.328690203525</v>
      </c>
      <c r="H466" s="29">
        <f>Tableau!$G$26*SIN(F466*PI()/180)+Tableau!$H$25</f>
        <v>13410.295226748323</v>
      </c>
      <c r="J466" s="36">
        <v>463</v>
      </c>
      <c r="K466" s="37">
        <f>Tableau!$G$36*COS(J466*PI()/180)+Tableau!$G$35</f>
        <v>-6124.7552717193239</v>
      </c>
      <c r="L466" s="37">
        <f>Tableau!$G$36*SIN(J466*PI()/180)+Tableau!$H$35</f>
        <v>-10128.149676073823</v>
      </c>
      <c r="N466" s="92">
        <v>462</v>
      </c>
      <c r="O466" s="93">
        <v>231</v>
      </c>
      <c r="P466" s="96">
        <f>P465+R465*Tableau!$G$2+((1/2)*T465)*Tableau!$G$2^2</f>
        <v>-15584421.621449439</v>
      </c>
      <c r="Q466" s="96">
        <f>Q465+S465*Tableau!$G$2+((1/2)*U465)*Tableau!$G$2^2</f>
        <v>7645290.6992181633</v>
      </c>
      <c r="R466" s="96">
        <f>R465+T465*Tableau!$G$2</f>
        <v>-68698.277968225724</v>
      </c>
      <c r="S466" s="96">
        <f>S465+U465*Tableau!$G$2</f>
        <v>33800.764850546788</v>
      </c>
      <c r="T466" s="96">
        <f t="shared" si="14"/>
        <v>3.6535487949648808E-3</v>
      </c>
      <c r="U466" s="96">
        <f t="shared" si="15"/>
        <v>-1.7923424388945966E-3</v>
      </c>
      <c r="V466" s="96">
        <f>((Tableau!$G$16-P466)/(AC466^2+Tableau!$G$21^2)^(3/2))*Tableau!$G$20</f>
        <v>1.5580968381469049E-3</v>
      </c>
      <c r="W466" s="96">
        <f>((Tableau!$H$16-Q466)/(AC466^2+Tableau!$G$21^2)^(3/2))*Tableau!$G$20</f>
        <v>-7.6263112004879745E-4</v>
      </c>
      <c r="X466" s="96">
        <f>((Tableau!$G$25-P466)/(AD466^2+Tableau!$G$30^2)^(3/2))*Tableau!$G$29</f>
        <v>5.3647939783037473E-4</v>
      </c>
      <c r="Y466" s="96">
        <f>((Tableau!$H$25-Q466)/(AD466^2+Tableau!$G$30^2)^(3/2))*Tableau!$G$29</f>
        <v>-2.6317561013198539E-4</v>
      </c>
      <c r="Z466" s="96">
        <f>((Tableau!$G$35-P466)/(AE466^2+Tableau!$G$40^2)^(3/2))*Tableau!$G$39</f>
        <v>1.5589725589876008E-3</v>
      </c>
      <c r="AA466" s="97">
        <f>((Tableau!$H$35-Q466)/(AE466^2+Tableau!$G$40^2)^(3/2))*Tableau!$G$39</f>
        <v>-7.665357087138137E-4</v>
      </c>
      <c r="AC466" s="110">
        <f>SQRT((Tableau!$G$16-P466)^2+(Tableau!$H$16-Q466)^2)</f>
        <v>17373365.272883151</v>
      </c>
      <c r="AD466" s="111">
        <f>SQRT((Tableau!$G$25-P466)^2+(Tableau!$H$25-Q466)^2)</f>
        <v>17336345.764659002</v>
      </c>
      <c r="AE466" s="112">
        <f>SQRT((Tableau!$G$35-P466)^2+(Tableau!$H$35-Q466)^2)</f>
        <v>17360830.384961847</v>
      </c>
    </row>
    <row r="467" spans="2:31" x14ac:dyDescent="0.25">
      <c r="B467" s="18">
        <v>464</v>
      </c>
      <c r="C467" s="19">
        <f>Tableau!$G$17*COS(B467*PI()/180)+Tableau!$G$16</f>
        <v>18790.39052200166</v>
      </c>
      <c r="D467" s="19">
        <f>Tableau!$G$17*SIN(B467*PI()/180)+Tableau!$H$16</f>
        <v>12351.478631379981</v>
      </c>
      <c r="F467" s="26">
        <v>464</v>
      </c>
      <c r="G467" s="27">
        <f>Tableau!$G$26*COS(F467*PI()/180)+Tableau!$G$25</f>
        <v>-20846.726634598839</v>
      </c>
      <c r="H467" s="27">
        <f>Tableau!$G$26*SIN(F467*PI()/180)+Tableau!$H$25</f>
        <v>13396.035041965988</v>
      </c>
      <c r="J467" s="34">
        <v>464</v>
      </c>
      <c r="K467" s="35">
        <f>Tableau!$G$36*COS(J467*PI()/180)+Tableau!$G$35</f>
        <v>-6209.6094779983414</v>
      </c>
      <c r="L467" s="35">
        <f>Tableau!$G$36*SIN(J467*PI()/180)+Tableau!$H$35</f>
        <v>-10148.521368620019</v>
      </c>
      <c r="N467" s="98">
        <v>463</v>
      </c>
      <c r="O467" s="99">
        <v>231.5</v>
      </c>
      <c r="P467" s="101">
        <f>P466+R466*Tableau!$G$2+((1/2)*T466)*Tableau!$G$2^2</f>
        <v>-15618770.759976856</v>
      </c>
      <c r="Q467" s="101">
        <f>Q466+S466*Tableau!$G$2+((1/2)*U466)*Tableau!$G$2^2</f>
        <v>7662191.0814193944</v>
      </c>
      <c r="R467" s="101">
        <f>R466+T466*Tableau!$G$2</f>
        <v>-68698.276141451322</v>
      </c>
      <c r="S467" s="101">
        <f>S466+U466*Tableau!$G$2</f>
        <v>33800.763954375565</v>
      </c>
      <c r="T467" s="101">
        <f t="shared" si="14"/>
        <v>3.6374864136595251E-3</v>
      </c>
      <c r="U467" s="101">
        <f t="shared" si="15"/>
        <v>-1.7844741480847555E-3</v>
      </c>
      <c r="V467" s="101">
        <f>((Tableau!$G$16-P467)/(AC467^2+Tableau!$G$21^2)^(3/2))*Tableau!$G$20</f>
        <v>1.5512496086078074E-3</v>
      </c>
      <c r="W467" s="101">
        <f>((Tableau!$H$16-Q467)/(AC467^2+Tableau!$G$21^2)^(3/2))*Tableau!$G$20</f>
        <v>-7.5928835624693831E-4</v>
      </c>
      <c r="X467" s="101">
        <f>((Tableau!$G$25-P467)/(AD467^2+Tableau!$G$30^2)^(3/2))*Tableau!$G$29</f>
        <v>5.3411726660827709E-4</v>
      </c>
      <c r="Y467" s="101">
        <f>((Tableau!$H$25-Q467)/(AD467^2+Tableau!$G$30^2)^(3/2))*Tableau!$G$29</f>
        <v>-2.6201855561970111E-4</v>
      </c>
      <c r="Z467" s="101">
        <f>((Tableau!$G$35-P467)/(AE467^2+Tableau!$G$40^2)^(3/2))*Tableau!$G$39</f>
        <v>1.5521195384434407E-3</v>
      </c>
      <c r="AA467" s="102">
        <f>((Tableau!$H$35-Q467)/(AE467^2+Tableau!$G$40^2)^(3/2))*Tableau!$G$39</f>
        <v>-7.6316723621811596E-4</v>
      </c>
      <c r="AC467" s="113">
        <f>SQRT((Tableau!$G$16-P467)^2+(Tableau!$H$16-Q467)^2)</f>
        <v>17411646.861657534</v>
      </c>
      <c r="AD467" s="114">
        <f>SQRT((Tableau!$G$25-P467)^2+(Tableau!$H$25-Q467)^2)</f>
        <v>17374627.408058669</v>
      </c>
      <c r="AE467" s="115">
        <f>SQRT((Tableau!$G$35-P467)^2+(Tableau!$H$35-Q467)^2)</f>
        <v>17399112.053370245</v>
      </c>
    </row>
    <row r="468" spans="2:31" x14ac:dyDescent="0.25">
      <c r="B468" s="20">
        <v>465</v>
      </c>
      <c r="C468" s="21">
        <f>Tableau!$G$17*COS(B468*PI()/180)+Tableau!$G$16</f>
        <v>18705.904774487401</v>
      </c>
      <c r="D468" s="21">
        <f>Tableau!$G$17*SIN(B468*PI()/180)+Tableau!$H$16</f>
        <v>12329.629131445341</v>
      </c>
      <c r="F468" s="28">
        <v>465</v>
      </c>
      <c r="G468" s="29">
        <f>Tableau!$G$26*COS(F468*PI()/180)+Tableau!$G$25</f>
        <v>-20905.86665785882</v>
      </c>
      <c r="H468" s="29">
        <f>Tableau!$G$26*SIN(F468*PI()/180)+Tableau!$H$25</f>
        <v>13380.740392011739</v>
      </c>
      <c r="J468" s="36">
        <v>465</v>
      </c>
      <c r="K468" s="37">
        <f>Tableau!$G$36*COS(J468*PI()/180)+Tableau!$G$35</f>
        <v>-6294.0952255126012</v>
      </c>
      <c r="L468" s="37">
        <f>Tableau!$G$36*SIN(J468*PI()/180)+Tableau!$H$35</f>
        <v>-10170.370868554659</v>
      </c>
      <c r="N468" s="92">
        <v>464</v>
      </c>
      <c r="O468" s="93">
        <v>232</v>
      </c>
      <c r="P468" s="96">
        <f>P467+R467*Tableau!$G$2+((1/2)*T467)*Tableau!$G$2^2</f>
        <v>-15653119.897592895</v>
      </c>
      <c r="Q468" s="96">
        <f>Q467+S467*Tableau!$G$2+((1/2)*U467)*Tableau!$G$2^2</f>
        <v>7679091.4631735226</v>
      </c>
      <c r="R468" s="96">
        <f>R467+T467*Tableau!$G$2</f>
        <v>-68698.274322708123</v>
      </c>
      <c r="S468" s="96">
        <f>S467+U467*Tableau!$G$2</f>
        <v>33800.763062138489</v>
      </c>
      <c r="T468" s="96">
        <f t="shared" si="14"/>
        <v>3.6215297247743326E-3</v>
      </c>
      <c r="U468" s="96">
        <f t="shared" si="15"/>
        <v>-1.77665755600051E-3</v>
      </c>
      <c r="V468" s="96">
        <f>((Tableau!$G$16-P468)/(AC468^2+Tableau!$G$21^2)^(3/2))*Tableau!$G$20</f>
        <v>1.5444474165294964E-3</v>
      </c>
      <c r="W468" s="96">
        <f>((Tableau!$H$16-Q468)/(AC468^2+Tableau!$G$21^2)^(3/2))*Tableau!$G$20</f>
        <v>-7.5596752231747938E-4</v>
      </c>
      <c r="X468" s="96">
        <f>((Tableau!$G$25-P468)/(AD468^2+Tableau!$G$30^2)^(3/2))*Tableau!$G$29</f>
        <v>5.3177070193797973E-4</v>
      </c>
      <c r="Y468" s="96">
        <f>((Tableau!$H$25-Q468)/(AD468^2+Tableau!$G$30^2)^(3/2))*Tableau!$G$29</f>
        <v>-2.608691148864208E-4</v>
      </c>
      <c r="Z468" s="96">
        <f>((Tableau!$G$35-P468)/(AE468^2+Tableau!$G$40^2)^(3/2))*Tableau!$G$39</f>
        <v>1.5453116063068562E-3</v>
      </c>
      <c r="AA468" s="97">
        <f>((Tableau!$H$35-Q468)/(AE468^2+Tableau!$G$40^2)^(3/2))*Tableau!$G$39</f>
        <v>-7.5982091879660989E-4</v>
      </c>
      <c r="AC468" s="110">
        <f>SQRT((Tableau!$G$16-P468)^2+(Tableau!$H$16-Q468)^2)</f>
        <v>17449928.449771911</v>
      </c>
      <c r="AD468" s="111">
        <f>SQRT((Tableau!$G$25-P468)^2+(Tableau!$H$25-Q468)^2)</f>
        <v>17412909.050558895</v>
      </c>
      <c r="AE468" s="112">
        <f>SQRT((Tableau!$G$35-P468)^2+(Tableau!$H$35-Q468)^2)</f>
        <v>17437393.720769234</v>
      </c>
    </row>
    <row r="469" spans="2:31" x14ac:dyDescent="0.25">
      <c r="B469" s="18">
        <v>466</v>
      </c>
      <c r="C469" s="19">
        <f>Tableau!$G$17*COS(B469*PI()/180)+Tableau!$G$16</f>
        <v>18621.813220915003</v>
      </c>
      <c r="D469" s="19">
        <f>Tableau!$G$17*SIN(B469*PI()/180)+Tableau!$H$16</f>
        <v>12306.308479691594</v>
      </c>
      <c r="F469" s="26">
        <v>466</v>
      </c>
      <c r="G469" s="27">
        <f>Tableau!$G$26*COS(F469*PI()/180)+Tableau!$G$25</f>
        <v>-20964.730745359499</v>
      </c>
      <c r="H469" s="27">
        <f>Tableau!$G$26*SIN(F469*PI()/180)+Tableau!$H$25</f>
        <v>13364.415935784116</v>
      </c>
      <c r="J469" s="34">
        <v>466</v>
      </c>
      <c r="K469" s="35">
        <f>Tableau!$G$36*COS(J469*PI()/180)+Tableau!$G$35</f>
        <v>-6378.1867790849965</v>
      </c>
      <c r="L469" s="35">
        <f>Tableau!$G$36*SIN(J469*PI()/180)+Tableau!$H$35</f>
        <v>-10193.691520308406</v>
      </c>
      <c r="N469" s="98">
        <v>465</v>
      </c>
      <c r="O469" s="99">
        <v>232.5</v>
      </c>
      <c r="P469" s="101">
        <f>P468+R468*Tableau!$G$2+((1/2)*T468)*Tableau!$G$2^2</f>
        <v>-15687469.034301557</v>
      </c>
      <c r="Q469" s="101">
        <f>Q468+S468*Tableau!$G$2+((1/2)*U468)*Tableau!$G$2^2</f>
        <v>7695991.8444825094</v>
      </c>
      <c r="R469" s="101">
        <f>R468+T468*Tableau!$G$2</f>
        <v>-68698.272511943258</v>
      </c>
      <c r="S469" s="101">
        <f>S468+U468*Tableau!$G$2</f>
        <v>33800.762173809708</v>
      </c>
      <c r="T469" s="101">
        <f t="shared" si="14"/>
        <v>3.6056778030449993E-3</v>
      </c>
      <c r="U469" s="101">
        <f t="shared" si="15"/>
        <v>-1.7688922107146937E-3</v>
      </c>
      <c r="V469" s="101">
        <f>((Tableau!$G$16-P469)/(AC469^2+Tableau!$G$21^2)^(3/2))*Tableau!$G$20</f>
        <v>1.5376898677990775E-3</v>
      </c>
      <c r="W469" s="101">
        <f>((Tableau!$H$16-Q469)/(AC469^2+Tableau!$G$21^2)^(3/2))*Tableau!$G$20</f>
        <v>-7.5266842685469532E-4</v>
      </c>
      <c r="X469" s="101">
        <f>((Tableau!$G$25-P469)/(AD469^2+Tableau!$G$30^2)^(3/2))*Tableau!$G$29</f>
        <v>5.2943956733998243E-4</v>
      </c>
      <c r="Y469" s="101">
        <f>((Tableau!$H$25-Q469)/(AD469^2+Tableau!$G$30^2)^(3/2))*Tableau!$G$29</f>
        <v>-2.5972722127692773E-4</v>
      </c>
      <c r="Z469" s="101">
        <f>((Tableau!$G$35-P469)/(AE469^2+Tableau!$G$40^2)^(3/2))*Tableau!$G$39</f>
        <v>1.5385483679059395E-3</v>
      </c>
      <c r="AA469" s="102">
        <f>((Tableau!$H$35-Q469)/(AE469^2+Tableau!$G$40^2)^(3/2))*Tableau!$G$39</f>
        <v>-7.5649656258307068E-4</v>
      </c>
      <c r="AC469" s="113">
        <f>SQRT((Tableau!$G$16-P469)^2+(Tableau!$H$16-Q469)^2)</f>
        <v>17488210.037228405</v>
      </c>
      <c r="AD469" s="114">
        <f>SQRT((Tableau!$G$25-P469)^2+(Tableau!$H$25-Q469)^2)</f>
        <v>17451190.692163382</v>
      </c>
      <c r="AE469" s="115">
        <f>SQRT((Tableau!$G$35-P469)^2+(Tableau!$H$35-Q469)^2)</f>
        <v>17475675.387163237</v>
      </c>
    </row>
    <row r="470" spans="2:31" x14ac:dyDescent="0.25">
      <c r="B470" s="20">
        <v>467</v>
      </c>
      <c r="C470" s="21">
        <f>Tableau!$G$17*COS(B470*PI()/180)+Tableau!$G$16</f>
        <v>18538.141476386321</v>
      </c>
      <c r="D470" s="21">
        <f>Tableau!$G$17*SIN(B470*PI()/180)+Tableau!$H$16</f>
        <v>12281.523779815179</v>
      </c>
      <c r="F470" s="28">
        <v>467</v>
      </c>
      <c r="G470" s="29">
        <f>Tableau!$G$26*COS(F470*PI()/180)+Tableau!$G$25</f>
        <v>-21023.300966529576</v>
      </c>
      <c r="H470" s="29">
        <f>Tableau!$G$26*SIN(F470*PI()/180)+Tableau!$H$25</f>
        <v>13347.066645870626</v>
      </c>
      <c r="J470" s="36">
        <v>467</v>
      </c>
      <c r="K470" s="37">
        <f>Tableau!$G$36*COS(J470*PI()/180)+Tableau!$G$35</f>
        <v>-6461.8585236136787</v>
      </c>
      <c r="L470" s="37">
        <f>Tableau!$G$36*SIN(J470*PI()/180)+Tableau!$H$35</f>
        <v>-10218.476220184821</v>
      </c>
      <c r="N470" s="92">
        <v>466</v>
      </c>
      <c r="O470" s="93">
        <v>233</v>
      </c>
      <c r="P470" s="96">
        <f>P469+R469*Tableau!$G$2+((1/2)*T469)*Tableau!$G$2^2</f>
        <v>-15721818.170106819</v>
      </c>
      <c r="Q470" s="96">
        <f>Q469+S469*Tableau!$G$2+((1/2)*U469)*Tableau!$G$2^2</f>
        <v>7712892.2253483022</v>
      </c>
      <c r="R470" s="96">
        <f>R469+T469*Tableau!$G$2</f>
        <v>-68698.270709104356</v>
      </c>
      <c r="S470" s="96">
        <f>S469+U469*Tableau!$G$2</f>
        <v>33800.761289363603</v>
      </c>
      <c r="T470" s="96">
        <f t="shared" si="14"/>
        <v>3.5899297333103182E-3</v>
      </c>
      <c r="U470" s="96">
        <f t="shared" si="15"/>
        <v>-1.7611776652276196E-3</v>
      </c>
      <c r="V470" s="96">
        <f>((Tableau!$G$16-P470)/(AC470^2+Tableau!$G$21^2)^(3/2))*Tableau!$G$20</f>
        <v>1.5309765726052972E-3</v>
      </c>
      <c r="W470" s="96">
        <f>((Tableau!$H$16-Q470)/(AC470^2+Tableau!$G$21^2)^(3/2))*Tableau!$G$20</f>
        <v>-7.4939088053659043E-4</v>
      </c>
      <c r="X470" s="96">
        <f>((Tableau!$G$25-P470)/(AD470^2+Tableau!$G$30^2)^(3/2))*Tableau!$G$29</f>
        <v>5.2712372782726081E-4</v>
      </c>
      <c r="Y470" s="96">
        <f>((Tableau!$H$25-Q470)/(AD470^2+Tableau!$G$30^2)^(3/2))*Tableau!$G$29</f>
        <v>-2.5859280886384123E-4</v>
      </c>
      <c r="Z470" s="96">
        <f>((Tableau!$G$35-P470)/(AE470^2+Tableau!$G$40^2)^(3/2))*Tableau!$G$39</f>
        <v>1.5318294328777603E-3</v>
      </c>
      <c r="AA470" s="97">
        <f>((Tableau!$H$35-Q470)/(AE470^2+Tableau!$G$40^2)^(3/2))*Tableau!$G$39</f>
        <v>-7.5319397582718781E-4</v>
      </c>
      <c r="AC470" s="110">
        <f>SQRT((Tableau!$G$16-P470)^2+(Tableau!$H$16-Q470)^2)</f>
        <v>17526491.62402913</v>
      </c>
      <c r="AD470" s="111">
        <f>SQRT((Tableau!$G$25-P470)^2+(Tableau!$H$25-Q470)^2)</f>
        <v>17489472.332875799</v>
      </c>
      <c r="AE470" s="112">
        <f>SQRT((Tableau!$G$35-P470)^2+(Tableau!$H$35-Q470)^2)</f>
        <v>17513957.052556641</v>
      </c>
    </row>
    <row r="471" spans="2:31" x14ac:dyDescent="0.25">
      <c r="B471" s="18">
        <v>468</v>
      </c>
      <c r="C471" s="19">
        <f>Tableau!$G$17*COS(B471*PI()/180)+Tableau!$G$16</f>
        <v>18454.915028125266</v>
      </c>
      <c r="D471" s="19">
        <f>Tableau!$G$17*SIN(B471*PI()/180)+Tableau!$H$16</f>
        <v>12255.282581475767</v>
      </c>
      <c r="F471" s="26">
        <v>468</v>
      </c>
      <c r="G471" s="27">
        <f>Tableau!$G$26*COS(F471*PI()/180)+Tableau!$G$25</f>
        <v>-21081.559480312317</v>
      </c>
      <c r="H471" s="27">
        <f>Tableau!$G$26*SIN(F471*PI()/180)+Tableau!$H$25</f>
        <v>13328.697807033037</v>
      </c>
      <c r="J471" s="34">
        <v>468</v>
      </c>
      <c r="K471" s="35">
        <f>Tableau!$G$36*COS(J471*PI()/180)+Tableau!$G$35</f>
        <v>-6545.0849718747359</v>
      </c>
      <c r="L471" s="35">
        <f>Tableau!$G$36*SIN(J471*PI()/180)+Tableau!$H$35</f>
        <v>-10244.717418524233</v>
      </c>
      <c r="N471" s="98">
        <v>467</v>
      </c>
      <c r="O471" s="99">
        <v>233.5</v>
      </c>
      <c r="P471" s="101">
        <f>P470+R470*Tableau!$G$2+((1/2)*T470)*Tableau!$G$2^2</f>
        <v>-15756167.30501263</v>
      </c>
      <c r="Q471" s="101">
        <f>Q470+S470*Tableau!$G$2+((1/2)*U470)*Tableau!$G$2^2</f>
        <v>7729792.6057728371</v>
      </c>
      <c r="R471" s="101">
        <f>R470+T470*Tableau!$G$2</f>
        <v>-68698.268914139495</v>
      </c>
      <c r="S471" s="101">
        <f>S470+U470*Tableau!$G$2</f>
        <v>33800.760408774768</v>
      </c>
      <c r="T471" s="101">
        <f t="shared" si="14"/>
        <v>3.5742846103798648E-3</v>
      </c>
      <c r="U471" s="101">
        <f t="shared" si="15"/>
        <v>-1.753513477402643E-3</v>
      </c>
      <c r="V471" s="101">
        <f>((Tableau!$G$16-P471)/(AC471^2+Tableau!$G$21^2)^(3/2))*Tableau!$G$20</f>
        <v>1.5243071453822307E-3</v>
      </c>
      <c r="W471" s="101">
        <f>((Tableau!$H$16-Q471)/(AC471^2+Tableau!$G$21^2)^(3/2))*Tableau!$G$20</f>
        <v>-7.4613469609768933E-4</v>
      </c>
      <c r="X471" s="101">
        <f>((Tableau!$G$25-P471)/(AD471^2+Tableau!$G$30^2)^(3/2))*Tableau!$G$29</f>
        <v>5.2482304988569844E-4</v>
      </c>
      <c r="Y471" s="101">
        <f>((Tableau!$H$25-Q471)/(AD471^2+Tableau!$G$30^2)^(3/2))*Tableau!$G$29</f>
        <v>-2.5746581243808861E-4</v>
      </c>
      <c r="Z471" s="101">
        <f>((Tableau!$G$35-P471)/(AE471^2+Tableau!$G$40^2)^(3/2))*Tableau!$G$39</f>
        <v>1.5251544151119356E-3</v>
      </c>
      <c r="AA471" s="102">
        <f>((Tableau!$H$35-Q471)/(AE471^2+Tableau!$G$40^2)^(3/2))*Tableau!$G$39</f>
        <v>-7.4991296886686481E-4</v>
      </c>
      <c r="AC471" s="113">
        <f>SQRT((Tableau!$G$16-P471)^2+(Tableau!$H$16-Q471)^2)</f>
        <v>17564773.210176192</v>
      </c>
      <c r="AD471" s="114">
        <f>SQRT((Tableau!$G$25-P471)^2+(Tableau!$H$25-Q471)^2)</f>
        <v>17527753.972699795</v>
      </c>
      <c r="AE471" s="115">
        <f>SQRT((Tableau!$G$35-P471)^2+(Tableau!$H$35-Q471)^2)</f>
        <v>17552238.716953814</v>
      </c>
    </row>
    <row r="472" spans="2:31" x14ac:dyDescent="0.25">
      <c r="B472" s="20">
        <v>469</v>
      </c>
      <c r="C472" s="21">
        <f>Tableau!$G$17*COS(B472*PI()/180)+Tableau!$G$16</f>
        <v>18372.159227714223</v>
      </c>
      <c r="D472" s="21">
        <f>Tableau!$G$17*SIN(B472*PI()/180)+Tableau!$H$16</f>
        <v>12227.592877996587</v>
      </c>
      <c r="F472" s="28">
        <v>469</v>
      </c>
      <c r="G472" s="29">
        <f>Tableau!$G$26*COS(F472*PI()/180)+Tableau!$G$25</f>
        <v>-21139.488540600043</v>
      </c>
      <c r="H472" s="29">
        <f>Tableau!$G$26*SIN(F472*PI()/180)+Tableau!$H$25</f>
        <v>13309.315014597611</v>
      </c>
      <c r="J472" s="36">
        <v>469</v>
      </c>
      <c r="K472" s="37">
        <f>Tableau!$G$36*COS(J472*PI()/180)+Tableau!$G$35</f>
        <v>-6627.8407722857773</v>
      </c>
      <c r="L472" s="37">
        <f>Tableau!$G$36*SIN(J472*PI()/180)+Tableau!$H$35</f>
        <v>-10272.407122003413</v>
      </c>
      <c r="N472" s="92">
        <v>468</v>
      </c>
      <c r="O472" s="93">
        <v>234</v>
      </c>
      <c r="P472" s="96">
        <f>P471+R471*Tableau!$G$2+((1/2)*T471)*Tableau!$G$2^2</f>
        <v>-15790516.439022915</v>
      </c>
      <c r="Q472" s="96">
        <f>Q471+S471*Tableau!$G$2+((1/2)*U471)*Tableau!$G$2^2</f>
        <v>7746692.9857580345</v>
      </c>
      <c r="R472" s="96">
        <f>R471+T471*Tableau!$G$2</f>
        <v>-68698.267126997191</v>
      </c>
      <c r="S472" s="96">
        <f>S471+U471*Tableau!$G$2</f>
        <v>33800.759532018026</v>
      </c>
      <c r="T472" s="96">
        <f t="shared" si="14"/>
        <v>3.5587415389040306E-3</v>
      </c>
      <c r="U472" s="96">
        <f t="shared" si="15"/>
        <v>-1.7458992099028633E-3</v>
      </c>
      <c r="V472" s="96">
        <f>((Tableau!$G$16-P472)/(AC472^2+Tableau!$G$21^2)^(3/2))*Tableau!$G$20</f>
        <v>1.5176812047539457E-3</v>
      </c>
      <c r="W472" s="96">
        <f>((Tableau!$H$16-Q472)/(AC472^2+Tableau!$G$21^2)^(3/2))*Tableau!$G$20</f>
        <v>-7.4289968830230154E-4</v>
      </c>
      <c r="X472" s="96">
        <f>((Tableau!$G$25-P472)/(AD472^2+Tableau!$G$30^2)^(3/2))*Tableau!$G$29</f>
        <v>5.2253740145484387E-4</v>
      </c>
      <c r="Y472" s="96">
        <f>((Tableau!$H$25-Q472)/(AD472^2+Tableau!$G$30^2)^(3/2))*Tableau!$G$29</f>
        <v>-2.563461674995339E-4</v>
      </c>
      <c r="Z472" s="96">
        <f>((Tableau!$G$35-P472)/(AE472^2+Tableau!$G$40^2)^(3/2))*Tableau!$G$39</f>
        <v>1.5185229326952412E-3</v>
      </c>
      <c r="AA472" s="97">
        <f>((Tableau!$H$35-Q472)/(AE472^2+Tableau!$G$40^2)^(3/2))*Tableau!$G$39</f>
        <v>-7.4665335410102781E-4</v>
      </c>
      <c r="AC472" s="110">
        <f>SQRT((Tableau!$G$16-P472)^2+(Tableau!$H$16-Q472)^2)</f>
        <v>17603054.795671694</v>
      </c>
      <c r="AD472" s="111">
        <f>SQRT((Tableau!$G$25-P472)^2+(Tableau!$H$25-Q472)^2)</f>
        <v>17566035.611639004</v>
      </c>
      <c r="AE472" s="112">
        <f>SQRT((Tableau!$G$35-P472)^2+(Tableau!$H$35-Q472)^2)</f>
        <v>17590520.38035908</v>
      </c>
    </row>
    <row r="473" spans="2:31" x14ac:dyDescent="0.25">
      <c r="B473" s="18">
        <v>470</v>
      </c>
      <c r="C473" s="19">
        <f>Tableau!$G$17*COS(B473*PI()/180)+Tableau!$G$16</f>
        <v>18289.899283371658</v>
      </c>
      <c r="D473" s="19">
        <f>Tableau!$G$17*SIN(B473*PI()/180)+Tableau!$H$16</f>
        <v>12198.463103929544</v>
      </c>
      <c r="F473" s="26">
        <v>470</v>
      </c>
      <c r="G473" s="27">
        <f>Tableau!$G$26*COS(F473*PI()/180)+Tableau!$G$25</f>
        <v>-21197.070501639839</v>
      </c>
      <c r="H473" s="27">
        <f>Tableau!$G$26*SIN(F473*PI()/180)+Tableau!$H$25</f>
        <v>13288.92417275068</v>
      </c>
      <c r="J473" s="34">
        <v>470</v>
      </c>
      <c r="K473" s="35">
        <f>Tableau!$G$36*COS(J473*PI()/180)+Tableau!$G$35</f>
        <v>-6710.1007166283398</v>
      </c>
      <c r="L473" s="35">
        <f>Tableau!$G$36*SIN(J473*PI()/180)+Tableau!$H$35</f>
        <v>-10301.536896070456</v>
      </c>
      <c r="N473" s="98">
        <v>469</v>
      </c>
      <c r="O473" s="99">
        <v>234.5</v>
      </c>
      <c r="P473" s="101">
        <f>P472+R472*Tableau!$G$2+((1/2)*T472)*Tableau!$G$2^2</f>
        <v>-15824865.572141571</v>
      </c>
      <c r="Q473" s="101">
        <f>Q472+S472*Tableau!$G$2+((1/2)*U472)*Tableau!$G$2^2</f>
        <v>7763593.3653058056</v>
      </c>
      <c r="R473" s="101">
        <f>R472+T472*Tableau!$G$2</f>
        <v>-68698.265347626424</v>
      </c>
      <c r="S473" s="101">
        <f>S472+U472*Tableau!$G$2</f>
        <v>33800.758659068422</v>
      </c>
      <c r="T473" s="101">
        <f t="shared" si="14"/>
        <v>3.5432996332459346E-3</v>
      </c>
      <c r="U473" s="101">
        <f t="shared" si="15"/>
        <v>-1.7383344301287441E-3</v>
      </c>
      <c r="V473" s="101">
        <f>((Tableau!$G$16-P473)/(AC473^2+Tableau!$G$21^2)^(3/2))*Tableau!$G$20</f>
        <v>1.5110983734800253E-3</v>
      </c>
      <c r="W473" s="101">
        <f>((Tableau!$H$16-Q473)/(AC473^2+Tableau!$G$21^2)^(3/2))*Tableau!$G$20</f>
        <v>-7.3968567391819969E-4</v>
      </c>
      <c r="X473" s="101">
        <f>((Tableau!$G$25-P473)/(AD473^2+Tableau!$G$30^2)^(3/2))*Tableau!$G$29</f>
        <v>5.2026665190898656E-4</v>
      </c>
      <c r="Y473" s="101">
        <f>((Tableau!$H$25-Q473)/(AD473^2+Tableau!$G$30^2)^(3/2))*Tableau!$G$29</f>
        <v>-2.5523381024776293E-4</v>
      </c>
      <c r="Z473" s="101">
        <f>((Tableau!$G$35-P473)/(AE473^2+Tableau!$G$40^2)^(3/2))*Tableau!$G$39</f>
        <v>1.5119346078569225E-3</v>
      </c>
      <c r="AA473" s="102">
        <f>((Tableau!$H$35-Q473)/(AE473^2+Tableau!$G$40^2)^(3/2))*Tableau!$G$39</f>
        <v>-7.4341494596278138E-4</v>
      </c>
      <c r="AC473" s="113">
        <f>SQRT((Tableau!$G$16-P473)^2+(Tableau!$H$16-Q473)^2)</f>
        <v>17641336.380517717</v>
      </c>
      <c r="AD473" s="114">
        <f>SQRT((Tableau!$G$25-P473)^2+(Tableau!$H$25-Q473)^2)</f>
        <v>17604317.249697022</v>
      </c>
      <c r="AE473" s="115">
        <f>SQRT((Tableau!$G$35-P473)^2+(Tableau!$H$35-Q473)^2)</f>
        <v>17628802.042776749</v>
      </c>
    </row>
    <row r="474" spans="2:31" x14ac:dyDescent="0.25">
      <c r="B474" s="20">
        <v>471</v>
      </c>
      <c r="C474" s="21">
        <f>Tableau!$G$17*COS(B474*PI()/180)+Tableau!$G$16</f>
        <v>18208.160252273497</v>
      </c>
      <c r="D474" s="21">
        <f>Tableau!$G$17*SIN(B474*PI()/180)+Tableau!$H$16</f>
        <v>12167.902132486008</v>
      </c>
      <c r="F474" s="28">
        <v>471</v>
      </c>
      <c r="G474" s="29">
        <f>Tableau!$G$26*COS(F474*PI()/180)+Tableau!$G$25</f>
        <v>-21254.287823408551</v>
      </c>
      <c r="H474" s="29">
        <f>Tableau!$G$26*SIN(F474*PI()/180)+Tableau!$H$25</f>
        <v>13267.531492740207</v>
      </c>
      <c r="J474" s="36">
        <v>471</v>
      </c>
      <c r="K474" s="37">
        <f>Tableau!$G$36*COS(J474*PI()/180)+Tableau!$G$35</f>
        <v>-6791.8397477265016</v>
      </c>
      <c r="L474" s="37">
        <f>Tableau!$G$36*SIN(J474*PI()/180)+Tableau!$H$35</f>
        <v>-10332.097867513992</v>
      </c>
      <c r="N474" s="92">
        <v>470</v>
      </c>
      <c r="O474" s="93">
        <v>235</v>
      </c>
      <c r="P474" s="96">
        <f>P473+R473*Tableau!$G$2+((1/2)*T473)*Tableau!$G$2^2</f>
        <v>-15859214.704372471</v>
      </c>
      <c r="Q474" s="96">
        <f>Q473+S473*Tableau!$G$2+((1/2)*U473)*Tableau!$G$2^2</f>
        <v>7780493.7444180483</v>
      </c>
      <c r="R474" s="96">
        <f>R473+T473*Tableau!$G$2</f>
        <v>-68698.263575976613</v>
      </c>
      <c r="S474" s="96">
        <f>S473+U473*Tableau!$G$2</f>
        <v>33800.75778990121</v>
      </c>
      <c r="T474" s="96">
        <f t="shared" si="14"/>
        <v>3.5279580173552014E-3</v>
      </c>
      <c r="U474" s="96">
        <f t="shared" si="15"/>
        <v>-1.7308187101566339E-3</v>
      </c>
      <c r="V474" s="96">
        <f>((Tableau!$G$16-P474)/(AC474^2+Tableau!$G$21^2)^(3/2))*Tableau!$G$20</f>
        <v>1.5045582784018149E-3</v>
      </c>
      <c r="W474" s="96">
        <f>((Tableau!$H$16-Q474)/(AC474^2+Tableau!$G$21^2)^(3/2))*Tableau!$G$20</f>
        <v>-7.3649247169064373E-4</v>
      </c>
      <c r="X474" s="96">
        <f>((Tableau!$G$25-P474)/(AD474^2+Tableau!$G$30^2)^(3/2))*Tableau!$G$29</f>
        <v>5.1801067203844362E-4</v>
      </c>
      <c r="Y474" s="96">
        <f>((Tableau!$H$25-Q474)/(AD474^2+Tableau!$G$30^2)^(3/2))*Tableau!$G$29</f>
        <v>-2.541286775729699E-4</v>
      </c>
      <c r="Z474" s="96">
        <f>((Tableau!$G$35-P474)/(AE474^2+Tableau!$G$40^2)^(3/2))*Tableau!$G$39</f>
        <v>1.505389066914943E-3</v>
      </c>
      <c r="AA474" s="97">
        <f>((Tableau!$H$35-Q474)/(AE474^2+Tableau!$G$40^2)^(3/2))*Tableau!$G$39</f>
        <v>-7.4019756089302024E-4</v>
      </c>
      <c r="AC474" s="110">
        <f>SQRT((Tableau!$G$16-P474)^2+(Tableau!$H$16-Q474)^2)</f>
        <v>17679617.964716349</v>
      </c>
      <c r="AD474" s="111">
        <f>SQRT((Tableau!$G$25-P474)^2+(Tableau!$H$25-Q474)^2)</f>
        <v>17642598.88687744</v>
      </c>
      <c r="AE474" s="112">
        <f>SQRT((Tableau!$G$35-P474)^2+(Tableau!$H$35-Q474)^2)</f>
        <v>17667083.704211093</v>
      </c>
    </row>
    <row r="475" spans="2:31" x14ac:dyDescent="0.25">
      <c r="B475" s="18">
        <v>472</v>
      </c>
      <c r="C475" s="19">
        <f>Tableau!$G$17*COS(B475*PI()/180)+Tableau!$G$16</f>
        <v>18126.967032920445</v>
      </c>
      <c r="D475" s="19">
        <f>Tableau!$G$17*SIN(B475*PI()/180)+Tableau!$H$16</f>
        <v>12135.91927283394</v>
      </c>
      <c r="F475" s="26">
        <v>472</v>
      </c>
      <c r="G475" s="27">
        <f>Tableau!$G$26*COS(F475*PI()/180)+Tableau!$G$25</f>
        <v>-21311.12307695569</v>
      </c>
      <c r="H475" s="27">
        <f>Tableau!$G$26*SIN(F475*PI()/180)+Tableau!$H$25</f>
        <v>13245.143490983757</v>
      </c>
      <c r="J475" s="34">
        <v>472</v>
      </c>
      <c r="K475" s="35">
        <f>Tableau!$G$36*COS(J475*PI()/180)+Tableau!$G$35</f>
        <v>-6873.0329670795545</v>
      </c>
      <c r="L475" s="35">
        <f>Tableau!$G$36*SIN(J475*PI()/180)+Tableau!$H$35</f>
        <v>-10364.08072716606</v>
      </c>
      <c r="N475" s="98">
        <v>471</v>
      </c>
      <c r="O475" s="99">
        <v>235.5</v>
      </c>
      <c r="P475" s="101">
        <f>P474+R474*Tableau!$G$2+((1/2)*T474)*Tableau!$G$2^2</f>
        <v>-15893563.835719464</v>
      </c>
      <c r="Q475" s="101">
        <f>Q474+S474*Tableau!$G$2+((1/2)*U474)*Tableau!$G$2^2</f>
        <v>7797394.1230966458</v>
      </c>
      <c r="R475" s="101">
        <f>R474+T474*Tableau!$G$2</f>
        <v>-68698.26181199761</v>
      </c>
      <c r="S475" s="101">
        <f>S474+U474*Tableau!$G$2</f>
        <v>33800.756924491856</v>
      </c>
      <c r="T475" s="101">
        <f t="shared" si="14"/>
        <v>3.5127158246437413E-3</v>
      </c>
      <c r="U475" s="101">
        <f t="shared" si="15"/>
        <v>-1.723351626678265E-3</v>
      </c>
      <c r="V475" s="101">
        <f>((Tableau!$G$16-P475)/(AC475^2+Tableau!$G$21^2)^(3/2))*Tableau!$G$20</f>
        <v>1.4980605503895721E-3</v>
      </c>
      <c r="W475" s="101">
        <f>((Tableau!$H$16-Q475)/(AC475^2+Tableau!$G$21^2)^(3/2))*Tableau!$G$20</f>
        <v>-7.3331990231684371E-4</v>
      </c>
      <c r="X475" s="101">
        <f>((Tableau!$G$25-P475)/(AD475^2+Tableau!$G$30^2)^(3/2))*Tableau!$G$29</f>
        <v>5.1576933403124007E-4</v>
      </c>
      <c r="Y475" s="101">
        <f>((Tableau!$H$25-Q475)/(AD475^2+Tableau!$G$30^2)^(3/2))*Tableau!$G$29</f>
        <v>-2.5303070704703557E-4</v>
      </c>
      <c r="Z475" s="101">
        <f>((Tableau!$G$35-P475)/(AE475^2+Tableau!$G$40^2)^(3/2))*Tableau!$G$39</f>
        <v>1.4988859402229292E-3</v>
      </c>
      <c r="AA475" s="102">
        <f>((Tableau!$H$35-Q475)/(AE475^2+Tableau!$G$40^2)^(3/2))*Tableau!$G$39</f>
        <v>-7.3700101731438564E-4</v>
      </c>
      <c r="AC475" s="113">
        <f>SQRT((Tableau!$G$16-P475)^2+(Tableau!$H$16-Q475)^2)</f>
        <v>17717899.548269656</v>
      </c>
      <c r="AD475" s="114">
        <f>SQRT((Tableau!$G$25-P475)^2+(Tableau!$H$25-Q475)^2)</f>
        <v>17680880.523183823</v>
      </c>
      <c r="AE475" s="115">
        <f>SQRT((Tableau!$G$35-P475)^2+(Tableau!$H$35-Q475)^2)</f>
        <v>17705365.364666369</v>
      </c>
    </row>
    <row r="476" spans="2:31" x14ac:dyDescent="0.25">
      <c r="B476" s="20">
        <v>473</v>
      </c>
      <c r="C476" s="21">
        <f>Tableau!$G$17*COS(B476*PI()/180)+Tableau!$G$16</f>
        <v>18046.344357553633</v>
      </c>
      <c r="D476" s="21">
        <f>Tableau!$G$17*SIN(B476*PI()/180)+Tableau!$H$16</f>
        <v>12102.524267262203</v>
      </c>
      <c r="F476" s="28">
        <v>473</v>
      </c>
      <c r="G476" s="29">
        <f>Tableau!$G$26*COS(F476*PI()/180)+Tableau!$G$25</f>
        <v>-21367.558949712457</v>
      </c>
      <c r="H476" s="29">
        <f>Tableau!$G$26*SIN(F476*PI()/180)+Tableau!$H$25</f>
        <v>13221.766987083542</v>
      </c>
      <c r="J476" s="36">
        <v>473</v>
      </c>
      <c r="K476" s="37">
        <f>Tableau!$G$36*COS(J476*PI()/180)+Tableau!$G$35</f>
        <v>-6953.655642446367</v>
      </c>
      <c r="L476" s="37">
        <f>Tableau!$G$36*SIN(J476*PI()/180)+Tableau!$H$35</f>
        <v>-10397.475732737797</v>
      </c>
      <c r="N476" s="92">
        <v>472</v>
      </c>
      <c r="O476" s="93">
        <v>236</v>
      </c>
      <c r="P476" s="96">
        <f>P475+R475*Tableau!$G$2+((1/2)*T475)*Tableau!$G$2^2</f>
        <v>-15927912.966186374</v>
      </c>
      <c r="Q476" s="96">
        <f>Q475+S475*Tableau!$G$2+((1/2)*U475)*Tableau!$G$2^2</f>
        <v>7814294.5013434729</v>
      </c>
      <c r="R476" s="96">
        <f>R475+T475*Tableau!$G$2</f>
        <v>-68698.260055639694</v>
      </c>
      <c r="S476" s="96">
        <f>S475+U475*Tableau!$G$2</f>
        <v>33800.756062816043</v>
      </c>
      <c r="T476" s="96">
        <f t="shared" si="14"/>
        <v>3.4975721978633629E-3</v>
      </c>
      <c r="U476" s="96">
        <f t="shared" si="15"/>
        <v>-1.7159327609411442E-3</v>
      </c>
      <c r="V476" s="96">
        <f>((Tableau!$G$16-P476)/(AC476^2+Tableau!$G$21^2)^(3/2))*Tableau!$G$20</f>
        <v>1.4916048242903592E-3</v>
      </c>
      <c r="W476" s="96">
        <f>((Tableau!$H$16-Q476)/(AC476^2+Tableau!$G$21^2)^(3/2))*Tableau!$G$20</f>
        <v>-7.3016778842077907E-4</v>
      </c>
      <c r="X476" s="96">
        <f>((Tableau!$G$25-P476)/(AD476^2+Tableau!$G$30^2)^(3/2))*Tableau!$G$29</f>
        <v>5.1354251145493946E-4</v>
      </c>
      <c r="Y476" s="96">
        <f>((Tableau!$H$25-Q476)/(AD476^2+Tableau!$G$30^2)^(3/2))*Tableau!$G$29</f>
        <v>-2.519398369146789E-4</v>
      </c>
      <c r="Z476" s="96">
        <f>((Tableau!$G$35-P476)/(AE476^2+Tableau!$G$40^2)^(3/2))*Tableau!$G$39</f>
        <v>1.4924248621180647E-3</v>
      </c>
      <c r="AA476" s="97">
        <f>((Tableau!$H$35-Q476)/(AE476^2+Tableau!$G$40^2)^(3/2))*Tableau!$G$39</f>
        <v>-7.338251356056862E-4</v>
      </c>
      <c r="AC476" s="110">
        <f>SQRT((Tableau!$G$16-P476)^2+(Tableau!$H$16-Q476)^2)</f>
        <v>17756181.131179702</v>
      </c>
      <c r="AD476" s="111">
        <f>SQRT((Tableau!$G$25-P476)^2+(Tableau!$H$25-Q476)^2)</f>
        <v>17719162.158619706</v>
      </c>
      <c r="AE476" s="112">
        <f>SQRT((Tableau!$G$35-P476)^2+(Tableau!$H$35-Q476)^2)</f>
        <v>17743647.024146792</v>
      </c>
    </row>
    <row r="477" spans="2:31" x14ac:dyDescent="0.25">
      <c r="B477" s="18">
        <v>474</v>
      </c>
      <c r="C477" s="19">
        <f>Tableau!$G$17*COS(B477*PI()/180)+Tableau!$G$16</f>
        <v>17966.316784620998</v>
      </c>
      <c r="D477" s="19">
        <f>Tableau!$G$17*SIN(B477*PI()/180)+Tableau!$H$16</f>
        <v>12067.727288213004</v>
      </c>
      <c r="F477" s="26">
        <v>474</v>
      </c>
      <c r="G477" s="27">
        <f>Tableau!$G$26*COS(F477*PI()/180)+Tableau!$G$25</f>
        <v>-21423.578250765302</v>
      </c>
      <c r="H477" s="27">
        <f>Tableau!$G$26*SIN(F477*PI()/180)+Tableau!$H$25</f>
        <v>13197.409101749103</v>
      </c>
      <c r="J477" s="34">
        <v>474</v>
      </c>
      <c r="K477" s="35">
        <f>Tableau!$G$36*COS(J477*PI()/180)+Tableau!$G$35</f>
        <v>-7033.6832153790019</v>
      </c>
      <c r="L477" s="35">
        <f>Tableau!$G$36*SIN(J477*PI()/180)+Tableau!$H$35</f>
        <v>-10432.272711786996</v>
      </c>
      <c r="N477" s="98">
        <v>473</v>
      </c>
      <c r="O477" s="99">
        <v>236.5</v>
      </c>
      <c r="P477" s="101">
        <f>P476+R476*Tableau!$G$2+((1/2)*T476)*Tableau!$G$2^2</f>
        <v>-15962262.095776998</v>
      </c>
      <c r="Q477" s="101">
        <f>Q476+S476*Tableau!$G$2+((1/2)*U476)*Tableau!$G$2^2</f>
        <v>7831194.8791603893</v>
      </c>
      <c r="R477" s="101">
        <f>R476+T476*Tableau!$G$2</f>
        <v>-68698.25830685359</v>
      </c>
      <c r="S477" s="101">
        <f>S476+U476*Tableau!$G$2</f>
        <v>33800.755204849665</v>
      </c>
      <c r="T477" s="101">
        <f t="shared" si="14"/>
        <v>3.4825262889852161E-3</v>
      </c>
      <c r="U477" s="101">
        <f t="shared" si="15"/>
        <v>-1.708561698689831E-3</v>
      </c>
      <c r="V477" s="101">
        <f>((Tableau!$G$16-P477)/(AC477^2+Tableau!$G$21^2)^(3/2))*Tableau!$G$20</f>
        <v>1.4851907388767275E-3</v>
      </c>
      <c r="W477" s="101">
        <f>((Tableau!$H$16-Q477)/(AC477^2+Tableau!$G$21^2)^(3/2))*Tableau!$G$20</f>
        <v>-7.2703595452839947E-4</v>
      </c>
      <c r="X477" s="101">
        <f>((Tableau!$G$25-P477)/(AD477^2+Tableau!$G$30^2)^(3/2))*Tableau!$G$29</f>
        <v>5.1133007923887127E-4</v>
      </c>
      <c r="Y477" s="101">
        <f>((Tableau!$H$25-Q477)/(AD477^2+Tableau!$G$30^2)^(3/2))*Tableau!$G$29</f>
        <v>-2.5085600608480159E-4</v>
      </c>
      <c r="Z477" s="101">
        <f>((Tableau!$G$35-P477)/(AE477^2+Tableau!$G$40^2)^(3/2))*Tableau!$G$39</f>
        <v>1.4860054708696175E-3</v>
      </c>
      <c r="AA477" s="102">
        <f>((Tableau!$H$35-Q477)/(AE477^2+Tableau!$G$40^2)^(3/2))*Tableau!$G$39</f>
        <v>-7.3066973807662996E-4</v>
      </c>
      <c r="AC477" s="113">
        <f>SQRT((Tableau!$G$16-P477)^2+(Tableau!$H$16-Q477)^2)</f>
        <v>17794462.713448547</v>
      </c>
      <c r="AD477" s="114">
        <f>SQRT((Tableau!$G$25-P477)^2+(Tableau!$H$25-Q477)^2)</f>
        <v>17757443.793188609</v>
      </c>
      <c r="AE477" s="115">
        <f>SQRT((Tableau!$G$35-P477)^2+(Tableau!$H$35-Q477)^2)</f>
        <v>17781928.682656556</v>
      </c>
    </row>
    <row r="478" spans="2:31" x14ac:dyDescent="0.25">
      <c r="B478" s="20">
        <v>475</v>
      </c>
      <c r="C478" s="21">
        <f>Tableau!$G$17*COS(B478*PI()/180)+Tableau!$G$16</f>
        <v>17886.908691296507</v>
      </c>
      <c r="D478" s="21">
        <f>Tableau!$G$17*SIN(B478*PI()/180)+Tableau!$H$16</f>
        <v>12031.538935183251</v>
      </c>
      <c r="F478" s="28">
        <v>475</v>
      </c>
      <c r="G478" s="29">
        <f>Tableau!$G$26*COS(F478*PI()/180)+Tableau!$G$25</f>
        <v>-21479.163916092446</v>
      </c>
      <c r="H478" s="29">
        <f>Tableau!$G$26*SIN(F478*PI()/180)+Tableau!$H$25</f>
        <v>13172.077254628275</v>
      </c>
      <c r="J478" s="36">
        <v>475</v>
      </c>
      <c r="K478" s="37">
        <f>Tableau!$G$36*COS(J478*PI()/180)+Tableau!$G$35</f>
        <v>-7113.0913087034933</v>
      </c>
      <c r="L478" s="37">
        <f>Tableau!$G$36*SIN(J478*PI()/180)+Tableau!$H$35</f>
        <v>-10468.461064816749</v>
      </c>
      <c r="N478" s="92">
        <v>474</v>
      </c>
      <c r="O478" s="93">
        <v>237</v>
      </c>
      <c r="P478" s="96">
        <f>P477+R477*Tableau!$G$2+((1/2)*T477)*Tableau!$G$2^2</f>
        <v>-15996611.224495109</v>
      </c>
      <c r="Q478" s="96">
        <f>Q477+S477*Tableau!$G$2+((1/2)*U477)*Tableau!$G$2^2</f>
        <v>7848095.2565492438</v>
      </c>
      <c r="R478" s="96">
        <f>R477+T477*Tableau!$G$2</f>
        <v>-68698.256565590447</v>
      </c>
      <c r="S478" s="96">
        <f>S477+U477*Tableau!$G$2</f>
        <v>33800.754350568815</v>
      </c>
      <c r="T478" s="96">
        <f t="shared" si="14"/>
        <v>3.4675772590811419E-3</v>
      </c>
      <c r="U478" s="96">
        <f t="shared" si="15"/>
        <v>-1.7012380301081459E-3</v>
      </c>
      <c r="V478" s="96">
        <f>((Tableau!$G$16-P478)/(AC478^2+Tableau!$G$21^2)^(3/2))*Tableau!$G$20</f>
        <v>1.4788179367962655E-3</v>
      </c>
      <c r="W478" s="96">
        <f>((Tableau!$H$16-Q478)/(AC478^2+Tableau!$G$21^2)^(3/2))*Tableau!$G$20</f>
        <v>-7.239242270432422E-4</v>
      </c>
      <c r="X478" s="96">
        <f>((Tableau!$G$25-P478)/(AD478^2+Tableau!$G$30^2)^(3/2))*Tableau!$G$29</f>
        <v>5.0913191365653412E-4</v>
      </c>
      <c r="Y478" s="96">
        <f>((Tableau!$H$25-Q478)/(AD478^2+Tableau!$G$30^2)^(3/2))*Tableau!$G$29</f>
        <v>-2.4977915412191743E-4</v>
      </c>
      <c r="Z478" s="96">
        <f>((Tableau!$G$35-P478)/(AE478^2+Tableau!$G$40^2)^(3/2))*Tableau!$G$39</f>
        <v>1.4796274086283424E-3</v>
      </c>
      <c r="AA478" s="97">
        <f>((Tableau!$H$35-Q478)/(AE478^2+Tableau!$G$40^2)^(3/2))*Tableau!$G$39</f>
        <v>-7.2753464894298643E-4</v>
      </c>
      <c r="AC478" s="110">
        <f>SQRT((Tableau!$G$16-P478)^2+(Tableau!$H$16-Q478)^2)</f>
        <v>17832744.295078233</v>
      </c>
      <c r="AD478" s="111">
        <f>SQRT((Tableau!$G$25-P478)^2+(Tableau!$H$25-Q478)^2)</f>
        <v>17795725.426894035</v>
      </c>
      <c r="AE478" s="112">
        <f>SQRT((Tableau!$G$35-P478)^2+(Tableau!$H$35-Q478)^2)</f>
        <v>17820210.340199836</v>
      </c>
    </row>
    <row r="479" spans="2:31" x14ac:dyDescent="0.25">
      <c r="B479" s="18">
        <v>476</v>
      </c>
      <c r="C479" s="19">
        <f>Tableau!$G$17*COS(B479*PI()/180)+Tableau!$G$16</f>
        <v>17808.144266054613</v>
      </c>
      <c r="D479" s="19">
        <f>Tableau!$G$17*SIN(B479*PI()/180)+Tableau!$H$16</f>
        <v>11993.970231495834</v>
      </c>
      <c r="F479" s="26">
        <v>476</v>
      </c>
      <c r="G479" s="27">
        <f>Tableau!$G$26*COS(F479*PI()/180)+Tableau!$G$25</f>
        <v>-21534.299013761771</v>
      </c>
      <c r="H479" s="27">
        <f>Tableau!$G$26*SIN(F479*PI()/180)+Tableau!$H$25</f>
        <v>13145.779162047085</v>
      </c>
      <c r="J479" s="34">
        <v>476</v>
      </c>
      <c r="K479" s="35">
        <f>Tableau!$G$36*COS(J479*PI()/180)+Tableau!$G$35</f>
        <v>-7191.8557339453864</v>
      </c>
      <c r="L479" s="35">
        <f>Tableau!$G$36*SIN(J479*PI()/180)+Tableau!$H$35</f>
        <v>-10506.029768504166</v>
      </c>
      <c r="N479" s="98">
        <v>475</v>
      </c>
      <c r="O479" s="99">
        <v>237.5</v>
      </c>
      <c r="P479" s="101">
        <f>P478+R478*Tableau!$G$2+((1/2)*T478)*Tableau!$G$2^2</f>
        <v>-16030960.352344457</v>
      </c>
      <c r="Q479" s="101">
        <f>Q478+S478*Tableau!$G$2+((1/2)*U478)*Tableau!$G$2^2</f>
        <v>7864995.6335118739</v>
      </c>
      <c r="R479" s="101">
        <f>R478+T478*Tableau!$G$2</f>
        <v>-68698.254831801823</v>
      </c>
      <c r="S479" s="101">
        <f>S478+U478*Tableau!$G$2</f>
        <v>33800.753499949802</v>
      </c>
      <c r="T479" s="101">
        <f t="shared" si="14"/>
        <v>3.4527242782066278E-3</v>
      </c>
      <c r="U479" s="101">
        <f t="shared" si="15"/>
        <v>-1.6939613497621566E-3</v>
      </c>
      <c r="V479" s="101">
        <f>((Tableau!$G$16-P479)/(AC479^2+Tableau!$G$21^2)^(3/2))*Tableau!$G$20</f>
        <v>1.4724860645217237E-3</v>
      </c>
      <c r="W479" s="101">
        <f>((Tableau!$H$16-Q479)/(AC479^2+Tableau!$G$21^2)^(3/2))*Tableau!$G$20</f>
        <v>-7.2083243422232783E-4</v>
      </c>
      <c r="X479" s="101">
        <f>((Tableau!$G$25-P479)/(AD479^2+Tableau!$G$30^2)^(3/2))*Tableau!$G$29</f>
        <v>5.0694789230830287E-4</v>
      </c>
      <c r="Y479" s="101">
        <f>((Tableau!$H$25-Q479)/(AD479^2+Tableau!$G$30^2)^(3/2))*Tableau!$G$29</f>
        <v>-2.487092212377304E-4</v>
      </c>
      <c r="Z479" s="101">
        <f>((Tableau!$G$35-P479)/(AE479^2+Tableau!$G$40^2)^(3/2))*Tableau!$G$39</f>
        <v>1.4732903213766008E-3</v>
      </c>
      <c r="AA479" s="102">
        <f>((Tableau!$H$35-Q479)/(AE479^2+Tableau!$G$40^2)^(3/2))*Tableau!$G$39</f>
        <v>-7.2441969430209836E-4</v>
      </c>
      <c r="AC479" s="113">
        <f>SQRT((Tableau!$G$16-P479)^2+(Tableau!$H$16-Q479)^2)</f>
        <v>17871025.876070794</v>
      </c>
      <c r="AD479" s="114">
        <f>SQRT((Tableau!$G$25-P479)^2+(Tableau!$H$25-Q479)^2)</f>
        <v>17834007.059739456</v>
      </c>
      <c r="AE479" s="115">
        <f>SQRT((Tableau!$G$35-P479)^2+(Tableau!$H$35-Q479)^2)</f>
        <v>17858491.996780768</v>
      </c>
    </row>
    <row r="480" spans="2:31" x14ac:dyDescent="0.25">
      <c r="B480" s="20">
        <v>477</v>
      </c>
      <c r="C480" s="21">
        <f>Tableau!$G$17*COS(B480*PI()/180)+Tableau!$G$16</f>
        <v>17730.047501302262</v>
      </c>
      <c r="D480" s="21">
        <f>Tableau!$G$17*SIN(B480*PI()/180)+Tableau!$H$16</f>
        <v>11955.032620941838</v>
      </c>
      <c r="F480" s="28">
        <v>477</v>
      </c>
      <c r="G480" s="29">
        <f>Tableau!$G$26*COS(F480*PI()/180)+Tableau!$G$25</f>
        <v>-21588.966749088417</v>
      </c>
      <c r="H480" s="29">
        <f>Tableau!$G$26*SIN(F480*PI()/180)+Tableau!$H$25</f>
        <v>13118.522834659287</v>
      </c>
      <c r="J480" s="36">
        <v>477</v>
      </c>
      <c r="K480" s="37">
        <f>Tableau!$G$36*COS(J480*PI()/180)+Tableau!$G$35</f>
        <v>-7269.9524986977367</v>
      </c>
      <c r="L480" s="37">
        <f>Tableau!$G$36*SIN(J480*PI()/180)+Tableau!$H$35</f>
        <v>-10544.967379058162</v>
      </c>
      <c r="N480" s="92">
        <v>476</v>
      </c>
      <c r="O480" s="93">
        <v>238</v>
      </c>
      <c r="P480" s="96">
        <f>P479+R479*Tableau!$G$2+((1/2)*T479)*Tableau!$G$2^2</f>
        <v>-16065309.479328768</v>
      </c>
      <c r="Q480" s="96">
        <f>Q479+S479*Tableau!$G$2+((1/2)*U479)*Tableau!$G$2^2</f>
        <v>7881896.0100501031</v>
      </c>
      <c r="R480" s="96">
        <f>R479+T479*Tableau!$G$2</f>
        <v>-68698.253105439682</v>
      </c>
      <c r="S480" s="96">
        <f>S479+U479*Tableau!$G$2</f>
        <v>33800.752652969124</v>
      </c>
      <c r="T480" s="96">
        <f t="shared" si="14"/>
        <v>3.4379665252856663E-3</v>
      </c>
      <c r="U480" s="96">
        <f t="shared" si="15"/>
        <v>-1.6867312565440927E-3</v>
      </c>
      <c r="V480" s="96">
        <f>((Tableau!$G$16-P480)/(AC480^2+Tableau!$G$21^2)^(3/2))*Tableau!$G$20</f>
        <v>1.4661947723020425E-3</v>
      </c>
      <c r="W480" s="96">
        <f>((Tableau!$H$16-Q480)/(AC480^2+Tableau!$G$21^2)^(3/2))*Tableau!$G$20</f>
        <v>-7.1776040615249056E-4</v>
      </c>
      <c r="X480" s="96">
        <f>((Tableau!$G$25-P480)/(AD480^2+Tableau!$G$30^2)^(3/2))*Tableau!$G$29</f>
        <v>5.0477789410439814E-4</v>
      </c>
      <c r="Y480" s="96">
        <f>((Tableau!$H$25-Q480)/(AD480^2+Tableau!$G$30^2)^(3/2))*Tableau!$G$29</f>
        <v>-2.4764614828283964E-4</v>
      </c>
      <c r="Z480" s="96">
        <f>((Tableau!$G$35-P480)/(AE480^2+Tableau!$G$40^2)^(3/2))*Tableau!$G$39</f>
        <v>1.4669938588792258E-3</v>
      </c>
      <c r="AA480" s="97">
        <f>((Tableau!$H$35-Q480)/(AE480^2+Tableau!$G$40^2)^(3/2))*Tableau!$G$39</f>
        <v>-7.213247021087627E-4</v>
      </c>
      <c r="AC480" s="110">
        <f>SQRT((Tableau!$G$16-P480)^2+(Tableau!$H$16-Q480)^2)</f>
        <v>17909307.456428263</v>
      </c>
      <c r="AD480" s="111">
        <f>SQRT((Tableau!$G$25-P480)^2+(Tableau!$H$25-Q480)^2)</f>
        <v>17872288.691728331</v>
      </c>
      <c r="AE480" s="112">
        <f>SQRT((Tableau!$G$35-P480)^2+(Tableau!$H$35-Q480)^2)</f>
        <v>17896773.652403463</v>
      </c>
    </row>
    <row r="481" spans="2:31" x14ac:dyDescent="0.25">
      <c r="B481" s="18">
        <v>478</v>
      </c>
      <c r="C481" s="19">
        <f>Tableau!$G$17*COS(B481*PI()/180)+Tableau!$G$16</f>
        <v>17652.642186070549</v>
      </c>
      <c r="D481" s="19">
        <f>Tableau!$G$17*SIN(B481*PI()/180)+Tableau!$H$16</f>
        <v>11914.737964294636</v>
      </c>
      <c r="F481" s="26">
        <v>478</v>
      </c>
      <c r="G481" s="27">
        <f>Tableau!$G$26*COS(F481*PI()/180)+Tableau!$G$25</f>
        <v>-21643.150469750617</v>
      </c>
      <c r="H481" s="27">
        <f>Tableau!$G$26*SIN(F481*PI()/180)+Tableau!$H$25</f>
        <v>13090.316575006245</v>
      </c>
      <c r="J481" s="34">
        <v>478</v>
      </c>
      <c r="K481" s="35">
        <f>Tableau!$G$36*COS(J481*PI()/180)+Tableau!$G$35</f>
        <v>-7347.3578139294514</v>
      </c>
      <c r="L481" s="35">
        <f>Tableau!$G$36*SIN(J481*PI()/180)+Tableau!$H$35</f>
        <v>-10585.262035705364</v>
      </c>
      <c r="N481" s="98">
        <v>477</v>
      </c>
      <c r="O481" s="99">
        <v>238.5</v>
      </c>
      <c r="P481" s="101">
        <f>P480+R480*Tableau!$G$2+((1/2)*T480)*Tableau!$G$2^2</f>
        <v>-16099658.605451742</v>
      </c>
      <c r="Q481" s="101">
        <f>Q480+S480*Tableau!$G$2+((1/2)*U480)*Tableau!$G$2^2</f>
        <v>7898796.3861657465</v>
      </c>
      <c r="R481" s="101">
        <f>R480+T480*Tableau!$G$2</f>
        <v>-68698.251386456424</v>
      </c>
      <c r="S481" s="101">
        <f>S480+U480*Tableau!$G$2</f>
        <v>33800.751809603498</v>
      </c>
      <c r="T481" s="101">
        <f t="shared" si="14"/>
        <v>3.4233031879972913E-3</v>
      </c>
      <c r="U481" s="101">
        <f t="shared" si="15"/>
        <v>-1.6795473536170761E-3</v>
      </c>
      <c r="V481" s="101">
        <f>((Tableau!$G$16-P481)/(AC481^2+Tableau!$G$21^2)^(3/2))*Tableau!$G$20</f>
        <v>1.459943714114047E-3</v>
      </c>
      <c r="W481" s="101">
        <f>((Tableau!$H$16-Q481)/(AC481^2+Tableau!$G$21^2)^(3/2))*Tableau!$G$20</f>
        <v>-7.1470797472703127E-4</v>
      </c>
      <c r="X481" s="101">
        <f>((Tableau!$G$25-P481)/(AD481^2+Tableau!$G$30^2)^(3/2))*Tableau!$G$29</f>
        <v>5.0262179924810539E-4</v>
      </c>
      <c r="Y481" s="101">
        <f>((Tableau!$H$25-Q481)/(AD481^2+Tableau!$G$30^2)^(3/2))*Tableau!$G$29</f>
        <v>-2.4658987673856675E-4</v>
      </c>
      <c r="Z481" s="101">
        <f>((Tableau!$G$35-P481)/(AE481^2+Tableau!$G$40^2)^(3/2))*Tableau!$G$39</f>
        <v>1.4607376746351385E-3</v>
      </c>
      <c r="AA481" s="102">
        <f>((Tableau!$H$35-Q481)/(AE481^2+Tableau!$G$40^2)^(3/2))*Tableau!$G$39</f>
        <v>-7.1824950215147807E-4</v>
      </c>
      <c r="AC481" s="113">
        <f>SQRT((Tableau!$G$16-P481)^2+(Tableau!$H$16-Q481)^2)</f>
        <v>17947589.036152657</v>
      </c>
      <c r="AD481" s="114">
        <f>SQRT((Tableau!$G$25-P481)^2+(Tableau!$H$25-Q481)^2)</f>
        <v>17910570.322864093</v>
      </c>
      <c r="AE481" s="115">
        <f>SQRT((Tableau!$G$35-P481)^2+(Tableau!$H$35-Q481)^2)</f>
        <v>17935055.30707201</v>
      </c>
    </row>
    <row r="482" spans="2:31" x14ac:dyDescent="0.25">
      <c r="B482" s="20">
        <v>479</v>
      </c>
      <c r="C482" s="21">
        <f>Tableau!$G$17*COS(B482*PI()/180)+Tableau!$G$16</f>
        <v>17575.951898768315</v>
      </c>
      <c r="D482" s="21">
        <f>Tableau!$G$17*SIN(B482*PI()/180)+Tableau!$H$16</f>
        <v>11873.09853569698</v>
      </c>
      <c r="F482" s="28">
        <v>479</v>
      </c>
      <c r="G482" s="29">
        <f>Tableau!$G$26*COS(F482*PI()/180)+Tableau!$G$25</f>
        <v>-21696.833670862179</v>
      </c>
      <c r="H482" s="29">
        <f>Tableau!$G$26*SIN(F482*PI()/180)+Tableau!$H$25</f>
        <v>13061.168974987886</v>
      </c>
      <c r="J482" s="36">
        <v>479</v>
      </c>
      <c r="K482" s="37">
        <f>Tableau!$G$36*COS(J482*PI()/180)+Tableau!$G$35</f>
        <v>-7424.0481012316859</v>
      </c>
      <c r="L482" s="37">
        <f>Tableau!$G$36*SIN(J482*PI()/180)+Tableau!$H$35</f>
        <v>-10626.90146430302</v>
      </c>
      <c r="N482" s="92">
        <v>478</v>
      </c>
      <c r="O482" s="93">
        <v>239</v>
      </c>
      <c r="P482" s="96">
        <f>P481+R481*Tableau!$G$2+((1/2)*T481)*Tableau!$G$2^2</f>
        <v>-16134007.730717057</v>
      </c>
      <c r="Q482" s="96">
        <f>Q481+S481*Tableau!$G$2+((1/2)*U481)*Tableau!$G$2^2</f>
        <v>7915696.7618606044</v>
      </c>
      <c r="R482" s="96">
        <f>R481+T481*Tableau!$G$2</f>
        <v>-68698.249674804829</v>
      </c>
      <c r="S482" s="96">
        <f>S481+U481*Tableau!$G$2</f>
        <v>33800.750969829824</v>
      </c>
      <c r="T482" s="96">
        <f t="shared" si="14"/>
        <v>3.4087334626637313E-3</v>
      </c>
      <c r="U482" s="96">
        <f t="shared" si="15"/>
        <v>-1.6724092483606356E-3</v>
      </c>
      <c r="V482" s="96">
        <f>((Tableau!$G$16-P482)/(AC482^2+Tableau!$G$21^2)^(3/2))*Tableau!$G$20</f>
        <v>1.4537325476148234E-3</v>
      </c>
      <c r="W482" s="96">
        <f>((Tableau!$H$16-Q482)/(AC482^2+Tableau!$G$21^2)^(3/2))*Tableau!$G$20</f>
        <v>-7.1167497362269758E-4</v>
      </c>
      <c r="X482" s="96">
        <f>((Tableau!$G$25-P482)/(AD482^2+Tableau!$G$30^2)^(3/2))*Tableau!$G$29</f>
        <v>5.0047948921921447E-4</v>
      </c>
      <c r="Y482" s="96">
        <f>((Tableau!$H$25-Q482)/(AD482^2+Tableau!$G$30^2)^(3/2))*Tableau!$G$29</f>
        <v>-2.4554034870888863E-4</v>
      </c>
      <c r="Z482" s="96">
        <f>((Tableau!$G$35-P482)/(AE482^2+Tableau!$G$40^2)^(3/2))*Tableau!$G$39</f>
        <v>1.4545214258296934E-3</v>
      </c>
      <c r="AA482" s="97">
        <f>((Tableau!$H$35-Q482)/(AE482^2+Tableau!$G$40^2)^(3/2))*Tableau!$G$39</f>
        <v>-7.1519392602904927E-4</v>
      </c>
      <c r="AC482" s="110">
        <f>SQRT((Tableau!$G$16-P482)^2+(Tableau!$H$16-Q482)^2)</f>
        <v>17985870.615245987</v>
      </c>
      <c r="AD482" s="111">
        <f>SQRT((Tableau!$G$25-P482)^2+(Tableau!$H$25-Q482)^2)</f>
        <v>17948851.953150161</v>
      </c>
      <c r="AE482" s="112">
        <f>SQRT((Tableau!$G$35-P482)^2+(Tableau!$H$35-Q482)^2)</f>
        <v>17973336.96079047</v>
      </c>
    </row>
    <row r="483" spans="2:31" x14ac:dyDescent="0.25">
      <c r="B483" s="18">
        <v>480</v>
      </c>
      <c r="C483" s="19">
        <f>Tableau!$G$17*COS(B483*PI()/180)+Tableau!$G$16</f>
        <v>17500.000000000004</v>
      </c>
      <c r="D483" s="19">
        <f>Tableau!$G$17*SIN(B483*PI()/180)+Tableau!$H$16</f>
        <v>11830.127018922196</v>
      </c>
      <c r="F483" s="26">
        <v>480</v>
      </c>
      <c r="G483" s="27">
        <f>Tableau!$G$26*COS(F483*PI()/180)+Tableau!$G$25</f>
        <v>-21749.999999999996</v>
      </c>
      <c r="H483" s="27">
        <f>Tableau!$G$26*SIN(F483*PI()/180)+Tableau!$H$25</f>
        <v>13031.088913245538</v>
      </c>
      <c r="J483" s="34">
        <v>480</v>
      </c>
      <c r="K483" s="35">
        <f>Tableau!$G$36*COS(J483*PI()/180)+Tableau!$G$35</f>
        <v>-7499.9999999999964</v>
      </c>
      <c r="L483" s="35">
        <f>Tableau!$G$36*SIN(J483*PI()/180)+Tableau!$H$35</f>
        <v>-10669.872981077804</v>
      </c>
      <c r="N483" s="98">
        <v>479</v>
      </c>
      <c r="O483" s="99">
        <v>239.5</v>
      </c>
      <c r="P483" s="101">
        <f>P482+R482*Tableau!$G$2+((1/2)*T482)*Tableau!$G$2^2</f>
        <v>-16168356.855128368</v>
      </c>
      <c r="Q483" s="101">
        <f>Q482+S482*Tableau!$G$2+((1/2)*U482)*Tableau!$G$2^2</f>
        <v>7932597.1371364677</v>
      </c>
      <c r="R483" s="101">
        <f>R482+T482*Tableau!$G$2</f>
        <v>-68698.247970438097</v>
      </c>
      <c r="S483" s="101">
        <f>S482+U482*Tableau!$G$2</f>
        <v>33800.750133625203</v>
      </c>
      <c r="T483" s="101">
        <f t="shared" si="14"/>
        <v>3.3942565541403907E-3</v>
      </c>
      <c r="U483" s="101">
        <f t="shared" si="15"/>
        <v>-1.6653165523171126E-3</v>
      </c>
      <c r="V483" s="101">
        <f>((Tableau!$G$16-P483)/(AC483^2+Tableau!$G$21^2)^(3/2))*Tableau!$G$20</f>
        <v>1.4475609340949267E-3</v>
      </c>
      <c r="W483" s="101">
        <f>((Tableau!$H$16-Q483)/(AC483^2+Tableau!$G$21^2)^(3/2))*Tableau!$G$20</f>
        <v>-7.0866123827706558E-4</v>
      </c>
      <c r="X483" s="101">
        <f>((Tableau!$G$25-P483)/(AD483^2+Tableau!$G$30^2)^(3/2))*Tableau!$G$29</f>
        <v>4.9835084675777181E-4</v>
      </c>
      <c r="Y483" s="101">
        <f>((Tableau!$H$25-Q483)/(AD483^2+Tableau!$G$30^2)^(3/2))*Tableau!$G$29</f>
        <v>-2.4449750691252431E-4</v>
      </c>
      <c r="Z483" s="101">
        <f>((Tableau!$G$35-P483)/(AE483^2+Tableau!$G$40^2)^(3/2))*Tableau!$G$39</f>
        <v>1.4483447732876924E-3</v>
      </c>
      <c r="AA483" s="102">
        <f>((Tableau!$H$35-Q483)/(AE483^2+Tableau!$G$40^2)^(3/2))*Tableau!$G$39</f>
        <v>-7.1215780712752274E-4</v>
      </c>
      <c r="AC483" s="113">
        <f>SQRT((Tableau!$G$16-P483)^2+(Tableau!$H$16-Q483)^2)</f>
        <v>18024152.193710256</v>
      </c>
      <c r="AD483" s="114">
        <f>SQRT((Tableau!$G$25-P483)^2+(Tableau!$H$25-Q483)^2)</f>
        <v>17987133.582589924</v>
      </c>
      <c r="AE483" s="115">
        <f>SQRT((Tableau!$G$35-P483)^2+(Tableau!$H$35-Q483)^2)</f>
        <v>18011618.613562886</v>
      </c>
    </row>
    <row r="484" spans="2:31" x14ac:dyDescent="0.25">
      <c r="B484" s="20">
        <v>481</v>
      </c>
      <c r="C484" s="21">
        <f>Tableau!$G$17*COS(B484*PI()/180)+Tableau!$G$16</f>
        <v>17424.809625449729</v>
      </c>
      <c r="D484" s="21">
        <f>Tableau!$G$17*SIN(B484*PI()/180)+Tableau!$H$16</f>
        <v>11785.836503510563</v>
      </c>
      <c r="F484" s="28">
        <v>481</v>
      </c>
      <c r="G484" s="29">
        <f>Tableau!$G$26*COS(F484*PI()/180)+Tableau!$G$25</f>
        <v>-21802.633262185191</v>
      </c>
      <c r="H484" s="29">
        <f>Tableau!$G$26*SIN(F484*PI()/180)+Tableau!$H$25</f>
        <v>13000.085552457393</v>
      </c>
      <c r="J484" s="36">
        <v>481</v>
      </c>
      <c r="K484" s="37">
        <f>Tableau!$G$36*COS(J484*PI()/180)+Tableau!$G$35</f>
        <v>-7575.1903745502696</v>
      </c>
      <c r="L484" s="37">
        <f>Tableau!$G$36*SIN(J484*PI()/180)+Tableau!$H$35</f>
        <v>-10714.163496489437</v>
      </c>
      <c r="N484" s="92">
        <v>480</v>
      </c>
      <c r="O484" s="93">
        <v>240</v>
      </c>
      <c r="P484" s="96">
        <f>P483+R483*Tableau!$G$2+((1/2)*T483)*Tableau!$G$2^2</f>
        <v>-16202705.978689305</v>
      </c>
      <c r="Q484" s="96">
        <f>Q483+S483*Tableau!$G$2+((1/2)*U483)*Tableau!$G$2^2</f>
        <v>7949497.5119951153</v>
      </c>
      <c r="R484" s="96">
        <f>R483+T483*Tableau!$G$2</f>
        <v>-68698.246273309822</v>
      </c>
      <c r="S484" s="96">
        <f>S483+U483*Tableau!$G$2</f>
        <v>33800.749300966927</v>
      </c>
      <c r="T484" s="96">
        <f t="shared" si="14"/>
        <v>3.3798716757071912E-3</v>
      </c>
      <c r="U484" s="96">
        <f t="shared" si="15"/>
        <v>-1.6582688811387302E-3</v>
      </c>
      <c r="V484" s="96">
        <f>((Tableau!$G$16-P484)/(AC484^2+Tableau!$G$21^2)^(3/2))*Tableau!$G$20</f>
        <v>1.4414285384321199E-3</v>
      </c>
      <c r="W484" s="96">
        <f>((Tableau!$H$16-Q484)/(AC484^2+Tableau!$G$21^2)^(3/2))*Tableau!$G$20</f>
        <v>-7.0566660586617903E-4</v>
      </c>
      <c r="X484" s="96">
        <f>((Tableau!$G$25-P484)/(AD484^2+Tableau!$G$30^2)^(3/2))*Tableau!$G$29</f>
        <v>4.9623575584799458E-4</v>
      </c>
      <c r="Y484" s="96">
        <f>((Tableau!$H$25-Q484)/(AD484^2+Tableau!$G$30^2)^(3/2))*Tableau!$G$29</f>
        <v>-2.4346129467509931E-4</v>
      </c>
      <c r="Z484" s="96">
        <f>((Tableau!$G$35-P484)/(AE484^2+Tableau!$G$40^2)^(3/2))*Tableau!$G$39</f>
        <v>1.4422073814270766E-3</v>
      </c>
      <c r="AA484" s="97">
        <f>((Tableau!$H$35-Q484)/(AE484^2+Tableau!$G$40^2)^(3/2))*Tableau!$G$39</f>
        <v>-7.0914098059745169E-4</v>
      </c>
      <c r="AC484" s="110">
        <f>SQRT((Tableau!$G$16-P484)^2+(Tableau!$H$16-Q484)^2)</f>
        <v>18062433.771547467</v>
      </c>
      <c r="AD484" s="111">
        <f>SQRT((Tableau!$G$25-P484)^2+(Tableau!$H$25-Q484)^2)</f>
        <v>18025415.211186767</v>
      </c>
      <c r="AE484" s="112">
        <f>SQRT((Tableau!$G$35-P484)^2+(Tableau!$H$35-Q484)^2)</f>
        <v>18049900.265393261</v>
      </c>
    </row>
    <row r="485" spans="2:31" x14ac:dyDescent="0.25">
      <c r="B485" s="18">
        <v>482</v>
      </c>
      <c r="C485" s="19">
        <f>Tableau!$G$17*COS(B485*PI()/180)+Tableau!$G$16</f>
        <v>17350.403678833973</v>
      </c>
      <c r="D485" s="19">
        <f>Tableau!$G$17*SIN(B485*PI()/180)+Tableau!$H$16</f>
        <v>11740.240480782129</v>
      </c>
      <c r="F485" s="26">
        <v>482</v>
      </c>
      <c r="G485" s="27">
        <f>Tableau!$G$26*COS(F485*PI()/180)+Tableau!$G$25</f>
        <v>-21854.717424816219</v>
      </c>
      <c r="H485" s="27">
        <f>Tableau!$G$26*SIN(F485*PI()/180)+Tableau!$H$25</f>
        <v>12968.168336547489</v>
      </c>
      <c r="J485" s="34">
        <v>482</v>
      </c>
      <c r="K485" s="35">
        <f>Tableau!$G$36*COS(J485*PI()/180)+Tableau!$G$35</f>
        <v>-7649.5963211660273</v>
      </c>
      <c r="L485" s="35">
        <f>Tableau!$G$36*SIN(J485*PI()/180)+Tableau!$H$35</f>
        <v>-10759.759519217871</v>
      </c>
      <c r="N485" s="98">
        <v>481</v>
      </c>
      <c r="O485" s="99">
        <v>240.5</v>
      </c>
      <c r="P485" s="101">
        <f>P484+R484*Tableau!$G$2+((1/2)*T484)*Tableau!$G$2^2</f>
        <v>-16237055.101403477</v>
      </c>
      <c r="Q485" s="101">
        <f>Q484+S484*Tableau!$G$2+((1/2)*U484)*Tableau!$G$2^2</f>
        <v>7966397.8864383148</v>
      </c>
      <c r="R485" s="101">
        <f>R484+T484*Tableau!$G$2</f>
        <v>-68698.244583373991</v>
      </c>
      <c r="S485" s="101">
        <f>S484+U484*Tableau!$G$2</f>
        <v>33800.748471832485</v>
      </c>
      <c r="T485" s="101">
        <f t="shared" si="14"/>
        <v>3.3655780489619089E-3</v>
      </c>
      <c r="U485" s="101">
        <f t="shared" si="15"/>
        <v>-1.6512658545356287E-3</v>
      </c>
      <c r="V485" s="101">
        <f>((Tableau!$G$16-P485)/(AC485^2+Tableau!$G$21^2)^(3/2))*Tableau!$G$20</f>
        <v>1.4353350290459668E-3</v>
      </c>
      <c r="W485" s="101">
        <f>((Tableau!$H$16-Q485)/(AC485^2+Tableau!$G$21^2)^(3/2))*Tableau!$G$20</f>
        <v>-7.0269091528259706E-4</v>
      </c>
      <c r="X485" s="101">
        <f>((Tableau!$G$25-P485)/(AD485^2+Tableau!$G$30^2)^(3/2))*Tableau!$G$29</f>
        <v>4.9413410170248944E-4</v>
      </c>
      <c r="Y485" s="101">
        <f>((Tableau!$H$25-Q485)/(AD485^2+Tableau!$G$30^2)^(3/2))*Tableau!$G$29</f>
        <v>-2.4243165592145854E-4</v>
      </c>
      <c r="Z485" s="101">
        <f>((Tableau!$G$35-P485)/(AE485^2+Tableau!$G$40^2)^(3/2))*Tableau!$G$39</f>
        <v>1.4361089182134525E-3</v>
      </c>
      <c r="AA485" s="102">
        <f>((Tableau!$H$35-Q485)/(AE485^2+Tableau!$G$40^2)^(3/2))*Tableau!$G$39</f>
        <v>-7.0614328333157327E-4</v>
      </c>
      <c r="AC485" s="113">
        <f>SQRT((Tableau!$G$16-P485)^2+(Tableau!$H$16-Q485)^2)</f>
        <v>18100715.348759592</v>
      </c>
      <c r="AD485" s="114">
        <f>SQRT((Tableau!$G$25-P485)^2+(Tableau!$H$25-Q485)^2)</f>
        <v>18063696.838944033</v>
      </c>
      <c r="AE485" s="115">
        <f>SQRT((Tableau!$G$35-P485)^2+(Tableau!$H$35-Q485)^2)</f>
        <v>18088181.916285578</v>
      </c>
    </row>
    <row r="486" spans="2:31" x14ac:dyDescent="0.25">
      <c r="B486" s="20">
        <v>483</v>
      </c>
      <c r="C486" s="21">
        <f>Tableau!$G$17*COS(B486*PI()/180)+Tableau!$G$16</f>
        <v>17276.804824924868</v>
      </c>
      <c r="D486" s="21">
        <f>Tableau!$G$17*SIN(B486*PI()/180)+Tableau!$H$16</f>
        <v>11693.352839727122</v>
      </c>
      <c r="F486" s="28">
        <v>483</v>
      </c>
      <c r="G486" s="29">
        <f>Tableau!$G$26*COS(F486*PI()/180)+Tableau!$G$25</f>
        <v>-21906.236622552591</v>
      </c>
      <c r="H486" s="29">
        <f>Tableau!$G$26*SIN(F486*PI()/180)+Tableau!$H$25</f>
        <v>12935.346987808985</v>
      </c>
      <c r="J486" s="36">
        <v>483</v>
      </c>
      <c r="K486" s="37">
        <f>Tableau!$G$36*COS(J486*PI()/180)+Tableau!$G$35</f>
        <v>-7723.1951750751323</v>
      </c>
      <c r="L486" s="37">
        <f>Tableau!$G$36*SIN(J486*PI()/180)+Tableau!$H$35</f>
        <v>-10806.647160272878</v>
      </c>
      <c r="N486" s="92">
        <v>482</v>
      </c>
      <c r="O486" s="93">
        <v>241</v>
      </c>
      <c r="P486" s="96">
        <f>P485+R485*Tableau!$G$2+((1/2)*T485)*Tableau!$G$2^2</f>
        <v>-16271404.223274468</v>
      </c>
      <c r="Q486" s="96">
        <f>Q485+S485*Tableau!$G$2+((1/2)*U485)*Tableau!$G$2^2</f>
        <v>7983298.2604678227</v>
      </c>
      <c r="R486" s="96">
        <f>R485+T485*Tableau!$G$2</f>
        <v>-68698.24290058497</v>
      </c>
      <c r="S486" s="96">
        <f>S485+U485*Tableau!$G$2</f>
        <v>33800.747646199561</v>
      </c>
      <c r="T486" s="96">
        <f t="shared" si="14"/>
        <v>3.3513749037146195E-3</v>
      </c>
      <c r="U486" s="96">
        <f t="shared" si="15"/>
        <v>-1.6443070962244447E-3</v>
      </c>
      <c r="V486" s="96">
        <f>((Tableau!$G$16-P486)/(AC486^2+Tableau!$G$21^2)^(3/2))*Tableau!$G$20</f>
        <v>1.429280077852901E-3</v>
      </c>
      <c r="W486" s="96">
        <f>((Tableau!$H$16-Q486)/(AC486^2+Tableau!$G$21^2)^(3/2))*Tableau!$G$20</f>
        <v>-6.9973400711367437E-4</v>
      </c>
      <c r="X486" s="96">
        <f>((Tableau!$G$25-P486)/(AD486^2+Tableau!$G$30^2)^(3/2))*Tableau!$G$29</f>
        <v>4.9204577074665496E-4</v>
      </c>
      <c r="Y486" s="96">
        <f>((Tableau!$H$25-Q486)/(AD486^2+Tableau!$G$30^2)^(3/2))*Tableau!$G$29</f>
        <v>-2.4140853516806861E-4</v>
      </c>
      <c r="Z486" s="96">
        <f>((Tableau!$G$35-P486)/(AE486^2+Tableau!$G$40^2)^(3/2))*Tableau!$G$39</f>
        <v>1.4300490551150636E-3</v>
      </c>
      <c r="AA486" s="97">
        <f>((Tableau!$H$35-Q486)/(AE486^2+Tableau!$G$40^2)^(3/2))*Tableau!$G$39</f>
        <v>-7.0316455394270165E-4</v>
      </c>
      <c r="AC486" s="110">
        <f>SQRT((Tableau!$G$16-P486)^2+(Tableau!$H$16-Q486)^2)</f>
        <v>18138996.925348621</v>
      </c>
      <c r="AD486" s="111">
        <f>SQRT((Tableau!$G$25-P486)^2+(Tableau!$H$25-Q486)^2)</f>
        <v>18101978.465865061</v>
      </c>
      <c r="AE486" s="112">
        <f>SQRT((Tableau!$G$35-P486)^2+(Tableau!$H$35-Q486)^2)</f>
        <v>18126463.566243805</v>
      </c>
    </row>
    <row r="487" spans="2:31" x14ac:dyDescent="0.25">
      <c r="B487" s="18">
        <v>484</v>
      </c>
      <c r="C487" s="19">
        <f>Tableau!$G$17*COS(B487*PI()/180)+Tableau!$G$16</f>
        <v>17204.035482646264</v>
      </c>
      <c r="D487" s="19">
        <f>Tableau!$G$17*SIN(B487*PI()/180)+Tableau!$H$16</f>
        <v>11645.187862775208</v>
      </c>
      <c r="F487" s="26">
        <v>484</v>
      </c>
      <c r="G487" s="27">
        <f>Tableau!$G$26*COS(F487*PI()/180)+Tableau!$G$25</f>
        <v>-21957.175162147614</v>
      </c>
      <c r="H487" s="27">
        <f>Tableau!$G$26*SIN(F487*PI()/180)+Tableau!$H$25</f>
        <v>12901.631503942646</v>
      </c>
      <c r="J487" s="34">
        <v>484</v>
      </c>
      <c r="K487" s="35">
        <f>Tableau!$G$36*COS(J487*PI()/180)+Tableau!$G$35</f>
        <v>-7795.9645173537347</v>
      </c>
      <c r="L487" s="35">
        <f>Tableau!$G$36*SIN(J487*PI()/180)+Tableau!$H$35</f>
        <v>-10854.812137224792</v>
      </c>
      <c r="N487" s="98">
        <v>483</v>
      </c>
      <c r="O487" s="99">
        <v>241.5</v>
      </c>
      <c r="P487" s="101">
        <f>P486+R486*Tableau!$G$2+((1/2)*T486)*Tableau!$G$2^2</f>
        <v>-16305753.344305838</v>
      </c>
      <c r="Q487" s="101">
        <f>Q486+S486*Tableau!$G$2+((1/2)*U486)*Tableau!$G$2^2</f>
        <v>8000198.6340853842</v>
      </c>
      <c r="R487" s="101">
        <f>R486+T486*Tableau!$G$2</f>
        <v>-68698.241224897516</v>
      </c>
      <c r="S487" s="101">
        <f>S486+U486*Tableau!$G$2</f>
        <v>33800.746824046015</v>
      </c>
      <c r="T487" s="101">
        <f t="shared" si="14"/>
        <v>3.3372614778842194E-3</v>
      </c>
      <c r="U487" s="101">
        <f t="shared" si="15"/>
        <v>-1.6373922338778954E-3</v>
      </c>
      <c r="V487" s="101">
        <f>((Tableau!$G$16-P487)/(AC487^2+Tableau!$G$21^2)^(3/2))*Tableau!$G$20</f>
        <v>1.4232633602221884E-3</v>
      </c>
      <c r="W487" s="101">
        <f>((Tableau!$H$16-Q487)/(AC487^2+Tableau!$G$21^2)^(3/2))*Tableau!$G$20</f>
        <v>-6.9679572362027183E-4</v>
      </c>
      <c r="X487" s="101">
        <f>((Tableau!$G$25-P487)/(AD487^2+Tableau!$G$30^2)^(3/2))*Tableau!$G$29</f>
        <v>4.8997065060337028E-4</v>
      </c>
      <c r="Y487" s="101">
        <f>((Tableau!$H$25-Q487)/(AD487^2+Tableau!$G$30^2)^(3/2))*Tableau!$G$29</f>
        <v>-2.4039187751555914E-4</v>
      </c>
      <c r="Z487" s="101">
        <f>((Tableau!$G$35-P487)/(AE487^2+Tableau!$G$40^2)^(3/2))*Tableau!$G$39</f>
        <v>1.4240274670586606E-3</v>
      </c>
      <c r="AA487" s="102">
        <f>((Tableau!$H$35-Q487)/(AE487^2+Tableau!$G$40^2)^(3/2))*Tableau!$G$39</f>
        <v>-7.0020463274206443E-4</v>
      </c>
      <c r="AC487" s="113">
        <f>SQRT((Tableau!$G$16-P487)^2+(Tableau!$H$16-Q487)^2)</f>
        <v>18177278.501316518</v>
      </c>
      <c r="AD487" s="114">
        <f>SQRT((Tableau!$G$25-P487)^2+(Tableau!$H$25-Q487)^2)</f>
        <v>18140260.09195317</v>
      </c>
      <c r="AE487" s="115">
        <f>SQRT((Tableau!$G$35-P487)^2+(Tableau!$H$35-Q487)^2)</f>
        <v>18164745.215271864</v>
      </c>
    </row>
    <row r="488" spans="2:31" x14ac:dyDescent="0.25">
      <c r="B488" s="20">
        <v>485</v>
      </c>
      <c r="C488" s="21">
        <f>Tableau!$G$17*COS(B488*PI()/180)+Tableau!$G$16</f>
        <v>17132.117818244773</v>
      </c>
      <c r="D488" s="21">
        <f>Tableau!$G$17*SIN(B488*PI()/180)+Tableau!$H$16</f>
        <v>11595.760221444962</v>
      </c>
      <c r="F488" s="28">
        <v>485</v>
      </c>
      <c r="G488" s="29">
        <f>Tableau!$G$26*COS(F488*PI()/180)+Tableau!$G$25</f>
        <v>-22007.517527228658</v>
      </c>
      <c r="H488" s="29">
        <f>Tableau!$G$26*SIN(F488*PI()/180)+Tableau!$H$25</f>
        <v>12867.032155011473</v>
      </c>
      <c r="J488" s="36">
        <v>485</v>
      </c>
      <c r="K488" s="37">
        <f>Tableau!$G$36*COS(J488*PI()/180)+Tableau!$G$35</f>
        <v>-7867.8821817552262</v>
      </c>
      <c r="L488" s="37">
        <f>Tableau!$G$36*SIN(J488*PI()/180)+Tableau!$H$35</f>
        <v>-10904.239778555038</v>
      </c>
      <c r="N488" s="92">
        <v>484</v>
      </c>
      <c r="O488" s="93">
        <v>242</v>
      </c>
      <c r="P488" s="96">
        <f>P487+R487*Tableau!$G$2+((1/2)*T487)*Tableau!$G$2^2</f>
        <v>-16340102.464501128</v>
      </c>
      <c r="Q488" s="96">
        <f>Q487+S487*Tableau!$G$2+((1/2)*U487)*Tableau!$G$2^2</f>
        <v>8017099.0072927335</v>
      </c>
      <c r="R488" s="96">
        <f>R487+T487*Tableau!$G$2</f>
        <v>-68698.239556266781</v>
      </c>
      <c r="S488" s="96">
        <f>S487+U487*Tableau!$G$2</f>
        <v>33800.746005349894</v>
      </c>
      <c r="T488" s="96">
        <f t="shared" si="14"/>
        <v>3.3232370173959217E-3</v>
      </c>
      <c r="U488" s="96">
        <f t="shared" si="15"/>
        <v>-1.6305208990748422E-3</v>
      </c>
      <c r="V488" s="96">
        <f>((Tableau!$G$16-P488)/(AC488^2+Tableau!$G$21^2)^(3/2))*Tableau!$G$20</f>
        <v>1.4172845549322774E-3</v>
      </c>
      <c r="W488" s="96">
        <f>((Tableau!$H$16-Q488)/(AC488^2+Tableau!$G$21^2)^(3/2))*Tableau!$G$20</f>
        <v>-6.9387590871565171E-4</v>
      </c>
      <c r="X488" s="96">
        <f>((Tableau!$G$25-P488)/(AD488^2+Tableau!$G$30^2)^(3/2))*Tableau!$G$29</f>
        <v>4.8790863007785139E-4</v>
      </c>
      <c r="Y488" s="96">
        <f>((Tableau!$H$25-Q488)/(AD488^2+Tableau!$G$30^2)^(3/2))*Tableau!$G$29</f>
        <v>-2.3938162864134578E-4</v>
      </c>
      <c r="Z488" s="96">
        <f>((Tableau!$G$35-P488)/(AE488^2+Tableau!$G$40^2)^(3/2))*Tableau!$G$39</f>
        <v>1.4180438323857928E-3</v>
      </c>
      <c r="AA488" s="97">
        <f>((Tableau!$H$35-Q488)/(AE488^2+Tableau!$G$40^2)^(3/2))*Tableau!$G$39</f>
        <v>-6.9726336171784485E-4</v>
      </c>
      <c r="AC488" s="110">
        <f>SQRT((Tableau!$G$16-P488)^2+(Tableau!$H$16-Q488)^2)</f>
        <v>18215560.076665241</v>
      </c>
      <c r="AD488" s="111">
        <f>SQRT((Tableau!$G$25-P488)^2+(Tableau!$H$25-Q488)^2)</f>
        <v>18178541.717211645</v>
      </c>
      <c r="AE488" s="112">
        <f>SQRT((Tableau!$G$35-P488)^2+(Tableau!$H$35-Q488)^2)</f>
        <v>18203026.863373678</v>
      </c>
    </row>
    <row r="489" spans="2:31" x14ac:dyDescent="0.25">
      <c r="B489" s="18">
        <v>486</v>
      </c>
      <c r="C489" s="19">
        <f>Tableau!$G$17*COS(B489*PI()/180)+Tableau!$G$16</f>
        <v>17061.073738537634</v>
      </c>
      <c r="D489" s="19">
        <f>Tableau!$G$17*SIN(B489*PI()/180)+Tableau!$H$16</f>
        <v>11545.084971874738</v>
      </c>
      <c r="F489" s="26">
        <v>486</v>
      </c>
      <c r="G489" s="27">
        <f>Tableau!$G$26*COS(F489*PI()/180)+Tableau!$G$25</f>
        <v>-22057.248383023656</v>
      </c>
      <c r="H489" s="27">
        <f>Tableau!$G$26*SIN(F489*PI()/180)+Tableau!$H$25</f>
        <v>12831.559480312317</v>
      </c>
      <c r="J489" s="34">
        <v>486</v>
      </c>
      <c r="K489" s="35">
        <f>Tableau!$G$36*COS(J489*PI()/180)+Tableau!$G$35</f>
        <v>-7938.926261462364</v>
      </c>
      <c r="L489" s="35">
        <f>Tableau!$G$36*SIN(J489*PI()/180)+Tableau!$H$35</f>
        <v>-10954.915028125262</v>
      </c>
      <c r="N489" s="98">
        <v>485</v>
      </c>
      <c r="O489" s="99">
        <v>242.5</v>
      </c>
      <c r="P489" s="101">
        <f>P488+R488*Tableau!$G$2+((1/2)*T488)*Tableau!$G$2^2</f>
        <v>-16374451.583863856</v>
      </c>
      <c r="Q489" s="101">
        <f>Q488+S488*Tableau!$G$2+((1/2)*U488)*Tableau!$G$2^2</f>
        <v>8033999.3800915936</v>
      </c>
      <c r="R489" s="101">
        <f>R488+T488*Tableau!$G$2</f>
        <v>-68698.237894648279</v>
      </c>
      <c r="S489" s="101">
        <f>S488+U488*Tableau!$G$2</f>
        <v>33800.745190089445</v>
      </c>
      <c r="T489" s="101">
        <f t="shared" si="14"/>
        <v>3.30930077608069E-3</v>
      </c>
      <c r="U489" s="101">
        <f t="shared" si="15"/>
        <v>-1.6236927272512938E-3</v>
      </c>
      <c r="V489" s="101">
        <f>((Tableau!$G$16-P489)/(AC489^2+Tableau!$G$21^2)^(3/2))*Tableau!$G$20</f>
        <v>1.4113433441280561E-3</v>
      </c>
      <c r="W489" s="101">
        <f>((Tableau!$H$16-Q489)/(AC489^2+Tableau!$G$21^2)^(3/2))*Tableau!$G$20</f>
        <v>-6.9097440794481358E-4</v>
      </c>
      <c r="X489" s="101">
        <f>((Tableau!$G$25-P489)/(AD489^2+Tableau!$G$30^2)^(3/2))*Tableau!$G$29</f>
        <v>4.8585959914274616E-4</v>
      </c>
      <c r="Y489" s="101">
        <f>((Tableau!$H$25-Q489)/(AD489^2+Tableau!$G$30^2)^(3/2))*Tableau!$G$29</f>
        <v>-2.3837773479236946E-4</v>
      </c>
      <c r="Z489" s="101">
        <f>((Tableau!$G$35-P489)/(AE489^2+Tableau!$G$40^2)^(3/2))*Tableau!$G$39</f>
        <v>1.4120978328098876E-3</v>
      </c>
      <c r="AA489" s="102">
        <f>((Tableau!$H$35-Q489)/(AE489^2+Tableau!$G$40^2)^(3/2))*Tableau!$G$39</f>
        <v>-6.9434058451411094E-4</v>
      </c>
      <c r="AC489" s="113">
        <f>SQRT((Tableau!$G$16-P489)^2+(Tableau!$H$16-Q489)^2)</f>
        <v>18253841.651396751</v>
      </c>
      <c r="AD489" s="114">
        <f>SQRT((Tableau!$G$25-P489)^2+(Tableau!$H$25-Q489)^2)</f>
        <v>18216823.341643769</v>
      </c>
      <c r="AE489" s="115">
        <f>SQRT((Tableau!$G$35-P489)^2+(Tableau!$H$35-Q489)^2)</f>
        <v>18241308.510553122</v>
      </c>
    </row>
    <row r="490" spans="2:31" x14ac:dyDescent="0.25">
      <c r="B490" s="20">
        <v>487</v>
      </c>
      <c r="C490" s="21">
        <f>Tableau!$G$17*COS(B490*PI()/180)+Tableau!$G$16</f>
        <v>16990.924884239765</v>
      </c>
      <c r="D490" s="21">
        <f>Tableau!$G$17*SIN(B490*PI()/180)+Tableau!$H$16</f>
        <v>11493.177550236469</v>
      </c>
      <c r="F490" s="28">
        <v>487</v>
      </c>
      <c r="G490" s="29">
        <f>Tableau!$G$26*COS(F490*PI()/180)+Tableau!$G$25</f>
        <v>-22106.352581032166</v>
      </c>
      <c r="H490" s="29">
        <f>Tableau!$G$26*SIN(F490*PI()/180)+Tableau!$H$25</f>
        <v>12795.224285165528</v>
      </c>
      <c r="J490" s="36">
        <v>487</v>
      </c>
      <c r="K490" s="37">
        <f>Tableau!$G$36*COS(J490*PI()/180)+Tableau!$G$35</f>
        <v>-8009.0751157602353</v>
      </c>
      <c r="L490" s="37">
        <f>Tableau!$G$36*SIN(J490*PI()/180)+Tableau!$H$35</f>
        <v>-11006.822449763531</v>
      </c>
      <c r="N490" s="92">
        <v>486</v>
      </c>
      <c r="O490" s="93">
        <v>243</v>
      </c>
      <c r="P490" s="96">
        <f>P489+R489*Tableau!$G$2+((1/2)*T489)*Tableau!$G$2^2</f>
        <v>-16408800.702397518</v>
      </c>
      <c r="Q490" s="96">
        <f>Q489+S489*Tableau!$G$2+((1/2)*U489)*Tableau!$G$2^2</f>
        <v>8050899.7524836771</v>
      </c>
      <c r="R490" s="96">
        <f>R489+T489*Tableau!$G$2</f>
        <v>-68698.236239997888</v>
      </c>
      <c r="S490" s="96">
        <f>S489+U489*Tableau!$G$2</f>
        <v>33800.744378243078</v>
      </c>
      <c r="T490" s="96">
        <f t="shared" si="14"/>
        <v>3.2954520155760196E-3</v>
      </c>
      <c r="U490" s="96">
        <f t="shared" si="15"/>
        <v>-1.6169073576520654E-3</v>
      </c>
      <c r="V490" s="96">
        <f>((Tableau!$G$16-P490)/(AC490^2+Tableau!$G$21^2)^(3/2))*Tableau!$G$20</f>
        <v>1.4054394132785408E-3</v>
      </c>
      <c r="W490" s="96">
        <f>((Tableau!$H$16-Q490)/(AC490^2+Tableau!$G$21^2)^(3/2))*Tableau!$G$20</f>
        <v>-6.8809106846403636E-4</v>
      </c>
      <c r="X490" s="96">
        <f>((Tableau!$G$25-P490)/(AD490^2+Tableau!$G$30^2)^(3/2))*Tableau!$G$29</f>
        <v>4.8382344892349439E-4</v>
      </c>
      <c r="Y490" s="96">
        <f>((Tableau!$H$25-Q490)/(AD490^2+Tableau!$G$30^2)^(3/2))*Tableau!$G$29</f>
        <v>-2.3738014277796434E-4</v>
      </c>
      <c r="Z490" s="96">
        <f>((Tableau!$G$35-P490)/(AE490^2+Tableau!$G$40^2)^(3/2))*Tableau!$G$39</f>
        <v>1.4061891533739847E-3</v>
      </c>
      <c r="AA490" s="97">
        <f>((Tableau!$H$35-Q490)/(AE490^2+Tableau!$G$40^2)^(3/2))*Tableau!$G$39</f>
        <v>-6.9143614641006487E-4</v>
      </c>
      <c r="AC490" s="110">
        <f>SQRT((Tableau!$G$16-P490)^2+(Tableau!$H$16-Q490)^2)</f>
        <v>18292123.225512989</v>
      </c>
      <c r="AD490" s="111">
        <f>SQRT((Tableau!$G$25-P490)^2+(Tableau!$H$25-Q490)^2)</f>
        <v>18255104.965252802</v>
      </c>
      <c r="AE490" s="112">
        <f>SQRT((Tableau!$G$35-P490)^2+(Tableau!$H$35-Q490)^2)</f>
        <v>18279590.156814061</v>
      </c>
    </row>
    <row r="491" spans="2:31" x14ac:dyDescent="0.25">
      <c r="B491" s="18">
        <v>488</v>
      </c>
      <c r="C491" s="19">
        <f>Tableau!$G$17*COS(B491*PI()/180)+Tableau!$G$16</f>
        <v>16921.692623371709</v>
      </c>
      <c r="D491" s="19">
        <f>Tableau!$G$17*SIN(B491*PI()/180)+Tableau!$H$16</f>
        <v>11440.053768033613</v>
      </c>
      <c r="F491" s="26">
        <v>488</v>
      </c>
      <c r="G491" s="27">
        <f>Tableau!$G$26*COS(F491*PI()/180)+Tableau!$G$25</f>
        <v>-22154.815163639803</v>
      </c>
      <c r="H491" s="27">
        <f>Tableau!$G$26*SIN(F491*PI()/180)+Tableau!$H$25</f>
        <v>12758.037637623529</v>
      </c>
      <c r="J491" s="34">
        <v>488</v>
      </c>
      <c r="K491" s="35">
        <f>Tableau!$G$36*COS(J491*PI()/180)+Tableau!$G$35</f>
        <v>-8078.3073766282887</v>
      </c>
      <c r="L491" s="35">
        <f>Tableau!$G$36*SIN(J491*PI()/180)+Tableau!$H$35</f>
        <v>-11059.946231966387</v>
      </c>
      <c r="N491" s="98">
        <v>487</v>
      </c>
      <c r="O491" s="99">
        <v>243.5</v>
      </c>
      <c r="P491" s="101">
        <f>P490+R490*Tableau!$G$2+((1/2)*T490)*Tableau!$G$2^2</f>
        <v>-16443149.820105586</v>
      </c>
      <c r="Q491" s="101">
        <f>Q490+S490*Tableau!$G$2+((1/2)*U490)*Tableau!$G$2^2</f>
        <v>8067800.1244706847</v>
      </c>
      <c r="R491" s="101">
        <f>R490+T490*Tableau!$G$2</f>
        <v>-68698.234592271881</v>
      </c>
      <c r="S491" s="101">
        <f>S490+U490*Tableau!$G$2</f>
        <v>33800.743569789396</v>
      </c>
      <c r="T491" s="101">
        <f t="shared" si="14"/>
        <v>3.2816900052279893E-3</v>
      </c>
      <c r="U491" s="101">
        <f t="shared" si="15"/>
        <v>-1.610164433283056E-3</v>
      </c>
      <c r="V491" s="101">
        <f>((Tableau!$G$16-P491)/(AC491^2+Tableau!$G$21^2)^(3/2))*Tableau!$G$20</f>
        <v>1.399572451135199E-3</v>
      </c>
      <c r="W491" s="101">
        <f>((Tableau!$H$16-Q491)/(AC491^2+Tableau!$G$21^2)^(3/2))*Tableau!$G$20</f>
        <v>-6.8522573902072626E-4</v>
      </c>
      <c r="X491" s="101">
        <f>((Tableau!$G$25-P491)/(AD491^2+Tableau!$G$30^2)^(3/2))*Tableau!$G$29</f>
        <v>4.8180007168382858E-4</v>
      </c>
      <c r="Y491" s="101">
        <f>((Tableau!$H$25-Q491)/(AD491^2+Tableau!$G$30^2)^(3/2))*Tableau!$G$29</f>
        <v>-2.363887999627942E-4</v>
      </c>
      <c r="Z491" s="101">
        <f>((Tableau!$G$35-P491)/(AE491^2+Tableau!$G$40^2)^(3/2))*Tableau!$G$39</f>
        <v>1.4003174824089618E-3</v>
      </c>
      <c r="AA491" s="102">
        <f>((Tableau!$H$35-Q491)/(AE491^2+Tableau!$G$40^2)^(3/2))*Tableau!$G$39</f>
        <v>-6.8854989429953568E-4</v>
      </c>
      <c r="AC491" s="113">
        <f>SQRT((Tableau!$G$16-P491)^2+(Tableau!$H$16-Q491)^2)</f>
        <v>18330404.799015891</v>
      </c>
      <c r="AD491" s="114">
        <f>SQRT((Tableau!$G$25-P491)^2+(Tableau!$H$25-Q491)^2)</f>
        <v>18293386.588041972</v>
      </c>
      <c r="AE491" s="115">
        <f>SQRT((Tableau!$G$35-P491)^2+(Tableau!$H$35-Q491)^2)</f>
        <v>18317871.802160334</v>
      </c>
    </row>
    <row r="492" spans="2:31" x14ac:dyDescent="0.25">
      <c r="B492" s="20">
        <v>489</v>
      </c>
      <c r="C492" s="21">
        <f>Tableau!$G$17*COS(B492*PI()/180)+Tableau!$G$16</f>
        <v>16853.398044750815</v>
      </c>
      <c r="D492" s="21">
        <f>Tableau!$G$17*SIN(B492*PI()/180)+Tableau!$H$16</f>
        <v>11385.729807284853</v>
      </c>
      <c r="F492" s="28">
        <v>489</v>
      </c>
      <c r="G492" s="29">
        <f>Tableau!$G$26*COS(F492*PI()/180)+Tableau!$G$25</f>
        <v>-22202.62136867443</v>
      </c>
      <c r="H492" s="29">
        <f>Tableau!$G$26*SIN(F492*PI()/180)+Tableau!$H$25</f>
        <v>12720.010865099397</v>
      </c>
      <c r="J492" s="36">
        <v>489</v>
      </c>
      <c r="K492" s="37">
        <f>Tableau!$G$36*COS(J492*PI()/180)+Tableau!$G$35</f>
        <v>-8146.6019552491871</v>
      </c>
      <c r="L492" s="37">
        <f>Tableau!$G$36*SIN(J492*PI()/180)+Tableau!$H$35</f>
        <v>-11114.270192715147</v>
      </c>
      <c r="N492" s="92">
        <v>488</v>
      </c>
      <c r="O492" s="93">
        <v>244</v>
      </c>
      <c r="P492" s="96">
        <f>P491+R491*Tableau!$G$2+((1/2)*T491)*Tableau!$G$2^2</f>
        <v>-16477498.936991511</v>
      </c>
      <c r="Q492" s="96">
        <f>Q491+S491*Tableau!$G$2+((1/2)*U491)*Tableau!$G$2^2</f>
        <v>8084700.4960543085</v>
      </c>
      <c r="R492" s="96">
        <f>R491+T491*Tableau!$G$2</f>
        <v>-68698.232951426879</v>
      </c>
      <c r="S492" s="96">
        <f>S491+U491*Tableau!$G$2</f>
        <v>33800.742764707182</v>
      </c>
      <c r="T492" s="96">
        <f t="shared" si="14"/>
        <v>3.2680140219950144E-3</v>
      </c>
      <c r="U492" s="96">
        <f t="shared" si="15"/>
        <v>-1.6034636008643555E-3</v>
      </c>
      <c r="V492" s="96">
        <f>((Tableau!$G$16-P492)/(AC492^2+Tableau!$G$21^2)^(3/2))*Tableau!$G$20</f>
        <v>1.3937421496910583E-3</v>
      </c>
      <c r="W492" s="96">
        <f>((Tableau!$H$16-Q492)/(AC492^2+Tableau!$G$21^2)^(3/2))*Tableau!$G$20</f>
        <v>-6.8237826993364497E-4</v>
      </c>
      <c r="X492" s="96">
        <f>((Tableau!$G$25-P492)/(AD492^2+Tableau!$G$30^2)^(3/2))*Tableau!$G$29</f>
        <v>4.7978936081152611E-4</v>
      </c>
      <c r="Y492" s="96">
        <f>((Tableau!$H$25-Q492)/(AD492^2+Tableau!$G$30^2)^(3/2))*Tableau!$G$29</f>
        <v>-2.3540365425991141E-4</v>
      </c>
      <c r="Z492" s="96">
        <f>((Tableau!$G$35-P492)/(AE492^2+Tableau!$G$40^2)^(3/2))*Tableau!$G$39</f>
        <v>1.3944825114924301E-3</v>
      </c>
      <c r="AA492" s="97">
        <f>((Tableau!$H$35-Q492)/(AE492^2+Tableau!$G$40^2)^(3/2))*Tableau!$G$39</f>
        <v>-6.8568167667079909E-4</v>
      </c>
      <c r="AC492" s="110">
        <f>SQRT((Tableau!$G$16-P492)^2+(Tableau!$H$16-Q492)^2)</f>
        <v>18368686.371907383</v>
      </c>
      <c r="AD492" s="111">
        <f>SQRT((Tableau!$G$25-P492)^2+(Tableau!$H$25-Q492)^2)</f>
        <v>18331668.210014507</v>
      </c>
      <c r="AE492" s="112">
        <f>SQRT((Tableau!$G$35-P492)^2+(Tableau!$H$35-Q492)^2)</f>
        <v>18356153.446595747</v>
      </c>
    </row>
    <row r="493" spans="2:31" x14ac:dyDescent="0.25">
      <c r="B493" s="18">
        <v>490</v>
      </c>
      <c r="C493" s="19">
        <f>Tableau!$G$17*COS(B493*PI()/180)+Tableau!$G$16</f>
        <v>16786.061951567306</v>
      </c>
      <c r="D493" s="19">
        <f>Tableau!$G$17*SIN(B493*PI()/180)+Tableau!$H$16</f>
        <v>11330.222215594895</v>
      </c>
      <c r="F493" s="26">
        <v>490</v>
      </c>
      <c r="G493" s="27">
        <f>Tableau!$G$26*COS(F493*PI()/180)+Tableau!$G$25</f>
        <v>-22249.756633902885</v>
      </c>
      <c r="H493" s="27">
        <f>Tableau!$G$26*SIN(F493*PI()/180)+Tableau!$H$25</f>
        <v>12681.155550916426</v>
      </c>
      <c r="J493" s="34">
        <v>490</v>
      </c>
      <c r="K493" s="35">
        <f>Tableau!$G$36*COS(J493*PI()/180)+Tableau!$G$35</f>
        <v>-8213.9380484326921</v>
      </c>
      <c r="L493" s="35">
        <f>Tableau!$G$36*SIN(J493*PI()/180)+Tableau!$H$35</f>
        <v>-11169.777784405105</v>
      </c>
      <c r="N493" s="98">
        <v>489</v>
      </c>
      <c r="O493" s="99">
        <v>244.5</v>
      </c>
      <c r="P493" s="101">
        <f>P492+R492*Tableau!$G$2+((1/2)*T492)*Tableau!$G$2^2</f>
        <v>-16511848.053058723</v>
      </c>
      <c r="Q493" s="101">
        <f>Q492+S492*Tableau!$G$2+((1/2)*U492)*Tableau!$G$2^2</f>
        <v>8101600.8672362296</v>
      </c>
      <c r="R493" s="101">
        <f>R492+T492*Tableau!$G$2</f>
        <v>-68698.231317419864</v>
      </c>
      <c r="S493" s="101">
        <f>S492+U492*Tableau!$G$2</f>
        <v>33800.741962975379</v>
      </c>
      <c r="T493" s="101">
        <f t="shared" si="14"/>
        <v>3.2544233503527973E-3</v>
      </c>
      <c r="U493" s="101">
        <f t="shared" si="15"/>
        <v>-1.5968045107839308E-3</v>
      </c>
      <c r="V493" s="101">
        <f>((Tableau!$G$16-P493)/(AC493^2+Tableau!$G$21^2)^(3/2))*Tableau!$G$20</f>
        <v>1.3879482041401344E-3</v>
      </c>
      <c r="W493" s="101">
        <f>((Tableau!$H$16-Q493)/(AC493^2+Tableau!$G$21^2)^(3/2))*Tableau!$G$20</f>
        <v>-6.7954851307329065E-4</v>
      </c>
      <c r="X493" s="101">
        <f>((Tableau!$G$25-P493)/(AD493^2+Tableau!$G$30^2)^(3/2))*Tableau!$G$29</f>
        <v>4.7779121080439221E-4</v>
      </c>
      <c r="Y493" s="101">
        <f>((Tableau!$H$25-Q493)/(AD493^2+Tableau!$G$30^2)^(3/2))*Tableau!$G$29</f>
        <v>-2.344246541239281E-4</v>
      </c>
      <c r="Z493" s="101">
        <f>((Tableau!$G$35-P493)/(AE493^2+Tableau!$G$40^2)^(3/2))*Tableau!$G$39</f>
        <v>1.3886839354082705E-3</v>
      </c>
      <c r="AA493" s="102">
        <f>((Tableau!$H$35-Q493)/(AE493^2+Tableau!$G$40^2)^(3/2))*Tableau!$G$39</f>
        <v>-6.828313435867121E-4</v>
      </c>
      <c r="AC493" s="113">
        <f>SQRT((Tableau!$G$16-P493)^2+(Tableau!$H$16-Q493)^2)</f>
        <v>18406967.944189388</v>
      </c>
      <c r="AD493" s="114">
        <f>SQRT((Tableau!$G$25-P493)^2+(Tableau!$H$25-Q493)^2)</f>
        <v>18369949.831173599</v>
      </c>
      <c r="AE493" s="115">
        <f>SQRT((Tableau!$G$35-P493)^2+(Tableau!$H$35-Q493)^2)</f>
        <v>18394435.090124093</v>
      </c>
    </row>
    <row r="494" spans="2:31" x14ac:dyDescent="0.25">
      <c r="B494" s="20">
        <v>491</v>
      </c>
      <c r="C494" s="21">
        <f>Tableau!$G$17*COS(B494*PI()/180)+Tableau!$G$16</f>
        <v>16719.704855047465</v>
      </c>
      <c r="D494" s="21">
        <f>Tableau!$G$17*SIN(B494*PI()/180)+Tableau!$H$16</f>
        <v>11273.547901113861</v>
      </c>
      <c r="F494" s="28">
        <v>491</v>
      </c>
      <c r="G494" s="29">
        <f>Tableau!$G$26*COS(F494*PI()/180)+Tableau!$G$25</f>
        <v>-22296.206601466773</v>
      </c>
      <c r="H494" s="29">
        <f>Tableau!$G$26*SIN(F494*PI()/180)+Tableau!$H$25</f>
        <v>12641.483530779704</v>
      </c>
      <c r="J494" s="36">
        <v>491</v>
      </c>
      <c r="K494" s="37">
        <f>Tableau!$G$36*COS(J494*PI()/180)+Tableau!$G$35</f>
        <v>-8280.2951449525353</v>
      </c>
      <c r="L494" s="37">
        <f>Tableau!$G$36*SIN(J494*PI()/180)+Tableau!$H$35</f>
        <v>-11226.452098886139</v>
      </c>
      <c r="N494" s="92">
        <v>490</v>
      </c>
      <c r="O494" s="93">
        <v>245</v>
      </c>
      <c r="P494" s="96">
        <f>P493+R493*Tableau!$G$2+((1/2)*T493)*Tableau!$G$2^2</f>
        <v>-16546197.168310629</v>
      </c>
      <c r="Q494" s="96">
        <f>Q493+S493*Tableau!$G$2+((1/2)*U493)*Tableau!$G$2^2</f>
        <v>8118501.2380181169</v>
      </c>
      <c r="R494" s="96">
        <f>R493+T493*Tableau!$G$2</f>
        <v>-68698.229690208187</v>
      </c>
      <c r="S494" s="96">
        <f>S493+U493*Tableau!$G$2</f>
        <v>33800.741164573126</v>
      </c>
      <c r="T494" s="96">
        <f t="shared" si="14"/>
        <v>3.2409172822007691E-3</v>
      </c>
      <c r="U494" s="96">
        <f t="shared" si="15"/>
        <v>-1.5901868170520408E-3</v>
      </c>
      <c r="V494" s="96">
        <f>((Tableau!$G$16-P494)/(AC494^2+Tableau!$G$21^2)^(3/2))*Tableau!$G$20</f>
        <v>1.3821903128376713E-3</v>
      </c>
      <c r="W494" s="96">
        <f>((Tableau!$H$16-Q494)/(AC494^2+Tableau!$G$21^2)^(3/2))*Tableau!$G$20</f>
        <v>-6.7673632184267062E-4</v>
      </c>
      <c r="X494" s="96">
        <f>((Tableau!$G$25-P494)/(AD494^2+Tableau!$G$30^2)^(3/2))*Tableau!$G$29</f>
        <v>4.7580551725639829E-4</v>
      </c>
      <c r="Y494" s="96">
        <f>((Tableau!$H$25-Q494)/(AD494^2+Tableau!$G$30^2)^(3/2))*Tableau!$G$29</f>
        <v>-2.3345174854426249E-4</v>
      </c>
      <c r="Z494" s="96">
        <f>((Tableau!$G$35-P494)/(AE494^2+Tableau!$G$40^2)^(3/2))*Tableau!$G$39</f>
        <v>1.3829214521066998E-3</v>
      </c>
      <c r="AA494" s="97">
        <f>((Tableau!$H$35-Q494)/(AE494^2+Tableau!$G$40^2)^(3/2))*Tableau!$G$39</f>
        <v>-6.7999874666510769E-4</v>
      </c>
      <c r="AC494" s="110">
        <f>SQRT((Tableau!$G$16-P494)^2+(Tableau!$H$16-Q494)^2)</f>
        <v>18445249.515863821</v>
      </c>
      <c r="AD494" s="111">
        <f>SQRT((Tableau!$G$25-P494)^2+(Tableau!$H$25-Q494)^2)</f>
        <v>18408231.451522429</v>
      </c>
      <c r="AE494" s="112">
        <f>SQRT((Tableau!$G$35-P494)^2+(Tableau!$H$35-Q494)^2)</f>
        <v>18432716.732749131</v>
      </c>
    </row>
    <row r="495" spans="2:31" x14ac:dyDescent="0.25">
      <c r="B495" s="18">
        <v>492</v>
      </c>
      <c r="C495" s="19">
        <f>Tableau!$G$17*COS(B495*PI()/180)+Tableau!$G$16</f>
        <v>16654.346968205708</v>
      </c>
      <c r="D495" s="19">
        <f>Tableau!$G$17*SIN(B495*PI()/180)+Tableau!$H$16</f>
        <v>11215.724127386969</v>
      </c>
      <c r="F495" s="26">
        <v>492</v>
      </c>
      <c r="G495" s="27">
        <f>Tableau!$G$26*COS(F495*PI()/180)+Tableau!$G$25</f>
        <v>-22341.957122256004</v>
      </c>
      <c r="H495" s="27">
        <f>Tableau!$G$26*SIN(F495*PI()/180)+Tableau!$H$25</f>
        <v>12601.00688917088</v>
      </c>
      <c r="J495" s="34">
        <v>492</v>
      </c>
      <c r="K495" s="35">
        <f>Tableau!$G$36*COS(J495*PI()/180)+Tableau!$G$35</f>
        <v>-8345.6530317942925</v>
      </c>
      <c r="L495" s="35">
        <f>Tableau!$G$36*SIN(J495*PI()/180)+Tableau!$H$35</f>
        <v>-11284.275872613031</v>
      </c>
      <c r="N495" s="98">
        <v>491</v>
      </c>
      <c r="O495" s="99">
        <v>245.5</v>
      </c>
      <c r="P495" s="101">
        <f>P494+R494*Tableau!$G$2+((1/2)*T494)*Tableau!$G$2^2</f>
        <v>-16580546.28275062</v>
      </c>
      <c r="Q495" s="101">
        <f>Q494+S494*Tableau!$G$2+((1/2)*U494)*Tableau!$G$2^2</f>
        <v>8135401.6084016301</v>
      </c>
      <c r="R495" s="101">
        <f>R494+T494*Tableau!$G$2</f>
        <v>-68698.228069749544</v>
      </c>
      <c r="S495" s="101">
        <f>S494+U494*Tableau!$G$2</f>
        <v>33800.740369479718</v>
      </c>
      <c r="T495" s="101">
        <f t="shared" si="14"/>
        <v>3.2274951167699075E-3</v>
      </c>
      <c r="U495" s="101">
        <f t="shared" si="15"/>
        <v>-1.5836101772563177E-3</v>
      </c>
      <c r="V495" s="101">
        <f>((Tableau!$G$16-P495)/(AC495^2+Tableau!$G$21^2)^(3/2))*Tableau!$G$20</f>
        <v>1.376468177260939E-3</v>
      </c>
      <c r="W495" s="101">
        <f>((Tableau!$H$16-Q495)/(AC495^2+Tableau!$G$21^2)^(3/2))*Tableau!$G$20</f>
        <v>-6.7394155115834482E-4</v>
      </c>
      <c r="X495" s="101">
        <f>((Tableau!$G$25-P495)/(AD495^2+Tableau!$G$30^2)^(3/2))*Tableau!$G$29</f>
        <v>4.738321768440375E-4</v>
      </c>
      <c r="Y495" s="101">
        <f>((Tableau!$H$25-Q495)/(AD495^2+Tableau!$G$30^2)^(3/2))*Tableau!$G$29</f>
        <v>-2.3248488703849149E-4</v>
      </c>
      <c r="Z495" s="101">
        <f>((Tableau!$G$35-P495)/(AE495^2+Tableau!$G$40^2)^(3/2))*Tableau!$G$39</f>
        <v>1.3771947626649308E-3</v>
      </c>
      <c r="AA495" s="102">
        <f>((Tableau!$H$35-Q495)/(AE495^2+Tableau!$G$40^2)^(3/2))*Tableau!$G$39</f>
        <v>-6.771837390594814E-4</v>
      </c>
      <c r="AC495" s="113">
        <f>SQRT((Tableau!$G$16-P495)^2+(Tableau!$H$16-Q495)^2)</f>
        <v>18483531.086932585</v>
      </c>
      <c r="AD495" s="114">
        <f>SQRT((Tableau!$G$25-P495)^2+(Tableau!$H$25-Q495)^2)</f>
        <v>18446513.071064167</v>
      </c>
      <c r="AE495" s="115">
        <f>SQRT((Tableau!$G$35-P495)^2+(Tableau!$H$35-Q495)^2)</f>
        <v>18470998.374474611</v>
      </c>
    </row>
    <row r="496" spans="2:31" x14ac:dyDescent="0.25">
      <c r="B496" s="20">
        <v>493</v>
      </c>
      <c r="C496" s="21">
        <f>Tableau!$G$17*COS(B496*PI()/180)+Tableau!$G$16</f>
        <v>16590.008199687505</v>
      </c>
      <c r="D496" s="21">
        <f>Tableau!$G$17*SIN(B496*PI()/180)+Tableau!$H$16</f>
        <v>11156.768508095849</v>
      </c>
      <c r="F496" s="28">
        <v>493</v>
      </c>
      <c r="G496" s="29">
        <f>Tableau!$G$26*COS(F496*PI()/180)+Tableau!$G$25</f>
        <v>-22386.994260218748</v>
      </c>
      <c r="H496" s="29">
        <f>Tableau!$G$26*SIN(F496*PI()/180)+Tableau!$H$25</f>
        <v>12559.737955667095</v>
      </c>
      <c r="J496" s="36">
        <v>493</v>
      </c>
      <c r="K496" s="37">
        <f>Tableau!$G$36*COS(J496*PI()/180)+Tableau!$G$35</f>
        <v>-8409.9918003124949</v>
      </c>
      <c r="L496" s="37">
        <f>Tableau!$G$36*SIN(J496*PI()/180)+Tableau!$H$35</f>
        <v>-11343.231491904151</v>
      </c>
      <c r="N496" s="92">
        <v>492</v>
      </c>
      <c r="O496" s="93">
        <v>246</v>
      </c>
      <c r="P496" s="96">
        <f>P495+R495*Tableau!$G$2+((1/2)*T495)*Tableau!$G$2^2</f>
        <v>-16614895.396382056</v>
      </c>
      <c r="Q496" s="96">
        <f>Q495+S495*Tableau!$G$2+((1/2)*U495)*Tableau!$G$2^2</f>
        <v>8152301.9783884184</v>
      </c>
      <c r="R496" s="96">
        <f>R495+T495*Tableau!$G$2</f>
        <v>-68698.226456001983</v>
      </c>
      <c r="S496" s="96">
        <f>S495+U495*Tableau!$G$2</f>
        <v>33800.739577674627</v>
      </c>
      <c r="T496" s="96">
        <f t="shared" si="14"/>
        <v>3.2141561605316888E-3</v>
      </c>
      <c r="U496" s="96">
        <f t="shared" si="15"/>
        <v>-1.5770742525174053E-3</v>
      </c>
      <c r="V496" s="96">
        <f>((Tableau!$G$16-P496)/(AC496^2+Tableau!$G$21^2)^(3/2))*Tableau!$G$20</f>
        <v>1.3707815019703563E-3</v>
      </c>
      <c r="W496" s="96">
        <f>((Tableau!$H$16-Q496)/(AC496^2+Tableau!$G$21^2)^(3/2))*Tableau!$G$20</f>
        <v>-6.7116405743162285E-4</v>
      </c>
      <c r="X496" s="96">
        <f>((Tableau!$G$25-P496)/(AD496^2+Tableau!$G$30^2)^(3/2))*Tableau!$G$29</f>
        <v>4.7187108731291158E-4</v>
      </c>
      <c r="Y496" s="96">
        <f>((Tableau!$H$25-Q496)/(AD496^2+Tableau!$G$30^2)^(3/2))*Tableau!$G$29</f>
        <v>-2.3152401964581562E-4</v>
      </c>
      <c r="Z496" s="96">
        <f>((Tableau!$G$35-P496)/(AE496^2+Tableau!$G$40^2)^(3/2))*Tableau!$G$39</f>
        <v>1.3715035712484212E-3</v>
      </c>
      <c r="AA496" s="97">
        <f>((Tableau!$H$35-Q496)/(AE496^2+Tableau!$G$40^2)^(3/2))*Tableau!$G$39</f>
        <v>-6.7438617543996704E-4</v>
      </c>
      <c r="AC496" s="110">
        <f>SQRT((Tableau!$G$16-P496)^2+(Tableau!$H$16-Q496)^2)</f>
        <v>18521812.657397568</v>
      </c>
      <c r="AD496" s="111">
        <f>SQRT((Tableau!$G$25-P496)^2+(Tableau!$H$25-Q496)^2)</f>
        <v>18484794.68980195</v>
      </c>
      <c r="AE496" s="112">
        <f>SQRT((Tableau!$G$35-P496)^2+(Tableau!$H$35-Q496)^2)</f>
        <v>18509280.015304249</v>
      </c>
    </row>
    <row r="497" spans="2:31" x14ac:dyDescent="0.25">
      <c r="B497" s="18">
        <v>494</v>
      </c>
      <c r="C497" s="19">
        <f>Tableau!$G$17*COS(B497*PI()/180)+Tableau!$G$16</f>
        <v>16526.708147705016</v>
      </c>
      <c r="D497" s="19">
        <f>Tableau!$G$17*SIN(B497*PI()/180)+Tableau!$H$16</f>
        <v>11096.699001693256</v>
      </c>
      <c r="F497" s="26">
        <v>494</v>
      </c>
      <c r="G497" s="27">
        <f>Tableau!$G$26*COS(F497*PI()/180)+Tableau!$G$25</f>
        <v>-22431.30429660649</v>
      </c>
      <c r="H497" s="27">
        <f>Tableau!$G$26*SIN(F497*PI()/180)+Tableau!$H$25</f>
        <v>12517.689301185279</v>
      </c>
      <c r="J497" s="34">
        <v>494</v>
      </c>
      <c r="K497" s="35">
        <f>Tableau!$G$36*COS(J497*PI()/180)+Tableau!$G$35</f>
        <v>-8473.2918522949858</v>
      </c>
      <c r="L497" s="35">
        <f>Tableau!$G$36*SIN(J497*PI()/180)+Tableau!$H$35</f>
        <v>-11403.300998306744</v>
      </c>
      <c r="N497" s="98">
        <v>493</v>
      </c>
      <c r="O497" s="99">
        <v>246.5</v>
      </c>
      <c r="P497" s="101">
        <f>P496+R496*Tableau!$G$2+((1/2)*T496)*Tableau!$G$2^2</f>
        <v>-16649244.509208288</v>
      </c>
      <c r="Q497" s="101">
        <f>Q496+S496*Tableau!$G$2+((1/2)*U496)*Tableau!$G$2^2</f>
        <v>8169202.3479801221</v>
      </c>
      <c r="R497" s="101">
        <f>R496+T496*Tableau!$G$2</f>
        <v>-68698.224848923899</v>
      </c>
      <c r="S497" s="101">
        <f>S496+U496*Tableau!$G$2</f>
        <v>33800.738789137504</v>
      </c>
      <c r="T497" s="101">
        <f t="shared" si="14"/>
        <v>3.2008997271086243E-3</v>
      </c>
      <c r="U497" s="101">
        <f t="shared" si="15"/>
        <v>-1.5705787074453618E-3</v>
      </c>
      <c r="V497" s="101">
        <f>((Tableau!$G$16-P497)/(AC497^2+Tableau!$G$21^2)^(3/2))*Tableau!$G$20</f>
        <v>1.3651299945715539E-3</v>
      </c>
      <c r="W497" s="101">
        <f>((Tableau!$H$16-Q497)/(AC497^2+Tableau!$G$21^2)^(3/2))*Tableau!$G$20</f>
        <v>-6.6840369855021857E-4</v>
      </c>
      <c r="X497" s="101">
        <f>((Tableau!$G$25-P497)/(AD497^2+Tableau!$G$30^2)^(3/2))*Tableau!$G$29</f>
        <v>4.699221474644372E-4</v>
      </c>
      <c r="Y497" s="101">
        <f>((Tableau!$H$25-Q497)/(AD497^2+Tableau!$G$30^2)^(3/2))*Tableau!$G$29</f>
        <v>-2.3056909692058172E-4</v>
      </c>
      <c r="Z497" s="101">
        <f>((Tableau!$G$35-P497)/(AE497^2+Tableau!$G$40^2)^(3/2))*Tableau!$G$39</f>
        <v>1.365847585072633E-3</v>
      </c>
      <c r="AA497" s="102">
        <f>((Tableau!$H$35-Q497)/(AE497^2+Tableau!$G$40^2)^(3/2))*Tableau!$G$39</f>
        <v>-6.7160591197456166E-4</v>
      </c>
      <c r="AC497" s="113">
        <f>SQRT((Tableau!$G$16-P497)^2+(Tableau!$H$16-Q497)^2)</f>
        <v>18560094.227260672</v>
      </c>
      <c r="AD497" s="114">
        <f>SQRT((Tableau!$G$25-P497)^2+(Tableau!$H$25-Q497)^2)</f>
        <v>18523076.307738904</v>
      </c>
      <c r="AE497" s="115">
        <f>SQRT((Tableau!$G$35-P497)^2+(Tableau!$H$35-Q497)^2)</f>
        <v>18547561.655241739</v>
      </c>
    </row>
    <row r="498" spans="2:31" x14ac:dyDescent="0.25">
      <c r="B498" s="20">
        <v>495</v>
      </c>
      <c r="C498" s="21">
        <f>Tableau!$G$17*COS(B498*PI()/180)+Tableau!$G$16</f>
        <v>16464.466094067262</v>
      </c>
      <c r="D498" s="21">
        <f>Tableau!$G$17*SIN(B498*PI()/180)+Tableau!$H$16</f>
        <v>11035.533905932736</v>
      </c>
      <c r="F498" s="28">
        <v>495</v>
      </c>
      <c r="G498" s="29">
        <f>Tableau!$G$26*COS(F498*PI()/180)+Tableau!$G$25</f>
        <v>-22474.873734152919</v>
      </c>
      <c r="H498" s="29">
        <f>Tableau!$G$26*SIN(F498*PI()/180)+Tableau!$H$25</f>
        <v>12474.873734152916</v>
      </c>
      <c r="J498" s="36">
        <v>495</v>
      </c>
      <c r="K498" s="37">
        <f>Tableau!$G$36*COS(J498*PI()/180)+Tableau!$G$35</f>
        <v>-8535.5339059327398</v>
      </c>
      <c r="L498" s="37">
        <f>Tableau!$G$36*SIN(J498*PI()/180)+Tableau!$H$35</f>
        <v>-11464.466094067264</v>
      </c>
      <c r="N498" s="92">
        <v>494</v>
      </c>
      <c r="O498" s="93">
        <v>247</v>
      </c>
      <c r="P498" s="96">
        <f>P497+R497*Tableau!$G$2+((1/2)*T497)*Tableau!$G$2^2</f>
        <v>-16683593.621232636</v>
      </c>
      <c r="Q498" s="96">
        <f>Q497+S497*Tableau!$G$2+((1/2)*U497)*Tableau!$G$2^2</f>
        <v>8186102.717178368</v>
      </c>
      <c r="R498" s="96">
        <f>R497+T497*Tableau!$G$2</f>
        <v>-68698.223248474038</v>
      </c>
      <c r="S498" s="96">
        <f>S497+U497*Tableau!$G$2</f>
        <v>33800.73800384815</v>
      </c>
      <c r="T498" s="96">
        <f t="shared" si="14"/>
        <v>3.1877251371859412E-3</v>
      </c>
      <c r="U498" s="96">
        <f t="shared" si="15"/>
        <v>-1.5641232100966247E-3</v>
      </c>
      <c r="V498" s="96">
        <f>((Tableau!$G$16-P498)/(AC498^2+Tableau!$G$21^2)^(3/2))*Tableau!$G$20</f>
        <v>1.3595133656776714E-3</v>
      </c>
      <c r="W498" s="96">
        <f>((Tableau!$H$16-Q498)/(AC498^2+Tableau!$G$21^2)^(3/2))*Tableau!$G$20</f>
        <v>-6.6566033386001374E-4</v>
      </c>
      <c r="X498" s="96">
        <f>((Tableau!$G$25-P498)/(AD498^2+Tableau!$G$30^2)^(3/2))*Tableau!$G$29</f>
        <v>4.679852571428505E-4</v>
      </c>
      <c r="Y498" s="96">
        <f>((Tableau!$H$25-Q498)/(AD498^2+Tableau!$G$30^2)^(3/2))*Tableau!$G$29</f>
        <v>-2.2962006992595146E-4</v>
      </c>
      <c r="Z498" s="96">
        <f>((Tableau!$G$35-P498)/(AE498^2+Tableau!$G$40^2)^(3/2))*Tableau!$G$39</f>
        <v>1.3602265143654194E-3</v>
      </c>
      <c r="AA498" s="97">
        <f>((Tableau!$H$35-Q498)/(AE498^2+Tableau!$G$40^2)^(3/2))*Tableau!$G$39</f>
        <v>-6.6884280631065941E-4</v>
      </c>
      <c r="AC498" s="110">
        <f>SQRT((Tableau!$G$16-P498)^2+(Tableau!$H$16-Q498)^2)</f>
        <v>18598375.796523765</v>
      </c>
      <c r="AD498" s="111">
        <f>SQRT((Tableau!$G$25-P498)^2+(Tableau!$H$25-Q498)^2)</f>
        <v>18561357.924878139</v>
      </c>
      <c r="AE498" s="112">
        <f>SQRT((Tableau!$G$35-P498)^2+(Tableau!$H$35-Q498)^2)</f>
        <v>18585843.294290747</v>
      </c>
    </row>
    <row r="499" spans="2:31" x14ac:dyDescent="0.25">
      <c r="B499" s="18">
        <v>496</v>
      </c>
      <c r="C499" s="19">
        <f>Tableau!$G$17*COS(B499*PI()/180)+Tableau!$G$16</f>
        <v>16403.300998306746</v>
      </c>
      <c r="D499" s="19">
        <f>Tableau!$G$17*SIN(B499*PI()/180)+Tableau!$H$16</f>
        <v>10973.291852294988</v>
      </c>
      <c r="F499" s="26">
        <v>496</v>
      </c>
      <c r="G499" s="27">
        <f>Tableau!$G$26*COS(F499*PI()/180)+Tableau!$G$25</f>
        <v>-22517.689301185277</v>
      </c>
      <c r="H499" s="27">
        <f>Tableau!$G$26*SIN(F499*PI()/180)+Tableau!$H$25</f>
        <v>12431.304296606491</v>
      </c>
      <c r="J499" s="34">
        <v>496</v>
      </c>
      <c r="K499" s="35">
        <f>Tableau!$G$36*COS(J499*PI()/180)+Tableau!$G$35</f>
        <v>-8596.6990016932541</v>
      </c>
      <c r="L499" s="35">
        <f>Tableau!$G$36*SIN(J499*PI()/180)+Tableau!$H$35</f>
        <v>-11526.708147705012</v>
      </c>
      <c r="N499" s="98">
        <v>495</v>
      </c>
      <c r="O499" s="99">
        <v>247.5</v>
      </c>
      <c r="P499" s="101">
        <f>P498+R498*Tableau!$G$2+((1/2)*T498)*Tableau!$G$2^2</f>
        <v>-16717942.732458407</v>
      </c>
      <c r="Q499" s="101">
        <f>Q498+S498*Tableau!$G$2+((1/2)*U498)*Tableau!$G$2^2</f>
        <v>8203003.0859847767</v>
      </c>
      <c r="R499" s="101">
        <f>R498+T498*Tableau!$G$2</f>
        <v>-68698.221654611465</v>
      </c>
      <c r="S499" s="101">
        <f>S498+U498*Tableau!$G$2</f>
        <v>33800.737221786541</v>
      </c>
      <c r="T499" s="101">
        <f t="shared" si="14"/>
        <v>3.1746317184245024E-3</v>
      </c>
      <c r="U499" s="101">
        <f t="shared" si="15"/>
        <v>-1.5577074319315749E-3</v>
      </c>
      <c r="V499" s="101">
        <f>((Tableau!$G$16-P499)/(AC499^2+Tableau!$G$21^2)^(3/2))*Tableau!$G$20</f>
        <v>1.3539313288723448E-3</v>
      </c>
      <c r="W499" s="101">
        <f>((Tableau!$H$16-Q499)/(AC499^2+Tableau!$G$21^2)^(3/2))*Tableau!$G$20</f>
        <v>-6.629338241471573E-4</v>
      </c>
      <c r="X499" s="101">
        <f>((Tableau!$G$25-P499)/(AD499^2+Tableau!$G$30^2)^(3/2))*Tableau!$G$29</f>
        <v>4.6606031722229278E-4</v>
      </c>
      <c r="Y499" s="101">
        <f>((Tableau!$H$25-Q499)/(AD499^2+Tableau!$G$30^2)^(3/2))*Tableau!$G$29</f>
        <v>-2.2867689022760878E-4</v>
      </c>
      <c r="Z499" s="101">
        <f>((Tableau!$G$35-P499)/(AE499^2+Tableau!$G$40^2)^(3/2))*Tableau!$G$39</f>
        <v>1.3546400723298648E-3</v>
      </c>
      <c r="AA499" s="102">
        <f>((Tableau!$H$35-Q499)/(AE499^2+Tableau!$G$40^2)^(3/2))*Tableau!$G$39</f>
        <v>-6.6609671755680892E-4</v>
      </c>
      <c r="AC499" s="113">
        <f>SQRT((Tableau!$G$16-P499)^2+(Tableau!$H$16-Q499)^2)</f>
        <v>18636657.365188729</v>
      </c>
      <c r="AD499" s="114">
        <f>SQRT((Tableau!$G$25-P499)^2+(Tableau!$H$25-Q499)^2)</f>
        <v>18599639.541222744</v>
      </c>
      <c r="AE499" s="115">
        <f>SQRT((Tableau!$G$35-P499)^2+(Tableau!$H$35-Q499)^2)</f>
        <v>18624124.932454936</v>
      </c>
    </row>
    <row r="500" spans="2:31" x14ac:dyDescent="0.25">
      <c r="B500" s="20">
        <v>497</v>
      </c>
      <c r="C500" s="21">
        <f>Tableau!$G$17*COS(B500*PI()/180)+Tableau!$G$16</f>
        <v>16343.231491904147</v>
      </c>
      <c r="D500" s="21">
        <f>Tableau!$G$17*SIN(B500*PI()/180)+Tableau!$H$16</f>
        <v>10909.991800312491</v>
      </c>
      <c r="F500" s="28">
        <v>497</v>
      </c>
      <c r="G500" s="29">
        <f>Tableau!$G$26*COS(F500*PI()/180)+Tableau!$G$25</f>
        <v>-22559.737955667097</v>
      </c>
      <c r="H500" s="29">
        <f>Tableau!$G$26*SIN(F500*PI()/180)+Tableau!$H$25</f>
        <v>12386.994260218744</v>
      </c>
      <c r="J500" s="36">
        <v>497</v>
      </c>
      <c r="K500" s="37">
        <f>Tableau!$G$36*COS(J500*PI()/180)+Tableau!$G$35</f>
        <v>-8656.7685080958527</v>
      </c>
      <c r="L500" s="37">
        <f>Tableau!$G$36*SIN(J500*PI()/180)+Tableau!$H$35</f>
        <v>-11590.008199687509</v>
      </c>
      <c r="N500" s="92">
        <v>496</v>
      </c>
      <c r="O500" s="93">
        <v>248</v>
      </c>
      <c r="P500" s="96">
        <f>P499+R499*Tableau!$G$2+((1/2)*T499)*Tableau!$G$2^2</f>
        <v>-16752291.842888884</v>
      </c>
      <c r="Q500" s="96">
        <f>Q499+S499*Tableau!$G$2+((1/2)*U499)*Tableau!$G$2^2</f>
        <v>8219903.4544009566</v>
      </c>
      <c r="R500" s="96">
        <f>R499+T499*Tableau!$G$2</f>
        <v>-68698.22006729561</v>
      </c>
      <c r="S500" s="96">
        <f>S499+U499*Tableau!$G$2</f>
        <v>33800.736442932823</v>
      </c>
      <c r="T500" s="96">
        <f t="shared" si="14"/>
        <v>3.1616188053751023E-3</v>
      </c>
      <c r="U500" s="96">
        <f t="shared" si="15"/>
        <v>-1.5513310477727746E-3</v>
      </c>
      <c r="V500" s="96">
        <f>((Tableau!$G$16-P500)/(AC500^2+Tableau!$G$21^2)^(3/2))*Tableau!$G$20</f>
        <v>1.3483836006731929E-3</v>
      </c>
      <c r="W500" s="96">
        <f>((Tableau!$H$16-Q500)/(AC500^2+Tableau!$G$21^2)^(3/2))*Tableau!$G$20</f>
        <v>-6.6022403162040481E-4</v>
      </c>
      <c r="X500" s="96">
        <f>((Tableau!$G$25-P500)/(AD500^2+Tableau!$G$30^2)^(3/2))*Tableau!$G$29</f>
        <v>4.6414722959414186E-4</v>
      </c>
      <c r="Y500" s="96">
        <f>((Tableau!$H$25-Q500)/(AD500^2+Tableau!$G$30^2)^(3/2))*Tableau!$G$29</f>
        <v>-2.2773950988758668E-4</v>
      </c>
      <c r="Z500" s="96">
        <f>((Tableau!$G$35-P500)/(AE500^2+Tableau!$G$40^2)^(3/2))*Tableau!$G$39</f>
        <v>1.3490879751077672E-3</v>
      </c>
      <c r="AA500" s="97">
        <f>((Tableau!$H$35-Q500)/(AE500^2+Tableau!$G$40^2)^(3/2))*Tableau!$G$39</f>
        <v>-6.6336750626478313E-4</v>
      </c>
      <c r="AC500" s="110">
        <f>SQRT((Tableau!$G$16-P500)^2+(Tableau!$H$16-Q500)^2)</f>
        <v>18674938.93325742</v>
      </c>
      <c r="AD500" s="111">
        <f>SQRT((Tableau!$G$25-P500)^2+(Tableau!$H$25-Q500)^2)</f>
        <v>18637921.156775791</v>
      </c>
      <c r="AE500" s="112">
        <f>SQRT((Tableau!$G$35-P500)^2+(Tableau!$H$35-Q500)^2)</f>
        <v>18662406.569737926</v>
      </c>
    </row>
    <row r="501" spans="2:31" x14ac:dyDescent="0.25">
      <c r="B501" s="18">
        <v>498</v>
      </c>
      <c r="C501" s="19">
        <f>Tableau!$G$17*COS(B501*PI()/180)+Tableau!$G$16</f>
        <v>16284.275872613032</v>
      </c>
      <c r="D501" s="19">
        <f>Tableau!$G$17*SIN(B501*PI()/180)+Tableau!$H$16</f>
        <v>10845.653031794294</v>
      </c>
      <c r="F501" s="26">
        <v>498</v>
      </c>
      <c r="G501" s="27">
        <f>Tableau!$G$26*COS(F501*PI()/180)+Tableau!$G$25</f>
        <v>-22601.006889170876</v>
      </c>
      <c r="H501" s="27">
        <f>Tableau!$G$26*SIN(F501*PI()/180)+Tableau!$H$25</f>
        <v>12341.957122256006</v>
      </c>
      <c r="J501" s="34">
        <v>498</v>
      </c>
      <c r="K501" s="35">
        <f>Tableau!$G$36*COS(J501*PI()/180)+Tableau!$G$35</f>
        <v>-8715.7241273869677</v>
      </c>
      <c r="L501" s="35">
        <f>Tableau!$G$36*SIN(J501*PI()/180)+Tableau!$H$35</f>
        <v>-11654.346968205706</v>
      </c>
      <c r="N501" s="98">
        <v>497</v>
      </c>
      <c r="O501" s="99">
        <v>248.5</v>
      </c>
      <c r="P501" s="101">
        <f>P500+R500*Tableau!$G$2+((1/2)*T500)*Tableau!$G$2^2</f>
        <v>-16786640.952527329</v>
      </c>
      <c r="Q501" s="101">
        <f>Q500+S500*Tableau!$G$2+((1/2)*U500)*Tableau!$G$2^2</f>
        <v>8236803.8224285068</v>
      </c>
      <c r="R501" s="101">
        <f>R500+T500*Tableau!$G$2</f>
        <v>-68698.218486486207</v>
      </c>
      <c r="S501" s="101">
        <f>S500+U500*Tableau!$G$2</f>
        <v>33800.735667267298</v>
      </c>
      <c r="T501" s="101">
        <f t="shared" si="14"/>
        <v>3.1486857393938101E-3</v>
      </c>
      <c r="U501" s="101">
        <f t="shared" si="15"/>
        <v>-1.544993735763711E-3</v>
      </c>
      <c r="V501" s="101">
        <f>((Tableau!$G$16-P501)/(AC501^2+Tableau!$G$21^2)^(3/2))*Tableau!$G$20</f>
        <v>1.3428699004958116E-3</v>
      </c>
      <c r="W501" s="101">
        <f>((Tableau!$H$16-Q501)/(AC501^2+Tableau!$G$21^2)^(3/2))*Tableau!$G$20</f>
        <v>-6.5753081989370244E-4</v>
      </c>
      <c r="X501" s="101">
        <f>((Tableau!$G$25-P501)/(AD501^2+Tableau!$G$30^2)^(3/2))*Tableau!$G$29</f>
        <v>4.622458971545108E-4</v>
      </c>
      <c r="Y501" s="101">
        <f>((Tableau!$H$25-Q501)/(AD501^2+Tableau!$G$30^2)^(3/2))*Tableau!$G$29</f>
        <v>-2.2680788145817637E-4</v>
      </c>
      <c r="Z501" s="101">
        <f>((Tableau!$G$35-P501)/(AE501^2+Tableau!$G$40^2)^(3/2))*Tableau!$G$39</f>
        <v>1.3435699417434874E-3</v>
      </c>
      <c r="AA501" s="102">
        <f>((Tableau!$H$35-Q501)/(AE501^2+Tableau!$G$40^2)^(3/2))*Tableau!$G$39</f>
        <v>-6.6065503441183212E-4</v>
      </c>
      <c r="AC501" s="113">
        <f>SQRT((Tableau!$G$16-P501)^2+(Tableau!$H$16-Q501)^2)</f>
        <v>18713220.500731699</v>
      </c>
      <c r="AD501" s="114">
        <f>SQRT((Tableau!$G$25-P501)^2+(Tableau!$H$25-Q501)^2)</f>
        <v>18676202.771540336</v>
      </c>
      <c r="AE501" s="115">
        <f>SQRT((Tableau!$G$35-P501)^2+(Tableau!$H$35-Q501)^2)</f>
        <v>18700688.206143327</v>
      </c>
    </row>
    <row r="502" spans="2:31" x14ac:dyDescent="0.25">
      <c r="B502" s="20">
        <v>499</v>
      </c>
      <c r="C502" s="21">
        <f>Tableau!$G$17*COS(B502*PI()/180)+Tableau!$G$16</f>
        <v>16226.45209888614</v>
      </c>
      <c r="D502" s="21">
        <f>Tableau!$G$17*SIN(B502*PI()/180)+Tableau!$H$16</f>
        <v>10780.295144952537</v>
      </c>
      <c r="F502" s="28">
        <v>499</v>
      </c>
      <c r="G502" s="29">
        <f>Tableau!$G$26*COS(F502*PI()/180)+Tableau!$G$25</f>
        <v>-22641.4835307797</v>
      </c>
      <c r="H502" s="29">
        <f>Tableau!$G$26*SIN(F502*PI()/180)+Tableau!$H$25</f>
        <v>12296.206601466776</v>
      </c>
      <c r="J502" s="36">
        <v>499</v>
      </c>
      <c r="K502" s="37">
        <f>Tableau!$G$36*COS(J502*PI()/180)+Tableau!$G$35</f>
        <v>-8773.5479011138596</v>
      </c>
      <c r="L502" s="37">
        <f>Tableau!$G$36*SIN(J502*PI()/180)+Tableau!$H$35</f>
        <v>-11719.704855047463</v>
      </c>
      <c r="N502" s="92">
        <v>498</v>
      </c>
      <c r="O502" s="93">
        <v>249</v>
      </c>
      <c r="P502" s="96">
        <f>P501+R501*Tableau!$G$2+((1/2)*T501)*Tableau!$G$2^2</f>
        <v>-16820990.061376989</v>
      </c>
      <c r="Q502" s="96">
        <f>Q501+S501*Tableau!$G$2+((1/2)*U501)*Tableau!$G$2^2</f>
        <v>8253704.1900690161</v>
      </c>
      <c r="R502" s="96">
        <f>R501+T501*Tableau!$G$2</f>
        <v>-68698.21691214334</v>
      </c>
      <c r="S502" s="96">
        <f>S501+U501*Tableau!$G$2</f>
        <v>33800.73489477043</v>
      </c>
      <c r="T502" s="96">
        <f t="shared" si="14"/>
        <v>3.1358318685587522E-3</v>
      </c>
      <c r="U502" s="96">
        <f t="shared" si="15"/>
        <v>-1.5386951773282411E-3</v>
      </c>
      <c r="V502" s="96">
        <f>((Tableau!$G$16-P502)/(AC502^2+Tableau!$G$21^2)^(3/2))*Tableau!$G$20</f>
        <v>1.3373899506183315E-3</v>
      </c>
      <c r="W502" s="96">
        <f>((Tableau!$H$16-Q502)/(AC502^2+Tableau!$G$21^2)^(3/2))*Tableau!$G$20</f>
        <v>-6.5485405396904274E-4</v>
      </c>
      <c r="X502" s="96">
        <f>((Tableau!$G$25-P502)/(AD502^2+Tableau!$G$30^2)^(3/2))*Tableau!$G$29</f>
        <v>4.6035622379192762E-4</v>
      </c>
      <c r="Y502" s="96">
        <f>((Tableau!$H$25-Q502)/(AD502^2+Tableau!$G$30^2)^(3/2))*Tableau!$G$29</f>
        <v>-2.2588195797592337E-4</v>
      </c>
      <c r="Z502" s="96">
        <f>((Tableau!$G$35-P502)/(AE502^2+Tableau!$G$40^2)^(3/2))*Tableau!$G$39</f>
        <v>1.3380856941484932E-3</v>
      </c>
      <c r="AA502" s="97">
        <f>((Tableau!$H$35-Q502)/(AE502^2+Tableau!$G$40^2)^(3/2))*Tableau!$G$39</f>
        <v>-6.5795916538327517E-4</v>
      </c>
      <c r="AC502" s="110">
        <f>SQRT((Tableau!$G$16-P502)^2+(Tableau!$H$16-Q502)^2)</f>
        <v>18751502.067613419</v>
      </c>
      <c r="AD502" s="111">
        <f>SQRT((Tableau!$G$25-P502)^2+(Tableau!$H$25-Q502)^2)</f>
        <v>18714484.385519411</v>
      </c>
      <c r="AE502" s="112">
        <f>SQRT((Tableau!$G$35-P502)^2+(Tableau!$H$35-Q502)^2)</f>
        <v>18738969.841674719</v>
      </c>
    </row>
    <row r="503" spans="2:31" x14ac:dyDescent="0.25">
      <c r="B503" s="18">
        <v>500</v>
      </c>
      <c r="C503" s="19">
        <f>Tableau!$G$17*COS(B503*PI()/180)+Tableau!$G$16</f>
        <v>16169.777784405114</v>
      </c>
      <c r="D503" s="19">
        <f>Tableau!$G$17*SIN(B503*PI()/180)+Tableau!$H$16</f>
        <v>10713.938048432701</v>
      </c>
      <c r="F503" s="26">
        <v>500</v>
      </c>
      <c r="G503" s="27">
        <f>Tableau!$G$26*COS(F503*PI()/180)+Tableau!$G$25</f>
        <v>-22681.155550916421</v>
      </c>
      <c r="H503" s="27">
        <f>Tableau!$G$26*SIN(F503*PI()/180)+Tableau!$H$25</f>
        <v>12249.756633902891</v>
      </c>
      <c r="J503" s="34">
        <v>500</v>
      </c>
      <c r="K503" s="35">
        <f>Tableau!$G$36*COS(J503*PI()/180)+Tableau!$G$35</f>
        <v>-8830.2222155948857</v>
      </c>
      <c r="L503" s="35">
        <f>Tableau!$G$36*SIN(J503*PI()/180)+Tableau!$H$35</f>
        <v>-11786.061951567299</v>
      </c>
      <c r="N503" s="98">
        <v>499</v>
      </c>
      <c r="O503" s="99">
        <v>249.5</v>
      </c>
      <c r="P503" s="101">
        <f>P502+R502*Tableau!$G$2+((1/2)*T502)*Tableau!$G$2^2</f>
        <v>-16855339.169441082</v>
      </c>
      <c r="Q503" s="101">
        <f>Q502+S502*Tableau!$G$2+((1/2)*U502)*Tableau!$G$2^2</f>
        <v>8270604.5573240649</v>
      </c>
      <c r="R503" s="101">
        <f>R502+T502*Tableau!$G$2</f>
        <v>-68698.215344227399</v>
      </c>
      <c r="S503" s="101">
        <f>S502+U502*Tableau!$G$2</f>
        <v>33800.734125422845</v>
      </c>
      <c r="T503" s="101">
        <f t="shared" si="14"/>
        <v>3.1230565475878066E-3</v>
      </c>
      <c r="U503" s="101">
        <f t="shared" si="15"/>
        <v>-1.5324350571304835E-3</v>
      </c>
      <c r="V503" s="101">
        <f>((Tableau!$G$16-P503)/(AC503^2+Tableau!$G$21^2)^(3/2))*Tableau!$G$20</f>
        <v>1.3319434761463851E-3</v>
      </c>
      <c r="W503" s="101">
        <f>((Tableau!$H$16-Q503)/(AC503^2+Tableau!$G$21^2)^(3/2))*Tableau!$G$20</f>
        <v>-6.5219360021951918E-4</v>
      </c>
      <c r="X503" s="101">
        <f>((Tableau!$G$25-P503)/(AD503^2+Tableau!$G$30^2)^(3/2))*Tableau!$G$29</f>
        <v>4.5847811437519688E-4</v>
      </c>
      <c r="Y503" s="101">
        <f>((Tableau!$H$25-Q503)/(AD503^2+Tableau!$G$30^2)^(3/2))*Tableau!$G$29</f>
        <v>-2.2496169295571316E-4</v>
      </c>
      <c r="Z503" s="101">
        <f>((Tableau!$G$35-P503)/(AE503^2+Tableau!$G$40^2)^(3/2))*Tableau!$G$39</f>
        <v>1.332634957066225E-3</v>
      </c>
      <c r="AA503" s="102">
        <f>((Tableau!$H$35-Q503)/(AE503^2+Tableau!$G$40^2)^(3/2))*Tableau!$G$39</f>
        <v>-6.552797639552511E-4</v>
      </c>
      <c r="AC503" s="113">
        <f>SQRT((Tableau!$G$16-P503)^2+(Tableau!$H$16-Q503)^2)</f>
        <v>18789783.633904416</v>
      </c>
      <c r="AD503" s="114">
        <f>SQRT((Tableau!$G$25-P503)^2+(Tableau!$H$25-Q503)^2)</f>
        <v>18752765.998716038</v>
      </c>
      <c r="AE503" s="115">
        <f>SQRT((Tableau!$G$35-P503)^2+(Tableau!$H$35-Q503)^2)</f>
        <v>18777251.47633566</v>
      </c>
    </row>
    <row r="504" spans="2:31" x14ac:dyDescent="0.25">
      <c r="B504" s="20">
        <v>501</v>
      </c>
      <c r="C504" s="21">
        <f>Tableau!$G$17*COS(B504*PI()/180)+Tableau!$G$16</f>
        <v>16114.270192715148</v>
      </c>
      <c r="D504" s="21">
        <f>Tableau!$G$17*SIN(B504*PI()/180)+Tableau!$H$16</f>
        <v>10646.601955249189</v>
      </c>
      <c r="F504" s="28">
        <v>501</v>
      </c>
      <c r="G504" s="29">
        <f>Tableau!$G$26*COS(F504*PI()/180)+Tableau!$G$25</f>
        <v>-22720.010865099397</v>
      </c>
      <c r="H504" s="29">
        <f>Tableau!$G$26*SIN(F504*PI()/180)+Tableau!$H$25</f>
        <v>12202.621368674432</v>
      </c>
      <c r="J504" s="36">
        <v>501</v>
      </c>
      <c r="K504" s="37">
        <f>Tableau!$G$36*COS(J504*PI()/180)+Tableau!$G$35</f>
        <v>-8885.7298072848516</v>
      </c>
      <c r="L504" s="37">
        <f>Tableau!$G$36*SIN(J504*PI()/180)+Tableau!$H$35</f>
        <v>-11853.398044750811</v>
      </c>
      <c r="N504" s="92">
        <v>500</v>
      </c>
      <c r="O504" s="93">
        <v>250</v>
      </c>
      <c r="P504" s="96">
        <f>P503+R503*Tableau!$G$2+((1/2)*T503)*Tableau!$G$2^2</f>
        <v>-16889688.276722815</v>
      </c>
      <c r="Q504" s="96">
        <f>Q503+S503*Tableau!$G$2+((1/2)*U503)*Tableau!$G$2^2</f>
        <v>8287504.9241952216</v>
      </c>
      <c r="R504" s="96">
        <f>R503+T503*Tableau!$G$2</f>
        <v>-68698.213782699124</v>
      </c>
      <c r="S504" s="96">
        <f>S503+U503*Tableau!$G$2</f>
        <v>33800.733359205318</v>
      </c>
      <c r="T504" s="96">
        <f t="shared" si="14"/>
        <v>3.1103591377577879E-3</v>
      </c>
      <c r="U504" s="96">
        <f t="shared" si="15"/>
        <v>-1.5262130630354297E-3</v>
      </c>
      <c r="V504" s="96">
        <f>((Tableau!$G$16-P504)/(AC504^2+Tableau!$G$21^2)^(3/2))*Tableau!$G$20</f>
        <v>1.3265302049787035E-3</v>
      </c>
      <c r="W504" s="96">
        <f>((Tableau!$H$16-Q504)/(AC504^2+Tableau!$G$21^2)^(3/2))*Tableau!$G$20</f>
        <v>-6.4954932637268303E-4</v>
      </c>
      <c r="X504" s="96">
        <f>((Tableau!$G$25-P504)/(AD504^2+Tableau!$G$30^2)^(3/2))*Tableau!$G$29</f>
        <v>4.5661147474139696E-4</v>
      </c>
      <c r="Y504" s="96">
        <f>((Tableau!$H$25-Q504)/(AD504^2+Tableau!$G$30^2)^(3/2))*Tableau!$G$29</f>
        <v>-2.2404704038492159E-4</v>
      </c>
      <c r="Z504" s="96">
        <f>((Tableau!$G$35-P504)/(AE504^2+Tableau!$G$40^2)^(3/2))*Tableau!$G$39</f>
        <v>1.3272174580376875E-3</v>
      </c>
      <c r="AA504" s="97">
        <f>((Tableau!$H$35-Q504)/(AE504^2+Tableau!$G$40^2)^(3/2))*Tableau!$G$39</f>
        <v>-6.5261669627782507E-4</v>
      </c>
      <c r="AC504" s="110">
        <f>SQRT((Tableau!$G$16-P504)^2+(Tableau!$H$16-Q504)^2)</f>
        <v>18828065.199606519</v>
      </c>
      <c r="AD504" s="111">
        <f>SQRT((Tableau!$G$25-P504)^2+(Tableau!$H$25-Q504)^2)</f>
        <v>18791047.611133214</v>
      </c>
      <c r="AE504" s="112">
        <f>SQRT((Tableau!$G$35-P504)^2+(Tableau!$H$35-Q504)^2)</f>
        <v>18815533.110129692</v>
      </c>
    </row>
    <row r="505" spans="2:31" x14ac:dyDescent="0.25">
      <c r="B505" s="18">
        <v>502</v>
      </c>
      <c r="C505" s="19">
        <f>Tableau!$G$17*COS(B505*PI()/180)+Tableau!$G$16</f>
        <v>16059.946231966391</v>
      </c>
      <c r="D505" s="19">
        <f>Tableau!$G$17*SIN(B505*PI()/180)+Tableau!$H$16</f>
        <v>10578.307376628291</v>
      </c>
      <c r="F505" s="26">
        <v>502</v>
      </c>
      <c r="G505" s="27">
        <f>Tableau!$G$26*COS(F505*PI()/180)+Tableau!$G$25</f>
        <v>-22758.037637623529</v>
      </c>
      <c r="H505" s="27">
        <f>Tableau!$G$26*SIN(F505*PI()/180)+Tableau!$H$25</f>
        <v>12154.815163639803</v>
      </c>
      <c r="J505" s="34">
        <v>502</v>
      </c>
      <c r="K505" s="35">
        <f>Tableau!$G$36*COS(J505*PI()/180)+Tableau!$G$35</f>
        <v>-8940.0537680336092</v>
      </c>
      <c r="L505" s="35">
        <f>Tableau!$G$36*SIN(J505*PI()/180)+Tableau!$H$35</f>
        <v>-11921.692623371709</v>
      </c>
      <c r="N505" s="98">
        <v>501</v>
      </c>
      <c r="O505" s="99">
        <v>250.5</v>
      </c>
      <c r="P505" s="101">
        <f>P504+R504*Tableau!$G$2+((1/2)*T504)*Tableau!$G$2^2</f>
        <v>-16924037.38322537</v>
      </c>
      <c r="Q505" s="101">
        <f>Q504+S504*Tableau!$G$2+((1/2)*U504)*Tableau!$G$2^2</f>
        <v>8304405.2906840472</v>
      </c>
      <c r="R505" s="101">
        <f>R504+T504*Tableau!$G$2</f>
        <v>-68698.212227519558</v>
      </c>
      <c r="S505" s="101">
        <f>S504+U504*Tableau!$G$2</f>
        <v>33800.732596098787</v>
      </c>
      <c r="T505" s="101">
        <f t="shared" si="14"/>
        <v>3.0977390068244303E-3</v>
      </c>
      <c r="U505" s="101">
        <f t="shared" si="15"/>
        <v>-1.5200288860699517E-3</v>
      </c>
      <c r="V505" s="101">
        <f>((Tableau!$G$16-P505)/(AC505^2+Tableau!$G$21^2)^(3/2))*Tableau!$G$20</f>
        <v>1.321149867773039E-3</v>
      </c>
      <c r="W505" s="101">
        <f>((Tableau!$H$16-Q505)/(AC505^2+Tableau!$G$21^2)^(3/2))*Tableau!$G$20</f>
        <v>-6.4692110149405823E-4</v>
      </c>
      <c r="X505" s="101">
        <f>((Tableau!$G$25-P505)/(AD505^2+Tableau!$G$30^2)^(3/2))*Tableau!$G$29</f>
        <v>4.5475621168411908E-4</v>
      </c>
      <c r="Y505" s="101">
        <f>((Tableau!$H$25-Q505)/(AD505^2+Tableau!$G$30^2)^(3/2))*Tableau!$G$29</f>
        <v>-2.231379547176847E-4</v>
      </c>
      <c r="Z505" s="101">
        <f>((Tableau!$G$35-P505)/(AE505^2+Tableau!$G$40^2)^(3/2))*Tableau!$G$39</f>
        <v>1.3218329273672724E-3</v>
      </c>
      <c r="AA505" s="102">
        <f>((Tableau!$H$35-Q505)/(AE505^2+Tableau!$G$40^2)^(3/2))*Tableau!$G$39</f>
        <v>-6.4996982985820876E-4</v>
      </c>
      <c r="AC505" s="113">
        <f>SQRT((Tableau!$G$16-P505)^2+(Tableau!$H$16-Q505)^2)</f>
        <v>18866346.764721565</v>
      </c>
      <c r="AD505" s="114">
        <f>SQRT((Tableau!$G$25-P505)^2+(Tableau!$H$25-Q505)^2)</f>
        <v>18829329.222773932</v>
      </c>
      <c r="AE505" s="115">
        <f>SQRT((Tableau!$G$35-P505)^2+(Tableau!$H$35-Q505)^2)</f>
        <v>18853814.743060336</v>
      </c>
    </row>
    <row r="506" spans="2:31" x14ac:dyDescent="0.25">
      <c r="B506" s="20">
        <v>503</v>
      </c>
      <c r="C506" s="21">
        <f>Tableau!$G$17*COS(B506*PI()/180)+Tableau!$G$16</f>
        <v>16006.822449763538</v>
      </c>
      <c r="D506" s="21">
        <f>Tableau!$G$17*SIN(B506*PI()/180)+Tableau!$H$16</f>
        <v>10509.075115760246</v>
      </c>
      <c r="F506" s="28">
        <v>503</v>
      </c>
      <c r="G506" s="29">
        <f>Tableau!$G$26*COS(F506*PI()/180)+Tableau!$G$25</f>
        <v>-22795.224285165525</v>
      </c>
      <c r="H506" s="29">
        <f>Tableau!$G$26*SIN(F506*PI()/180)+Tableau!$H$25</f>
        <v>12106.352581032172</v>
      </c>
      <c r="J506" s="36">
        <v>503</v>
      </c>
      <c r="K506" s="37">
        <f>Tableau!$G$36*COS(J506*PI()/180)+Tableau!$G$35</f>
        <v>-8993.1775502364617</v>
      </c>
      <c r="L506" s="37">
        <f>Tableau!$G$36*SIN(J506*PI()/180)+Tableau!$H$35</f>
        <v>-11990.924884239754</v>
      </c>
      <c r="N506" s="92">
        <v>502</v>
      </c>
      <c r="O506" s="93">
        <v>251</v>
      </c>
      <c r="P506" s="96">
        <f>P505+R505*Tableau!$G$2+((1/2)*T505)*Tableau!$G$2^2</f>
        <v>-16958386.48895191</v>
      </c>
      <c r="Q506" s="96">
        <f>Q505+S505*Tableau!$G$2+((1/2)*U505)*Tableau!$G$2^2</f>
        <v>8321305.6567920931</v>
      </c>
      <c r="R506" s="96">
        <f>R505+T505*Tableau!$G$2</f>
        <v>-68698.210678650052</v>
      </c>
      <c r="S506" s="96">
        <f>S505+U505*Tableau!$G$2</f>
        <v>33800.731836084342</v>
      </c>
      <c r="T506" s="96">
        <f t="shared" si="14"/>
        <v>3.0851955289438659E-3</v>
      </c>
      <c r="U506" s="96">
        <f t="shared" si="15"/>
        <v>-1.5138822203845297E-3</v>
      </c>
      <c r="V506" s="96">
        <f>((Tableau!$G$16-P506)/(AC506^2+Tableau!$G$21^2)^(3/2))*Tableau!$G$20</f>
        <v>1.3158021979127838E-3</v>
      </c>
      <c r="W506" s="96">
        <f>((Tableau!$H$16-Q506)/(AC506^2+Tableau!$G$21^2)^(3/2))*Tableau!$G$20</f>
        <v>-6.4430879597099258E-4</v>
      </c>
      <c r="X506" s="96">
        <f>((Tableau!$G$25-P506)/(AD506^2+Tableau!$G$30^2)^(3/2))*Tableau!$G$29</f>
        <v>4.5291223294180162E-4</v>
      </c>
      <c r="Y506" s="96">
        <f>((Tableau!$H$25-Q506)/(AD506^2+Tableau!$G$30^2)^(3/2))*Tableau!$G$29</f>
        <v>-2.2223439086921292E-4</v>
      </c>
      <c r="Z506" s="96">
        <f>((Tableau!$G$35-P506)/(AE506^2+Tableau!$G$40^2)^(3/2))*Tableau!$G$39</f>
        <v>1.3164810980892802E-3</v>
      </c>
      <c r="AA506" s="97">
        <f>((Tableau!$H$35-Q506)/(AE506^2+Tableau!$G$40^2)^(3/2))*Tableau!$G$39</f>
        <v>-6.4733903354432414E-4</v>
      </c>
      <c r="AC506" s="110">
        <f>SQRT((Tableau!$G$16-P506)^2+(Tableau!$H$16-Q506)^2)</f>
        <v>18904628.329251356</v>
      </c>
      <c r="AD506" s="111">
        <f>SQRT((Tableau!$G$25-P506)^2+(Tableau!$H$25-Q506)^2)</f>
        <v>18867610.833641149</v>
      </c>
      <c r="AE506" s="112">
        <f>SQRT((Tableau!$G$35-P506)^2+(Tableau!$H$35-Q506)^2)</f>
        <v>18892096.375131086</v>
      </c>
    </row>
    <row r="507" spans="2:31" x14ac:dyDescent="0.25">
      <c r="B507" s="18">
        <v>504</v>
      </c>
      <c r="C507" s="19">
        <f>Tableau!$G$17*COS(B507*PI()/180)+Tableau!$G$16</f>
        <v>15954.915028125264</v>
      </c>
      <c r="D507" s="19">
        <f>Tableau!$G$17*SIN(B507*PI()/180)+Tableau!$H$16</f>
        <v>10438.926261462366</v>
      </c>
      <c r="F507" s="26">
        <v>504</v>
      </c>
      <c r="G507" s="27">
        <f>Tableau!$G$26*COS(F507*PI()/180)+Tableau!$G$25</f>
        <v>-22831.559480312317</v>
      </c>
      <c r="H507" s="27">
        <f>Tableau!$G$26*SIN(F507*PI()/180)+Tableau!$H$25</f>
        <v>12057.248383023656</v>
      </c>
      <c r="J507" s="34">
        <v>504</v>
      </c>
      <c r="K507" s="35">
        <f>Tableau!$G$36*COS(J507*PI()/180)+Tableau!$G$35</f>
        <v>-9045.0849718747359</v>
      </c>
      <c r="L507" s="35">
        <f>Tableau!$G$36*SIN(J507*PI()/180)+Tableau!$H$35</f>
        <v>-12061.073738537634</v>
      </c>
      <c r="N507" s="98">
        <v>503</v>
      </c>
      <c r="O507" s="99">
        <v>251.5</v>
      </c>
      <c r="P507" s="101">
        <f>P506+R506*Tableau!$G$2+((1/2)*T506)*Tableau!$G$2^2</f>
        <v>-16992735.593905587</v>
      </c>
      <c r="Q507" s="101">
        <f>Q506+S506*Tableau!$G$2+((1/2)*U506)*Tableau!$G$2^2</f>
        <v>8338206.0225208998</v>
      </c>
      <c r="R507" s="101">
        <f>R506+T506*Tableau!$G$2</f>
        <v>-68698.20913605229</v>
      </c>
      <c r="S507" s="101">
        <f>S506+U506*Tableau!$G$2</f>
        <v>33800.731079143232</v>
      </c>
      <c r="T507" s="101">
        <f t="shared" si="14"/>
        <v>3.0727280845948566E-3</v>
      </c>
      <c r="U507" s="101">
        <f t="shared" si="15"/>
        <v>-1.50777276321535E-3</v>
      </c>
      <c r="V507" s="101">
        <f>((Tableau!$G$16-P507)/(AC507^2+Tableau!$G$21^2)^(3/2))*Tableau!$G$20</f>
        <v>1.31048693147383E-3</v>
      </c>
      <c r="W507" s="101">
        <f>((Tableau!$H$16-Q507)/(AC507^2+Tableau!$G$21^2)^(3/2))*Tableau!$G$20</f>
        <v>-6.4171228149662355E-4</v>
      </c>
      <c r="X507" s="101">
        <f>((Tableau!$G$25-P507)/(AD507^2+Tableau!$G$30^2)^(3/2))*Tableau!$G$29</f>
        <v>4.5107944718626795E-4</v>
      </c>
      <c r="Y507" s="101">
        <f>((Tableau!$H$25-Q507)/(AD507^2+Tableau!$G$30^2)^(3/2))*Tableau!$G$29</f>
        <v>-2.2133630421020581E-4</v>
      </c>
      <c r="Z507" s="101">
        <f>((Tableau!$G$35-P507)/(AE507^2+Tableau!$G$40^2)^(3/2))*Tableau!$G$39</f>
        <v>1.3111617059347585E-3</v>
      </c>
      <c r="AA507" s="102">
        <f>((Tableau!$H$35-Q507)/(AE507^2+Tableau!$G$40^2)^(3/2))*Tableau!$G$39</f>
        <v>-6.4472417750852074E-4</v>
      </c>
      <c r="AC507" s="113">
        <f>SQRT((Tableau!$G$16-P507)^2+(Tableau!$H$16-Q507)^2)</f>
        <v>18942909.893197719</v>
      </c>
      <c r="AD507" s="114">
        <f>SQRT((Tableau!$G$25-P507)^2+(Tableau!$H$25-Q507)^2)</f>
        <v>18905892.443737824</v>
      </c>
      <c r="AE507" s="115">
        <f>SQRT((Tableau!$G$35-P507)^2+(Tableau!$H$35-Q507)^2)</f>
        <v>18930378.006345417</v>
      </c>
    </row>
    <row r="508" spans="2:31" x14ac:dyDescent="0.25">
      <c r="B508" s="20">
        <v>505</v>
      </c>
      <c r="C508" s="21">
        <f>Tableau!$G$17*COS(B508*PI()/180)+Tableau!$G$16</f>
        <v>15904.239778555046</v>
      </c>
      <c r="D508" s="21">
        <f>Tableau!$G$17*SIN(B508*PI()/180)+Tableau!$H$16</f>
        <v>10367.882181755236</v>
      </c>
      <c r="F508" s="28">
        <v>505</v>
      </c>
      <c r="G508" s="29">
        <f>Tableau!$G$26*COS(F508*PI()/180)+Tableau!$G$25</f>
        <v>-22867.032155011468</v>
      </c>
      <c r="H508" s="29">
        <f>Tableau!$G$26*SIN(F508*PI()/180)+Tableau!$H$25</f>
        <v>12007.517527228665</v>
      </c>
      <c r="J508" s="36">
        <v>505</v>
      </c>
      <c r="K508" s="37">
        <f>Tableau!$G$36*COS(J508*PI()/180)+Tableau!$G$35</f>
        <v>-9095.7602214449544</v>
      </c>
      <c r="L508" s="37">
        <f>Tableau!$G$36*SIN(J508*PI()/180)+Tableau!$H$35</f>
        <v>-12132.117818244764</v>
      </c>
      <c r="N508" s="92">
        <v>504</v>
      </c>
      <c r="O508" s="93">
        <v>252</v>
      </c>
      <c r="P508" s="96">
        <f>P507+R507*Tableau!$G$2+((1/2)*T507)*Tableau!$G$2^2</f>
        <v>-17027084.698089521</v>
      </c>
      <c r="Q508" s="96">
        <f>Q507+S507*Tableau!$G$2+((1/2)*U507)*Tableau!$G$2^2</f>
        <v>8355106.3878719993</v>
      </c>
      <c r="R508" s="96">
        <f>R507+T507*Tableau!$G$2</f>
        <v>-68698.207599688249</v>
      </c>
      <c r="S508" s="96">
        <f>S507+U507*Tableau!$G$2</f>
        <v>33800.730325256853</v>
      </c>
      <c r="T508" s="96">
        <f t="shared" si="14"/>
        <v>3.0603360605024215E-3</v>
      </c>
      <c r="U508" s="96">
        <f t="shared" si="15"/>
        <v>-1.5017002148470849E-3</v>
      </c>
      <c r="V508" s="96">
        <f>((Tableau!$G$16-P508)/(AC508^2+Tableau!$G$21^2)^(3/2))*Tableau!$G$20</f>
        <v>1.3052038071920673E-3</v>
      </c>
      <c r="W508" s="96">
        <f>((Tableau!$H$16-Q508)/(AC508^2+Tableau!$G$21^2)^(3/2))*Tableau!$G$20</f>
        <v>-6.3913143105415562E-4</v>
      </c>
      <c r="X508" s="96">
        <f>((Tableau!$G$25-P508)/(AD508^2+Tableau!$G$30^2)^(3/2))*Tableau!$G$29</f>
        <v>4.492577640114124E-4</v>
      </c>
      <c r="Y508" s="96">
        <f>((Tableau!$H$25-Q508)/(AD508^2+Tableau!$G$30^2)^(3/2))*Tableau!$G$29</f>
        <v>-2.2044365056133824E-4</v>
      </c>
      <c r="Z508" s="96">
        <f>((Tableau!$G$35-P508)/(AE508^2+Tableau!$G$40^2)^(3/2))*Tableau!$G$39</f>
        <v>1.3058744892989419E-3</v>
      </c>
      <c r="AA508" s="97">
        <f>((Tableau!$H$35-Q508)/(AE508^2+Tableau!$G$40^2)^(3/2))*Tableau!$G$39</f>
        <v>-6.4212513323159092E-4</v>
      </c>
      <c r="AC508" s="110">
        <f>SQRT((Tableau!$G$16-P508)^2+(Tableau!$H$16-Q508)^2)</f>
        <v>18981191.456562452</v>
      </c>
      <c r="AD508" s="111">
        <f>SQRT((Tableau!$G$25-P508)^2+(Tableau!$H$25-Q508)^2)</f>
        <v>18944174.053066891</v>
      </c>
      <c r="AE508" s="112">
        <f>SQRT((Tableau!$G$35-P508)^2+(Tableau!$H$35-Q508)^2)</f>
        <v>18968659.636706781</v>
      </c>
    </row>
    <row r="509" spans="2:31" x14ac:dyDescent="0.25">
      <c r="B509" s="18">
        <v>506</v>
      </c>
      <c r="C509" s="19">
        <f>Tableau!$G$17*COS(B509*PI()/180)+Tableau!$G$16</f>
        <v>15854.812137224793</v>
      </c>
      <c r="D509" s="19">
        <f>Tableau!$G$17*SIN(B509*PI()/180)+Tableau!$H$16</f>
        <v>10295.964517353737</v>
      </c>
      <c r="F509" s="26">
        <v>506</v>
      </c>
      <c r="G509" s="27">
        <f>Tableau!$G$26*COS(F509*PI()/180)+Tableau!$G$25</f>
        <v>-22901.631503942644</v>
      </c>
      <c r="H509" s="27">
        <f>Tableau!$G$26*SIN(F509*PI()/180)+Tableau!$H$25</f>
        <v>11957.175162147616</v>
      </c>
      <c r="J509" s="34">
        <v>506</v>
      </c>
      <c r="K509" s="35">
        <f>Tableau!$G$36*COS(J509*PI()/180)+Tableau!$G$35</f>
        <v>-9145.1878627752067</v>
      </c>
      <c r="L509" s="35">
        <f>Tableau!$G$36*SIN(J509*PI()/180)+Tableau!$H$35</f>
        <v>-12204.035482646263</v>
      </c>
      <c r="N509" s="98">
        <v>505</v>
      </c>
      <c r="O509" s="99">
        <v>252.5</v>
      </c>
      <c r="P509" s="101">
        <f>P508+R508*Tableau!$G$2+((1/2)*T508)*Tableau!$G$2^2</f>
        <v>-17061433.801506821</v>
      </c>
      <c r="Q509" s="101">
        <f>Q508+S508*Tableau!$G$2+((1/2)*U508)*Tableau!$G$2^2</f>
        <v>8372006.7528469153</v>
      </c>
      <c r="R509" s="101">
        <f>R508+T508*Tableau!$G$2</f>
        <v>-68698.206069520224</v>
      </c>
      <c r="S509" s="101">
        <f>S508+U508*Tableau!$G$2</f>
        <v>33800.729574406745</v>
      </c>
      <c r="T509" s="101">
        <f t="shared" si="14"/>
        <v>3.0480188495623662E-3</v>
      </c>
      <c r="U509" s="101">
        <f t="shared" si="15"/>
        <v>-1.4956642785761043E-3</v>
      </c>
      <c r="V509" s="101">
        <f>((Tableau!$G$16-P509)/(AC509^2+Tableau!$G$21^2)^(3/2))*Tableau!$G$20</f>
        <v>1.2999525664312264E-3</v>
      </c>
      <c r="W509" s="101">
        <f>((Tableau!$H$16-Q509)/(AC509^2+Tableau!$G$21^2)^(3/2))*Tableau!$G$20</f>
        <v>-6.365661189012997E-4</v>
      </c>
      <c r="X509" s="101">
        <f>((Tableau!$G$25-P509)/(AD509^2+Tableau!$G$30^2)^(3/2))*Tableau!$G$29</f>
        <v>4.4744709392206632E-4</v>
      </c>
      <c r="Y509" s="101">
        <f>((Tableau!$H$25-Q509)/(AD509^2+Tableau!$G$30^2)^(3/2))*Tableau!$G$29</f>
        <v>-2.1955638618783441E-4</v>
      </c>
      <c r="Z509" s="101">
        <f>((Tableau!$G$35-P509)/(AE509^2+Tableau!$G$40^2)^(3/2))*Tableau!$G$39</f>
        <v>1.3006191892090734E-3</v>
      </c>
      <c r="AA509" s="102">
        <f>((Tableau!$H$35-Q509)/(AE509^2+Tableau!$G$40^2)^(3/2))*Tableau!$G$39</f>
        <v>-6.395417734869702E-4</v>
      </c>
      <c r="AC509" s="113">
        <f>SQRT((Tableau!$G$16-P509)^2+(Tableau!$H$16-Q509)^2)</f>
        <v>19019473.01934734</v>
      </c>
      <c r="AD509" s="114">
        <f>SQRT((Tableau!$G$25-P509)^2+(Tableau!$H$25-Q509)^2)</f>
        <v>18982455.66163126</v>
      </c>
      <c r="AE509" s="115">
        <f>SQRT((Tableau!$G$35-P509)^2+(Tableau!$H$35-Q509)^2)</f>
        <v>19006941.266218618</v>
      </c>
    </row>
    <row r="510" spans="2:31" x14ac:dyDescent="0.25">
      <c r="B510" s="20">
        <v>507</v>
      </c>
      <c r="C510" s="21">
        <f>Tableau!$G$17*COS(B510*PI()/180)+Tableau!$G$16</f>
        <v>15806.64716027288</v>
      </c>
      <c r="D510" s="21">
        <f>Tableau!$G$17*SIN(B510*PI()/180)+Tableau!$H$16</f>
        <v>10223.195175075136</v>
      </c>
      <c r="F510" s="28">
        <v>507</v>
      </c>
      <c r="G510" s="29">
        <f>Tableau!$G$26*COS(F510*PI()/180)+Tableau!$G$25</f>
        <v>-22935.346987808985</v>
      </c>
      <c r="H510" s="29">
        <f>Tableau!$G$26*SIN(F510*PI()/180)+Tableau!$H$25</f>
        <v>11906.236622552595</v>
      </c>
      <c r="J510" s="36">
        <v>507</v>
      </c>
      <c r="K510" s="37">
        <f>Tableau!$G$36*COS(J510*PI()/180)+Tableau!$G$35</f>
        <v>-9193.3528397271202</v>
      </c>
      <c r="L510" s="37">
        <f>Tableau!$G$36*SIN(J510*PI()/180)+Tableau!$H$35</f>
        <v>-12276.804824924864</v>
      </c>
      <c r="N510" s="92">
        <v>506</v>
      </c>
      <c r="O510" s="93">
        <v>253</v>
      </c>
      <c r="P510" s="96">
        <f>P509+R509*Tableau!$G$2+((1/2)*T509)*Tableau!$G$2^2</f>
        <v>-17095782.904160578</v>
      </c>
      <c r="Q510" s="96">
        <f>Q509+S509*Tableau!$G$2+((1/2)*U509)*Tableau!$G$2^2</f>
        <v>8388907.117447162</v>
      </c>
      <c r="R510" s="96">
        <f>R509+T509*Tableau!$G$2</f>
        <v>-68698.204545510802</v>
      </c>
      <c r="S510" s="96">
        <f>S509+U509*Tableau!$G$2</f>
        <v>33800.728826574603</v>
      </c>
      <c r="T510" s="96">
        <f t="shared" si="14"/>
        <v>3.0357758507668789E-3</v>
      </c>
      <c r="U510" s="96">
        <f t="shared" si="15"/>
        <v>-1.4896646606742156E-3</v>
      </c>
      <c r="V510" s="96">
        <f>((Tableau!$G$16-P510)/(AC510^2+Tableau!$G$21^2)^(3/2))*Tableau!$G$20</f>
        <v>1.2947329531512682E-3</v>
      </c>
      <c r="W510" s="96">
        <f>((Tableau!$H$16-Q510)/(AC510^2+Tableau!$G$21^2)^(3/2))*Tableau!$G$20</f>
        <v>-6.3401622055497971E-4</v>
      </c>
      <c r="X510" s="96">
        <f>((Tableau!$G$25-P510)/(AD510^2+Tableau!$G$30^2)^(3/2))*Tableau!$G$29</f>
        <v>4.4564734832299422E-4</v>
      </c>
      <c r="Y510" s="96">
        <f>((Tableau!$H$25-Q510)/(AD510^2+Tableau!$G$30^2)^(3/2))*Tableau!$G$29</f>
        <v>-2.1867446779410499E-4</v>
      </c>
      <c r="Z510" s="96">
        <f>((Tableau!$G$35-P510)/(AE510^2+Tableau!$G$40^2)^(3/2))*Tableau!$G$39</f>
        <v>1.2953955492926168E-3</v>
      </c>
      <c r="AA510" s="97">
        <f>((Tableau!$H$35-Q510)/(AE510^2+Tableau!$G$40^2)^(3/2))*Tableau!$G$39</f>
        <v>-6.3697397232513088E-4</v>
      </c>
      <c r="AC510" s="110">
        <f>SQRT((Tableau!$G$16-P510)^2+(Tableau!$H$16-Q510)^2)</f>
        <v>19057754.581554182</v>
      </c>
      <c r="AD510" s="111">
        <f>SQRT((Tableau!$G$25-P510)^2+(Tableau!$H$25-Q510)^2)</f>
        <v>19020737.269433837</v>
      </c>
      <c r="AE510" s="112">
        <f>SQRT((Tableau!$G$35-P510)^2+(Tableau!$H$35-Q510)^2)</f>
        <v>19045222.894884337</v>
      </c>
    </row>
    <row r="511" spans="2:31" x14ac:dyDescent="0.25">
      <c r="B511" s="18">
        <v>508</v>
      </c>
      <c r="C511" s="19">
        <f>Tableau!$G$17*COS(B511*PI()/180)+Tableau!$G$16</f>
        <v>15759.759519217869</v>
      </c>
      <c r="D511" s="19">
        <f>Tableau!$G$17*SIN(B511*PI()/180)+Tableau!$H$16</f>
        <v>10149.596321166022</v>
      </c>
      <c r="F511" s="26">
        <v>508</v>
      </c>
      <c r="G511" s="27">
        <f>Tableau!$G$26*COS(F511*PI()/180)+Tableau!$G$25</f>
        <v>-22968.168336547493</v>
      </c>
      <c r="H511" s="27">
        <f>Tableau!$G$26*SIN(F511*PI()/180)+Tableau!$H$25</f>
        <v>11854.717424816215</v>
      </c>
      <c r="J511" s="34">
        <v>508</v>
      </c>
      <c r="K511" s="35">
        <f>Tableau!$G$36*COS(J511*PI()/180)+Tableau!$G$35</f>
        <v>-9240.2404807821313</v>
      </c>
      <c r="L511" s="35">
        <f>Tableau!$G$36*SIN(J511*PI()/180)+Tableau!$H$35</f>
        <v>-12350.403678833978</v>
      </c>
      <c r="N511" s="98">
        <v>507</v>
      </c>
      <c r="O511" s="99">
        <v>253.5</v>
      </c>
      <c r="P511" s="101">
        <f>P510+R510*Tableau!$G$2+((1/2)*T510)*Tableau!$G$2^2</f>
        <v>-17130132.006053861</v>
      </c>
      <c r="Q511" s="101">
        <f>Q510+S510*Tableau!$G$2+((1/2)*U510)*Tableau!$G$2^2</f>
        <v>8405807.4816742409</v>
      </c>
      <c r="R511" s="101">
        <f>R510+T510*Tableau!$G$2</f>
        <v>-68698.203027622876</v>
      </c>
      <c r="S511" s="101">
        <f>S510+U510*Tableau!$G$2</f>
        <v>33800.728081742272</v>
      </c>
      <c r="T511" s="101">
        <f t="shared" si="14"/>
        <v>3.0236064691313647E-3</v>
      </c>
      <c r="U511" s="101">
        <f t="shared" si="15"/>
        <v>-1.483701070352996E-3</v>
      </c>
      <c r="V511" s="101">
        <f>((Tableau!$G$16-P511)/(AC511^2+Tableau!$G$21^2)^(3/2))*Tableau!$G$20</f>
        <v>1.2895447138771784E-3</v>
      </c>
      <c r="W511" s="101">
        <f>((Tableau!$H$16-Q511)/(AC511^2+Tableau!$G$21^2)^(3/2))*Tableau!$G$20</f>
        <v>-6.3148161277623257E-4</v>
      </c>
      <c r="X511" s="101">
        <f>((Tableau!$G$25-P511)/(AD511^2+Tableau!$G$30^2)^(3/2))*Tableau!$G$29</f>
        <v>4.4385843950805185E-4</v>
      </c>
      <c r="Y511" s="101">
        <f>((Tableau!$H$25-Q511)/(AD511^2+Tableau!$G$30^2)^(3/2))*Tableau!$G$29</f>
        <v>-2.1779785251846317E-4</v>
      </c>
      <c r="Z511" s="101">
        <f>((Tableau!$G$35-P511)/(AE511^2+Tableau!$G$40^2)^(3/2))*Tableau!$G$39</f>
        <v>1.2902033157461345E-3</v>
      </c>
      <c r="AA511" s="102">
        <f>((Tableau!$H$35-Q511)/(AE511^2+Tableau!$G$40^2)^(3/2))*Tableau!$G$39</f>
        <v>-6.3442160505830037E-4</v>
      </c>
      <c r="AC511" s="113">
        <f>SQRT((Tableau!$G$16-P511)^2+(Tableau!$H$16-Q511)^2)</f>
        <v>19096036.143184759</v>
      </c>
      <c r="AD511" s="114">
        <f>SQRT((Tableau!$G$25-P511)^2+(Tableau!$H$25-Q511)^2)</f>
        <v>19059018.876477506</v>
      </c>
      <c r="AE511" s="115">
        <f>SQRT((Tableau!$G$35-P511)^2+(Tableau!$H$35-Q511)^2)</f>
        <v>19083504.522707332</v>
      </c>
    </row>
    <row r="512" spans="2:31" x14ac:dyDescent="0.25">
      <c r="B512" s="20">
        <v>509</v>
      </c>
      <c r="C512" s="21">
        <f>Tableau!$G$17*COS(B512*PI()/180)+Tableau!$G$16</f>
        <v>15714.16349648944</v>
      </c>
      <c r="D512" s="21">
        <f>Tableau!$G$17*SIN(B512*PI()/180)+Tableau!$H$16</f>
        <v>10075.190374550273</v>
      </c>
      <c r="F512" s="28">
        <v>509</v>
      </c>
      <c r="G512" s="29">
        <f>Tableau!$G$26*COS(F512*PI()/180)+Tableau!$G$25</f>
        <v>-23000.085552457393</v>
      </c>
      <c r="H512" s="29">
        <f>Tableau!$G$26*SIN(F512*PI()/180)+Tableau!$H$25</f>
        <v>11802.633262185191</v>
      </c>
      <c r="J512" s="36">
        <v>509</v>
      </c>
      <c r="K512" s="37">
        <f>Tableau!$G$36*COS(J512*PI()/180)+Tableau!$G$35</f>
        <v>-9285.8365035105599</v>
      </c>
      <c r="L512" s="37">
        <f>Tableau!$G$36*SIN(J512*PI()/180)+Tableau!$H$35</f>
        <v>-12424.809625449727</v>
      </c>
      <c r="N512" s="92">
        <v>508</v>
      </c>
      <c r="O512" s="93">
        <v>254</v>
      </c>
      <c r="P512" s="96">
        <f>P511+R511*Tableau!$G$2+((1/2)*T511)*Tableau!$G$2^2</f>
        <v>-17164481.107189722</v>
      </c>
      <c r="Q512" s="96">
        <f>Q511+S511*Tableau!$G$2+((1/2)*U511)*Tableau!$G$2^2</f>
        <v>8422707.8455296494</v>
      </c>
      <c r="R512" s="96">
        <f>R511+T511*Tableau!$G$2</f>
        <v>-68698.201515819645</v>
      </c>
      <c r="S512" s="96">
        <f>S511+U511*Tableau!$G$2</f>
        <v>33800.727339891739</v>
      </c>
      <c r="T512" s="96">
        <f t="shared" si="14"/>
        <v>3.0115101156220005E-3</v>
      </c>
      <c r="U512" s="96">
        <f t="shared" si="15"/>
        <v>-1.4777732197284884E-3</v>
      </c>
      <c r="V512" s="96">
        <f>((Tableau!$G$16-P512)/(AC512^2+Tableau!$G$21^2)^(3/2))*Tableau!$G$20</f>
        <v>1.2843875976681646E-3</v>
      </c>
      <c r="W512" s="96">
        <f>((Tableau!$H$16-Q512)/(AC512^2+Tableau!$G$21^2)^(3/2))*Tableau!$G$20</f>
        <v>-6.2896217355530484E-4</v>
      </c>
      <c r="X512" s="96">
        <f>((Tableau!$G$25-P512)/(AD512^2+Tableau!$G$30^2)^(3/2))*Tableau!$G$29</f>
        <v>4.4208028064952692E-4</v>
      </c>
      <c r="Y512" s="96">
        <f>((Tableau!$H$25-Q512)/(AD512^2+Tableau!$G$30^2)^(3/2))*Tableau!$G$29</f>
        <v>-2.1692649792792989E-4</v>
      </c>
      <c r="Z512" s="96">
        <f>((Tableau!$G$35-P512)/(AE512^2+Tableau!$G$40^2)^(3/2))*Tableau!$G$39</f>
        <v>1.2850422373043089E-3</v>
      </c>
      <c r="AA512" s="97">
        <f>((Tableau!$H$35-Q512)/(AE512^2+Tableau!$G$40^2)^(3/2))*Tableau!$G$39</f>
        <v>-6.3188454824525354E-4</v>
      </c>
      <c r="AC512" s="110">
        <f>SQRT((Tableau!$G$16-P512)^2+(Tableau!$H$16-Q512)^2)</f>
        <v>19134317.704240836</v>
      </c>
      <c r="AD512" s="111">
        <f>SQRT((Tableau!$G$25-P512)^2+(Tableau!$H$25-Q512)^2)</f>
        <v>19097300.482765134</v>
      </c>
      <c r="AE512" s="112">
        <f>SQRT((Tableau!$G$35-P512)^2+(Tableau!$H$35-Q512)^2)</f>
        <v>19121786.149690975</v>
      </c>
    </row>
    <row r="513" spans="2:31" x14ac:dyDescent="0.25">
      <c r="B513" s="18">
        <v>510</v>
      </c>
      <c r="C513" s="19">
        <f>Tableau!$G$17*COS(B513*PI()/180)+Tableau!$G$16</f>
        <v>15669.872981077806</v>
      </c>
      <c r="D513" s="19">
        <f>Tableau!$G$17*SIN(B513*PI()/180)+Tableau!$H$16</f>
        <v>10000</v>
      </c>
      <c r="F513" s="26">
        <v>510</v>
      </c>
      <c r="G513" s="27">
        <f>Tableau!$G$26*COS(F513*PI()/180)+Tableau!$G$25</f>
        <v>-23031.088913245534</v>
      </c>
      <c r="H513" s="27">
        <f>Tableau!$G$26*SIN(F513*PI()/180)+Tableau!$H$25</f>
        <v>11750</v>
      </c>
      <c r="J513" s="34">
        <v>510</v>
      </c>
      <c r="K513" s="35">
        <f>Tableau!$G$36*COS(J513*PI()/180)+Tableau!$G$35</f>
        <v>-9330.1270189221941</v>
      </c>
      <c r="L513" s="35">
        <f>Tableau!$G$36*SIN(J513*PI()/180)+Tableau!$H$35</f>
        <v>-12500</v>
      </c>
      <c r="N513" s="98">
        <v>509</v>
      </c>
      <c r="O513" s="99">
        <v>254.5</v>
      </c>
      <c r="P513" s="101">
        <f>P512+R512*Tableau!$G$2+((1/2)*T512)*Tableau!$G$2^2</f>
        <v>-17198830.20757119</v>
      </c>
      <c r="Q513" s="101">
        <f>Q512+S512*Tableau!$G$2+((1/2)*U512)*Tableau!$G$2^2</f>
        <v>8439608.209014874</v>
      </c>
      <c r="R513" s="101">
        <f>R512+T512*Tableau!$G$2</f>
        <v>-68698.200010064582</v>
      </c>
      <c r="S513" s="101">
        <f>S512+U512*Tableau!$G$2</f>
        <v>33800.726601005132</v>
      </c>
      <c r="T513" s="101">
        <f t="shared" si="14"/>
        <v>2.9994862070845123E-3</v>
      </c>
      <c r="U513" s="101">
        <f t="shared" si="15"/>
        <v>-1.4718808237864785E-3</v>
      </c>
      <c r="V513" s="101">
        <f>((Tableau!$G$16-P513)/(AC513^2+Tableau!$G$21^2)^(3/2))*Tableau!$G$20</f>
        <v>1.2792613560873118E-3</v>
      </c>
      <c r="W513" s="101">
        <f>((Tableau!$H$16-Q513)/(AC513^2+Tableau!$G$21^2)^(3/2))*Tableau!$G$20</f>
        <v>-6.2645778209696789E-4</v>
      </c>
      <c r="X513" s="101">
        <f>((Tableau!$G$25-P513)/(AD513^2+Tableau!$G$30^2)^(3/2))*Tableau!$G$29</f>
        <v>4.4031278578755584E-4</v>
      </c>
      <c r="Y513" s="101">
        <f>((Tableau!$H$25-Q513)/(AD513^2+Tableau!$G$30^2)^(3/2))*Tableau!$G$29</f>
        <v>-2.1606036201307548E-4</v>
      </c>
      <c r="Z513" s="101">
        <f>((Tableau!$G$35-P513)/(AE513^2+Tableau!$G$40^2)^(3/2))*Tableau!$G$39</f>
        <v>1.2799120652096446E-3</v>
      </c>
      <c r="AA513" s="102">
        <f>((Tableau!$H$35-Q513)/(AE513^2+Tableau!$G$40^2)^(3/2))*Tableau!$G$39</f>
        <v>-6.2936267967643521E-4</v>
      </c>
      <c r="AC513" s="113">
        <f>SQRT((Tableau!$G$16-P513)^2+(Tableau!$H$16-Q513)^2)</f>
        <v>19172599.26472418</v>
      </c>
      <c r="AD513" s="114">
        <f>SQRT((Tableau!$G$25-P513)^2+(Tableau!$H$25-Q513)^2)</f>
        <v>19135582.088299572</v>
      </c>
      <c r="AE513" s="115">
        <f>SQRT((Tableau!$G$35-P513)^2+(Tableau!$H$35-Q513)^2)</f>
        <v>19160067.775838614</v>
      </c>
    </row>
    <row r="514" spans="2:31" x14ac:dyDescent="0.25">
      <c r="B514" s="20">
        <v>511</v>
      </c>
      <c r="C514" s="21">
        <f>Tableau!$G$17*COS(B514*PI()/180)+Tableau!$G$16</f>
        <v>15626.901464303024</v>
      </c>
      <c r="D514" s="21">
        <f>Tableau!$G$17*SIN(B514*PI()/180)+Tableau!$H$16</f>
        <v>9924.0481012316886</v>
      </c>
      <c r="F514" s="28">
        <v>511</v>
      </c>
      <c r="G514" s="29">
        <f>Tableau!$G$26*COS(F514*PI()/180)+Tableau!$G$25</f>
        <v>-23061.168974987882</v>
      </c>
      <c r="H514" s="29">
        <f>Tableau!$G$26*SIN(F514*PI()/180)+Tableau!$H$25</f>
        <v>11696.833670862183</v>
      </c>
      <c r="J514" s="36">
        <v>511</v>
      </c>
      <c r="K514" s="37">
        <f>Tableau!$G$36*COS(J514*PI()/180)+Tableau!$G$35</f>
        <v>-9373.0985356969759</v>
      </c>
      <c r="L514" s="37">
        <f>Tableau!$G$36*SIN(J514*PI()/180)+Tableau!$H$35</f>
        <v>-12575.951898768311</v>
      </c>
      <c r="N514" s="92">
        <v>510</v>
      </c>
      <c r="O514" s="93">
        <v>255</v>
      </c>
      <c r="P514" s="96">
        <f>P513+R513*Tableau!$G$2+((1/2)*T513)*Tableau!$G$2^2</f>
        <v>-17233179.307201285</v>
      </c>
      <c r="Q514" s="96">
        <f>Q513+S513*Tableau!$G$2+((1/2)*U513)*Tableau!$G$2^2</f>
        <v>8456508.5721313916</v>
      </c>
      <c r="R514" s="96">
        <f>R513+T513*Tableau!$G$2</f>
        <v>-68698.198510321483</v>
      </c>
      <c r="S514" s="96">
        <f>S513+U513*Tableau!$G$2</f>
        <v>33800.72586506472</v>
      </c>
      <c r="T514" s="96">
        <f t="shared" si="14"/>
        <v>2.9875341661738932E-3</v>
      </c>
      <c r="U514" s="96">
        <f t="shared" si="15"/>
        <v>-1.4660236003482404E-3</v>
      </c>
      <c r="V514" s="96">
        <f>((Tableau!$G$16-P514)/(AC514^2+Tableau!$G$21^2)^(3/2))*Tableau!$G$20</f>
        <v>1.2741657431716835E-3</v>
      </c>
      <c r="W514" s="96">
        <f>((Tableau!$H$16-Q514)/(AC514^2+Tableau!$G$21^2)^(3/2))*Tableau!$G$20</f>
        <v>-6.2396831880605016E-4</v>
      </c>
      <c r="X514" s="96">
        <f>((Tableau!$G$25-P514)/(AD514^2+Tableau!$G$30^2)^(3/2))*Tableau!$G$29</f>
        <v>4.3855586981978389E-4</v>
      </c>
      <c r="Y514" s="96">
        <f>((Tableau!$H$25-Q514)/(AD514^2+Tableau!$G$30^2)^(3/2))*Tableau!$G$29</f>
        <v>-2.1519940318298031E-4</v>
      </c>
      <c r="Z514" s="96">
        <f>((Tableau!$G$35-P514)/(AE514^2+Tableau!$G$40^2)^(3/2))*Tableau!$G$39</f>
        <v>1.274812553182426E-3</v>
      </c>
      <c r="AA514" s="97">
        <f>((Tableau!$H$35-Q514)/(AE514^2+Tableau!$G$40^2)^(3/2))*Tableau!$G$39</f>
        <v>-6.2685587835920997E-4</v>
      </c>
      <c r="AC514" s="110">
        <f>SQRT((Tableau!$G$16-P514)^2+(Tableau!$H$16-Q514)^2)</f>
        <v>19210880.824636552</v>
      </c>
      <c r="AD514" s="111">
        <f>SQRT((Tableau!$G$25-P514)^2+(Tableau!$H$25-Q514)^2)</f>
        <v>19173863.693083655</v>
      </c>
      <c r="AE514" s="112">
        <f>SQRT((Tableau!$G$35-P514)^2+(Tableau!$H$35-Q514)^2)</f>
        <v>19198349.401153587</v>
      </c>
    </row>
    <row r="515" spans="2:31" x14ac:dyDescent="0.25">
      <c r="B515" s="18">
        <v>512</v>
      </c>
      <c r="C515" s="19">
        <f>Tableau!$G$17*COS(B515*PI()/180)+Tableau!$G$16</f>
        <v>15585.262035705366</v>
      </c>
      <c r="D515" s="19">
        <f>Tableau!$G$17*SIN(B515*PI()/180)+Tableau!$H$16</f>
        <v>9847.357813929455</v>
      </c>
      <c r="F515" s="26">
        <v>512</v>
      </c>
      <c r="G515" s="27">
        <f>Tableau!$G$26*COS(F515*PI()/180)+Tableau!$G$25</f>
        <v>-23090.316575006244</v>
      </c>
      <c r="H515" s="27">
        <f>Tableau!$G$26*SIN(F515*PI()/180)+Tableau!$H$25</f>
        <v>11643.150469750619</v>
      </c>
      <c r="J515" s="34">
        <v>512</v>
      </c>
      <c r="K515" s="35">
        <f>Tableau!$G$36*COS(J515*PI()/180)+Tableau!$G$35</f>
        <v>-9414.7379642946344</v>
      </c>
      <c r="L515" s="35">
        <f>Tableau!$G$36*SIN(J515*PI()/180)+Tableau!$H$35</f>
        <v>-12652.642186070545</v>
      </c>
      <c r="N515" s="98">
        <v>511</v>
      </c>
      <c r="O515" s="99">
        <v>255.5</v>
      </c>
      <c r="P515" s="101">
        <f>P514+R514*Tableau!$G$2+((1/2)*T514)*Tableau!$G$2^2</f>
        <v>-17267528.406083003</v>
      </c>
      <c r="Q515" s="101">
        <f>Q514+S514*Tableau!$G$2+((1/2)*U514)*Tableau!$G$2^2</f>
        <v>8473408.934880672</v>
      </c>
      <c r="R515" s="101">
        <f>R514+T514*Tableau!$G$2</f>
        <v>-68698.197016554404</v>
      </c>
      <c r="S515" s="101">
        <f>S514+U514*Tableau!$G$2</f>
        <v>33800.725132052918</v>
      </c>
      <c r="T515" s="101">
        <f t="shared" si="14"/>
        <v>2.9756534212851144E-3</v>
      </c>
      <c r="U515" s="101">
        <f t="shared" si="15"/>
        <v>-1.4602012700367598E-3</v>
      </c>
      <c r="V515" s="101">
        <f>((Tableau!$G$16-P515)/(AC515^2+Tableau!$G$21^2)^(3/2))*Tableau!$G$20</f>
        <v>1.2691005154028285E-3</v>
      </c>
      <c r="W515" s="101">
        <f>((Tableau!$H$16-Q515)/(AC515^2+Tableau!$G$21^2)^(3/2))*Tableau!$G$20</f>
        <v>-6.2149366527316445E-4</v>
      </c>
      <c r="X515" s="101">
        <f>((Tableau!$G$25-P515)/(AD515^2+Tableau!$G$30^2)^(3/2))*Tableau!$G$29</f>
        <v>4.3680944849109102E-4</v>
      </c>
      <c r="Y515" s="101">
        <f>((Tableau!$H$25-Q515)/(AD515^2+Tableau!$G$30^2)^(3/2))*Tableau!$G$29</f>
        <v>-2.1434358026022708E-4</v>
      </c>
      <c r="Z515" s="101">
        <f>((Tableau!$G$35-P515)/(AE515^2+Tableau!$G$40^2)^(3/2))*Tableau!$G$39</f>
        <v>1.2697434573911951E-3</v>
      </c>
      <c r="AA515" s="102">
        <f>((Tableau!$H$35-Q515)/(AE515^2+Tableau!$G$40^2)^(3/2))*Tableau!$G$39</f>
        <v>-6.2436402450336817E-4</v>
      </c>
      <c r="AC515" s="113">
        <f>SQRT((Tableau!$G$16-P515)^2+(Tableau!$H$16-Q515)^2)</f>
        <v>19249162.383979701</v>
      </c>
      <c r="AD515" s="114">
        <f>SQRT((Tableau!$G$25-P515)^2+(Tableau!$H$25-Q515)^2)</f>
        <v>19212145.297120206</v>
      </c>
      <c r="AE515" s="115">
        <f>SQRT((Tableau!$G$35-P515)^2+(Tableau!$H$35-Q515)^2)</f>
        <v>19236631.025639199</v>
      </c>
    </row>
    <row r="516" spans="2:31" x14ac:dyDescent="0.25">
      <c r="B516" s="20">
        <v>513</v>
      </c>
      <c r="C516" s="21">
        <f>Tableau!$G$17*COS(B516*PI()/180)+Tableau!$G$16</f>
        <v>15544.967379058158</v>
      </c>
      <c r="D516" s="21">
        <f>Tableau!$G$17*SIN(B516*PI()/180)+Tableau!$H$16</f>
        <v>9769.9524986977322</v>
      </c>
      <c r="F516" s="28">
        <v>513</v>
      </c>
      <c r="G516" s="29">
        <f>Tableau!$G$26*COS(F516*PI()/180)+Tableau!$G$25</f>
        <v>-23118.522834659288</v>
      </c>
      <c r="H516" s="29">
        <f>Tableau!$G$26*SIN(F516*PI()/180)+Tableau!$H$25</f>
        <v>11588.966749088413</v>
      </c>
      <c r="J516" s="36">
        <v>513</v>
      </c>
      <c r="K516" s="37">
        <f>Tableau!$G$36*COS(J516*PI()/180)+Tableau!$G$35</f>
        <v>-9455.0326209418417</v>
      </c>
      <c r="L516" s="37">
        <f>Tableau!$G$36*SIN(J516*PI()/180)+Tableau!$H$35</f>
        <v>-12730.047501302268</v>
      </c>
      <c r="N516" s="92">
        <v>512</v>
      </c>
      <c r="O516" s="93">
        <v>256</v>
      </c>
      <c r="P516" s="96">
        <f>P515+R515*Tableau!$G$2+((1/2)*T515)*Tableau!$G$2^2</f>
        <v>-17301877.504219323</v>
      </c>
      <c r="Q516" s="96">
        <f>Q515+S515*Tableau!$G$2+((1/2)*U515)*Tableau!$G$2^2</f>
        <v>8490309.2972641736</v>
      </c>
      <c r="R516" s="96">
        <f>R515+T515*Tableau!$G$2</f>
        <v>-68698.195528727694</v>
      </c>
      <c r="S516" s="96">
        <f>S515+U515*Tableau!$G$2</f>
        <v>33800.724401952284</v>
      </c>
      <c r="T516" s="96">
        <f t="shared" ref="T516:T579" si="16">V516+X516+Z516</f>
        <v>2.9638434064847528E-3</v>
      </c>
      <c r="U516" s="96">
        <f t="shared" ref="U516:U579" si="17">W516+Y516+AA516</f>
        <v>-1.4544135562434052E-3</v>
      </c>
      <c r="V516" s="96">
        <f>((Tableau!$G$16-P516)/(AC516^2+Tableau!$G$21^2)^(3/2))*Tableau!$G$20</f>
        <v>1.2640654316776038E-3</v>
      </c>
      <c r="W516" s="96">
        <f>((Tableau!$H$16-Q516)/(AC516^2+Tableau!$G$21^2)^(3/2))*Tableau!$G$20</f>
        <v>-6.1903370426058763E-4</v>
      </c>
      <c r="X516" s="96">
        <f>((Tableau!$G$25-P516)/(AD516^2+Tableau!$G$30^2)^(3/2))*Tableau!$G$29</f>
        <v>4.3507343838350589E-4</v>
      </c>
      <c r="Y516" s="96">
        <f>((Tableau!$H$25-Q516)/(AD516^2+Tableau!$G$30^2)^(3/2))*Tableau!$G$29</f>
        <v>-2.1349285247598479E-4</v>
      </c>
      <c r="Z516" s="96">
        <f>((Tableau!$G$35-P516)/(AE516^2+Tableau!$G$40^2)^(3/2))*Tableau!$G$39</f>
        <v>1.2647045364236433E-3</v>
      </c>
      <c r="AA516" s="97">
        <f>((Tableau!$H$35-Q516)/(AE516^2+Tableau!$G$40^2)^(3/2))*Tableau!$G$39</f>
        <v>-6.2188699950683276E-4</v>
      </c>
      <c r="AC516" s="110">
        <f>SQRT((Tableau!$G$16-P516)^2+(Tableau!$H$16-Q516)^2)</f>
        <v>19287443.942755375</v>
      </c>
      <c r="AD516" s="111">
        <f>SQRT((Tableau!$G$25-P516)^2+(Tableau!$H$25-Q516)^2)</f>
        <v>19250426.900412031</v>
      </c>
      <c r="AE516" s="112">
        <f>SQRT((Tableau!$G$35-P516)^2+(Tableau!$H$35-Q516)^2)</f>
        <v>19274912.649298746</v>
      </c>
    </row>
    <row r="517" spans="2:31" x14ac:dyDescent="0.25">
      <c r="B517" s="18">
        <v>514</v>
      </c>
      <c r="C517" s="19">
        <f>Tableau!$G$17*COS(B517*PI()/180)+Tableau!$G$16</f>
        <v>15506.029768504166</v>
      </c>
      <c r="D517" s="19">
        <f>Tableau!$G$17*SIN(B517*PI()/180)+Tableau!$H$16</f>
        <v>9691.8557339453891</v>
      </c>
      <c r="F517" s="26">
        <v>514</v>
      </c>
      <c r="G517" s="27">
        <f>Tableau!$G$26*COS(F517*PI()/180)+Tableau!$G$25</f>
        <v>-23145.779162047082</v>
      </c>
      <c r="H517" s="27">
        <f>Tableau!$G$26*SIN(F517*PI()/180)+Tableau!$H$25</f>
        <v>11534.299013761773</v>
      </c>
      <c r="J517" s="34">
        <v>514</v>
      </c>
      <c r="K517" s="35">
        <f>Tableau!$G$36*COS(J517*PI()/180)+Tableau!$G$35</f>
        <v>-9493.970231495834</v>
      </c>
      <c r="L517" s="35">
        <f>Tableau!$G$36*SIN(J517*PI()/180)+Tableau!$H$35</f>
        <v>-12808.144266054611</v>
      </c>
      <c r="N517" s="98">
        <v>513</v>
      </c>
      <c r="O517" s="99">
        <v>256.5</v>
      </c>
      <c r="P517" s="101">
        <f>P516+R516*Tableau!$G$2+((1/2)*T516)*Tableau!$G$2^2</f>
        <v>-17336226.601613209</v>
      </c>
      <c r="Q517" s="101">
        <f>Q516+S516*Tableau!$G$2+((1/2)*U516)*Tableau!$G$2^2</f>
        <v>8507209.6592833474</v>
      </c>
      <c r="R517" s="101">
        <f>R516+T516*Tableau!$G$2</f>
        <v>-68698.194046805991</v>
      </c>
      <c r="S517" s="101">
        <f>S516+U516*Tableau!$G$2</f>
        <v>33800.723674745503</v>
      </c>
      <c r="T517" s="101">
        <f t="shared" si="16"/>
        <v>2.9521035614435481E-3</v>
      </c>
      <c r="U517" s="101">
        <f t="shared" si="17"/>
        <v>-1.4486601850950533E-3</v>
      </c>
      <c r="V517" s="101">
        <f>((Tableau!$G$16-P517)/(AC517^2+Tableau!$G$21^2)^(3/2))*Tableau!$G$20</f>
        <v>1.2590602532795904E-3</v>
      </c>
      <c r="W517" s="101">
        <f>((Tableau!$H$16-Q517)/(AC517^2+Tableau!$G$21^2)^(3/2))*Tableau!$G$20</f>
        <v>-6.1658831968842748E-4</v>
      </c>
      <c r="X517" s="101">
        <f>((Tableau!$G$25-P517)/(AD517^2+Tableau!$G$30^2)^(3/2))*Tableau!$G$29</f>
        <v>4.3334775690621918E-4</v>
      </c>
      <c r="Y517" s="101">
        <f>((Tableau!$H$25-Q517)/(AD517^2+Tableau!$G$30^2)^(3/2))*Tableau!$G$29</f>
        <v>-2.1264717946514129E-4</v>
      </c>
      <c r="Z517" s="101">
        <f>((Tableau!$G$35-P517)/(AE517^2+Tableau!$G$40^2)^(3/2))*Tableau!$G$39</f>
        <v>1.2596955512577388E-3</v>
      </c>
      <c r="AA517" s="102">
        <f>((Tableau!$H$35-Q517)/(AE517^2+Tableau!$G$40^2)^(3/2))*Tableau!$G$39</f>
        <v>-6.1942468594148453E-4</v>
      </c>
      <c r="AC517" s="113">
        <f>SQRT((Tableau!$G$16-P517)^2+(Tableau!$H$16-Q517)^2)</f>
        <v>19325725.500965305</v>
      </c>
      <c r="AD517" s="114">
        <f>SQRT((Tableau!$G$25-P517)^2+(Tableau!$H$25-Q517)^2)</f>
        <v>19288708.502961911</v>
      </c>
      <c r="AE517" s="115">
        <f>SQRT((Tableau!$G$35-P517)^2+(Tableau!$H$35-Q517)^2)</f>
        <v>19313194.272135504</v>
      </c>
    </row>
    <row r="518" spans="2:31" x14ac:dyDescent="0.25">
      <c r="B518" s="20">
        <v>515</v>
      </c>
      <c r="C518" s="21">
        <f>Tableau!$G$17*COS(B518*PI()/180)+Tableau!$G$16</f>
        <v>15468.461064816751</v>
      </c>
      <c r="D518" s="21">
        <f>Tableau!$G$17*SIN(B518*PI()/180)+Tableau!$H$16</f>
        <v>9613.0913087034969</v>
      </c>
      <c r="F518" s="28">
        <v>515</v>
      </c>
      <c r="G518" s="29">
        <f>Tableau!$G$26*COS(F518*PI()/180)+Tableau!$G$25</f>
        <v>-23172.077254628275</v>
      </c>
      <c r="H518" s="29">
        <f>Tableau!$G$26*SIN(F518*PI()/180)+Tableau!$H$25</f>
        <v>11479.163916092448</v>
      </c>
      <c r="J518" s="36">
        <v>515</v>
      </c>
      <c r="K518" s="37">
        <f>Tableau!$G$36*COS(J518*PI()/180)+Tableau!$G$35</f>
        <v>-9531.5389351832491</v>
      </c>
      <c r="L518" s="37">
        <f>Tableau!$G$36*SIN(J518*PI()/180)+Tableau!$H$35</f>
        <v>-12886.908691296503</v>
      </c>
      <c r="N518" s="92">
        <v>514</v>
      </c>
      <c r="O518" s="93">
        <v>257</v>
      </c>
      <c r="P518" s="96">
        <f>P517+R517*Tableau!$G$2+((1/2)*T517)*Tableau!$G$2^2</f>
        <v>-17370575.698267598</v>
      </c>
      <c r="Q518" s="96">
        <f>Q517+S517*Tableau!$G$2+((1/2)*U517)*Tableau!$G$2^2</f>
        <v>8524110.020939637</v>
      </c>
      <c r="R518" s="96">
        <f>R517+T517*Tableau!$G$2</f>
        <v>-68698.19257075421</v>
      </c>
      <c r="S518" s="96">
        <f>S517+U517*Tableau!$G$2</f>
        <v>33800.722950415409</v>
      </c>
      <c r="T518" s="96">
        <f t="shared" si="16"/>
        <v>2.9404333313700825E-3</v>
      </c>
      <c r="U518" s="96">
        <f t="shared" si="17"/>
        <v>-1.4429408854217578E-3</v>
      </c>
      <c r="V518" s="96">
        <f>((Tableau!$G$16-P518)/(AC518^2+Tableau!$G$21^2)^(3/2))*Tableau!$G$20</f>
        <v>1.2540847438507411E-3</v>
      </c>
      <c r="W518" s="96">
        <f>((Tableau!$H$16-Q518)/(AC518^2+Tableau!$G$21^2)^(3/2))*Tableau!$G$20</f>
        <v>-6.1415739662090132E-4</v>
      </c>
      <c r="X518" s="96">
        <f>((Tableau!$G$25-P518)/(AD518^2+Tableau!$G$30^2)^(3/2))*Tableau!$G$29</f>
        <v>4.3163232228580936E-4</v>
      </c>
      <c r="Y518" s="96">
        <f>((Tableau!$H$25-Q518)/(AD518^2+Tableau!$G$30^2)^(3/2))*Tableau!$G$29</f>
        <v>-2.1180652126153891E-4</v>
      </c>
      <c r="Z518" s="96">
        <f>((Tableau!$G$35-P518)/(AE518^2+Tableau!$G$40^2)^(3/2))*Tableau!$G$39</f>
        <v>1.2547162652335319E-3</v>
      </c>
      <c r="AA518" s="97">
        <f>((Tableau!$H$35-Q518)/(AE518^2+Tableau!$G$40^2)^(3/2))*Tableau!$G$39</f>
        <v>-6.1697696753931753E-4</v>
      </c>
      <c r="AC518" s="110">
        <f>SQRT((Tableau!$G$16-P518)^2+(Tableau!$H$16-Q518)^2)</f>
        <v>19364007.058611218</v>
      </c>
      <c r="AD518" s="111">
        <f>SQRT((Tableau!$G$25-P518)^2+(Tableau!$H$25-Q518)^2)</f>
        <v>19326990.104772624</v>
      </c>
      <c r="AE518" s="112">
        <f>SQRT((Tableau!$G$35-P518)^2+(Tableau!$H$35-Q518)^2)</f>
        <v>19351475.894152723</v>
      </c>
    </row>
    <row r="519" spans="2:31" x14ac:dyDescent="0.25">
      <c r="B519" s="18">
        <v>516</v>
      </c>
      <c r="C519" s="19">
        <f>Tableau!$G$17*COS(B519*PI()/180)+Tableau!$G$16</f>
        <v>15432.272711786998</v>
      </c>
      <c r="D519" s="19">
        <f>Tableau!$G$17*SIN(B519*PI()/180)+Tableau!$H$16</f>
        <v>9533.6832153790056</v>
      </c>
      <c r="F519" s="26">
        <v>516</v>
      </c>
      <c r="G519" s="27">
        <f>Tableau!$G$26*COS(F519*PI()/180)+Tableau!$G$25</f>
        <v>-23197.409101749101</v>
      </c>
      <c r="H519" s="27">
        <f>Tableau!$G$26*SIN(F519*PI()/180)+Tableau!$H$25</f>
        <v>11423.578250765304</v>
      </c>
      <c r="J519" s="34">
        <v>516</v>
      </c>
      <c r="K519" s="35">
        <f>Tableau!$G$36*COS(J519*PI()/180)+Tableau!$G$35</f>
        <v>-9567.7272882130019</v>
      </c>
      <c r="L519" s="35">
        <f>Tableau!$G$36*SIN(J519*PI()/180)+Tableau!$H$35</f>
        <v>-12966.316784620994</v>
      </c>
      <c r="N519" s="98">
        <v>515</v>
      </c>
      <c r="O519" s="99">
        <v>257.5</v>
      </c>
      <c r="P519" s="101">
        <f>P518+R518*Tableau!$G$2+((1/2)*T518)*Tableau!$G$2^2</f>
        <v>-17404924.794185419</v>
      </c>
      <c r="Q519" s="101">
        <f>Q518+S518*Tableau!$G$2+((1/2)*U518)*Tableau!$G$2^2</f>
        <v>8541010.3822344765</v>
      </c>
      <c r="R519" s="101">
        <f>R518+T518*Tableau!$G$2</f>
        <v>-68698.191100537544</v>
      </c>
      <c r="S519" s="101">
        <f>S518+U518*Tableau!$G$2</f>
        <v>33800.722228944964</v>
      </c>
      <c r="T519" s="101">
        <f t="shared" si="16"/>
        <v>2.9288321669450959E-3</v>
      </c>
      <c r="U519" s="101">
        <f t="shared" si="17"/>
        <v>-1.4372553887247296E-3</v>
      </c>
      <c r="V519" s="101">
        <f>((Tableau!$G$16-P519)/(AC519^2+Tableau!$G$21^2)^(3/2))*Tableau!$G$20</f>
        <v>1.2491386693634821E-3</v>
      </c>
      <c r="W519" s="101">
        <f>((Tableau!$H$16-Q519)/(AC519^2+Tableau!$G$21^2)^(3/2))*Tableau!$G$20</f>
        <v>-6.1174082125283261E-4</v>
      </c>
      <c r="X519" s="101">
        <f>((Tableau!$G$25-P519)/(AD519^2+Tableau!$G$30^2)^(3/2))*Tableau!$G$29</f>
        <v>4.2992705355648849E-4</v>
      </c>
      <c r="Y519" s="101">
        <f>((Tableau!$H$25-Q519)/(AD519^2+Tableau!$G$30^2)^(3/2))*Tableau!$G$29</f>
        <v>-2.1097083829321988E-4</v>
      </c>
      <c r="Z519" s="101">
        <f>((Tableau!$G$35-P519)/(AE519^2+Tableau!$G$40^2)^(3/2))*Tableau!$G$39</f>
        <v>1.2497664440251251E-3</v>
      </c>
      <c r="AA519" s="102">
        <f>((Tableau!$H$35-Q519)/(AE519^2+Tableau!$G$40^2)^(3/2))*Tableau!$G$39</f>
        <v>-6.1454372917867724E-4</v>
      </c>
      <c r="AC519" s="113">
        <f>SQRT((Tableau!$G$16-P519)^2+(Tableau!$H$16-Q519)^2)</f>
        <v>19402288.615694836</v>
      </c>
      <c r="AD519" s="114">
        <f>SQRT((Tableau!$G$25-P519)^2+(Tableau!$H$25-Q519)^2)</f>
        <v>19365271.705846924</v>
      </c>
      <c r="AE519" s="115">
        <f>SQRT((Tableau!$G$35-P519)^2+(Tableau!$H$35-Q519)^2)</f>
        <v>19389757.515353631</v>
      </c>
    </row>
    <row r="520" spans="2:31" x14ac:dyDescent="0.25">
      <c r="B520" s="20">
        <v>517</v>
      </c>
      <c r="C520" s="21">
        <f>Tableau!$G$17*COS(B520*PI()/180)+Tableau!$G$16</f>
        <v>15397.475732737799</v>
      </c>
      <c r="D520" s="21">
        <f>Tableau!$G$17*SIN(B520*PI()/180)+Tableau!$H$16</f>
        <v>9453.6556424463706</v>
      </c>
      <c r="F520" s="28">
        <v>517</v>
      </c>
      <c r="G520" s="29">
        <f>Tableau!$G$26*COS(F520*PI()/180)+Tableau!$G$25</f>
        <v>-23221.766987083542</v>
      </c>
      <c r="H520" s="29">
        <f>Tableau!$G$26*SIN(F520*PI()/180)+Tableau!$H$25</f>
        <v>11367.558949712458</v>
      </c>
      <c r="J520" s="36">
        <v>517</v>
      </c>
      <c r="K520" s="37">
        <f>Tableau!$G$36*COS(J520*PI()/180)+Tableau!$G$35</f>
        <v>-9602.5242672622007</v>
      </c>
      <c r="L520" s="37">
        <f>Tableau!$G$36*SIN(J520*PI()/180)+Tableau!$H$35</f>
        <v>-13046.344357553629</v>
      </c>
      <c r="N520" s="92">
        <v>516</v>
      </c>
      <c r="O520" s="93">
        <v>258</v>
      </c>
      <c r="P520" s="96">
        <f>P519+R519*Tableau!$G$2+((1/2)*T519)*Tableau!$G$2^2</f>
        <v>-17439273.889369585</v>
      </c>
      <c r="Q520" s="96">
        <f>Q519+S519*Tableau!$G$2+((1/2)*U519)*Tableau!$G$2^2</f>
        <v>8557910.7431692909</v>
      </c>
      <c r="R520" s="96">
        <f>R519+T519*Tableau!$G$2</f>
        <v>-68698.18963612146</v>
      </c>
      <c r="S520" s="96">
        <f>S519+U519*Tableau!$G$2</f>
        <v>33800.721510317271</v>
      </c>
      <c r="T520" s="96">
        <f t="shared" si="16"/>
        <v>2.9172995242569156E-3</v>
      </c>
      <c r="U520" s="96">
        <f t="shared" si="17"/>
        <v>-1.4316034291448588E-3</v>
      </c>
      <c r="V520" s="96">
        <f>((Tableau!$G$16-P520)/(AC520^2+Tableau!$G$21^2)^(3/2))*Tableau!$G$20</f>
        <v>1.2442217980932156E-3</v>
      </c>
      <c r="W520" s="96">
        <f>((Tableau!$H$16-Q520)/(AC520^2+Tableau!$G$21^2)^(3/2))*Tableau!$G$20</f>
        <v>-6.0933848089634278E-4</v>
      </c>
      <c r="X520" s="96">
        <f>((Tableau!$G$25-P520)/(AD520^2+Tableau!$G$30^2)^(3/2))*Tableau!$G$29</f>
        <v>4.2823187055061808E-4</v>
      </c>
      <c r="Y520" s="96">
        <f>((Tableau!$H$25-Q520)/(AD520^2+Tableau!$G$30^2)^(3/2))*Tableau!$G$29</f>
        <v>-2.1014009137780343E-4</v>
      </c>
      <c r="Z520" s="96">
        <f>((Tableau!$G$35-P520)/(AE520^2+Tableau!$G$40^2)^(3/2))*Tableau!$G$39</f>
        <v>1.244845855613082E-3</v>
      </c>
      <c r="AA520" s="97">
        <f>((Tableau!$H$35-Q520)/(AE520^2+Tableau!$G$40^2)^(3/2))*Tableau!$G$39</f>
        <v>-6.1212485687071254E-4</v>
      </c>
      <c r="AC520" s="110">
        <f>SQRT((Tableau!$G$16-P520)^2+(Tableau!$H$16-Q520)^2)</f>
        <v>19440570.172217876</v>
      </c>
      <c r="AD520" s="111">
        <f>SQRT((Tableau!$G$25-P520)^2+(Tableau!$H$25-Q520)^2)</f>
        <v>19403553.306187555</v>
      </c>
      <c r="AE520" s="112">
        <f>SQRT((Tableau!$G$35-P520)^2+(Tableau!$H$35-Q520)^2)</f>
        <v>19428039.135741454</v>
      </c>
    </row>
    <row r="521" spans="2:31" x14ac:dyDescent="0.25">
      <c r="B521" s="18">
        <v>518</v>
      </c>
      <c r="C521" s="19">
        <f>Tableau!$G$17*COS(B521*PI()/180)+Tableau!$G$16</f>
        <v>15364.080727166067</v>
      </c>
      <c r="D521" s="19">
        <f>Tableau!$G$17*SIN(B521*PI()/180)+Tableau!$H$16</f>
        <v>9373.0329670795672</v>
      </c>
      <c r="F521" s="26">
        <v>518</v>
      </c>
      <c r="G521" s="27">
        <f>Tableau!$G$26*COS(F521*PI()/180)+Tableau!$G$25</f>
        <v>-23245.143490983755</v>
      </c>
      <c r="H521" s="27">
        <f>Tableau!$G$26*SIN(F521*PI()/180)+Tableau!$H$25</f>
        <v>11311.123076955697</v>
      </c>
      <c r="J521" s="34">
        <v>518</v>
      </c>
      <c r="K521" s="35">
        <f>Tableau!$G$36*COS(J521*PI()/180)+Tableau!$G$35</f>
        <v>-9635.9192728339331</v>
      </c>
      <c r="L521" s="35">
        <f>Tableau!$G$36*SIN(J521*PI()/180)+Tableau!$H$35</f>
        <v>-13126.967032920433</v>
      </c>
      <c r="N521" s="98">
        <v>517</v>
      </c>
      <c r="O521" s="99">
        <v>258.5</v>
      </c>
      <c r="P521" s="101">
        <f>P520+R520*Tableau!$G$2+((1/2)*T520)*Tableau!$G$2^2</f>
        <v>-17473622.983822983</v>
      </c>
      <c r="Q521" s="101">
        <f>Q520+S520*Tableau!$G$2+((1/2)*U520)*Tableau!$G$2^2</f>
        <v>8574811.1037454996</v>
      </c>
      <c r="R521" s="101">
        <f>R520+T520*Tableau!$G$2</f>
        <v>-68698.188177471704</v>
      </c>
      <c r="S521" s="101">
        <f>S520+U520*Tableau!$G$2</f>
        <v>33800.720794515553</v>
      </c>
      <c r="T521" s="101">
        <f t="shared" si="16"/>
        <v>2.9058348647376213E-3</v>
      </c>
      <c r="U521" s="101">
        <f t="shared" si="17"/>
        <v>-1.425984743431594E-3</v>
      </c>
      <c r="V521" s="101">
        <f>((Tableau!$G$16-P521)/(AC521^2+Tableau!$G$21^2)^(3/2))*Tableau!$G$20</f>
        <v>1.2393339005911208E-3</v>
      </c>
      <c r="W521" s="101">
        <f>((Tableau!$H$16-Q521)/(AC521^2+Tableau!$G$21^2)^(3/2))*Tableau!$G$20</f>
        <v>-6.0695026396768558E-4</v>
      </c>
      <c r="X521" s="101">
        <f>((Tableau!$G$25-P521)/(AD521^2+Tableau!$G$30^2)^(3/2))*Tableau!$G$29</f>
        <v>4.2654669388922356E-4</v>
      </c>
      <c r="Y521" s="101">
        <f>((Tableau!$H$25-Q521)/(AD521^2+Tableau!$G$30^2)^(3/2))*Tableau!$G$29</f>
        <v>-2.0931424171786195E-4</v>
      </c>
      <c r="Z521" s="101">
        <f>((Tableau!$G$35-P521)/(AE521^2+Tableau!$G$40^2)^(3/2))*Tableau!$G$39</f>
        <v>1.2399542702572768E-3</v>
      </c>
      <c r="AA521" s="102">
        <f>((Tableau!$H$35-Q521)/(AE521^2+Tableau!$G$40^2)^(3/2))*Tableau!$G$39</f>
        <v>-6.097202377460466E-4</v>
      </c>
      <c r="AC521" s="113">
        <f>SQRT((Tableau!$G$16-P521)^2+(Tableau!$H$16-Q521)^2)</f>
        <v>19478851.728182044</v>
      </c>
      <c r="AD521" s="114">
        <f>SQRT((Tableau!$G$25-P521)^2+(Tableau!$H$25-Q521)^2)</f>
        <v>19441834.905797243</v>
      </c>
      <c r="AE521" s="115">
        <f>SQRT((Tableau!$G$35-P521)^2+(Tableau!$H$35-Q521)^2)</f>
        <v>19466320.755319379</v>
      </c>
    </row>
    <row r="522" spans="2:31" x14ac:dyDescent="0.25">
      <c r="B522" s="20">
        <v>519</v>
      </c>
      <c r="C522" s="21">
        <f>Tableau!$G$17*COS(B522*PI()/180)+Tableau!$G$16</f>
        <v>15332.097867513992</v>
      </c>
      <c r="D522" s="21">
        <f>Tableau!$G$17*SIN(B522*PI()/180)+Tableau!$H$16</f>
        <v>9291.8397477265044</v>
      </c>
      <c r="F522" s="28">
        <v>519</v>
      </c>
      <c r="G522" s="29">
        <f>Tableau!$G$26*COS(F522*PI()/180)+Tableau!$G$25</f>
        <v>-23267.531492740207</v>
      </c>
      <c r="H522" s="29">
        <f>Tableau!$G$26*SIN(F522*PI()/180)+Tableau!$H$25</f>
        <v>11254.287823408553</v>
      </c>
      <c r="J522" s="36">
        <v>519</v>
      </c>
      <c r="K522" s="37">
        <f>Tableau!$G$36*COS(J522*PI()/180)+Tableau!$G$35</f>
        <v>-9667.9021324860078</v>
      </c>
      <c r="L522" s="37">
        <f>Tableau!$G$36*SIN(J522*PI()/180)+Tableau!$H$35</f>
        <v>-13208.160252273496</v>
      </c>
      <c r="N522" s="92">
        <v>518</v>
      </c>
      <c r="O522" s="93">
        <v>259</v>
      </c>
      <c r="P522" s="96">
        <f>P521+R521*Tableau!$G$2+((1/2)*T521)*Tableau!$G$2^2</f>
        <v>-17507972.077548489</v>
      </c>
      <c r="Q522" s="96">
        <f>Q521+S521*Tableau!$G$2+((1/2)*U521)*Tableau!$G$2^2</f>
        <v>8591711.4639645088</v>
      </c>
      <c r="R522" s="96">
        <f>R521+T521*Tableau!$G$2</f>
        <v>-68698.186724554267</v>
      </c>
      <c r="S522" s="96">
        <f>S521+U521*Tableau!$G$2</f>
        <v>33800.720081523184</v>
      </c>
      <c r="T522" s="96">
        <f t="shared" si="16"/>
        <v>2.8944376551003253E-3</v>
      </c>
      <c r="U522" s="96">
        <f t="shared" si="17"/>
        <v>-1.4203990709123683E-3</v>
      </c>
      <c r="V522" s="96">
        <f>((Tableau!$G$16-P522)/(AC522^2+Tableau!$G$21^2)^(3/2))*Tableau!$G$20</f>
        <v>1.2344747496574686E-3</v>
      </c>
      <c r="W522" s="96">
        <f>((Tableau!$H$16-Q522)/(AC522^2+Tableau!$G$21^2)^(3/2))*Tableau!$G$20</f>
        <v>-6.0457605997433128E-4</v>
      </c>
      <c r="X522" s="96">
        <f>((Tableau!$G$25-P522)/(AD522^2+Tableau!$G$30^2)^(3/2))*Tableau!$G$29</f>
        <v>4.2487144497274843E-4</v>
      </c>
      <c r="Y522" s="96">
        <f>((Tableau!$H$25-Q522)/(AD522^2+Tableau!$G$30^2)^(3/2))*Tableau!$G$29</f>
        <v>-2.0849325089641408E-4</v>
      </c>
      <c r="Z522" s="96">
        <f>((Tableau!$G$35-P522)/(AE522^2+Tableau!$G$40^2)^(3/2))*Tableau!$G$39</f>
        <v>1.2350914604701085E-3</v>
      </c>
      <c r="AA522" s="97">
        <f>((Tableau!$H$35-Q522)/(AE522^2+Tableau!$G$40^2)^(3/2))*Tableau!$G$39</f>
        <v>-6.0732976004162294E-4</v>
      </c>
      <c r="AC522" s="110">
        <f>SQRT((Tableau!$G$16-P522)^2+(Tableau!$H$16-Q522)^2)</f>
        <v>19517133.283589043</v>
      </c>
      <c r="AD522" s="111">
        <f>SQRT((Tableau!$G$25-P522)^2+(Tableau!$H$25-Q522)^2)</f>
        <v>19480116.5046787</v>
      </c>
      <c r="AE522" s="112">
        <f>SQRT((Tableau!$G$35-P522)^2+(Tableau!$H$35-Q522)^2)</f>
        <v>19504602.374090586</v>
      </c>
    </row>
    <row r="523" spans="2:31" x14ac:dyDescent="0.25">
      <c r="B523" s="18">
        <v>520</v>
      </c>
      <c r="C523" s="19">
        <f>Tableau!$G$17*COS(B523*PI()/180)+Tableau!$G$16</f>
        <v>15301.536896070458</v>
      </c>
      <c r="D523" s="19">
        <f>Tableau!$G$17*SIN(B523*PI()/180)+Tableau!$H$16</f>
        <v>9210.1007166283434</v>
      </c>
      <c r="F523" s="26">
        <v>520</v>
      </c>
      <c r="G523" s="27">
        <f>Tableau!$G$26*COS(F523*PI()/180)+Tableau!$G$25</f>
        <v>-23288.924172750681</v>
      </c>
      <c r="H523" s="27">
        <f>Tableau!$G$26*SIN(F523*PI()/180)+Tableau!$H$25</f>
        <v>11197.070501639841</v>
      </c>
      <c r="J523" s="34">
        <v>520</v>
      </c>
      <c r="K523" s="35">
        <f>Tableau!$G$36*COS(J523*PI()/180)+Tableau!$G$35</f>
        <v>-9698.4631039295418</v>
      </c>
      <c r="L523" s="35">
        <f>Tableau!$G$36*SIN(J523*PI()/180)+Tableau!$H$35</f>
        <v>-13289.899283371657</v>
      </c>
      <c r="N523" s="98">
        <v>519</v>
      </c>
      <c r="O523" s="99">
        <v>259.5</v>
      </c>
      <c r="P523" s="101">
        <f>P522+R522*Tableau!$G$2+((1/2)*T522)*Tableau!$G$2^2</f>
        <v>-17542321.170548961</v>
      </c>
      <c r="Q523" s="101">
        <f>Q522+S522*Tableau!$G$2+((1/2)*U522)*Tableau!$G$2^2</f>
        <v>8608611.8238277212</v>
      </c>
      <c r="R523" s="101">
        <f>R522+T522*Tableau!$G$2</f>
        <v>-68698.185277335433</v>
      </c>
      <c r="S523" s="101">
        <f>S522+U522*Tableau!$G$2</f>
        <v>33800.719371323648</v>
      </c>
      <c r="T523" s="101">
        <f t="shared" si="16"/>
        <v>2.8831073672769517E-3</v>
      </c>
      <c r="U523" s="101">
        <f t="shared" si="17"/>
        <v>-1.4148461534622613E-3</v>
      </c>
      <c r="V523" s="101">
        <f>((Tableau!$G$16-P523)/(AC523^2+Tableau!$G$21^2)^(3/2))*Tableau!$G$20</f>
        <v>1.229644120315137E-3</v>
      </c>
      <c r="W523" s="101">
        <f>((Tableau!$H$16-Q523)/(AC523^2+Tableau!$G$21^2)^(3/2))*Tableau!$G$20</f>
        <v>-6.0221575950214609E-4</v>
      </c>
      <c r="X523" s="101">
        <f>((Tableau!$G$25-P523)/(AD523^2+Tableau!$G$30^2)^(3/2))*Tableau!$G$29</f>
        <v>4.2320604597187228E-4</v>
      </c>
      <c r="Y523" s="101">
        <f>((Tableau!$H$25-Q523)/(AD523^2+Tableau!$G$30^2)^(3/2))*Tableau!$G$29</f>
        <v>-2.0767708087244884E-4</v>
      </c>
      <c r="Z523" s="101">
        <f>((Tableau!$G$35-P523)/(AE523^2+Tableau!$G$40^2)^(3/2))*Tableau!$G$39</f>
        <v>1.2302572009899424E-3</v>
      </c>
      <c r="AA523" s="102">
        <f>((Tableau!$H$35-Q523)/(AE523^2+Tableau!$G$40^2)^(3/2))*Tableau!$G$39</f>
        <v>-6.0495331308766634E-4</v>
      </c>
      <c r="AC523" s="113">
        <f>SQRT((Tableau!$G$16-P523)^2+(Tableau!$H$16-Q523)^2)</f>
        <v>19555414.83844056</v>
      </c>
      <c r="AD523" s="114">
        <f>SQRT((Tableau!$G$25-P523)^2+(Tableau!$H$25-Q523)^2)</f>
        <v>19518398.102834623</v>
      </c>
      <c r="AE523" s="115">
        <f>SQRT((Tableau!$G$35-P523)^2+(Tableau!$H$35-Q523)^2)</f>
        <v>19542883.992058236</v>
      </c>
    </row>
    <row r="524" spans="2:31" x14ac:dyDescent="0.25">
      <c r="B524" s="20">
        <v>521</v>
      </c>
      <c r="C524" s="21">
        <f>Tableau!$G$17*COS(B524*PI()/180)+Tableau!$G$16</f>
        <v>15272.407122003417</v>
      </c>
      <c r="D524" s="21">
        <f>Tableau!$G$17*SIN(B524*PI()/180)+Tableau!$H$16</f>
        <v>9127.8407722857883</v>
      </c>
      <c r="F524" s="28">
        <v>521</v>
      </c>
      <c r="G524" s="29">
        <f>Tableau!$G$26*COS(F524*PI()/180)+Tableau!$G$25</f>
        <v>-23309.315014597607</v>
      </c>
      <c r="H524" s="29">
        <f>Tableau!$G$26*SIN(F524*PI()/180)+Tableau!$H$25</f>
        <v>11139.488540600052</v>
      </c>
      <c r="J524" s="36">
        <v>521</v>
      </c>
      <c r="K524" s="37">
        <f>Tableau!$G$36*COS(J524*PI()/180)+Tableau!$G$35</f>
        <v>-9727.5928779965834</v>
      </c>
      <c r="L524" s="37">
        <f>Tableau!$G$36*SIN(J524*PI()/180)+Tableau!$H$35</f>
        <v>-13372.159227714212</v>
      </c>
      <c r="N524" s="92">
        <v>520</v>
      </c>
      <c r="O524" s="93">
        <v>260</v>
      </c>
      <c r="P524" s="96">
        <f>P523+R523*Tableau!$G$2+((1/2)*T523)*Tableau!$G$2^2</f>
        <v>-17576670.26282724</v>
      </c>
      <c r="Q524" s="96">
        <f>Q523+S523*Tableau!$G$2+((1/2)*U523)*Tableau!$G$2^2</f>
        <v>8625512.1833365262</v>
      </c>
      <c r="R524" s="96">
        <f>R523+T523*Tableau!$G$2</f>
        <v>-68698.183835781747</v>
      </c>
      <c r="S524" s="96">
        <f>S523+U523*Tableau!$G$2</f>
        <v>33800.718663900574</v>
      </c>
      <c r="T524" s="96">
        <f t="shared" si="16"/>
        <v>2.8718434783572234E-3</v>
      </c>
      <c r="U524" s="96">
        <f t="shared" si="17"/>
        <v>-1.4093257354742563E-3</v>
      </c>
      <c r="V524" s="96">
        <f>((Tableau!$G$16-P524)/(AC524^2+Tableau!$G$21^2)^(3/2))*Tableau!$G$20</f>
        <v>1.224841789783654E-3</v>
      </c>
      <c r="W524" s="96">
        <f>((Tableau!$H$16-Q524)/(AC524^2+Tableau!$G$21^2)^(3/2))*Tableau!$G$20</f>
        <v>-5.9986925420282735E-4</v>
      </c>
      <c r="X524" s="96">
        <f>((Tableau!$G$25-P524)/(AD524^2+Tableau!$G$30^2)^(3/2))*Tableau!$G$29</f>
        <v>4.2155041981845406E-4</v>
      </c>
      <c r="Y524" s="96">
        <f>((Tableau!$H$25-Q524)/(AD524^2+Tableau!$G$30^2)^(3/2))*Tableau!$G$29</f>
        <v>-2.0686569397651032E-4</v>
      </c>
      <c r="Z524" s="96">
        <f>((Tableau!$G$35-P524)/(AE524^2+Tableau!$G$40^2)^(3/2))*Tableau!$G$39</f>
        <v>1.2254512687551152E-3</v>
      </c>
      <c r="AA524" s="97">
        <f>((Tableau!$H$35-Q524)/(AE524^2+Tableau!$G$40^2)^(3/2))*Tableau!$G$39</f>
        <v>-6.0259078729491856E-4</v>
      </c>
      <c r="AC524" s="110">
        <f>SQRT((Tableau!$G$16-P524)^2+(Tableau!$H$16-Q524)^2)</f>
        <v>19593696.392738286</v>
      </c>
      <c r="AD524" s="111">
        <f>SQRT((Tableau!$G$25-P524)^2+(Tableau!$H$25-Q524)^2)</f>
        <v>19556679.700267691</v>
      </c>
      <c r="AE524" s="112">
        <f>SQRT((Tableau!$G$35-P524)^2+(Tableau!$H$35-Q524)^2)</f>
        <v>19581165.609225463</v>
      </c>
    </row>
    <row r="525" spans="2:31" x14ac:dyDescent="0.25">
      <c r="B525" s="18">
        <v>522</v>
      </c>
      <c r="C525" s="19">
        <f>Tableau!$G$17*COS(B525*PI()/180)+Tableau!$G$16</f>
        <v>15244.717418524233</v>
      </c>
      <c r="D525" s="19">
        <f>Tableau!$G$17*SIN(B525*PI()/180)+Tableau!$H$16</f>
        <v>9045.0849718747395</v>
      </c>
      <c r="F525" s="26">
        <v>522</v>
      </c>
      <c r="G525" s="27">
        <f>Tableau!$G$26*COS(F525*PI()/180)+Tableau!$G$25</f>
        <v>-23328.697807033037</v>
      </c>
      <c r="H525" s="27">
        <f>Tableau!$G$26*SIN(F525*PI()/180)+Tableau!$H$25</f>
        <v>11081.559480312317</v>
      </c>
      <c r="J525" s="34">
        <v>522</v>
      </c>
      <c r="K525" s="35">
        <f>Tableau!$G$36*COS(J525*PI()/180)+Tableau!$G$35</f>
        <v>-9755.2825814757671</v>
      </c>
      <c r="L525" s="35">
        <f>Tableau!$G$36*SIN(J525*PI()/180)+Tableau!$H$35</f>
        <v>-13454.915028125261</v>
      </c>
      <c r="N525" s="98">
        <v>521</v>
      </c>
      <c r="O525" s="99">
        <v>260.5</v>
      </c>
      <c r="P525" s="101">
        <f>P524+R524*Tableau!$G$2+((1/2)*T524)*Tableau!$G$2^2</f>
        <v>-17611019.354386151</v>
      </c>
      <c r="Q525" s="101">
        <f>Q524+S524*Tableau!$G$2+((1/2)*U524)*Tableau!$G$2^2</f>
        <v>8642412.5424923114</v>
      </c>
      <c r="R525" s="101">
        <f>R524+T524*Tableau!$G$2</f>
        <v>-68698.182399860001</v>
      </c>
      <c r="S525" s="101">
        <f>S524+U524*Tableau!$G$2</f>
        <v>33800.717959237707</v>
      </c>
      <c r="T525" s="101">
        <f t="shared" si="16"/>
        <v>2.8606454705282849E-3</v>
      </c>
      <c r="U525" s="101">
        <f t="shared" si="17"/>
        <v>-1.4038375638298043E-3</v>
      </c>
      <c r="V525" s="101">
        <f>((Tableau!$G$16-P525)/(AC525^2+Tableau!$G$21^2)^(3/2))*Tableau!$G$20</f>
        <v>1.2200675374534123E-3</v>
      </c>
      <c r="W525" s="101">
        <f>((Tableau!$H$16-Q525)/(AC525^2+Tableau!$G$21^2)^(3/2))*Tableau!$G$20</f>
        <v>-5.9753643678142154E-4</v>
      </c>
      <c r="X525" s="101">
        <f>((Tableau!$G$25-P525)/(AD525^2+Tableau!$G$30^2)^(3/2))*Tableau!$G$29</f>
        <v>4.1990449019664805E-4</v>
      </c>
      <c r="Y525" s="101">
        <f>((Tableau!$H$25-Q525)/(AD525^2+Tableau!$G$30^2)^(3/2))*Tableau!$G$29</f>
        <v>-2.0605905290636717E-4</v>
      </c>
      <c r="Z525" s="101">
        <f>((Tableau!$G$35-P525)/(AE525^2+Tableau!$G$40^2)^(3/2))*Tableau!$G$39</f>
        <v>1.2206734428782248E-3</v>
      </c>
      <c r="AA525" s="102">
        <f>((Tableau!$H$35-Q525)/(AE525^2+Tableau!$G$40^2)^(3/2))*Tableau!$G$39</f>
        <v>-6.0024207414201562E-4</v>
      </c>
      <c r="AC525" s="113">
        <f>SQRT((Tableau!$G$16-P525)^2+(Tableau!$H$16-Q525)^2)</f>
        <v>19631977.946483899</v>
      </c>
      <c r="AD525" s="114">
        <f>SQRT((Tableau!$G$25-P525)^2+(Tableau!$H$25-Q525)^2)</f>
        <v>19594961.296980575</v>
      </c>
      <c r="AE525" s="115">
        <f>SQRT((Tableau!$G$35-P525)^2+(Tableau!$H$35-Q525)^2)</f>
        <v>19619447.225595396</v>
      </c>
    </row>
    <row r="526" spans="2:31" x14ac:dyDescent="0.25">
      <c r="B526" s="20">
        <v>523</v>
      </c>
      <c r="C526" s="21">
        <f>Tableau!$G$17*COS(B526*PI()/180)+Tableau!$G$16</f>
        <v>15218.476220184823</v>
      </c>
      <c r="D526" s="21">
        <f>Tableau!$G$17*SIN(B526*PI()/180)+Tableau!$H$16</f>
        <v>8961.8585236136823</v>
      </c>
      <c r="F526" s="28">
        <v>523</v>
      </c>
      <c r="G526" s="29">
        <f>Tableau!$G$26*COS(F526*PI()/180)+Tableau!$G$25</f>
        <v>-23347.066645870626</v>
      </c>
      <c r="H526" s="29">
        <f>Tableau!$G$26*SIN(F526*PI()/180)+Tableau!$H$25</f>
        <v>11023.300966529578</v>
      </c>
      <c r="J526" s="36">
        <v>523</v>
      </c>
      <c r="K526" s="37">
        <f>Tableau!$G$36*COS(J526*PI()/180)+Tableau!$G$35</f>
        <v>-9781.5237798151775</v>
      </c>
      <c r="L526" s="37">
        <f>Tableau!$G$36*SIN(J526*PI()/180)+Tableau!$H$35</f>
        <v>-13538.141476386318</v>
      </c>
      <c r="N526" s="92">
        <v>522</v>
      </c>
      <c r="O526" s="93">
        <v>261</v>
      </c>
      <c r="P526" s="96">
        <f>P525+R525*Tableau!$G$2+((1/2)*T525)*Tableau!$G$2^2</f>
        <v>-17645368.445228502</v>
      </c>
      <c r="Q526" s="96">
        <f>Q525+S525*Tableau!$G$2+((1/2)*U525)*Tableau!$G$2^2</f>
        <v>8659312.9012964498</v>
      </c>
      <c r="R526" s="96">
        <f>R525+T525*Tableau!$G$2</f>
        <v>-68698.180969537265</v>
      </c>
      <c r="S526" s="96">
        <f>S525+U525*Tableau!$G$2</f>
        <v>33800.717257318924</v>
      </c>
      <c r="T526" s="96">
        <f t="shared" si="16"/>
        <v>2.8495128310151475E-3</v>
      </c>
      <c r="U526" s="96">
        <f t="shared" si="17"/>
        <v>-1.3983813878697851E-3</v>
      </c>
      <c r="V526" s="96">
        <f>((Tableau!$G$16-P526)/(AC526^2+Tableau!$G$21^2)^(3/2))*Tableau!$G$20</f>
        <v>1.2153211448604209E-3</v>
      </c>
      <c r="W526" s="96">
        <f>((Tableau!$H$16-Q526)/(AC526^2+Tableau!$G$21^2)^(3/2))*Tableau!$G$20</f>
        <v>-5.9521720098410055E-4</v>
      </c>
      <c r="X526" s="96">
        <f>((Tableau!$G$25-P526)/(AD526^2+Tableau!$G$30^2)^(3/2))*Tableau!$G$29</f>
        <v>4.1826818153408964E-4</v>
      </c>
      <c r="Y526" s="96">
        <f>((Tableau!$H$25-Q526)/(AD526^2+Tableau!$G$30^2)^(3/2))*Tableau!$G$29</f>
        <v>-2.0525712072271555E-4</v>
      </c>
      <c r="Z526" s="96">
        <f>((Tableau!$G$35-P526)/(AE526^2+Tableau!$G$40^2)^(3/2))*Tableau!$G$39</f>
        <v>1.2159235046206372E-3</v>
      </c>
      <c r="AA526" s="97">
        <f>((Tableau!$H$35-Q526)/(AE526^2+Tableau!$G$40^2)^(3/2))*Tableau!$G$39</f>
        <v>-5.9790706616296883E-4</v>
      </c>
      <c r="AC526" s="110">
        <f>SQRT((Tableau!$G$16-P526)^2+(Tableau!$H$16-Q526)^2)</f>
        <v>19670259.499679066</v>
      </c>
      <c r="AD526" s="111">
        <f>SQRT((Tableau!$G$25-P526)^2+(Tableau!$H$25-Q526)^2)</f>
        <v>19633242.892975926</v>
      </c>
      <c r="AE526" s="112">
        <f>SQRT((Tableau!$G$35-P526)^2+(Tableau!$H$35-Q526)^2)</f>
        <v>19657728.841171138</v>
      </c>
    </row>
    <row r="527" spans="2:31" x14ac:dyDescent="0.25">
      <c r="B527" s="18">
        <v>524</v>
      </c>
      <c r="C527" s="19">
        <f>Tableau!$G$17*COS(B527*PI()/180)+Tableau!$G$16</f>
        <v>15193.691520308405</v>
      </c>
      <c r="D527" s="19">
        <f>Tableau!$G$17*SIN(B527*PI()/180)+Tableau!$H$16</f>
        <v>8878.1867790849901</v>
      </c>
      <c r="F527" s="26">
        <v>524</v>
      </c>
      <c r="G527" s="27">
        <f>Tableau!$G$26*COS(F527*PI()/180)+Tableau!$G$25</f>
        <v>-23364.415935784116</v>
      </c>
      <c r="H527" s="27">
        <f>Tableau!$G$26*SIN(F527*PI()/180)+Tableau!$H$25</f>
        <v>10964.730745359493</v>
      </c>
      <c r="J527" s="34">
        <v>524</v>
      </c>
      <c r="K527" s="35">
        <f>Tableau!$G$36*COS(J527*PI()/180)+Tableau!$G$35</f>
        <v>-9806.3084796915955</v>
      </c>
      <c r="L527" s="35">
        <f>Tableau!$G$36*SIN(J527*PI()/180)+Tableau!$H$35</f>
        <v>-13621.81322091501</v>
      </c>
      <c r="N527" s="98">
        <v>523</v>
      </c>
      <c r="O527" s="99">
        <v>261.5</v>
      </c>
      <c r="P527" s="101">
        <f>P526+R526*Tableau!$G$2+((1/2)*T526)*Tableau!$G$2^2</f>
        <v>-17679717.53535708</v>
      </c>
      <c r="Q527" s="101">
        <f>Q526+S526*Tableau!$G$2+((1/2)*U526)*Tableau!$G$2^2</f>
        <v>8676213.2597503103</v>
      </c>
      <c r="R527" s="101">
        <f>R526+T526*Tableau!$G$2</f>
        <v>-68698.179544780854</v>
      </c>
      <c r="S527" s="101">
        <f>S526+U526*Tableau!$G$2</f>
        <v>33800.716558128232</v>
      </c>
      <c r="T527" s="101">
        <f t="shared" si="16"/>
        <v>2.8384450520220436E-3</v>
      </c>
      <c r="U527" s="101">
        <f t="shared" si="17"/>
        <v>-1.3929569593659173E-3</v>
      </c>
      <c r="V527" s="101">
        <f>((Tableau!$G$16-P527)/(AC527^2+Tableau!$G$21^2)^(3/2))*Tableau!$G$20</f>
        <v>1.2106023956612684E-3</v>
      </c>
      <c r="W527" s="101">
        <f>((Tableau!$H$16-Q527)/(AC527^2+Tableau!$G$21^2)^(3/2))*Tableau!$G$20</f>
        <v>-5.9291144158604291E-4</v>
      </c>
      <c r="X527" s="101">
        <f>((Tableau!$G$25-P527)/(AD527^2+Tableau!$G$30^2)^(3/2))*Tableau!$G$29</f>
        <v>4.1664141899321435E-4</v>
      </c>
      <c r="Y527" s="101">
        <f>((Tableau!$H$25-Q527)/(AD527^2+Tableau!$G$30^2)^(3/2))*Tableau!$G$29</f>
        <v>-2.0445986084494699E-4</v>
      </c>
      <c r="Z527" s="101">
        <f>((Tableau!$G$35-P527)/(AE527^2+Tableau!$G$40^2)^(3/2))*Tableau!$G$39</f>
        <v>1.2112012373675608E-3</v>
      </c>
      <c r="AA527" s="102">
        <f>((Tableau!$H$35-Q527)/(AE527^2+Tableau!$G$40^2)^(3/2))*Tableau!$G$39</f>
        <v>-5.9558565693492728E-4</v>
      </c>
      <c r="AC527" s="113">
        <f>SQRT((Tableau!$G$16-P527)^2+(Tableau!$H$16-Q527)^2)</f>
        <v>19708541.052325454</v>
      </c>
      <c r="AD527" s="114">
        <f>SQRT((Tableau!$G$25-P527)^2+(Tableau!$H$25-Q527)^2)</f>
        <v>19671524.48825638</v>
      </c>
      <c r="AE527" s="115">
        <f>SQRT((Tableau!$G$35-P527)^2+(Tableau!$H$35-Q527)^2)</f>
        <v>19696010.455955762</v>
      </c>
    </row>
    <row r="528" spans="2:31" x14ac:dyDescent="0.25">
      <c r="B528" s="20">
        <v>525</v>
      </c>
      <c r="C528" s="21">
        <f>Tableau!$G$17*COS(B528*PI()/180)+Tableau!$G$16</f>
        <v>15170.370868554659</v>
      </c>
      <c r="D528" s="21">
        <f>Tableau!$G$17*SIN(B528*PI()/180)+Tableau!$H$16</f>
        <v>8794.0952255126031</v>
      </c>
      <c r="F528" s="28">
        <v>525</v>
      </c>
      <c r="G528" s="29">
        <f>Tableau!$G$26*COS(F528*PI()/180)+Tableau!$G$25</f>
        <v>-23380.740392011739</v>
      </c>
      <c r="H528" s="29">
        <f>Tableau!$G$26*SIN(F528*PI()/180)+Tableau!$H$25</f>
        <v>10905.866657858824</v>
      </c>
      <c r="J528" s="36">
        <v>525</v>
      </c>
      <c r="K528" s="37">
        <f>Tableau!$G$36*COS(J528*PI()/180)+Tableau!$G$35</f>
        <v>-9829.629131445341</v>
      </c>
      <c r="L528" s="37">
        <f>Tableau!$G$36*SIN(J528*PI()/180)+Tableau!$H$35</f>
        <v>-13705.904774487397</v>
      </c>
      <c r="N528" s="92">
        <v>524</v>
      </c>
      <c r="O528" s="93">
        <v>262</v>
      </c>
      <c r="P528" s="96">
        <f>P527+R527*Tableau!$G$2+((1/2)*T527)*Tableau!$G$2^2</f>
        <v>-17714066.624774668</v>
      </c>
      <c r="Q528" s="96">
        <f>Q527+S527*Tableau!$G$2+((1/2)*U527)*Tableau!$G$2^2</f>
        <v>8693113.6178552546</v>
      </c>
      <c r="R528" s="96">
        <f>R527+T527*Tableau!$G$2</f>
        <v>-68698.178125558334</v>
      </c>
      <c r="S528" s="96">
        <f>S527+U527*Tableau!$G$2</f>
        <v>33800.715861649755</v>
      </c>
      <c r="T528" s="96">
        <f t="shared" si="16"/>
        <v>2.8274416306744345E-3</v>
      </c>
      <c r="U528" s="96">
        <f t="shared" si="17"/>
        <v>-1.387564032492482E-3</v>
      </c>
      <c r="V528" s="96">
        <f>((Tableau!$G$16-P528)/(AC528^2+Tableau!$G$21^2)^(3/2))*Tableau!$G$20</f>
        <v>1.2059110756084575E-3</v>
      </c>
      <c r="W528" s="96">
        <f>((Tableau!$H$16-Q528)/(AC528^2+Tableau!$G$21^2)^(3/2))*Tableau!$G$20</f>
        <v>-5.906190543794904E-4</v>
      </c>
      <c r="X528" s="96">
        <f>((Tableau!$G$25-P528)/(AD528^2+Tableau!$G$30^2)^(3/2))*Tableau!$G$29</f>
        <v>4.1502412846272733E-4</v>
      </c>
      <c r="Y528" s="96">
        <f>((Tableau!$H$25-Q528)/(AD528^2+Tableau!$G$30^2)^(3/2))*Tableau!$G$29</f>
        <v>-2.0366723704698999E-4</v>
      </c>
      <c r="Z528" s="96">
        <f>((Tableau!$G$35-P528)/(AE528^2+Tableau!$G$40^2)^(3/2))*Tableau!$G$39</f>
        <v>1.2065064266032495E-3</v>
      </c>
      <c r="AA528" s="97">
        <f>((Tableau!$H$35-Q528)/(AE528^2+Tableau!$G$40^2)^(3/2))*Tableau!$G$39</f>
        <v>-5.9327774106600166E-4</v>
      </c>
      <c r="AC528" s="110">
        <f>SQRT((Tableau!$G$16-P528)^2+(Tableau!$H$16-Q528)^2)</f>
        <v>19746822.60442473</v>
      </c>
      <c r="AD528" s="111">
        <f>SQRT((Tableau!$G$25-P528)^2+(Tableau!$H$25-Q528)^2)</f>
        <v>19709806.082824565</v>
      </c>
      <c r="AE528" s="112">
        <f>SQRT((Tableau!$G$35-P528)^2+(Tableau!$H$35-Q528)^2)</f>
        <v>19734292.06995235</v>
      </c>
    </row>
    <row r="529" spans="2:31" x14ac:dyDescent="0.25">
      <c r="B529" s="18">
        <v>526</v>
      </c>
      <c r="C529" s="19">
        <f>Tableau!$G$17*COS(B529*PI()/180)+Tableau!$G$16</f>
        <v>15148.521368620017</v>
      </c>
      <c r="D529" s="19">
        <f>Tableau!$G$17*SIN(B529*PI()/180)+Tableau!$H$16</f>
        <v>8709.6094779983359</v>
      </c>
      <c r="F529" s="26">
        <v>526</v>
      </c>
      <c r="G529" s="27">
        <f>Tableau!$G$26*COS(F529*PI()/180)+Tableau!$G$25</f>
        <v>-23396.035041965988</v>
      </c>
      <c r="H529" s="27">
        <f>Tableau!$G$26*SIN(F529*PI()/180)+Tableau!$H$25</f>
        <v>10846.726634598836</v>
      </c>
      <c r="J529" s="34">
        <v>526</v>
      </c>
      <c r="K529" s="35">
        <f>Tableau!$G$36*COS(J529*PI()/180)+Tableau!$G$35</f>
        <v>-9851.4786313799832</v>
      </c>
      <c r="L529" s="35">
        <f>Tableau!$G$36*SIN(J529*PI()/180)+Tableau!$H$35</f>
        <v>-13790.390522001664</v>
      </c>
      <c r="N529" s="98">
        <v>525</v>
      </c>
      <c r="O529" s="99">
        <v>262.5</v>
      </c>
      <c r="P529" s="101">
        <f>P528+R528*Tableau!$G$2+((1/2)*T528)*Tableau!$G$2^2</f>
        <v>-17748415.713484019</v>
      </c>
      <c r="Q529" s="101">
        <f>Q528+S528*Tableau!$G$2+((1/2)*U528)*Tableau!$G$2^2</f>
        <v>8710013.9756126329</v>
      </c>
      <c r="R529" s="101">
        <f>R528+T528*Tableau!$G$2</f>
        <v>-68698.176711837514</v>
      </c>
      <c r="S529" s="101">
        <f>S528+U528*Tableau!$G$2</f>
        <v>33800.71516786774</v>
      </c>
      <c r="T529" s="101">
        <f t="shared" si="16"/>
        <v>2.8165020689620681E-3</v>
      </c>
      <c r="U529" s="101">
        <f t="shared" si="17"/>
        <v>-1.3822023637985598E-3</v>
      </c>
      <c r="V529" s="101">
        <f>((Tableau!$G$16-P529)/(AC529^2+Tableau!$G$21^2)^(3/2))*Tableau!$G$20</f>
        <v>1.2012469725261653E-3</v>
      </c>
      <c r="W529" s="101">
        <f>((Tableau!$H$16-Q529)/(AC529^2+Tableau!$G$21^2)^(3/2))*Tableau!$G$20</f>
        <v>-5.8833993616201423E-4</v>
      </c>
      <c r="X529" s="101">
        <f>((Tableau!$G$25-P529)/(AD529^2+Tableau!$G$30^2)^(3/2))*Tableau!$G$29</f>
        <v>4.1341623654912176E-4</v>
      </c>
      <c r="Y529" s="101">
        <f>((Tableau!$H$25-Q529)/(AD529^2+Tableau!$G$30^2)^(3/2))*Tableau!$G$29</f>
        <v>-2.0287921345317451E-4</v>
      </c>
      <c r="Z529" s="101">
        <f>((Tableau!$G$35-P529)/(AE529^2+Tableau!$G$40^2)^(3/2))*Tableau!$G$39</f>
        <v>1.2018388598867811E-3</v>
      </c>
      <c r="AA529" s="102">
        <f>((Tableau!$H$35-Q529)/(AE529^2+Tableau!$G$40^2)^(3/2))*Tableau!$G$39</f>
        <v>-5.9098321418337113E-4</v>
      </c>
      <c r="AC529" s="113">
        <f>SQRT((Tableau!$G$16-P529)^2+(Tableau!$H$16-Q529)^2)</f>
        <v>19785104.155978534</v>
      </c>
      <c r="AD529" s="114">
        <f>SQRT((Tableau!$G$25-P529)^2+(Tableau!$H$25-Q529)^2)</f>
        <v>19748087.676683083</v>
      </c>
      <c r="AE529" s="115">
        <f>SQRT((Tableau!$G$35-P529)^2+(Tableau!$H$35-Q529)^2)</f>
        <v>19772573.683163945</v>
      </c>
    </row>
    <row r="530" spans="2:31" x14ac:dyDescent="0.25">
      <c r="B530" s="20">
        <v>527</v>
      </c>
      <c r="C530" s="21">
        <f>Tableau!$G$17*COS(B530*PI()/180)+Tableau!$G$16</f>
        <v>15128.149676073825</v>
      </c>
      <c r="D530" s="21">
        <f>Tableau!$G$17*SIN(B530*PI()/180)+Tableau!$H$16</f>
        <v>8624.7552717193266</v>
      </c>
      <c r="F530" s="28">
        <v>527</v>
      </c>
      <c r="G530" s="29">
        <f>Tableau!$G$26*COS(F530*PI()/180)+Tableau!$G$25</f>
        <v>-23410.295226748323</v>
      </c>
      <c r="H530" s="29">
        <f>Tableau!$G$26*SIN(F530*PI()/180)+Tableau!$H$25</f>
        <v>10787.328690203529</v>
      </c>
      <c r="J530" s="36">
        <v>527</v>
      </c>
      <c r="K530" s="37">
        <f>Tableau!$G$36*COS(J530*PI()/180)+Tableau!$G$35</f>
        <v>-9871.8503239261754</v>
      </c>
      <c r="L530" s="37">
        <f>Tableau!$G$36*SIN(J530*PI()/180)+Tableau!$H$35</f>
        <v>-13875.244728280673</v>
      </c>
      <c r="N530" s="92">
        <v>526</v>
      </c>
      <c r="O530" s="93">
        <v>263</v>
      </c>
      <c r="P530" s="96">
        <f>P529+R529*Tableau!$G$2+((1/2)*T529)*Tableau!$G$2^2</f>
        <v>-17782764.801487874</v>
      </c>
      <c r="Q530" s="96">
        <f>Q529+S529*Tableau!$G$2+((1/2)*U529)*Tableau!$G$2^2</f>
        <v>8726914.3330237921</v>
      </c>
      <c r="R530" s="96">
        <f>R529+T529*Tableau!$G$2</f>
        <v>-68698.175303586482</v>
      </c>
      <c r="S530" s="96">
        <f>S529+U529*Tableau!$G$2</f>
        <v>33800.71447676656</v>
      </c>
      <c r="T530" s="96">
        <f t="shared" si="16"/>
        <v>2.805625873682382E-3</v>
      </c>
      <c r="U530" s="96">
        <f t="shared" si="17"/>
        <v>-1.3768717121804338E-3</v>
      </c>
      <c r="V530" s="96">
        <f>((Tableau!$G$16-P530)/(AC530^2+Tableau!$G$21^2)^(3/2))*Tableau!$G$20</f>
        <v>1.1966098762861406E-3</v>
      </c>
      <c r="W530" s="96">
        <f>((Tableau!$H$16-Q530)/(AC530^2+Tableau!$G$21^2)^(3/2))*Tableau!$G$20</f>
        <v>-5.8607398472484431E-4</v>
      </c>
      <c r="X530" s="96">
        <f>((Tableau!$G$25-P530)/(AD530^2+Tableau!$G$30^2)^(3/2))*Tableau!$G$29</f>
        <v>4.118176705684001E-4</v>
      </c>
      <c r="Y530" s="96">
        <f>((Tableau!$H$25-Q530)/(AD530^2+Tableau!$G$30^2)^(3/2))*Tableau!$G$29</f>
        <v>-2.0209575453419642E-4</v>
      </c>
      <c r="Z530" s="96">
        <f>((Tableau!$G$35-P530)/(AE530^2+Tableau!$G$40^2)^(3/2))*Tableau!$G$39</f>
        <v>1.1971983268278413E-3</v>
      </c>
      <c r="AA530" s="97">
        <f>((Tableau!$H$35-Q530)/(AE530^2+Tableau!$G$40^2)^(3/2))*Tableau!$G$39</f>
        <v>-5.8870197292139304E-4</v>
      </c>
      <c r="AC530" s="110">
        <f>SQRT((Tableau!$G$16-P530)^2+(Tableau!$H$16-Q530)^2)</f>
        <v>19823385.70698851</v>
      </c>
      <c r="AD530" s="111">
        <f>SQRT((Tableau!$G$25-P530)^2+(Tableau!$H$25-Q530)^2)</f>
        <v>19786369.26983453</v>
      </c>
      <c r="AE530" s="112">
        <f>SQRT((Tableau!$G$35-P530)^2+(Tableau!$H$35-Q530)^2)</f>
        <v>19810855.295593575</v>
      </c>
    </row>
    <row r="531" spans="2:31" x14ac:dyDescent="0.25">
      <c r="B531" s="18">
        <v>528</v>
      </c>
      <c r="C531" s="19">
        <f>Tableau!$G$17*COS(B531*PI()/180)+Tableau!$G$16</f>
        <v>15109.261996330972</v>
      </c>
      <c r="D531" s="19">
        <f>Tableau!$G$17*SIN(B531*PI()/180)+Tableau!$H$16</f>
        <v>8539.5584540887958</v>
      </c>
      <c r="F531" s="26">
        <v>528</v>
      </c>
      <c r="G531" s="27">
        <f>Tableau!$G$26*COS(F531*PI()/180)+Tableau!$G$25</f>
        <v>-23423.516602568321</v>
      </c>
      <c r="H531" s="27">
        <f>Tableau!$G$26*SIN(F531*PI()/180)+Tableau!$H$25</f>
        <v>10727.690917862157</v>
      </c>
      <c r="J531" s="34">
        <v>528</v>
      </c>
      <c r="K531" s="35">
        <f>Tableau!$G$36*COS(J531*PI()/180)+Tableau!$G$35</f>
        <v>-9890.7380036690283</v>
      </c>
      <c r="L531" s="35">
        <f>Tableau!$G$36*SIN(J531*PI()/180)+Tableau!$H$35</f>
        <v>-13960.441545911204</v>
      </c>
      <c r="N531" s="98">
        <v>527</v>
      </c>
      <c r="O531" s="99">
        <v>263.5</v>
      </c>
      <c r="P531" s="101">
        <f>P530+R530*Tableau!$G$2+((1/2)*T530)*Tableau!$G$2^2</f>
        <v>-17817113.888788965</v>
      </c>
      <c r="Q531" s="101">
        <f>Q530+S530*Tableau!$G$2+((1/2)*U530)*Tableau!$G$2^2</f>
        <v>8743814.6900900677</v>
      </c>
      <c r="R531" s="101">
        <f>R530+T530*Tableau!$G$2</f>
        <v>-68698.173900773545</v>
      </c>
      <c r="S531" s="101">
        <f>S530+U530*Tableau!$G$2</f>
        <v>33800.7137883307</v>
      </c>
      <c r="T531" s="101">
        <f t="shared" si="16"/>
        <v>2.7948125563850993E-3</v>
      </c>
      <c r="U531" s="101">
        <f t="shared" si="17"/>
        <v>-1.3715718388545755E-3</v>
      </c>
      <c r="V531" s="101">
        <f>((Tableau!$G$16-P531)/(AC531^2+Tableau!$G$21^2)^(3/2))*Tableau!$G$20</f>
        <v>1.1919995787841072E-3</v>
      </c>
      <c r="W531" s="101">
        <f>((Tableau!$H$16-Q531)/(AC531^2+Tableau!$G$21^2)^(3/2))*Tableau!$G$20</f>
        <v>-5.8382109884144468E-4</v>
      </c>
      <c r="X531" s="101">
        <f>((Tableau!$G$25-P531)/(AD531^2+Tableau!$G$30^2)^(3/2))*Tableau!$G$29</f>
        <v>4.1022835853781305E-4</v>
      </c>
      <c r="Y531" s="101">
        <f>((Tableau!$H$25-Q531)/(AD531^2+Tableau!$G$30^2)^(3/2))*Tableau!$G$29</f>
        <v>-2.0131682510308917E-4</v>
      </c>
      <c r="Z531" s="101">
        <f>((Tableau!$G$35-P531)/(AE531^2+Tableau!$G$40^2)^(3/2))*Tableau!$G$39</f>
        <v>1.1925846190631792E-3</v>
      </c>
      <c r="AA531" s="102">
        <f>((Tableau!$H$35-Q531)/(AE531^2+Tableau!$G$40^2)^(3/2))*Tableau!$G$39</f>
        <v>-5.8643391491004174E-4</v>
      </c>
      <c r="AC531" s="113">
        <f>SQRT((Tableau!$G$16-P531)^2+(Tableau!$H$16-Q531)^2)</f>
        <v>19861667.257456299</v>
      </c>
      <c r="AD531" s="114">
        <f>SQRT((Tableau!$G$25-P531)^2+(Tableau!$H$25-Q531)^2)</f>
        <v>19824650.862281486</v>
      </c>
      <c r="AE531" s="115">
        <f>SQRT((Tableau!$G$35-P531)^2+(Tableau!$H$35-Q531)^2)</f>
        <v>19849136.907244261</v>
      </c>
    </row>
    <row r="532" spans="2:31" x14ac:dyDescent="0.25">
      <c r="B532" s="20">
        <v>529</v>
      </c>
      <c r="C532" s="21">
        <f>Tableau!$G$17*COS(B532*PI()/180)+Tableau!$G$16</f>
        <v>15091.86408276168</v>
      </c>
      <c r="D532" s="21">
        <f>Tableau!$G$17*SIN(B532*PI()/180)+Tableau!$H$16</f>
        <v>8454.0449768827275</v>
      </c>
      <c r="F532" s="28">
        <v>529</v>
      </c>
      <c r="G532" s="29">
        <f>Tableau!$G$26*COS(F532*PI()/180)+Tableau!$G$25</f>
        <v>-23435.695142066823</v>
      </c>
      <c r="H532" s="29">
        <f>Tableau!$G$26*SIN(F532*PI()/180)+Tableau!$H$25</f>
        <v>10667.83148381791</v>
      </c>
      <c r="J532" s="36">
        <v>529</v>
      </c>
      <c r="K532" s="37">
        <f>Tableau!$G$36*COS(J532*PI()/180)+Tableau!$G$35</f>
        <v>-9908.13591723832</v>
      </c>
      <c r="L532" s="37">
        <f>Tableau!$G$36*SIN(J532*PI()/180)+Tableau!$H$35</f>
        <v>-14045.955023117273</v>
      </c>
      <c r="N532" s="92">
        <v>528</v>
      </c>
      <c r="O532" s="93">
        <v>264</v>
      </c>
      <c r="P532" s="96">
        <f>P531+R531*Tableau!$G$2+((1/2)*T531)*Tableau!$G$2^2</f>
        <v>-17851462.975390002</v>
      </c>
      <c r="Q532" s="96">
        <f>Q531+S531*Tableau!$G$2+((1/2)*U531)*Tableau!$G$2^2</f>
        <v>8760715.0468127858</v>
      </c>
      <c r="R532" s="96">
        <f>R531+T531*Tableau!$G$2</f>
        <v>-68698.17250336727</v>
      </c>
      <c r="S532" s="96">
        <f>S531+U531*Tableau!$G$2</f>
        <v>33800.713102544782</v>
      </c>
      <c r="T532" s="96">
        <f t="shared" si="16"/>
        <v>2.7840616333173352E-3</v>
      </c>
      <c r="U532" s="96">
        <f t="shared" si="17"/>
        <v>-1.3663025073308794E-3</v>
      </c>
      <c r="V532" s="96">
        <f>((Tableau!$G$16-P532)/(AC532^2+Tableau!$G$21^2)^(3/2))*Tableau!$G$20</f>
        <v>1.1874158739164089E-3</v>
      </c>
      <c r="W532" s="96">
        <f>((Tableau!$H$16-Q532)/(AC532^2+Tableau!$G$21^2)^(3/2))*Tableau!$G$20</f>
        <v>-5.8158117825620522E-4</v>
      </c>
      <c r="X532" s="96">
        <f>((Tableau!$G$25-P532)/(AD532^2+Tableau!$G$30^2)^(3/2))*Tableau!$G$29</f>
        <v>4.0864822916780177E-4</v>
      </c>
      <c r="Y532" s="96">
        <f>((Tableau!$H$25-Q532)/(AD532^2+Tableau!$G$30^2)^(3/2))*Tableau!$G$29</f>
        <v>-2.0054239031129585E-4</v>
      </c>
      <c r="Z532" s="96">
        <f>((Tableau!$G$35-P532)/(AE532^2+Tableau!$G$40^2)^(3/2))*Tableau!$G$39</f>
        <v>1.1879975302331244E-3</v>
      </c>
      <c r="AA532" s="97">
        <f>((Tableau!$H$35-Q532)/(AE532^2+Tableau!$G$40^2)^(3/2))*Tableau!$G$39</f>
        <v>-5.8417893876337842E-4</v>
      </c>
      <c r="AC532" s="110">
        <f>SQRT((Tableau!$G$16-P532)^2+(Tableau!$H$16-Q532)^2)</f>
        <v>19899948.807383537</v>
      </c>
      <c r="AD532" s="111">
        <f>SQRT((Tableau!$G$25-P532)^2+(Tableau!$H$25-Q532)^2)</f>
        <v>19862932.454026524</v>
      </c>
      <c r="AE532" s="112">
        <f>SQRT((Tableau!$G$35-P532)^2+(Tableau!$H$35-Q532)^2)</f>
        <v>19887418.518119</v>
      </c>
    </row>
    <row r="533" spans="2:31" x14ac:dyDescent="0.25">
      <c r="B533" s="18">
        <v>530</v>
      </c>
      <c r="C533" s="19">
        <f>Tableau!$G$17*COS(B533*PI()/180)+Tableau!$G$16</f>
        <v>15075.961234938961</v>
      </c>
      <c r="D533" s="19">
        <f>Tableau!$G$17*SIN(B533*PI()/180)+Tableau!$H$16</f>
        <v>8368.2408883346525</v>
      </c>
      <c r="F533" s="26">
        <v>530</v>
      </c>
      <c r="G533" s="27">
        <f>Tableau!$G$26*COS(F533*PI()/180)+Tableau!$G$25</f>
        <v>-23446.827135542728</v>
      </c>
      <c r="H533" s="27">
        <f>Tableau!$G$26*SIN(F533*PI()/180)+Tableau!$H$25</f>
        <v>10607.768621834257</v>
      </c>
      <c r="J533" s="34">
        <v>530</v>
      </c>
      <c r="K533" s="35">
        <f>Tableau!$G$36*COS(J533*PI()/180)+Tableau!$G$35</f>
        <v>-9924.0387650610392</v>
      </c>
      <c r="L533" s="35">
        <f>Tableau!$G$36*SIN(J533*PI()/180)+Tableau!$H$35</f>
        <v>-14131.759111665348</v>
      </c>
      <c r="N533" s="98">
        <v>529</v>
      </c>
      <c r="O533" s="99">
        <v>264.5</v>
      </c>
      <c r="P533" s="101">
        <f>P532+R532*Tableau!$G$2+((1/2)*T532)*Tableau!$G$2^2</f>
        <v>-17885812.061293676</v>
      </c>
      <c r="Q533" s="101">
        <f>Q532+S532*Tableau!$G$2+((1/2)*U532)*Tableau!$G$2^2</f>
        <v>8777615.4031932708</v>
      </c>
      <c r="R533" s="101">
        <f>R532+T532*Tableau!$G$2</f>
        <v>-68698.171111336458</v>
      </c>
      <c r="S533" s="101">
        <f>S532+U532*Tableau!$G$2</f>
        <v>33800.712419393531</v>
      </c>
      <c r="T533" s="101">
        <f t="shared" si="16"/>
        <v>2.7733726253694356E-3</v>
      </c>
      <c r="U533" s="101">
        <f t="shared" si="17"/>
        <v>-1.361063483386254E-3</v>
      </c>
      <c r="V533" s="101">
        <f>((Tableau!$G$16-P533)/(AC533^2+Tableau!$G$21^2)^(3/2))*Tableau!$G$20</f>
        <v>1.1828585575569318E-3</v>
      </c>
      <c r="W533" s="101">
        <f>((Tableau!$H$16-Q533)/(AC533^2+Tableau!$G$21^2)^(3/2))*Tableau!$G$20</f>
        <v>-5.793541236732674E-4</v>
      </c>
      <c r="X533" s="101">
        <f>((Tableau!$G$25-P533)/(AD533^2+Tableau!$G$30^2)^(3/2))*Tableau!$G$29</f>
        <v>4.0707721185395841E-4</v>
      </c>
      <c r="Y533" s="101">
        <f>((Tableau!$H$25-Q533)/(AD533^2+Tableau!$G$30^2)^(3/2))*Tableau!$G$29</f>
        <v>-1.9977241564474936E-4</v>
      </c>
      <c r="Z533" s="101">
        <f>((Tableau!$G$35-P533)/(AE533^2+Tableau!$G$40^2)^(3/2))*Tableau!$G$39</f>
        <v>1.1834368559585451E-3</v>
      </c>
      <c r="AA533" s="102">
        <f>((Tableau!$H$35-Q533)/(AE533^2+Tableau!$G$40^2)^(3/2))*Tableau!$G$39</f>
        <v>-5.8193694406823723E-4</v>
      </c>
      <c r="AC533" s="113">
        <f>SQRT((Tableau!$G$16-P533)^2+(Tableau!$H$16-Q533)^2)</f>
        <v>19938230.356771838</v>
      </c>
      <c r="AD533" s="114">
        <f>SQRT((Tableau!$G$25-P533)^2+(Tableau!$H$25-Q533)^2)</f>
        <v>19901214.045072187</v>
      </c>
      <c r="AE533" s="115">
        <f>SQRT((Tableau!$G$35-P533)^2+(Tableau!$H$35-Q533)^2)</f>
        <v>19925700.128220763</v>
      </c>
    </row>
    <row r="534" spans="2:31" x14ac:dyDescent="0.25">
      <c r="B534" s="20">
        <v>531</v>
      </c>
      <c r="C534" s="21">
        <f>Tableau!$G$17*COS(B534*PI()/180)+Tableau!$G$16</f>
        <v>15061.558297024312</v>
      </c>
      <c r="D534" s="21">
        <f>Tableau!$G$17*SIN(B534*PI()/180)+Tableau!$H$16</f>
        <v>8282.1723252011598</v>
      </c>
      <c r="F534" s="28">
        <v>531</v>
      </c>
      <c r="G534" s="29">
        <f>Tableau!$G$26*COS(F534*PI()/180)+Tableau!$G$25</f>
        <v>-23456.909192082981</v>
      </c>
      <c r="H534" s="29">
        <f>Tableau!$G$26*SIN(F534*PI()/180)+Tableau!$H$25</f>
        <v>10547.520627640812</v>
      </c>
      <c r="J534" s="36">
        <v>531</v>
      </c>
      <c r="K534" s="37">
        <f>Tableau!$G$36*COS(J534*PI()/180)+Tableau!$G$35</f>
        <v>-9938.4417029756878</v>
      </c>
      <c r="L534" s="37">
        <f>Tableau!$G$36*SIN(J534*PI()/180)+Tableau!$H$35</f>
        <v>-14217.82767479884</v>
      </c>
      <c r="N534" s="92">
        <v>530</v>
      </c>
      <c r="O534" s="93">
        <v>265</v>
      </c>
      <c r="P534" s="96">
        <f>P533+R533*Tableau!$G$2+((1/2)*T533)*Tableau!$G$2^2</f>
        <v>-17920161.146502674</v>
      </c>
      <c r="Q534" s="96">
        <f>Q533+S533*Tableau!$G$2+((1/2)*U533)*Tableau!$G$2^2</f>
        <v>8794515.7592328358</v>
      </c>
      <c r="R534" s="96">
        <f>R533+T533*Tableau!$G$2</f>
        <v>-68698.169724650143</v>
      </c>
      <c r="S534" s="96">
        <f>S533+U533*Tableau!$G$2</f>
        <v>33800.711738861792</v>
      </c>
      <c r="T534" s="96">
        <f t="shared" si="16"/>
        <v>2.7627450580216947E-3</v>
      </c>
      <c r="U534" s="96">
        <f t="shared" si="17"/>
        <v>-1.3558545350386383E-3</v>
      </c>
      <c r="V534" s="96">
        <f>((Tableau!$G$16-P534)/(AC534^2+Tableau!$G$21^2)^(3/2))*Tableau!$G$20</f>
        <v>1.1783274275344727E-3</v>
      </c>
      <c r="W534" s="96">
        <f>((Tableau!$H$16-Q534)/(AC534^2+Tableau!$G$21^2)^(3/2))*Tableau!$G$20</f>
        <v>-5.7713983674556601E-4</v>
      </c>
      <c r="X534" s="96">
        <f>((Tableau!$G$25-P534)/(AD534^2+Tableau!$G$30^2)^(3/2))*Tableau!$G$29</f>
        <v>4.0551523666917347E-4</v>
      </c>
      <c r="Y534" s="96">
        <f>((Tableau!$H$25-Q534)/(AD534^2+Tableau!$G$30^2)^(3/2))*Tableau!$G$29</f>
        <v>-1.9900686692004329E-4</v>
      </c>
      <c r="Z534" s="96">
        <f>((Tableau!$G$35-P534)/(AE534^2+Tableau!$G$40^2)^(3/2))*Tableau!$G$39</f>
        <v>1.1789023938180484E-3</v>
      </c>
      <c r="AA534" s="97">
        <f>((Tableau!$H$35-Q534)/(AE534^2+Tableau!$G$40^2)^(3/2))*Tableau!$G$39</f>
        <v>-5.7970783137302896E-4</v>
      </c>
      <c r="AC534" s="110">
        <f>SQRT((Tableau!$G$16-P534)^2+(Tableau!$H$16-Q534)^2)</f>
        <v>19976511.905622821</v>
      </c>
      <c r="AD534" s="111">
        <f>SQRT((Tableau!$G$25-P534)^2+(Tableau!$H$25-Q534)^2)</f>
        <v>19939495.635421023</v>
      </c>
      <c r="AE534" s="112">
        <f>SQRT((Tableau!$G$35-P534)^2+(Tableau!$H$35-Q534)^2)</f>
        <v>19963981.737552524</v>
      </c>
    </row>
    <row r="535" spans="2:31" x14ac:dyDescent="0.25">
      <c r="B535" s="18">
        <v>532</v>
      </c>
      <c r="C535" s="19">
        <f>Tableau!$G$17*COS(B535*PI()/180)+Tableau!$G$16</f>
        <v>15048.659656292148</v>
      </c>
      <c r="D535" s="19">
        <f>Tableau!$G$17*SIN(B535*PI()/180)+Tableau!$H$16</f>
        <v>8195.8655048003293</v>
      </c>
      <c r="F535" s="26">
        <v>532</v>
      </c>
      <c r="G535" s="27">
        <f>Tableau!$G$26*COS(F535*PI()/180)+Tableau!$G$25</f>
        <v>-23465.938240595497</v>
      </c>
      <c r="H535" s="27">
        <f>Tableau!$G$26*SIN(F535*PI()/180)+Tableau!$H$25</f>
        <v>10487.105853360232</v>
      </c>
      <c r="J535" s="34">
        <v>532</v>
      </c>
      <c r="K535" s="35">
        <f>Tableau!$G$36*COS(J535*PI()/180)+Tableau!$G$35</f>
        <v>-9951.3403437078523</v>
      </c>
      <c r="L535" s="35">
        <f>Tableau!$G$36*SIN(J535*PI()/180)+Tableau!$H$35</f>
        <v>-14304.134495199671</v>
      </c>
      <c r="N535" s="98">
        <v>531</v>
      </c>
      <c r="O535" s="99">
        <v>265.5</v>
      </c>
      <c r="P535" s="101">
        <f>P534+R534*Tableau!$G$2+((1/2)*T534)*Tableau!$G$2^2</f>
        <v>-17954510.231019657</v>
      </c>
      <c r="Q535" s="101">
        <f>Q534+S534*Tableau!$G$2+((1/2)*U534)*Tableau!$G$2^2</f>
        <v>8811416.1149327848</v>
      </c>
      <c r="R535" s="101">
        <f>R534+T534*Tableau!$G$2</f>
        <v>-68698.168343277619</v>
      </c>
      <c r="S535" s="101">
        <f>S534+U534*Tableau!$G$2</f>
        <v>33800.711060934525</v>
      </c>
      <c r="T535" s="101">
        <f t="shared" si="16"/>
        <v>2.752178461291591E-3</v>
      </c>
      <c r="U535" s="101">
        <f t="shared" si="17"/>
        <v>-1.3506754325212738E-3</v>
      </c>
      <c r="V535" s="101">
        <f>((Tableau!$G$16-P535)/(AC535^2+Tableau!$G$21^2)^(3/2))*Tableau!$G$20</f>
        <v>1.1738222836101722E-3</v>
      </c>
      <c r="W535" s="101">
        <f>((Tableau!$H$16-Q535)/(AC535^2+Tableau!$G$21^2)^(3/2))*Tableau!$G$20</f>
        <v>-5.7493822006389971E-4</v>
      </c>
      <c r="X535" s="101">
        <f>((Tableau!$G$25-P535)/(AD535^2+Tableau!$G$30^2)^(3/2))*Tableau!$G$29</f>
        <v>4.0396223435582804E-4</v>
      </c>
      <c r="Y535" s="101">
        <f>((Tableau!$H$25-Q535)/(AD535^2+Tableau!$G$30^2)^(3/2))*Tableau!$G$29</f>
        <v>-1.9824571028062563E-4</v>
      </c>
      <c r="Z535" s="101">
        <f>((Tableau!$G$35-P535)/(AE535^2+Tableau!$G$40^2)^(3/2))*Tableau!$G$39</f>
        <v>1.174393943325591E-3</v>
      </c>
      <c r="AA535" s="102">
        <f>((Tableau!$H$35-Q535)/(AE535^2+Tableau!$G$40^2)^(3/2))*Tableau!$G$39</f>
        <v>-5.7749150217674839E-4</v>
      </c>
      <c r="AC535" s="113">
        <f>SQRT((Tableau!$G$16-P535)^2+(Tableau!$H$16-Q535)^2)</f>
        <v>20014793.4539381</v>
      </c>
      <c r="AD535" s="114">
        <f>SQRT((Tableau!$G$25-P535)^2+(Tableau!$H$25-Q535)^2)</f>
        <v>19977777.225075547</v>
      </c>
      <c r="AE535" s="115">
        <f>SQRT((Tableau!$G$35-P535)^2+(Tableau!$H$35-Q535)^2)</f>
        <v>20002263.346117221</v>
      </c>
    </row>
    <row r="536" spans="2:31" x14ac:dyDescent="0.25">
      <c r="B536" s="20">
        <v>533</v>
      </c>
      <c r="C536" s="21">
        <f>Tableau!$G$17*COS(B536*PI()/180)+Tableau!$G$16</f>
        <v>15037.26924179339</v>
      </c>
      <c r="D536" s="21">
        <f>Tableau!$G$17*SIN(B536*PI()/180)+Tableau!$H$16</f>
        <v>8109.3467170257454</v>
      </c>
      <c r="F536" s="28">
        <v>533</v>
      </c>
      <c r="G536" s="29">
        <f>Tableau!$G$26*COS(F536*PI()/180)+Tableau!$G$25</f>
        <v>-23473.911530744626</v>
      </c>
      <c r="H536" s="29">
        <f>Tableau!$G$26*SIN(F536*PI()/180)+Tableau!$H$25</f>
        <v>10426.542701918022</v>
      </c>
      <c r="J536" s="36">
        <v>533</v>
      </c>
      <c r="K536" s="37">
        <f>Tableau!$G$36*COS(J536*PI()/180)+Tableau!$G$35</f>
        <v>-9962.7307582066096</v>
      </c>
      <c r="L536" s="37">
        <f>Tableau!$G$36*SIN(J536*PI()/180)+Tableau!$H$35</f>
        <v>-14390.653282974254</v>
      </c>
      <c r="N536" s="92">
        <v>532</v>
      </c>
      <c r="O536" s="93">
        <v>266</v>
      </c>
      <c r="P536" s="96">
        <f>P535+R535*Tableau!$G$2+((1/2)*T535)*Tableau!$G$2^2</f>
        <v>-17988859.314847272</v>
      </c>
      <c r="Q536" s="96">
        <f>Q535+S535*Tableau!$G$2+((1/2)*U535)*Tableau!$G$2^2</f>
        <v>8828316.4702944178</v>
      </c>
      <c r="R536" s="96">
        <f>R535+T535*Tableau!$G$2</f>
        <v>-68698.166967188386</v>
      </c>
      <c r="S536" s="96">
        <f>S535+U535*Tableau!$G$2</f>
        <v>33800.710385596809</v>
      </c>
      <c r="T536" s="96">
        <f t="shared" si="16"/>
        <v>2.7416723696819449E-3</v>
      </c>
      <c r="U536" s="96">
        <f t="shared" si="17"/>
        <v>-1.345525948257425E-3</v>
      </c>
      <c r="V536" s="96">
        <f>((Tableau!$G$16-P536)/(AC536^2+Tableau!$G$21^2)^(3/2))*Tableau!$G$20</f>
        <v>1.1693429274555664E-3</v>
      </c>
      <c r="W536" s="96">
        <f>((Tableau!$H$16-Q536)/(AC536^2+Tableau!$G$21^2)^(3/2))*Tableau!$G$20</f>
        <v>-5.7274917714630533E-4</v>
      </c>
      <c r="X536" s="96">
        <f>((Tableau!$G$25-P536)/(AD536^2+Tableau!$G$30^2)^(3/2))*Tableau!$G$29</f>
        <v>4.0241813631814501E-4</v>
      </c>
      <c r="Y536" s="96">
        <f>((Tableau!$H$25-Q536)/(AD536^2+Tableau!$G$30^2)^(3/2))*Tableau!$G$29</f>
        <v>-1.9748891219306897E-4</v>
      </c>
      <c r="Z536" s="96">
        <f>((Tableau!$G$35-P536)/(AE536^2+Tableau!$G$40^2)^(3/2))*Tableau!$G$39</f>
        <v>1.1699113059082335E-3</v>
      </c>
      <c r="AA536" s="97">
        <f>((Tableau!$H$35-Q536)/(AE536^2+Tableau!$G$40^2)^(3/2))*Tableau!$G$39</f>
        <v>-5.7528785891805079E-4</v>
      </c>
      <c r="AC536" s="110">
        <f>SQRT((Tableau!$G$16-P536)^2+(Tableau!$H$16-Q536)^2)</f>
        <v>20053075.001719277</v>
      </c>
      <c r="AD536" s="111">
        <f>SQRT((Tableau!$G$25-P536)^2+(Tableau!$H$25-Q536)^2)</f>
        <v>20016058.814038277</v>
      </c>
      <c r="AE536" s="112">
        <f>SQRT((Tableau!$G$35-P536)^2+(Tableau!$H$35-Q536)^2)</f>
        <v>20040544.953917783</v>
      </c>
    </row>
    <row r="537" spans="2:31" x14ac:dyDescent="0.25">
      <c r="B537" s="18">
        <v>534</v>
      </c>
      <c r="C537" s="19">
        <f>Tableau!$G$17*COS(B537*PI()/180)+Tableau!$G$16</f>
        <v>15027.390523158632</v>
      </c>
      <c r="D537" s="19">
        <f>Tableau!$G$17*SIN(B537*PI()/180)+Tableau!$H$16</f>
        <v>8022.6423163382724</v>
      </c>
      <c r="F537" s="26">
        <v>534</v>
      </c>
      <c r="G537" s="27">
        <f>Tableau!$G$26*COS(F537*PI()/180)+Tableau!$G$25</f>
        <v>-23480.826633788958</v>
      </c>
      <c r="H537" s="27">
        <f>Tableau!$G$26*SIN(F537*PI()/180)+Tableau!$H$25</f>
        <v>10365.84962143679</v>
      </c>
      <c r="J537" s="34">
        <v>534</v>
      </c>
      <c r="K537" s="35">
        <f>Tableau!$G$36*COS(J537*PI()/180)+Tableau!$G$35</f>
        <v>-9972.6094768413677</v>
      </c>
      <c r="L537" s="35">
        <f>Tableau!$G$36*SIN(J537*PI()/180)+Tableau!$H$35</f>
        <v>-14477.357683661729</v>
      </c>
      <c r="N537" s="98">
        <v>533</v>
      </c>
      <c r="O537" s="99">
        <v>266.5</v>
      </c>
      <c r="P537" s="101">
        <f>P536+R536*Tableau!$G$2+((1/2)*T536)*Tableau!$G$2^2</f>
        <v>-18023208.397988159</v>
      </c>
      <c r="Q537" s="101">
        <f>Q536+S536*Tableau!$G$2+((1/2)*U536)*Tableau!$G$2^2</f>
        <v>8845216.8253190257</v>
      </c>
      <c r="R537" s="101">
        <f>R536+T536*Tableau!$G$2</f>
        <v>-68698.165596352206</v>
      </c>
      <c r="S537" s="101">
        <f>S536+U536*Tableau!$G$2</f>
        <v>33800.709712833836</v>
      </c>
      <c r="T537" s="101">
        <f t="shared" si="16"/>
        <v>2.7312263221294913E-3</v>
      </c>
      <c r="U537" s="101">
        <f t="shared" si="17"/>
        <v>-1.3404058568353007E-3</v>
      </c>
      <c r="V537" s="101">
        <f>((Tableau!$G$16-P537)/(AC537^2+Tableau!$G$21^2)^(3/2))*Tableau!$G$20</f>
        <v>1.1648891626305682E-3</v>
      </c>
      <c r="W537" s="101">
        <f>((Tableau!$H$16-Q537)/(AC537^2+Tableau!$G$21^2)^(3/2))*Tableau!$G$20</f>
        <v>-5.705726124273921E-4</v>
      </c>
      <c r="X537" s="101">
        <f>((Tableau!$G$25-P537)/(AD537^2+Tableau!$G$30^2)^(3/2))*Tableau!$G$29</f>
        <v>4.0088287461459361E-4</v>
      </c>
      <c r="Y537" s="101">
        <f>((Tableau!$H$25-Q537)/(AD537^2+Tableau!$G$30^2)^(3/2))*Tableau!$G$29</f>
        <v>-1.9673643944336704E-4</v>
      </c>
      <c r="Z537" s="101">
        <f>((Tableau!$G$35-P537)/(AE537^2+Tableau!$G$40^2)^(3/2))*Tableau!$G$39</f>
        <v>1.1654542848843292E-3</v>
      </c>
      <c r="AA537" s="102">
        <f>((Tableau!$H$35-Q537)/(AE537^2+Tableau!$G$40^2)^(3/2))*Tableau!$G$39</f>
        <v>-5.7309680496454157E-4</v>
      </c>
      <c r="AC537" s="113">
        <f>SQRT((Tableau!$G$16-P537)^2+(Tableau!$H$16-Q537)^2)</f>
        <v>20091356.548967954</v>
      </c>
      <c r="AD537" s="114">
        <f>SQRT((Tableau!$G$25-P537)^2+(Tableau!$H$25-Q537)^2)</f>
        <v>20054340.402311709</v>
      </c>
      <c r="AE537" s="115">
        <f>SQRT((Tableau!$G$35-P537)^2+(Tableau!$H$35-Q537)^2)</f>
        <v>20078826.560957126</v>
      </c>
    </row>
    <row r="538" spans="2:31" x14ac:dyDescent="0.25">
      <c r="B538" s="20">
        <v>535</v>
      </c>
      <c r="C538" s="21">
        <f>Tableau!$G$17*COS(B538*PI()/180)+Tableau!$G$16</f>
        <v>15019.026509541272</v>
      </c>
      <c r="D538" s="21">
        <f>Tableau!$G$17*SIN(B538*PI()/180)+Tableau!$H$16</f>
        <v>7935.778713738292</v>
      </c>
      <c r="F538" s="28">
        <v>535</v>
      </c>
      <c r="G538" s="29">
        <f>Tableau!$G$26*COS(F538*PI()/180)+Tableau!$G$25</f>
        <v>-23486.681443321111</v>
      </c>
      <c r="H538" s="29">
        <f>Tableau!$G$26*SIN(F538*PI()/180)+Tableau!$H$25</f>
        <v>10305.045099616804</v>
      </c>
      <c r="J538" s="36">
        <v>535</v>
      </c>
      <c r="K538" s="37">
        <f>Tableau!$G$36*COS(J538*PI()/180)+Tableau!$G$35</f>
        <v>-9980.9734904587276</v>
      </c>
      <c r="L538" s="37">
        <f>Tableau!$G$36*SIN(J538*PI()/180)+Tableau!$H$35</f>
        <v>-14564.221286261707</v>
      </c>
      <c r="N538" s="92">
        <v>534</v>
      </c>
      <c r="O538" s="93">
        <v>267</v>
      </c>
      <c r="P538" s="96">
        <f>P537+R537*Tableau!$G$2+((1/2)*T537)*Tableau!$G$2^2</f>
        <v>-18057557.48044493</v>
      </c>
      <c r="Q538" s="96">
        <f>Q537+S537*Tableau!$G$2+((1/2)*U537)*Tableau!$G$2^2</f>
        <v>8862117.1800078917</v>
      </c>
      <c r="R538" s="96">
        <f>R537+T537*Tableau!$G$2</f>
        <v>-68698.164230739043</v>
      </c>
      <c r="S538" s="96">
        <f>S537+U537*Tableau!$G$2</f>
        <v>33800.709042630908</v>
      </c>
      <c r="T538" s="96">
        <f t="shared" si="16"/>
        <v>2.7208398619544376E-3</v>
      </c>
      <c r="U538" s="96">
        <f t="shared" si="17"/>
        <v>-1.3353149349834563E-3</v>
      </c>
      <c r="V538" s="96">
        <f>((Tableau!$G$16-P538)/(AC538^2+Tableau!$G$21^2)^(3/2))*Tableau!$G$20</f>
        <v>1.1604607945621102E-3</v>
      </c>
      <c r="W538" s="96">
        <f>((Tableau!$H$16-Q538)/(AC538^2+Tableau!$G$21^2)^(3/2))*Tableau!$G$20</f>
        <v>-5.6840843124800113E-4</v>
      </c>
      <c r="X538" s="96">
        <f>((Tableau!$G$25-P538)/(AD538^2+Tableau!$G$30^2)^(3/2))*Tableau!$G$29</f>
        <v>3.9935638195041174E-4</v>
      </c>
      <c r="Y538" s="96">
        <f>((Tableau!$H$25-Q538)/(AD538^2+Tableau!$G$30^2)^(3/2))*Tableau!$G$29</f>
        <v>-1.9598825913328885E-4</v>
      </c>
      <c r="Z538" s="96">
        <f>((Tableau!$G$35-P538)/(AE538^2+Tableau!$G$40^2)^(3/2))*Tableau!$G$39</f>
        <v>1.1610226854419157E-3</v>
      </c>
      <c r="AA538" s="97">
        <f>((Tableau!$H$35-Q538)/(AE538^2+Tableau!$G$40^2)^(3/2))*Tableau!$G$39</f>
        <v>-5.7091824460216644E-4</v>
      </c>
      <c r="AC538" s="110">
        <f>SQRT((Tableau!$G$16-P538)^2+(Tableau!$H$16-Q538)^2)</f>
        <v>20129638.095685709</v>
      </c>
      <c r="AD538" s="111">
        <f>SQRT((Tableau!$G$25-P538)^2+(Tableau!$H$25-Q538)^2)</f>
        <v>20092621.989898324</v>
      </c>
      <c r="AE538" s="112">
        <f>SQRT((Tableau!$G$35-P538)^2+(Tableau!$H$35-Q538)^2)</f>
        <v>20117108.167238139</v>
      </c>
    </row>
    <row r="539" spans="2:31" x14ac:dyDescent="0.25">
      <c r="B539" s="18">
        <v>536</v>
      </c>
      <c r="C539" s="19">
        <f>Tableau!$G$17*COS(B539*PI()/180)+Tableau!$G$16</f>
        <v>15012.179748700879</v>
      </c>
      <c r="D539" s="19">
        <f>Tableau!$G$17*SIN(B539*PI()/180)+Tableau!$H$16</f>
        <v>7848.7823687206328</v>
      </c>
      <c r="F539" s="26">
        <v>536</v>
      </c>
      <c r="G539" s="27">
        <f>Tableau!$G$26*COS(F539*PI()/180)+Tableau!$G$25</f>
        <v>-23491.474175909385</v>
      </c>
      <c r="H539" s="27">
        <f>Tableau!$G$26*SIN(F539*PI()/180)+Tableau!$H$25</f>
        <v>10244.147658104443</v>
      </c>
      <c r="J539" s="34">
        <v>536</v>
      </c>
      <c r="K539" s="35">
        <f>Tableau!$G$36*COS(J539*PI()/180)+Tableau!$G$35</f>
        <v>-9987.8202512991211</v>
      </c>
      <c r="L539" s="35">
        <f>Tableau!$G$36*SIN(J539*PI()/180)+Tableau!$H$35</f>
        <v>-14651.217631279367</v>
      </c>
      <c r="N539" s="98">
        <v>535</v>
      </c>
      <c r="O539" s="99">
        <v>267.5</v>
      </c>
      <c r="P539" s="101">
        <f>P538+R538*Tableau!$G$2+((1/2)*T538)*Tableau!$G$2^2</f>
        <v>-18091906.562220197</v>
      </c>
      <c r="Q539" s="101">
        <f>Q538+S538*Tableau!$G$2+((1/2)*U538)*Tableau!$G$2^2</f>
        <v>8879017.5343622938</v>
      </c>
      <c r="R539" s="101">
        <f>R538+T538*Tableau!$G$2</f>
        <v>-68698.162870319109</v>
      </c>
      <c r="S539" s="101">
        <f>S538+U538*Tableau!$G$2</f>
        <v>33800.708374973437</v>
      </c>
      <c r="T539" s="101">
        <f t="shared" si="16"/>
        <v>2.7105125368104901E-3</v>
      </c>
      <c r="U539" s="101">
        <f t="shared" si="17"/>
        <v>-1.330252961546422E-3</v>
      </c>
      <c r="V539" s="101">
        <f>((Tableau!$G$16-P539)/(AC539^2+Tableau!$G$21^2)^(3/2))*Tableau!$G$20</f>
        <v>1.1560576305227786E-3</v>
      </c>
      <c r="W539" s="101">
        <f>((Tableau!$H$16-Q539)/(AC539^2+Tableau!$G$21^2)^(3/2))*Tableau!$G$20</f>
        <v>-5.6625653984485633E-4</v>
      </c>
      <c r="X539" s="101">
        <f>((Tableau!$G$25-P539)/(AD539^2+Tableau!$G$30^2)^(3/2))*Tableau!$G$29</f>
        <v>3.9783859167024629E-4</v>
      </c>
      <c r="Y539" s="101">
        <f>((Tableau!$H$25-Q539)/(AD539^2+Tableau!$G$30^2)^(3/2))*Tableau!$G$29</f>
        <v>-1.9524433867678951E-4</v>
      </c>
      <c r="Z539" s="101">
        <f>((Tableau!$G$35-P539)/(AE539^2+Tableau!$G$40^2)^(3/2))*Tableau!$G$39</f>
        <v>1.1566163146174652E-3</v>
      </c>
      <c r="AA539" s="102">
        <f>((Tableau!$H$35-Q539)/(AE539^2+Tableau!$G$40^2)^(3/2))*Tableau!$G$39</f>
        <v>-5.6875208302477613E-4</v>
      </c>
      <c r="AC539" s="113">
        <f>SQRT((Tableau!$G$16-P539)^2+(Tableau!$H$16-Q539)^2)</f>
        <v>20167919.641874138</v>
      </c>
      <c r="AD539" s="114">
        <f>SQRT((Tableau!$G$25-P539)^2+(Tableau!$H$25-Q539)^2)</f>
        <v>20130903.5768006</v>
      </c>
      <c r="AE539" s="115">
        <f>SQRT((Tableau!$G$35-P539)^2+(Tableau!$H$35-Q539)^2)</f>
        <v>20155389.77276371</v>
      </c>
    </row>
    <row r="540" spans="2:31" x14ac:dyDescent="0.25">
      <c r="B540" s="20">
        <v>537</v>
      </c>
      <c r="C540" s="21">
        <f>Tableau!$G$17*COS(B540*PI()/180)+Tableau!$G$16</f>
        <v>15006.85232622713</v>
      </c>
      <c r="D540" s="21">
        <f>Tableau!$G$17*SIN(B540*PI()/180)+Tableau!$H$16</f>
        <v>7761.6797812147224</v>
      </c>
      <c r="F540" s="28">
        <v>537</v>
      </c>
      <c r="G540" s="29">
        <f>Tableau!$G$26*COS(F540*PI()/180)+Tableau!$G$25</f>
        <v>-23495.203371641008</v>
      </c>
      <c r="H540" s="29">
        <f>Tableau!$G$26*SIN(F540*PI()/180)+Tableau!$H$25</f>
        <v>10183.175846850305</v>
      </c>
      <c r="J540" s="36">
        <v>537</v>
      </c>
      <c r="K540" s="37">
        <f>Tableau!$G$36*COS(J540*PI()/180)+Tableau!$G$35</f>
        <v>-9993.1476737728699</v>
      </c>
      <c r="L540" s="37">
        <f>Tableau!$G$36*SIN(J540*PI()/180)+Tableau!$H$35</f>
        <v>-14738.320218785277</v>
      </c>
      <c r="N540" s="92">
        <v>536</v>
      </c>
      <c r="O540" s="93">
        <v>268</v>
      </c>
      <c r="P540" s="96">
        <f>P539+R539*Tableau!$G$2+((1/2)*T539)*Tableau!$G$2^2</f>
        <v>-18126255.643316541</v>
      </c>
      <c r="Q540" s="96">
        <f>Q539+S539*Tableau!$G$2+((1/2)*U539)*Tableau!$G$2^2</f>
        <v>8895917.8883834984</v>
      </c>
      <c r="R540" s="96">
        <f>R539+T539*Tableau!$G$2</f>
        <v>-68698.161515062835</v>
      </c>
      <c r="S540" s="96">
        <f>S539+U539*Tableau!$G$2</f>
        <v>33800.70770984696</v>
      </c>
      <c r="T540" s="96">
        <f t="shared" si="16"/>
        <v>2.700243898635585E-3</v>
      </c>
      <c r="U540" s="96">
        <f t="shared" si="17"/>
        <v>-1.3252197174606789E-3</v>
      </c>
      <c r="V540" s="96">
        <f>((Tableau!$G$16-P540)/(AC540^2+Tableau!$G$21^2)^(3/2))*Tableau!$G$20</f>
        <v>1.1516794796098669E-3</v>
      </c>
      <c r="W540" s="96">
        <f>((Tableau!$H$16-Q540)/(AC540^2+Tableau!$G$21^2)^(3/2))*Tableau!$G$20</f>
        <v>-5.6411684534042107E-4</v>
      </c>
      <c r="X540" s="96">
        <f>((Tableau!$G$25-P540)/(AD540^2+Tableau!$G$30^2)^(3/2))*Tableau!$G$29</f>
        <v>3.9632943775087483E-4</v>
      </c>
      <c r="Y540" s="96">
        <f>((Tableau!$H$25-Q540)/(AD540^2+Tableau!$G$30^2)^(3/2))*Tableau!$G$29</f>
        <v>-1.9450464579646187E-4</v>
      </c>
      <c r="Z540" s="96">
        <f>((Tableau!$G$35-P540)/(AE540^2+Tableau!$G$40^2)^(3/2))*Tableau!$G$39</f>
        <v>1.1522349812748435E-3</v>
      </c>
      <c r="AA540" s="97">
        <f>((Tableau!$H$35-Q540)/(AE540^2+Tableau!$G$40^2)^(3/2))*Tableau!$G$39</f>
        <v>-5.6659822632379594E-4</v>
      </c>
      <c r="AC540" s="110">
        <f>SQRT((Tableau!$G$16-P540)^2+(Tableau!$H$16-Q540)^2)</f>
        <v>20206201.187534809</v>
      </c>
      <c r="AD540" s="111">
        <f>SQRT((Tableau!$G$25-P540)^2+(Tableau!$H$25-Q540)^2)</f>
        <v>20169185.163020987</v>
      </c>
      <c r="AE540" s="112">
        <f>SQRT((Tableau!$G$35-P540)^2+(Tableau!$H$35-Q540)^2)</f>
        <v>20193671.377536692</v>
      </c>
    </row>
    <row r="541" spans="2:31" x14ac:dyDescent="0.25">
      <c r="B541" s="18">
        <v>538</v>
      </c>
      <c r="C541" s="19">
        <f>Tableau!$G$17*COS(B541*PI()/180)+Tableau!$G$16</f>
        <v>15003.045864904521</v>
      </c>
      <c r="D541" s="19">
        <f>Tableau!$G$17*SIN(B541*PI()/180)+Tableau!$H$16</f>
        <v>7674.4974835125049</v>
      </c>
      <c r="F541" s="26">
        <v>538</v>
      </c>
      <c r="G541" s="27">
        <f>Tableau!$G$26*COS(F541*PI()/180)+Tableau!$G$25</f>
        <v>-23497.867894566836</v>
      </c>
      <c r="H541" s="27">
        <f>Tableau!$G$26*SIN(F541*PI()/180)+Tableau!$H$25</f>
        <v>10122.148238458753</v>
      </c>
      <c r="J541" s="34">
        <v>538</v>
      </c>
      <c r="K541" s="35">
        <f>Tableau!$G$36*COS(J541*PI()/180)+Tableau!$G$35</f>
        <v>-9996.9541350954787</v>
      </c>
      <c r="L541" s="35">
        <f>Tableau!$G$36*SIN(J541*PI()/180)+Tableau!$H$35</f>
        <v>-14825.502516487495</v>
      </c>
      <c r="N541" s="98">
        <v>537</v>
      </c>
      <c r="O541" s="99">
        <v>268.5</v>
      </c>
      <c r="P541" s="101">
        <f>P540+R540*Tableau!$G$2+((1/2)*T540)*Tableau!$G$2^2</f>
        <v>-18160604.723736543</v>
      </c>
      <c r="Q541" s="101">
        <f>Q540+S540*Tableau!$G$2+((1/2)*U540)*Tableau!$G$2^2</f>
        <v>8912818.2420727685</v>
      </c>
      <c r="R541" s="101">
        <f>R540+T540*Tableau!$G$2</f>
        <v>-68698.160164940884</v>
      </c>
      <c r="S541" s="101">
        <f>S540+U540*Tableau!$G$2</f>
        <v>33800.707047237098</v>
      </c>
      <c r="T541" s="101">
        <f t="shared" si="16"/>
        <v>2.6900335036033427E-3</v>
      </c>
      <c r="U541" s="101">
        <f t="shared" si="17"/>
        <v>-1.3202149857309809E-3</v>
      </c>
      <c r="V541" s="101">
        <f>((Tableau!$G$16-P541)/(AC541^2+Tableau!$G$21^2)^(3/2))*Tableau!$G$20</f>
        <v>1.1473261527247106E-3</v>
      </c>
      <c r="W541" s="101">
        <f>((Tableau!$H$16-Q541)/(AC541^2+Tableau!$G$21^2)^(3/2))*Tableau!$G$20</f>
        <v>-5.6198925573288836E-4</v>
      </c>
      <c r="X541" s="101">
        <f>((Tableau!$G$25-P541)/(AD541^2+Tableau!$G$30^2)^(3/2))*Tableau!$G$29</f>
        <v>3.9482885479402393E-4</v>
      </c>
      <c r="Y541" s="101">
        <f>((Tableau!$H$25-Q541)/(AD541^2+Tableau!$G$30^2)^(3/2))*Tableau!$G$29</f>
        <v>-1.9376914852003402E-4</v>
      </c>
      <c r="Z541" s="101">
        <f>((Tableau!$G$35-P541)/(AE541^2+Tableau!$G$40^2)^(3/2))*Tableau!$G$39</f>
        <v>1.147878496084608E-3</v>
      </c>
      <c r="AA541" s="102">
        <f>((Tableau!$H$35-Q541)/(AE541^2+Tableau!$G$40^2)^(3/2))*Tableau!$G$39</f>
        <v>-5.6445658147805848E-4</v>
      </c>
      <c r="AC541" s="113">
        <f>SQRT((Tableau!$G$16-P541)^2+(Tableau!$H$16-Q541)^2)</f>
        <v>20244482.732669301</v>
      </c>
      <c r="AD541" s="114">
        <f>SQRT((Tableau!$G$25-P541)^2+(Tableau!$H$25-Q541)^2)</f>
        <v>20207466.748561934</v>
      </c>
      <c r="AE541" s="115">
        <f>SQRT((Tableau!$G$35-P541)^2+(Tableau!$H$35-Q541)^2)</f>
        <v>20231952.981559936</v>
      </c>
    </row>
    <row r="542" spans="2:31" x14ac:dyDescent="0.25">
      <c r="B542" s="20">
        <v>539</v>
      </c>
      <c r="C542" s="21">
        <f>Tableau!$G$17*COS(B542*PI()/180)+Tableau!$G$16</f>
        <v>15000.761524218044</v>
      </c>
      <c r="D542" s="21">
        <f>Tableau!$G$17*SIN(B542*PI()/180)+Tableau!$H$16</f>
        <v>7587.2620321864142</v>
      </c>
      <c r="F542" s="28">
        <v>539</v>
      </c>
      <c r="G542" s="29">
        <f>Tableau!$G$26*COS(F542*PI()/180)+Tableau!$G$25</f>
        <v>-23499.46693304737</v>
      </c>
      <c r="H542" s="29">
        <f>Tableau!$G$26*SIN(F542*PI()/180)+Tableau!$H$25</f>
        <v>10061.08342253049</v>
      </c>
      <c r="J542" s="36">
        <v>539</v>
      </c>
      <c r="K542" s="37">
        <f>Tableau!$G$36*COS(J542*PI()/180)+Tableau!$G$35</f>
        <v>-9999.2384757819564</v>
      </c>
      <c r="L542" s="37">
        <f>Tableau!$G$36*SIN(J542*PI()/180)+Tableau!$H$35</f>
        <v>-14912.737967813586</v>
      </c>
      <c r="N542" s="92">
        <v>538</v>
      </c>
      <c r="O542" s="93">
        <v>269</v>
      </c>
      <c r="P542" s="96">
        <f>P541+R541*Tableau!$G$2+((1/2)*T541)*Tableau!$G$2^2</f>
        <v>-18194953.803482756</v>
      </c>
      <c r="Q542" s="96">
        <f>Q541+S541*Tableau!$G$2+((1/2)*U541)*Tableau!$G$2^2</f>
        <v>8929718.5954313613</v>
      </c>
      <c r="R542" s="96">
        <f>R541+T541*Tableau!$G$2</f>
        <v>-68698.158819924138</v>
      </c>
      <c r="S542" s="96">
        <f>S541+U541*Tableau!$G$2</f>
        <v>33800.706387129605</v>
      </c>
      <c r="T542" s="96">
        <f t="shared" si="16"/>
        <v>2.6798809120750556E-3</v>
      </c>
      <c r="U542" s="96">
        <f t="shared" si="17"/>
        <v>-1.3152385514069442E-3</v>
      </c>
      <c r="V542" s="96">
        <f>((Tableau!$G$16-P542)/(AC542^2+Tableau!$G$21^2)^(3/2))*Tableau!$G$20</f>
        <v>1.1429974625522623E-3</v>
      </c>
      <c r="W542" s="96">
        <f>((Tableau!$H$16-Q542)/(AC542^2+Tableau!$G$21^2)^(3/2))*Tableau!$G$20</f>
        <v>-5.5987367988628953E-4</v>
      </c>
      <c r="X542" s="96">
        <f>((Tableau!$G$25-P542)/(AD542^2+Tableau!$G$30^2)^(3/2))*Tableau!$G$29</f>
        <v>3.9333677801926608E-4</v>
      </c>
      <c r="Y542" s="96">
        <f>((Tableau!$H$25-Q542)/(AD542^2+Tableau!$G$30^2)^(3/2))*Tableau!$G$29</f>
        <v>-1.9303781517690578E-4</v>
      </c>
      <c r="Z542" s="96">
        <f>((Tableau!$G$35-P542)/(AE542^2+Tableau!$G$40^2)^(3/2))*Tableau!$G$39</f>
        <v>1.1435466715035273E-3</v>
      </c>
      <c r="AA542" s="97">
        <f>((Tableau!$H$35-Q542)/(AE542^2+Tableau!$G$40^2)^(3/2))*Tableau!$G$39</f>
        <v>-5.6232705634374895E-4</v>
      </c>
      <c r="AC542" s="110">
        <f>SQRT((Tableau!$G$16-P542)^2+(Tableau!$H$16-Q542)^2)</f>
        <v>20282764.277279172</v>
      </c>
      <c r="AD542" s="111">
        <f>SQRT((Tableau!$G$25-P542)^2+(Tableau!$H$25-Q542)^2)</f>
        <v>20245748.333425868</v>
      </c>
      <c r="AE542" s="112">
        <f>SQRT((Tableau!$G$35-P542)^2+(Tableau!$H$35-Q542)^2)</f>
        <v>20270234.584836267</v>
      </c>
    </row>
    <row r="543" spans="2:31" x14ac:dyDescent="0.25">
      <c r="B543" s="18">
        <v>540</v>
      </c>
      <c r="C543" s="19">
        <f>Tableau!$G$17*COS(B543*PI()/180)+Tableau!$G$16</f>
        <v>15000</v>
      </c>
      <c r="D543" s="19">
        <f>Tableau!$G$17*SIN(B543*PI()/180)+Tableau!$H$16</f>
        <v>7500.0000000000018</v>
      </c>
      <c r="F543" s="26">
        <v>540</v>
      </c>
      <c r="G543" s="27">
        <f>Tableau!$G$26*COS(F543*PI()/180)+Tableau!$G$25</f>
        <v>-23500</v>
      </c>
      <c r="H543" s="27">
        <f>Tableau!$G$26*SIN(F543*PI()/180)+Tableau!$H$25</f>
        <v>10000.000000000002</v>
      </c>
      <c r="J543" s="34">
        <v>540</v>
      </c>
      <c r="K543" s="35">
        <f>Tableau!$G$36*COS(J543*PI()/180)+Tableau!$G$35</f>
        <v>-10000</v>
      </c>
      <c r="L543" s="35">
        <f>Tableau!$G$36*SIN(J543*PI()/180)+Tableau!$H$35</f>
        <v>-14999.999999999998</v>
      </c>
      <c r="N543" s="98">
        <v>539</v>
      </c>
      <c r="O543" s="99">
        <v>269.5</v>
      </c>
      <c r="P543" s="101">
        <f>P542+R542*Tableau!$G$2+((1/2)*T542)*Tableau!$G$2^2</f>
        <v>-18229302.882557731</v>
      </c>
      <c r="Q543" s="101">
        <f>Q542+S542*Tableau!$G$2+((1/2)*U542)*Tableau!$G$2^2</f>
        <v>8946618.9484605212</v>
      </c>
      <c r="R543" s="101">
        <f>R542+T542*Tableau!$G$2</f>
        <v>-68698.157479983682</v>
      </c>
      <c r="S543" s="101">
        <f>S542+U542*Tableau!$G$2</f>
        <v>33800.70572951033</v>
      </c>
      <c r="T543" s="101">
        <f t="shared" si="16"/>
        <v>2.6697856885523688E-3</v>
      </c>
      <c r="U543" s="101">
        <f t="shared" si="17"/>
        <v>-1.310290201559966E-3</v>
      </c>
      <c r="V543" s="101">
        <f>((Tableau!$G$16-P543)/(AC543^2+Tableau!$G$21^2)^(3/2))*Tableau!$G$20</f>
        <v>1.1386932235409033E-3</v>
      </c>
      <c r="W543" s="101">
        <f>((Tableau!$H$16-Q543)/(AC543^2+Tableau!$G$21^2)^(3/2))*Tableau!$G$20</f>
        <v>-5.5777002752071452E-4</v>
      </c>
      <c r="X543" s="101">
        <f>((Tableau!$G$25-P543)/(AD543^2+Tableau!$G$30^2)^(3/2))*Tableau!$G$29</f>
        <v>3.918531432570577E-4</v>
      </c>
      <c r="Y543" s="101">
        <f>((Tableau!$H$25-Q543)/(AD543^2+Tableau!$G$30^2)^(3/2))*Tableau!$G$29</f>
        <v>-1.9231061439475372E-4</v>
      </c>
      <c r="Z543" s="101">
        <f>((Tableau!$G$35-P543)/(AE543^2+Tableau!$G$40^2)^(3/2))*Tableau!$G$39</f>
        <v>1.1392393217544081E-3</v>
      </c>
      <c r="AA543" s="102">
        <f>((Tableau!$H$35-Q543)/(AE543^2+Tableau!$G$40^2)^(3/2))*Tableau!$G$39</f>
        <v>-5.6020955964449773E-4</v>
      </c>
      <c r="AC543" s="113">
        <f>SQRT((Tableau!$G$16-P543)^2+(Tableau!$H$16-Q543)^2)</f>
        <v>20321045.821365982</v>
      </c>
      <c r="AD543" s="114">
        <f>SQRT((Tableau!$G$25-P543)^2+(Tableau!$H$25-Q543)^2)</f>
        <v>20284029.917615213</v>
      </c>
      <c r="AE543" s="115">
        <f>SQRT((Tableau!$G$35-P543)^2+(Tableau!$H$35-Q543)^2)</f>
        <v>20308516.187368505</v>
      </c>
    </row>
    <row r="544" spans="2:31" x14ac:dyDescent="0.25">
      <c r="B544" s="20">
        <v>541</v>
      </c>
      <c r="C544" s="21">
        <f>Tableau!$G$17*COS(B544*PI()/180)+Tableau!$G$16</f>
        <v>15000.761524218044</v>
      </c>
      <c r="D544" s="21">
        <f>Tableau!$G$17*SIN(B544*PI()/180)+Tableau!$H$16</f>
        <v>7412.7379678135812</v>
      </c>
      <c r="F544" s="28">
        <v>541</v>
      </c>
      <c r="G544" s="29">
        <f>Tableau!$G$26*COS(F544*PI()/180)+Tableau!$G$25</f>
        <v>-23499.46693304737</v>
      </c>
      <c r="H544" s="29">
        <f>Tableau!$G$26*SIN(F544*PI()/180)+Tableau!$H$25</f>
        <v>9938.9165774695066</v>
      </c>
      <c r="J544" s="36">
        <v>541</v>
      </c>
      <c r="K544" s="37">
        <f>Tableau!$G$36*COS(J544*PI()/180)+Tableau!$G$35</f>
        <v>-9999.2384757819564</v>
      </c>
      <c r="L544" s="37">
        <f>Tableau!$G$36*SIN(J544*PI()/180)+Tableau!$H$35</f>
        <v>-15087.26203218642</v>
      </c>
      <c r="N544" s="92">
        <v>540</v>
      </c>
      <c r="O544" s="93">
        <v>270</v>
      </c>
      <c r="P544" s="96">
        <f>P543+R543*Tableau!$G$2+((1/2)*T543)*Tableau!$G$2^2</f>
        <v>-18263651.960964002</v>
      </c>
      <c r="Q544" s="96">
        <f>Q543+S543*Tableau!$G$2+((1/2)*U543)*Tableau!$G$2^2</f>
        <v>8963519.3011614904</v>
      </c>
      <c r="R544" s="96">
        <f>R543+T543*Tableau!$G$2</f>
        <v>-68698.156145090834</v>
      </c>
      <c r="S544" s="96">
        <f>S543+U543*Tableau!$G$2</f>
        <v>33800.705074365229</v>
      </c>
      <c r="T544" s="96">
        <f t="shared" si="16"/>
        <v>2.6597474016306164E-3</v>
      </c>
      <c r="U544" s="96">
        <f t="shared" si="17"/>
        <v>-1.305369725260468E-3</v>
      </c>
      <c r="V544" s="96">
        <f>((Tableau!$G$16-P544)/(AC544^2+Tableau!$G$21^2)^(3/2))*Tableau!$G$20</f>
        <v>1.1344132518825818E-3</v>
      </c>
      <c r="W544" s="96">
        <f>((Tableau!$H$16-Q544)/(AC544^2+Tableau!$G$21^2)^(3/2))*Tableau!$G$20</f>
        <v>-5.5567820920269248E-4</v>
      </c>
      <c r="X544" s="96">
        <f>((Tableau!$G$25-P544)/(AD544^2+Tableau!$G$30^2)^(3/2))*Tableau!$G$29</f>
        <v>3.9037788694182323E-4</v>
      </c>
      <c r="Y544" s="96">
        <f>((Tableau!$H$25-Q544)/(AD544^2+Tableau!$G$30^2)^(3/2))*Tableau!$G$29</f>
        <v>-1.9158751509615852E-4</v>
      </c>
      <c r="Z544" s="96">
        <f>((Tableau!$G$35-P544)/(AE544^2+Tableau!$G$40^2)^(3/2))*Tableau!$G$39</f>
        <v>1.1349562628062116E-3</v>
      </c>
      <c r="AA544" s="97">
        <f>((Tableau!$H$35-Q544)/(AE544^2+Tableau!$G$40^2)^(3/2))*Tableau!$G$39</f>
        <v>-5.5810400096161698E-4</v>
      </c>
      <c r="AC544" s="110">
        <f>SQRT((Tableau!$G$16-P544)^2+(Tableau!$H$16-Q544)^2)</f>
        <v>20359327.364931289</v>
      </c>
      <c r="AD544" s="111">
        <f>SQRT((Tableau!$G$25-P544)^2+(Tableau!$H$25-Q544)^2)</f>
        <v>20322311.501132369</v>
      </c>
      <c r="AE544" s="112">
        <f>SQRT((Tableau!$G$35-P544)^2+(Tableau!$H$35-Q544)^2)</f>
        <v>20346797.789159454</v>
      </c>
    </row>
    <row r="545" spans="2:31" x14ac:dyDescent="0.25">
      <c r="B545" s="18">
        <v>542</v>
      </c>
      <c r="C545" s="19">
        <f>Tableau!$G$17*COS(B545*PI()/180)+Tableau!$G$16</f>
        <v>15003.045864904521</v>
      </c>
      <c r="D545" s="19">
        <f>Tableau!$G$17*SIN(B545*PI()/180)+Tableau!$H$16</f>
        <v>7325.5025164874987</v>
      </c>
      <c r="F545" s="26">
        <v>542</v>
      </c>
      <c r="G545" s="27">
        <f>Tableau!$G$26*COS(F545*PI()/180)+Tableau!$G$25</f>
        <v>-23497.867894566836</v>
      </c>
      <c r="H545" s="27">
        <f>Tableau!$G$26*SIN(F545*PI()/180)+Tableau!$H$25</f>
        <v>9877.8517615412493</v>
      </c>
      <c r="J545" s="34">
        <v>542</v>
      </c>
      <c r="K545" s="35">
        <f>Tableau!$G$36*COS(J545*PI()/180)+Tableau!$G$35</f>
        <v>-9996.9541350954787</v>
      </c>
      <c r="L545" s="35">
        <f>Tableau!$G$36*SIN(J545*PI()/180)+Tableau!$H$35</f>
        <v>-15174.497483512501</v>
      </c>
      <c r="N545" s="98">
        <v>541</v>
      </c>
      <c r="O545" s="99">
        <v>270.5</v>
      </c>
      <c r="P545" s="101">
        <f>P544+R544*Tableau!$G$2+((1/2)*T544)*Tableau!$G$2^2</f>
        <v>-18298001.038704079</v>
      </c>
      <c r="Q545" s="101">
        <f>Q544+S544*Tableau!$G$2+((1/2)*U544)*Tableau!$G$2^2</f>
        <v>8980419.653535502</v>
      </c>
      <c r="R545" s="101">
        <f>R544+T544*Tableau!$G$2</f>
        <v>-68698.154815217131</v>
      </c>
      <c r="S545" s="101">
        <f>S544+U544*Tableau!$G$2</f>
        <v>33800.70442168037</v>
      </c>
      <c r="T545" s="101">
        <f t="shared" si="16"/>
        <v>2.6497656239526908E-3</v>
      </c>
      <c r="U545" s="101">
        <f t="shared" si="17"/>
        <v>-1.3004769135554002E-3</v>
      </c>
      <c r="V545" s="101">
        <f>((Tableau!$G$16-P545)/(AC545^2+Tableau!$G$21^2)^(3/2))*Tableau!$G$20</f>
        <v>1.1301573654932337E-3</v>
      </c>
      <c r="W545" s="101">
        <f>((Tableau!$H$16-Q545)/(AC545^2+Tableau!$G$21^2)^(3/2))*Tableau!$G$20</f>
        <v>-5.53598136335708E-4</v>
      </c>
      <c r="X545" s="101">
        <f>((Tableau!$G$25-P545)/(AD545^2+Tableau!$G$30^2)^(3/2))*Tableau!$G$29</f>
        <v>3.8891094610513961E-4</v>
      </c>
      <c r="Y545" s="101">
        <f>((Tableau!$H$25-Q545)/(AD545^2+Tableau!$G$30^2)^(3/2))*Tableau!$G$29</f>
        <v>-1.9086848649528152E-4</v>
      </c>
      <c r="Z545" s="101">
        <f>((Tableau!$G$35-P545)/(AE545^2+Tableau!$G$40^2)^(3/2))*Tableau!$G$39</f>
        <v>1.1306973123543177E-3</v>
      </c>
      <c r="AA545" s="102">
        <f>((Tableau!$H$35-Q545)/(AE545^2+Tableau!$G$40^2)^(3/2))*Tableau!$G$39</f>
        <v>-5.5601029072441059E-4</v>
      </c>
      <c r="AC545" s="113">
        <f>SQRT((Tableau!$G$16-P545)^2+(Tableau!$H$16-Q545)^2)</f>
        <v>20397608.907976624</v>
      </c>
      <c r="AD545" s="114">
        <f>SQRT((Tableau!$G$25-P545)^2+(Tableau!$H$25-Q545)^2)</f>
        <v>20360593.083979733</v>
      </c>
      <c r="AE545" s="115">
        <f>SQRT((Tableau!$G$35-P545)^2+(Tableau!$H$35-Q545)^2)</f>
        <v>20385079.390211884</v>
      </c>
    </row>
    <row r="546" spans="2:31" x14ac:dyDescent="0.25">
      <c r="B546" s="20">
        <v>543</v>
      </c>
      <c r="C546" s="21">
        <f>Tableau!$G$17*COS(B546*PI()/180)+Tableau!$G$16</f>
        <v>15006.85232622713</v>
      </c>
      <c r="D546" s="21">
        <f>Tableau!$G$17*SIN(B546*PI()/180)+Tableau!$H$16</f>
        <v>7238.3202187852812</v>
      </c>
      <c r="F546" s="28">
        <v>543</v>
      </c>
      <c r="G546" s="29">
        <f>Tableau!$G$26*COS(F546*PI()/180)+Tableau!$G$25</f>
        <v>-23495.203371641008</v>
      </c>
      <c r="H546" s="29">
        <f>Tableau!$G$26*SIN(F546*PI()/180)+Tableau!$H$25</f>
        <v>9816.8241531496969</v>
      </c>
      <c r="J546" s="36">
        <v>543</v>
      </c>
      <c r="K546" s="37">
        <f>Tableau!$G$36*COS(J546*PI()/180)+Tableau!$G$35</f>
        <v>-9993.1476737728699</v>
      </c>
      <c r="L546" s="37">
        <f>Tableau!$G$36*SIN(J546*PI()/180)+Tableau!$H$35</f>
        <v>-15261.67978121472</v>
      </c>
      <c r="N546" s="92">
        <v>542</v>
      </c>
      <c r="O546" s="93">
        <v>271</v>
      </c>
      <c r="P546" s="96">
        <f>P545+R545*Tableau!$G$2+((1/2)*T545)*Tableau!$G$2^2</f>
        <v>-18332350.115780469</v>
      </c>
      <c r="Q546" s="96">
        <f>Q545+S545*Tableau!$G$2+((1/2)*U545)*Tableau!$G$2^2</f>
        <v>8997320.0055837817</v>
      </c>
      <c r="R546" s="96">
        <f>R545+T545*Tableau!$G$2</f>
        <v>-68698.153490334313</v>
      </c>
      <c r="S546" s="96">
        <f>S545+U545*Tableau!$G$2</f>
        <v>33800.703771441913</v>
      </c>
      <c r="T546" s="96">
        <f t="shared" si="16"/>
        <v>2.6398399321635882E-3</v>
      </c>
      <c r="U546" s="96">
        <f t="shared" si="17"/>
        <v>-1.2956115594460684E-3</v>
      </c>
      <c r="V546" s="96">
        <f>((Tableau!$G$16-P546)/(AC546^2+Tableau!$G$21^2)^(3/2))*Tableau!$G$20</f>
        <v>1.125925383993355E-3</v>
      </c>
      <c r="W546" s="96">
        <f>((Tableau!$H$16-Q546)/(AC546^2+Tableau!$G$21^2)^(3/2))*Tableau!$G$20</f>
        <v>-5.5152972115078962E-4</v>
      </c>
      <c r="X546" s="96">
        <f>((Tableau!$G$25-P546)/(AD546^2+Tableau!$G$30^2)^(3/2))*Tableau!$G$29</f>
        <v>3.8745225836904137E-4</v>
      </c>
      <c r="Y546" s="96">
        <f>((Tableau!$H$25-Q546)/(AD546^2+Tableau!$G$30^2)^(3/2))*Tableau!$G$29</f>
        <v>-1.9015349809459956E-4</v>
      </c>
      <c r="Z546" s="96">
        <f>((Tableau!$G$35-P546)/(AE546^2+Tableau!$G$40^2)^(3/2))*Tableau!$G$39</f>
        <v>1.1264622898011921E-3</v>
      </c>
      <c r="AA546" s="97">
        <f>((Tableau!$H$35-Q546)/(AE546^2+Tableau!$G$40^2)^(3/2))*Tableau!$G$39</f>
        <v>-5.5392834020067912E-4</v>
      </c>
      <c r="AC546" s="110">
        <f>SQRT((Tableau!$G$16-P546)^2+(Tableau!$H$16-Q546)^2)</f>
        <v>20435890.450503539</v>
      </c>
      <c r="AD546" s="111">
        <f>SQRT((Tableau!$G$25-P546)^2+(Tableau!$H$25-Q546)^2)</f>
        <v>20398874.666159686</v>
      </c>
      <c r="AE546" s="112">
        <f>SQRT((Tableau!$G$35-P546)^2+(Tableau!$H$35-Q546)^2)</f>
        <v>20423360.990528569</v>
      </c>
    </row>
    <row r="547" spans="2:31" x14ac:dyDescent="0.25">
      <c r="B547" s="18">
        <v>544</v>
      </c>
      <c r="C547" s="19">
        <f>Tableau!$G$17*COS(B547*PI()/180)+Tableau!$G$16</f>
        <v>15012.179748700879</v>
      </c>
      <c r="D547" s="19">
        <f>Tableau!$G$17*SIN(B547*PI()/180)+Tableau!$H$16</f>
        <v>7151.2176312793708</v>
      </c>
      <c r="F547" s="26">
        <v>544</v>
      </c>
      <c r="G547" s="27">
        <f>Tableau!$G$26*COS(F547*PI()/180)+Tableau!$G$25</f>
        <v>-23491.474175909385</v>
      </c>
      <c r="H547" s="27">
        <f>Tableau!$G$26*SIN(F547*PI()/180)+Tableau!$H$25</f>
        <v>9755.8523418955592</v>
      </c>
      <c r="J547" s="34">
        <v>544</v>
      </c>
      <c r="K547" s="35">
        <f>Tableau!$G$36*COS(J547*PI()/180)+Tableau!$G$35</f>
        <v>-9987.8202512991211</v>
      </c>
      <c r="L547" s="35">
        <f>Tableau!$G$36*SIN(J547*PI()/180)+Tableau!$H$35</f>
        <v>-15348.782368720629</v>
      </c>
      <c r="N547" s="98">
        <v>543</v>
      </c>
      <c r="O547" s="99">
        <v>271.5</v>
      </c>
      <c r="P547" s="101">
        <f>P546+R546*Tableau!$G$2+((1/2)*T546)*Tableau!$G$2^2</f>
        <v>-18366699.192195658</v>
      </c>
      <c r="Q547" s="101">
        <f>Q546+S546*Tableau!$G$2+((1/2)*U546)*Tableau!$G$2^2</f>
        <v>9014220.3573075514</v>
      </c>
      <c r="R547" s="101">
        <f>R546+T546*Tableau!$G$2</f>
        <v>-68698.152170414352</v>
      </c>
      <c r="S547" s="101">
        <f>S546+U546*Tableau!$G$2</f>
        <v>33800.703123636136</v>
      </c>
      <c r="T547" s="101">
        <f t="shared" si="16"/>
        <v>2.6299699068654848E-3</v>
      </c>
      <c r="U547" s="101">
        <f t="shared" si="17"/>
        <v>-1.2907734578662265E-3</v>
      </c>
      <c r="V547" s="101">
        <f>((Tableau!$G$16-P547)/(AC547^2+Tableau!$G$21^2)^(3/2))*Tableau!$G$20</f>
        <v>1.1217171286888883E-3</v>
      </c>
      <c r="W547" s="101">
        <f>((Tableau!$H$16-Q547)/(AC547^2+Tableau!$G$21^2)^(3/2))*Tableau!$G$20</f>
        <v>-5.4947287669725186E-4</v>
      </c>
      <c r="X547" s="101">
        <f>((Tableau!$G$25-P547)/(AD547^2+Tableau!$G$30^2)^(3/2))*Tableau!$G$29</f>
        <v>3.8600176193935858E-4</v>
      </c>
      <c r="Y547" s="101">
        <f>((Tableau!$H$25-Q547)/(AD547^2+Tableau!$G$30^2)^(3/2))*Tableau!$G$29</f>
        <v>-1.8944251968165641E-4</v>
      </c>
      <c r="Z547" s="101">
        <f>((Tableau!$G$35-P547)/(AE547^2+Tableau!$G$40^2)^(3/2))*Tableau!$G$39</f>
        <v>1.122251016237238E-3</v>
      </c>
      <c r="AA547" s="102">
        <f>((Tableau!$H$35-Q547)/(AE547^2+Tableau!$G$40^2)^(3/2))*Tableau!$G$39</f>
        <v>-5.518580614873184E-4</v>
      </c>
      <c r="AC547" s="113">
        <f>SQRT((Tableau!$G$16-P547)^2+(Tableau!$H$16-Q547)^2)</f>
        <v>20474171.99251356</v>
      </c>
      <c r="AD547" s="114">
        <f>SQRT((Tableau!$G$25-P547)^2+(Tableau!$H$25-Q547)^2)</f>
        <v>20437156.247674592</v>
      </c>
      <c r="AE547" s="115">
        <f>SQRT((Tableau!$G$35-P547)^2+(Tableau!$H$35-Q547)^2)</f>
        <v>20461642.590112258</v>
      </c>
    </row>
    <row r="548" spans="2:31" x14ac:dyDescent="0.25">
      <c r="B548" s="20">
        <v>545</v>
      </c>
      <c r="C548" s="21">
        <f>Tableau!$G$17*COS(B548*PI()/180)+Tableau!$G$16</f>
        <v>15019.026509541272</v>
      </c>
      <c r="D548" s="21">
        <f>Tableau!$G$17*SIN(B548*PI()/180)+Tableau!$H$16</f>
        <v>7064.2212862617116</v>
      </c>
      <c r="F548" s="28">
        <v>545</v>
      </c>
      <c r="G548" s="29">
        <f>Tableau!$G$26*COS(F548*PI()/180)+Tableau!$G$25</f>
        <v>-23486.681443321111</v>
      </c>
      <c r="H548" s="29">
        <f>Tableau!$G$26*SIN(F548*PI()/180)+Tableau!$H$25</f>
        <v>9694.954900383198</v>
      </c>
      <c r="J548" s="36">
        <v>545</v>
      </c>
      <c r="K548" s="37">
        <f>Tableau!$G$36*COS(J548*PI()/180)+Tableau!$G$35</f>
        <v>-9980.9734904587276</v>
      </c>
      <c r="L548" s="37">
        <f>Tableau!$G$36*SIN(J548*PI()/180)+Tableau!$H$35</f>
        <v>-15435.778713738289</v>
      </c>
      <c r="N548" s="92">
        <v>544</v>
      </c>
      <c r="O548" s="93">
        <v>272</v>
      </c>
      <c r="P548" s="96">
        <f>P547+R547*Tableau!$G$2+((1/2)*T547)*Tableau!$G$2^2</f>
        <v>-18401048.267952118</v>
      </c>
      <c r="Q548" s="96">
        <f>Q547+S547*Tableau!$G$2+((1/2)*U547)*Tableau!$G$2^2</f>
        <v>9031120.7087080237</v>
      </c>
      <c r="R548" s="96">
        <f>R547+T547*Tableau!$G$2</f>
        <v>-68698.150855429398</v>
      </c>
      <c r="S548" s="96">
        <f>S547+U547*Tableau!$G$2</f>
        <v>33800.702478249405</v>
      </c>
      <c r="T548" s="96">
        <f t="shared" si="16"/>
        <v>2.6201551325734625E-3</v>
      </c>
      <c r="U548" s="96">
        <f t="shared" si="17"/>
        <v>-1.2859624056604825E-3</v>
      </c>
      <c r="V548" s="96">
        <f>((Tableau!$G$16-P548)/(AC548^2+Tableau!$G$21^2)^(3/2))*Tableau!$G$20</f>
        <v>1.1175324225524141E-3</v>
      </c>
      <c r="W548" s="96">
        <f>((Tableau!$H$16-Q548)/(AC548^2+Tableau!$G$21^2)^(3/2))*Tableau!$G$20</f>
        <v>-5.4742751683358327E-4</v>
      </c>
      <c r="X548" s="96">
        <f>((Tableau!$G$25-P548)/(AD548^2+Tableau!$G$30^2)^(3/2))*Tableau!$G$29</f>
        <v>3.8455939559919243E-4</v>
      </c>
      <c r="Y548" s="96">
        <f>((Tableau!$H$25-Q548)/(AD548^2+Tableau!$G$30^2)^(3/2))*Tableau!$G$29</f>
        <v>-1.8873552132588051E-4</v>
      </c>
      <c r="Z548" s="96">
        <f>((Tableau!$G$35-P548)/(AE548^2+Tableau!$G$40^2)^(3/2))*Tableau!$G$39</f>
        <v>1.118063314421856E-3</v>
      </c>
      <c r="AA548" s="97">
        <f>((Tableau!$H$35-Q548)/(AE548^2+Tableau!$G$40^2)^(3/2))*Tableau!$G$39</f>
        <v>-5.4979936750101856E-4</v>
      </c>
      <c r="AC548" s="110">
        <f>SQRT((Tableau!$G$16-P548)^2+(Tableau!$H$16-Q548)^2)</f>
        <v>20512453.534008212</v>
      </c>
      <c r="AD548" s="111">
        <f>SQRT((Tableau!$G$25-P548)^2+(Tableau!$H$25-Q548)^2)</f>
        <v>20475437.828526802</v>
      </c>
      <c r="AE548" s="112">
        <f>SQRT((Tableau!$G$35-P548)^2+(Tableau!$H$35-Q548)^2)</f>
        <v>20499924.188965682</v>
      </c>
    </row>
    <row r="549" spans="2:31" x14ac:dyDescent="0.25">
      <c r="B549" s="18">
        <v>546</v>
      </c>
      <c r="C549" s="19">
        <f>Tableau!$G$17*COS(B549*PI()/180)+Tableau!$G$16</f>
        <v>15027.390523158632</v>
      </c>
      <c r="D549" s="19">
        <f>Tableau!$G$17*SIN(B549*PI()/180)+Tableau!$H$16</f>
        <v>6977.3576836617312</v>
      </c>
      <c r="F549" s="26">
        <v>546</v>
      </c>
      <c r="G549" s="27">
        <f>Tableau!$G$26*COS(F549*PI()/180)+Tableau!$G$25</f>
        <v>-23480.826633788958</v>
      </c>
      <c r="H549" s="27">
        <f>Tableau!$G$26*SIN(F549*PI()/180)+Tableau!$H$25</f>
        <v>9634.1503785632121</v>
      </c>
      <c r="J549" s="34">
        <v>546</v>
      </c>
      <c r="K549" s="35">
        <f>Tableau!$G$36*COS(J549*PI()/180)+Tableau!$G$35</f>
        <v>-9972.6094768413677</v>
      </c>
      <c r="L549" s="35">
        <f>Tableau!$G$36*SIN(J549*PI()/180)+Tableau!$H$35</f>
        <v>-15522.642316338268</v>
      </c>
      <c r="N549" s="98">
        <v>545</v>
      </c>
      <c r="O549" s="99">
        <v>272.5</v>
      </c>
      <c r="P549" s="101">
        <f>P548+R548*Tableau!$G$2+((1/2)*T548)*Tableau!$G$2^2</f>
        <v>-18435397.343052313</v>
      </c>
      <c r="Q549" s="101">
        <f>Q548+S548*Tableau!$G$2+((1/2)*U548)*Tableau!$G$2^2</f>
        <v>9048021.0597864036</v>
      </c>
      <c r="R549" s="101">
        <f>R548+T548*Tableau!$G$2</f>
        <v>-68698.149545351829</v>
      </c>
      <c r="S549" s="101">
        <f>S548+U548*Tableau!$G$2</f>
        <v>33800.701835268199</v>
      </c>
      <c r="T549" s="101">
        <f t="shared" si="16"/>
        <v>2.6103951976717697E-3</v>
      </c>
      <c r="U549" s="101">
        <f t="shared" si="17"/>
        <v>-1.2811782015629616E-3</v>
      </c>
      <c r="V549" s="101">
        <f>((Tableau!$G$16-P549)/(AC549^2+Tableau!$G$21^2)^(3/2))*Tableau!$G$20</f>
        <v>1.1133710902044753E-3</v>
      </c>
      <c r="W549" s="101">
        <f>((Tableau!$H$16-Q549)/(AC549^2+Tableau!$G$21^2)^(3/2))*Tableau!$G$20</f>
        <v>-5.4539355621839982E-4</v>
      </c>
      <c r="X549" s="101">
        <f>((Tableau!$G$25-P549)/(AD549^2+Tableau!$G$30^2)^(3/2))*Tableau!$G$29</f>
        <v>3.831250987024549E-4</v>
      </c>
      <c r="Y549" s="101">
        <f>((Tableau!$H$25-Q549)/(AD549^2+Tableau!$G$30^2)^(3/2))*Tableau!$G$29</f>
        <v>-1.8803247337543453E-4</v>
      </c>
      <c r="Z549" s="101">
        <f>((Tableau!$G$35-P549)/(AE549^2+Tableau!$G$40^2)^(3/2))*Tableau!$G$39</f>
        <v>1.1138990087648396E-3</v>
      </c>
      <c r="AA549" s="102">
        <f>((Tableau!$H$35-Q549)/(AE549^2+Tableau!$G$40^2)^(3/2))*Tableau!$G$39</f>
        <v>-5.477521719691274E-4</v>
      </c>
      <c r="AC549" s="113">
        <f>SQRT((Tableau!$G$16-P549)^2+(Tableau!$H$16-Q549)^2)</f>
        <v>20550735.074989017</v>
      </c>
      <c r="AD549" s="114">
        <f>SQRT((Tableau!$G$25-P549)^2+(Tableau!$H$25-Q549)^2)</f>
        <v>20513719.408718664</v>
      </c>
      <c r="AE549" s="115">
        <f>SQRT((Tableau!$G$35-P549)^2+(Tableau!$H$35-Q549)^2)</f>
        <v>20538205.787091568</v>
      </c>
    </row>
    <row r="550" spans="2:31" x14ac:dyDescent="0.25">
      <c r="B550" s="20">
        <v>547</v>
      </c>
      <c r="C550" s="21">
        <f>Tableau!$G$17*COS(B550*PI()/180)+Tableau!$G$16</f>
        <v>15037.26924179339</v>
      </c>
      <c r="D550" s="21">
        <f>Tableau!$G$17*SIN(B550*PI()/180)+Tableau!$H$16</f>
        <v>6890.6532829742673</v>
      </c>
      <c r="F550" s="28">
        <v>547</v>
      </c>
      <c r="G550" s="29">
        <f>Tableau!$G$26*COS(F550*PI()/180)+Tableau!$G$25</f>
        <v>-23473.911530744626</v>
      </c>
      <c r="H550" s="29">
        <f>Tableau!$G$26*SIN(F550*PI()/180)+Tableau!$H$25</f>
        <v>9573.4572980819867</v>
      </c>
      <c r="J550" s="36">
        <v>547</v>
      </c>
      <c r="K550" s="37">
        <f>Tableau!$G$36*COS(J550*PI()/180)+Tableau!$G$35</f>
        <v>-9962.7307582066096</v>
      </c>
      <c r="L550" s="37">
        <f>Tableau!$G$36*SIN(J550*PI()/180)+Tableau!$H$35</f>
        <v>-15609.346717025734</v>
      </c>
      <c r="N550" s="92">
        <v>546</v>
      </c>
      <c r="O550" s="93">
        <v>273</v>
      </c>
      <c r="P550" s="96">
        <f>P549+R549*Tableau!$G$2+((1/2)*T549)*Tableau!$G$2^2</f>
        <v>-18469746.417498689</v>
      </c>
      <c r="Q550" s="96">
        <f>Q549+S549*Tableau!$G$2+((1/2)*U549)*Tableau!$G$2^2</f>
        <v>9064921.4105438907</v>
      </c>
      <c r="R550" s="96">
        <f>R549+T549*Tableau!$G$2</f>
        <v>-68698.148240154231</v>
      </c>
      <c r="S550" s="96">
        <f>S549+U549*Tableau!$G$2</f>
        <v>33800.701194679095</v>
      </c>
      <c r="T550" s="96">
        <f t="shared" si="16"/>
        <v>2.6006896943706792E-3</v>
      </c>
      <c r="U550" s="96">
        <f t="shared" si="17"/>
        <v>-1.2764206461762689E-3</v>
      </c>
      <c r="V550" s="96">
        <f>((Tableau!$G$16-P550)/(AC550^2+Tableau!$G$21^2)^(3/2))*Tableau!$G$20</f>
        <v>1.1092329578952609E-3</v>
      </c>
      <c r="W550" s="96">
        <f>((Tableau!$H$16-Q550)/(AC550^2+Tableau!$G$21^2)^(3/2))*Tableau!$G$20</f>
        <v>-5.4337091030157061E-4</v>
      </c>
      <c r="X550" s="96">
        <f>((Tableau!$G$25-P550)/(AD550^2+Tableau!$G$30^2)^(3/2))*Tableau!$G$29</f>
        <v>3.816988111674902E-4</v>
      </c>
      <c r="Y550" s="96">
        <f>((Tableau!$H$25-Q550)/(AD550^2+Tableau!$G$30^2)^(3/2))*Tableau!$G$29</f>
        <v>-1.8733334645410459E-4</v>
      </c>
      <c r="Z550" s="96">
        <f>((Tableau!$G$35-P550)/(AE550^2+Tableau!$G$40^2)^(3/2))*Tableau!$G$39</f>
        <v>1.1097579253079282E-3</v>
      </c>
      <c r="AA550" s="97">
        <f>((Tableau!$H$35-Q550)/(AE550^2+Tableau!$G$40^2)^(3/2))*Tableau!$G$39</f>
        <v>-5.4571638942059366E-4</v>
      </c>
      <c r="AC550" s="110">
        <f>SQRT((Tableau!$G$16-P550)^2+(Tableau!$H$16-Q550)^2)</f>
        <v>20589016.615457486</v>
      </c>
      <c r="AD550" s="111">
        <f>SQRT((Tableau!$G$25-P550)^2+(Tableau!$H$25-Q550)^2)</f>
        <v>20552000.988252502</v>
      </c>
      <c r="AE550" s="112">
        <f>SQRT((Tableau!$G$35-P550)^2+(Tableau!$H$35-Q550)^2)</f>
        <v>20576487.384492625</v>
      </c>
    </row>
    <row r="551" spans="2:31" x14ac:dyDescent="0.25">
      <c r="B551" s="18">
        <v>548</v>
      </c>
      <c r="C551" s="19">
        <f>Tableau!$G$17*COS(B551*PI()/180)+Tableau!$G$16</f>
        <v>15048.659656292148</v>
      </c>
      <c r="D551" s="19">
        <f>Tableau!$G$17*SIN(B551*PI()/180)+Tableau!$H$16</f>
        <v>6804.1344951996734</v>
      </c>
      <c r="F551" s="26">
        <v>548</v>
      </c>
      <c r="G551" s="27">
        <f>Tableau!$G$26*COS(F551*PI()/180)+Tableau!$G$25</f>
        <v>-23465.938240595497</v>
      </c>
      <c r="H551" s="27">
        <f>Tableau!$G$26*SIN(F551*PI()/180)+Tableau!$H$25</f>
        <v>9512.8941466397719</v>
      </c>
      <c r="J551" s="34">
        <v>548</v>
      </c>
      <c r="K551" s="35">
        <f>Tableau!$G$36*COS(J551*PI()/180)+Tableau!$G$35</f>
        <v>-9951.3403437078523</v>
      </c>
      <c r="L551" s="35">
        <f>Tableau!$G$36*SIN(J551*PI()/180)+Tableau!$H$35</f>
        <v>-15695.865504800326</v>
      </c>
      <c r="N551" s="98">
        <v>547</v>
      </c>
      <c r="O551" s="99">
        <v>273.5</v>
      </c>
      <c r="P551" s="101">
        <f>P550+R550*Tableau!$G$2+((1/2)*T550)*Tableau!$G$2^2</f>
        <v>-18504095.49129368</v>
      </c>
      <c r="Q551" s="101">
        <f>Q550+S550*Tableau!$G$2+((1/2)*U550)*Tableau!$G$2^2</f>
        <v>9081821.7609816771</v>
      </c>
      <c r="R551" s="101">
        <f>R550+T550*Tableau!$G$2</f>
        <v>-68698.14693980939</v>
      </c>
      <c r="S551" s="101">
        <f>S550+U550*Tableau!$G$2</f>
        <v>33800.700556468772</v>
      </c>
      <c r="T551" s="101">
        <f t="shared" si="16"/>
        <v>2.5910382186638274E-3</v>
      </c>
      <c r="U551" s="101">
        <f t="shared" si="17"/>
        <v>-1.2716895419506765E-3</v>
      </c>
      <c r="V551" s="101">
        <f>((Tableau!$G$16-P551)/(AC551^2+Tableau!$G$21^2)^(3/2))*Tableau!$G$20</f>
        <v>1.1051178534863672E-3</v>
      </c>
      <c r="W551" s="101">
        <f>((Tableau!$H$16-Q551)/(AC551^2+Tableau!$G$21^2)^(3/2))*Tableau!$G$20</f>
        <v>-5.4135949531538261E-4</v>
      </c>
      <c r="X551" s="101">
        <f>((Tableau!$G$25-P551)/(AD551^2+Tableau!$G$30^2)^(3/2))*Tableau!$G$29</f>
        <v>3.8028047347077803E-4</v>
      </c>
      <c r="Y551" s="101">
        <f>((Tableau!$H$25-Q551)/(AD551^2+Tableau!$G$30^2)^(3/2))*Tableau!$G$29</f>
        <v>-1.8663811145822905E-4</v>
      </c>
      <c r="Z551" s="101">
        <f>((Tableau!$G$35-P551)/(AE551^2+Tableau!$G$40^2)^(3/2))*Tableau!$G$39</f>
        <v>1.1056398917066823E-3</v>
      </c>
      <c r="AA551" s="102">
        <f>((Tableau!$H$35-Q551)/(AE551^2+Tableau!$G$40^2)^(3/2))*Tableau!$G$39</f>
        <v>-5.436919351770647E-4</v>
      </c>
      <c r="AC551" s="113">
        <f>SQRT((Tableau!$G$16-P551)^2+(Tableau!$H$16-Q551)^2)</f>
        <v>20627298.155415129</v>
      </c>
      <c r="AD551" s="114">
        <f>SQRT((Tableau!$G$25-P551)^2+(Tableau!$H$25-Q551)^2)</f>
        <v>20590282.567130644</v>
      </c>
      <c r="AE551" s="115">
        <f>SQRT((Tableau!$G$35-P551)^2+(Tableau!$H$35-Q551)^2)</f>
        <v>20614768.981171533</v>
      </c>
    </row>
    <row r="552" spans="2:31" x14ac:dyDescent="0.25">
      <c r="B552" s="20">
        <v>549</v>
      </c>
      <c r="C552" s="21">
        <f>Tableau!$G$17*COS(B552*PI()/180)+Tableau!$G$16</f>
        <v>15061.55829702431</v>
      </c>
      <c r="D552" s="21">
        <f>Tableau!$G$17*SIN(B552*PI()/180)+Tableau!$H$16</f>
        <v>6717.8276747988521</v>
      </c>
      <c r="F552" s="28">
        <v>549</v>
      </c>
      <c r="G552" s="29">
        <f>Tableau!$G$26*COS(F552*PI()/180)+Tableau!$G$25</f>
        <v>-23456.909192082981</v>
      </c>
      <c r="H552" s="29">
        <f>Tableau!$G$26*SIN(F552*PI()/180)+Tableau!$H$25</f>
        <v>9452.4793723591956</v>
      </c>
      <c r="J552" s="36">
        <v>549</v>
      </c>
      <c r="K552" s="37">
        <f>Tableau!$G$36*COS(J552*PI()/180)+Tableau!$G$35</f>
        <v>-9938.4417029756896</v>
      </c>
      <c r="L552" s="37">
        <f>Tableau!$G$36*SIN(J552*PI()/180)+Tableau!$H$35</f>
        <v>-15782.172325201149</v>
      </c>
      <c r="N552" s="92">
        <v>548</v>
      </c>
      <c r="O552" s="93">
        <v>274</v>
      </c>
      <c r="P552" s="96">
        <f>P551+R551*Tableau!$G$2+((1/2)*T551)*Tableau!$G$2^2</f>
        <v>-18538444.564439703</v>
      </c>
      <c r="Q552" s="96">
        <f>Q551+S551*Tableau!$G$2+((1/2)*U551)*Tableau!$G$2^2</f>
        <v>9098722.1111009493</v>
      </c>
      <c r="R552" s="96">
        <f>R551+T551*Tableau!$G$2</f>
        <v>-68698.145644290285</v>
      </c>
      <c r="S552" s="96">
        <f>S551+U551*Tableau!$G$2</f>
        <v>33800.699920624</v>
      </c>
      <c r="T552" s="96">
        <f t="shared" si="16"/>
        <v>2.5814403702862886E-3</v>
      </c>
      <c r="U552" s="96">
        <f t="shared" si="17"/>
        <v>-1.2669846931636776E-3</v>
      </c>
      <c r="V552" s="96">
        <f>((Tableau!$G$16-P552)/(AC552^2+Tableau!$G$21^2)^(3/2))*Tableau!$G$20</f>
        <v>1.1010256064330501E-3</v>
      </c>
      <c r="W552" s="96">
        <f>((Tableau!$H$16-Q552)/(AC552^2+Tableau!$G$21^2)^(3/2))*Tableau!$G$20</f>
        <v>-5.3935922826594271E-4</v>
      </c>
      <c r="X552" s="96">
        <f>((Tableau!$G$25-P552)/(AD552^2+Tableau!$G$30^2)^(3/2))*Tableau!$G$29</f>
        <v>3.7887002664072962E-4</v>
      </c>
      <c r="Y552" s="96">
        <f>((Tableau!$H$25-Q552)/(AD552^2+Tableau!$G$30^2)^(3/2))*Tableau!$G$29</f>
        <v>-1.859467395536732E-4</v>
      </c>
      <c r="Z552" s="96">
        <f>((Tableau!$G$35-P552)/(AE552^2+Tableau!$G$40^2)^(3/2))*Tableau!$G$39</f>
        <v>1.101544737212509E-3</v>
      </c>
      <c r="AA552" s="97">
        <f>((Tableau!$H$35-Q552)/(AE552^2+Tableau!$G$40^2)^(3/2))*Tableau!$G$39</f>
        <v>-5.416787253440617E-4</v>
      </c>
      <c r="AC552" s="110">
        <f>SQRT((Tableau!$G$16-P552)^2+(Tableau!$H$16-Q552)^2)</f>
        <v>20665579.694863446</v>
      </c>
      <c r="AD552" s="111">
        <f>SQRT((Tableau!$G$25-P552)^2+(Tableau!$H$25-Q552)^2)</f>
        <v>20628564.145355385</v>
      </c>
      <c r="AE552" s="112">
        <f>SQRT((Tableau!$G$35-P552)^2+(Tableau!$H$35-Q552)^2)</f>
        <v>20653050.57713097</v>
      </c>
    </row>
    <row r="553" spans="2:31" x14ac:dyDescent="0.25">
      <c r="B553" s="18">
        <v>550</v>
      </c>
      <c r="C553" s="19">
        <f>Tableau!$G$17*COS(B553*PI()/180)+Tableau!$G$16</f>
        <v>15075.961234938959</v>
      </c>
      <c r="D553" s="19">
        <f>Tableau!$G$17*SIN(B553*PI()/180)+Tableau!$H$16</f>
        <v>6631.7591116653512</v>
      </c>
      <c r="F553" s="26">
        <v>550</v>
      </c>
      <c r="G553" s="27">
        <f>Tableau!$G$26*COS(F553*PI()/180)+Tableau!$G$25</f>
        <v>-23446.827135542728</v>
      </c>
      <c r="H553" s="27">
        <f>Tableau!$G$26*SIN(F553*PI()/180)+Tableau!$H$25</f>
        <v>9392.2313781657467</v>
      </c>
      <c r="J553" s="34">
        <v>550</v>
      </c>
      <c r="K553" s="35">
        <f>Tableau!$G$36*COS(J553*PI()/180)+Tableau!$G$35</f>
        <v>-9924.038765061041</v>
      </c>
      <c r="L553" s="35">
        <f>Tableau!$G$36*SIN(J553*PI()/180)+Tableau!$H$35</f>
        <v>-15868.240888334649</v>
      </c>
      <c r="N553" s="98">
        <v>549</v>
      </c>
      <c r="O553" s="99">
        <v>274.5</v>
      </c>
      <c r="P553" s="101">
        <f>P552+R552*Tableau!$G$2+((1/2)*T552)*Tableau!$G$2^2</f>
        <v>-18572793.636939168</v>
      </c>
      <c r="Q553" s="101">
        <f>Q552+S552*Tableau!$G$2+((1/2)*U552)*Tableau!$G$2^2</f>
        <v>9115622.4609028883</v>
      </c>
      <c r="R553" s="101">
        <f>R552+T552*Tableau!$G$2</f>
        <v>-68698.144353570096</v>
      </c>
      <c r="S553" s="101">
        <f>S552+U552*Tableau!$G$2</f>
        <v>33800.699287131654</v>
      </c>
      <c r="T553" s="101">
        <f t="shared" si="16"/>
        <v>2.5718957526729719E-3</v>
      </c>
      <c r="U553" s="101">
        <f t="shared" si="17"/>
        <v>-1.2623059058996914E-3</v>
      </c>
      <c r="V553" s="101">
        <f>((Tableau!$G$16-P553)/(AC553^2+Tableau!$G$21^2)^(3/2))*Tableau!$G$20</f>
        <v>1.0969560477663975E-3</v>
      </c>
      <c r="W553" s="101">
        <f>((Tableau!$H$16-Q553)/(AC553^2+Tableau!$G$21^2)^(3/2))*Tableau!$G$20</f>
        <v>-5.3737002692453835E-4</v>
      </c>
      <c r="X553" s="101">
        <f>((Tableau!$G$25-P553)/(AD553^2+Tableau!$G$30^2)^(3/2))*Tableau!$G$29</f>
        <v>3.7746741225155845E-4</v>
      </c>
      <c r="Y553" s="101">
        <f>((Tableau!$H$25-Q553)/(AD553^2+Tableau!$G$30^2)^(3/2))*Tableau!$G$29</f>
        <v>-1.8525920217283935E-4</v>
      </c>
      <c r="Z553" s="101">
        <f>((Tableau!$G$35-P553)/(AE553^2+Tableau!$G$40^2)^(3/2))*Tableau!$G$39</f>
        <v>1.0974722926550158E-3</v>
      </c>
      <c r="AA553" s="102">
        <f>((Tableau!$H$35-Q553)/(AE553^2+Tableau!$G$40^2)^(3/2))*Tableau!$G$39</f>
        <v>-5.3967667680231374E-4</v>
      </c>
      <c r="AC553" s="113">
        <f>SQRT((Tableau!$G$16-P553)^2+(Tableau!$H$16-Q553)^2)</f>
        <v>20703861.233803932</v>
      </c>
      <c r="AD553" s="114">
        <f>SQRT((Tableau!$G$25-P553)^2+(Tableau!$H$25-Q553)^2)</f>
        <v>20666845.722929023</v>
      </c>
      <c r="AE553" s="115">
        <f>SQRT((Tableau!$G$35-P553)^2+(Tableau!$H$35-Q553)^2)</f>
        <v>20691332.172373604</v>
      </c>
    </row>
    <row r="554" spans="2:31" x14ac:dyDescent="0.25">
      <c r="B554" s="20">
        <v>551</v>
      </c>
      <c r="C554" s="21">
        <f>Tableau!$G$17*COS(B554*PI()/180)+Tableau!$G$16</f>
        <v>15091.864082761678</v>
      </c>
      <c r="D554" s="21">
        <f>Tableau!$G$17*SIN(B554*PI()/180)+Tableau!$H$16</f>
        <v>6545.9550231172843</v>
      </c>
      <c r="F554" s="28">
        <v>551</v>
      </c>
      <c r="G554" s="29">
        <f>Tableau!$G$26*COS(F554*PI()/180)+Tableau!$G$25</f>
        <v>-23435.695142066827</v>
      </c>
      <c r="H554" s="29">
        <f>Tableau!$G$26*SIN(F554*PI()/180)+Tableau!$H$25</f>
        <v>9332.1685161820988</v>
      </c>
      <c r="J554" s="36">
        <v>551</v>
      </c>
      <c r="K554" s="37">
        <f>Tableau!$G$36*COS(J554*PI()/180)+Tableau!$G$35</f>
        <v>-9908.1359172383218</v>
      </c>
      <c r="L554" s="37">
        <f>Tableau!$G$36*SIN(J554*PI()/180)+Tableau!$H$35</f>
        <v>-15954.044976882717</v>
      </c>
      <c r="N554" s="92">
        <v>550</v>
      </c>
      <c r="O554" s="93">
        <v>275</v>
      </c>
      <c r="P554" s="96">
        <f>P553+R553*Tableau!$G$2+((1/2)*T553)*Tableau!$G$2^2</f>
        <v>-18607142.708794463</v>
      </c>
      <c r="Q554" s="96">
        <f>Q553+S553*Tableau!$G$2+((1/2)*U553)*Tableau!$G$2^2</f>
        <v>9132522.8103886656</v>
      </c>
      <c r="R554" s="96">
        <f>R553+T553*Tableau!$G$2</f>
        <v>-68698.143067622223</v>
      </c>
      <c r="S554" s="96">
        <f>S553+U553*Tableau!$G$2</f>
        <v>33800.698655978704</v>
      </c>
      <c r="T554" s="96">
        <f t="shared" si="16"/>
        <v>2.5624039729176956E-3</v>
      </c>
      <c r="U554" s="96">
        <f t="shared" si="17"/>
        <v>-1.257652988030101E-3</v>
      </c>
      <c r="V554" s="96">
        <f>((Tableau!$G$16-P554)/(AC554^2+Tableau!$G$21^2)^(3/2))*Tableau!$G$20</f>
        <v>1.0929090100759973E-3</v>
      </c>
      <c r="W554" s="96">
        <f>((Tableau!$H$16-Q554)/(AC554^2+Tableau!$G$21^2)^(3/2))*Tableau!$G$20</f>
        <v>-5.3539180981924223E-4</v>
      </c>
      <c r="X554" s="96">
        <f>((Tableau!$G$25-P554)/(AD554^2+Tableau!$G$30^2)^(3/2))*Tableau!$G$29</f>
        <v>3.7607257241722134E-4</v>
      </c>
      <c r="Y554" s="96">
        <f>((Tableau!$H$25-Q554)/(AD554^2+Tableau!$G$30^2)^(3/2))*Tableau!$G$29</f>
        <v>-1.8457547101171195E-4</v>
      </c>
      <c r="Z554" s="96">
        <f>((Tableau!$G$35-P554)/(AE554^2+Tableau!$G$40^2)^(3/2))*Tableau!$G$39</f>
        <v>1.093422390424477E-3</v>
      </c>
      <c r="AA554" s="97">
        <f>((Tableau!$H$35-Q554)/(AE554^2+Tableau!$G$40^2)^(3/2))*Tableau!$G$39</f>
        <v>-5.3768570719914678E-4</v>
      </c>
      <c r="AC554" s="110">
        <f>SQRT((Tableau!$G$16-P554)^2+(Tableau!$H$16-Q554)^2)</f>
        <v>20742142.772238076</v>
      </c>
      <c r="AD554" s="111">
        <f>SQRT((Tableau!$G$25-P554)^2+(Tableau!$H$25-Q554)^2)</f>
        <v>20705127.299853839</v>
      </c>
      <c r="AE554" s="112">
        <f>SQRT((Tableau!$G$35-P554)^2+(Tableau!$H$35-Q554)^2)</f>
        <v>20729613.766902074</v>
      </c>
    </row>
    <row r="555" spans="2:31" x14ac:dyDescent="0.25">
      <c r="B555" s="18">
        <v>552</v>
      </c>
      <c r="C555" s="19">
        <f>Tableau!$G$17*COS(B555*PI()/180)+Tableau!$G$16</f>
        <v>15109.26199633097</v>
      </c>
      <c r="D555" s="19">
        <f>Tableau!$G$17*SIN(B555*PI()/180)+Tableau!$H$16</f>
        <v>6460.4415459112079</v>
      </c>
      <c r="F555" s="26">
        <v>552</v>
      </c>
      <c r="G555" s="27">
        <f>Tableau!$G$26*COS(F555*PI()/180)+Tableau!$G$25</f>
        <v>-23423.516602568321</v>
      </c>
      <c r="H555" s="27">
        <f>Tableau!$G$26*SIN(F555*PI()/180)+Tableau!$H$25</f>
        <v>9272.3090821378464</v>
      </c>
      <c r="J555" s="34">
        <v>552</v>
      </c>
      <c r="K555" s="35">
        <f>Tableau!$G$36*COS(J555*PI()/180)+Tableau!$G$35</f>
        <v>-9890.7380036690301</v>
      </c>
      <c r="L555" s="35">
        <f>Tableau!$G$36*SIN(J555*PI()/180)+Tableau!$H$35</f>
        <v>-16039.558454088792</v>
      </c>
      <c r="N555" s="98">
        <v>551</v>
      </c>
      <c r="O555" s="99">
        <v>275.5</v>
      </c>
      <c r="P555" s="101">
        <f>P554+R554*Tableau!$G$2+((1/2)*T554)*Tableau!$G$2^2</f>
        <v>-18641491.780007973</v>
      </c>
      <c r="Q555" s="101">
        <f>Q554+S554*Tableau!$G$2+((1/2)*U554)*Tableau!$G$2^2</f>
        <v>9149423.1595594473</v>
      </c>
      <c r="R555" s="101">
        <f>R554+T554*Tableau!$G$2</f>
        <v>-68698.141786420238</v>
      </c>
      <c r="S555" s="101">
        <f>S554+U554*Tableau!$G$2</f>
        <v>33800.698027152212</v>
      </c>
      <c r="T555" s="101">
        <f t="shared" si="16"/>
        <v>2.5529646417327403E-3</v>
      </c>
      <c r="U555" s="101">
        <f t="shared" si="17"/>
        <v>-1.2530257491935235E-3</v>
      </c>
      <c r="V555" s="101">
        <f>((Tableau!$G$16-P555)/(AC555^2+Tableau!$G$21^2)^(3/2))*Tableau!$G$20</f>
        <v>1.088884327492658E-3</v>
      </c>
      <c r="W555" s="101">
        <f>((Tableau!$H$16-Q555)/(AC555^2+Tableau!$G$21^2)^(3/2))*Tableau!$G$20</f>
        <v>-5.334244962265386E-4</v>
      </c>
      <c r="X555" s="101">
        <f>((Tableau!$G$25-P555)/(AD555^2+Tableau!$G$30^2)^(3/2))*Tableau!$G$29</f>
        <v>3.7468544978545431E-4</v>
      </c>
      <c r="Y555" s="101">
        <f>((Tableau!$H$25-Q555)/(AD555^2+Tableau!$G$30^2)^(3/2))*Tableau!$G$29</f>
        <v>-1.8389551802694851E-4</v>
      </c>
      <c r="Z555" s="101">
        <f>((Tableau!$G$35-P555)/(AE555^2+Tableau!$G$40^2)^(3/2))*Tableau!$G$39</f>
        <v>1.0893948644546281E-3</v>
      </c>
      <c r="AA555" s="102">
        <f>((Tableau!$H$35-Q555)/(AE555^2+Tableau!$G$40^2)^(3/2))*Tableau!$G$39</f>
        <v>-5.3570573494003638E-4</v>
      </c>
      <c r="AC555" s="113">
        <f>SQRT((Tableau!$G$16-P555)^2+(Tableau!$H$16-Q555)^2)</f>
        <v>20780424.310167357</v>
      </c>
      <c r="AD555" s="114">
        <f>SQRT((Tableau!$G$25-P555)^2+(Tableau!$H$25-Q555)^2)</f>
        <v>20743408.876132105</v>
      </c>
      <c r="AE555" s="115">
        <f>SQRT((Tableau!$G$35-P555)^2+(Tableau!$H$35-Q555)^2)</f>
        <v>20767895.360719014</v>
      </c>
    </row>
    <row r="556" spans="2:31" x14ac:dyDescent="0.25">
      <c r="B556" s="20">
        <v>553</v>
      </c>
      <c r="C556" s="21">
        <f>Tableau!$G$17*COS(B556*PI()/180)+Tableau!$G$16</f>
        <v>15128.149676073823</v>
      </c>
      <c r="D556" s="21">
        <f>Tableau!$G$17*SIN(B556*PI()/180)+Tableau!$H$16</f>
        <v>6375.2447282806761</v>
      </c>
      <c r="F556" s="28">
        <v>553</v>
      </c>
      <c r="G556" s="29">
        <f>Tableau!$G$26*COS(F556*PI()/180)+Tableau!$G$25</f>
        <v>-23410.295226748323</v>
      </c>
      <c r="H556" s="29">
        <f>Tableau!$G$26*SIN(F556*PI()/180)+Tableau!$H$25</f>
        <v>9212.671309796473</v>
      </c>
      <c r="J556" s="36">
        <v>553</v>
      </c>
      <c r="K556" s="37">
        <f>Tableau!$G$36*COS(J556*PI()/180)+Tableau!$G$35</f>
        <v>-9871.8503239261772</v>
      </c>
      <c r="L556" s="37">
        <f>Tableau!$G$36*SIN(J556*PI()/180)+Tableau!$H$35</f>
        <v>-16124.755271719323</v>
      </c>
      <c r="N556" s="92">
        <v>552</v>
      </c>
      <c r="O556" s="93">
        <v>276</v>
      </c>
      <c r="P556" s="96">
        <f>P555+R555*Tableau!$G$2+((1/2)*T555)*Tableau!$G$2^2</f>
        <v>-18675840.850582063</v>
      </c>
      <c r="Q556" s="96">
        <f>Q555+S555*Tableau!$G$2+((1/2)*U555)*Tableau!$G$2^2</f>
        <v>9166323.5084163956</v>
      </c>
      <c r="R556" s="96">
        <f>R555+T555*Tableau!$G$2</f>
        <v>-68698.140509937919</v>
      </c>
      <c r="S556" s="96">
        <f>S555+U555*Tableau!$G$2</f>
        <v>33800.697400639336</v>
      </c>
      <c r="T556" s="96">
        <f t="shared" si="16"/>
        <v>2.5435773734089322E-3</v>
      </c>
      <c r="U556" s="96">
        <f t="shared" si="17"/>
        <v>-1.2484240007763394E-3</v>
      </c>
      <c r="V556" s="96">
        <f>((Tableau!$G$16-P556)/(AC556^2+Tableau!$G$21^2)^(3/2))*Tableau!$G$20</f>
        <v>1.084881835671429E-3</v>
      </c>
      <c r="W556" s="96">
        <f>((Tableau!$H$16-Q556)/(AC556^2+Tableau!$G$21^2)^(3/2))*Tableau!$G$20</f>
        <v>-5.3146800616309629E-4</v>
      </c>
      <c r="X556" s="96">
        <f>((Tableau!$G$25-P556)/(AD556^2+Tableau!$G$30^2)^(3/2))*Tableau!$G$29</f>
        <v>3.7330598753187663E-4</v>
      </c>
      <c r="Y556" s="96">
        <f>((Tableau!$H$25-Q556)/(AD556^2+Tableau!$G$30^2)^(3/2))*Tableau!$G$29</f>
        <v>-1.8321931543300416E-4</v>
      </c>
      <c r="Z556" s="96">
        <f>((Tableau!$G$35-P556)/(AE556^2+Tableau!$G$40^2)^(3/2))*Tableau!$G$39</f>
        <v>1.0853895502056267E-3</v>
      </c>
      <c r="AA556" s="97">
        <f>((Tableau!$H$35-Q556)/(AE556^2+Tableau!$G$40^2)^(3/2))*Tableau!$G$39</f>
        <v>-5.33736679180239E-4</v>
      </c>
      <c r="AC556" s="110">
        <f>SQRT((Tableau!$G$16-P556)^2+(Tableau!$H$16-Q556)^2)</f>
        <v>20818705.847593263</v>
      </c>
      <c r="AD556" s="111">
        <f>SQRT((Tableau!$G$25-P556)^2+(Tableau!$H$25-Q556)^2)</f>
        <v>20781690.451766074</v>
      </c>
      <c r="AE556" s="112">
        <f>SQRT((Tableau!$G$35-P556)^2+(Tableau!$H$35-Q556)^2)</f>
        <v>20806176.953827042</v>
      </c>
    </row>
    <row r="557" spans="2:31" x14ac:dyDescent="0.25">
      <c r="B557" s="18">
        <v>554</v>
      </c>
      <c r="C557" s="19">
        <f>Tableau!$G$17*COS(B557*PI()/180)+Tableau!$G$16</f>
        <v>15148.521368620019</v>
      </c>
      <c r="D557" s="19">
        <f>Tableau!$G$17*SIN(B557*PI()/180)+Tableau!$H$16</f>
        <v>6290.3905220016595</v>
      </c>
      <c r="F557" s="26">
        <v>554</v>
      </c>
      <c r="G557" s="27">
        <f>Tableau!$G$26*COS(F557*PI()/180)+Tableau!$G$25</f>
        <v>-23396.035041965988</v>
      </c>
      <c r="H557" s="27">
        <f>Tableau!$G$26*SIN(F557*PI()/180)+Tableau!$H$25</f>
        <v>9153.2733654011608</v>
      </c>
      <c r="J557" s="34">
        <v>554</v>
      </c>
      <c r="K557" s="35">
        <f>Tableau!$G$36*COS(J557*PI()/180)+Tableau!$G$35</f>
        <v>-9851.4786313799814</v>
      </c>
      <c r="L557" s="35">
        <f>Tableau!$G$36*SIN(J557*PI()/180)+Tableau!$H$35</f>
        <v>-16209.60947799834</v>
      </c>
      <c r="N557" s="98">
        <v>553</v>
      </c>
      <c r="O557" s="99">
        <v>276.5</v>
      </c>
      <c r="P557" s="101">
        <f>P556+R556*Tableau!$G$2+((1/2)*T556)*Tableau!$G$2^2</f>
        <v>-18710189.920519087</v>
      </c>
      <c r="Q557" s="101">
        <f>Q556+S556*Tableau!$G$2+((1/2)*U556)*Tableau!$G$2^2</f>
        <v>9183223.8569606636</v>
      </c>
      <c r="R557" s="101">
        <f>R556+T556*Tableau!$G$2</f>
        <v>-68698.139238149233</v>
      </c>
      <c r="S557" s="101">
        <f>S556+U556*Tableau!$G$2</f>
        <v>33800.696776427336</v>
      </c>
      <c r="T557" s="101">
        <f t="shared" si="16"/>
        <v>2.5342417857763082E-3</v>
      </c>
      <c r="U557" s="101">
        <f t="shared" si="17"/>
        <v>-1.243847555893505E-3</v>
      </c>
      <c r="V557" s="101">
        <f>((Tableau!$G$16-P557)/(AC557^2+Tableau!$G$21^2)^(3/2))*Tableau!$G$20</f>
        <v>1.0809013717748759E-3</v>
      </c>
      <c r="W557" s="101">
        <f>((Tableau!$H$16-Q557)/(AC557^2+Tableau!$G$21^2)^(3/2))*Tableau!$G$20</f>
        <v>-5.2952226037766576E-4</v>
      </c>
      <c r="X557" s="101">
        <f>((Tableau!$G$25-P557)/(AD557^2+Tableau!$G$30^2)^(3/2))*Tableau!$G$29</f>
        <v>3.7193412935416571E-4</v>
      </c>
      <c r="Y557" s="101">
        <f>((Tableau!$H$25-Q557)/(AD557^2+Tableau!$G$30^2)^(3/2))*Tableau!$G$29</f>
        <v>-1.8254683569929011E-4</v>
      </c>
      <c r="Z557" s="101">
        <f>((Tableau!$G$35-P557)/(AE557^2+Tableau!$G$40^2)^(3/2))*Tableau!$G$39</f>
        <v>1.0814062846472665E-3</v>
      </c>
      <c r="AA557" s="102">
        <f>((Tableau!$H$35-Q557)/(AE557^2+Tableau!$G$40^2)^(3/2))*Tableau!$G$39</f>
        <v>-5.3177845981654921E-4</v>
      </c>
      <c r="AC557" s="113">
        <f>SQRT((Tableau!$G$16-P557)^2+(Tableau!$H$16-Q557)^2)</f>
        <v>20856987.384517252</v>
      </c>
      <c r="AD557" s="114">
        <f>SQRT((Tableau!$G$25-P557)^2+(Tableau!$H$25-Q557)^2)</f>
        <v>20819972.026758</v>
      </c>
      <c r="AE557" s="115">
        <f>SQRT((Tableau!$G$35-P557)^2+(Tableau!$H$35-Q557)^2)</f>
        <v>20844458.546228759</v>
      </c>
    </row>
    <row r="558" spans="2:31" x14ac:dyDescent="0.25">
      <c r="B558" s="20">
        <v>555</v>
      </c>
      <c r="C558" s="21">
        <f>Tableau!$G$17*COS(B558*PI()/180)+Tableau!$G$16</f>
        <v>15170.370868554659</v>
      </c>
      <c r="D558" s="21">
        <f>Tableau!$G$17*SIN(B558*PI()/180)+Tableau!$H$16</f>
        <v>6205.9047744873906</v>
      </c>
      <c r="F558" s="28">
        <v>555</v>
      </c>
      <c r="G558" s="29">
        <f>Tableau!$G$26*COS(F558*PI()/180)+Tableau!$G$25</f>
        <v>-23380.740392011739</v>
      </c>
      <c r="H558" s="29">
        <f>Tableau!$G$26*SIN(F558*PI()/180)+Tableau!$H$25</f>
        <v>9094.1333421411728</v>
      </c>
      <c r="J558" s="36">
        <v>555</v>
      </c>
      <c r="K558" s="37">
        <f>Tableau!$G$36*COS(J558*PI()/180)+Tableau!$G$35</f>
        <v>-9829.629131445341</v>
      </c>
      <c r="L558" s="37">
        <f>Tableau!$G$36*SIN(J558*PI()/180)+Tableau!$H$35</f>
        <v>-16294.095225512609</v>
      </c>
      <c r="N558" s="92">
        <v>554</v>
      </c>
      <c r="O558" s="93">
        <v>277</v>
      </c>
      <c r="P558" s="96">
        <f>P557+R557*Tableau!$G$2+((1/2)*T557)*Tableau!$G$2^2</f>
        <v>-18744538.989821382</v>
      </c>
      <c r="Q558" s="96">
        <f>Q557+S557*Tableau!$G$2+((1/2)*U557)*Tableau!$G$2^2</f>
        <v>9200124.2051933967</v>
      </c>
      <c r="R558" s="96">
        <f>R557+T557*Tableau!$G$2</f>
        <v>-68698.137971028336</v>
      </c>
      <c r="S558" s="96">
        <f>S557+U557*Tableau!$G$2</f>
        <v>33800.696154503559</v>
      </c>
      <c r="T558" s="96">
        <f t="shared" si="16"/>
        <v>2.5249575001650465E-3</v>
      </c>
      <c r="U558" s="96">
        <f t="shared" si="17"/>
        <v>-1.2392962293694932E-3</v>
      </c>
      <c r="V558" s="96">
        <f>((Tableau!$G$16-P558)/(AC558^2+Tableau!$G$21^2)^(3/2))*Tableau!$G$20</f>
        <v>1.0769427744564033E-3</v>
      </c>
      <c r="W558" s="96">
        <f>((Tableau!$H$16-Q558)/(AC558^2+Tableau!$G$21^2)^(3/2))*Tableau!$G$20</f>
        <v>-5.2758718034299568E-4</v>
      </c>
      <c r="X558" s="96">
        <f>((Tableau!$G$25-P558)/(AD558^2+Tableau!$G$30^2)^(3/2))*Tableau!$G$29</f>
        <v>3.7056981946631437E-4</v>
      </c>
      <c r="Y558" s="96">
        <f>((Tableau!$H$25-Q558)/(AD558^2+Tableau!$G$30^2)^(3/2))*Tableau!$G$29</f>
        <v>-1.8187805154737269E-4</v>
      </c>
      <c r="Z558" s="96">
        <f>((Tableau!$G$35-P558)/(AE558^2+Tableau!$G$40^2)^(3/2))*Tableau!$G$39</f>
        <v>1.0774449062423289E-3</v>
      </c>
      <c r="AA558" s="97">
        <f>((Tableau!$H$35-Q558)/(AE558^2+Tableau!$G$40^2)^(3/2))*Tableau!$G$39</f>
        <v>-5.2983099747912481E-4</v>
      </c>
      <c r="AC558" s="110">
        <f>SQRT((Tableau!$G$16-P558)^2+(Tableau!$H$16-Q558)^2)</f>
        <v>20895268.920940798</v>
      </c>
      <c r="AD558" s="111">
        <f>SQRT((Tableau!$G$25-P558)^2+(Tableau!$H$25-Q558)^2)</f>
        <v>20858253.601110104</v>
      </c>
      <c r="AE558" s="112">
        <f>SQRT((Tableau!$G$35-P558)^2+(Tableau!$H$35-Q558)^2)</f>
        <v>20882740.13792675</v>
      </c>
    </row>
    <row r="559" spans="2:31" x14ac:dyDescent="0.25">
      <c r="B559" s="18">
        <v>556</v>
      </c>
      <c r="C559" s="19">
        <f>Tableau!$G$17*COS(B559*PI()/180)+Tableau!$G$16</f>
        <v>15193.691520308406</v>
      </c>
      <c r="D559" s="19">
        <f>Tableau!$G$17*SIN(B559*PI()/180)+Tableau!$H$16</f>
        <v>6121.8132209150044</v>
      </c>
      <c r="F559" s="26">
        <v>556</v>
      </c>
      <c r="G559" s="27">
        <f>Tableau!$G$26*COS(F559*PI()/180)+Tableau!$G$25</f>
        <v>-23364.415935784116</v>
      </c>
      <c r="H559" s="27">
        <f>Tableau!$G$26*SIN(F559*PI()/180)+Tableau!$H$25</f>
        <v>9035.2692546405033</v>
      </c>
      <c r="J559" s="34">
        <v>556</v>
      </c>
      <c r="K559" s="35">
        <f>Tableau!$G$36*COS(J559*PI()/180)+Tableau!$G$35</f>
        <v>-9806.3084796915937</v>
      </c>
      <c r="L559" s="35">
        <f>Tableau!$G$36*SIN(J559*PI()/180)+Tableau!$H$35</f>
        <v>-16378.186779084996</v>
      </c>
      <c r="N559" s="98">
        <v>555</v>
      </c>
      <c r="O559" s="99">
        <v>277.5</v>
      </c>
      <c r="P559" s="101">
        <f>P558+R558*Tableau!$G$2+((1/2)*T558)*Tableau!$G$2^2</f>
        <v>-18778888.058491275</v>
      </c>
      <c r="Q559" s="101">
        <f>Q558+S558*Tableau!$G$2+((1/2)*U558)*Tableau!$G$2^2</f>
        <v>9217024.5531157367</v>
      </c>
      <c r="R559" s="101">
        <f>R558+T558*Tableau!$G$2</f>
        <v>-68698.136708549588</v>
      </c>
      <c r="S559" s="101">
        <f>S558+U558*Tableau!$G$2</f>
        <v>33800.695534855447</v>
      </c>
      <c r="T559" s="101">
        <f t="shared" si="16"/>
        <v>2.5157241413673133E-3</v>
      </c>
      <c r="U559" s="101">
        <f t="shared" si="17"/>
        <v>-1.2347698377196822E-3</v>
      </c>
      <c r="V559" s="101">
        <f>((Tableau!$G$16-P559)/(AC559^2+Tableau!$G$21^2)^(3/2))*Tableau!$G$20</f>
        <v>1.0730058838440356E-3</v>
      </c>
      <c r="W559" s="101">
        <f>((Tableau!$H$16-Q559)/(AC559^2+Tableau!$G$21^2)^(3/2))*Tableau!$G$20</f>
        <v>-5.2566268824797606E-4</v>
      </c>
      <c r="X559" s="101">
        <f>((Tableau!$G$25-P559)/(AD559^2+Tableau!$G$30^2)^(3/2))*Tableau!$G$29</f>
        <v>3.6921300259296498E-4</v>
      </c>
      <c r="Y559" s="101">
        <f>((Tableau!$H$25-Q559)/(AD559^2+Tableau!$G$30^2)^(3/2))*Tableau!$G$29</f>
        <v>-1.8121293594820957E-4</v>
      </c>
      <c r="Z559" s="101">
        <f>((Tableau!$G$35-P559)/(AE559^2+Tableau!$G$40^2)^(3/2))*Tableau!$G$39</f>
        <v>1.0735052549303127E-3</v>
      </c>
      <c r="AA559" s="102">
        <f>((Tableau!$H$35-Q559)/(AE559^2+Tableau!$G$40^2)^(3/2))*Tableau!$G$39</f>
        <v>-5.2789421352349652E-4</v>
      </c>
      <c r="AC559" s="113">
        <f>SQRT((Tableau!$G$16-P559)^2+(Tableau!$H$16-Q559)^2)</f>
        <v>20933550.456865352</v>
      </c>
      <c r="AD559" s="114">
        <f>SQRT((Tableau!$G$25-P559)^2+(Tableau!$H$25-Q559)^2)</f>
        <v>20896535.174824622</v>
      </c>
      <c r="AE559" s="115">
        <f>SQRT((Tableau!$G$35-P559)^2+(Tableau!$H$35-Q559)^2)</f>
        <v>20921021.728923593</v>
      </c>
    </row>
    <row r="560" spans="2:31" x14ac:dyDescent="0.25">
      <c r="B560" s="20">
        <v>557</v>
      </c>
      <c r="C560" s="21">
        <f>Tableau!$G$17*COS(B560*PI()/180)+Tableau!$G$16</f>
        <v>15218.476220184824</v>
      </c>
      <c r="D560" s="21">
        <f>Tableau!$G$17*SIN(B560*PI()/180)+Tableau!$H$16</f>
        <v>6038.1414763863131</v>
      </c>
      <c r="F560" s="28">
        <v>557</v>
      </c>
      <c r="G560" s="29">
        <f>Tableau!$G$26*COS(F560*PI()/180)+Tableau!$G$25</f>
        <v>-23347.066645870626</v>
      </c>
      <c r="H560" s="29">
        <f>Tableau!$G$26*SIN(F560*PI()/180)+Tableau!$H$25</f>
        <v>8976.6990334704187</v>
      </c>
      <c r="J560" s="36">
        <v>557</v>
      </c>
      <c r="K560" s="37">
        <f>Tableau!$G$36*COS(J560*PI()/180)+Tableau!$G$35</f>
        <v>-9781.5237798151757</v>
      </c>
      <c r="L560" s="37">
        <f>Tableau!$G$36*SIN(J560*PI()/180)+Tableau!$H$35</f>
        <v>-16461.858523613686</v>
      </c>
      <c r="N560" s="92">
        <v>556</v>
      </c>
      <c r="O560" s="93">
        <v>278</v>
      </c>
      <c r="P560" s="96">
        <f>P559+R559*Tableau!$G$2+((1/2)*T559)*Tableau!$G$2^2</f>
        <v>-18813237.126531083</v>
      </c>
      <c r="Q560" s="96">
        <f>Q559+S559*Tableau!$G$2+((1/2)*U559)*Tableau!$G$2^2</f>
        <v>9233924.900728818</v>
      </c>
      <c r="R560" s="96">
        <f>R559+T559*Tableau!$G$2</f>
        <v>-68698.135450687521</v>
      </c>
      <c r="S560" s="96">
        <f>S559+U559*Tableau!$G$2</f>
        <v>33800.69491747053</v>
      </c>
      <c r="T560" s="96">
        <f t="shared" si="16"/>
        <v>2.5065413375991163E-3</v>
      </c>
      <c r="U560" s="96">
        <f t="shared" si="17"/>
        <v>-1.2302681991317461E-3</v>
      </c>
      <c r="V560" s="96">
        <f>((Tableau!$G$16-P560)/(AC560^2+Tableau!$G$21^2)^(3/2))*Tableau!$G$20</f>
        <v>1.0690905415241759E-3</v>
      </c>
      <c r="W560" s="96">
        <f>((Tableau!$H$16-Q560)/(AC560^2+Tableau!$G$21^2)^(3/2))*Tableau!$G$20</f>
        <v>-5.237487069897662E-4</v>
      </c>
      <c r="X560" s="96">
        <f>((Tableau!$G$25-P560)/(AD560^2+Tableau!$G$30^2)^(3/2))*Tableau!$G$29</f>
        <v>3.6786362396379975E-4</v>
      </c>
      <c r="Y560" s="96">
        <f>((Tableau!$H$25-Q560)/(AD560^2+Tableau!$G$30^2)^(3/2))*Tableau!$G$29</f>
        <v>-1.8055146211941366E-4</v>
      </c>
      <c r="Z560" s="96">
        <f>((Tableau!$G$35-P560)/(AE560^2+Tableau!$G$40^2)^(3/2))*Tableau!$G$39</f>
        <v>1.0695871721111405E-3</v>
      </c>
      <c r="AA560" s="97">
        <f>((Tableau!$H$35-Q560)/(AE560^2+Tableau!$G$40^2)^(3/2))*Tableau!$G$39</f>
        <v>-5.2596803002256628E-4</v>
      </c>
      <c r="AC560" s="110">
        <f>SQRT((Tableau!$G$16-P560)^2+(Tableau!$H$16-Q560)^2)</f>
        <v>20971831.992292363</v>
      </c>
      <c r="AD560" s="111">
        <f>SQRT((Tableau!$G$25-P560)^2+(Tableau!$H$25-Q560)^2)</f>
        <v>20934816.747903753</v>
      </c>
      <c r="AE560" s="112">
        <f>SQRT((Tableau!$G$35-P560)^2+(Tableau!$H$35-Q560)^2)</f>
        <v>20959303.319221843</v>
      </c>
    </row>
    <row r="561" spans="2:31" x14ac:dyDescent="0.25">
      <c r="B561" s="18">
        <v>558</v>
      </c>
      <c r="C561" s="19">
        <f>Tableau!$G$17*COS(B561*PI()/180)+Tableau!$G$16</f>
        <v>15244.717418524233</v>
      </c>
      <c r="D561" s="19">
        <f>Tableau!$G$17*SIN(B561*PI()/180)+Tableau!$H$16</f>
        <v>5954.9150281252641</v>
      </c>
      <c r="F561" s="26">
        <v>558</v>
      </c>
      <c r="G561" s="27">
        <f>Tableau!$G$26*COS(F561*PI()/180)+Tableau!$G$25</f>
        <v>-23328.697807033037</v>
      </c>
      <c r="H561" s="27">
        <f>Tableau!$G$26*SIN(F561*PI()/180)+Tableau!$H$25</f>
        <v>8918.4405196876851</v>
      </c>
      <c r="J561" s="34">
        <v>558</v>
      </c>
      <c r="K561" s="35">
        <f>Tableau!$G$36*COS(J561*PI()/180)+Tableau!$G$35</f>
        <v>-9755.2825814757671</v>
      </c>
      <c r="L561" s="35">
        <f>Tableau!$G$36*SIN(J561*PI()/180)+Tableau!$H$35</f>
        <v>-16545.084971874734</v>
      </c>
      <c r="N561" s="98">
        <v>557</v>
      </c>
      <c r="O561" s="99">
        <v>278.5</v>
      </c>
      <c r="P561" s="101">
        <f>P560+R560*Tableau!$G$2+((1/2)*T560)*Tableau!$G$2^2</f>
        <v>-18847586.193943109</v>
      </c>
      <c r="Q561" s="101">
        <f>Q560+S560*Tableau!$G$2+((1/2)*U560)*Tableau!$G$2^2</f>
        <v>9250825.2480337694</v>
      </c>
      <c r="R561" s="101">
        <f>R560+T560*Tableau!$G$2</f>
        <v>-68698.134197416846</v>
      </c>
      <c r="S561" s="101">
        <f>S560+U560*Tableau!$G$2</f>
        <v>33800.694302336429</v>
      </c>
      <c r="T561" s="101">
        <f t="shared" si="16"/>
        <v>2.4974087204630169E-3</v>
      </c>
      <c r="U561" s="101">
        <f t="shared" si="17"/>
        <v>-1.2257911334474657E-3</v>
      </c>
      <c r="V561" s="101">
        <f>((Tableau!$G$16-P561)/(AC561^2+Tableau!$G$21^2)^(3/2))*Tableau!$G$20</f>
        <v>1.0651965905257021E-3</v>
      </c>
      <c r="W561" s="101">
        <f>((Tableau!$H$16-Q561)/(AC561^2+Tableau!$G$21^2)^(3/2))*Tableau!$G$20</f>
        <v>-5.2184516016608791E-4</v>
      </c>
      <c r="X561" s="101">
        <f>((Tableau!$G$25-P561)/(AD561^2+Tableau!$G$30^2)^(3/2))*Tableau!$G$29</f>
        <v>3.6652162930802157E-4</v>
      </c>
      <c r="Y561" s="101">
        <f>((Tableau!$H$25-Q561)/(AD561^2+Tableau!$G$30^2)^(3/2))*Tableau!$G$29</f>
        <v>-1.7989360352256074E-4</v>
      </c>
      <c r="Z561" s="101">
        <f>((Tableau!$G$35-P561)/(AE561^2+Tableau!$G$40^2)^(3/2))*Tableau!$G$39</f>
        <v>1.0656905006292934E-3</v>
      </c>
      <c r="AA561" s="102">
        <f>((Tableau!$H$35-Q561)/(AE561^2+Tableau!$G$40^2)^(3/2))*Tableau!$G$39</f>
        <v>-5.2405236975881699E-4</v>
      </c>
      <c r="AC561" s="113">
        <f>SQRT((Tableau!$G$16-P561)^2+(Tableau!$H$16-Q561)^2)</f>
        <v>21010113.527223293</v>
      </c>
      <c r="AD561" s="114">
        <f>SQRT((Tableau!$G$25-P561)^2+(Tableau!$H$25-Q561)^2)</f>
        <v>20973098.320349704</v>
      </c>
      <c r="AE561" s="115">
        <f>SQRT((Tableau!$G$35-P561)^2+(Tableau!$H$35-Q561)^2)</f>
        <v>20997584.908824053</v>
      </c>
    </row>
    <row r="562" spans="2:31" x14ac:dyDescent="0.25">
      <c r="B562" s="20">
        <v>559</v>
      </c>
      <c r="C562" s="21">
        <f>Tableau!$G$17*COS(B562*PI()/180)+Tableau!$G$16</f>
        <v>15272.407122003417</v>
      </c>
      <c r="D562" s="21">
        <f>Tableau!$G$17*SIN(B562*PI()/180)+Tableau!$H$16</f>
        <v>5872.1592277142154</v>
      </c>
      <c r="F562" s="28">
        <v>559</v>
      </c>
      <c r="G562" s="29">
        <f>Tableau!$G$26*COS(F562*PI()/180)+Tableau!$G$25</f>
        <v>-23309.315014597611</v>
      </c>
      <c r="H562" s="29">
        <f>Tableau!$G$26*SIN(F562*PI()/180)+Tableau!$H$25</f>
        <v>8860.5114593999497</v>
      </c>
      <c r="J562" s="36">
        <v>559</v>
      </c>
      <c r="K562" s="37">
        <f>Tableau!$G$36*COS(J562*PI()/180)+Tableau!$G$35</f>
        <v>-9727.5928779965834</v>
      </c>
      <c r="L562" s="37">
        <f>Tableau!$G$36*SIN(J562*PI()/180)+Tableau!$H$35</f>
        <v>-16627.840772285785</v>
      </c>
      <c r="N562" s="92">
        <v>558</v>
      </c>
      <c r="O562" s="93">
        <v>279</v>
      </c>
      <c r="P562" s="96">
        <f>P561+R561*Tableau!$G$2+((1/2)*T561)*Tableau!$G$2^2</f>
        <v>-18881935.260729641</v>
      </c>
      <c r="Q562" s="96">
        <f>Q561+S561*Tableau!$G$2+((1/2)*U561)*Tableau!$G$2^2</f>
        <v>9267725.5950317141</v>
      </c>
      <c r="R562" s="96">
        <f>R561+T561*Tableau!$G$2</f>
        <v>-68698.132948712489</v>
      </c>
      <c r="S562" s="96">
        <f>S561+U561*Tableau!$G$2</f>
        <v>33800.693689440865</v>
      </c>
      <c r="T562" s="96">
        <f t="shared" si="16"/>
        <v>2.4883259249111663E-3</v>
      </c>
      <c r="U562" s="96">
        <f t="shared" si="17"/>
        <v>-1.2213384621446942E-3</v>
      </c>
      <c r="V562" s="96">
        <f>((Tableau!$G$16-P562)/(AC562^2+Tableau!$G$21^2)^(3/2))*Tableau!$G$20</f>
        <v>1.0613238753042593E-3</v>
      </c>
      <c r="W562" s="96">
        <f>((Tableau!$H$16-Q562)/(AC562^2+Tableau!$G$21^2)^(3/2))*Tableau!$G$20</f>
        <v>-5.1995197206761406E-4</v>
      </c>
      <c r="X562" s="96">
        <f>((Tableau!$G$25-P562)/(AD562^2+Tableau!$G$30^2)^(3/2))*Tableau!$G$29</f>
        <v>3.6518696484889971E-4</v>
      </c>
      <c r="Y562" s="96">
        <f>((Tableau!$H$25-Q562)/(AD562^2+Tableau!$G$30^2)^(3/2))*Tableau!$G$29</f>
        <v>-1.7923933386052908E-4</v>
      </c>
      <c r="Z562" s="96">
        <f>((Tableau!$G$35-P562)/(AE562^2+Tableau!$G$40^2)^(3/2))*Tableau!$G$39</f>
        <v>1.0618150847580071E-3</v>
      </c>
      <c r="AA562" s="97">
        <f>((Tableau!$H$35-Q562)/(AE562^2+Tableau!$G$40^2)^(3/2))*Tableau!$G$39</f>
        <v>-5.2214715621655102E-4</v>
      </c>
      <c r="AC562" s="110">
        <f>SQRT((Tableau!$G$16-P562)^2+(Tableau!$H$16-Q562)^2)</f>
        <v>21048395.061659571</v>
      </c>
      <c r="AD562" s="111">
        <f>SQRT((Tableau!$G$25-P562)^2+(Tableau!$H$25-Q562)^2)</f>
        <v>21011379.892164662</v>
      </c>
      <c r="AE562" s="112">
        <f>SQRT((Tableau!$G$35-P562)^2+(Tableau!$H$35-Q562)^2)</f>
        <v>21035866.497732744</v>
      </c>
    </row>
    <row r="563" spans="2:31" x14ac:dyDescent="0.25">
      <c r="B563" s="18">
        <v>560</v>
      </c>
      <c r="C563" s="19">
        <f>Tableau!$G$17*COS(B563*PI()/180)+Tableau!$G$16</f>
        <v>15301.536896070456</v>
      </c>
      <c r="D563" s="19">
        <f>Tableau!$G$17*SIN(B563*PI()/180)+Tableau!$H$16</f>
        <v>5789.8992833716602</v>
      </c>
      <c r="F563" s="26">
        <v>560</v>
      </c>
      <c r="G563" s="27">
        <f>Tableau!$G$26*COS(F563*PI()/180)+Tableau!$G$25</f>
        <v>-23288.924172750681</v>
      </c>
      <c r="H563" s="27">
        <f>Tableau!$G$26*SIN(F563*PI()/180)+Tableau!$H$25</f>
        <v>8802.9294983601612</v>
      </c>
      <c r="J563" s="34">
        <v>560</v>
      </c>
      <c r="K563" s="35">
        <f>Tableau!$G$36*COS(J563*PI()/180)+Tableau!$G$35</f>
        <v>-9698.4631039295436</v>
      </c>
      <c r="L563" s="35">
        <f>Tableau!$G$36*SIN(J563*PI()/180)+Tableau!$H$35</f>
        <v>-16710.100716628342</v>
      </c>
      <c r="N563" s="98">
        <v>559</v>
      </c>
      <c r="O563" s="99">
        <v>279.5</v>
      </c>
      <c r="P563" s="101">
        <f>P562+R562*Tableau!$G$2+((1/2)*T562)*Tableau!$G$2^2</f>
        <v>-18916284.326892957</v>
      </c>
      <c r="Q563" s="101">
        <f>Q562+S562*Tableau!$G$2+((1/2)*U562)*Tableau!$G$2^2</f>
        <v>9284625.9417237658</v>
      </c>
      <c r="R563" s="101">
        <f>R562+T562*Tableau!$G$2</f>
        <v>-68698.131704549523</v>
      </c>
      <c r="S563" s="101">
        <f>S562+U562*Tableau!$G$2</f>
        <v>33800.693078771634</v>
      </c>
      <c r="T563" s="101">
        <f t="shared" si="16"/>
        <v>2.4792925892087522E-3</v>
      </c>
      <c r="U563" s="101">
        <f t="shared" si="17"/>
        <v>-1.2169100083195268E-3</v>
      </c>
      <c r="V563" s="101">
        <f>((Tableau!$G$16-P563)/(AC563^2+Tableau!$G$21^2)^(3/2))*Tableau!$G$20</f>
        <v>1.0574722417266839E-3</v>
      </c>
      <c r="W563" s="101">
        <f>((Tableau!$H$16-Q563)/(AC563^2+Tableau!$G$21^2)^(3/2))*Tableau!$G$20</f>
        <v>-5.1806906767041898E-4</v>
      </c>
      <c r="X563" s="101">
        <f>((Tableau!$G$25-P563)/(AD563^2+Tableau!$G$30^2)^(3/2))*Tableau!$G$29</f>
        <v>3.6385957729837297E-4</v>
      </c>
      <c r="Y563" s="101">
        <f>((Tableau!$H$25-Q563)/(AD563^2+Tableau!$G$30^2)^(3/2))*Tableau!$G$29</f>
        <v>-1.7858862707486665E-4</v>
      </c>
      <c r="Z563" s="101">
        <f>((Tableau!$G$35-P563)/(AE563^2+Tableau!$G$40^2)^(3/2))*Tableau!$G$39</f>
        <v>1.0579607701836954E-3</v>
      </c>
      <c r="AA563" s="102">
        <f>((Tableau!$H$35-Q563)/(AE563^2+Tableau!$G$40^2)^(3/2))*Tableau!$G$39</f>
        <v>-5.2025231357424124E-4</v>
      </c>
      <c r="AC563" s="113">
        <f>SQRT((Tableau!$G$16-P563)^2+(Tableau!$H$16-Q563)^2)</f>
        <v>21086676.595602635</v>
      </c>
      <c r="AD563" s="114">
        <f>SQRT((Tableau!$G$25-P563)^2+(Tableau!$H$25-Q563)^2)</f>
        <v>21049661.463350803</v>
      </c>
      <c r="AE563" s="115">
        <f>SQRT((Tableau!$G$35-P563)^2+(Tableau!$H$35-Q563)^2)</f>
        <v>21074148.085950445</v>
      </c>
    </row>
    <row r="564" spans="2:31" x14ac:dyDescent="0.25">
      <c r="B564" s="20">
        <v>561</v>
      </c>
      <c r="C564" s="21">
        <f>Tableau!$G$17*COS(B564*PI()/180)+Tableau!$G$16</f>
        <v>15332.097867513992</v>
      </c>
      <c r="D564" s="21">
        <f>Tableau!$G$17*SIN(B564*PI()/180)+Tableau!$H$16</f>
        <v>5708.1602522734993</v>
      </c>
      <c r="F564" s="28">
        <v>561</v>
      </c>
      <c r="G564" s="29">
        <f>Tableau!$G$26*COS(F564*PI()/180)+Tableau!$G$25</f>
        <v>-23267.531492740207</v>
      </c>
      <c r="H564" s="29">
        <f>Tableau!$G$26*SIN(F564*PI()/180)+Tableau!$H$25</f>
        <v>8745.712176591449</v>
      </c>
      <c r="J564" s="36">
        <v>561</v>
      </c>
      <c r="K564" s="37">
        <f>Tableau!$G$36*COS(J564*PI()/180)+Tableau!$G$35</f>
        <v>-9667.9021324860078</v>
      </c>
      <c r="L564" s="37">
        <f>Tableau!$G$36*SIN(J564*PI()/180)+Tableau!$H$35</f>
        <v>-16791.839747726503</v>
      </c>
      <c r="N564" s="92">
        <v>560</v>
      </c>
      <c r="O564" s="93">
        <v>280</v>
      </c>
      <c r="P564" s="96">
        <f>P563+R563*Tableau!$G$2+((1/2)*T563)*Tableau!$G$2^2</f>
        <v>-18950633.39243532</v>
      </c>
      <c r="Q564" s="96">
        <f>Q563+S563*Tableau!$G$2+((1/2)*U563)*Tableau!$G$2^2</f>
        <v>9301526.2881110385</v>
      </c>
      <c r="R564" s="96">
        <f>R563+T563*Tableau!$G$2</f>
        <v>-68698.130464903224</v>
      </c>
      <c r="S564" s="96">
        <f>S563+U563*Tableau!$G$2</f>
        <v>33800.69247031663</v>
      </c>
      <c r="T564" s="96">
        <f t="shared" si="16"/>
        <v>2.4703083548980867E-3</v>
      </c>
      <c r="U564" s="96">
        <f t="shared" si="17"/>
        <v>-1.2125055966687797E-3</v>
      </c>
      <c r="V564" s="96">
        <f>((Tableau!$G$16-P564)/(AC564^2+Tableau!$G$21^2)^(3/2))*Tableau!$G$20</f>
        <v>1.0536415370557093E-3</v>
      </c>
      <c r="W564" s="96">
        <f>((Tableau!$H$16-Q564)/(AC564^2+Tableau!$G$21^2)^(3/2))*Tableau!$G$20</f>
        <v>-5.1619637262856723E-4</v>
      </c>
      <c r="X564" s="96">
        <f>((Tableau!$G$25-P564)/(AD564^2+Tableau!$G$30^2)^(3/2))*Tableau!$G$29</f>
        <v>3.6253941385173125E-4</v>
      </c>
      <c r="Y564" s="96">
        <f>((Tableau!$H$25-Q564)/(AD564^2+Tableau!$G$30^2)^(3/2))*Tableau!$G$29</f>
        <v>-1.7794145734319688E-4</v>
      </c>
      <c r="Z564" s="96">
        <f>((Tableau!$G$35-P564)/(AE564^2+Tableau!$G$40^2)^(3/2))*Tableau!$G$39</f>
        <v>1.0541274039906462E-3</v>
      </c>
      <c r="AA564" s="97">
        <f>((Tableau!$H$35-Q564)/(AE564^2+Tableau!$G$40^2)^(3/2))*Tableau!$G$39</f>
        <v>-5.183677666970156E-4</v>
      </c>
      <c r="AC564" s="110">
        <f>SQRT((Tableau!$G$16-P564)^2+(Tableau!$H$16-Q564)^2)</f>
        <v>21124958.129053913</v>
      </c>
      <c r="AD564" s="111">
        <f>SQRT((Tableau!$G$25-P564)^2+(Tableau!$H$25-Q564)^2)</f>
        <v>21087943.033910293</v>
      </c>
      <c r="AE564" s="112">
        <f>SQRT((Tableau!$G$35-P564)^2+(Tableau!$H$35-Q564)^2)</f>
        <v>21112429.673479658</v>
      </c>
    </row>
    <row r="565" spans="2:31" x14ac:dyDescent="0.25">
      <c r="B565" s="18">
        <v>562</v>
      </c>
      <c r="C565" s="19">
        <f>Tableau!$G$17*COS(B565*PI()/180)+Tableau!$G$16</f>
        <v>15364.08072716606</v>
      </c>
      <c r="D565" s="19">
        <f>Tableau!$G$17*SIN(B565*PI()/180)+Tableau!$H$16</f>
        <v>5626.9670329204455</v>
      </c>
      <c r="F565" s="26">
        <v>562</v>
      </c>
      <c r="G565" s="27">
        <f>Tableau!$G$26*COS(F565*PI()/180)+Tableau!$G$25</f>
        <v>-23245.143490983759</v>
      </c>
      <c r="H565" s="27">
        <f>Tableau!$G$26*SIN(F565*PI()/180)+Tableau!$H$25</f>
        <v>8688.8769230443122</v>
      </c>
      <c r="J565" s="34">
        <v>562</v>
      </c>
      <c r="K565" s="35">
        <f>Tableau!$G$36*COS(J565*PI()/180)+Tableau!$G$35</f>
        <v>-9635.9192728339403</v>
      </c>
      <c r="L565" s="35">
        <f>Tableau!$G$36*SIN(J565*PI()/180)+Tableau!$H$35</f>
        <v>-16873.032967079555</v>
      </c>
      <c r="N565" s="98">
        <v>561</v>
      </c>
      <c r="O565" s="99">
        <v>280.5</v>
      </c>
      <c r="P565" s="101">
        <f>P564+R564*Tableau!$G$2+((1/2)*T564)*Tableau!$G$2^2</f>
        <v>-18984982.457358982</v>
      </c>
      <c r="Q565" s="101">
        <f>Q564+S564*Tableau!$G$2+((1/2)*U564)*Tableau!$G$2^2</f>
        <v>9318426.634194633</v>
      </c>
      <c r="R565" s="101">
        <f>R564+T564*Tableau!$G$2</f>
        <v>-68698.129229749044</v>
      </c>
      <c r="S565" s="101">
        <f>S564+U564*Tableau!$G$2</f>
        <v>33800.691864063832</v>
      </c>
      <c r="T565" s="101">
        <f t="shared" si="16"/>
        <v>2.4613728667629725E-3</v>
      </c>
      <c r="U565" s="101">
        <f t="shared" si="17"/>
        <v>-1.2081250534726044E-3</v>
      </c>
      <c r="V565" s="101">
        <f>((Tableau!$G$16-P565)/(AC565^2+Tableau!$G$21^2)^(3/2))*Tableau!$G$20</f>
        <v>1.0498316099347845E-3</v>
      </c>
      <c r="W565" s="101">
        <f>((Tableau!$H$16-Q565)/(AC565^2+Tableau!$G$21^2)^(3/2))*Tableau!$G$20</f>
        <v>-5.1433381326675435E-4</v>
      </c>
      <c r="X565" s="101">
        <f>((Tableau!$G$25-P565)/(AD565^2+Tableau!$G$30^2)^(3/2))*Tableau!$G$29</f>
        <v>3.6122642218237085E-4</v>
      </c>
      <c r="Y565" s="101">
        <f>((Tableau!$H$25-Q565)/(AD565^2+Tableau!$G$30^2)^(3/2))*Tableau!$G$29</f>
        <v>-1.7729779907666007E-4</v>
      </c>
      <c r="Z565" s="101">
        <f>((Tableau!$G$35-P565)/(AE565^2+Tableau!$G$40^2)^(3/2))*Tableau!$G$39</f>
        <v>1.050314834645817E-3</v>
      </c>
      <c r="AA565" s="102">
        <f>((Tableau!$H$35-Q565)/(AE565^2+Tableau!$G$40^2)^(3/2))*Tableau!$G$39</f>
        <v>-5.1649344112918996E-4</v>
      </c>
      <c r="AC565" s="113">
        <f>SQRT((Tableau!$G$16-P565)^2+(Tableau!$H$16-Q565)^2)</f>
        <v>21163239.662014831</v>
      </c>
      <c r="AD565" s="114">
        <f>SQRT((Tableau!$G$25-P565)^2+(Tableau!$H$25-Q565)^2)</f>
        <v>21126224.603845287</v>
      </c>
      <c r="AE565" s="115">
        <f>SQRT((Tableau!$G$35-P565)^2+(Tableau!$H$35-Q565)^2)</f>
        <v>21150711.260322865</v>
      </c>
    </row>
    <row r="566" spans="2:31" x14ac:dyDescent="0.25">
      <c r="B566" s="20">
        <v>563</v>
      </c>
      <c r="C566" s="21">
        <f>Tableau!$G$17*COS(B566*PI()/180)+Tableau!$G$16</f>
        <v>15397.475732737797</v>
      </c>
      <c r="D566" s="21">
        <f>Tableau!$G$17*SIN(B566*PI()/180)+Tableau!$H$16</f>
        <v>5546.344357553633</v>
      </c>
      <c r="F566" s="28">
        <v>563</v>
      </c>
      <c r="G566" s="29">
        <f>Tableau!$G$26*COS(F566*PI()/180)+Tableau!$G$25</f>
        <v>-23221.766987083542</v>
      </c>
      <c r="H566" s="29">
        <f>Tableau!$G$26*SIN(F566*PI()/180)+Tableau!$H$25</f>
        <v>8632.4410502875435</v>
      </c>
      <c r="J566" s="36">
        <v>563</v>
      </c>
      <c r="K566" s="37">
        <f>Tableau!$G$36*COS(J566*PI()/180)+Tableau!$G$35</f>
        <v>-9602.5242672622026</v>
      </c>
      <c r="L566" s="37">
        <f>Tableau!$G$36*SIN(J566*PI()/180)+Tableau!$H$35</f>
        <v>-16953.655642446367</v>
      </c>
      <c r="N566" s="92">
        <v>562</v>
      </c>
      <c r="O566" s="93">
        <v>281</v>
      </c>
      <c r="P566" s="96">
        <f>P565+R565*Tableau!$G$2+((1/2)*T565)*Tableau!$G$2^2</f>
        <v>-19019331.521666184</v>
      </c>
      <c r="Q566" s="96">
        <f>Q565+S565*Tableau!$G$2+((1/2)*U565)*Tableau!$G$2^2</f>
        <v>9335326.9799756482</v>
      </c>
      <c r="R566" s="96">
        <f>R565+T565*Tableau!$G$2</f>
        <v>-68698.127999062606</v>
      </c>
      <c r="S566" s="96">
        <f>S565+U565*Tableau!$G$2</f>
        <v>33800.691260001302</v>
      </c>
      <c r="T566" s="96">
        <f t="shared" si="16"/>
        <v>2.4524857727935808E-3</v>
      </c>
      <c r="U566" s="96">
        <f t="shared" si="17"/>
        <v>-1.2037682065773551E-3</v>
      </c>
      <c r="V566" s="96">
        <f>((Tableau!$G$16-P566)/(AC566^2+Tableau!$G$21^2)^(3/2))*Tableau!$G$20</f>
        <v>1.046042310373137E-3</v>
      </c>
      <c r="W566" s="96">
        <f>((Tableau!$H$16-Q566)/(AC566^2+Tableau!$G$21^2)^(3/2))*Tableau!$G$20</f>
        <v>-5.1248131657306839E-4</v>
      </c>
      <c r="X566" s="96">
        <f>((Tableau!$G$25-P566)/(AD566^2+Tableau!$G$30^2)^(3/2))*Tableau!$G$29</f>
        <v>3.5992055043661058E-4</v>
      </c>
      <c r="Y566" s="96">
        <f>((Tableau!$H$25-Q566)/(AD566^2+Tableau!$G$30^2)^(3/2))*Tableau!$G$29</f>
        <v>-1.7665762691738466E-4</v>
      </c>
      <c r="Z566" s="96">
        <f>((Tableau!$G$35-P566)/(AE566^2+Tableau!$G$40^2)^(3/2))*Tableau!$G$39</f>
        <v>1.0465229119838335E-3</v>
      </c>
      <c r="AA566" s="97">
        <f>((Tableau!$H$35-Q566)/(AE566^2+Tableau!$G$40^2)^(3/2))*Tableau!$G$39</f>
        <v>-5.1462926308690194E-4</v>
      </c>
      <c r="AC566" s="110">
        <f>SQRT((Tableau!$G$16-P566)^2+(Tableau!$H$16-Q566)^2)</f>
        <v>21201521.194486804</v>
      </c>
      <c r="AD566" s="111">
        <f>SQRT((Tableau!$G$25-P566)^2+(Tableau!$H$25-Q566)^2)</f>
        <v>21164506.173157927</v>
      </c>
      <c r="AE566" s="112">
        <f>SQRT((Tableau!$G$35-P566)^2+(Tableau!$H$35-Q566)^2)</f>
        <v>21188992.846482553</v>
      </c>
    </row>
    <row r="567" spans="2:31" x14ac:dyDescent="0.25">
      <c r="B567" s="18">
        <v>564</v>
      </c>
      <c r="C567" s="19">
        <f>Tableau!$G$17*COS(B567*PI()/180)+Tableau!$G$16</f>
        <v>15432.272711786993</v>
      </c>
      <c r="D567" s="19">
        <f>Tableau!$G$17*SIN(B567*PI()/180)+Tableau!$H$16</f>
        <v>5466.3167846210063</v>
      </c>
      <c r="F567" s="26">
        <v>564</v>
      </c>
      <c r="G567" s="27">
        <f>Tableau!$G$26*COS(F567*PI()/180)+Tableau!$G$25</f>
        <v>-23197.409101749105</v>
      </c>
      <c r="H567" s="27">
        <f>Tableau!$G$26*SIN(F567*PI()/180)+Tableau!$H$25</f>
        <v>8576.4217492347052</v>
      </c>
      <c r="J567" s="34">
        <v>564</v>
      </c>
      <c r="K567" s="35">
        <f>Tableau!$G$36*COS(J567*PI()/180)+Tableau!$G$35</f>
        <v>-9567.7272882130073</v>
      </c>
      <c r="L567" s="35">
        <f>Tableau!$G$36*SIN(J567*PI()/180)+Tableau!$H$35</f>
        <v>-17033.683215378995</v>
      </c>
      <c r="N567" s="98">
        <v>563</v>
      </c>
      <c r="O567" s="99">
        <v>281.5</v>
      </c>
      <c r="P567" s="101">
        <f>P566+R566*Tableau!$G$2+((1/2)*T566)*Tableau!$G$2^2</f>
        <v>-19053680.585359152</v>
      </c>
      <c r="Q567" s="101">
        <f>Q566+S566*Tableau!$G$2+((1/2)*U566)*Tableau!$G$2^2</f>
        <v>9352227.3254551776</v>
      </c>
      <c r="R567" s="101">
        <f>R566+T566*Tableau!$G$2</f>
        <v>-68698.126772819713</v>
      </c>
      <c r="S567" s="101">
        <f>S566+U566*Tableau!$G$2</f>
        <v>33800.690658117201</v>
      </c>
      <c r="T567" s="101">
        <f t="shared" si="16"/>
        <v>2.4436467241518642E-3</v>
      </c>
      <c r="U567" s="101">
        <f t="shared" si="17"/>
        <v>-1.1994348853787121E-3</v>
      </c>
      <c r="V567" s="101">
        <f>((Tableau!$G$16-P567)/(AC567^2+Tableau!$G$21^2)^(3/2))*Tableau!$G$20</f>
        <v>1.0422734897310411E-3</v>
      </c>
      <c r="W567" s="101">
        <f>((Tableau!$H$16-Q567)/(AC567^2+Tableau!$G$21^2)^(3/2))*Tableau!$G$20</f>
        <v>-5.1063881019184991E-4</v>
      </c>
      <c r="X567" s="101">
        <f>((Tableau!$G$25-P567)/(AD567^2+Tableau!$G$30^2)^(3/2))*Tableau!$G$29</f>
        <v>3.5862174722856163E-4</v>
      </c>
      <c r="Y567" s="101">
        <f>((Tableau!$H$25-Q567)/(AD567^2+Tableau!$G$30^2)^(3/2))*Tableau!$G$29</f>
        <v>-1.7602091573598453E-4</v>
      </c>
      <c r="Z567" s="101">
        <f>((Tableau!$G$35-P567)/(AE567^2+Tableau!$G$40^2)^(3/2))*Tableau!$G$39</f>
        <v>1.0427514871922615E-3</v>
      </c>
      <c r="AA567" s="102">
        <f>((Tableau!$H$35-Q567)/(AE567^2+Tableau!$G$40^2)^(3/2))*Tableau!$G$39</f>
        <v>-5.1277515945087767E-4</v>
      </c>
      <c r="AC567" s="113">
        <f>SQRT((Tableau!$G$16-P567)^2+(Tableau!$H$16-Q567)^2)</f>
        <v>21239802.726471245</v>
      </c>
      <c r="AD567" s="114">
        <f>SQRT((Tableau!$G$25-P567)^2+(Tableau!$H$25-Q567)^2)</f>
        <v>21202787.741850346</v>
      </c>
      <c r="AE567" s="115">
        <f>SQRT((Tableau!$G$35-P567)^2+(Tableau!$H$35-Q567)^2)</f>
        <v>21227274.431961183</v>
      </c>
    </row>
    <row r="568" spans="2:31" x14ac:dyDescent="0.25">
      <c r="B568" s="20">
        <v>565</v>
      </c>
      <c r="C568" s="21">
        <f>Tableau!$G$17*COS(B568*PI()/180)+Tableau!$G$16</f>
        <v>15468.461064816747</v>
      </c>
      <c r="D568" s="21">
        <f>Tableau!$G$17*SIN(B568*PI()/180)+Tableau!$H$16</f>
        <v>5386.9086912965067</v>
      </c>
      <c r="F568" s="28">
        <v>565</v>
      </c>
      <c r="G568" s="29">
        <f>Tableau!$G$26*COS(F568*PI()/180)+Tableau!$G$25</f>
        <v>-23172.077254628275</v>
      </c>
      <c r="H568" s="29">
        <f>Tableau!$G$26*SIN(F568*PI()/180)+Tableau!$H$25</f>
        <v>8520.836083907554</v>
      </c>
      <c r="J568" s="36">
        <v>565</v>
      </c>
      <c r="K568" s="37">
        <f>Tableau!$G$36*COS(J568*PI()/180)+Tableau!$G$35</f>
        <v>-9531.5389351832528</v>
      </c>
      <c r="L568" s="37">
        <f>Tableau!$G$36*SIN(J568*PI()/180)+Tableau!$H$35</f>
        <v>-17113.091308703493</v>
      </c>
      <c r="N568" s="92">
        <v>564</v>
      </c>
      <c r="O568" s="93">
        <v>282</v>
      </c>
      <c r="P568" s="96">
        <f>P567+R567*Tableau!$G$2+((1/2)*T567)*Tableau!$G$2^2</f>
        <v>-19088029.648440108</v>
      </c>
      <c r="Q568" s="96">
        <f>Q567+S567*Tableau!$G$2+((1/2)*U567)*Tableau!$G$2^2</f>
        <v>9369127.670634307</v>
      </c>
      <c r="R568" s="96">
        <f>R567+T567*Tableau!$G$2</f>
        <v>-68698.125550996352</v>
      </c>
      <c r="S568" s="96">
        <f>S567+U567*Tableau!$G$2</f>
        <v>33800.690058399756</v>
      </c>
      <c r="T568" s="96">
        <f t="shared" si="16"/>
        <v>2.434855375137256E-3</v>
      </c>
      <c r="U568" s="96">
        <f t="shared" si="17"/>
        <v>-1.1951249208049489E-3</v>
      </c>
      <c r="V568" s="96">
        <f>((Tableau!$G$16-P568)/(AC568^2+Tableau!$G$21^2)^(3/2))*Tableau!$G$20</f>
        <v>1.0385250007052074E-3</v>
      </c>
      <c r="W568" s="96">
        <f>((Tableau!$H$16-Q568)/(AC568^2+Tableau!$G$21^2)^(3/2))*Tableau!$G$20</f>
        <v>-5.0880622241660943E-4</v>
      </c>
      <c r="X568" s="96">
        <f>((Tableau!$G$25-P568)/(AD568^2+Tableau!$G$30^2)^(3/2))*Tableau!$G$29</f>
        <v>3.5732996163508025E-4</v>
      </c>
      <c r="Y568" s="96">
        <f>((Tableau!$H$25-Q568)/(AD568^2+Tableau!$G$30^2)^(3/2))*Tableau!$G$29</f>
        <v>-1.7538764062909672E-4</v>
      </c>
      <c r="Z568" s="96">
        <f>((Tableau!$G$35-P568)/(AE568^2+Tableau!$G$40^2)^(3/2))*Tableau!$G$39</f>
        <v>1.0390004127969683E-3</v>
      </c>
      <c r="AA568" s="97">
        <f>((Tableau!$H$35-Q568)/(AE568^2+Tableau!$G$40^2)^(3/2))*Tableau!$G$39</f>
        <v>-5.1093105775924287E-4</v>
      </c>
      <c r="AC568" s="110">
        <f>SQRT((Tableau!$G$16-P568)^2+(Tableau!$H$16-Q568)^2)</f>
        <v>21278084.257969562</v>
      </c>
      <c r="AD568" s="111">
        <f>SQRT((Tableau!$G$25-P568)^2+(Tableau!$H$25-Q568)^2)</f>
        <v>21241069.30992467</v>
      </c>
      <c r="AE568" s="112">
        <f>SQRT((Tableau!$G$35-P568)^2+(Tableau!$H$35-Q568)^2)</f>
        <v>21265556.016761202</v>
      </c>
    </row>
    <row r="569" spans="2:31" x14ac:dyDescent="0.25">
      <c r="B569" s="18">
        <v>566</v>
      </c>
      <c r="C569" s="19">
        <f>Tableau!$G$17*COS(B569*PI()/180)+Tableau!$G$16</f>
        <v>15506.029768504166</v>
      </c>
      <c r="D569" s="19">
        <f>Tableau!$G$17*SIN(B569*PI()/180)+Tableau!$H$16</f>
        <v>5308.1442660546145</v>
      </c>
      <c r="F569" s="26">
        <v>566</v>
      </c>
      <c r="G569" s="27">
        <f>Tableau!$G$26*COS(F569*PI()/180)+Tableau!$G$25</f>
        <v>-23145.779162047085</v>
      </c>
      <c r="H569" s="27">
        <f>Tableau!$G$26*SIN(F569*PI()/180)+Tableau!$H$25</f>
        <v>8465.7009862382292</v>
      </c>
      <c r="J569" s="34">
        <v>566</v>
      </c>
      <c r="K569" s="35">
        <f>Tableau!$G$36*COS(J569*PI()/180)+Tableau!$G$35</f>
        <v>-9493.970231495834</v>
      </c>
      <c r="L569" s="35">
        <f>Tableau!$G$36*SIN(J569*PI()/180)+Tableau!$H$35</f>
        <v>-17191.855733945387</v>
      </c>
      <c r="N569" s="98">
        <v>565</v>
      </c>
      <c r="O569" s="99">
        <v>282.5</v>
      </c>
      <c r="P569" s="101">
        <f>P568+R568*Tableau!$G$2+((1/2)*T568)*Tableau!$G$2^2</f>
        <v>-19122378.710911248</v>
      </c>
      <c r="Q569" s="101">
        <f>Q568+S568*Tableau!$G$2+((1/2)*U568)*Tableau!$G$2^2</f>
        <v>9386028.0155141167</v>
      </c>
      <c r="R569" s="101">
        <f>R568+T568*Tableau!$G$2</f>
        <v>-68698.124333568659</v>
      </c>
      <c r="S569" s="101">
        <f>S568+U568*Tableau!$G$2</f>
        <v>33800.689460837297</v>
      </c>
      <c r="T569" s="101">
        <f t="shared" si="16"/>
        <v>2.4261113831528618E-3</v>
      </c>
      <c r="U569" s="101">
        <f t="shared" si="17"/>
        <v>-1.1908381453004362E-3</v>
      </c>
      <c r="V569" s="101">
        <f>((Tableau!$G$16-P569)/(AC569^2+Tableau!$G$21^2)^(3/2))*Tableau!$G$20</f>
        <v>1.0347966973143488E-3</v>
      </c>
      <c r="W569" s="101">
        <f>((Tableau!$H$16-Q569)/(AC569^2+Tableau!$G$21^2)^(3/2))*Tableau!$G$20</f>
        <v>-5.0698348218303094E-4</v>
      </c>
      <c r="X569" s="101">
        <f>((Tableau!$G$25-P569)/(AD569^2+Tableau!$G$30^2)^(3/2))*Tableau!$G$29</f>
        <v>3.5604514319077714E-4</v>
      </c>
      <c r="Y569" s="101">
        <f>((Tableau!$H$25-Q569)/(AD569^2+Tableau!$G$30^2)^(3/2))*Tableau!$G$29</f>
        <v>-1.7475777691694679E-4</v>
      </c>
      <c r="Z569" s="101">
        <f>((Tableau!$G$35-P569)/(AE569^2+Tableau!$G$40^2)^(3/2))*Tableau!$G$39</f>
        <v>1.0352695426477359E-3</v>
      </c>
      <c r="AA569" s="102">
        <f>((Tableau!$H$35-Q569)/(AE569^2+Tableau!$G$40^2)^(3/2))*Tableau!$G$39</f>
        <v>-5.0909688620045851E-4</v>
      </c>
      <c r="AC569" s="113">
        <f>SQRT((Tableau!$G$16-P569)^2+(Tableau!$H$16-Q569)^2)</f>
        <v>21316365.788983155</v>
      </c>
      <c r="AD569" s="114">
        <f>SQRT((Tableau!$G$25-P569)^2+(Tableau!$H$25-Q569)^2)</f>
        <v>21279350.877383005</v>
      </c>
      <c r="AE569" s="115">
        <f>SQRT((Tableau!$G$35-P569)^2+(Tableau!$H$35-Q569)^2)</f>
        <v>21303837.600885056</v>
      </c>
    </row>
    <row r="570" spans="2:31" x14ac:dyDescent="0.25">
      <c r="B570" s="20">
        <v>567</v>
      </c>
      <c r="C570" s="21">
        <f>Tableau!$G$17*COS(B570*PI()/180)+Tableau!$G$16</f>
        <v>15544.967379058158</v>
      </c>
      <c r="D570" s="21">
        <f>Tableau!$G$17*SIN(B570*PI()/180)+Tableau!$H$16</f>
        <v>5230.0475013022715</v>
      </c>
      <c r="F570" s="28">
        <v>567</v>
      </c>
      <c r="G570" s="29">
        <f>Tableau!$G$26*COS(F570*PI()/180)+Tableau!$G$25</f>
        <v>-23118.522834659288</v>
      </c>
      <c r="H570" s="29">
        <f>Tableau!$G$26*SIN(F570*PI()/180)+Tableau!$H$25</f>
        <v>8411.0332509115906</v>
      </c>
      <c r="J570" s="36">
        <v>567</v>
      </c>
      <c r="K570" s="37">
        <f>Tableau!$G$36*COS(J570*PI()/180)+Tableau!$G$35</f>
        <v>-9455.0326209418417</v>
      </c>
      <c r="L570" s="37">
        <f>Tableau!$G$36*SIN(J570*PI()/180)+Tableau!$H$35</f>
        <v>-17269.952498697727</v>
      </c>
      <c r="N570" s="92">
        <v>566</v>
      </c>
      <c r="O570" s="93">
        <v>283</v>
      </c>
      <c r="P570" s="96">
        <f>P569+R569*Tableau!$G$2+((1/2)*T569)*Tableau!$G$2^2</f>
        <v>-19156727.772774767</v>
      </c>
      <c r="Q570" s="96">
        <f>Q569+S569*Tableau!$G$2+((1/2)*U569)*Tableau!$G$2^2</f>
        <v>9402928.3600956798</v>
      </c>
      <c r="R570" s="96">
        <f>R569+T569*Tableau!$G$2</f>
        <v>-68698.123120512973</v>
      </c>
      <c r="S570" s="96">
        <f>S569+U569*Tableau!$G$2</f>
        <v>33800.688865418226</v>
      </c>
      <c r="T570" s="96">
        <f t="shared" si="16"/>
        <v>2.417414408672134E-3</v>
      </c>
      <c r="U570" s="96">
        <f t="shared" si="17"/>
        <v>-1.1865743928093815E-3</v>
      </c>
      <c r="V570" s="96">
        <f>((Tableau!$G$16-P570)/(AC570^2+Tableau!$G$21^2)^(3/2))*Tableau!$G$20</f>
        <v>1.0310884348850773E-3</v>
      </c>
      <c r="W570" s="96">
        <f>((Tableau!$H$16-Q570)/(AC570^2+Tableau!$G$21^2)^(3/2))*Tableau!$G$20</f>
        <v>-5.0517051906213669E-4</v>
      </c>
      <c r="X570" s="96">
        <f>((Tableau!$G$25-P570)/(AD570^2+Tableau!$G$30^2)^(3/2))*Tableau!$G$29</f>
        <v>3.5476724188308688E-4</v>
      </c>
      <c r="Y570" s="96">
        <f>((Tableau!$H$25-Q570)/(AD570^2+Tableau!$G$30^2)^(3/2))*Tableau!$G$29</f>
        <v>-1.7413130014094343E-4</v>
      </c>
      <c r="Z570" s="96">
        <f>((Tableau!$G$35-P570)/(AE570^2+Tableau!$G$40^2)^(3/2))*Tableau!$G$39</f>
        <v>1.0315587319039696E-3</v>
      </c>
      <c r="AA570" s="97">
        <f>((Tableau!$H$35-Q570)/(AE570^2+Tableau!$G$40^2)^(3/2))*Tableau!$G$39</f>
        <v>-5.0727257360630126E-4</v>
      </c>
      <c r="AC570" s="110">
        <f>SQRT((Tableau!$G$16-P570)^2+(Tableau!$H$16-Q570)^2)</f>
        <v>21354647.31951341</v>
      </c>
      <c r="AD570" s="111">
        <f>SQRT((Tableau!$G$25-P570)^2+(Tableau!$H$25-Q570)^2)</f>
        <v>21317632.444227453</v>
      </c>
      <c r="AE570" s="112">
        <f>SQRT((Tableau!$G$35-P570)^2+(Tableau!$H$35-Q570)^2)</f>
        <v>21342119.184335157</v>
      </c>
    </row>
    <row r="571" spans="2:31" x14ac:dyDescent="0.25">
      <c r="B571" s="18">
        <v>568</v>
      </c>
      <c r="C571" s="19">
        <f>Tableau!$G$17*COS(B571*PI()/180)+Tableau!$G$16</f>
        <v>15585.262035705364</v>
      </c>
      <c r="D571" s="19">
        <f>Tableau!$G$17*SIN(B571*PI()/180)+Tableau!$H$16</f>
        <v>5152.6421860705486</v>
      </c>
      <c r="F571" s="26">
        <v>568</v>
      </c>
      <c r="G571" s="27">
        <f>Tableau!$G$26*COS(F571*PI()/180)+Tableau!$G$25</f>
        <v>-23090.316575006247</v>
      </c>
      <c r="H571" s="27">
        <f>Tableau!$G$26*SIN(F571*PI()/180)+Tableau!$H$25</f>
        <v>8356.8495302493848</v>
      </c>
      <c r="J571" s="34">
        <v>568</v>
      </c>
      <c r="K571" s="35">
        <f>Tableau!$G$36*COS(J571*PI()/180)+Tableau!$G$35</f>
        <v>-9414.7379642946362</v>
      </c>
      <c r="L571" s="35">
        <f>Tableau!$G$36*SIN(J571*PI()/180)+Tableau!$H$35</f>
        <v>-17347.357813929451</v>
      </c>
      <c r="N571" s="98">
        <v>567</v>
      </c>
      <c r="O571" s="99">
        <v>283.5</v>
      </c>
      <c r="P571" s="101">
        <f>P570+R570*Tableau!$G$2+((1/2)*T570)*Tableau!$G$2^2</f>
        <v>-19191076.834032848</v>
      </c>
      <c r="Q571" s="101">
        <f>Q570+S570*Tableau!$G$2+((1/2)*U570)*Tableau!$G$2^2</f>
        <v>9419828.7043800671</v>
      </c>
      <c r="R571" s="101">
        <f>R570+T570*Tableau!$G$2</f>
        <v>-68698.121911805763</v>
      </c>
      <c r="S571" s="101">
        <f>S570+U570*Tableau!$G$2</f>
        <v>33800.688272131032</v>
      </c>
      <c r="T571" s="101">
        <f t="shared" si="16"/>
        <v>2.4087641152058443E-3</v>
      </c>
      <c r="U571" s="101">
        <f t="shared" si="17"/>
        <v>-1.1823334987597165E-3</v>
      </c>
      <c r="V571" s="101">
        <f>((Tableau!$G$16-P571)/(AC571^2+Tableau!$G$21^2)^(3/2))*Tableau!$G$20</f>
        <v>1.0274000700377672E-3</v>
      </c>
      <c r="W571" s="101">
        <f>((Tableau!$H$16-Q571)/(AC571^2+Tableau!$G$21^2)^(3/2))*Tableau!$G$20</f>
        <v>-5.0336726325343436E-4</v>
      </c>
      <c r="X571" s="101">
        <f>((Tableau!$G$25-P571)/(AD571^2+Tableau!$G$30^2)^(3/2))*Tableau!$G$29</f>
        <v>3.5349620814738628E-4</v>
      </c>
      <c r="Y571" s="101">
        <f>((Tableau!$H$25-Q571)/(AD571^2+Tableau!$G$30^2)^(3/2))*Tableau!$G$29</f>
        <v>-1.7350818606129669E-4</v>
      </c>
      <c r="Z571" s="101">
        <f>((Tableau!$G$35-P571)/(AE571^2+Tableau!$G$40^2)^(3/2))*Tableau!$G$39</f>
        <v>1.0278678370206908E-3</v>
      </c>
      <c r="AA571" s="102">
        <f>((Tableau!$H$35-Q571)/(AE571^2+Tableau!$G$40^2)^(3/2))*Tableau!$G$39</f>
        <v>-5.0545804944498551E-4</v>
      </c>
      <c r="AC571" s="113">
        <f>SQRT((Tableau!$G$16-P571)^2+(Tableau!$H$16-Q571)^2)</f>
        <v>21392928.849561729</v>
      </c>
      <c r="AD571" s="114">
        <f>SQRT((Tableau!$G$25-P571)^2+(Tableau!$H$25-Q571)^2)</f>
        <v>21355914.010460101</v>
      </c>
      <c r="AE571" s="115">
        <f>SQRT((Tableau!$G$35-P571)^2+(Tableau!$H$35-Q571)^2)</f>
        <v>21380400.767113931</v>
      </c>
    </row>
    <row r="572" spans="2:31" x14ac:dyDescent="0.25">
      <c r="B572" s="20">
        <v>569</v>
      </c>
      <c r="C572" s="21">
        <f>Tableau!$G$17*COS(B572*PI()/180)+Tableau!$G$16</f>
        <v>15626.90146430302</v>
      </c>
      <c r="D572" s="21">
        <f>Tableau!$G$17*SIN(B572*PI()/180)+Tableau!$H$16</f>
        <v>5075.951898768315</v>
      </c>
      <c r="F572" s="28">
        <v>569</v>
      </c>
      <c r="G572" s="29">
        <f>Tableau!$G$26*COS(F572*PI()/180)+Tableau!$G$25</f>
        <v>-23061.168974987886</v>
      </c>
      <c r="H572" s="29">
        <f>Tableau!$G$26*SIN(F572*PI()/180)+Tableau!$H$25</f>
        <v>8303.1663291378209</v>
      </c>
      <c r="J572" s="36">
        <v>569</v>
      </c>
      <c r="K572" s="37">
        <f>Tableau!$G$36*COS(J572*PI()/180)+Tableau!$G$35</f>
        <v>-9373.0985356969795</v>
      </c>
      <c r="L572" s="37">
        <f>Tableau!$G$36*SIN(J572*PI()/180)+Tableau!$H$35</f>
        <v>-17424.048101231685</v>
      </c>
      <c r="N572" s="92">
        <v>568</v>
      </c>
      <c r="O572" s="93">
        <v>284</v>
      </c>
      <c r="P572" s="96">
        <f>P571+R571*Tableau!$G$2+((1/2)*T571)*Tableau!$G$2^2</f>
        <v>-19225425.894687656</v>
      </c>
      <c r="Q572" s="96">
        <f>Q571+S571*Tableau!$G$2+((1/2)*U571)*Tableau!$G$2^2</f>
        <v>9436729.0483683404</v>
      </c>
      <c r="R572" s="96">
        <f>R571+T571*Tableau!$G$2</f>
        <v>-68698.120707423703</v>
      </c>
      <c r="S572" s="96">
        <f>S571+U571*Tableau!$G$2</f>
        <v>33800.687680964285</v>
      </c>
      <c r="T572" s="96">
        <f t="shared" si="16"/>
        <v>2.4001601692696306E-3</v>
      </c>
      <c r="U572" s="96">
        <f t="shared" si="17"/>
        <v>-1.1781153000472618E-3</v>
      </c>
      <c r="V572" s="96">
        <f>((Tableau!$G$16-P572)/(AC572^2+Tableau!$G$21^2)^(3/2))*Tableau!$G$20</f>
        <v>1.0237314606727653E-3</v>
      </c>
      <c r="W572" s="96">
        <f>((Tableau!$H$16-Q572)/(AC572^2+Tableau!$G$21^2)^(3/2))*Tableau!$G$20</f>
        <v>-5.0157364557823166E-4</v>
      </c>
      <c r="X572" s="96">
        <f>((Tableau!$G$25-P572)/(AD572^2+Tableau!$G$30^2)^(3/2))*Tableau!$G$29</f>
        <v>3.5223199286222012E-4</v>
      </c>
      <c r="Y572" s="96">
        <f>((Tableau!$H$25-Q572)/(AD572^2+Tableau!$G$30^2)^(3/2))*Tableau!$G$29</f>
        <v>-1.7288841065468916E-4</v>
      </c>
      <c r="Z572" s="96">
        <f>((Tableau!$G$35-P572)/(AE572^2+Tableau!$G$40^2)^(3/2))*Tableau!$G$39</f>
        <v>1.0241967157346449E-3</v>
      </c>
      <c r="AA572" s="97">
        <f>((Tableau!$H$35-Q572)/(AE572^2+Tableau!$G$40^2)^(3/2))*Tableau!$G$39</f>
        <v>-5.0365324381434096E-4</v>
      </c>
      <c r="AC572" s="110">
        <f>SQRT((Tableau!$G$16-P572)^2+(Tableau!$H$16-Q572)^2)</f>
        <v>21431210.379129488</v>
      </c>
      <c r="AD572" s="111">
        <f>SQRT((Tableau!$G$25-P572)^2+(Tableau!$H$25-Q572)^2)</f>
        <v>21394195.576083027</v>
      </c>
      <c r="AE572" s="112">
        <f>SQRT((Tableau!$G$35-P572)^2+(Tableau!$H$35-Q572)^2)</f>
        <v>21418682.349223766</v>
      </c>
    </row>
    <row r="573" spans="2:31" x14ac:dyDescent="0.25">
      <c r="B573" s="18">
        <v>570</v>
      </c>
      <c r="C573" s="19">
        <f>Tableau!$G$17*COS(B573*PI()/180)+Tableau!$G$16</f>
        <v>15669.87298107781</v>
      </c>
      <c r="D573" s="19">
        <f>Tableau!$G$17*SIN(B573*PI()/180)+Tableau!$H$16</f>
        <v>4999.9999999999964</v>
      </c>
      <c r="F573" s="26">
        <v>570</v>
      </c>
      <c r="G573" s="27">
        <f>Tableau!$G$26*COS(F573*PI()/180)+Tableau!$G$25</f>
        <v>-23031.088913245534</v>
      </c>
      <c r="H573" s="27">
        <f>Tableau!$G$26*SIN(F573*PI()/180)+Tableau!$H$25</f>
        <v>8249.9999999999982</v>
      </c>
      <c r="J573" s="34">
        <v>570</v>
      </c>
      <c r="K573" s="35">
        <f>Tableau!$G$36*COS(J573*PI()/180)+Tableau!$G$35</f>
        <v>-9330.1270189221905</v>
      </c>
      <c r="L573" s="35">
        <f>Tableau!$G$36*SIN(J573*PI()/180)+Tableau!$H$35</f>
        <v>-17500.000000000004</v>
      </c>
      <c r="N573" s="98">
        <v>569</v>
      </c>
      <c r="O573" s="99">
        <v>284.5</v>
      </c>
      <c r="P573" s="101">
        <f>P572+R572*Tableau!$G$2+((1/2)*T572)*Tableau!$G$2^2</f>
        <v>-19259774.954741348</v>
      </c>
      <c r="Q573" s="101">
        <f>Q572+S572*Tableau!$G$2+((1/2)*U572)*Tableau!$G$2^2</f>
        <v>9453629.3920615576</v>
      </c>
      <c r="R573" s="101">
        <f>R572+T572*Tableau!$G$2</f>
        <v>-68698.119507343625</v>
      </c>
      <c r="S573" s="101">
        <f>S572+U572*Tableau!$G$2</f>
        <v>33800.687091906635</v>
      </c>
      <c r="T573" s="101">
        <f t="shared" si="16"/>
        <v>2.391602240351739E-3</v>
      </c>
      <c r="U573" s="101">
        <f t="shared" si="17"/>
        <v>-1.1739196350199878E-3</v>
      </c>
      <c r="V573" s="101">
        <f>((Tableau!$G$16-P573)/(AC573^2+Tableau!$G$21^2)^(3/2))*Tableau!$G$20</f>
        <v>1.0200824659566349E-3</v>
      </c>
      <c r="W573" s="101">
        <f>((Tableau!$H$16-Q573)/(AC573^2+Tableau!$G$21^2)^(3/2))*Tableau!$G$20</f>
        <v>-4.9978959747296872E-4</v>
      </c>
      <c r="X573" s="101">
        <f>((Tableau!$G$25-P573)/(AD573^2+Tableau!$G$30^2)^(3/2))*Tableau!$G$29</f>
        <v>3.5097454734452175E-4</v>
      </c>
      <c r="Y573" s="101">
        <f>((Tableau!$H$25-Q573)/(AD573^2+Tableau!$G$30^2)^(3/2))*Tableau!$G$29</f>
        <v>-1.7227195011194376E-4</v>
      </c>
      <c r="Z573" s="101">
        <f>((Tableau!$G$35-P573)/(AE573^2+Tableau!$G$40^2)^(3/2))*Tableau!$G$39</f>
        <v>1.0205452270505826E-3</v>
      </c>
      <c r="AA573" s="102">
        <f>((Tableau!$H$35-Q573)/(AE573^2+Tableau!$G$40^2)^(3/2))*Tableau!$G$39</f>
        <v>-5.0185808743507534E-4</v>
      </c>
      <c r="AC573" s="113">
        <f>SQRT((Tableau!$G$16-P573)^2+(Tableau!$H$16-Q573)^2)</f>
        <v>21469491.908218067</v>
      </c>
      <c r="AD573" s="114">
        <f>SQRT((Tableau!$G$25-P573)^2+(Tableau!$H$25-Q573)^2)</f>
        <v>21432477.141098306</v>
      </c>
      <c r="AE573" s="115">
        <f>SQRT((Tableau!$G$35-P573)^2+(Tableau!$H$35-Q573)^2)</f>
        <v>21456963.930667046</v>
      </c>
    </row>
    <row r="574" spans="2:31" x14ac:dyDescent="0.25">
      <c r="B574" s="20">
        <v>571</v>
      </c>
      <c r="C574" s="21">
        <f>Tableau!$G$17*COS(B574*PI()/180)+Tableau!$G$16</f>
        <v>15714.163496489437</v>
      </c>
      <c r="D574" s="21">
        <f>Tableau!$G$17*SIN(B574*PI()/180)+Tableau!$H$16</f>
        <v>4924.8096254497304</v>
      </c>
      <c r="F574" s="28">
        <v>571</v>
      </c>
      <c r="G574" s="29">
        <f>Tableau!$G$26*COS(F574*PI()/180)+Tableau!$G$25</f>
        <v>-23000.085552457393</v>
      </c>
      <c r="H574" s="29">
        <f>Tableau!$G$26*SIN(F574*PI()/180)+Tableau!$H$25</f>
        <v>8197.3667378148111</v>
      </c>
      <c r="J574" s="36">
        <v>571</v>
      </c>
      <c r="K574" s="37">
        <f>Tableau!$G$36*COS(J574*PI()/180)+Tableau!$G$35</f>
        <v>-9285.8365035105635</v>
      </c>
      <c r="L574" s="37">
        <f>Tableau!$G$36*SIN(J574*PI()/180)+Tableau!$H$35</f>
        <v>-17575.190374550271</v>
      </c>
      <c r="N574" s="92">
        <v>570</v>
      </c>
      <c r="O574" s="93">
        <v>285</v>
      </c>
      <c r="P574" s="96">
        <f>P573+R573*Tableau!$G$2+((1/2)*T573)*Tableau!$G$2^2</f>
        <v>-19294124.014196068</v>
      </c>
      <c r="Q574" s="96">
        <f>Q573+S573*Tableau!$G$2+((1/2)*U573)*Tableau!$G$2^2</f>
        <v>9470529.7354607712</v>
      </c>
      <c r="R574" s="96">
        <f>R573+T573*Tableau!$G$2</f>
        <v>-68698.118311542508</v>
      </c>
      <c r="S574" s="96">
        <f>S573+U573*Tableau!$G$2</f>
        <v>33800.686504946818</v>
      </c>
      <c r="T574" s="96">
        <f t="shared" si="16"/>
        <v>2.3830900008813905E-3</v>
      </c>
      <c r="U574" s="96">
        <f t="shared" si="17"/>
        <v>-1.1697463434625786E-3</v>
      </c>
      <c r="V574" s="96">
        <f>((Tableau!$G$16-P574)/(AC574^2+Tableau!$G$21^2)^(3/2))*Tableau!$G$20</f>
        <v>1.0164529463087156E-3</v>
      </c>
      <c r="W574" s="96">
        <f>((Tableau!$H$16-Q574)/(AC574^2+Tableau!$G$21^2)^(3/2))*Tableau!$G$20</f>
        <v>-4.9801505098270209E-4</v>
      </c>
      <c r="X574" s="96">
        <f>((Tableau!$G$25-P574)/(AD574^2+Tableau!$G$30^2)^(3/2))*Tableau!$G$29</f>
        <v>3.4972382334495008E-4</v>
      </c>
      <c r="Y574" s="96">
        <f>((Tableau!$H$25-Q574)/(AD574^2+Tableau!$G$30^2)^(3/2))*Tableau!$G$29</f>
        <v>-1.7165878083574902E-4</v>
      </c>
      <c r="Z574" s="96">
        <f>((Tableau!$G$35-P574)/(AE574^2+Tableau!$G$40^2)^(3/2))*Tableau!$G$39</f>
        <v>1.016913231227725E-3</v>
      </c>
      <c r="AA574" s="97">
        <f>((Tableau!$H$35-Q574)/(AE574^2+Tableau!$G$40^2)^(3/2))*Tableau!$G$39</f>
        <v>-5.0007251164412752E-4</v>
      </c>
      <c r="AC574" s="110">
        <f>SQRT((Tableau!$G$16-P574)^2+(Tableau!$H$16-Q574)^2)</f>
        <v>21507773.436828833</v>
      </c>
      <c r="AD574" s="111">
        <f>SQRT((Tableau!$G$25-P574)^2+(Tableau!$H$25-Q574)^2)</f>
        <v>21470758.705507986</v>
      </c>
      <c r="AE574" s="112">
        <f>SQRT((Tableau!$G$35-P574)^2+(Tableau!$H$35-Q574)^2)</f>
        <v>21495245.511446152</v>
      </c>
    </row>
    <row r="575" spans="2:31" x14ac:dyDescent="0.25">
      <c r="B575" s="18">
        <v>572</v>
      </c>
      <c r="C575" s="19">
        <f>Tableau!$G$17*COS(B575*PI()/180)+Tableau!$G$16</f>
        <v>15759.759519217871</v>
      </c>
      <c r="D575" s="19">
        <f>Tableau!$G$17*SIN(B575*PI()/180)+Tableau!$H$16</f>
        <v>4850.4036788339727</v>
      </c>
      <c r="F575" s="26">
        <v>572</v>
      </c>
      <c r="G575" s="27">
        <f>Tableau!$G$26*COS(F575*PI()/180)+Tableau!$G$25</f>
        <v>-22968.168336547489</v>
      </c>
      <c r="H575" s="27">
        <f>Tableau!$G$26*SIN(F575*PI()/180)+Tableau!$H$25</f>
        <v>8145.2825751837809</v>
      </c>
      <c r="J575" s="34">
        <v>572</v>
      </c>
      <c r="K575" s="35">
        <f>Tableau!$G$36*COS(J575*PI()/180)+Tableau!$G$35</f>
        <v>-9240.2404807821295</v>
      </c>
      <c r="L575" s="35">
        <f>Tableau!$G$36*SIN(J575*PI()/180)+Tableau!$H$35</f>
        <v>-17649.596321166027</v>
      </c>
      <c r="N575" s="98">
        <v>571</v>
      </c>
      <c r="O575" s="99">
        <v>285.5</v>
      </c>
      <c r="P575" s="101">
        <f>P574+R574*Tableau!$G$2+((1/2)*T574)*Tableau!$G$2^2</f>
        <v>-19328473.073053952</v>
      </c>
      <c r="Q575" s="101">
        <f>Q574+S574*Tableau!$G$2+((1/2)*U574)*Tableau!$G$2^2</f>
        <v>9487430.0785670262</v>
      </c>
      <c r="R575" s="101">
        <f>R574+T574*Tableau!$G$2</f>
        <v>-68698.117119997507</v>
      </c>
      <c r="S575" s="101">
        <f>S574+U574*Tableau!$G$2</f>
        <v>33800.685920073644</v>
      </c>
      <c r="T575" s="101">
        <f t="shared" si="16"/>
        <v>2.3746231261973401E-3</v>
      </c>
      <c r="U575" s="101">
        <f t="shared" si="17"/>
        <v>-1.165595266581092E-3</v>
      </c>
      <c r="V575" s="101">
        <f>((Tableau!$G$16-P575)/(AC575^2+Tableau!$G$21^2)^(3/2))*Tableau!$G$20</f>
        <v>1.012842763387711E-3</v>
      </c>
      <c r="W575" s="101">
        <f>((Tableau!$H$16-Q575)/(AC575^2+Tableau!$G$21^2)^(3/2))*Tableau!$G$20</f>
        <v>-4.9624993875460295E-4</v>
      </c>
      <c r="X575" s="101">
        <f>((Tableau!$G$25-P575)/(AD575^2+Tableau!$G$30^2)^(3/2))*Tableau!$G$29</f>
        <v>3.4847977304325648E-4</v>
      </c>
      <c r="Y575" s="101">
        <f>((Tableau!$H$25-Q575)/(AD575^2+Tableau!$G$30^2)^(3/2))*Tableau!$G$29</f>
        <v>-1.7104887943839849E-4</v>
      </c>
      <c r="Z575" s="101">
        <f>((Tableau!$G$35-P575)/(AE575^2+Tableau!$G$40^2)^(3/2))*Tableau!$G$39</f>
        <v>1.0133005897663729E-3</v>
      </c>
      <c r="AA575" s="102">
        <f>((Tableau!$H$35-Q575)/(AE575^2+Tableau!$G$40^2)^(3/2))*Tableau!$G$39</f>
        <v>-4.9829644838809061E-4</v>
      </c>
      <c r="AC575" s="113">
        <f>SQRT((Tableau!$G$16-P575)^2+(Tableau!$H$16-Q575)^2)</f>
        <v>21546054.96496316</v>
      </c>
      <c r="AD575" s="114">
        <f>SQRT((Tableau!$G$25-P575)^2+(Tableau!$H$25-Q575)^2)</f>
        <v>21509040.269314121</v>
      </c>
      <c r="AE575" s="115">
        <f>SQRT((Tableau!$G$35-P575)^2+(Tableau!$H$35-Q575)^2)</f>
        <v>21533527.091563437</v>
      </c>
    </row>
    <row r="576" spans="2:31" x14ac:dyDescent="0.25">
      <c r="B576" s="20">
        <v>573</v>
      </c>
      <c r="C576" s="21">
        <f>Tableau!$G$17*COS(B576*PI()/180)+Tableau!$G$16</f>
        <v>15806.647160272878</v>
      </c>
      <c r="D576" s="21">
        <f>Tableau!$G$17*SIN(B576*PI()/180)+Tableau!$H$16</f>
        <v>4776.8048249248677</v>
      </c>
      <c r="F576" s="28">
        <v>573</v>
      </c>
      <c r="G576" s="29">
        <f>Tableau!$G$26*COS(F576*PI()/180)+Tableau!$G$25</f>
        <v>-22935.346987808985</v>
      </c>
      <c r="H576" s="29">
        <f>Tableau!$G$26*SIN(F576*PI()/180)+Tableau!$H$25</f>
        <v>8093.763377447407</v>
      </c>
      <c r="J576" s="36">
        <v>573</v>
      </c>
      <c r="K576" s="37">
        <f>Tableau!$G$36*COS(J576*PI()/180)+Tableau!$G$35</f>
        <v>-9193.352839727122</v>
      </c>
      <c r="L576" s="37">
        <f>Tableau!$G$36*SIN(J576*PI()/180)+Tableau!$H$35</f>
        <v>-17723.195175075132</v>
      </c>
      <c r="N576" s="92">
        <v>572</v>
      </c>
      <c r="O576" s="93">
        <v>286</v>
      </c>
      <c r="P576" s="96">
        <f>P575+R575*Tableau!$G$2+((1/2)*T575)*Tableau!$G$2^2</f>
        <v>-19362822.131317124</v>
      </c>
      <c r="Q576" s="96">
        <f>Q575+S575*Tableau!$G$2+((1/2)*U575)*Tableau!$G$2^2</f>
        <v>9504330.4213813636</v>
      </c>
      <c r="R576" s="96">
        <f>R575+T575*Tableau!$G$2</f>
        <v>-68698.115932685949</v>
      </c>
      <c r="S576" s="96">
        <f>S575+U575*Tableau!$G$2</f>
        <v>33800.685337276009</v>
      </c>
      <c r="T576" s="96">
        <f t="shared" si="16"/>
        <v>2.3662012945170029E-3</v>
      </c>
      <c r="U576" s="96">
        <f t="shared" si="17"/>
        <v>-1.1614662469878949E-3</v>
      </c>
      <c r="V576" s="96">
        <f>((Tableau!$G$16-P576)/(AC576^2+Tableau!$G$21^2)^(3/2))*Tableau!$G$20</f>
        <v>1.0092517800785431E-3</v>
      </c>
      <c r="W576" s="96">
        <f>((Tableau!$H$16-Q576)/(AC576^2+Tableau!$G$21^2)^(3/2))*Tableau!$G$20</f>
        <v>-4.944941940315835E-4</v>
      </c>
      <c r="X576" s="96">
        <f>((Tableau!$G$25-P576)/(AD576^2+Tableau!$G$30^2)^(3/2))*Tableau!$G$29</f>
        <v>3.4724234904368972E-4</v>
      </c>
      <c r="Y576" s="96">
        <f>((Tableau!$H$25-Q576)/(AD576^2+Tableau!$G$30^2)^(3/2))*Tableau!$G$29</f>
        <v>-1.704422227395489E-4</v>
      </c>
      <c r="Z576" s="96">
        <f>((Tableau!$G$35-P576)/(AE576^2+Tableau!$G$40^2)^(3/2))*Tableau!$G$39</f>
        <v>1.00970716539477E-3</v>
      </c>
      <c r="AA576" s="97">
        <f>((Tableau!$H$35-Q576)/(AE576^2+Tableau!$G$40^2)^(3/2))*Tableau!$G$39</f>
        <v>-4.9652983021676242E-4</v>
      </c>
      <c r="AC576" s="110">
        <f>SQRT((Tableau!$G$16-P576)^2+(Tableau!$H$16-Q576)^2)</f>
        <v>21584336.492622409</v>
      </c>
      <c r="AD576" s="111">
        <f>SQRT((Tableau!$G$25-P576)^2+(Tableau!$H$25-Q576)^2)</f>
        <v>21547321.832518749</v>
      </c>
      <c r="AE576" s="112">
        <f>SQRT((Tableau!$G$35-P576)^2+(Tableau!$H$35-Q576)^2)</f>
        <v>21571808.671021253</v>
      </c>
    </row>
    <row r="577" spans="2:31" x14ac:dyDescent="0.25">
      <c r="B577" s="18">
        <v>574</v>
      </c>
      <c r="C577" s="19">
        <f>Tableau!$G$17*COS(B577*PI()/180)+Tableau!$G$16</f>
        <v>15854.812137224792</v>
      </c>
      <c r="D577" s="19">
        <f>Tableau!$G$17*SIN(B577*PI()/180)+Tableau!$H$16</f>
        <v>4704.0354826462662</v>
      </c>
      <c r="F577" s="26">
        <v>574</v>
      </c>
      <c r="G577" s="27">
        <f>Tableau!$G$26*COS(F577*PI()/180)+Tableau!$G$25</f>
        <v>-22901.631503942644</v>
      </c>
      <c r="H577" s="27">
        <f>Tableau!$G$26*SIN(F577*PI()/180)+Tableau!$H$25</f>
        <v>8042.8248378523858</v>
      </c>
      <c r="J577" s="34">
        <v>574</v>
      </c>
      <c r="K577" s="35">
        <f>Tableau!$G$36*COS(J577*PI()/180)+Tableau!$G$35</f>
        <v>-9145.1878627752085</v>
      </c>
      <c r="L577" s="35">
        <f>Tableau!$G$36*SIN(J577*PI()/180)+Tableau!$H$35</f>
        <v>-17795.964517353736</v>
      </c>
      <c r="N577" s="98">
        <v>573</v>
      </c>
      <c r="O577" s="99">
        <v>286.5</v>
      </c>
      <c r="P577" s="101">
        <f>P576+R576*Tableau!$G$2+((1/2)*T576)*Tableau!$G$2^2</f>
        <v>-19397171.188987691</v>
      </c>
      <c r="Q577" s="101">
        <f>Q576+S576*Tableau!$G$2+((1/2)*U576)*Tableau!$G$2^2</f>
        <v>9521230.7639048174</v>
      </c>
      <c r="R577" s="101">
        <f>R576+T576*Tableau!$G$2</f>
        <v>-68698.114749585307</v>
      </c>
      <c r="S577" s="101">
        <f>S576+U576*Tableau!$G$2</f>
        <v>33800.684756542883</v>
      </c>
      <c r="T577" s="101">
        <f t="shared" si="16"/>
        <v>2.357824186905842E-3</v>
      </c>
      <c r="U577" s="101">
        <f t="shared" si="17"/>
        <v>-1.1573591286867255E-3</v>
      </c>
      <c r="V577" s="101">
        <f>((Tableau!$G$16-P577)/(AC577^2+Tableau!$G$21^2)^(3/2))*Tableau!$G$20</f>
        <v>1.005679860479339E-3</v>
      </c>
      <c r="W577" s="101">
        <f>((Tableau!$H$16-Q577)/(AC577^2+Tableau!$G$21^2)^(3/2))*Tableau!$G$20</f>
        <v>-4.9274775064598925E-4</v>
      </c>
      <c r="X577" s="101">
        <f>((Tableau!$G$25-P577)/(AD577^2+Tableau!$G$30^2)^(3/2))*Tableau!$G$29</f>
        <v>3.4601150437052822E-4</v>
      </c>
      <c r="Y577" s="101">
        <f>((Tableau!$H$25-Q577)/(AD577^2+Tableau!$G$30^2)^(3/2))*Tableau!$G$29</f>
        <v>-1.6983878776404018E-4</v>
      </c>
      <c r="Z577" s="101">
        <f>((Tableau!$G$35-P577)/(AE577^2+Tableau!$G$40^2)^(3/2))*Tableau!$G$39</f>
        <v>1.0061328220559746E-3</v>
      </c>
      <c r="AA577" s="102">
        <f>((Tableau!$H$35-Q577)/(AE577^2+Tableau!$G$40^2)^(3/2))*Tableau!$G$39</f>
        <v>-4.9477259027669611E-4</v>
      </c>
      <c r="AC577" s="113">
        <f>SQRT((Tableau!$G$16-P577)^2+(Tableau!$H$16-Q577)^2)</f>
        <v>21622618.019807931</v>
      </c>
      <c r="AD577" s="114">
        <f>SQRT((Tableau!$G$25-P577)^2+(Tableau!$H$25-Q577)^2)</f>
        <v>21585603.395123892</v>
      </c>
      <c r="AE577" s="115">
        <f>SQRT((Tableau!$G$35-P577)^2+(Tableau!$H$35-Q577)^2)</f>
        <v>21610090.249821931</v>
      </c>
    </row>
    <row r="578" spans="2:31" x14ac:dyDescent="0.25">
      <c r="B578" s="20">
        <v>575</v>
      </c>
      <c r="C578" s="21">
        <f>Tableau!$G$17*COS(B578*PI()/180)+Tableau!$G$16</f>
        <v>15904.239778555038</v>
      </c>
      <c r="D578" s="21">
        <f>Tableau!$G$17*SIN(B578*PI()/180)+Tableau!$H$16</f>
        <v>4632.1178182447748</v>
      </c>
      <c r="F578" s="28">
        <v>575</v>
      </c>
      <c r="G578" s="29">
        <f>Tableau!$G$26*COS(F578*PI()/180)+Tableau!$G$25</f>
        <v>-22867.032155011475</v>
      </c>
      <c r="H578" s="29">
        <f>Tableau!$G$26*SIN(F578*PI()/180)+Tableau!$H$25</f>
        <v>7992.4824727713421</v>
      </c>
      <c r="J578" s="36">
        <v>575</v>
      </c>
      <c r="K578" s="37">
        <f>Tableau!$G$36*COS(J578*PI()/180)+Tableau!$G$35</f>
        <v>-9095.7602214449616</v>
      </c>
      <c r="L578" s="37">
        <f>Tableau!$G$36*SIN(J578*PI()/180)+Tableau!$H$35</f>
        <v>-17867.882181755227</v>
      </c>
      <c r="N578" s="92">
        <v>574</v>
      </c>
      <c r="O578" s="93">
        <v>287</v>
      </c>
      <c r="P578" s="96">
        <f>P577+R577*Tableau!$G$2+((1/2)*T577)*Tableau!$G$2^2</f>
        <v>-19431520.246067759</v>
      </c>
      <c r="Q578" s="96">
        <f>Q577+S577*Tableau!$G$2+((1/2)*U577)*Tableau!$G$2^2</f>
        <v>9538131.1061384194</v>
      </c>
      <c r="R578" s="96">
        <f>R577+T577*Tableau!$G$2</f>
        <v>-68698.113570673217</v>
      </c>
      <c r="S578" s="96">
        <f>S577+U577*Tableau!$G$2</f>
        <v>33800.684177863317</v>
      </c>
      <c r="T578" s="96">
        <f t="shared" si="16"/>
        <v>2.3494914872471207E-3</v>
      </c>
      <c r="U578" s="96">
        <f t="shared" si="17"/>
        <v>-1.1532737570579331E-3</v>
      </c>
      <c r="V578" s="96">
        <f>((Tableau!$G$16-P578)/(AC578^2+Tableau!$G$21^2)^(3/2))*Tableau!$G$20</f>
        <v>1.0021268698885155E-3</v>
      </c>
      <c r="W578" s="96">
        <f>((Tableau!$H$16-Q578)/(AC578^2+Tableau!$G$21^2)^(3/2))*Tableau!$G$20</f>
        <v>-4.910105430133352E-4</v>
      </c>
      <c r="X578" s="96">
        <f>((Tableau!$G$25-P578)/(AD578^2+Tableau!$G$30^2)^(3/2))*Tableau!$G$29</f>
        <v>3.4478719246356569E-4</v>
      </c>
      <c r="Y578" s="96">
        <f>((Tableau!$H$25-Q578)/(AD578^2+Tableau!$G$30^2)^(3/2))*Tableau!$G$29</f>
        <v>-1.6923855173969288E-4</v>
      </c>
      <c r="Z578" s="96">
        <f>((Tableau!$G$35-P578)/(AE578^2+Tableau!$G$40^2)^(3/2))*Tableau!$G$39</f>
        <v>1.0025774248950394E-3</v>
      </c>
      <c r="AA578" s="97">
        <f>((Tableau!$H$35-Q578)/(AE578^2+Tableau!$G$40^2)^(3/2))*Tableau!$G$39</f>
        <v>-4.9302466230490493E-4</v>
      </c>
      <c r="AC578" s="110">
        <f>SQRT((Tableau!$G$16-P578)^2+(Tableau!$H$16-Q578)^2)</f>
        <v>21660899.546521083</v>
      </c>
      <c r="AD578" s="111">
        <f>SQRT((Tableau!$G$25-P578)^2+(Tableau!$H$25-Q578)^2)</f>
        <v>21623884.957131568</v>
      </c>
      <c r="AE578" s="112">
        <f>SQRT((Tableau!$G$35-P578)^2+(Tableau!$H$35-Q578)^2)</f>
        <v>21648371.8279678</v>
      </c>
    </row>
    <row r="579" spans="2:31" x14ac:dyDescent="0.25">
      <c r="B579" s="18">
        <v>576</v>
      </c>
      <c r="C579" s="19">
        <f>Tableau!$G$17*COS(B579*PI()/180)+Tableau!$G$16</f>
        <v>15954.915028125262</v>
      </c>
      <c r="D579" s="19">
        <f>Tableau!$G$17*SIN(B579*PI()/180)+Tableau!$H$16</f>
        <v>4561.073738537636</v>
      </c>
      <c r="F579" s="26">
        <v>576</v>
      </c>
      <c r="G579" s="27">
        <f>Tableau!$G$26*COS(F579*PI()/180)+Tableau!$G$25</f>
        <v>-22831.559480312317</v>
      </c>
      <c r="H579" s="27">
        <f>Tableau!$G$26*SIN(F579*PI()/180)+Tableau!$H$25</f>
        <v>7942.7516169763458</v>
      </c>
      <c r="J579" s="34">
        <v>576</v>
      </c>
      <c r="K579" s="35">
        <f>Tableau!$G$36*COS(J579*PI()/180)+Tableau!$G$35</f>
        <v>-9045.0849718747377</v>
      </c>
      <c r="L579" s="35">
        <f>Tableau!$G$36*SIN(J579*PI()/180)+Tableau!$H$35</f>
        <v>-17938.926261462366</v>
      </c>
      <c r="N579" s="98">
        <v>575</v>
      </c>
      <c r="O579" s="99">
        <v>287.5</v>
      </c>
      <c r="P579" s="101">
        <f>P578+R578*Tableau!$G$2+((1/2)*T578)*Tableau!$G$2^2</f>
        <v>-19465869.302559409</v>
      </c>
      <c r="Q579" s="101">
        <f>Q578+S578*Tableau!$G$2+((1/2)*U578)*Tableau!$G$2^2</f>
        <v>9555031.4480831921</v>
      </c>
      <c r="R579" s="101">
        <f>R578+T578*Tableau!$G$2</f>
        <v>-68698.11239592747</v>
      </c>
      <c r="S579" s="101">
        <f>S578+U578*Tableau!$G$2</f>
        <v>33800.683601226439</v>
      </c>
      <c r="T579" s="101">
        <f t="shared" si="16"/>
        <v>2.3412028822121984E-3</v>
      </c>
      <c r="U579" s="101">
        <f t="shared" si="17"/>
        <v>-1.1492099788439848E-3</v>
      </c>
      <c r="V579" s="101">
        <f>((Tableau!$G$16-P579)/(AC579^2+Tableau!$G$21^2)^(3/2))*Tableau!$G$20</f>
        <v>9.9859267479216244E-4</v>
      </c>
      <c r="W579" s="101">
        <f>((Tableau!$H$16-Q579)/(AC579^2+Tableau!$G$21^2)^(3/2))*Tableau!$G$20</f>
        <v>-4.8928250612619104E-4</v>
      </c>
      <c r="X579" s="101">
        <f>((Tableau!$G$25-P579)/(AD579^2+Tableau!$G$30^2)^(3/2))*Tableau!$G$29</f>
        <v>3.435693671737627E-4</v>
      </c>
      <c r="Y579" s="101">
        <f>((Tableau!$H$25-Q579)/(AD579^2+Tableau!$G$30^2)^(3/2))*Tableau!$G$29</f>
        <v>-1.686414920951867E-4</v>
      </c>
      <c r="Z579" s="101">
        <f>((Tableau!$G$35-P579)/(AE579^2+Tableau!$G$40^2)^(3/2))*Tableau!$G$39</f>
        <v>9.9904084024627325E-4</v>
      </c>
      <c r="AA579" s="102">
        <f>((Tableau!$H$35-Q579)/(AE579^2+Tableau!$G$40^2)^(3/2))*Tableau!$G$39</f>
        <v>-4.9128598062260704E-4</v>
      </c>
      <c r="AC579" s="113">
        <f>SQRT((Tableau!$G$16-P579)^2+(Tableau!$H$16-Q579)^2)</f>
        <v>21699181.072763197</v>
      </c>
      <c r="AD579" s="114">
        <f>SQRT((Tableau!$G$25-P579)^2+(Tableau!$H$25-Q579)^2)</f>
        <v>21662166.518543787</v>
      </c>
      <c r="AE579" s="115">
        <f>SQRT((Tableau!$G$35-P579)^2+(Tableau!$H$35-Q579)^2)</f>
        <v>21686653.405461166</v>
      </c>
    </row>
    <row r="580" spans="2:31" x14ac:dyDescent="0.25">
      <c r="B580" s="20">
        <v>577</v>
      </c>
      <c r="C580" s="21">
        <f>Tableau!$G$17*COS(B580*PI()/180)+Tableau!$G$16</f>
        <v>16006.822449763536</v>
      </c>
      <c r="D580" s="21">
        <f>Tableau!$G$17*SIN(B580*PI()/180)+Tableau!$H$16</f>
        <v>4490.9248842397574</v>
      </c>
      <c r="F580" s="28">
        <v>577</v>
      </c>
      <c r="G580" s="29">
        <f>Tableau!$G$26*COS(F580*PI()/180)+Tableau!$G$25</f>
        <v>-22795.224285165525</v>
      </c>
      <c r="H580" s="29">
        <f>Tableau!$G$26*SIN(F580*PI()/180)+Tableau!$H$25</f>
        <v>7893.6474189678302</v>
      </c>
      <c r="J580" s="36">
        <v>577</v>
      </c>
      <c r="K580" s="37">
        <f>Tableau!$G$36*COS(J580*PI()/180)+Tableau!$G$35</f>
        <v>-8993.1775502364635</v>
      </c>
      <c r="L580" s="37">
        <f>Tableau!$G$36*SIN(J580*PI()/180)+Tableau!$H$35</f>
        <v>-18009.075115760243</v>
      </c>
      <c r="N580" s="92">
        <v>576</v>
      </c>
      <c r="O580" s="93">
        <v>288</v>
      </c>
      <c r="P580" s="96">
        <f>P579+R579*Tableau!$G$2+((1/2)*T579)*Tableau!$G$2^2</f>
        <v>-19500218.358464722</v>
      </c>
      <c r="Q580" s="96">
        <f>Q579+S579*Tableau!$G$2+((1/2)*U579)*Tableau!$G$2^2</f>
        <v>9571931.7897401545</v>
      </c>
      <c r="R580" s="96">
        <f>R579+T579*Tableau!$G$2</f>
        <v>-68698.111225326036</v>
      </c>
      <c r="S580" s="96">
        <f>S579+U579*Tableau!$G$2</f>
        <v>33800.683026621453</v>
      </c>
      <c r="T580" s="96">
        <f t="shared" ref="T580:T643" si="18">V580+X580+Z580</f>
        <v>2.3329580612309773E-3</v>
      </c>
      <c r="U580" s="96">
        <f t="shared" ref="U580:U643" si="19">W580+Y580+AA580</f>
        <v>-1.1451676421350434E-3</v>
      </c>
      <c r="V580" s="96">
        <f>((Tableau!$G$16-P580)/(AC580^2+Tableau!$G$21^2)^(3/2))*Tableau!$G$20</f>
        <v>9.9507714285142755E-4</v>
      </c>
      <c r="W580" s="96">
        <f>((Tableau!$H$16-Q580)/(AC580^2+Tableau!$G$21^2)^(3/2))*Tableau!$G$20</f>
        <v>-4.8756357554806282E-4</v>
      </c>
      <c r="X580" s="96">
        <f>((Tableau!$G$25-P580)/(AD580^2+Tableau!$G$30^2)^(3/2))*Tableau!$G$29</f>
        <v>3.4235798275885677E-4</v>
      </c>
      <c r="Y580" s="96">
        <f>((Tableau!$H$25-Q580)/(AD580^2+Tableau!$G$30^2)^(3/2))*Tableau!$G$29</f>
        <v>-1.6804758645791814E-4</v>
      </c>
      <c r="Z580" s="96">
        <f>((Tableau!$G$35-P580)/(AE580^2+Tableau!$G$40^2)^(3/2))*Tableau!$G$39</f>
        <v>9.955229356206931E-4</v>
      </c>
      <c r="AA580" s="97">
        <f>((Tableau!$H$35-Q580)/(AE580^2+Tableau!$G$40^2)^(3/2))*Tableau!$G$39</f>
        <v>-4.8955648012906231E-4</v>
      </c>
      <c r="AC580" s="110">
        <f>SQRT((Tableau!$G$16-P580)^2+(Tableau!$H$16-Q580)^2)</f>
        <v>21737462.598535627</v>
      </c>
      <c r="AD580" s="111">
        <f>SQRT((Tableau!$G$25-P580)^2+(Tableau!$H$25-Q580)^2)</f>
        <v>21700448.079362541</v>
      </c>
      <c r="AE580" s="112">
        <f>SQRT((Tableau!$G$35-P580)^2+(Tableau!$H$35-Q580)^2)</f>
        <v>21724934.982304327</v>
      </c>
    </row>
    <row r="581" spans="2:31" x14ac:dyDescent="0.25">
      <c r="B581" s="18">
        <v>578</v>
      </c>
      <c r="C581" s="19">
        <f>Tableau!$G$17*COS(B581*PI()/180)+Tableau!$G$16</f>
        <v>16059.946231966387</v>
      </c>
      <c r="D581" s="19">
        <f>Tableau!$G$17*SIN(B581*PI()/180)+Tableau!$H$16</f>
        <v>4421.6926233717113</v>
      </c>
      <c r="F581" s="26">
        <v>578</v>
      </c>
      <c r="G581" s="27">
        <f>Tableau!$G$26*COS(F581*PI()/180)+Tableau!$G$25</f>
        <v>-22758.037637623529</v>
      </c>
      <c r="H581" s="27">
        <f>Tableau!$G$26*SIN(F581*PI()/180)+Tableau!$H$25</f>
        <v>7845.1848363601985</v>
      </c>
      <c r="J581" s="34">
        <v>578</v>
      </c>
      <c r="K581" s="35">
        <f>Tableau!$G$36*COS(J581*PI()/180)+Tableau!$G$35</f>
        <v>-8940.0537680336129</v>
      </c>
      <c r="L581" s="35">
        <f>Tableau!$G$36*SIN(J581*PI()/180)+Tableau!$H$35</f>
        <v>-18078.307376628287</v>
      </c>
      <c r="N581" s="98">
        <v>577</v>
      </c>
      <c r="O581" s="99">
        <v>288.5</v>
      </c>
      <c r="P581" s="101">
        <f>P580+R580*Tableau!$G$2+((1/2)*T580)*Tableau!$G$2^2</f>
        <v>-19534567.413785767</v>
      </c>
      <c r="Q581" s="101">
        <f>Q580+S580*Tableau!$G$2+((1/2)*U580)*Tableau!$G$2^2</f>
        <v>9588832.1311103199</v>
      </c>
      <c r="R581" s="101">
        <f>R580+T580*Tableau!$G$2</f>
        <v>-68698.110058847</v>
      </c>
      <c r="S581" s="101">
        <f>S580+U580*Tableau!$G$2</f>
        <v>33800.682454037633</v>
      </c>
      <c r="T581" s="101">
        <f t="shared" si="18"/>
        <v>2.3247567164628204E-3</v>
      </c>
      <c r="U581" s="101">
        <f t="shared" si="19"/>
        <v>-1.1411465963547744E-3</v>
      </c>
      <c r="V581" s="101">
        <f>((Tableau!$G$16-P581)/(AC581^2+Tableau!$G$21^2)^(3/2))*Tableau!$G$20</f>
        <v>9.9158014289017554E-4</v>
      </c>
      <c r="W581" s="101">
        <f>((Tableau!$H$16-Q581)/(AC581^2+Tableau!$G$21^2)^(3/2))*Tableau!$G$20</f>
        <v>-4.858536874074103E-4</v>
      </c>
      <c r="X581" s="101">
        <f>((Tableau!$G$25-P581)/(AD581^2+Tableau!$G$30^2)^(3/2))*Tableau!$G$29</f>
        <v>3.4115299387908982E-4</v>
      </c>
      <c r="Y581" s="101">
        <f>((Tableau!$H$25-Q581)/(AD581^2+Tableau!$G$30^2)^(3/2))*Tableau!$G$29</f>
        <v>-1.6745681265191597E-4</v>
      </c>
      <c r="Z581" s="101">
        <f>((Tableau!$G$35-P581)/(AE581^2+Tableau!$G$40^2)^(3/2))*Tableau!$G$39</f>
        <v>9.9202357969355474E-4</v>
      </c>
      <c r="AA581" s="102">
        <f>((Tableau!$H$35-Q581)/(AE581^2+Tableau!$G$40^2)^(3/2))*Tableau!$G$39</f>
        <v>-4.8783609629544813E-4</v>
      </c>
      <c r="AC581" s="113">
        <f>SQRT((Tableau!$G$16-P581)^2+(Tableau!$H$16-Q581)^2)</f>
        <v>21775744.123839702</v>
      </c>
      <c r="AD581" s="114">
        <f>SQRT((Tableau!$G$25-P581)^2+(Tableau!$H$25-Q581)^2)</f>
        <v>21738729.639589816</v>
      </c>
      <c r="AE581" s="115">
        <f>SQRT((Tableau!$G$35-P581)^2+(Tableau!$H$35-Q581)^2)</f>
        <v>21763216.558499571</v>
      </c>
    </row>
    <row r="582" spans="2:31" x14ac:dyDescent="0.25">
      <c r="B582" s="20">
        <v>579</v>
      </c>
      <c r="C582" s="21">
        <f>Tableau!$G$17*COS(B582*PI()/180)+Tableau!$G$16</f>
        <v>16114.270192715147</v>
      </c>
      <c r="D582" s="21">
        <f>Tableau!$G$17*SIN(B582*PI()/180)+Tableau!$H$16</f>
        <v>4353.3980447508129</v>
      </c>
      <c r="F582" s="28">
        <v>579</v>
      </c>
      <c r="G582" s="29">
        <f>Tableau!$G$26*COS(F582*PI()/180)+Tableau!$G$25</f>
        <v>-22720.010865099397</v>
      </c>
      <c r="H582" s="29">
        <f>Tableau!$G$26*SIN(F582*PI()/180)+Tableau!$H$25</f>
        <v>7797.3786313255696</v>
      </c>
      <c r="J582" s="36">
        <v>579</v>
      </c>
      <c r="K582" s="37">
        <f>Tableau!$G$36*COS(J582*PI()/180)+Tableau!$G$35</f>
        <v>-8885.7298072848535</v>
      </c>
      <c r="L582" s="37">
        <f>Tableau!$G$36*SIN(J582*PI()/180)+Tableau!$H$35</f>
        <v>-18146.601955249185</v>
      </c>
      <c r="N582" s="92">
        <v>578</v>
      </c>
      <c r="O582" s="93">
        <v>289</v>
      </c>
      <c r="P582" s="96">
        <f>P581+R581*Tableau!$G$2+((1/2)*T581)*Tableau!$G$2^2</f>
        <v>-19568916.468524594</v>
      </c>
      <c r="Q582" s="96">
        <f>Q581+S581*Tableau!$G$2+((1/2)*U581)*Tableau!$G$2^2</f>
        <v>9605732.4721946958</v>
      </c>
      <c r="R582" s="96">
        <f>R581+T581*Tableau!$G$2</f>
        <v>-68698.108896468635</v>
      </c>
      <c r="S582" s="96">
        <f>S581+U581*Tableau!$G$2</f>
        <v>33800.681883464335</v>
      </c>
      <c r="T582" s="96">
        <f t="shared" si="18"/>
        <v>2.3165985427679031E-3</v>
      </c>
      <c r="U582" s="96">
        <f t="shared" si="19"/>
        <v>-1.1371466922463706E-3</v>
      </c>
      <c r="V582" s="96">
        <f>((Tableau!$G$16-P582)/(AC582^2+Tableau!$G$21^2)^(3/2))*Tableau!$G$20</f>
        <v>9.8810154488273303E-4</v>
      </c>
      <c r="W582" s="96">
        <f>((Tableau!$H$16-Q582)/(AC582^2+Tableau!$G$21^2)^(3/2))*Tableau!$G$20</f>
        <v>-4.8415277839170418E-4</v>
      </c>
      <c r="X582" s="96">
        <f>((Tableau!$G$25-P582)/(AD582^2+Tableau!$G$30^2)^(3/2))*Tableau!$G$29</f>
        <v>3.3995435559295521E-4</v>
      </c>
      <c r="Y582" s="96">
        <f>((Tableau!$H$25-Q582)/(AD582^2+Tableau!$G$30^2)^(3/2))*Tableau!$G$29</f>
        <v>-1.6686914869576617E-4</v>
      </c>
      <c r="Z582" s="96">
        <f>((Tableau!$G$35-P582)/(AE582^2+Tableau!$G$40^2)^(3/2))*Tableau!$G$39</f>
        <v>9.8854264229221488E-4</v>
      </c>
      <c r="AA582" s="97">
        <f>((Tableau!$H$35-Q582)/(AE582^2+Tableau!$G$40^2)^(3/2))*Tableau!$G$39</f>
        <v>-4.8612476515890016E-4</v>
      </c>
      <c r="AC582" s="110">
        <f>SQRT((Tableau!$G$16-P582)^2+(Tableau!$H$16-Q582)^2)</f>
        <v>21814025.648676742</v>
      </c>
      <c r="AD582" s="111">
        <f>SQRT((Tableau!$G$25-P582)^2+(Tableau!$H$25-Q582)^2)</f>
        <v>21777011.19922759</v>
      </c>
      <c r="AE582" s="112">
        <f>SQRT((Tableau!$G$35-P582)^2+(Tableau!$H$35-Q582)^2)</f>
        <v>21801498.134049166</v>
      </c>
    </row>
    <row r="583" spans="2:31" x14ac:dyDescent="0.25">
      <c r="B583" s="18">
        <v>580</v>
      </c>
      <c r="C583" s="19">
        <f>Tableau!$G$17*COS(B583*PI()/180)+Tableau!$G$16</f>
        <v>16169.777784405105</v>
      </c>
      <c r="D583" s="19">
        <f>Tableau!$G$17*SIN(B583*PI()/180)+Tableau!$H$16</f>
        <v>4286.0619515673079</v>
      </c>
      <c r="F583" s="26">
        <v>580</v>
      </c>
      <c r="G583" s="27">
        <f>Tableau!$G$26*COS(F583*PI()/180)+Tableau!$G$25</f>
        <v>-22681.155550916425</v>
      </c>
      <c r="H583" s="27">
        <f>Tableau!$G$26*SIN(F583*PI()/180)+Tableau!$H$25</f>
        <v>7750.2433660971155</v>
      </c>
      <c r="J583" s="34">
        <v>580</v>
      </c>
      <c r="K583" s="35">
        <f>Tableau!$G$36*COS(J583*PI()/180)+Tableau!$G$35</f>
        <v>-8830.2222155948948</v>
      </c>
      <c r="L583" s="35">
        <f>Tableau!$G$36*SIN(J583*PI()/180)+Tableau!$H$35</f>
        <v>-18213.93804843269</v>
      </c>
      <c r="N583" s="98">
        <v>579</v>
      </c>
      <c r="O583" s="99">
        <v>289.5</v>
      </c>
      <c r="P583" s="101">
        <f>P582+R582*Tableau!$G$2+((1/2)*T582)*Tableau!$G$2^2</f>
        <v>-19603265.522683255</v>
      </c>
      <c r="Q583" s="101">
        <f>Q582+S582*Tableau!$G$2+((1/2)*U582)*Tableau!$G$2^2</f>
        <v>9622632.8129942846</v>
      </c>
      <c r="R583" s="101">
        <f>R582+T582*Tableau!$G$2</f>
        <v>-68698.107738169361</v>
      </c>
      <c r="S583" s="101">
        <f>S582+U582*Tableau!$G$2</f>
        <v>33800.681314890986</v>
      </c>
      <c r="T583" s="101">
        <f t="shared" si="18"/>
        <v>2.3084832376786737E-3</v>
      </c>
      <c r="U583" s="101">
        <f t="shared" si="19"/>
        <v>-1.1331677818586185E-3</v>
      </c>
      <c r="V583" s="101">
        <f>((Tableau!$G$16-P583)/(AC583^2+Tableau!$G$21^2)^(3/2))*Tableau!$G$20</f>
        <v>9.8464121994177342E-4</v>
      </c>
      <c r="W583" s="101">
        <f>((Tableau!$H$16-Q583)/(AC583^2+Tableau!$G$21^2)^(3/2))*Tableau!$G$20</f>
        <v>-4.8246078574155183E-4</v>
      </c>
      <c r="X583" s="101">
        <f>((Tableau!$G$25-P583)/(AD583^2+Tableau!$G$30^2)^(3/2))*Tableau!$G$29</f>
        <v>3.387620233530042E-4</v>
      </c>
      <c r="Y583" s="101">
        <f>((Tableau!$H$25-Q583)/(AD583^2+Tableau!$G$30^2)^(3/2))*Tableau!$G$29</f>
        <v>-1.662845728005653E-4</v>
      </c>
      <c r="Z583" s="101">
        <f>((Tableau!$G$35-P583)/(AE583^2+Tableau!$G$40^2)^(3/2))*Tableau!$G$39</f>
        <v>9.85079994383896E-4</v>
      </c>
      <c r="AA583" s="102">
        <f>((Tableau!$H$35-Q583)/(AE583^2+Tableau!$G$40^2)^(3/2))*Tableau!$G$39</f>
        <v>-4.844224233165013E-4</v>
      </c>
      <c r="AC583" s="113">
        <f>SQRT((Tableau!$G$16-P583)^2+(Tableau!$H$16-Q583)^2)</f>
        <v>21852307.173048083</v>
      </c>
      <c r="AD583" s="114">
        <f>SQRT((Tableau!$G$25-P583)^2+(Tableau!$H$25-Q583)^2)</f>
        <v>21815292.75827783</v>
      </c>
      <c r="AE583" s="115">
        <f>SQRT((Tableau!$G$35-P583)^2+(Tableau!$H$35-Q583)^2)</f>
        <v>21839779.708955385</v>
      </c>
    </row>
    <row r="584" spans="2:31" x14ac:dyDescent="0.25">
      <c r="B584" s="20">
        <v>581</v>
      </c>
      <c r="C584" s="21">
        <f>Tableau!$G$17*COS(B584*PI()/180)+Tableau!$G$16</f>
        <v>16226.452098886139</v>
      </c>
      <c r="D584" s="21">
        <f>Tableau!$G$17*SIN(B584*PI()/180)+Tableau!$H$16</f>
        <v>4219.7048550474647</v>
      </c>
      <c r="F584" s="28">
        <v>581</v>
      </c>
      <c r="G584" s="29">
        <f>Tableau!$G$26*COS(F584*PI()/180)+Tableau!$G$25</f>
        <v>-22641.483530779704</v>
      </c>
      <c r="H584" s="29">
        <f>Tableau!$G$26*SIN(F584*PI()/180)+Tableau!$H$25</f>
        <v>7703.7933985332256</v>
      </c>
      <c r="J584" s="36">
        <v>581</v>
      </c>
      <c r="K584" s="37">
        <f>Tableau!$G$36*COS(J584*PI()/180)+Tableau!$G$35</f>
        <v>-8773.5479011138614</v>
      </c>
      <c r="L584" s="37">
        <f>Tableau!$G$36*SIN(J584*PI()/180)+Tableau!$H$35</f>
        <v>-18280.295144952535</v>
      </c>
      <c r="N584" s="92">
        <v>580</v>
      </c>
      <c r="O584" s="93">
        <v>290</v>
      </c>
      <c r="P584" s="96">
        <f>P583+R583*Tableau!$G$2+((1/2)*T583)*Tableau!$G$2^2</f>
        <v>-19637614.576263778</v>
      </c>
      <c r="Q584" s="96">
        <f>Q583+S583*Tableau!$G$2+((1/2)*U583)*Tableau!$G$2^2</f>
        <v>9639533.1535100825</v>
      </c>
      <c r="R584" s="96">
        <f>R583+T583*Tableau!$G$2</f>
        <v>-68698.106583927743</v>
      </c>
      <c r="S584" s="96">
        <f>S583+U583*Tableau!$G$2</f>
        <v>33800.680748307095</v>
      </c>
      <c r="T584" s="96">
        <f t="shared" si="18"/>
        <v>2.3004105013719879E-3</v>
      </c>
      <c r="U584" s="96">
        <f t="shared" si="19"/>
        <v>-1.1292097185323059E-3</v>
      </c>
      <c r="V584" s="96">
        <f>((Tableau!$G$16-P584)/(AC584^2+Tableau!$G$21^2)^(3/2))*Tableau!$G$20</f>
        <v>9.8119904030644317E-4</v>
      </c>
      <c r="W584" s="96">
        <f>((Tableau!$H$16-Q584)/(AC584^2+Tableau!$G$21^2)^(3/2))*Tableau!$G$20</f>
        <v>-4.8077764724493993E-4</v>
      </c>
      <c r="X584" s="96">
        <f>((Tableau!$G$25-P584)/(AD584^2+Tableau!$G$30^2)^(3/2))*Tableau!$G$29</f>
        <v>3.3757595300172761E-4</v>
      </c>
      <c r="Y584" s="96">
        <f>((Tableau!$H$25-Q584)/(AD584^2+Tableau!$G$30^2)^(3/2))*Tableau!$G$29</f>
        <v>-1.6570306336791132E-4</v>
      </c>
      <c r="Z584" s="96">
        <f>((Tableau!$G$35-P584)/(AE584^2+Tableau!$G$40^2)^(3/2))*Tableau!$G$39</f>
        <v>9.8163550806381716E-4</v>
      </c>
      <c r="AA584" s="97">
        <f>((Tableau!$H$35-Q584)/(AE584^2+Tableau!$G$40^2)^(3/2))*Tableau!$G$39</f>
        <v>-4.8272900791945458E-4</v>
      </c>
      <c r="AC584" s="110">
        <f>SQRT((Tableau!$G$16-P584)^2+(Tableau!$H$16-Q584)^2)</f>
        <v>21890588.696955033</v>
      </c>
      <c r="AD584" s="111">
        <f>SQRT((Tableau!$G$25-P584)^2+(Tableau!$H$25-Q584)^2)</f>
        <v>21853574.316742487</v>
      </c>
      <c r="AE584" s="112">
        <f>SQRT((Tableau!$G$35-P584)^2+(Tableau!$H$35-Q584)^2)</f>
        <v>21878061.283220463</v>
      </c>
    </row>
    <row r="585" spans="2:31" x14ac:dyDescent="0.25">
      <c r="B585" s="18">
        <v>582</v>
      </c>
      <c r="C585" s="19">
        <f>Tableau!$G$17*COS(B585*PI()/180)+Tableau!$G$16</f>
        <v>16284.275872613023</v>
      </c>
      <c r="D585" s="19">
        <f>Tableau!$G$17*SIN(B585*PI()/180)+Tableau!$H$16</f>
        <v>4154.3469682057148</v>
      </c>
      <c r="F585" s="26">
        <v>582</v>
      </c>
      <c r="G585" s="27">
        <f>Tableau!$G$26*COS(F585*PI()/180)+Tableau!$G$25</f>
        <v>-22601.006889170883</v>
      </c>
      <c r="H585" s="27">
        <f>Tableau!$G$26*SIN(F585*PI()/180)+Tableau!$H$25</f>
        <v>7658.0428777440011</v>
      </c>
      <c r="J585" s="34">
        <v>582</v>
      </c>
      <c r="K585" s="35">
        <f>Tableau!$G$36*COS(J585*PI()/180)+Tableau!$G$35</f>
        <v>-8715.7241273869768</v>
      </c>
      <c r="L585" s="35">
        <f>Tableau!$G$36*SIN(J585*PI()/180)+Tableau!$H$35</f>
        <v>-18345.653031794285</v>
      </c>
      <c r="N585" s="98">
        <v>581</v>
      </c>
      <c r="O585" s="99">
        <v>290.5</v>
      </c>
      <c r="P585" s="101">
        <f>P584+R584*Tableau!$G$2+((1/2)*T584)*Tableau!$G$2^2</f>
        <v>-19671963.629268192</v>
      </c>
      <c r="Q585" s="101">
        <f>Q584+S584*Tableau!$G$2+((1/2)*U584)*Tableau!$G$2^2</f>
        <v>9656433.4937430844</v>
      </c>
      <c r="R585" s="101">
        <f>R584+T584*Tableau!$G$2</f>
        <v>-68698.105433722492</v>
      </c>
      <c r="S585" s="101">
        <f>S584+U584*Tableau!$G$2</f>
        <v>33800.680183702236</v>
      </c>
      <c r="T585" s="101">
        <f t="shared" si="18"/>
        <v>2.2923800366412752E-3</v>
      </c>
      <c r="U585" s="101">
        <f t="shared" si="19"/>
        <v>-1.1252723568866345E-3</v>
      </c>
      <c r="V585" s="101">
        <f>((Tableau!$G$16-P585)/(AC585^2+Tableau!$G$21^2)^(3/2))*Tableau!$G$20</f>
        <v>9.7777487933052121E-4</v>
      </c>
      <c r="W585" s="101">
        <f>((Tableau!$H$16-Q585)/(AC585^2+Tableau!$G$21^2)^(3/2))*Tableau!$G$20</f>
        <v>-4.7910330123149226E-4</v>
      </c>
      <c r="X585" s="101">
        <f>((Tableau!$G$25-P585)/(AD585^2+Tableau!$G$30^2)^(3/2))*Tableau!$G$29</f>
        <v>3.3639610076743713E-4</v>
      </c>
      <c r="Y585" s="101">
        <f>((Tableau!$H$25-Q585)/(AD585^2+Tableau!$G$30^2)^(3/2))*Tableau!$G$29</f>
        <v>-1.6512459898789352E-4</v>
      </c>
      <c r="Z585" s="101">
        <f>((Tableau!$G$35-P585)/(AE585^2+Tableau!$G$40^2)^(3/2))*Tableau!$G$39</f>
        <v>9.7820905654331675E-4</v>
      </c>
      <c r="AA585" s="102">
        <f>((Tableau!$H$35-Q585)/(AE585^2+Tableau!$G$40^2)^(3/2))*Tableau!$G$39</f>
        <v>-4.8104445666724853E-4</v>
      </c>
      <c r="AC585" s="113">
        <f>SQRT((Tableau!$G$16-P585)^2+(Tableau!$H$16-Q585)^2)</f>
        <v>21928870.220398918</v>
      </c>
      <c r="AD585" s="114">
        <f>SQRT((Tableau!$G$25-P585)^2+(Tableau!$H$25-Q585)^2)</f>
        <v>21891855.874623518</v>
      </c>
      <c r="AE585" s="115">
        <f>SQRT((Tableau!$G$35-P585)^2+(Tableau!$H$35-Q585)^2)</f>
        <v>21916342.856846657</v>
      </c>
    </row>
    <row r="586" spans="2:31" x14ac:dyDescent="0.25">
      <c r="B586" s="20">
        <v>583</v>
      </c>
      <c r="C586" s="21">
        <f>Tableau!$G$17*COS(B586*PI()/180)+Tableau!$G$16</f>
        <v>16343.231491904144</v>
      </c>
      <c r="D586" s="21">
        <f>Tableau!$G$17*SIN(B586*PI()/180)+Tableau!$H$16</f>
        <v>4090.008199687511</v>
      </c>
      <c r="F586" s="28">
        <v>583</v>
      </c>
      <c r="G586" s="29">
        <f>Tableau!$G$26*COS(F586*PI()/180)+Tableau!$G$25</f>
        <v>-22559.7379556671</v>
      </c>
      <c r="H586" s="29">
        <f>Tableau!$G$26*SIN(F586*PI()/180)+Tableau!$H$25</f>
        <v>7613.0057397812579</v>
      </c>
      <c r="J586" s="36">
        <v>583</v>
      </c>
      <c r="K586" s="37">
        <f>Tableau!$G$36*COS(J586*PI()/180)+Tableau!$G$35</f>
        <v>-8656.7685080958563</v>
      </c>
      <c r="L586" s="37">
        <f>Tableau!$G$36*SIN(J586*PI()/180)+Tableau!$H$35</f>
        <v>-18409.991800312488</v>
      </c>
      <c r="N586" s="92">
        <v>582</v>
      </c>
      <c r="O586" s="93">
        <v>291</v>
      </c>
      <c r="P586" s="96">
        <f>P585+R585*Tableau!$G$2+((1/2)*T585)*Tableau!$G$2^2</f>
        <v>-19706312.681698505</v>
      </c>
      <c r="Q586" s="96">
        <f>Q585+S585*Tableau!$G$2+((1/2)*U585)*Tableau!$G$2^2</f>
        <v>9673333.8336942755</v>
      </c>
      <c r="R586" s="96">
        <f>R585+T585*Tableau!$G$2</f>
        <v>-68698.104287532478</v>
      </c>
      <c r="S586" s="96">
        <f>S585+U585*Tableau!$G$2</f>
        <v>33800.679621066054</v>
      </c>
      <c r="T586" s="96">
        <f t="shared" si="18"/>
        <v>2.2843915488692853E-3</v>
      </c>
      <c r="U586" s="96">
        <f t="shared" si="19"/>
        <v>-1.1213555528059224E-3</v>
      </c>
      <c r="V586" s="96">
        <f>((Tableau!$G$16-P586)/(AC586^2+Tableau!$G$21^2)^(3/2))*Tableau!$G$20</f>
        <v>9.7436861147076332E-4</v>
      </c>
      <c r="W586" s="96">
        <f>((Tableau!$H$16-Q586)/(AC586^2+Tableau!$G$21^2)^(3/2))*Tableau!$G$20</f>
        <v>-4.7743768656681798E-4</v>
      </c>
      <c r="X586" s="96">
        <f>((Tableau!$G$25-P586)/(AD586^2+Tableau!$G$30^2)^(3/2))*Tableau!$G$29</f>
        <v>3.3522242326024791E-4</v>
      </c>
      <c r="Y586" s="96">
        <f>((Tableau!$H$25-Q586)/(AD586^2+Tableau!$G$30^2)^(3/2))*Tableau!$G$29</f>
        <v>-1.6454915843713242E-4</v>
      </c>
      <c r="Z586" s="96">
        <f>((Tableau!$G$35-P586)/(AE586^2+Tableau!$G$40^2)^(3/2))*Tableau!$G$39</f>
        <v>9.7480051413827433E-4</v>
      </c>
      <c r="AA586" s="97">
        <f>((Tableau!$H$35-Q586)/(AE586^2+Tableau!$G$40^2)^(3/2))*Tableau!$G$39</f>
        <v>-4.7936870780197207E-4</v>
      </c>
      <c r="AC586" s="110">
        <f>SQRT((Tableau!$G$16-P586)^2+(Tableau!$H$16-Q586)^2)</f>
        <v>21967151.743381031</v>
      </c>
      <c r="AD586" s="111">
        <f>SQRT((Tableau!$G$25-P586)^2+(Tableau!$H$25-Q586)^2)</f>
        <v>21930137.431922853</v>
      </c>
      <c r="AE586" s="112">
        <f>SQRT((Tableau!$G$35-P586)^2+(Tableau!$H$35-Q586)^2)</f>
        <v>21954624.429836176</v>
      </c>
    </row>
    <row r="587" spans="2:31" x14ac:dyDescent="0.25">
      <c r="B587" s="18">
        <v>584</v>
      </c>
      <c r="C587" s="19">
        <f>Tableau!$G$17*COS(B587*PI()/180)+Tableau!$G$16</f>
        <v>16403.300998306742</v>
      </c>
      <c r="D587" s="19">
        <f>Tableau!$G$17*SIN(B587*PI()/180)+Tableau!$H$16</f>
        <v>4026.7081477050142</v>
      </c>
      <c r="F587" s="26">
        <v>584</v>
      </c>
      <c r="G587" s="27">
        <f>Tableau!$G$26*COS(F587*PI()/180)+Tableau!$G$25</f>
        <v>-22517.689301185281</v>
      </c>
      <c r="H587" s="27">
        <f>Tableau!$G$26*SIN(F587*PI()/180)+Tableau!$H$25</f>
        <v>7568.6957033935105</v>
      </c>
      <c r="J587" s="34">
        <v>584</v>
      </c>
      <c r="K587" s="35">
        <f>Tableau!$G$36*COS(J587*PI()/180)+Tableau!$G$35</f>
        <v>-8596.6990016932559</v>
      </c>
      <c r="L587" s="35">
        <f>Tableau!$G$36*SIN(J587*PI()/180)+Tableau!$H$35</f>
        <v>-18473.291852294984</v>
      </c>
      <c r="N587" s="98">
        <v>583</v>
      </c>
      <c r="O587" s="99">
        <v>291.5</v>
      </c>
      <c r="P587" s="101">
        <f>P586+R586*Tableau!$G$2+((1/2)*T586)*Tableau!$G$2^2</f>
        <v>-19740661.733556725</v>
      </c>
      <c r="Q587" s="101">
        <f>Q586+S586*Tableau!$G$2+((1/2)*U586)*Tableau!$G$2^2</f>
        <v>9690234.1733646393</v>
      </c>
      <c r="R587" s="101">
        <f>R586+T586*Tableau!$G$2</f>
        <v>-68698.103145336703</v>
      </c>
      <c r="S587" s="101">
        <f>S586+U586*Tableau!$G$2</f>
        <v>33800.679060388276</v>
      </c>
      <c r="T587" s="101">
        <f t="shared" si="18"/>
        <v>2.2764447460009848E-3</v>
      </c>
      <c r="U587" s="101">
        <f t="shared" si="19"/>
        <v>-1.1174591634263752E-3</v>
      </c>
      <c r="V587" s="101">
        <f>((Tableau!$G$16-P587)/(AC587^2+Tableau!$G$21^2)^(3/2))*Tableau!$G$20</f>
        <v>9.709801122754258E-4</v>
      </c>
      <c r="W587" s="101">
        <f>((Tableau!$H$16-Q587)/(AC587^2+Tableau!$G$21^2)^(3/2))*Tableau!$G$20</f>
        <v>-4.7578074264694565E-4</v>
      </c>
      <c r="X587" s="101">
        <f>((Tableau!$G$25-P587)/(AD587^2+Tableau!$G$30^2)^(3/2))*Tableau!$G$29</f>
        <v>3.3405487746808856E-4</v>
      </c>
      <c r="Y587" s="101">
        <f>((Tableau!$H$25-Q587)/(AD587^2+Tableau!$G$30^2)^(3/2))*Tableau!$G$29</f>
        <v>-1.6397672067683237E-4</v>
      </c>
      <c r="Z587" s="101">
        <f>((Tableau!$G$35-P587)/(AE587^2+Tableau!$G$40^2)^(3/2))*Tableau!$G$39</f>
        <v>9.7140975625747028E-4</v>
      </c>
      <c r="AA587" s="102">
        <f>((Tableau!$H$35-Q587)/(AE587^2+Tableau!$G$40^2)^(3/2))*Tableau!$G$39</f>
        <v>-4.7770170010259707E-4</v>
      </c>
      <c r="AC587" s="113">
        <f>SQRT((Tableau!$G$16-P587)^2+(Tableau!$H$16-Q587)^2)</f>
        <v>22005433.265902683</v>
      </c>
      <c r="AD587" s="114">
        <f>SQRT((Tableau!$G$25-P587)^2+(Tableau!$H$25-Q587)^2)</f>
        <v>21968418.988642428</v>
      </c>
      <c r="AE587" s="115">
        <f>SQRT((Tableau!$G$35-P587)^2+(Tableau!$H$35-Q587)^2)</f>
        <v>21992906.002191253</v>
      </c>
    </row>
    <row r="588" spans="2:31" x14ac:dyDescent="0.25">
      <c r="B588" s="20">
        <v>585</v>
      </c>
      <c r="C588" s="21">
        <f>Tableau!$G$17*COS(B588*PI()/180)+Tableau!$G$16</f>
        <v>16464.466094067266</v>
      </c>
      <c r="D588" s="21">
        <f>Tableau!$G$17*SIN(B588*PI()/180)+Tableau!$H$16</f>
        <v>3964.4660940672607</v>
      </c>
      <c r="F588" s="28">
        <v>585</v>
      </c>
      <c r="G588" s="29">
        <f>Tableau!$G$26*COS(F588*PI()/180)+Tableau!$G$25</f>
        <v>-22474.873734152916</v>
      </c>
      <c r="H588" s="29">
        <f>Tableau!$G$26*SIN(F588*PI()/180)+Tableau!$H$25</f>
        <v>7525.1262658470823</v>
      </c>
      <c r="J588" s="36">
        <v>585</v>
      </c>
      <c r="K588" s="37">
        <f>Tableau!$G$36*COS(J588*PI()/180)+Tableau!$G$35</f>
        <v>-8535.5339059327362</v>
      </c>
      <c r="L588" s="37">
        <f>Tableau!$G$36*SIN(J588*PI()/180)+Tableau!$H$35</f>
        <v>-18535.533905932738</v>
      </c>
      <c r="N588" s="92">
        <v>584</v>
      </c>
      <c r="O588" s="93">
        <v>292</v>
      </c>
      <c r="P588" s="96">
        <f>P587+R587*Tableau!$G$2+((1/2)*T587)*Tableau!$G$2^2</f>
        <v>-19775010.784844838</v>
      </c>
      <c r="Q588" s="96">
        <f>Q587+S587*Tableau!$G$2+((1/2)*U587)*Tableau!$G$2^2</f>
        <v>9707134.5127551518</v>
      </c>
      <c r="R588" s="96">
        <f>R587+T587*Tableau!$G$2</f>
        <v>-68698.102007114328</v>
      </c>
      <c r="S588" s="96">
        <f>S587+U587*Tableau!$G$2</f>
        <v>33800.678501658695</v>
      </c>
      <c r="T588" s="96">
        <f t="shared" si="18"/>
        <v>2.2685393385169493E-3</v>
      </c>
      <c r="U588" s="96">
        <f t="shared" si="19"/>
        <v>-1.1135830471231023E-3</v>
      </c>
      <c r="V588" s="96">
        <f>((Tableau!$G$16-P588)/(AC588^2+Tableau!$G$21^2)^(3/2))*Tableau!$G$20</f>
        <v>9.6760925837289776E-4</v>
      </c>
      <c r="W588" s="96">
        <f>((Tableau!$H$16-Q588)/(AC588^2+Tableau!$G$21^2)^(3/2))*Tableau!$G$20</f>
        <v>-4.7413240939281169E-4</v>
      </c>
      <c r="X588" s="96">
        <f>((Tableau!$G$25-P588)/(AD588^2+Tableau!$G$30^2)^(3/2))*Tableau!$G$29</f>
        <v>3.3289342075274716E-4</v>
      </c>
      <c r="Y588" s="96">
        <f>((Tableau!$H$25-Q588)/(AD588^2+Tableau!$G$30^2)^(3/2))*Tableau!$G$29</f>
        <v>-1.6340726485085242E-4</v>
      </c>
      <c r="Z588" s="96">
        <f>((Tableau!$G$35-P588)/(AE588^2+Tableau!$G$40^2)^(3/2))*Tableau!$G$39</f>
        <v>9.680366593913045E-4</v>
      </c>
      <c r="AA588" s="97">
        <f>((Tableau!$H$35-Q588)/(AE588^2+Tableau!$G$40^2)^(3/2))*Tableau!$G$39</f>
        <v>-4.7604337287943815E-4</v>
      </c>
      <c r="AC588" s="110">
        <f>SQRT((Tableau!$G$16-P588)^2+(Tableau!$H$16-Q588)^2)</f>
        <v>22043714.787965171</v>
      </c>
      <c r="AD588" s="111">
        <f>SQRT((Tableau!$G$25-P588)^2+(Tableau!$H$25-Q588)^2)</f>
        <v>22006700.544784151</v>
      </c>
      <c r="AE588" s="112">
        <f>SQRT((Tableau!$G$35-P588)^2+(Tableau!$H$35-Q588)^2)</f>
        <v>22031187.573914077</v>
      </c>
    </row>
    <row r="589" spans="2:31" x14ac:dyDescent="0.25">
      <c r="B589" s="18">
        <v>586</v>
      </c>
      <c r="C589" s="19">
        <f>Tableau!$G$17*COS(B589*PI()/180)+Tableau!$G$16</f>
        <v>16526.708147705012</v>
      </c>
      <c r="D589" s="19">
        <f>Tableau!$G$17*SIN(B589*PI()/180)+Tableau!$H$16</f>
        <v>3903.3009983067464</v>
      </c>
      <c r="F589" s="26">
        <v>586</v>
      </c>
      <c r="G589" s="27">
        <f>Tableau!$G$26*COS(F589*PI()/180)+Tableau!$G$25</f>
        <v>-22431.304296606493</v>
      </c>
      <c r="H589" s="27">
        <f>Tableau!$G$26*SIN(F589*PI()/180)+Tableau!$H$25</f>
        <v>7482.3106988147229</v>
      </c>
      <c r="J589" s="34">
        <v>586</v>
      </c>
      <c r="K589" s="35">
        <f>Tableau!$G$36*COS(J589*PI()/180)+Tableau!$G$35</f>
        <v>-8473.2918522949876</v>
      </c>
      <c r="L589" s="35">
        <f>Tableau!$G$36*SIN(J589*PI()/180)+Tableau!$H$35</f>
        <v>-18596.699001693254</v>
      </c>
      <c r="N589" s="98">
        <v>585</v>
      </c>
      <c r="O589" s="99">
        <v>292.5</v>
      </c>
      <c r="P589" s="101">
        <f>P588+R588*Tableau!$G$2+((1/2)*T588)*Tableau!$G$2^2</f>
        <v>-19809359.835564826</v>
      </c>
      <c r="Q589" s="101">
        <f>Q588+S588*Tableau!$G$2+((1/2)*U588)*Tableau!$G$2^2</f>
        <v>9724034.8518667836</v>
      </c>
      <c r="R589" s="101">
        <f>R588+T588*Tableau!$G$2</f>
        <v>-68698.100872844661</v>
      </c>
      <c r="S589" s="101">
        <f>S588+U588*Tableau!$G$2</f>
        <v>33800.677944867173</v>
      </c>
      <c r="T589" s="101">
        <f t="shared" si="18"/>
        <v>2.2606750394069002E-3</v>
      </c>
      <c r="U589" s="101">
        <f t="shared" si="19"/>
        <v>-1.1097270634972001E-3</v>
      </c>
      <c r="V589" s="101">
        <f>((Tableau!$G$16-P589)/(AC589^2+Tableau!$G$21^2)^(3/2))*Tableau!$G$20</f>
        <v>9.6425592746042098E-4</v>
      </c>
      <c r="W589" s="101">
        <f>((Tableau!$H$16-Q589)/(AC589^2+Tableau!$G$21^2)^(3/2))*Tableau!$G$20</f>
        <v>-4.7249262724478842E-4</v>
      </c>
      <c r="X589" s="101">
        <f>((Tableau!$G$25-P589)/(AD589^2+Tableau!$G$30^2)^(3/2))*Tableau!$G$29</f>
        <v>3.3173801084599515E-4</v>
      </c>
      <c r="Y589" s="101">
        <f>((Tableau!$H$25-Q589)/(AD589^2+Tableau!$G$30^2)^(3/2))*Tableau!$G$29</f>
        <v>-1.6284077028381455E-4</v>
      </c>
      <c r="Z589" s="101">
        <f>((Tableau!$G$35-P589)/(AE589^2+Tableau!$G$40^2)^(3/2))*Tableau!$G$39</f>
        <v>9.6468110110048411E-4</v>
      </c>
      <c r="AA589" s="102">
        <f>((Tableau!$H$35-Q589)/(AE589^2+Tableau!$G$40^2)^(3/2))*Tableau!$G$39</f>
        <v>-4.7439366596859704E-4</v>
      </c>
      <c r="AC589" s="113">
        <f>SQRT((Tableau!$G$16-P589)^2+(Tableau!$H$16-Q589)^2)</f>
        <v>22081996.30956978</v>
      </c>
      <c r="AD589" s="114">
        <f>SQRT((Tableau!$G$25-P589)^2+(Tableau!$H$25-Q589)^2)</f>
        <v>22044982.100349933</v>
      </c>
      <c r="AE589" s="115">
        <f>SQRT((Tableau!$G$35-P589)^2+(Tableau!$H$35-Q589)^2)</f>
        <v>22069469.145006843</v>
      </c>
    </row>
    <row r="590" spans="2:31" x14ac:dyDescent="0.25">
      <c r="B590" s="20">
        <v>587</v>
      </c>
      <c r="C590" s="21">
        <f>Tableau!$G$17*COS(B590*PI()/180)+Tableau!$G$16</f>
        <v>16590.008199687509</v>
      </c>
      <c r="D590" s="21">
        <f>Tableau!$G$17*SIN(B590*PI()/180)+Tableau!$H$16</f>
        <v>3843.2314919041473</v>
      </c>
      <c r="F590" s="28">
        <v>587</v>
      </c>
      <c r="G590" s="29">
        <f>Tableau!$G$26*COS(F590*PI()/180)+Tableau!$G$25</f>
        <v>-22386.994260218744</v>
      </c>
      <c r="H590" s="29">
        <f>Tableau!$G$26*SIN(F590*PI()/180)+Tableau!$H$25</f>
        <v>7440.2620443329033</v>
      </c>
      <c r="J590" s="36">
        <v>587</v>
      </c>
      <c r="K590" s="37">
        <f>Tableau!$G$36*COS(J590*PI()/180)+Tableau!$G$35</f>
        <v>-8409.9918003124913</v>
      </c>
      <c r="L590" s="37">
        <f>Tableau!$G$36*SIN(J590*PI()/180)+Tableau!$H$35</f>
        <v>-18656.768508095854</v>
      </c>
      <c r="N590" s="92">
        <v>586</v>
      </c>
      <c r="O590" s="93">
        <v>293</v>
      </c>
      <c r="P590" s="96">
        <f>P589+R589*Tableau!$G$2+((1/2)*T589)*Tableau!$G$2^2</f>
        <v>-19843708.885718662</v>
      </c>
      <c r="Q590" s="96">
        <f>Q589+S589*Tableau!$G$2+((1/2)*U589)*Tableau!$G$2^2</f>
        <v>9740935.1907005012</v>
      </c>
      <c r="R590" s="96">
        <f>R589+T589*Tableau!$G$2</f>
        <v>-68698.09974250714</v>
      </c>
      <c r="S590" s="96">
        <f>S589+U589*Tableau!$G$2</f>
        <v>33800.677390003642</v>
      </c>
      <c r="T590" s="96">
        <f t="shared" si="18"/>
        <v>2.2528515641437085E-3</v>
      </c>
      <c r="U590" s="96">
        <f t="shared" si="19"/>
        <v>-1.1058910733630651E-3</v>
      </c>
      <c r="V590" s="96">
        <f>((Tableau!$G$16-P590)/(AC590^2+Tableau!$G$21^2)^(3/2))*Tableau!$G$20</f>
        <v>9.6091999829306211E-4</v>
      </c>
      <c r="W590" s="96">
        <f>((Tableau!$H$16-Q590)/(AC590^2+Tableau!$G$21^2)^(3/2))*Tableau!$G$20</f>
        <v>-4.7086133715733649E-4</v>
      </c>
      <c r="X590" s="96">
        <f>((Tableau!$G$25-P590)/(AD590^2+Tableau!$G$30^2)^(3/2))*Tableau!$G$29</f>
        <v>3.3058860584572454E-4</v>
      </c>
      <c r="Y590" s="96">
        <f>((Tableau!$H$25-Q590)/(AD590^2+Tableau!$G$30^2)^(3/2))*Tableau!$G$29</f>
        <v>-1.6227721647921867E-4</v>
      </c>
      <c r="Z590" s="96">
        <f>((Tableau!$G$35-P590)/(AE590^2+Tableau!$G$40^2)^(3/2))*Tableau!$G$39</f>
        <v>9.6134296000492182E-4</v>
      </c>
      <c r="AA590" s="97">
        <f>((Tableau!$H$35-Q590)/(AE590^2+Tableau!$G$40^2)^(3/2))*Tableau!$G$39</f>
        <v>-4.7275251972650993E-4</v>
      </c>
      <c r="AC590" s="110">
        <f>SQRT((Tableau!$G$16-P590)^2+(Tableau!$H$16-Q590)^2)</f>
        <v>22120277.830717802</v>
      </c>
      <c r="AD590" s="111">
        <f>SQRT((Tableau!$G$25-P590)^2+(Tableau!$H$25-Q590)^2)</f>
        <v>22083263.655341674</v>
      </c>
      <c r="AE590" s="112">
        <f>SQRT((Tableau!$G$35-P590)^2+(Tableau!$H$35-Q590)^2)</f>
        <v>22107750.715471737</v>
      </c>
    </row>
    <row r="591" spans="2:31" x14ac:dyDescent="0.25">
      <c r="B591" s="18">
        <v>588</v>
      </c>
      <c r="C591" s="19">
        <f>Tableau!$G$17*COS(B591*PI()/180)+Tableau!$G$16</f>
        <v>16654.346968205711</v>
      </c>
      <c r="D591" s="19">
        <f>Tableau!$G$17*SIN(B591*PI()/180)+Tableau!$H$16</f>
        <v>3784.275872613026</v>
      </c>
      <c r="F591" s="26">
        <v>588</v>
      </c>
      <c r="G591" s="27">
        <f>Tableau!$G$26*COS(F591*PI()/180)+Tableau!$G$25</f>
        <v>-22341.957122256001</v>
      </c>
      <c r="H591" s="27">
        <f>Tableau!$G$26*SIN(F591*PI()/180)+Tableau!$H$25</f>
        <v>7398.9931108291185</v>
      </c>
      <c r="J591" s="34">
        <v>588</v>
      </c>
      <c r="K591" s="35">
        <f>Tableau!$G$36*COS(J591*PI()/180)+Tableau!$G$35</f>
        <v>-8345.6530317942888</v>
      </c>
      <c r="L591" s="35">
        <f>Tableau!$G$36*SIN(J591*PI()/180)+Tableau!$H$35</f>
        <v>-18715.724127386973</v>
      </c>
      <c r="N591" s="98">
        <v>587</v>
      </c>
      <c r="O591" s="99">
        <v>293.5</v>
      </c>
      <c r="P591" s="101">
        <f>P590+R590*Tableau!$G$2+((1/2)*T590)*Tableau!$G$2^2</f>
        <v>-19878057.935308311</v>
      </c>
      <c r="Q591" s="101">
        <f>Q590+S590*Tableau!$G$2+((1/2)*U590)*Tableau!$G$2^2</f>
        <v>9757835.5292572677</v>
      </c>
      <c r="R591" s="101">
        <f>R590+T590*Tableau!$G$2</f>
        <v>-68698.098616081363</v>
      </c>
      <c r="S591" s="101">
        <f>S590+U590*Tableau!$G$2</f>
        <v>33800.676837058105</v>
      </c>
      <c r="T591" s="101">
        <f t="shared" si="18"/>
        <v>2.2450686306577116E-3</v>
      </c>
      <c r="U591" s="101">
        <f t="shared" si="19"/>
        <v>-1.1020749387358614E-3</v>
      </c>
      <c r="V591" s="101">
        <f>((Tableau!$G$16-P591)/(AC591^2+Tableau!$G$21^2)^(3/2))*Tableau!$G$20</f>
        <v>9.57601350672734E-4</v>
      </c>
      <c r="W591" s="101">
        <f>((Tableau!$H$16-Q591)/(AC591^2+Tableau!$G$21^2)^(3/2))*Tableau!$G$20</f>
        <v>-4.6923848059368081E-4</v>
      </c>
      <c r="X591" s="101">
        <f>((Tableau!$G$25-P591)/(AD591^2+Tableau!$G$30^2)^(3/2))*Tableau!$G$29</f>
        <v>3.294451642121603E-4</v>
      </c>
      <c r="Y591" s="101">
        <f>((Tableau!$H$25-Q591)/(AD591^2+Tableau!$G$30^2)^(3/2))*Tableau!$G$29</f>
        <v>-1.6171658311759439E-4</v>
      </c>
      <c r="Z591" s="101">
        <f>((Tableau!$G$35-P591)/(AE591^2+Tableau!$G$40^2)^(3/2))*Tableau!$G$39</f>
        <v>9.5802211577281733E-4</v>
      </c>
      <c r="AA591" s="102">
        <f>((Tableau!$H$35-Q591)/(AE591^2+Tableau!$G$40^2)^(3/2))*Tableau!$G$39</f>
        <v>-4.7111987502458614E-4</v>
      </c>
      <c r="AC591" s="113">
        <f>SQRT((Tableau!$G$16-P591)^2+(Tableau!$H$16-Q591)^2)</f>
        <v>22158559.351410523</v>
      </c>
      <c r="AD591" s="114">
        <f>SQRT((Tableau!$G$25-P591)^2+(Tableau!$H$25-Q591)^2)</f>
        <v>22121545.209761269</v>
      </c>
      <c r="AE591" s="115">
        <f>SQRT((Tableau!$G$35-P591)^2+(Tableau!$H$35-Q591)^2)</f>
        <v>22146032.285310924</v>
      </c>
    </row>
    <row r="592" spans="2:31" x14ac:dyDescent="0.25">
      <c r="B592" s="20">
        <v>589</v>
      </c>
      <c r="C592" s="21">
        <f>Tableau!$G$17*COS(B592*PI()/180)+Tableau!$G$16</f>
        <v>16719.704855047461</v>
      </c>
      <c r="D592" s="21">
        <f>Tableau!$G$17*SIN(B592*PI()/180)+Tableau!$H$16</f>
        <v>3726.4520988861409</v>
      </c>
      <c r="F592" s="28">
        <v>589</v>
      </c>
      <c r="G592" s="29">
        <f>Tableau!$G$26*COS(F592*PI()/180)+Tableau!$G$25</f>
        <v>-22296.206601466776</v>
      </c>
      <c r="H592" s="29">
        <f>Tableau!$G$26*SIN(F592*PI()/180)+Tableau!$H$25</f>
        <v>7358.5164692202989</v>
      </c>
      <c r="J592" s="36">
        <v>589</v>
      </c>
      <c r="K592" s="37">
        <f>Tableau!$G$36*COS(J592*PI()/180)+Tableau!$G$35</f>
        <v>-8280.2951449525372</v>
      </c>
      <c r="L592" s="37">
        <f>Tableau!$G$36*SIN(J592*PI()/180)+Tableau!$H$35</f>
        <v>-18773.54790111386</v>
      </c>
      <c r="N592" s="92">
        <v>588</v>
      </c>
      <c r="O592" s="93">
        <v>294</v>
      </c>
      <c r="P592" s="96">
        <f>P591+R591*Tableau!$G$2+((1/2)*T591)*Tableau!$G$2^2</f>
        <v>-19912406.984335717</v>
      </c>
      <c r="Q592" s="96">
        <f>Q591+S591*Tableau!$G$2+((1/2)*U591)*Tableau!$G$2^2</f>
        <v>9774735.8675380368</v>
      </c>
      <c r="R592" s="96">
        <f>R591+T591*Tableau!$G$2</f>
        <v>-68698.097493547044</v>
      </c>
      <c r="S592" s="96">
        <f>S591+U591*Tableau!$G$2</f>
        <v>33800.676286020636</v>
      </c>
      <c r="T592" s="96">
        <f t="shared" si="18"/>
        <v>2.2373259593111102E-3</v>
      </c>
      <c r="U592" s="96">
        <f t="shared" si="19"/>
        <v>-1.0982785228190208E-3</v>
      </c>
      <c r="V592" s="96">
        <f>((Tableau!$G$16-P592)/(AC592^2+Tableau!$G$21^2)^(3/2))*Tableau!$G$20</f>
        <v>9.5429986543731397E-4</v>
      </c>
      <c r="W592" s="96">
        <f>((Tableau!$H$16-Q592)/(AC592^2+Tableau!$G$21^2)^(3/2))*Tableau!$G$20</f>
        <v>-4.6762399952053206E-4</v>
      </c>
      <c r="X592" s="96">
        <f>((Tableau!$G$25-P592)/(AD592^2+Tableau!$G$30^2)^(3/2))*Tableau!$G$29</f>
        <v>3.2830764476410784E-4</v>
      </c>
      <c r="Y592" s="96">
        <f>((Tableau!$H$25-Q592)/(AD592^2+Tableau!$G$30^2)^(3/2))*Tableau!$G$29</f>
        <v>-1.6115885005466951E-4</v>
      </c>
      <c r="Z592" s="96">
        <f>((Tableau!$G$35-P592)/(AE592^2+Tableau!$G$40^2)^(3/2))*Tableau!$G$39</f>
        <v>9.5471844910968847E-4</v>
      </c>
      <c r="AA592" s="97">
        <f>((Tableau!$H$35-Q592)/(AE592^2+Tableau!$G$40^2)^(3/2))*Tableau!$G$39</f>
        <v>-4.6949567324381915E-4</v>
      </c>
      <c r="AC592" s="110">
        <f>SQRT((Tableau!$G$16-P592)^2+(Tableau!$H$16-Q592)^2)</f>
        <v>22196840.871649206</v>
      </c>
      <c r="AD592" s="111">
        <f>SQRT((Tableau!$G$25-P592)^2+(Tableau!$H$25-Q592)^2)</f>
        <v>22159826.76361059</v>
      </c>
      <c r="AE592" s="112">
        <f>SQRT((Tableau!$G$35-P592)^2+(Tableau!$H$35-Q592)^2)</f>
        <v>22184313.854526564</v>
      </c>
    </row>
    <row r="593" spans="2:31" x14ac:dyDescent="0.25">
      <c r="B593" s="18">
        <v>590</v>
      </c>
      <c r="C593" s="19">
        <f>Tableau!$G$17*COS(B593*PI()/180)+Tableau!$G$16</f>
        <v>16786.061951567306</v>
      </c>
      <c r="D593" s="19">
        <f>Tableau!$G$17*SIN(B593*PI()/180)+Tableau!$H$16</f>
        <v>3669.7777844051088</v>
      </c>
      <c r="F593" s="26">
        <v>590</v>
      </c>
      <c r="G593" s="27">
        <f>Tableau!$G$26*COS(F593*PI()/180)+Tableau!$G$25</f>
        <v>-22249.756633902885</v>
      </c>
      <c r="H593" s="27">
        <f>Tableau!$G$26*SIN(F593*PI()/180)+Tableau!$H$25</f>
        <v>7318.8444490835764</v>
      </c>
      <c r="J593" s="34">
        <v>590</v>
      </c>
      <c r="K593" s="35">
        <f>Tableau!$G$36*COS(J593*PI()/180)+Tableau!$G$35</f>
        <v>-8213.9380484326957</v>
      </c>
      <c r="L593" s="35">
        <f>Tableau!$G$36*SIN(J593*PI()/180)+Tableau!$H$35</f>
        <v>-18830.222215594891</v>
      </c>
      <c r="N593" s="98">
        <v>589</v>
      </c>
      <c r="O593" s="99">
        <v>294.5</v>
      </c>
      <c r="P593" s="101">
        <f>P592+R592*Tableau!$G$2+((1/2)*T592)*Tableau!$G$2^2</f>
        <v>-19946756.032802824</v>
      </c>
      <c r="Q593" s="101">
        <f>Q592+S592*Tableau!$G$2+((1/2)*U592)*Tableau!$G$2^2</f>
        <v>9791636.2055437621</v>
      </c>
      <c r="R593" s="101">
        <f>R592+T592*Tableau!$G$2</f>
        <v>-68698.096374884059</v>
      </c>
      <c r="S593" s="101">
        <f>S592+U592*Tableau!$G$2</f>
        <v>33800.675736881378</v>
      </c>
      <c r="T593" s="101">
        <f t="shared" si="18"/>
        <v>2.229623272873087E-3</v>
      </c>
      <c r="U593" s="101">
        <f t="shared" si="19"/>
        <v>-1.0945016899921031E-3</v>
      </c>
      <c r="V593" s="101">
        <f>((Tableau!$G$16-P593)/(AC593^2+Tableau!$G$21^2)^(3/2))*Tableau!$G$20</f>
        <v>9.5101542445002703E-4</v>
      </c>
      <c r="W593" s="101">
        <f>((Tableau!$H$16-Q593)/(AC593^2+Tableau!$G$21^2)^(3/2))*Tableau!$G$20</f>
        <v>-4.6601783640293784E-4</v>
      </c>
      <c r="X593" s="101">
        <f>((Tableau!$G$25-P593)/(AD593^2+Tableau!$G$30^2)^(3/2))*Tableau!$G$29</f>
        <v>3.2717600667523999E-4</v>
      </c>
      <c r="Y593" s="101">
        <f>((Tableau!$H$25-Q593)/(AD593^2+Tableau!$G$30^2)^(3/2))*Tableau!$G$29</f>
        <v>-1.606039973195582E-4</v>
      </c>
      <c r="Z593" s="101">
        <f>((Tableau!$G$35-P593)/(AE593^2+Tableau!$G$40^2)^(3/2))*Tableau!$G$39</f>
        <v>9.5143184174781986E-4</v>
      </c>
      <c r="AA593" s="102">
        <f>((Tableau!$H$35-Q593)/(AE593^2+Tableau!$G$40^2)^(3/2))*Tableau!$G$39</f>
        <v>-4.6787985626960707E-4</v>
      </c>
      <c r="AC593" s="113">
        <f>SQRT((Tableau!$G$16-P593)^2+(Tableau!$H$16-Q593)^2)</f>
        <v>22235122.391435139</v>
      </c>
      <c r="AD593" s="114">
        <f>SQRT((Tableau!$G$25-P593)^2+(Tableau!$H$25-Q593)^2)</f>
        <v>22198108.316891517</v>
      </c>
      <c r="AE593" s="115">
        <f>SQRT((Tableau!$G$35-P593)^2+(Tableau!$H$35-Q593)^2)</f>
        <v>22222595.4231208</v>
      </c>
    </row>
    <row r="594" spans="2:31" x14ac:dyDescent="0.25">
      <c r="B594" s="20">
        <v>591</v>
      </c>
      <c r="C594" s="21">
        <f>Tableau!$G$17*COS(B594*PI()/180)+Tableau!$G$16</f>
        <v>16853.398044750811</v>
      </c>
      <c r="D594" s="21">
        <f>Tableau!$G$17*SIN(B594*PI()/180)+Tableau!$H$16</f>
        <v>3614.2701927151479</v>
      </c>
      <c r="F594" s="28">
        <v>591</v>
      </c>
      <c r="G594" s="29">
        <f>Tableau!$G$26*COS(F594*PI()/180)+Tableau!$G$25</f>
        <v>-22202.621368674434</v>
      </c>
      <c r="H594" s="29">
        <f>Tableau!$G$26*SIN(F594*PI()/180)+Tableau!$H$25</f>
        <v>7279.9891349006029</v>
      </c>
      <c r="J594" s="36">
        <v>591</v>
      </c>
      <c r="K594" s="37">
        <f>Tableau!$G$36*COS(J594*PI()/180)+Tableau!$G$35</f>
        <v>-8146.6019552491898</v>
      </c>
      <c r="L594" s="37">
        <f>Tableau!$G$36*SIN(J594*PI()/180)+Tableau!$H$35</f>
        <v>-18885.729807284853</v>
      </c>
      <c r="N594" s="92">
        <v>590</v>
      </c>
      <c r="O594" s="93">
        <v>295</v>
      </c>
      <c r="P594" s="96">
        <f>P593+R593*Tableau!$G$2+((1/2)*T593)*Tableau!$G$2^2</f>
        <v>-19981105.080711562</v>
      </c>
      <c r="Q594" s="96">
        <f>Q593+S593*Tableau!$G$2+((1/2)*U593)*Tableau!$G$2^2</f>
        <v>9808536.5432753898</v>
      </c>
      <c r="R594" s="96">
        <f>R593+T593*Tableau!$G$2</f>
        <v>-68698.095260072427</v>
      </c>
      <c r="S594" s="96">
        <f>S593+U593*Tableau!$G$2</f>
        <v>33800.675189630536</v>
      </c>
      <c r="T594" s="96">
        <f t="shared" si="18"/>
        <v>2.2219602964947643E-3</v>
      </c>
      <c r="U594" s="96">
        <f t="shared" si="19"/>
        <v>-1.0907443057985712E-3</v>
      </c>
      <c r="V594" s="96">
        <f>((Tableau!$G$16-P594)/(AC594^2+Tableau!$G$21^2)^(3/2))*Tableau!$G$20</f>
        <v>9.4774791058882437E-4</v>
      </c>
      <c r="W594" s="96">
        <f>((Tableau!$H$16-Q594)/(AC594^2+Tableau!$G$21^2)^(3/2))*Tableau!$G$20</f>
        <v>-4.644199341991308E-4</v>
      </c>
      <c r="X594" s="96">
        <f>((Tableau!$G$25-P594)/(AD594^2+Tableau!$G$30^2)^(3/2))*Tableau!$G$29</f>
        <v>3.2605020947042618E-4</v>
      </c>
      <c r="Y594" s="96">
        <f>((Tableau!$H$25-Q594)/(AD594^2+Tableau!$G$30^2)^(3/2))*Tableau!$G$29</f>
        <v>-1.6005200511296942E-4</v>
      </c>
      <c r="Z594" s="96">
        <f>((Tableau!$G$35-P594)/(AE594^2+Tableau!$G$40^2)^(3/2))*Tableau!$G$39</f>
        <v>9.4816217643551377E-4</v>
      </c>
      <c r="AA594" s="97">
        <f>((Tableau!$H$35-Q594)/(AE594^2+Tableau!$G$40^2)^(3/2))*Tableau!$G$39</f>
        <v>-4.66272366486471E-4</v>
      </c>
      <c r="AC594" s="110">
        <f>SQRT((Tableau!$G$16-P594)^2+(Tableau!$H$16-Q594)^2)</f>
        <v>22273403.910769578</v>
      </c>
      <c r="AD594" s="111">
        <f>SQRT((Tableau!$G$25-P594)^2+(Tableau!$H$25-Q594)^2)</f>
        <v>22236389.869605906</v>
      </c>
      <c r="AE594" s="112">
        <f>SQRT((Tableau!$G$35-P594)^2+(Tableau!$H$35-Q594)^2)</f>
        <v>22260876.991095774</v>
      </c>
    </row>
    <row r="595" spans="2:31" x14ac:dyDescent="0.25">
      <c r="B595" s="18">
        <v>592</v>
      </c>
      <c r="C595" s="19">
        <f>Tableau!$G$17*COS(B595*PI()/180)+Tableau!$G$16</f>
        <v>16921.692623371709</v>
      </c>
      <c r="D595" s="19">
        <f>Tableau!$G$17*SIN(B595*PI()/180)+Tableau!$H$16</f>
        <v>3559.9462319663903</v>
      </c>
      <c r="F595" s="26">
        <v>592</v>
      </c>
      <c r="G595" s="27">
        <f>Tableau!$G$26*COS(F595*PI()/180)+Tableau!$G$25</f>
        <v>-22154.815163639803</v>
      </c>
      <c r="H595" s="27">
        <f>Tableau!$G$26*SIN(F595*PI()/180)+Tableau!$H$25</f>
        <v>7241.9623623764728</v>
      </c>
      <c r="J595" s="34">
        <v>592</v>
      </c>
      <c r="K595" s="35">
        <f>Tableau!$G$36*COS(J595*PI()/180)+Tableau!$G$35</f>
        <v>-8078.3073766282914</v>
      </c>
      <c r="L595" s="35">
        <f>Tableau!$G$36*SIN(J595*PI()/180)+Tableau!$H$35</f>
        <v>-18940.053768033609</v>
      </c>
      <c r="N595" s="98">
        <v>591</v>
      </c>
      <c r="O595" s="99">
        <v>295.5</v>
      </c>
      <c r="P595" s="101">
        <f>P594+R594*Tableau!$G$2+((1/2)*T594)*Tableau!$G$2^2</f>
        <v>-20015454.12806385</v>
      </c>
      <c r="Q595" s="101">
        <f>Q594+S594*Tableau!$G$2+((1/2)*U594)*Tableau!$G$2^2</f>
        <v>9825436.8807338607</v>
      </c>
      <c r="R595" s="101">
        <f>R594+T594*Tableau!$G$2</f>
        <v>-68698.094149092285</v>
      </c>
      <c r="S595" s="101">
        <f>S594+U594*Tableau!$G$2</f>
        <v>33800.674644258383</v>
      </c>
      <c r="T595" s="101">
        <f t="shared" si="18"/>
        <v>2.21433675768488E-3</v>
      </c>
      <c r="U595" s="101">
        <f t="shared" si="19"/>
        <v>-1.0870062369339201E-3</v>
      </c>
      <c r="V595" s="101">
        <f>((Tableau!$G$16-P595)/(AC595^2+Tableau!$G$21^2)^(3/2))*Tableau!$G$20</f>
        <v>9.4449720773598139E-4</v>
      </c>
      <c r="W595" s="101">
        <f>((Tableau!$H$16-Q595)/(AC595^2+Tableau!$G$21^2)^(3/2))*Tableau!$G$20</f>
        <v>-4.6283023635548365E-4</v>
      </c>
      <c r="X595" s="101">
        <f>((Tableau!$G$25-P595)/(AD595^2+Tableau!$G$30^2)^(3/2))*Tableau!$G$29</f>
        <v>3.2493021302214151E-4</v>
      </c>
      <c r="Y595" s="101">
        <f>((Tableau!$H$25-Q595)/(AD595^2+Tableau!$G$30^2)^(3/2))*Tableau!$G$29</f>
        <v>-1.5950285380545435E-4</v>
      </c>
      <c r="Z595" s="101">
        <f>((Tableau!$G$35-P595)/(AE595^2+Tableau!$G$40^2)^(3/2))*Tableau!$G$39</f>
        <v>9.449093369267574E-4</v>
      </c>
      <c r="AA595" s="102">
        <f>((Tableau!$H$35-Q595)/(AE595^2+Tableau!$G$40^2)^(3/2))*Tableau!$G$39</f>
        <v>-4.646731467729822E-4</v>
      </c>
      <c r="AC595" s="113">
        <f>SQRT((Tableau!$G$16-P595)^2+(Tableau!$H$16-Q595)^2)</f>
        <v>22311685.429653782</v>
      </c>
      <c r="AD595" s="114">
        <f>SQRT((Tableau!$G$25-P595)^2+(Tableau!$H$25-Q595)^2)</f>
        <v>22274671.421755612</v>
      </c>
      <c r="AE595" s="115">
        <f>SQRT((Tableau!$G$35-P595)^2+(Tableau!$H$35-Q595)^2)</f>
        <v>22299158.558453608</v>
      </c>
    </row>
    <row r="596" spans="2:31" x14ac:dyDescent="0.25">
      <c r="B596" s="20">
        <v>593</v>
      </c>
      <c r="C596" s="21">
        <f>Tableau!$G$17*COS(B596*PI()/180)+Tableau!$G$16</f>
        <v>16990.924884239754</v>
      </c>
      <c r="D596" s="21">
        <f>Tableau!$G$17*SIN(B596*PI()/180)+Tableau!$H$16</f>
        <v>3506.8224497635392</v>
      </c>
      <c r="F596" s="28">
        <v>593</v>
      </c>
      <c r="G596" s="29">
        <f>Tableau!$G$26*COS(F596*PI()/180)+Tableau!$G$25</f>
        <v>-22106.352581032173</v>
      </c>
      <c r="H596" s="29">
        <f>Tableau!$G$26*SIN(F596*PI()/180)+Tableau!$H$25</f>
        <v>7204.7757148344772</v>
      </c>
      <c r="J596" s="36">
        <v>593</v>
      </c>
      <c r="K596" s="37">
        <f>Tableau!$G$36*COS(J596*PI()/180)+Tableau!$G$35</f>
        <v>-8009.0751157602463</v>
      </c>
      <c r="L596" s="37">
        <f>Tableau!$G$36*SIN(J596*PI()/180)+Tableau!$H$35</f>
        <v>-18993.177550236462</v>
      </c>
      <c r="N596" s="92">
        <v>592</v>
      </c>
      <c r="O596" s="93">
        <v>296</v>
      </c>
      <c r="P596" s="96">
        <f>P595+R595*Tableau!$G$2+((1/2)*T595)*Tableau!$G$2^2</f>
        <v>-20049803.174861602</v>
      </c>
      <c r="Q596" s="96">
        <f>Q595+S595*Tableau!$G$2+((1/2)*U595)*Tableau!$G$2^2</f>
        <v>9842337.2179201134</v>
      </c>
      <c r="R596" s="96">
        <f>R595+T595*Tableau!$G$2</f>
        <v>-68698.093041923901</v>
      </c>
      <c r="S596" s="96">
        <f>S595+U595*Tableau!$G$2</f>
        <v>33800.674100755263</v>
      </c>
      <c r="T596" s="96">
        <f t="shared" si="18"/>
        <v>2.2067523862854222E-3</v>
      </c>
      <c r="U596" s="96">
        <f t="shared" si="19"/>
        <v>-1.0832873512337839E-3</v>
      </c>
      <c r="V596" s="96">
        <f>((Tableau!$G$16-P596)/(AC596^2+Tableau!$G$21^2)^(3/2))*Tableau!$G$20</f>
        <v>9.4126320076772007E-4</v>
      </c>
      <c r="W596" s="96">
        <f>((Tableau!$H$16-Q596)/(AC596^2+Tableau!$G$21^2)^(3/2))*Tableau!$G$20</f>
        <v>-4.6124868680147484E-4</v>
      </c>
      <c r="X596" s="96">
        <f>((Tableau!$G$25-P596)/(AD596^2+Tableau!$G$30^2)^(3/2))*Tableau!$G$29</f>
        <v>3.2381597754684645E-4</v>
      </c>
      <c r="Y596" s="96">
        <f>((Tableau!$H$25-Q596)/(AD596^2+Tableau!$G$30^2)^(3/2))*Tableau!$G$29</f>
        <v>-1.589565239356398E-4</v>
      </c>
      <c r="Z596" s="96">
        <f>((Tableau!$G$35-P596)/(AE596^2+Tableau!$G$40^2)^(3/2))*Tableau!$G$39</f>
        <v>9.4167320797085589E-4</v>
      </c>
      <c r="AA596" s="97">
        <f>((Tableau!$H$35-Q596)/(AE596^2+Tableau!$G$40^2)^(3/2))*Tableau!$G$39</f>
        <v>-4.6308214049666933E-4</v>
      </c>
      <c r="AC596" s="110">
        <f>SQRT((Tableau!$G$16-P596)^2+(Tableau!$H$16-Q596)^2)</f>
        <v>22349966.948089018</v>
      </c>
      <c r="AD596" s="111">
        <f>SQRT((Tableau!$G$25-P596)^2+(Tableau!$H$25-Q596)^2)</f>
        <v>22312952.973342478</v>
      </c>
      <c r="AE596" s="112">
        <f>SQRT((Tableau!$G$35-P596)^2+(Tableau!$H$35-Q596)^2)</f>
        <v>22337440.125196416</v>
      </c>
    </row>
    <row r="597" spans="2:31" x14ac:dyDescent="0.25">
      <c r="B597" s="18">
        <v>594</v>
      </c>
      <c r="C597" s="19">
        <f>Tableau!$G$17*COS(B597*PI()/180)+Tableau!$G$16</f>
        <v>17061.073738537634</v>
      </c>
      <c r="D597" s="19">
        <f>Tableau!$G$17*SIN(B597*PI()/180)+Tableau!$H$16</f>
        <v>3454.9150281252637</v>
      </c>
      <c r="F597" s="26">
        <v>594</v>
      </c>
      <c r="G597" s="27">
        <f>Tableau!$G$26*COS(F597*PI()/180)+Tableau!$G$25</f>
        <v>-22057.248383023656</v>
      </c>
      <c r="H597" s="27">
        <f>Tableau!$G$26*SIN(F597*PI()/180)+Tableau!$H$25</f>
        <v>7168.4405196876851</v>
      </c>
      <c r="J597" s="34">
        <v>594</v>
      </c>
      <c r="K597" s="35">
        <f>Tableau!$G$36*COS(J597*PI()/180)+Tableau!$G$35</f>
        <v>-7938.9262614623676</v>
      </c>
      <c r="L597" s="35">
        <f>Tableau!$G$36*SIN(J597*PI()/180)+Tableau!$H$35</f>
        <v>-19045.084971874738</v>
      </c>
      <c r="N597" s="98">
        <v>593</v>
      </c>
      <c r="O597" s="99">
        <v>296.5</v>
      </c>
      <c r="P597" s="101">
        <f>P596+R596*Tableau!$G$2+((1/2)*T596)*Tableau!$G$2^2</f>
        <v>-20084152.221106723</v>
      </c>
      <c r="Q597" s="101">
        <f>Q596+S596*Tableau!$G$2+((1/2)*U596)*Tableau!$G$2^2</f>
        <v>9859237.5548350811</v>
      </c>
      <c r="R597" s="101">
        <f>R596+T596*Tableau!$G$2</f>
        <v>-68698.091938547703</v>
      </c>
      <c r="S597" s="101">
        <f>S596+U596*Tableau!$G$2</f>
        <v>33800.673559111587</v>
      </c>
      <c r="T597" s="101">
        <f t="shared" si="18"/>
        <v>2.1992069144477571E-3</v>
      </c>
      <c r="U597" s="101">
        <f t="shared" si="19"/>
        <v>-1.0795875176622845E-3</v>
      </c>
      <c r="V597" s="101">
        <f>((Tableau!$G$16-P597)/(AC597^2+Tableau!$G$21^2)^(3/2))*Tableau!$G$20</f>
        <v>9.3804577554410374E-4</v>
      </c>
      <c r="W597" s="101">
        <f>((Tableau!$H$16-Q597)/(AC597^2+Tableau!$G$21^2)^(3/2))*Tableau!$G$20</f>
        <v>-4.5967522994478765E-4</v>
      </c>
      <c r="X597" s="101">
        <f>((Tableau!$G$25-P597)/(AD597^2+Tableau!$G$30^2)^(3/2))*Tableau!$G$29</f>
        <v>3.2270746360149745E-4</v>
      </c>
      <c r="Y597" s="101">
        <f>((Tableau!$H$25-Q597)/(AD597^2+Tableau!$G$30^2)^(3/2))*Tableau!$G$29</f>
        <v>-1.584129962085248E-4</v>
      </c>
      <c r="Z597" s="101">
        <f>((Tableau!$G$35-P597)/(AE597^2+Tableau!$G$40^2)^(3/2))*Tableau!$G$39</f>
        <v>9.38453675302156E-4</v>
      </c>
      <c r="AA597" s="102">
        <f>((Tableau!$H$35-Q597)/(AE597^2+Tableau!$G$40^2)^(3/2))*Tableau!$G$39</f>
        <v>-4.6149929150897205E-4</v>
      </c>
      <c r="AC597" s="113">
        <f>SQRT((Tableau!$G$16-P597)^2+(Tableau!$H$16-Q597)^2)</f>
        <v>22388248.466076534</v>
      </c>
      <c r="AD597" s="114">
        <f>SQRT((Tableau!$G$25-P597)^2+(Tableau!$H$25-Q597)^2)</f>
        <v>22351234.524368349</v>
      </c>
      <c r="AE597" s="115">
        <f>SQRT((Tableau!$G$35-P597)^2+(Tableau!$H$35-Q597)^2)</f>
        <v>22375721.691326305</v>
      </c>
    </row>
    <row r="598" spans="2:31" x14ac:dyDescent="0.25">
      <c r="B598" s="20">
        <v>595</v>
      </c>
      <c r="C598" s="21">
        <f>Tableau!$G$17*COS(B598*PI()/180)+Tableau!$G$16</f>
        <v>17132.117818244762</v>
      </c>
      <c r="D598" s="21">
        <f>Tableau!$G$17*SIN(B598*PI()/180)+Tableau!$H$16</f>
        <v>3404.2397785550456</v>
      </c>
      <c r="F598" s="28">
        <v>595</v>
      </c>
      <c r="G598" s="29">
        <f>Tableau!$G$26*COS(F598*PI()/180)+Tableau!$G$25</f>
        <v>-22007.517527228665</v>
      </c>
      <c r="H598" s="29">
        <f>Tableau!$G$26*SIN(F598*PI()/180)+Tableau!$H$25</f>
        <v>7132.9678449885323</v>
      </c>
      <c r="J598" s="36">
        <v>595</v>
      </c>
      <c r="K598" s="37">
        <f>Tableau!$G$36*COS(J598*PI()/180)+Tableau!$G$35</f>
        <v>-7867.8821817552362</v>
      </c>
      <c r="L598" s="37">
        <f>Tableau!$G$36*SIN(J598*PI()/180)+Tableau!$H$35</f>
        <v>-19095.760221444954</v>
      </c>
      <c r="N598" s="92">
        <v>594</v>
      </c>
      <c r="O598" s="93">
        <v>297</v>
      </c>
      <c r="P598" s="96">
        <f>P597+R597*Tableau!$G$2+((1/2)*T597)*Tableau!$G$2^2</f>
        <v>-20118501.266801096</v>
      </c>
      <c r="Q598" s="96">
        <f>Q597+S597*Tableau!$G$2+((1/2)*U597)*Tableau!$G$2^2</f>
        <v>9876137.8914796878</v>
      </c>
      <c r="R598" s="96">
        <f>R597+T597*Tableau!$G$2</f>
        <v>-68698.090838944248</v>
      </c>
      <c r="S598" s="96">
        <f>S597+U597*Tableau!$G$2</f>
        <v>33800.67301931783</v>
      </c>
      <c r="T598" s="96">
        <f t="shared" si="18"/>
        <v>2.1917000766089657E-3</v>
      </c>
      <c r="U598" s="96">
        <f t="shared" si="19"/>
        <v>-1.0759066063004811E-3</v>
      </c>
      <c r="V598" s="96">
        <f>((Tableau!$G$16-P598)/(AC598^2+Tableau!$G$21^2)^(3/2))*Tableau!$G$20</f>
        <v>9.3484481889885953E-4</v>
      </c>
      <c r="W598" s="96">
        <f>((Tableau!$H$16-Q598)/(AC598^2+Tableau!$G$21^2)^(3/2))*Tableau!$G$20</f>
        <v>-4.5810981066637241E-4</v>
      </c>
      <c r="X598" s="96">
        <f>((Tableau!$G$25-P598)/(AD598^2+Tableau!$G$30^2)^(3/2))*Tableau!$G$29</f>
        <v>3.2160463208003774E-4</v>
      </c>
      <c r="Y598" s="96">
        <f>((Tableau!$H$25-Q598)/(AD598^2+Tableau!$G$30^2)^(3/2))*Tableau!$G$29</f>
        <v>-1.5787225149376837E-4</v>
      </c>
      <c r="Z598" s="96">
        <f>((Tableau!$G$35-P598)/(AE598^2+Tableau!$G$40^2)^(3/2))*Tableau!$G$39</f>
        <v>9.3525062563006847E-4</v>
      </c>
      <c r="AA598" s="97">
        <f>((Tableau!$H$35-Q598)/(AE598^2+Tableau!$G$40^2)^(3/2))*Tableau!$G$39</f>
        <v>-4.5992454414034038E-4</v>
      </c>
      <c r="AC598" s="110">
        <f>SQRT((Tableau!$G$16-P598)^2+(Tableau!$H$16-Q598)^2)</f>
        <v>22426529.983617574</v>
      </c>
      <c r="AD598" s="111">
        <f>SQRT((Tableau!$G$25-P598)^2+(Tableau!$H$25-Q598)^2)</f>
        <v>22389516.074835036</v>
      </c>
      <c r="AE598" s="112">
        <f>SQRT((Tableau!$G$35-P598)^2+(Tableau!$H$35-Q598)^2)</f>
        <v>22414003.256845362</v>
      </c>
    </row>
    <row r="599" spans="2:31" x14ac:dyDescent="0.25">
      <c r="B599" s="18">
        <v>596</v>
      </c>
      <c r="C599" s="19">
        <f>Tableau!$G$17*COS(B599*PI()/180)+Tableau!$G$16</f>
        <v>17204.035482646264</v>
      </c>
      <c r="D599" s="19">
        <f>Tableau!$G$17*SIN(B599*PI()/180)+Tableau!$H$16</f>
        <v>3354.8121372247933</v>
      </c>
      <c r="F599" s="26">
        <v>596</v>
      </c>
      <c r="G599" s="27">
        <f>Tableau!$G$26*COS(F599*PI()/180)+Tableau!$G$25</f>
        <v>-21957.175162147618</v>
      </c>
      <c r="H599" s="27">
        <f>Tableau!$G$26*SIN(F599*PI()/180)+Tableau!$H$25</f>
        <v>7098.3684960573555</v>
      </c>
      <c r="J599" s="34">
        <v>596</v>
      </c>
      <c r="K599" s="35">
        <f>Tableau!$G$36*COS(J599*PI()/180)+Tableau!$G$35</f>
        <v>-7795.9645173537374</v>
      </c>
      <c r="L599" s="35">
        <f>Tableau!$G$36*SIN(J599*PI()/180)+Tableau!$H$35</f>
        <v>-19145.187862775208</v>
      </c>
      <c r="N599" s="98">
        <v>595</v>
      </c>
      <c r="O599" s="99">
        <v>297.5</v>
      </c>
      <c r="P599" s="101">
        <f>P598+R598*Tableau!$G$2+((1/2)*T598)*Tableau!$G$2^2</f>
        <v>-20152850.311946608</v>
      </c>
      <c r="Q599" s="101">
        <f>Q598+S598*Tableau!$G$2+((1/2)*U598)*Tableau!$G$2^2</f>
        <v>9893038.2278548572</v>
      </c>
      <c r="R599" s="101">
        <f>R598+T598*Tableau!$G$2</f>
        <v>-68698.089743094213</v>
      </c>
      <c r="S599" s="101">
        <f>S598+U598*Tableau!$G$2</f>
        <v>33800.672481364527</v>
      </c>
      <c r="T599" s="101">
        <f t="shared" si="18"/>
        <v>2.1842316094684644E-3</v>
      </c>
      <c r="U599" s="101">
        <f t="shared" si="19"/>
        <v>-1.0722444883349595E-3</v>
      </c>
      <c r="V599" s="101">
        <f>((Tableau!$G$16-P599)/(AC599^2+Tableau!$G$21^2)^(3/2))*Tableau!$G$20</f>
        <v>9.3166021862951299E-4</v>
      </c>
      <c r="W599" s="101">
        <f>((Tableau!$H$16-Q599)/(AC599^2+Tableau!$G$21^2)^(3/2))*Tableau!$G$20</f>
        <v>-4.5655237431566195E-4</v>
      </c>
      <c r="X599" s="101">
        <f>((Tableau!$G$25-P599)/(AD599^2+Tableau!$G$30^2)^(3/2))*Tableau!$G$29</f>
        <v>3.2050744420993499E-4</v>
      </c>
      <c r="Y599" s="101">
        <f>((Tableau!$H$25-Q599)/(AD599^2+Tableau!$G$30^2)^(3/2))*Tableau!$G$29</f>
        <v>-1.5733427082399926E-4</v>
      </c>
      <c r="Z599" s="101">
        <f>((Tableau!$G$35-P599)/(AE599^2+Tableau!$G$40^2)^(3/2))*Tableau!$G$39</f>
        <v>9.3206394662901661E-4</v>
      </c>
      <c r="AA599" s="102">
        <f>((Tableau!$H$35-Q599)/(AE599^2+Tableau!$G$40^2)^(3/2))*Tableau!$G$39</f>
        <v>-4.5835784319529831E-4</v>
      </c>
      <c r="AC599" s="113">
        <f>SQRT((Tableau!$G$16-P599)^2+(Tableau!$H$16-Q599)^2)</f>
        <v>22464811.500713378</v>
      </c>
      <c r="AD599" s="114">
        <f>SQRT((Tableau!$G$25-P599)^2+(Tableau!$H$25-Q599)^2)</f>
        <v>22427797.624744367</v>
      </c>
      <c r="AE599" s="115">
        <f>SQRT((Tableau!$G$35-P599)^2+(Tableau!$H$35-Q599)^2)</f>
        <v>22452284.821755674</v>
      </c>
    </row>
    <row r="600" spans="2:31" x14ac:dyDescent="0.25">
      <c r="B600" s="20">
        <v>597</v>
      </c>
      <c r="C600" s="21">
        <f>Tableau!$G$17*COS(B600*PI()/180)+Tableau!$G$16</f>
        <v>17276.804824924857</v>
      </c>
      <c r="D600" s="21">
        <f>Tableau!$G$17*SIN(B600*PI()/180)+Tableau!$H$16</f>
        <v>3306.6471602728843</v>
      </c>
      <c r="F600" s="28">
        <v>597</v>
      </c>
      <c r="G600" s="29">
        <f>Tableau!$G$26*COS(F600*PI()/180)+Tableau!$G$25</f>
        <v>-21906.236622552598</v>
      </c>
      <c r="H600" s="29">
        <f>Tableau!$G$26*SIN(F600*PI()/180)+Tableau!$H$25</f>
        <v>7064.6530121910191</v>
      </c>
      <c r="J600" s="36">
        <v>597</v>
      </c>
      <c r="K600" s="37">
        <f>Tableau!$G$36*COS(J600*PI()/180)+Tableau!$G$35</f>
        <v>-7723.1951750751432</v>
      </c>
      <c r="L600" s="37">
        <f>Tableau!$G$36*SIN(J600*PI()/180)+Tableau!$H$35</f>
        <v>-19193.352839727115</v>
      </c>
      <c r="N600" s="92">
        <v>596</v>
      </c>
      <c r="O600" s="93">
        <v>298</v>
      </c>
      <c r="P600" s="96">
        <f>P599+R599*Tableau!$G$2+((1/2)*T599)*Tableau!$G$2^2</f>
        <v>-20187199.356545124</v>
      </c>
      <c r="Q600" s="96">
        <f>Q599+S599*Tableau!$G$2+((1/2)*U599)*Tableau!$G$2^2</f>
        <v>9909938.5639615096</v>
      </c>
      <c r="R600" s="96">
        <f>R599+T599*Tableau!$G$2</f>
        <v>-68698.088650978403</v>
      </c>
      <c r="S600" s="96">
        <f>S599+U599*Tableau!$G$2</f>
        <v>33800.671945242284</v>
      </c>
      <c r="T600" s="96">
        <f t="shared" si="18"/>
        <v>2.1768012519649965E-3</v>
      </c>
      <c r="U600" s="96">
        <f t="shared" si="19"/>
        <v>-1.0686010360466004E-3</v>
      </c>
      <c r="V600" s="96">
        <f>((Tableau!$G$16-P600)/(AC600^2+Tableau!$G$21^2)^(3/2))*Tableau!$G$20</f>
        <v>9.2849186348755147E-4</v>
      </c>
      <c r="W600" s="96">
        <f>((Tableau!$H$16-Q600)/(AC600^2+Tableau!$G$21^2)^(3/2))*Tableau!$G$20</f>
        <v>-4.5500286670579934E-4</v>
      </c>
      <c r="X600" s="96">
        <f>((Tableau!$G$25-P600)/(AD600^2+Tableau!$G$30^2)^(3/2))*Tableau!$G$29</f>
        <v>3.1941586154879778E-4</v>
      </c>
      <c r="Y600" s="96">
        <f>((Tableau!$H$25-Q600)/(AD600^2+Tableau!$G$30^2)^(3/2))*Tableau!$G$29</f>
        <v>-1.5679903539316502E-4</v>
      </c>
      <c r="Z600" s="96">
        <f>((Tableau!$G$35-P600)/(AE600^2+Tableau!$G$40^2)^(3/2))*Tableau!$G$39</f>
        <v>9.2889352692864717E-4</v>
      </c>
      <c r="AA600" s="97">
        <f>((Tableau!$H$35-Q600)/(AE600^2+Tableau!$G$40^2)^(3/2))*Tableau!$G$39</f>
        <v>-4.5679913394763605E-4</v>
      </c>
      <c r="AC600" s="110">
        <f>SQRT((Tableau!$G$16-P600)^2+(Tableau!$H$16-Q600)^2)</f>
        <v>22503093.017365184</v>
      </c>
      <c r="AD600" s="111">
        <f>SQRT((Tableau!$G$25-P600)^2+(Tableau!$H$25-Q600)^2)</f>
        <v>22466079.174098145</v>
      </c>
      <c r="AE600" s="112">
        <f>SQRT((Tableau!$G$35-P600)^2+(Tableau!$H$35-Q600)^2)</f>
        <v>22490566.386059307</v>
      </c>
    </row>
    <row r="601" spans="2:31" x14ac:dyDescent="0.25">
      <c r="B601" s="18">
        <v>598</v>
      </c>
      <c r="C601" s="19">
        <f>Tableau!$G$17*COS(B601*PI()/180)+Tableau!$G$16</f>
        <v>17350.403678833969</v>
      </c>
      <c r="D601" s="19">
        <f>Tableau!$G$17*SIN(B601*PI()/180)+Tableau!$H$16</f>
        <v>3259.7595192178733</v>
      </c>
      <c r="F601" s="26">
        <v>598</v>
      </c>
      <c r="G601" s="27">
        <f>Tableau!$G$26*COS(F601*PI()/180)+Tableau!$G$25</f>
        <v>-21854.717424816219</v>
      </c>
      <c r="H601" s="27">
        <f>Tableau!$G$26*SIN(F601*PI()/180)+Tableau!$H$25</f>
        <v>7031.8316634525108</v>
      </c>
      <c r="J601" s="34">
        <v>598</v>
      </c>
      <c r="K601" s="35">
        <f>Tableau!$G$36*COS(J601*PI()/180)+Tableau!$G$35</f>
        <v>-7649.5963211660301</v>
      </c>
      <c r="L601" s="35">
        <f>Tableau!$G$36*SIN(J601*PI()/180)+Tableau!$H$35</f>
        <v>-19240.240480782126</v>
      </c>
      <c r="N601" s="98">
        <v>597</v>
      </c>
      <c r="O601" s="99">
        <v>298.5</v>
      </c>
      <c r="P601" s="101">
        <f>P600+R600*Tableau!$G$2+((1/2)*T600)*Tableau!$G$2^2</f>
        <v>-20221548.400598515</v>
      </c>
      <c r="Q601" s="101">
        <f>Q600+S600*Tableau!$G$2+((1/2)*U600)*Tableau!$G$2^2</f>
        <v>9926838.8998005558</v>
      </c>
      <c r="R601" s="101">
        <f>R600+T600*Tableau!$G$2</f>
        <v>-68698.087562577784</v>
      </c>
      <c r="S601" s="101">
        <f>S600+U600*Tableau!$G$2</f>
        <v>33800.671410941766</v>
      </c>
      <c r="T601" s="101">
        <f t="shared" si="18"/>
        <v>2.1694087452536755E-3</v>
      </c>
      <c r="U601" s="101">
        <f t="shared" si="19"/>
        <v>-1.0649761227993736E-3</v>
      </c>
      <c r="V601" s="101">
        <f>((Tableau!$G$16-P601)/(AC601^2+Tableau!$G$21^2)^(3/2))*Tableau!$G$20</f>
        <v>9.2533964316865024E-4</v>
      </c>
      <c r="W601" s="101">
        <f>((Tableau!$H$16-Q601)/(AC601^2+Tableau!$G$21^2)^(3/2))*Tableau!$G$20</f>
        <v>-4.5346123410889628E-4</v>
      </c>
      <c r="X601" s="101">
        <f>((Tableau!$G$25-P601)/(AD601^2+Tableau!$G$30^2)^(3/2))*Tableau!$G$29</f>
        <v>3.1832984598099354E-4</v>
      </c>
      <c r="Y601" s="101">
        <f>((Tableau!$H$25-Q601)/(AD601^2+Tableau!$G$30^2)^(3/2))*Tableau!$G$29</f>
        <v>-1.5626652655488074E-4</v>
      </c>
      <c r="Z601" s="101">
        <f>((Tableau!$G$35-P601)/(AE601^2+Tableau!$G$40^2)^(3/2))*Tableau!$G$39</f>
        <v>9.2573925610403161E-4</v>
      </c>
      <c r="AA601" s="102">
        <f>((Tableau!$H$35-Q601)/(AE601^2+Tableau!$G$40^2)^(3/2))*Tableau!$G$39</f>
        <v>-4.5524836213559669E-4</v>
      </c>
      <c r="AC601" s="113">
        <f>SQRT((Tableau!$G$16-P601)^2+(Tableau!$H$16-Q601)^2)</f>
        <v>22541374.533574231</v>
      </c>
      <c r="AD601" s="114">
        <f>SQRT((Tableau!$G$25-P601)^2+(Tableau!$H$25-Q601)^2)</f>
        <v>22504360.72289817</v>
      </c>
      <c r="AE601" s="115">
        <f>SQRT((Tableau!$G$35-P601)^2+(Tableau!$H$35-Q601)^2)</f>
        <v>22528847.949758325</v>
      </c>
    </row>
    <row r="602" spans="2:31" x14ac:dyDescent="0.25">
      <c r="B602" s="20">
        <v>599</v>
      </c>
      <c r="C602" s="21">
        <f>Tableau!$G$17*COS(B602*PI()/180)+Tableau!$G$16</f>
        <v>17424.809625449729</v>
      </c>
      <c r="D602" s="21">
        <f>Tableau!$G$17*SIN(B602*PI()/180)+Tableau!$H$16</f>
        <v>3214.1634964894401</v>
      </c>
      <c r="F602" s="28">
        <v>599</v>
      </c>
      <c r="G602" s="29">
        <f>Tableau!$G$26*COS(F602*PI()/180)+Tableau!$G$25</f>
        <v>-21802.633262185191</v>
      </c>
      <c r="H602" s="29">
        <f>Tableau!$G$26*SIN(F602*PI()/180)+Tableau!$H$25</f>
        <v>6999.9144475426074</v>
      </c>
      <c r="J602" s="36">
        <v>599</v>
      </c>
      <c r="K602" s="37">
        <f>Tableau!$G$36*COS(J602*PI()/180)+Tableau!$G$35</f>
        <v>-7575.1903745502732</v>
      </c>
      <c r="L602" s="37">
        <f>Tableau!$G$36*SIN(J602*PI()/180)+Tableau!$H$35</f>
        <v>-19285.83650351056</v>
      </c>
      <c r="N602" s="92">
        <v>598</v>
      </c>
      <c r="O602" s="93">
        <v>299</v>
      </c>
      <c r="P602" s="96">
        <f>P601+R601*Tableau!$G$2+((1/2)*T601)*Tableau!$G$2^2</f>
        <v>-20255897.444108628</v>
      </c>
      <c r="Q602" s="96">
        <f>Q601+S601*Tableau!$G$2+((1/2)*U601)*Tableau!$G$2^2</f>
        <v>9943739.2353729047</v>
      </c>
      <c r="R602" s="96">
        <f>R601+T601*Tableau!$G$2</f>
        <v>-68698.08647787341</v>
      </c>
      <c r="S602" s="96">
        <f>S601+U601*Tableau!$G$2</f>
        <v>33800.670878453704</v>
      </c>
      <c r="T602" s="96">
        <f t="shared" si="18"/>
        <v>2.1620538326835794E-3</v>
      </c>
      <c r="U602" s="96">
        <f t="shared" si="19"/>
        <v>-1.061369623029403E-3</v>
      </c>
      <c r="V602" s="96">
        <f>((Tableau!$G$16-P602)/(AC602^2+Tableau!$G$21^2)^(3/2))*Tableau!$G$20</f>
        <v>9.222034483031108E-4</v>
      </c>
      <c r="W602" s="96">
        <f>((Tableau!$H$16-Q602)/(AC602^2+Tableau!$G$21^2)^(3/2))*Tableau!$G$20</f>
        <v>-4.51927423251395E-4</v>
      </c>
      <c r="X602" s="96">
        <f>((Tableau!$G$25-P602)/(AD602^2+Tableau!$G$30^2)^(3/2))*Tableau!$G$29</f>
        <v>3.1724935971433012E-4</v>
      </c>
      <c r="Y602" s="96">
        <f>((Tableau!$H$25-Q602)/(AD602^2+Tableau!$G$30^2)^(3/2))*Tableau!$G$29</f>
        <v>-1.5573672582080988E-4</v>
      </c>
      <c r="Z602" s="96">
        <f>((Tableau!$G$35-P602)/(AE602^2+Tableau!$G$40^2)^(3/2))*Tableau!$G$39</f>
        <v>9.2260102466613838E-4</v>
      </c>
      <c r="AA602" s="97">
        <f>((Tableau!$H$35-Q602)/(AE602^2+Tableau!$G$40^2)^(3/2))*Tableau!$G$39</f>
        <v>-4.5370547395719819E-4</v>
      </c>
      <c r="AC602" s="110">
        <f>SQRT((Tableau!$G$16-P602)^2+(Tableau!$H$16-Q602)^2)</f>
        <v>22579656.049341734</v>
      </c>
      <c r="AD602" s="111">
        <f>SQRT((Tableau!$G$25-P602)^2+(Tableau!$H$25-Q602)^2)</f>
        <v>22542642.271146234</v>
      </c>
      <c r="AE602" s="112">
        <f>SQRT((Tableau!$G$35-P602)^2+(Tableau!$H$35-Q602)^2)</f>
        <v>22567129.512854777</v>
      </c>
    </row>
    <row r="603" spans="2:31" x14ac:dyDescent="0.25">
      <c r="B603" s="18">
        <v>600</v>
      </c>
      <c r="C603" s="19">
        <f>Tableau!$G$17*COS(B603*PI()/180)+Tableau!$G$16</f>
        <v>17500</v>
      </c>
      <c r="D603" s="19">
        <f>Tableau!$G$17*SIN(B603*PI()/180)+Tableau!$H$16</f>
        <v>3169.8729810778068</v>
      </c>
      <c r="F603" s="26">
        <v>600</v>
      </c>
      <c r="G603" s="27">
        <f>Tableau!$G$26*COS(F603*PI()/180)+Tableau!$G$25</f>
        <v>-21750</v>
      </c>
      <c r="H603" s="27">
        <f>Tableau!$G$26*SIN(F603*PI()/180)+Tableau!$H$25</f>
        <v>6968.9110867544641</v>
      </c>
      <c r="J603" s="34">
        <v>600</v>
      </c>
      <c r="K603" s="35">
        <f>Tableau!$G$36*COS(J603*PI()/180)+Tableau!$G$35</f>
        <v>-7499.9999999999991</v>
      </c>
      <c r="L603" s="35">
        <f>Tableau!$G$36*SIN(J603*PI()/180)+Tableau!$H$35</f>
        <v>-19330.127018922194</v>
      </c>
      <c r="N603" s="98">
        <v>599</v>
      </c>
      <c r="O603" s="99">
        <v>299.5</v>
      </c>
      <c r="P603" s="101">
        <f>P602+R602*Tableau!$G$2+((1/2)*T602)*Tableau!$G$2^2</f>
        <v>-20290246.487077311</v>
      </c>
      <c r="Q603" s="101">
        <f>Q602+S602*Tableau!$G$2+((1/2)*U602)*Tableau!$G$2^2</f>
        <v>9960639.5706794616</v>
      </c>
      <c r="R603" s="101">
        <f>R602+T602*Tableau!$G$2</f>
        <v>-68698.085396846494</v>
      </c>
      <c r="S603" s="101">
        <f>S602+U602*Tableau!$G$2</f>
        <v>33800.670347768893</v>
      </c>
      <c r="T603" s="101">
        <f t="shared" si="18"/>
        <v>2.1547362597753744E-3</v>
      </c>
      <c r="U603" s="101">
        <f t="shared" si="19"/>
        <v>-1.0577814122340419E-3</v>
      </c>
      <c r="V603" s="101">
        <f>((Tableau!$G$16-P603)/(AC603^2+Tableau!$G$21^2)^(3/2))*Tableau!$G$20</f>
        <v>9.1908317044636764E-4</v>
      </c>
      <c r="W603" s="101">
        <f>((Tableau!$H$16-Q603)/(AC603^2+Tableau!$G$21^2)^(3/2))*Tableau!$G$20</f>
        <v>-4.5040138130946248E-4</v>
      </c>
      <c r="X603" s="101">
        <f>((Tableau!$G$25-P603)/(AD603^2+Tableau!$G$30^2)^(3/2))*Tableau!$G$29</f>
        <v>3.1617436527675281E-4</v>
      </c>
      <c r="Y603" s="101">
        <f>((Tableau!$H$25-Q603)/(AD603^2+Tableau!$G$30^2)^(3/2))*Tableau!$G$29</f>
        <v>-1.5520961485905187E-4</v>
      </c>
      <c r="Z603" s="101">
        <f>((Tableau!$G$35-P603)/(AE603^2+Tableau!$G$40^2)^(3/2))*Tableau!$G$39</f>
        <v>9.1947872405225407E-4</v>
      </c>
      <c r="AA603" s="102">
        <f>((Tableau!$H$35-Q603)/(AE603^2+Tableau!$G$40^2)^(3/2))*Tableau!$G$39</f>
        <v>-4.5217041606552752E-4</v>
      </c>
      <c r="AC603" s="113">
        <f>SQRT((Tableau!$G$16-P603)^2+(Tableau!$H$16-Q603)^2)</f>
        <v>22617937.564668924</v>
      </c>
      <c r="AD603" s="114">
        <f>SQRT((Tableau!$G$25-P603)^2+(Tableau!$H$25-Q603)^2)</f>
        <v>22580923.818844125</v>
      </c>
      <c r="AE603" s="115">
        <f>SQRT((Tableau!$G$35-P603)^2+(Tableau!$H$35-Q603)^2)</f>
        <v>22605411.075350702</v>
      </c>
    </row>
    <row r="604" spans="2:31" x14ac:dyDescent="0.25">
      <c r="B604" s="20">
        <v>601</v>
      </c>
      <c r="C604" s="21">
        <f>Tableau!$G$17*COS(B604*PI()/180)+Tableau!$G$16</f>
        <v>17575.951898768319</v>
      </c>
      <c r="D604" s="21">
        <f>Tableau!$G$17*SIN(B604*PI()/180)+Tableau!$H$16</f>
        <v>3126.9014643030187</v>
      </c>
      <c r="F604" s="28">
        <v>601</v>
      </c>
      <c r="G604" s="29">
        <f>Tableau!$G$26*COS(F604*PI()/180)+Tableau!$G$25</f>
        <v>-21696.833670862175</v>
      </c>
      <c r="H604" s="29">
        <f>Tableau!$G$26*SIN(F604*PI()/180)+Tableau!$H$25</f>
        <v>6938.831025012114</v>
      </c>
      <c r="J604" s="36">
        <v>601</v>
      </c>
      <c r="K604" s="37">
        <f>Tableau!$G$36*COS(J604*PI()/180)+Tableau!$G$35</f>
        <v>-7424.0481012316814</v>
      </c>
      <c r="L604" s="37">
        <f>Tableau!$G$36*SIN(J604*PI()/180)+Tableau!$H$35</f>
        <v>-19373.098535696983</v>
      </c>
      <c r="N604" s="92">
        <v>600</v>
      </c>
      <c r="O604" s="93">
        <v>300</v>
      </c>
      <c r="P604" s="96">
        <f>P603+R603*Tableau!$G$2+((1/2)*T603)*Tableau!$G$2^2</f>
        <v>-20324595.529506393</v>
      </c>
      <c r="Q604" s="96">
        <f>Q603+S603*Tableau!$G$2+((1/2)*U603)*Tableau!$G$2^2</f>
        <v>9977539.9057211224</v>
      </c>
      <c r="R604" s="96">
        <f>R603+T603*Tableau!$G$2</f>
        <v>-68698.084319478367</v>
      </c>
      <c r="S604" s="96">
        <f>S603+U603*Tableau!$G$2</f>
        <v>33800.669818878188</v>
      </c>
      <c r="T604" s="96">
        <f t="shared" si="18"/>
        <v>2.1474557741993638E-3</v>
      </c>
      <c r="U604" s="96">
        <f t="shared" si="19"/>
        <v>-1.0542113669611583E-3</v>
      </c>
      <c r="V604" s="96">
        <f>((Tableau!$G$16-P604)/(AC604^2+Tableau!$G$21^2)^(3/2))*Tableau!$G$20</f>
        <v>9.1597870206963476E-4</v>
      </c>
      <c r="W604" s="96">
        <f>((Tableau!$H$16-Q604)/(AC604^2+Tableau!$G$21^2)^(3/2))*Tableau!$G$20</f>
        <v>-4.4888305590445269E-4</v>
      </c>
      <c r="X604" s="96">
        <f>((Tableau!$G$25-P604)/(AD604^2+Tableau!$G$30^2)^(3/2))*Tableau!$G$29</f>
        <v>3.1510482551310977E-4</v>
      </c>
      <c r="Y604" s="96">
        <f>((Tableau!$H$25-Q604)/(AD604^2+Tableau!$G$30^2)^(3/2))*Tableau!$G$29</f>
        <v>-1.546851754925633E-4</v>
      </c>
      <c r="Z604" s="96">
        <f>((Tableau!$G$35-P604)/(AE604^2+Tableau!$G$40^2)^(3/2))*Tableau!$G$39</f>
        <v>9.1637224661661942E-4</v>
      </c>
      <c r="AA604" s="97">
        <f>((Tableau!$H$35-Q604)/(AE604^2+Tableau!$G$40^2)^(3/2))*Tableau!$G$39</f>
        <v>-4.5064313556414224E-4</v>
      </c>
      <c r="AC604" s="110">
        <f>SQRT((Tableau!$G$16-P604)^2+(Tableau!$H$16-Q604)^2)</f>
        <v>22656219.079557009</v>
      </c>
      <c r="AD604" s="111">
        <f>SQRT((Tableau!$G$25-P604)^2+(Tableau!$H$25-Q604)^2)</f>
        <v>22619205.365993608</v>
      </c>
      <c r="AE604" s="112">
        <f>SQRT((Tableau!$G$35-P604)^2+(Tableau!$H$35-Q604)^2)</f>
        <v>22643692.637248132</v>
      </c>
    </row>
    <row r="605" spans="2:31" x14ac:dyDescent="0.25">
      <c r="B605" s="18">
        <v>602</v>
      </c>
      <c r="C605" s="19">
        <f>Tableau!$G$17*COS(B605*PI()/180)+Tableau!$G$16</f>
        <v>17652.642186070545</v>
      </c>
      <c r="D605" s="19">
        <f>Tableau!$G$17*SIN(B605*PI()/180)+Tableau!$H$16</f>
        <v>3085.2620357053656</v>
      </c>
      <c r="F605" s="26">
        <v>602</v>
      </c>
      <c r="G605" s="27">
        <f>Tableau!$G$26*COS(F605*PI()/180)+Tableau!$G$25</f>
        <v>-21643.150469750617</v>
      </c>
      <c r="H605" s="27">
        <f>Tableau!$G$26*SIN(F605*PI()/180)+Tableau!$H$25</f>
        <v>6909.6834249937565</v>
      </c>
      <c r="J605" s="34">
        <v>602</v>
      </c>
      <c r="K605" s="35">
        <f>Tableau!$G$36*COS(J605*PI()/180)+Tableau!$G$35</f>
        <v>-7347.357813929455</v>
      </c>
      <c r="L605" s="35">
        <f>Tableau!$G$36*SIN(J605*PI()/180)+Tableau!$H$35</f>
        <v>-19414.737964294633</v>
      </c>
      <c r="N605" s="98">
        <v>601</v>
      </c>
      <c r="O605" s="99">
        <v>300.5</v>
      </c>
      <c r="P605" s="101">
        <f>P604+R604*Tableau!$G$2+((1/2)*T604)*Tableau!$G$2^2</f>
        <v>-20358944.571397699</v>
      </c>
      <c r="Q605" s="101">
        <f>Q604+S604*Tableau!$G$2+((1/2)*U604)*Tableau!$G$2^2</f>
        <v>9994440.2404987849</v>
      </c>
      <c r="R605" s="101">
        <f>R604+T604*Tableau!$G$2</f>
        <v>-68698.083245750473</v>
      </c>
      <c r="S605" s="101">
        <f>S604+U604*Tableau!$G$2</f>
        <v>33800.669291772501</v>
      </c>
      <c r="T605" s="101">
        <f t="shared" si="18"/>
        <v>2.1402121257537133E-3</v>
      </c>
      <c r="U605" s="101">
        <f t="shared" si="19"/>
        <v>-1.0506593647985072E-3</v>
      </c>
      <c r="V605" s="101">
        <f>((Tableau!$G$16-P605)/(AC605^2+Tableau!$G$21^2)^(3/2))*Tableau!$G$20</f>
        <v>9.1288993655059918E-4</v>
      </c>
      <c r="W605" s="101">
        <f>((Tableau!$H$16-Q605)/(AC605^2+Tableau!$G$21^2)^(3/2))*Tableau!$G$20</f>
        <v>-4.4737239509839196E-4</v>
      </c>
      <c r="X605" s="101">
        <f>((Tableau!$G$25-P605)/(AD605^2+Tableau!$G$30^2)^(3/2))*Tableau!$G$29</f>
        <v>3.1404070358194322E-4</v>
      </c>
      <c r="Y605" s="101">
        <f>((Tableau!$H$25-Q605)/(AD605^2+Tableau!$G$30^2)^(3/2))*Tableau!$G$29</f>
        <v>-1.541633896975919E-4</v>
      </c>
      <c r="Z605" s="101">
        <f>((Tableau!$G$35-P605)/(AE605^2+Tableau!$G$40^2)^(3/2))*Tableau!$G$39</f>
        <v>9.1328148562117083E-4</v>
      </c>
      <c r="AA605" s="102">
        <f>((Tableau!$H$35-Q605)/(AE605^2+Tableau!$G$40^2)^(3/2))*Tableau!$G$39</f>
        <v>-4.4912358000252333E-4</v>
      </c>
      <c r="AC605" s="113">
        <f>SQRT((Tableau!$G$16-P605)^2+(Tableau!$H$16-Q605)^2)</f>
        <v>22694500.594007213</v>
      </c>
      <c r="AD605" s="114">
        <f>SQRT((Tableau!$G$25-P605)^2+(Tableau!$H$25-Q605)^2)</f>
        <v>22657486.912596449</v>
      </c>
      <c r="AE605" s="115">
        <f>SQRT((Tableau!$G$35-P605)^2+(Tableau!$H$35-Q605)^2)</f>
        <v>22681974.198549081</v>
      </c>
    </row>
    <row r="606" spans="2:31" x14ac:dyDescent="0.25">
      <c r="B606" s="20">
        <v>603</v>
      </c>
      <c r="C606" s="21">
        <f>Tableau!$G$17*COS(B606*PI()/180)+Tableau!$G$16</f>
        <v>17730.04750130227</v>
      </c>
      <c r="D606" s="21">
        <f>Tableau!$G$17*SIN(B606*PI()/180)+Tableau!$H$16</f>
        <v>3044.9673790581592</v>
      </c>
      <c r="F606" s="28">
        <v>603</v>
      </c>
      <c r="G606" s="29">
        <f>Tableau!$G$26*COS(F606*PI()/180)+Tableau!$G$25</f>
        <v>-21588.966749088413</v>
      </c>
      <c r="H606" s="29">
        <f>Tableau!$G$26*SIN(F606*PI()/180)+Tableau!$H$25</f>
        <v>6881.4771653407115</v>
      </c>
      <c r="J606" s="36">
        <v>603</v>
      </c>
      <c r="K606" s="37">
        <f>Tableau!$G$36*COS(J606*PI()/180)+Tableau!$G$35</f>
        <v>-7269.9524986977322</v>
      </c>
      <c r="L606" s="37">
        <f>Tableau!$G$36*SIN(J606*PI()/180)+Tableau!$H$35</f>
        <v>-19455.032620941842</v>
      </c>
      <c r="N606" s="92">
        <v>602</v>
      </c>
      <c r="O606" s="93">
        <v>301</v>
      </c>
      <c r="P606" s="96">
        <f>P605+R605*Tableau!$G$2+((1/2)*T605)*Tableau!$G$2^2</f>
        <v>-20393293.612753045</v>
      </c>
      <c r="Q606" s="96">
        <f>Q605+S605*Tableau!$G$2+((1/2)*U605)*Tableau!$G$2^2</f>
        <v>10011340.575013338</v>
      </c>
      <c r="R606" s="96">
        <f>R605+T605*Tableau!$G$2</f>
        <v>-68698.082175644406</v>
      </c>
      <c r="S606" s="96">
        <f>S605+U605*Tableau!$G$2</f>
        <v>33800.668766442817</v>
      </c>
      <c r="T606" s="96">
        <f t="shared" si="18"/>
        <v>2.1330050663429692E-3</v>
      </c>
      <c r="U606" s="96">
        <f t="shared" si="19"/>
        <v>-1.0471252843632427E-3</v>
      </c>
      <c r="V606" s="96">
        <f>((Tableau!$G$16-P606)/(AC606^2+Tableau!$G$21^2)^(3/2))*Tableau!$G$20</f>
        <v>9.0981676816429317E-4</v>
      </c>
      <c r="W606" s="96">
        <f>((Tableau!$H$16-Q606)/(AC606^2+Tableau!$G$21^2)^(3/2))*Tableau!$G$20</f>
        <v>-4.4586934738954952E-4</v>
      </c>
      <c r="X606" s="96">
        <f>((Tableau!$G$25-P606)/(AD606^2+Tableau!$G$30^2)^(3/2))*Tableau!$G$29</f>
        <v>3.1298196295230344E-4</v>
      </c>
      <c r="Y606" s="96">
        <f>((Tableau!$H$25-Q606)/(AD606^2+Tableau!$G$30^2)^(3/2))*Tableau!$G$29</f>
        <v>-1.5364423960212119E-4</v>
      </c>
      <c r="Z606" s="96">
        <f>((Tableau!$G$35-P606)/(AE606^2+Tableau!$G$40^2)^(3/2))*Tableau!$G$39</f>
        <v>9.1020633522637248E-4</v>
      </c>
      <c r="AA606" s="97">
        <f>((Tableau!$H$35-Q606)/(AE606^2+Tableau!$G$40^2)^(3/2))*Tableau!$G$39</f>
        <v>-4.4761169737157194E-4</v>
      </c>
      <c r="AC606" s="110">
        <f>SQRT((Tableau!$G$16-P606)^2+(Tableau!$H$16-Q606)^2)</f>
        <v>22732782.10802073</v>
      </c>
      <c r="AD606" s="111">
        <f>SQRT((Tableau!$G$25-P606)^2+(Tableau!$H$25-Q606)^2)</f>
        <v>22695768.458654404</v>
      </c>
      <c r="AE606" s="112">
        <f>SQRT((Tableau!$G$35-P606)^2+(Tableau!$H$35-Q606)^2)</f>
        <v>22720255.759255558</v>
      </c>
    </row>
    <row r="607" spans="2:31" x14ac:dyDescent="0.25">
      <c r="B607" s="18">
        <v>604</v>
      </c>
      <c r="C607" s="19">
        <f>Tableau!$G$17*COS(B607*PI()/180)+Tableau!$G$16</f>
        <v>17808.144266054609</v>
      </c>
      <c r="D607" s="19">
        <f>Tableau!$G$17*SIN(B607*PI()/180)+Tableau!$H$16</f>
        <v>3006.0297685041669</v>
      </c>
      <c r="F607" s="26">
        <v>604</v>
      </c>
      <c r="G607" s="27">
        <f>Tableau!$G$26*COS(F607*PI()/180)+Tableau!$G$25</f>
        <v>-21534.299013761774</v>
      </c>
      <c r="H607" s="27">
        <f>Tableau!$G$26*SIN(F607*PI()/180)+Tableau!$H$25</f>
        <v>6854.2208379529166</v>
      </c>
      <c r="J607" s="34">
        <v>604</v>
      </c>
      <c r="K607" s="35">
        <f>Tableau!$G$36*COS(J607*PI()/180)+Tableau!$G$35</f>
        <v>-7191.8557339453891</v>
      </c>
      <c r="L607" s="35">
        <f>Tableau!$G$36*SIN(J607*PI()/180)+Tableau!$H$35</f>
        <v>-19493.970231495834</v>
      </c>
      <c r="N607" s="98">
        <v>603</v>
      </c>
      <c r="O607" s="99">
        <v>301.5</v>
      </c>
      <c r="P607" s="101">
        <f>P606+R606*Tableau!$G$2+((1/2)*T606)*Tableau!$G$2^2</f>
        <v>-20427642.653574239</v>
      </c>
      <c r="Q607" s="101">
        <f>Q606+S606*Tableau!$G$2+((1/2)*U606)*Tableau!$G$2^2</f>
        <v>10028240.909265669</v>
      </c>
      <c r="R607" s="101">
        <f>R606+T606*Tableau!$G$2</f>
        <v>-68698.081109141873</v>
      </c>
      <c r="S607" s="101">
        <f>S606+U606*Tableau!$G$2</f>
        <v>33800.668242880172</v>
      </c>
      <c r="T607" s="101">
        <f t="shared" si="18"/>
        <v>2.1258343499567685E-3</v>
      </c>
      <c r="U607" s="101">
        <f t="shared" si="19"/>
        <v>-1.0436090052915255E-3</v>
      </c>
      <c r="V607" s="101">
        <f>((Tableau!$G$16-P607)/(AC607^2+Tableau!$G$21^2)^(3/2))*Tableau!$G$20</f>
        <v>9.0675909207403994E-4</v>
      </c>
      <c r="W607" s="101">
        <f>((Tableau!$H$16-Q607)/(AC607^2+Tableau!$G$21^2)^(3/2))*Tableau!$G$20</f>
        <v>-4.4437386170804533E-4</v>
      </c>
      <c r="X607" s="101">
        <f>((Tableau!$G$25-P607)/(AD607^2+Tableau!$G$30^2)^(3/2))*Tableau!$G$29</f>
        <v>3.1192856740061466E-4</v>
      </c>
      <c r="Y607" s="101">
        <f>((Tableau!$H$25-Q607)/(AD607^2+Tableau!$G$30^2)^(3/2))*Tableau!$G$29</f>
        <v>-1.5312770748434075E-4</v>
      </c>
      <c r="Z607" s="101">
        <f>((Tableau!$G$35-P607)/(AE607^2+Tableau!$G$40^2)^(3/2))*Tableau!$G$39</f>
        <v>9.0714669048211414E-4</v>
      </c>
      <c r="AA607" s="102">
        <f>((Tableau!$H$35-Q607)/(AE607^2+Tableau!$G$40^2)^(3/2))*Tableau!$G$39</f>
        <v>-4.461074360991395E-4</v>
      </c>
      <c r="AC607" s="113">
        <f>SQRT((Tableau!$G$16-P607)^2+(Tableau!$H$16-Q607)^2)</f>
        <v>22771063.621598776</v>
      </c>
      <c r="AD607" s="114">
        <f>SQRT((Tableau!$G$25-P607)^2+(Tableau!$H$25-Q607)^2)</f>
        <v>22734050.004169229</v>
      </c>
      <c r="AE607" s="115">
        <f>SQRT((Tableau!$G$35-P607)^2+(Tableau!$H$35-Q607)^2)</f>
        <v>22758537.319369569</v>
      </c>
    </row>
    <row r="608" spans="2:31" x14ac:dyDescent="0.25">
      <c r="B608" s="20">
        <v>605</v>
      </c>
      <c r="C608" s="21">
        <f>Tableau!$G$17*COS(B608*PI()/180)+Tableau!$G$16</f>
        <v>17886.908691296503</v>
      </c>
      <c r="D608" s="21">
        <f>Tableau!$G$17*SIN(B608*PI()/180)+Tableau!$H$16</f>
        <v>2968.46106481675</v>
      </c>
      <c r="F608" s="28">
        <v>605</v>
      </c>
      <c r="G608" s="29">
        <f>Tableau!$G$26*COS(F608*PI()/180)+Tableau!$G$25</f>
        <v>-21479.163916092446</v>
      </c>
      <c r="H608" s="29">
        <f>Tableau!$G$26*SIN(F608*PI()/180)+Tableau!$H$25</f>
        <v>6827.9227453717249</v>
      </c>
      <c r="J608" s="36">
        <v>605</v>
      </c>
      <c r="K608" s="37">
        <f>Tableau!$G$36*COS(J608*PI()/180)+Tableau!$G$35</f>
        <v>-7113.0913087034969</v>
      </c>
      <c r="L608" s="37">
        <f>Tableau!$G$36*SIN(J608*PI()/180)+Tableau!$H$35</f>
        <v>-19531.538935183249</v>
      </c>
      <c r="N608" s="92">
        <v>604</v>
      </c>
      <c r="O608" s="93">
        <v>302</v>
      </c>
      <c r="P608" s="96">
        <f>P607+R607*Tableau!$G$2+((1/2)*T607)*Tableau!$G$2^2</f>
        <v>-20461991.693863083</v>
      </c>
      <c r="Q608" s="96">
        <f>Q607+S607*Tableau!$G$2+((1/2)*U607)*Tableau!$G$2^2</f>
        <v>10045141.243256658</v>
      </c>
      <c r="R608" s="96">
        <f>R607+T607*Tableau!$G$2</f>
        <v>-68698.080046224699</v>
      </c>
      <c r="S608" s="96">
        <f>S607+U607*Tableau!$G$2</f>
        <v>33800.667721075668</v>
      </c>
      <c r="T608" s="96">
        <f t="shared" si="18"/>
        <v>2.1186997326488903E-3</v>
      </c>
      <c r="U608" s="96">
        <f t="shared" si="19"/>
        <v>-1.0401104082282961E-3</v>
      </c>
      <c r="V608" s="96">
        <f>((Tableau!$G$16-P608)/(AC608^2+Tableau!$G$21^2)^(3/2))*Tableau!$G$20</f>
        <v>9.0371680432251803E-4</v>
      </c>
      <c r="W608" s="96">
        <f>((Tableau!$H$16-Q608)/(AC608^2+Tableau!$G$21^2)^(3/2))*Tableau!$G$20</f>
        <v>-4.4288588741151424E-4</v>
      </c>
      <c r="X608" s="96">
        <f>((Tableau!$G$25-P608)/(AD608^2+Tableau!$G$30^2)^(3/2))*Tableau!$G$29</f>
        <v>3.1088048100760211E-4</v>
      </c>
      <c r="Y608" s="96">
        <f>((Tableau!$H$25-Q608)/(AD608^2+Tableau!$G$30^2)^(3/2))*Tableau!$G$29</f>
        <v>-1.5261377577114633E-4</v>
      </c>
      <c r="Z608" s="96">
        <f>((Tableau!$G$35-P608)/(AE608^2+Tableau!$G$40^2)^(3/2))*Tableau!$G$39</f>
        <v>9.0410244731877029E-4</v>
      </c>
      <c r="AA608" s="97">
        <f>((Tableau!$H$35-Q608)/(AE608^2+Tableau!$G$40^2)^(3/2))*Tableau!$G$39</f>
        <v>-4.4461074504563544E-4</v>
      </c>
      <c r="AC608" s="110">
        <f>SQRT((Tableau!$G$16-P608)^2+(Tableau!$H$16-Q608)^2)</f>
        <v>22809345.134742543</v>
      </c>
      <c r="AD608" s="111">
        <f>SQRT((Tableau!$G$25-P608)^2+(Tableau!$H$25-Q608)^2)</f>
        <v>22772331.549142659</v>
      </c>
      <c r="AE608" s="112">
        <f>SQRT((Tableau!$G$35-P608)^2+(Tableau!$H$35-Q608)^2)</f>
        <v>22796818.8788931</v>
      </c>
    </row>
    <row r="609" spans="2:31" x14ac:dyDescent="0.25">
      <c r="B609" s="18">
        <v>606</v>
      </c>
      <c r="C609" s="19">
        <f>Tableau!$G$17*COS(B609*PI()/180)+Tableau!$G$16</f>
        <v>17966.316784620994</v>
      </c>
      <c r="D609" s="19">
        <f>Tableau!$G$17*SIN(B609*PI()/180)+Tableau!$H$16</f>
        <v>2932.2727117869972</v>
      </c>
      <c r="F609" s="26">
        <v>606</v>
      </c>
      <c r="G609" s="27">
        <f>Tableau!$G$26*COS(F609*PI()/180)+Tableau!$G$25</f>
        <v>-21423.578250765306</v>
      </c>
      <c r="H609" s="27">
        <f>Tableau!$G$26*SIN(F609*PI()/180)+Tableau!$H$25</f>
        <v>6802.5908982508981</v>
      </c>
      <c r="J609" s="34">
        <v>606</v>
      </c>
      <c r="K609" s="35">
        <f>Tableau!$G$36*COS(J609*PI()/180)+Tableau!$G$35</f>
        <v>-7033.6832153790056</v>
      </c>
      <c r="L609" s="35">
        <f>Tableau!$G$36*SIN(J609*PI()/180)+Tableau!$H$35</f>
        <v>-19567.727288213002</v>
      </c>
      <c r="N609" s="98">
        <v>605</v>
      </c>
      <c r="O609" s="99">
        <v>302.5</v>
      </c>
      <c r="P609" s="101">
        <f>P608+R608*Tableau!$G$2+((1/2)*T608)*Tableau!$G$2^2</f>
        <v>-20496340.733621355</v>
      </c>
      <c r="Q609" s="101">
        <f>Q608+S608*Tableau!$G$2+((1/2)*U608)*Tableau!$G$2^2</f>
        <v>10062041.576987181</v>
      </c>
      <c r="R609" s="101">
        <f>R608+T608*Tableau!$G$2</f>
        <v>-68698.07898687484</v>
      </c>
      <c r="S609" s="101">
        <f>S608+U608*Tableau!$G$2</f>
        <v>33800.667201020464</v>
      </c>
      <c r="T609" s="101">
        <f t="shared" si="18"/>
        <v>2.1116009725165048E-3</v>
      </c>
      <c r="U609" s="101">
        <f t="shared" si="19"/>
        <v>-1.0366293748171457E-3</v>
      </c>
      <c r="V609" s="101">
        <f>((Tableau!$G$16-P609)/(AC609^2+Tableau!$G$21^2)^(3/2))*Tableau!$G$20</f>
        <v>9.006898018229226E-4</v>
      </c>
      <c r="W609" s="101">
        <f>((Tableau!$H$16-Q609)/(AC609^2+Tableau!$G$21^2)^(3/2))*Tableau!$G$20</f>
        <v>-4.4140537428081768E-4</v>
      </c>
      <c r="X609" s="101">
        <f>((Tableau!$G$25-P609)/(AD609^2+Tableau!$G$30^2)^(3/2))*Tableau!$G$29</f>
        <v>3.0983766815518801E-4</v>
      </c>
      <c r="Y609" s="101">
        <f>((Tableau!$H$25-Q609)/(AD609^2+Tableau!$G$30^2)^(3/2))*Tableau!$G$29</f>
        <v>-1.5210242703662461E-4</v>
      </c>
      <c r="Z609" s="101">
        <f>((Tableau!$G$35-P609)/(AE609^2+Tableau!$G$40^2)^(3/2))*Tableau!$G$39</f>
        <v>9.0107350253839432E-4</v>
      </c>
      <c r="AA609" s="102">
        <f>((Tableau!$H$35-Q609)/(AE609^2+Tableau!$G$40^2)^(3/2))*Tableau!$G$39</f>
        <v>-4.431215734997035E-4</v>
      </c>
      <c r="AC609" s="113">
        <f>SQRT((Tableau!$G$16-P609)^2+(Tableau!$H$16-Q609)^2)</f>
        <v>22847626.647453226</v>
      </c>
      <c r="AD609" s="114">
        <f>SQRT((Tableau!$G$25-P609)^2+(Tableau!$H$25-Q609)^2)</f>
        <v>22810613.09357642</v>
      </c>
      <c r="AE609" s="115">
        <f>SQRT((Tableau!$G$35-P609)^2+(Tableau!$H$35-Q609)^2)</f>
        <v>22835100.43782812</v>
      </c>
    </row>
    <row r="610" spans="2:31" x14ac:dyDescent="0.25">
      <c r="B610" s="20">
        <v>607</v>
      </c>
      <c r="C610" s="21">
        <f>Tableau!$G$17*COS(B610*PI()/180)+Tableau!$G$16</f>
        <v>18046.344357553629</v>
      </c>
      <c r="D610" s="21">
        <f>Tableau!$G$17*SIN(B610*PI()/180)+Tableau!$H$16</f>
        <v>2897.4757327377993</v>
      </c>
      <c r="F610" s="28">
        <v>607</v>
      </c>
      <c r="G610" s="29">
        <f>Tableau!$G$26*COS(F610*PI()/180)+Tableau!$G$25</f>
        <v>-21367.55894971246</v>
      </c>
      <c r="H610" s="29">
        <f>Tableau!$G$26*SIN(F610*PI()/180)+Tableau!$H$25</f>
        <v>6778.2330129164593</v>
      </c>
      <c r="J610" s="36">
        <v>607</v>
      </c>
      <c r="K610" s="37">
        <f>Tableau!$G$36*COS(J610*PI()/180)+Tableau!$G$35</f>
        <v>-6953.6556424463706</v>
      </c>
      <c r="L610" s="37">
        <f>Tableau!$G$36*SIN(J610*PI()/180)+Tableau!$H$35</f>
        <v>-19602.524267262201</v>
      </c>
      <c r="N610" s="92">
        <v>606</v>
      </c>
      <c r="O610" s="93">
        <v>303</v>
      </c>
      <c r="P610" s="96">
        <f>P609+R609*Tableau!$G$2+((1/2)*T609)*Tableau!$G$2^2</f>
        <v>-20530689.772850841</v>
      </c>
      <c r="Q610" s="96">
        <f>Q609+S609*Tableau!$G$2+((1/2)*U609)*Tableau!$G$2^2</f>
        <v>10078941.910458112</v>
      </c>
      <c r="R610" s="96">
        <f>R609+T609*Tableau!$G$2</f>
        <v>-68698.077931074353</v>
      </c>
      <c r="S610" s="96">
        <f>S609+U609*Tableau!$G$2</f>
        <v>33800.666682705778</v>
      </c>
      <c r="T610" s="96">
        <f t="shared" si="18"/>
        <v>2.1045378296796779E-3</v>
      </c>
      <c r="U610" s="96">
        <f t="shared" si="19"/>
        <v>-1.0331657876903114E-3</v>
      </c>
      <c r="V610" s="96">
        <f>((Tableau!$G$16-P610)/(AC610^2+Tableau!$G$21^2)^(3/2))*Tableau!$G$20</f>
        <v>8.9767798235023603E-4</v>
      </c>
      <c r="W610" s="96">
        <f>((Tableau!$H$16-Q610)/(AC610^2+Tableau!$G$21^2)^(3/2))*Tableau!$G$20</f>
        <v>-4.3993227251580807E-4</v>
      </c>
      <c r="X610" s="96">
        <f>((Tableau!$G$25-P610)/(AD610^2+Tableau!$G$30^2)^(3/2))*Tableau!$G$29</f>
        <v>3.0880009352350618E-4</v>
      </c>
      <c r="Y610" s="96">
        <f>((Tableau!$H$25-Q610)/(AD610^2+Tableau!$G$30^2)^(3/2))*Tableau!$G$29</f>
        <v>-1.5159364400059604E-4</v>
      </c>
      <c r="Z610" s="96">
        <f>((Tableau!$G$35-P610)/(AE610^2+Tableau!$G$40^2)^(3/2))*Tableau!$G$39</f>
        <v>8.9805975380593585E-4</v>
      </c>
      <c r="AA610" s="97">
        <f>((Tableau!$H$35-Q610)/(AE610^2+Tableau!$G$40^2)^(3/2))*Tableau!$G$39</f>
        <v>-4.4163987117390723E-4</v>
      </c>
      <c r="AC610" s="110">
        <f>SQRT((Tableau!$G$16-P610)^2+(Tableau!$H$16-Q610)^2)</f>
        <v>22885908.159732014</v>
      </c>
      <c r="AD610" s="111">
        <f>SQRT((Tableau!$G$25-P610)^2+(Tableau!$H$25-Q610)^2)</f>
        <v>22848894.637472246</v>
      </c>
      <c r="AE610" s="112">
        <f>SQRT((Tableau!$G$35-P610)^2+(Tableau!$H$35-Q610)^2)</f>
        <v>22873381.996176612</v>
      </c>
    </row>
    <row r="611" spans="2:31" x14ac:dyDescent="0.25">
      <c r="B611" s="18">
        <v>608</v>
      </c>
      <c r="C611" s="19">
        <f>Tableau!$G$17*COS(B611*PI()/180)+Tableau!$G$16</f>
        <v>18126.967032920435</v>
      </c>
      <c r="D611" s="19">
        <f>Tableau!$G$17*SIN(B611*PI()/180)+Tableau!$H$16</f>
        <v>2864.080727166066</v>
      </c>
      <c r="F611" s="26">
        <v>608</v>
      </c>
      <c r="G611" s="27">
        <f>Tableau!$G$26*COS(F611*PI()/180)+Tableau!$G$25</f>
        <v>-21311.123076955697</v>
      </c>
      <c r="H611" s="27">
        <f>Tableau!$G$26*SIN(F611*PI()/180)+Tableau!$H$25</f>
        <v>6754.8565090162465</v>
      </c>
      <c r="J611" s="34">
        <v>608</v>
      </c>
      <c r="K611" s="35">
        <f>Tableau!$G$36*COS(J611*PI()/180)+Tableau!$G$35</f>
        <v>-6873.0329670795672</v>
      </c>
      <c r="L611" s="35">
        <f>Tableau!$G$36*SIN(J611*PI()/180)+Tableau!$H$35</f>
        <v>-19635.919272833933</v>
      </c>
      <c r="N611" s="98">
        <v>607</v>
      </c>
      <c r="O611" s="99">
        <v>303.5</v>
      </c>
      <c r="P611" s="101">
        <f>P610+R610*Tableau!$G$2+((1/2)*T610)*Tableau!$G$2^2</f>
        <v>-20565038.811553311</v>
      </c>
      <c r="Q611" s="101">
        <f>Q610+S610*Tableau!$G$2+((1/2)*U610)*Tableau!$G$2^2</f>
        <v>10095842.243670318</v>
      </c>
      <c r="R611" s="101">
        <f>R610+T610*Tableau!$G$2</f>
        <v>-68698.076878805441</v>
      </c>
      <c r="S611" s="101">
        <f>S610+U610*Tableau!$G$2</f>
        <v>33800.666166122886</v>
      </c>
      <c r="T611" s="101">
        <f t="shared" si="18"/>
        <v>2.0975100662610179E-3</v>
      </c>
      <c r="U611" s="101">
        <f t="shared" si="19"/>
        <v>-1.0297195304587367E-3</v>
      </c>
      <c r="V611" s="101">
        <f>((Tableau!$G$16-P611)/(AC611^2+Tableau!$G$21^2)^(3/2))*Tableau!$G$20</f>
        <v>8.9468124453257489E-4</v>
      </c>
      <c r="W611" s="101">
        <f>((Tableau!$H$16-Q611)/(AC611^2+Tableau!$G$21^2)^(3/2))*Tableau!$G$20</f>
        <v>-4.3846653273112943E-4</v>
      </c>
      <c r="X611" s="101">
        <f>((Tableau!$G$25-P611)/(AD611^2+Tableau!$G$30^2)^(3/2))*Tableau!$G$29</f>
        <v>3.0776772208787557E-4</v>
      </c>
      <c r="Y611" s="101">
        <f>((Tableau!$H$25-Q611)/(AD611^2+Tableau!$G$30^2)^(3/2))*Tableau!$G$29</f>
        <v>-1.5108740952713714E-4</v>
      </c>
      <c r="Z611" s="101">
        <f>((Tableau!$G$35-P611)/(AE611^2+Tableau!$G$40^2)^(3/2))*Tableau!$G$39</f>
        <v>8.9506109964056766E-4</v>
      </c>
      <c r="AA611" s="102">
        <f>((Tableau!$H$35-Q611)/(AE611^2+Tableau!$G$40^2)^(3/2))*Tableau!$G$39</f>
        <v>-4.4016558820047017E-4</v>
      </c>
      <c r="AC611" s="113">
        <f>SQRT((Tableau!$G$16-P611)^2+(Tableau!$H$16-Q611)^2)</f>
        <v>22924189.671580087</v>
      </c>
      <c r="AD611" s="114">
        <f>SQRT((Tableau!$G$25-P611)^2+(Tableau!$H$25-Q611)^2)</f>
        <v>22887176.180831846</v>
      </c>
      <c r="AE611" s="115">
        <f>SQRT((Tableau!$G$35-P611)^2+(Tableau!$H$35-Q611)^2)</f>
        <v>22911663.553940527</v>
      </c>
    </row>
    <row r="612" spans="2:31" x14ac:dyDescent="0.25">
      <c r="B612" s="20">
        <v>609</v>
      </c>
      <c r="C612" s="21">
        <f>Tableau!$G$17*COS(B612*PI()/180)+Tableau!$G$16</f>
        <v>18208.160252273494</v>
      </c>
      <c r="D612" s="21">
        <f>Tableau!$G$17*SIN(B612*PI()/180)+Tableau!$H$16</f>
        <v>2832.0978675139922</v>
      </c>
      <c r="F612" s="28">
        <v>609</v>
      </c>
      <c r="G612" s="29">
        <f>Tableau!$G$26*COS(F612*PI()/180)+Tableau!$G$25</f>
        <v>-21254.287823408555</v>
      </c>
      <c r="H612" s="29">
        <f>Tableau!$G$26*SIN(F612*PI()/180)+Tableau!$H$25</f>
        <v>6732.4685072597949</v>
      </c>
      <c r="J612" s="36">
        <v>609</v>
      </c>
      <c r="K612" s="37">
        <f>Tableau!$G$36*COS(J612*PI()/180)+Tableau!$G$35</f>
        <v>-6791.8397477265044</v>
      </c>
      <c r="L612" s="37">
        <f>Tableau!$G$36*SIN(J612*PI()/180)+Tableau!$H$35</f>
        <v>-19667.902132486008</v>
      </c>
      <c r="N612" s="92">
        <v>608</v>
      </c>
      <c r="O612" s="93">
        <v>304</v>
      </c>
      <c r="P612" s="96">
        <f>P611+R611*Tableau!$G$2+((1/2)*T611)*Tableau!$G$2^2</f>
        <v>-20599387.849730525</v>
      </c>
      <c r="Q612" s="96">
        <f>Q611+S611*Tableau!$G$2+((1/2)*U611)*Tableau!$G$2^2</f>
        <v>10112742.576624665</v>
      </c>
      <c r="R612" s="96">
        <f>R611+T611*Tableau!$G$2</f>
        <v>-68698.075830050409</v>
      </c>
      <c r="S612" s="96">
        <f>S611+U611*Tableau!$G$2</f>
        <v>33800.665651263123</v>
      </c>
      <c r="T612" s="96">
        <f t="shared" si="18"/>
        <v>2.0905174463658012E-3</v>
      </c>
      <c r="U612" s="96">
        <f t="shared" si="19"/>
        <v>-1.0262904877023737E-3</v>
      </c>
      <c r="V612" s="96">
        <f>((Tableau!$G$16-P612)/(AC612^2+Tableau!$G$21^2)^(3/2))*Tableau!$G$20</f>
        <v>8.9169948784269812E-4</v>
      </c>
      <c r="W612" s="96">
        <f>((Tableau!$H$16-Q612)/(AC612^2+Tableau!$G$21^2)^(3/2))*Tableau!$G$20</f>
        <v>-4.3700810595209808E-4</v>
      </c>
      <c r="X612" s="96">
        <f>((Tableau!$G$25-P612)/(AD612^2+Tableau!$G$30^2)^(3/2))*Tableau!$G$29</f>
        <v>3.0674051911587952E-4</v>
      </c>
      <c r="Y612" s="96">
        <f>((Tableau!$H$25-Q612)/(AD612^2+Tableau!$G$30^2)^(3/2))*Tableau!$G$29</f>
        <v>-1.5058370662315528E-4</v>
      </c>
      <c r="Z612" s="96">
        <f>((Tableau!$G$35-P612)/(AE612^2+Tableau!$G$40^2)^(3/2))*Tableau!$G$39</f>
        <v>8.9207743940722352E-4</v>
      </c>
      <c r="AA612" s="97">
        <f>((Tableau!$H$35-Q612)/(AE612^2+Tableau!$G$40^2)^(3/2))*Tableau!$G$39</f>
        <v>-4.3869867512712045E-4</v>
      </c>
      <c r="AC612" s="110">
        <f>SQRT((Tableau!$G$16-P612)^2+(Tableau!$H$16-Q612)^2)</f>
        <v>22962471.182998635</v>
      </c>
      <c r="AD612" s="111">
        <f>SQRT((Tableau!$G$25-P612)^2+(Tableau!$H$25-Q612)^2)</f>
        <v>22925457.72365693</v>
      </c>
      <c r="AE612" s="112">
        <f>SQRT((Tableau!$G$35-P612)^2+(Tableau!$H$35-Q612)^2)</f>
        <v>22949945.111121818</v>
      </c>
    </row>
    <row r="613" spans="2:31" x14ac:dyDescent="0.25">
      <c r="B613" s="18">
        <v>610</v>
      </c>
      <c r="C613" s="19">
        <f>Tableau!$G$17*COS(B613*PI()/180)+Tableau!$G$16</f>
        <v>18289.899283371655</v>
      </c>
      <c r="D613" s="19">
        <f>Tableau!$G$17*SIN(B613*PI()/180)+Tableau!$H$16</f>
        <v>2801.5368960704582</v>
      </c>
      <c r="F613" s="26">
        <v>610</v>
      </c>
      <c r="G613" s="27">
        <f>Tableau!$G$26*COS(F613*PI()/180)+Tableau!$G$25</f>
        <v>-21197.070501639842</v>
      </c>
      <c r="H613" s="27">
        <f>Tableau!$G$26*SIN(F613*PI()/180)+Tableau!$H$25</f>
        <v>6711.0758272493204</v>
      </c>
      <c r="J613" s="34">
        <v>610</v>
      </c>
      <c r="K613" s="35">
        <f>Tableau!$G$36*COS(J613*PI()/180)+Tableau!$G$35</f>
        <v>-6710.1007166283434</v>
      </c>
      <c r="L613" s="35">
        <f>Tableau!$G$36*SIN(J613*PI()/180)+Tableau!$H$35</f>
        <v>-19698.463103929542</v>
      </c>
      <c r="N613" s="98">
        <v>609</v>
      </c>
      <c r="O613" s="99">
        <v>304.5</v>
      </c>
      <c r="P613" s="101">
        <f>P612+R612*Tableau!$G$2+((1/2)*T612)*Tableau!$G$2^2</f>
        <v>-20633736.887384236</v>
      </c>
      <c r="Q613" s="101">
        <f>Q612+S612*Tableau!$G$2+((1/2)*U612)*Tableau!$G$2^2</f>
        <v>10129642.90932201</v>
      </c>
      <c r="R613" s="101">
        <f>R612+T612*Tableau!$G$2</f>
        <v>-68698.074784791679</v>
      </c>
      <c r="S613" s="101">
        <f>S612+U612*Tableau!$G$2</f>
        <v>33800.665138117882</v>
      </c>
      <c r="T613" s="101">
        <f t="shared" si="18"/>
        <v>2.083559736062033E-3</v>
      </c>
      <c r="U613" s="101">
        <f t="shared" si="19"/>
        <v>-1.0228785449604453E-3</v>
      </c>
      <c r="V613" s="101">
        <f>((Tableau!$G$16-P613)/(AC613^2+Tableau!$G$21^2)^(3/2))*Tableau!$G$20</f>
        <v>8.8873261258954641E-4</v>
      </c>
      <c r="W613" s="101">
        <f>((Tableau!$H$16-Q613)/(AC613^2+Tableau!$G$21^2)^(3/2))*Tableau!$G$20</f>
        <v>-4.3555694361059599E-4</v>
      </c>
      <c r="X613" s="101">
        <f>((Tableau!$G$25-P613)/(AD613^2+Tableau!$G$30^2)^(3/2))*Tableau!$G$29</f>
        <v>3.0571845016441661E-4</v>
      </c>
      <c r="Y613" s="101">
        <f>((Tableau!$H$25-Q613)/(AD613^2+Tableau!$G$30^2)^(3/2))*Tableau!$G$29</f>
        <v>-1.5008251843694865E-4</v>
      </c>
      <c r="Z613" s="101">
        <f>((Tableau!$G$35-P613)/(AE613^2+Tableau!$G$40^2)^(3/2))*Tableau!$G$39</f>
        <v>8.8910867330806978E-4</v>
      </c>
      <c r="AA613" s="102">
        <f>((Tableau!$H$35-Q613)/(AE613^2+Tableau!$G$40^2)^(3/2))*Tableau!$G$39</f>
        <v>-4.3723908291290074E-4</v>
      </c>
      <c r="AC613" s="113">
        <f>SQRT((Tableau!$G$16-P613)^2+(Tableau!$H$16-Q613)^2)</f>
        <v>23000752.693988822</v>
      </c>
      <c r="AD613" s="114">
        <f>SQRT((Tableau!$G$25-P613)^2+(Tableau!$H$25-Q613)^2)</f>
        <v>22963739.265949193</v>
      </c>
      <c r="AE613" s="115">
        <f>SQRT((Tableau!$G$35-P613)^2+(Tableau!$H$35-Q613)^2)</f>
        <v>22988226.667722423</v>
      </c>
    </row>
    <row r="614" spans="2:31" x14ac:dyDescent="0.25">
      <c r="B614" s="20">
        <v>611</v>
      </c>
      <c r="C614" s="21">
        <f>Tableau!$G$17*COS(B614*PI()/180)+Tableau!$G$16</f>
        <v>18372.159227714212</v>
      </c>
      <c r="D614" s="21">
        <f>Tableau!$G$17*SIN(B614*PI()/180)+Tableau!$H$16</f>
        <v>2772.4071220034184</v>
      </c>
      <c r="F614" s="28">
        <v>611</v>
      </c>
      <c r="G614" s="29">
        <f>Tableau!$G$26*COS(F614*PI()/180)+Tableau!$G$25</f>
        <v>-21139.48854060005</v>
      </c>
      <c r="H614" s="29">
        <f>Tableau!$G$26*SIN(F614*PI()/180)+Tableau!$H$25</f>
        <v>6690.6849854023931</v>
      </c>
      <c r="J614" s="36">
        <v>611</v>
      </c>
      <c r="K614" s="37">
        <f>Tableau!$G$36*COS(J614*PI()/180)+Tableau!$G$35</f>
        <v>-6627.8407722857883</v>
      </c>
      <c r="L614" s="37">
        <f>Tableau!$G$36*SIN(J614*PI()/180)+Tableau!$H$35</f>
        <v>-19727.592877996583</v>
      </c>
      <c r="N614" s="92">
        <v>610</v>
      </c>
      <c r="O614" s="93">
        <v>305</v>
      </c>
      <c r="P614" s="96">
        <f>P613+R613*Tableau!$G$2+((1/2)*T613)*Tableau!$G$2^2</f>
        <v>-20668085.924516186</v>
      </c>
      <c r="Q614" s="96">
        <f>Q613+S613*Tableau!$G$2+((1/2)*U613)*Tableau!$G$2^2</f>
        <v>10146543.24176321</v>
      </c>
      <c r="R614" s="96">
        <f>R613+T613*Tableau!$G$2</f>
        <v>-68698.073743011817</v>
      </c>
      <c r="S614" s="96">
        <f>S613+U613*Tableau!$G$2</f>
        <v>33800.664626678612</v>
      </c>
      <c r="T614" s="96">
        <f t="shared" si="18"/>
        <v>2.0766367033609474E-3</v>
      </c>
      <c r="U614" s="96">
        <f t="shared" si="19"/>
        <v>-1.0194835887219272E-3</v>
      </c>
      <c r="V614" s="96">
        <f>((Tableau!$G$16-P614)/(AC614^2+Tableau!$G$21^2)^(3/2))*Tableau!$G$20</f>
        <v>8.8578051990991641E-4</v>
      </c>
      <c r="W614" s="96">
        <f>((Tableau!$H$16-Q614)/(AC614^2+Tableau!$G$21^2)^(3/2))*Tableau!$G$20</f>
        <v>-4.3411299754103139E-4</v>
      </c>
      <c r="X614" s="96">
        <f>((Tableau!$G$25-P614)/(AD614^2+Tableau!$G$30^2)^(3/2))*Tableau!$G$29</f>
        <v>3.0470148107681841E-4</v>
      </c>
      <c r="Y614" s="96">
        <f>((Tableau!$H$25-Q614)/(AD614^2+Tableau!$G$30^2)^(3/2))*Tableau!$G$29</f>
        <v>-1.4958382825679931E-4</v>
      </c>
      <c r="Z614" s="96">
        <f>((Tableau!$G$35-P614)/(AE614^2+Tableau!$G$40^2)^(3/2))*Tableau!$G$39</f>
        <v>8.8615470237421272E-4</v>
      </c>
      <c r="AA614" s="97">
        <f>((Tableau!$H$35-Q614)/(AE614^2+Tableau!$G$40^2)^(3/2))*Tableau!$G$39</f>
        <v>-4.3578676292409647E-4</v>
      </c>
      <c r="AC614" s="110">
        <f>SQRT((Tableau!$G$16-P614)^2+(Tableau!$H$16-Q614)^2)</f>
        <v>23039034.204551827</v>
      </c>
      <c r="AD614" s="111">
        <f>SQRT((Tableau!$G$25-P614)^2+(Tableau!$H$25-Q614)^2)</f>
        <v>23002020.807710327</v>
      </c>
      <c r="AE614" s="112">
        <f>SQRT((Tableau!$G$35-P614)^2+(Tableau!$H$35-Q614)^2)</f>
        <v>23026508.223744269</v>
      </c>
    </row>
    <row r="615" spans="2:31" x14ac:dyDescent="0.25">
      <c r="B615" s="18">
        <v>612</v>
      </c>
      <c r="C615" s="19">
        <f>Tableau!$G$17*COS(B615*PI()/180)+Tableau!$G$16</f>
        <v>18454.915028125262</v>
      </c>
      <c r="D615" s="19">
        <f>Tableau!$G$17*SIN(B615*PI()/180)+Tableau!$H$16</f>
        <v>2744.7174185242329</v>
      </c>
      <c r="F615" s="26">
        <v>612</v>
      </c>
      <c r="G615" s="27">
        <f>Tableau!$G$26*COS(F615*PI()/180)+Tableau!$G$25</f>
        <v>-21081.559480312317</v>
      </c>
      <c r="H615" s="27">
        <f>Tableau!$G$26*SIN(F615*PI()/180)+Tableau!$H$25</f>
        <v>6671.302192966963</v>
      </c>
      <c r="J615" s="34">
        <v>612</v>
      </c>
      <c r="K615" s="35">
        <f>Tableau!$G$36*COS(J615*PI()/180)+Tableau!$G$35</f>
        <v>-6545.0849718747395</v>
      </c>
      <c r="L615" s="35">
        <f>Tableau!$G$36*SIN(J615*PI()/180)+Tableau!$H$35</f>
        <v>-19755.282581475767</v>
      </c>
      <c r="N615" s="98">
        <v>611</v>
      </c>
      <c r="O615" s="99">
        <v>305.5</v>
      </c>
      <c r="P615" s="101">
        <f>P614+R614*Tableau!$G$2+((1/2)*T614)*Tableau!$G$2^2</f>
        <v>-20702434.961128116</v>
      </c>
      <c r="Q615" s="101">
        <f>Q614+S614*Tableau!$G$2+((1/2)*U614)*Tableau!$G$2^2</f>
        <v>10163443.573949115</v>
      </c>
      <c r="R615" s="101">
        <f>R614+T614*Tableau!$G$2</f>
        <v>-68698.072704693463</v>
      </c>
      <c r="S615" s="101">
        <f>S614+U614*Tableau!$G$2</f>
        <v>33800.664116936816</v>
      </c>
      <c r="T615" s="101">
        <f t="shared" si="18"/>
        <v>2.0697481181976914E-3</v>
      </c>
      <c r="U615" s="101">
        <f t="shared" si="19"/>
        <v>-1.0161055064161154E-3</v>
      </c>
      <c r="V615" s="101">
        <f>((Tableau!$G$16-P615)/(AC615^2+Tableau!$G$21^2)^(3/2))*Tableau!$G$20</f>
        <v>8.8284311176023661E-4</v>
      </c>
      <c r="W615" s="101">
        <f>((Tableau!$H$16-Q615)/(AC615^2+Tableau!$G$21^2)^(3/2))*Tableau!$G$20</f>
        <v>-4.3267621997634714E-4</v>
      </c>
      <c r="X615" s="101">
        <f>((Tableau!$G$25-P615)/(AD615^2+Tableau!$G$30^2)^(3/2))*Tableau!$G$29</f>
        <v>3.0368957798001508E-4</v>
      </c>
      <c r="Y615" s="101">
        <f>((Tableau!$H$25-Q615)/(AD615^2+Tableau!$G$30^2)^(3/2))*Tableau!$G$29</f>
        <v>-1.4908761950958963E-4</v>
      </c>
      <c r="Z615" s="101">
        <f>((Tableau!$G$35-P615)/(AE615^2+Tableau!$G$40^2)^(3/2))*Tableau!$G$39</f>
        <v>8.8321542845743979E-4</v>
      </c>
      <c r="AA615" s="102">
        <f>((Tableau!$H$35-Q615)/(AE615^2+Tableau!$G$40^2)^(3/2))*Tableau!$G$39</f>
        <v>-4.3434166693017865E-4</v>
      </c>
      <c r="AC615" s="113">
        <f>SQRT((Tableau!$G$16-P615)^2+(Tableau!$H$16-Q615)^2)</f>
        <v>23077315.714688811</v>
      </c>
      <c r="AD615" s="114">
        <f>SQRT((Tableau!$G$25-P615)^2+(Tableau!$H$25-Q615)^2)</f>
        <v>23040302.348942019</v>
      </c>
      <c r="AE615" s="115">
        <f>SQRT((Tableau!$G$35-P615)^2+(Tableau!$H$35-Q615)^2)</f>
        <v>23064789.779189285</v>
      </c>
    </row>
    <row r="616" spans="2:31" x14ac:dyDescent="0.25">
      <c r="B616" s="20">
        <v>613</v>
      </c>
      <c r="C616" s="21">
        <f>Tableau!$G$17*COS(B616*PI()/180)+Tableau!$G$16</f>
        <v>18538.14147638631</v>
      </c>
      <c r="D616" s="21">
        <f>Tableau!$G$17*SIN(B616*PI()/180)+Tableau!$H$16</f>
        <v>2718.4762201848253</v>
      </c>
      <c r="F616" s="28">
        <v>613</v>
      </c>
      <c r="G616" s="29">
        <f>Tableau!$G$26*COS(F616*PI()/180)+Tableau!$G$25</f>
        <v>-21023.300966529583</v>
      </c>
      <c r="H616" s="29">
        <f>Tableau!$G$26*SIN(F616*PI()/180)+Tableau!$H$25</f>
        <v>6652.9333541293781</v>
      </c>
      <c r="J616" s="36">
        <v>613</v>
      </c>
      <c r="K616" s="37">
        <f>Tableau!$G$36*COS(J616*PI()/180)+Tableau!$G$35</f>
        <v>-6461.8585236136905</v>
      </c>
      <c r="L616" s="37">
        <f>Tableau!$G$36*SIN(J616*PI()/180)+Tableau!$H$35</f>
        <v>-19781.523779815176</v>
      </c>
      <c r="N616" s="92">
        <v>612</v>
      </c>
      <c r="O616" s="93">
        <v>306</v>
      </c>
      <c r="P616" s="96">
        <f>P615+R615*Tableau!$G$2+((1/2)*T615)*Tableau!$G$2^2</f>
        <v>-20736783.997221746</v>
      </c>
      <c r="Q616" s="96">
        <f>Q615+S615*Tableau!$G$2+((1/2)*U615)*Tableau!$G$2^2</f>
        <v>10180343.90588057</v>
      </c>
      <c r="R616" s="96">
        <f>R615+T615*Tableau!$G$2</f>
        <v>-68698.071669819401</v>
      </c>
      <c r="S616" s="96">
        <f>S615+U615*Tableau!$G$2</f>
        <v>33800.663608884061</v>
      </c>
      <c r="T616" s="96">
        <f t="shared" si="18"/>
        <v>2.0628937524121461E-3</v>
      </c>
      <c r="U616" s="96">
        <f t="shared" si="19"/>
        <v>-1.012744186403266E-3</v>
      </c>
      <c r="V616" s="96">
        <f>((Tableau!$G$16-P616)/(AC616^2+Tableau!$G$21^2)^(3/2))*Tableau!$G$20</f>
        <v>8.7992029090840681E-4</v>
      </c>
      <c r="W616" s="96">
        <f>((Tableau!$H$16-Q616)/(AC616^2+Tableau!$G$21^2)^(3/2))*Tableau!$G$20</f>
        <v>-4.3124656354406144E-4</v>
      </c>
      <c r="X616" s="96">
        <f>((Tableau!$G$25-P616)/(AD616^2+Tableau!$G$30^2)^(3/2))*Tableau!$G$29</f>
        <v>3.0268270728168388E-4</v>
      </c>
      <c r="Y616" s="96">
        <f>((Tableau!$H$25-Q616)/(AD616^2+Tableau!$G$30^2)^(3/2))*Tableau!$G$29</f>
        <v>-1.4859387575941023E-4</v>
      </c>
      <c r="Z616" s="96">
        <f>((Tableau!$G$35-P616)/(AE616^2+Tableau!$G$40^2)^(3/2))*Tableau!$G$39</f>
        <v>8.8029075422205551E-4</v>
      </c>
      <c r="AA616" s="97">
        <f>((Tableau!$H$35-Q616)/(AE616^2+Tableau!$G$40^2)^(3/2))*Tableau!$G$39</f>
        <v>-4.3290374709979425E-4</v>
      </c>
      <c r="AC616" s="110">
        <f>SQRT((Tableau!$G$16-P616)^2+(Tableau!$H$16-Q616)^2)</f>
        <v>23115597.224400934</v>
      </c>
      <c r="AD616" s="111">
        <f>SQRT((Tableau!$G$25-P616)^2+(Tableau!$H$25-Q616)^2)</f>
        <v>23078583.889645938</v>
      </c>
      <c r="AE616" s="112">
        <f>SQRT((Tableau!$G$35-P616)^2+(Tableau!$H$35-Q616)^2)</f>
        <v>23103071.334059369</v>
      </c>
    </row>
    <row r="617" spans="2:31" x14ac:dyDescent="0.25">
      <c r="B617" s="18">
        <v>614</v>
      </c>
      <c r="C617" s="19">
        <f>Tableau!$G$17*COS(B617*PI()/180)+Tableau!$G$16</f>
        <v>18621.813220914999</v>
      </c>
      <c r="D617" s="19">
        <f>Tableau!$G$17*SIN(B617*PI()/180)+Tableau!$H$16</f>
        <v>2693.6915203084063</v>
      </c>
      <c r="F617" s="26">
        <v>614</v>
      </c>
      <c r="G617" s="27">
        <f>Tableau!$G$26*COS(F617*PI()/180)+Tableau!$G$25</f>
        <v>-20964.730745359499</v>
      </c>
      <c r="H617" s="27">
        <f>Tableau!$G$26*SIN(F617*PI()/180)+Tableau!$H$25</f>
        <v>6635.5840642158846</v>
      </c>
      <c r="J617" s="34">
        <v>614</v>
      </c>
      <c r="K617" s="35">
        <f>Tableau!$G$36*COS(J617*PI()/180)+Tableau!$G$35</f>
        <v>-6378.1867790849992</v>
      </c>
      <c r="L617" s="35">
        <f>Tableau!$G$36*SIN(J617*PI()/180)+Tableau!$H$35</f>
        <v>-19806.308479691594</v>
      </c>
      <c r="N617" s="98">
        <v>613</v>
      </c>
      <c r="O617" s="99">
        <v>306.5</v>
      </c>
      <c r="P617" s="101">
        <f>P616+R616*Tableau!$G$2+((1/2)*T616)*Tableau!$G$2^2</f>
        <v>-20771133.032798793</v>
      </c>
      <c r="Q617" s="101">
        <f>Q616+S616*Tableau!$G$2+((1/2)*U616)*Tableau!$G$2^2</f>
        <v>10197244.237558419</v>
      </c>
      <c r="R617" s="101">
        <f>R616+T616*Tableau!$G$2</f>
        <v>-68698.070638372519</v>
      </c>
      <c r="S617" s="101">
        <f>S616+U616*Tableau!$G$2</f>
        <v>33800.663102511964</v>
      </c>
      <c r="T617" s="101">
        <f t="shared" si="18"/>
        <v>2.0560733797300775E-3</v>
      </c>
      <c r="U617" s="101">
        <f t="shared" si="19"/>
        <v>-1.00939951796539E-3</v>
      </c>
      <c r="V617" s="101">
        <f>((Tableau!$G$16-P617)/(AC617^2+Tableau!$G$21^2)^(3/2))*Tableau!$G$20</f>
        <v>8.7701196092577018E-4</v>
      </c>
      <c r="W617" s="101">
        <f>((Tableau!$H$16-Q617)/(AC617^2+Tableau!$G$21^2)^(3/2))*Tableau!$G$20</f>
        <v>-4.2982398126237124E-4</v>
      </c>
      <c r="X617" s="101">
        <f>((Tableau!$G$25-P617)/(AD617^2+Tableau!$G$30^2)^(3/2))*Tableau!$G$29</f>
        <v>3.0168083566749568E-4</v>
      </c>
      <c r="Y617" s="101">
        <f>((Tableau!$H$25-Q617)/(AD617^2+Tableau!$G$30^2)^(3/2))*Tableau!$G$29</f>
        <v>-1.4810258070621581E-4</v>
      </c>
      <c r="Z617" s="101">
        <f>((Tableau!$G$35-P617)/(AE617^2+Tableau!$G$40^2)^(3/2))*Tableau!$G$39</f>
        <v>8.7738058313681149E-4</v>
      </c>
      <c r="AA617" s="102">
        <f>((Tableau!$H$35-Q617)/(AE617^2+Tableau!$G$40^2)^(3/2))*Tableau!$G$39</f>
        <v>-4.314729559968029E-4</v>
      </c>
      <c r="AC617" s="113">
        <f>SQRT((Tableau!$G$16-P617)^2+(Tableau!$H$16-Q617)^2)</f>
        <v>23153878.733689353</v>
      </c>
      <c r="AD617" s="114">
        <f>SQRT((Tableau!$G$25-P617)^2+(Tableau!$H$25-Q617)^2)</f>
        <v>23116865.429823752</v>
      </c>
      <c r="AE617" s="115">
        <f>SQRT((Tableau!$G$35-P617)^2+(Tableau!$H$35-Q617)^2)</f>
        <v>23141352.888356425</v>
      </c>
    </row>
    <row r="618" spans="2:31" x14ac:dyDescent="0.25">
      <c r="B618" s="20">
        <v>615</v>
      </c>
      <c r="C618" s="21">
        <f>Tableau!$G$17*COS(B618*PI()/180)+Tableau!$G$16</f>
        <v>18705.904774487397</v>
      </c>
      <c r="D618" s="21">
        <f>Tableau!$G$17*SIN(B618*PI()/180)+Tableau!$H$16</f>
        <v>2670.370868554659</v>
      </c>
      <c r="F618" s="28">
        <v>615</v>
      </c>
      <c r="G618" s="29">
        <f>Tableau!$G$26*COS(F618*PI()/180)+Tableau!$G$25</f>
        <v>-20905.866657858824</v>
      </c>
      <c r="H618" s="29">
        <f>Tableau!$G$26*SIN(F618*PI()/180)+Tableau!$H$25</f>
        <v>6619.2596079882615</v>
      </c>
      <c r="J618" s="36">
        <v>615</v>
      </c>
      <c r="K618" s="37">
        <f>Tableau!$G$36*COS(J618*PI()/180)+Tableau!$G$35</f>
        <v>-6294.0952255126049</v>
      </c>
      <c r="L618" s="37">
        <f>Tableau!$G$36*SIN(J618*PI()/180)+Tableau!$H$35</f>
        <v>-19829.629131445341</v>
      </c>
      <c r="N618" s="92">
        <v>614</v>
      </c>
      <c r="O618" s="93">
        <v>307</v>
      </c>
      <c r="P618" s="96">
        <f>P617+R617*Tableau!$G$2+((1/2)*T617)*Tableau!$G$2^2</f>
        <v>-20805482.067860972</v>
      </c>
      <c r="Q618" s="96">
        <f>Q617+S617*Tableau!$G$2+((1/2)*U617)*Tableau!$G$2^2</f>
        <v>10214144.568983499</v>
      </c>
      <c r="R618" s="96">
        <f>R617+T617*Tableau!$G$2</f>
        <v>-68698.069610335835</v>
      </c>
      <c r="S618" s="96">
        <f>S617+U617*Tableau!$G$2</f>
        <v>33800.662597812203</v>
      </c>
      <c r="T618" s="96">
        <f t="shared" si="18"/>
        <v>2.0492867757444851E-3</v>
      </c>
      <c r="U618" s="96">
        <f t="shared" si="19"/>
        <v>-1.0060713912971484E-3</v>
      </c>
      <c r="V618" s="96">
        <f>((Tableau!$G$16-P618)/(AC618^2+Tableau!$G$21^2)^(3/2))*Tableau!$G$20</f>
        <v>8.7411802617914545E-4</v>
      </c>
      <c r="W618" s="96">
        <f>((Tableau!$H$16-Q618)/(AC618^2+Tableau!$G$21^2)^(3/2))*Tableau!$G$20</f>
        <v>-4.2840842653628564E-4</v>
      </c>
      <c r="X618" s="96">
        <f>((Tableau!$G$25-P618)/(AD618^2+Tableau!$G$30^2)^(3/2))*Tableau!$G$29</f>
        <v>3.0068393009832257E-4</v>
      </c>
      <c r="Y618" s="96">
        <f>((Tableau!$H$25-Q618)/(AD618^2+Tableau!$G$30^2)^(3/2))*Tableau!$G$29</f>
        <v>-1.4761371818446174E-4</v>
      </c>
      <c r="Z618" s="96">
        <f>((Tableau!$G$35-P618)/(AE618^2+Tableau!$G$40^2)^(3/2))*Tableau!$G$39</f>
        <v>8.7448481946701706E-4</v>
      </c>
      <c r="AA618" s="97">
        <f>((Tableau!$H$35-Q618)/(AE618^2+Tableau!$G$40^2)^(3/2))*Tableau!$G$39</f>
        <v>-4.3004924657640112E-4</v>
      </c>
      <c r="AC618" s="110">
        <f>SQRT((Tableau!$G$16-P618)^2+(Tableau!$H$16-Q618)^2)</f>
        <v>23192160.242555227</v>
      </c>
      <c r="AD618" s="111">
        <f>SQRT((Tableau!$G$25-P618)^2+(Tableau!$H$25-Q618)^2)</f>
        <v>23155146.969477121</v>
      </c>
      <c r="AE618" s="112">
        <f>SQRT((Tableau!$G$35-P618)^2+(Tableau!$H$35-Q618)^2)</f>
        <v>23179634.442082353</v>
      </c>
    </row>
    <row r="619" spans="2:31" x14ac:dyDescent="0.25">
      <c r="B619" s="18">
        <v>616</v>
      </c>
      <c r="C619" s="19">
        <f>Tableau!$G$17*COS(B619*PI()/180)+Tableau!$G$16</f>
        <v>18790.390522001664</v>
      </c>
      <c r="D619" s="19">
        <f>Tableau!$G$17*SIN(B619*PI()/180)+Tableau!$H$16</f>
        <v>2648.5213686200168</v>
      </c>
      <c r="F619" s="26">
        <v>616</v>
      </c>
      <c r="G619" s="27">
        <f>Tableau!$G$26*COS(F619*PI()/180)+Tableau!$G$25</f>
        <v>-20846.726634598836</v>
      </c>
      <c r="H619" s="27">
        <f>Tableau!$G$26*SIN(F619*PI()/180)+Tableau!$H$25</f>
        <v>6603.9649580340119</v>
      </c>
      <c r="J619" s="34">
        <v>616</v>
      </c>
      <c r="K619" s="35">
        <f>Tableau!$G$36*COS(J619*PI()/180)+Tableau!$G$35</f>
        <v>-6209.6094779983359</v>
      </c>
      <c r="L619" s="35">
        <f>Tableau!$G$36*SIN(J619*PI()/180)+Tableau!$H$35</f>
        <v>-19851.478631379985</v>
      </c>
      <c r="N619" s="98">
        <v>615</v>
      </c>
      <c r="O619" s="99">
        <v>307.5</v>
      </c>
      <c r="P619" s="101">
        <f>P618+R618*Tableau!$G$2+((1/2)*T618)*Tableau!$G$2^2</f>
        <v>-20839831.102409977</v>
      </c>
      <c r="Q619" s="101">
        <f>Q618+S618*Tableau!$G$2+((1/2)*U618)*Tableau!$G$2^2</f>
        <v>10231044.900156647</v>
      </c>
      <c r="R619" s="101">
        <f>R618+T618*Tableau!$G$2</f>
        <v>-68698.068585692454</v>
      </c>
      <c r="S619" s="101">
        <f>S618+U618*Tableau!$G$2</f>
        <v>33800.662094776504</v>
      </c>
      <c r="T619" s="101">
        <f t="shared" si="18"/>
        <v>2.0425337178970717E-3</v>
      </c>
      <c r="U619" s="101">
        <f t="shared" si="19"/>
        <v>-1.0027596974968055E-3</v>
      </c>
      <c r="V619" s="101">
        <f>((Tableau!$G$16-P619)/(AC619^2+Tableau!$G$21^2)^(3/2))*Tableau!$G$20</f>
        <v>8.7123839182297574E-4</v>
      </c>
      <c r="W619" s="101">
        <f>((Tableau!$H$16-Q619)/(AC619^2+Tableau!$G$21^2)^(3/2))*Tableau!$G$20</f>
        <v>-4.2699985315381589E-4</v>
      </c>
      <c r="X619" s="101">
        <f>((Tableau!$G$25-P619)/(AD619^2+Tableau!$G$30^2)^(3/2))*Tableau!$G$29</f>
        <v>2.9969195780754903E-4</v>
      </c>
      <c r="Y619" s="101">
        <f>((Tableau!$H$25-Q619)/(AD619^2+Tableau!$G$30^2)^(3/2))*Tableau!$G$29</f>
        <v>-1.4712727216179176E-4</v>
      </c>
      <c r="Z619" s="101">
        <f>((Tableau!$G$35-P619)/(AE619^2+Tableau!$G$40^2)^(3/2))*Tableau!$G$39</f>
        <v>8.7160336826654712E-4</v>
      </c>
      <c r="AA619" s="102">
        <f>((Tableau!$H$35-Q619)/(AE619^2+Tableau!$G$40^2)^(3/2))*Tableau!$G$39</f>
        <v>-4.2863257218119785E-4</v>
      </c>
      <c r="AC619" s="113">
        <f>SQRT((Tableau!$G$16-P619)^2+(Tableau!$H$16-Q619)^2)</f>
        <v>23230441.750999693</v>
      </c>
      <c r="AD619" s="114">
        <f>SQRT((Tableau!$G$25-P619)^2+(Tableau!$H$25-Q619)^2)</f>
        <v>23193428.508607693</v>
      </c>
      <c r="AE619" s="115">
        <f>SQRT((Tableau!$G$35-P619)^2+(Tableau!$H$35-Q619)^2)</f>
        <v>23217915.995239027</v>
      </c>
    </row>
    <row r="620" spans="2:31" x14ac:dyDescent="0.25">
      <c r="B620" s="20">
        <v>617</v>
      </c>
      <c r="C620" s="21">
        <f>Tableau!$G$17*COS(B620*PI()/180)+Tableau!$G$16</f>
        <v>18875.244728280672</v>
      </c>
      <c r="D620" s="21">
        <f>Tableau!$G$17*SIN(B620*PI()/180)+Tableau!$H$16</f>
        <v>2628.1496760738246</v>
      </c>
      <c r="F620" s="28">
        <v>617</v>
      </c>
      <c r="G620" s="29">
        <f>Tableau!$G$26*COS(F620*PI()/180)+Tableau!$G$25</f>
        <v>-20787.328690203529</v>
      </c>
      <c r="H620" s="29">
        <f>Tableau!$G$26*SIN(F620*PI()/180)+Tableau!$H$25</f>
        <v>6589.7047732516767</v>
      </c>
      <c r="J620" s="36">
        <v>617</v>
      </c>
      <c r="K620" s="37">
        <f>Tableau!$G$36*COS(J620*PI()/180)+Tableau!$G$35</f>
        <v>-6124.7552717193275</v>
      </c>
      <c r="L620" s="37">
        <f>Tableau!$G$36*SIN(J620*PI()/180)+Tableau!$H$35</f>
        <v>-19871.850323926177</v>
      </c>
      <c r="N620" s="92">
        <v>616</v>
      </c>
      <c r="O620" s="93">
        <v>308</v>
      </c>
      <c r="P620" s="96">
        <f>P619+R619*Tableau!$G$2+((1/2)*T619)*Tableau!$G$2^2</f>
        <v>-20874180.136447508</v>
      </c>
      <c r="Q620" s="96">
        <f>Q619+S619*Tableau!$G$2+((1/2)*U619)*Tableau!$G$2^2</f>
        <v>10247945.23107869</v>
      </c>
      <c r="R620" s="96">
        <f>R619+T619*Tableau!$G$2</f>
        <v>-68698.067564425597</v>
      </c>
      <c r="S620" s="96">
        <f>S619+U619*Tableau!$G$2</f>
        <v>33800.661593396653</v>
      </c>
      <c r="T620" s="96">
        <f t="shared" si="18"/>
        <v>2.035813985460027E-3</v>
      </c>
      <c r="U620" s="96">
        <f t="shared" si="19"/>
        <v>-9.9946432855733242E-4</v>
      </c>
      <c r="V620" s="96">
        <f>((Tableau!$G$16-P620)/(AC620^2+Tableau!$G$21^2)^(3/2))*Tableau!$G$20</f>
        <v>8.6837296379154902E-4</v>
      </c>
      <c r="W620" s="96">
        <f>((Tableau!$H$16-Q620)/(AC620^2+Tableau!$G$21^2)^(3/2))*Tableau!$G$20</f>
        <v>-4.2559821528219914E-4</v>
      </c>
      <c r="X620" s="96">
        <f>((Tableau!$G$25-P620)/(AD620^2+Tableau!$G$30^2)^(3/2))*Tableau!$G$29</f>
        <v>2.9870488629834944E-4</v>
      </c>
      <c r="Y620" s="96">
        <f>((Tableau!$H$25-Q620)/(AD620^2+Tableau!$G$30^2)^(3/2))*Tableau!$G$29</f>
        <v>-1.4664322673770854E-4</v>
      </c>
      <c r="Z620" s="96">
        <f>((Tableau!$G$35-P620)/(AE620^2+Tableau!$G$40^2)^(3/2))*Tableau!$G$39</f>
        <v>8.6873613537012846E-4</v>
      </c>
      <c r="AA620" s="97">
        <f>((Tableau!$H$35-Q620)/(AE620^2+Tableau!$G$40^2)^(3/2))*Tableau!$G$39</f>
        <v>-4.2722288653742474E-4</v>
      </c>
      <c r="AC620" s="110">
        <f>SQRT((Tableau!$G$16-P620)^2+(Tableau!$H$16-Q620)^2)</f>
        <v>23268723.259023901</v>
      </c>
      <c r="AD620" s="111">
        <f>SQRT((Tableau!$G$25-P620)^2+(Tableau!$H$25-Q620)^2)</f>
        <v>23231710.047217116</v>
      </c>
      <c r="AE620" s="112">
        <f>SQRT((Tableau!$G$35-P620)^2+(Tableau!$H$35-Q620)^2)</f>
        <v>23256197.54782832</v>
      </c>
    </row>
    <row r="621" spans="2:31" x14ac:dyDescent="0.25">
      <c r="B621" s="18">
        <v>618</v>
      </c>
      <c r="C621" s="19">
        <f>Tableau!$G$17*COS(B621*PI()/180)+Tableau!$G$16</f>
        <v>18960.441545911206</v>
      </c>
      <c r="D621" s="19">
        <f>Tableau!$G$17*SIN(B621*PI()/180)+Tableau!$H$16</f>
        <v>2609.2619963309717</v>
      </c>
      <c r="F621" s="26">
        <v>618</v>
      </c>
      <c r="G621" s="27">
        <f>Tableau!$G$26*COS(F621*PI()/180)+Tableau!$G$25</f>
        <v>-20727.690917862157</v>
      </c>
      <c r="H621" s="27">
        <f>Tableau!$G$26*SIN(F621*PI()/180)+Tableau!$H$25</f>
        <v>6576.4833974316807</v>
      </c>
      <c r="J621" s="34">
        <v>618</v>
      </c>
      <c r="K621" s="35">
        <f>Tableau!$G$36*COS(J621*PI()/180)+Tableau!$G$35</f>
        <v>-6039.5584540887958</v>
      </c>
      <c r="L621" s="35">
        <f>Tableau!$G$36*SIN(J621*PI()/180)+Tableau!$H$35</f>
        <v>-19890.73800366903</v>
      </c>
      <c r="N621" s="98">
        <v>617</v>
      </c>
      <c r="O621" s="99">
        <v>308.5</v>
      </c>
      <c r="P621" s="101">
        <f>P620+R620*Tableau!$G$2+((1/2)*T620)*Tableau!$G$2^2</f>
        <v>-20908529.169975244</v>
      </c>
      <c r="Q621" s="101">
        <f>Q620+S620*Tableau!$G$2+((1/2)*U620)*Tableau!$G$2^2</f>
        <v>10264845.561750455</v>
      </c>
      <c r="R621" s="101">
        <f>R620+T620*Tableau!$G$2</f>
        <v>-68698.066546518603</v>
      </c>
      <c r="S621" s="101">
        <f>S620+U620*Tableau!$G$2</f>
        <v>33800.661093664487</v>
      </c>
      <c r="T621" s="101">
        <f t="shared" si="18"/>
        <v>2.0291273595180737E-3</v>
      </c>
      <c r="U621" s="101">
        <f t="shared" si="19"/>
        <v>-9.9618517735764454E-4</v>
      </c>
      <c r="V621" s="101">
        <f>((Tableau!$G$16-P621)/(AC621^2+Tableau!$G$21^2)^(3/2))*Tableau!$G$20</f>
        <v>8.6552164879134536E-4</v>
      </c>
      <c r="W621" s="101">
        <f>((Tableau!$H$16-Q621)/(AC621^2+Tableau!$G$21^2)^(3/2))*Tableau!$G$20</f>
        <v>-4.242034674641851E-4</v>
      </c>
      <c r="X621" s="101">
        <f>((Tableau!$G$25-P621)/(AD621^2+Tableau!$G$30^2)^(3/2))*Tableau!$G$29</f>
        <v>2.9772268334105111E-4</v>
      </c>
      <c r="Y621" s="101">
        <f>((Tableau!$H$25-Q621)/(AD621^2+Tableau!$G$30^2)^(3/2))*Tableau!$G$29</f>
        <v>-1.4616156614228636E-4</v>
      </c>
      <c r="Z621" s="101">
        <f>((Tableau!$G$35-P621)/(AE621^2+Tableau!$G$40^2)^(3/2))*Tableau!$G$39</f>
        <v>8.6588302738567686E-4</v>
      </c>
      <c r="AA621" s="102">
        <f>((Tableau!$H$35-Q621)/(AE621^2+Tableau!$G$40^2)^(3/2))*Tableau!$G$39</f>
        <v>-4.2582014375117311E-4</v>
      </c>
      <c r="AC621" s="113">
        <f>SQRT((Tableau!$G$16-P621)^2+(Tableau!$H$16-Q621)^2)</f>
        <v>23307004.766628988</v>
      </c>
      <c r="AD621" s="114">
        <f>SQRT((Tableau!$G$25-P621)^2+(Tableau!$H$25-Q621)^2)</f>
        <v>23269991.585307021</v>
      </c>
      <c r="AE621" s="115">
        <f>SQRT((Tableau!$G$35-P621)^2+(Tableau!$H$35-Q621)^2)</f>
        <v>23294479.0998521</v>
      </c>
    </row>
    <row r="622" spans="2:31" x14ac:dyDescent="0.25">
      <c r="B622" s="20">
        <v>619</v>
      </c>
      <c r="C622" s="21">
        <f>Tableau!$G$17*COS(B622*PI()/180)+Tableau!$G$16</f>
        <v>19045.95502311728</v>
      </c>
      <c r="D622" s="21">
        <f>Tableau!$G$17*SIN(B622*PI()/180)+Tableau!$H$16</f>
        <v>2591.8640827616791</v>
      </c>
      <c r="F622" s="28">
        <v>619</v>
      </c>
      <c r="G622" s="29">
        <f>Tableau!$G$26*COS(F622*PI()/180)+Tableau!$G$25</f>
        <v>-20667.831483817903</v>
      </c>
      <c r="H622" s="29">
        <f>Tableau!$G$26*SIN(F622*PI()/180)+Tableau!$H$25</f>
        <v>6564.3048579331753</v>
      </c>
      <c r="J622" s="36">
        <v>619</v>
      </c>
      <c r="K622" s="37">
        <f>Tableau!$G$36*COS(J622*PI()/180)+Tableau!$G$35</f>
        <v>-5954.0449768827202</v>
      </c>
      <c r="L622" s="37">
        <f>Tableau!$G$36*SIN(J622*PI()/180)+Tableau!$H$35</f>
        <v>-19908.13591723832</v>
      </c>
      <c r="N622" s="92">
        <v>618</v>
      </c>
      <c r="O622" s="93">
        <v>309</v>
      </c>
      <c r="P622" s="96">
        <f>P621+R621*Tableau!$G$2+((1/2)*T621)*Tableau!$G$2^2</f>
        <v>-20942878.202994864</v>
      </c>
      <c r="Q622" s="96">
        <f>Q621+S621*Tableau!$G$2+((1/2)*U621)*Tableau!$G$2^2</f>
        <v>10281745.892172763</v>
      </c>
      <c r="R622" s="96">
        <f>R621+T621*Tableau!$G$2</f>
        <v>-68698.065531954926</v>
      </c>
      <c r="S622" s="96">
        <f>S621+U621*Tableau!$G$2</f>
        <v>33800.660595571899</v>
      </c>
      <c r="T622" s="96">
        <f t="shared" si="18"/>
        <v>2.0224736229504615E-3</v>
      </c>
      <c r="U622" s="96">
        <f t="shared" si="19"/>
        <v>-9.9292213765380809E-4</v>
      </c>
      <c r="V622" s="96">
        <f>((Tableau!$G$16-P622)/(AC622^2+Tableau!$G$21^2)^(3/2))*Tableau!$G$20</f>
        <v>8.626843542933663E-4</v>
      </c>
      <c r="W622" s="96">
        <f>((Tableau!$H$16-Q622)/(AC622^2+Tableau!$G$21^2)^(3/2))*Tableau!$G$20</f>
        <v>-4.2281556461431217E-4</v>
      </c>
      <c r="X622" s="96">
        <f>((Tableau!$G$25-P622)/(AD622^2+Tableau!$G$30^2)^(3/2))*Tableau!$G$29</f>
        <v>2.9674531697048361E-4</v>
      </c>
      <c r="Y622" s="96">
        <f>((Tableau!$H$25-Q622)/(AD622^2+Tableau!$G$30^2)^(3/2))*Tableau!$G$29</f>
        <v>-1.4568227473487711E-4</v>
      </c>
      <c r="Z622" s="96">
        <f>((Tableau!$G$35-P622)/(AE622^2+Tableau!$G$40^2)^(3/2))*Tableau!$G$39</f>
        <v>8.6304395168661165E-4</v>
      </c>
      <c r="AA622" s="97">
        <f>((Tableau!$H$35-Q622)/(AE622^2+Tableau!$G$40^2)^(3/2))*Tableau!$G$39</f>
        <v>-4.2442429830461881E-4</v>
      </c>
      <c r="AC622" s="110">
        <f>SQRT((Tableau!$G$16-P622)^2+(Tableau!$H$16-Q622)^2)</f>
        <v>23345286.273816094</v>
      </c>
      <c r="AD622" s="111">
        <f>SQRT((Tableau!$G$25-P622)^2+(Tableau!$H$25-Q622)^2)</f>
        <v>23308273.122879043</v>
      </c>
      <c r="AE622" s="112">
        <f>SQRT((Tableau!$G$35-P622)^2+(Tableau!$H$35-Q622)^2)</f>
        <v>23332760.651312225</v>
      </c>
    </row>
    <row r="623" spans="2:31" x14ac:dyDescent="0.25">
      <c r="B623" s="18">
        <v>620</v>
      </c>
      <c r="C623" s="19">
        <f>Tableau!$G$17*COS(B623*PI()/180)+Tableau!$G$16</f>
        <v>19131.759111665346</v>
      </c>
      <c r="D623" s="19">
        <f>Tableau!$G$17*SIN(B623*PI()/180)+Tableau!$H$16</f>
        <v>2575.9612349389599</v>
      </c>
      <c r="F623" s="26">
        <v>620</v>
      </c>
      <c r="G623" s="27">
        <f>Tableau!$G$26*COS(F623*PI()/180)+Tableau!$G$25</f>
        <v>-20607.768621834257</v>
      </c>
      <c r="H623" s="27">
        <f>Tableau!$G$26*SIN(F623*PI()/180)+Tableau!$H$25</f>
        <v>6553.1728644572722</v>
      </c>
      <c r="J623" s="34">
        <v>620</v>
      </c>
      <c r="K623" s="35">
        <f>Tableau!$G$36*COS(J623*PI()/180)+Tableau!$G$35</f>
        <v>-5868.2408883346525</v>
      </c>
      <c r="L623" s="35">
        <f>Tableau!$G$36*SIN(J623*PI()/180)+Tableau!$H$35</f>
        <v>-19924.038765061039</v>
      </c>
      <c r="N623" s="98">
        <v>619</v>
      </c>
      <c r="O623" s="99">
        <v>309.5</v>
      </c>
      <c r="P623" s="101">
        <f>P622+R622*Tableau!$G$2+((1/2)*T622)*Tableau!$G$2^2</f>
        <v>-20977227.235508032</v>
      </c>
      <c r="Q623" s="101">
        <f>Q622+S622*Tableau!$G$2+((1/2)*U622)*Tableau!$G$2^2</f>
        <v>10298646.222346434</v>
      </c>
      <c r="R623" s="101">
        <f>R622+T622*Tableau!$G$2</f>
        <v>-68698.064520718108</v>
      </c>
      <c r="S623" s="101">
        <f>S622+U622*Tableau!$G$2</f>
        <v>33800.660099110828</v>
      </c>
      <c r="T623" s="101">
        <f t="shared" si="18"/>
        <v>2.0158525604135275E-3</v>
      </c>
      <c r="U623" s="101">
        <f t="shared" si="19"/>
        <v>-9.8967510407052496E-4</v>
      </c>
      <c r="V623" s="101">
        <f>((Tableau!$G$16-P623)/(AC623^2+Tableau!$G$21^2)^(3/2))*Tableau!$G$20</f>
        <v>8.5986098852573094E-4</v>
      </c>
      <c r="W623" s="101">
        <f>((Tableau!$H$16-Q623)/(AC623^2+Tableau!$G$21^2)^(3/2))*Tableau!$G$20</f>
        <v>-4.2143446201531494E-4</v>
      </c>
      <c r="X623" s="101">
        <f>((Tableau!$G$25-P623)/(AD623^2+Tableau!$G$30^2)^(3/2))*Tableau!$G$29</f>
        <v>2.9577275548339158E-4</v>
      </c>
      <c r="Y623" s="101">
        <f>((Tableau!$H$25-Q623)/(AD623^2+Tableau!$G$30^2)^(3/2))*Tableau!$G$29</f>
        <v>-1.4520533700284724E-4</v>
      </c>
      <c r="Z623" s="101">
        <f>((Tableau!$G$35-P623)/(AE623^2+Tableau!$G$40^2)^(3/2))*Tableau!$G$39</f>
        <v>8.6021881640440485E-4</v>
      </c>
      <c r="AA623" s="102">
        <f>((Tableau!$H$35-Q623)/(AE623^2+Tableau!$G$40^2)^(3/2))*Tableau!$G$39</f>
        <v>-4.2303530505236281E-4</v>
      </c>
      <c r="AC623" s="113">
        <f>SQRT((Tableau!$G$16-P623)^2+(Tableau!$H$16-Q623)^2)</f>
        <v>23383567.78058634</v>
      </c>
      <c r="AD623" s="114">
        <f>SQRT((Tableau!$G$25-P623)^2+(Tableau!$H$25-Q623)^2)</f>
        <v>23346554.659934796</v>
      </c>
      <c r="AE623" s="115">
        <f>SQRT((Tableau!$G$35-P623)^2+(Tableau!$H$35-Q623)^2)</f>
        <v>23371042.202210534</v>
      </c>
    </row>
    <row r="624" spans="2:31" x14ac:dyDescent="0.25">
      <c r="B624" s="20">
        <v>621</v>
      </c>
      <c r="C624" s="21">
        <f>Tableau!$G$17*COS(B624*PI()/180)+Tableau!$G$16</f>
        <v>19217.827674798849</v>
      </c>
      <c r="D624" s="21">
        <f>Tableau!$G$17*SIN(B624*PI()/180)+Tableau!$H$16</f>
        <v>2561.5582970243113</v>
      </c>
      <c r="F624" s="28">
        <v>621</v>
      </c>
      <c r="G624" s="29">
        <f>Tableau!$G$26*COS(F624*PI()/180)+Tableau!$G$25</f>
        <v>-20547.520627640806</v>
      </c>
      <c r="H624" s="29">
        <f>Tableau!$G$26*SIN(F624*PI()/180)+Tableau!$H$25</f>
        <v>6543.0908079170176</v>
      </c>
      <c r="J624" s="36">
        <v>621</v>
      </c>
      <c r="K624" s="37">
        <f>Tableau!$G$36*COS(J624*PI()/180)+Tableau!$G$35</f>
        <v>-5782.1723252011525</v>
      </c>
      <c r="L624" s="37">
        <f>Tableau!$G$36*SIN(J624*PI()/180)+Tableau!$H$35</f>
        <v>-19938.441702975688</v>
      </c>
      <c r="N624" s="92">
        <v>620</v>
      </c>
      <c r="O624" s="93">
        <v>310</v>
      </c>
      <c r="P624" s="96">
        <f>P623+R623*Tableau!$G$2+((1/2)*T623)*Tableau!$G$2^2</f>
        <v>-21011576.267516408</v>
      </c>
      <c r="Q624" s="96">
        <f>Q623+S623*Tableau!$G$2+((1/2)*U623)*Tableau!$G$2^2</f>
        <v>10315546.552272281</v>
      </c>
      <c r="R624" s="96">
        <f>R623+T623*Tableau!$G$2</f>
        <v>-68698.063512791821</v>
      </c>
      <c r="S624" s="96">
        <f>S623+U623*Tableau!$G$2</f>
        <v>33800.659604273278</v>
      </c>
      <c r="T624" s="96">
        <f t="shared" si="18"/>
        <v>2.0092639583231546E-3</v>
      </c>
      <c r="U624" s="96">
        <f t="shared" si="19"/>
        <v>-9.8644397209256881E-4</v>
      </c>
      <c r="V624" s="96">
        <f>((Tableau!$G$16-P624)/(AC624^2+Tableau!$G$21^2)^(3/2))*Tableau!$G$20</f>
        <v>8.5705146046617848E-4</v>
      </c>
      <c r="W624" s="96">
        <f>((Tableau!$H$16-Q624)/(AC624^2+Tableau!$G$21^2)^(3/2))*Tableau!$G$20</f>
        <v>-4.2006011531448429E-4</v>
      </c>
      <c r="X624" s="96">
        <f>((Tableau!$G$25-P624)/(AD624^2+Tableau!$G$30^2)^(3/2))*Tableau!$G$29</f>
        <v>2.9480496743585725E-4</v>
      </c>
      <c r="Y624" s="96">
        <f>((Tableau!$H$25-Q624)/(AD624^2+Tableau!$G$30^2)^(3/2))*Tableau!$G$29</f>
        <v>-1.4473073756031914E-4</v>
      </c>
      <c r="Z624" s="96">
        <f>((Tableau!$G$35-P624)/(AE624^2+Tableau!$G$40^2)^(3/2))*Tableau!$G$39</f>
        <v>8.5740753042111873E-4</v>
      </c>
      <c r="AA624" s="97">
        <f>((Tableau!$H$35-Q624)/(AE624^2+Tableau!$G$40^2)^(3/2))*Tableau!$G$39</f>
        <v>-4.2165311921776546E-4</v>
      </c>
      <c r="AC624" s="110">
        <f>SQRT((Tableau!$G$16-P624)^2+(Tableau!$H$16-Q624)^2)</f>
        <v>23421849.286940854</v>
      </c>
      <c r="AD624" s="111">
        <f>SQRT((Tableau!$G$25-P624)^2+(Tableau!$H$25-Q624)^2)</f>
        <v>23384836.196475897</v>
      </c>
      <c r="AE624" s="112">
        <f>SQRT((Tableau!$G$35-P624)^2+(Tableau!$H$35-Q624)^2)</f>
        <v>23409323.752548859</v>
      </c>
    </row>
    <row r="625" spans="2:31" x14ac:dyDescent="0.25">
      <c r="B625" s="18">
        <v>622</v>
      </c>
      <c r="C625" s="19">
        <f>Tableau!$G$17*COS(B625*PI()/180)+Tableau!$G$16</f>
        <v>19304.134495199669</v>
      </c>
      <c r="D625" s="19">
        <f>Tableau!$G$17*SIN(B625*PI()/180)+Tableau!$H$16</f>
        <v>2548.6596562921486</v>
      </c>
      <c r="F625" s="26">
        <v>622</v>
      </c>
      <c r="G625" s="27">
        <f>Tableau!$G$26*COS(F625*PI()/180)+Tableau!$G$25</f>
        <v>-20487.10585336023</v>
      </c>
      <c r="H625" s="27">
        <f>Tableau!$G$26*SIN(F625*PI()/180)+Tableau!$H$25</f>
        <v>6534.0617594045043</v>
      </c>
      <c r="J625" s="34">
        <v>622</v>
      </c>
      <c r="K625" s="35">
        <f>Tableau!$G$36*COS(J625*PI()/180)+Tableau!$G$35</f>
        <v>-5695.8655048003302</v>
      </c>
      <c r="L625" s="35">
        <f>Tableau!$G$36*SIN(J625*PI()/180)+Tableau!$H$35</f>
        <v>-19951.340343707852</v>
      </c>
      <c r="N625" s="98">
        <v>621</v>
      </c>
      <c r="O625" s="99">
        <v>310.5</v>
      </c>
      <c r="P625" s="101">
        <f>P624+R624*Tableau!$G$2+((1/2)*T624)*Tableau!$G$2^2</f>
        <v>-21045925.299021646</v>
      </c>
      <c r="Q625" s="101">
        <f>Q624+S624*Tableau!$G$2+((1/2)*U624)*Tableau!$G$2^2</f>
        <v>10332446.881951112</v>
      </c>
      <c r="R625" s="101">
        <f>R624+T624*Tableau!$G$2</f>
        <v>-68698.062508159841</v>
      </c>
      <c r="S625" s="101">
        <f>S624+U624*Tableau!$G$2</f>
        <v>33800.659111051289</v>
      </c>
      <c r="T625" s="101">
        <f t="shared" si="18"/>
        <v>2.0027076048375449E-3</v>
      </c>
      <c r="U625" s="101">
        <f t="shared" si="19"/>
        <v>-9.8322863805637298E-4</v>
      </c>
      <c r="V625" s="101">
        <f>((Tableau!$G$16-P625)/(AC625^2+Tableau!$G$21^2)^(3/2))*Tableau!$G$20</f>
        <v>8.542556798347492E-4</v>
      </c>
      <c r="W625" s="101">
        <f>((Tableau!$H$16-Q625)/(AC625^2+Tableau!$G$21^2)^(3/2))*Tableau!$G$20</f>
        <v>-4.1869248052011515E-4</v>
      </c>
      <c r="X625" s="101">
        <f>((Tableau!$G$25-P625)/(AD625^2+Tableau!$G$30^2)^(3/2))*Tableau!$G$29</f>
        <v>2.9384192164076152E-4</v>
      </c>
      <c r="Y625" s="101">
        <f>((Tableau!$H$25-Q625)/(AD625^2+Tableau!$G$30^2)^(3/2))*Tableau!$G$29</f>
        <v>-1.4425846114693168E-4</v>
      </c>
      <c r="Z625" s="101">
        <f>((Tableau!$G$35-P625)/(AE625^2+Tableau!$G$40^2)^(3/2))*Tableau!$G$39</f>
        <v>8.546100033620344E-4</v>
      </c>
      <c r="AA625" s="102">
        <f>((Tableau!$H$35-Q625)/(AE625^2+Tableau!$G$40^2)^(3/2))*Tableau!$G$39</f>
        <v>-4.2027769638932618E-4</v>
      </c>
      <c r="AC625" s="113">
        <f>SQRT((Tableau!$G$16-P625)^2+(Tableau!$H$16-Q625)^2)</f>
        <v>23460130.792880766</v>
      </c>
      <c r="AD625" s="114">
        <f>SQRT((Tableau!$G$25-P625)^2+(Tableau!$H$25-Q625)^2)</f>
        <v>23423117.732503943</v>
      </c>
      <c r="AE625" s="115">
        <f>SQRT((Tableau!$G$35-P625)^2+(Tableau!$H$35-Q625)^2)</f>
        <v>23447605.302329041</v>
      </c>
    </row>
    <row r="626" spans="2:31" x14ac:dyDescent="0.25">
      <c r="B626" s="20">
        <v>623</v>
      </c>
      <c r="C626" s="21">
        <f>Tableau!$G$17*COS(B626*PI()/180)+Tableau!$G$16</f>
        <v>19390.653282974265</v>
      </c>
      <c r="D626" s="21">
        <f>Tableau!$G$17*SIN(B626*PI()/180)+Tableau!$H$16</f>
        <v>2537.2692417933895</v>
      </c>
      <c r="F626" s="28">
        <v>623</v>
      </c>
      <c r="G626" s="29">
        <f>Tableau!$G$26*COS(F626*PI()/180)+Tableau!$G$25</f>
        <v>-20426.542701918017</v>
      </c>
      <c r="H626" s="29">
        <f>Tableau!$G$26*SIN(F626*PI()/180)+Tableau!$H$25</f>
        <v>6526.0884692553727</v>
      </c>
      <c r="J626" s="36">
        <v>623</v>
      </c>
      <c r="K626" s="37">
        <f>Tableau!$G$36*COS(J626*PI()/180)+Tableau!$G$35</f>
        <v>-5609.3467170257372</v>
      </c>
      <c r="L626" s="37">
        <f>Tableau!$G$36*SIN(J626*PI()/180)+Tableau!$H$35</f>
        <v>-19962.73075820661</v>
      </c>
      <c r="N626" s="92">
        <v>622</v>
      </c>
      <c r="O626" s="93">
        <v>311</v>
      </c>
      <c r="P626" s="96">
        <f>P625+R625*Tableau!$G$2+((1/2)*T625)*Tableau!$G$2^2</f>
        <v>-21080274.330025386</v>
      </c>
      <c r="Q626" s="96">
        <f>Q625+S625*Tableau!$G$2+((1/2)*U625)*Tableau!$G$2^2</f>
        <v>10349347.211383736</v>
      </c>
      <c r="R626" s="96">
        <f>R625+T625*Tableau!$G$2</f>
        <v>-68698.061506806043</v>
      </c>
      <c r="S626" s="96">
        <f>S625+U625*Tableau!$G$2</f>
        <v>33800.658619436967</v>
      </c>
      <c r="T626" s="96">
        <f t="shared" si="18"/>
        <v>1.9961832898403122E-3</v>
      </c>
      <c r="U626" s="96">
        <f t="shared" si="19"/>
        <v>-9.8002899914177493E-4</v>
      </c>
      <c r="V626" s="96">
        <f>((Tableau!$G$16-P626)/(AC626^2+Tableau!$G$21^2)^(3/2))*Tableau!$G$20</f>
        <v>8.5147355708657798E-4</v>
      </c>
      <c r="W626" s="96">
        <f>((Tableau!$H$16-Q626)/(AC626^2+Tableau!$G$21^2)^(3/2))*Tableau!$G$20</f>
        <v>-4.1733151399800888E-4</v>
      </c>
      <c r="X626" s="96">
        <f>((Tableau!$G$25-P626)/(AD626^2+Tableau!$G$30^2)^(3/2))*Tableau!$G$29</f>
        <v>2.9288358716526706E-4</v>
      </c>
      <c r="Y626" s="96">
        <f>((Tableau!$H$25-Q626)/(AD626^2+Tableau!$G$30^2)^(3/2))*Tableau!$G$29</f>
        <v>-1.4378849262661143E-4</v>
      </c>
      <c r="Z626" s="96">
        <f>((Tableau!$G$35-P626)/(AE626^2+Tableau!$G$40^2)^(3/2))*Tableau!$G$39</f>
        <v>8.5182614558846714E-4</v>
      </c>
      <c r="AA626" s="97">
        <f>((Tableau!$H$35-Q626)/(AE626^2+Tableau!$G$40^2)^(3/2))*Tableau!$G$39</f>
        <v>-4.1890899251715463E-4</v>
      </c>
      <c r="AC626" s="110">
        <f>SQRT((Tableau!$G$16-P626)^2+(Tableau!$H$16-Q626)^2)</f>
        <v>23498412.298407178</v>
      </c>
      <c r="AD626" s="111">
        <f>SQRT((Tableau!$G$25-P626)^2+(Tableau!$H$25-Q626)^2)</f>
        <v>23461399.268020544</v>
      </c>
      <c r="AE626" s="112">
        <f>SQRT((Tableau!$G$35-P626)^2+(Tableau!$H$35-Q626)^2)</f>
        <v>23485886.851552889</v>
      </c>
    </row>
    <row r="627" spans="2:31" x14ac:dyDescent="0.25">
      <c r="B627" s="18">
        <v>624</v>
      </c>
      <c r="C627" s="19">
        <f>Tableau!$G$17*COS(B627*PI()/180)+Tableau!$G$16</f>
        <v>19477.357683661729</v>
      </c>
      <c r="D627" s="19">
        <f>Tableau!$G$17*SIN(B627*PI()/180)+Tableau!$H$16</f>
        <v>2527.3905231586341</v>
      </c>
      <c r="F627" s="26">
        <v>624</v>
      </c>
      <c r="G627" s="27">
        <f>Tableau!$G$26*COS(F627*PI()/180)+Tableau!$G$25</f>
        <v>-20365.849621436791</v>
      </c>
      <c r="H627" s="27">
        <f>Tableau!$G$26*SIN(F627*PI()/180)+Tableau!$H$25</f>
        <v>6519.1733662110437</v>
      </c>
      <c r="J627" s="34">
        <v>624</v>
      </c>
      <c r="K627" s="35">
        <f>Tableau!$G$36*COS(J627*PI()/180)+Tableau!$G$35</f>
        <v>-5522.6423163382724</v>
      </c>
      <c r="L627" s="35">
        <f>Tableau!$G$36*SIN(J627*PI()/180)+Tableau!$H$35</f>
        <v>-19972.609476841368</v>
      </c>
      <c r="N627" s="98">
        <v>623</v>
      </c>
      <c r="O627" s="99">
        <v>311.5</v>
      </c>
      <c r="P627" s="101">
        <f>P626+R626*Tableau!$G$2+((1/2)*T626)*Tableau!$G$2^2</f>
        <v>-21114623.360529266</v>
      </c>
      <c r="Q627" s="101">
        <f>Q626+S626*Tableau!$G$2+((1/2)*U626)*Tableau!$G$2^2</f>
        <v>10366247.54057095</v>
      </c>
      <c r="R627" s="101">
        <f>R626+T626*Tableau!$G$2</f>
        <v>-68698.060508714392</v>
      </c>
      <c r="S627" s="101">
        <f>S626+U626*Tableau!$G$2</f>
        <v>33800.658129422467</v>
      </c>
      <c r="T627" s="101">
        <f t="shared" si="18"/>
        <v>1.9896908049234835E-3</v>
      </c>
      <c r="U627" s="101">
        <f t="shared" si="19"/>
        <v>-9.7684495336371625E-4</v>
      </c>
      <c r="V627" s="101">
        <f>((Tableau!$G$16-P627)/(AC627^2+Tableau!$G$21^2)^(3/2))*Tableau!$G$20</f>
        <v>8.4870500340463665E-4</v>
      </c>
      <c r="W627" s="101">
        <f>((Tableau!$H$16-Q627)/(AC627^2+Tableau!$G$21^2)^(3/2))*Tableau!$G$20</f>
        <v>-4.1597717246794964E-4</v>
      </c>
      <c r="X627" s="101">
        <f>((Tableau!$G$25-P627)/(AD627^2+Tableau!$G$30^2)^(3/2))*Tableau!$G$29</f>
        <v>2.9192993332834583E-4</v>
      </c>
      <c r="Y627" s="101">
        <f>((Tableau!$H$25-Q627)/(AD627^2+Tableau!$G$30^2)^(3/2))*Tableau!$G$29</f>
        <v>-1.4332081698636539E-4</v>
      </c>
      <c r="Z627" s="101">
        <f>((Tableau!$G$35-P627)/(AE627^2+Tableau!$G$40^2)^(3/2))*Tableau!$G$39</f>
        <v>8.4905586819050065E-4</v>
      </c>
      <c r="AA627" s="102">
        <f>((Tableau!$H$35-Q627)/(AE627^2+Tableau!$G$40^2)^(3/2))*Tableau!$G$39</f>
        <v>-4.1754696390940127E-4</v>
      </c>
      <c r="AC627" s="113">
        <f>SQRT((Tableau!$G$16-P627)^2+(Tableau!$H$16-Q627)^2)</f>
        <v>23536693.803521216</v>
      </c>
      <c r="AD627" s="114">
        <f>SQRT((Tableau!$G$25-P627)^2+(Tableau!$H$25-Q627)^2)</f>
        <v>23499680.80302728</v>
      </c>
      <c r="AE627" s="115">
        <f>SQRT((Tableau!$G$35-P627)^2+(Tableau!$H$35-Q627)^2)</f>
        <v>23524168.400222216</v>
      </c>
    </row>
    <row r="628" spans="2:31" x14ac:dyDescent="0.25">
      <c r="B628" s="20">
        <v>625</v>
      </c>
      <c r="C628" s="21">
        <f>Tableau!$G$17*COS(B628*PI()/180)+Tableau!$G$16</f>
        <v>19564.221286261709</v>
      </c>
      <c r="D628" s="21">
        <f>Tableau!$G$17*SIN(B628*PI()/180)+Tableau!$H$16</f>
        <v>2519.0265095412724</v>
      </c>
      <c r="F628" s="28">
        <v>625</v>
      </c>
      <c r="G628" s="29">
        <f>Tableau!$G$26*COS(F628*PI()/180)+Tableau!$G$25</f>
        <v>-20305.045099616804</v>
      </c>
      <c r="H628" s="29">
        <f>Tableau!$G$26*SIN(F628*PI()/180)+Tableau!$H$25</f>
        <v>6513.3185566788907</v>
      </c>
      <c r="J628" s="36">
        <v>625</v>
      </c>
      <c r="K628" s="37">
        <f>Tableau!$G$36*COS(J628*PI()/180)+Tableau!$G$35</f>
        <v>-5435.7787137382929</v>
      </c>
      <c r="L628" s="37">
        <f>Tableau!$G$36*SIN(J628*PI()/180)+Tableau!$H$35</f>
        <v>-19980.973490458728</v>
      </c>
      <c r="N628" s="92">
        <v>624</v>
      </c>
      <c r="O628" s="93">
        <v>312</v>
      </c>
      <c r="P628" s="96">
        <f>P627+R627*Tableau!$G$2+((1/2)*T627)*Tableau!$G$2^2</f>
        <v>-21148972.390534911</v>
      </c>
      <c r="Q628" s="96">
        <f>Q627+S627*Tableau!$G$2+((1/2)*U627)*Tableau!$G$2^2</f>
        <v>10383147.869513556</v>
      </c>
      <c r="R628" s="96">
        <f>R627+T627*Tableau!$G$2</f>
        <v>-68698.059513868997</v>
      </c>
      <c r="S628" s="96">
        <f>S627+U627*Tableau!$G$2</f>
        <v>33800.657640999991</v>
      </c>
      <c r="T628" s="96">
        <f t="shared" si="18"/>
        <v>1.983229943370972E-3</v>
      </c>
      <c r="U628" s="96">
        <f t="shared" si="19"/>
        <v>-9.736763995641741E-4</v>
      </c>
      <c r="V628" s="96">
        <f>((Tableau!$G$16-P628)/(AC628^2+Tableau!$G$21^2)^(3/2))*Tableau!$G$20</f>
        <v>8.4594993069274241E-4</v>
      </c>
      <c r="W628" s="96">
        <f>((Tableau!$H$16-Q628)/(AC628^2+Tableau!$G$21^2)^(3/2))*Tableau!$G$20</f>
        <v>-4.1462941300031159E-4</v>
      </c>
      <c r="X628" s="96">
        <f>((Tableau!$G$25-P628)/(AD628^2+Tableau!$G$30^2)^(3/2))*Tableau!$G$29</f>
        <v>2.9098092969830389E-4</v>
      </c>
      <c r="Y628" s="96">
        <f>((Tableau!$H$25-Q628)/(AD628^2+Tableau!$G$30^2)^(3/2))*Tableau!$G$29</f>
        <v>-1.4285541933507255E-4</v>
      </c>
      <c r="Z628" s="96">
        <f>((Tableau!$G$35-P628)/(AE628^2+Tableau!$G$40^2)^(3/2))*Tableau!$G$39</f>
        <v>8.4629908297992557E-4</v>
      </c>
      <c r="AA628" s="97">
        <f>((Tableau!$H$35-Q628)/(AE628^2+Tableau!$G$40^2)^(3/2))*Tableau!$G$39</f>
        <v>-4.1619156722878998E-4</v>
      </c>
      <c r="AC628" s="110">
        <f>SQRT((Tableau!$G$16-P628)^2+(Tableau!$H$16-Q628)^2)</f>
        <v>23574975.308223985</v>
      </c>
      <c r="AD628" s="111">
        <f>SQRT((Tableau!$G$25-P628)^2+(Tableau!$H$25-Q628)^2)</f>
        <v>23537962.33752574</v>
      </c>
      <c r="AE628" s="112">
        <f>SQRT((Tableau!$G$35-P628)^2+(Tableau!$H$35-Q628)^2)</f>
        <v>23562449.948338818</v>
      </c>
    </row>
    <row r="629" spans="2:31" x14ac:dyDescent="0.25">
      <c r="B629" s="18">
        <v>626</v>
      </c>
      <c r="C629" s="19">
        <f>Tableau!$G$17*COS(B629*PI()/180)+Tableau!$G$16</f>
        <v>19651.217631279367</v>
      </c>
      <c r="D629" s="19">
        <f>Tableau!$G$17*SIN(B629*PI()/180)+Tableau!$H$16</f>
        <v>2512.1797487008789</v>
      </c>
      <c r="F629" s="26">
        <v>626</v>
      </c>
      <c r="G629" s="27">
        <f>Tableau!$G$26*COS(F629*PI()/180)+Tableau!$G$25</f>
        <v>-20244.147658104444</v>
      </c>
      <c r="H629" s="27">
        <f>Tableau!$G$26*SIN(F629*PI()/180)+Tableau!$H$25</f>
        <v>6508.5258240906151</v>
      </c>
      <c r="J629" s="34">
        <v>626</v>
      </c>
      <c r="K629" s="35">
        <f>Tableau!$G$36*COS(J629*PI()/180)+Tableau!$G$35</f>
        <v>-5348.7823687206337</v>
      </c>
      <c r="L629" s="35">
        <f>Tableau!$G$36*SIN(J629*PI()/180)+Tableau!$H$35</f>
        <v>-19987.820251299119</v>
      </c>
      <c r="N629" s="98">
        <v>625</v>
      </c>
      <c r="O629" s="99">
        <v>312.5</v>
      </c>
      <c r="P629" s="101">
        <f>P628+R628*Tableau!$G$2+((1/2)*T628)*Tableau!$G$2^2</f>
        <v>-21183321.420043942</v>
      </c>
      <c r="Q629" s="101">
        <f>Q628+S628*Tableau!$G$2+((1/2)*U628)*Tableau!$G$2^2</f>
        <v>10400048.198212348</v>
      </c>
      <c r="R629" s="101">
        <f>R628+T628*Tableau!$G$2</f>
        <v>-68698.058522254025</v>
      </c>
      <c r="S629" s="101">
        <f>S628+U628*Tableau!$G$2</f>
        <v>33800.657154161789</v>
      </c>
      <c r="T629" s="101">
        <f t="shared" si="18"/>
        <v>1.9768005001420666E-3</v>
      </c>
      <c r="U629" s="101">
        <f t="shared" si="19"/>
        <v>-9.7052323740409664E-4</v>
      </c>
      <c r="V629" s="101">
        <f>((Tableau!$G$16-P629)/(AC629^2+Tableau!$G$21^2)^(3/2))*Tableau!$G$20</f>
        <v>8.4320825156845695E-4</v>
      </c>
      <c r="W629" s="101">
        <f>((Tableau!$H$16-Q629)/(AC629^2+Tableau!$G$21^2)^(3/2))*Tableau!$G$20</f>
        <v>-4.1328819301261104E-4</v>
      </c>
      <c r="X629" s="101">
        <f>((Tableau!$G$25-P629)/(AD629^2+Tableau!$G$30^2)^(3/2))*Tableau!$G$29</f>
        <v>2.9003654609037623E-4</v>
      </c>
      <c r="Y629" s="101">
        <f>((Tableau!$H$25-Q629)/(AD629^2+Tableau!$G$30^2)^(3/2))*Tableau!$G$29</f>
        <v>-1.4239228490230951E-4</v>
      </c>
      <c r="Z629" s="101">
        <f>((Tableau!$G$35-P629)/(AE629^2+Tableau!$G$40^2)^(3/2))*Tableau!$G$39</f>
        <v>8.4355570248323365E-4</v>
      </c>
      <c r="AA629" s="102">
        <f>((Tableau!$H$35-Q629)/(AE629^2+Tableau!$G$40^2)^(3/2))*Tableau!$G$39</f>
        <v>-4.1484275948917604E-4</v>
      </c>
      <c r="AC629" s="113">
        <f>SQRT((Tableau!$G$16-P629)^2+(Tableau!$H$16-Q629)^2)</f>
        <v>23613256.812516589</v>
      </c>
      <c r="AD629" s="114">
        <f>SQRT((Tableau!$G$25-P629)^2+(Tableau!$H$25-Q629)^2)</f>
        <v>23576243.871517498</v>
      </c>
      <c r="AE629" s="115">
        <f>SQRT((Tableau!$G$35-P629)^2+(Tableau!$H$35-Q629)^2)</f>
        <v>23600731.495904494</v>
      </c>
    </row>
    <row r="630" spans="2:31" x14ac:dyDescent="0.25">
      <c r="B630" s="20">
        <v>627</v>
      </c>
      <c r="C630" s="21">
        <f>Tableau!$G$17*COS(B630*PI()/180)+Tableau!$G$16</f>
        <v>19738.320218785277</v>
      </c>
      <c r="D630" s="21">
        <f>Tableau!$G$17*SIN(B630*PI()/180)+Tableau!$H$16</f>
        <v>2506.852326227131</v>
      </c>
      <c r="F630" s="28">
        <v>627</v>
      </c>
      <c r="G630" s="29">
        <f>Tableau!$G$26*COS(F630*PI()/180)+Tableau!$G$25</f>
        <v>-20183.175846850307</v>
      </c>
      <c r="H630" s="29">
        <f>Tableau!$G$26*SIN(F630*PI()/180)+Tableau!$H$25</f>
        <v>6504.7966283589922</v>
      </c>
      <c r="J630" s="36">
        <v>627</v>
      </c>
      <c r="K630" s="37">
        <f>Tableau!$G$36*COS(J630*PI()/180)+Tableau!$G$35</f>
        <v>-5261.6797812147224</v>
      </c>
      <c r="L630" s="37">
        <f>Tableau!$G$36*SIN(J630*PI()/180)+Tableau!$H$35</f>
        <v>-19993.14767377287</v>
      </c>
      <c r="N630" s="92">
        <v>626</v>
      </c>
      <c r="O630" s="93">
        <v>313</v>
      </c>
      <c r="P630" s="96">
        <f>P629+R629*Tableau!$G$2+((1/2)*T629)*Tableau!$G$2^2</f>
        <v>-21217670.44905797</v>
      </c>
      <c r="Q630" s="96">
        <f>Q629+S629*Tableau!$G$2+((1/2)*U629)*Tableau!$G$2^2</f>
        <v>10416948.526668113</v>
      </c>
      <c r="R630" s="96">
        <f>R629+T629*Tableau!$G$2</f>
        <v>-68698.057533853775</v>
      </c>
      <c r="S630" s="96">
        <f>S629+U629*Tableau!$G$2</f>
        <v>33800.65666890017</v>
      </c>
      <c r="T630" s="96">
        <f t="shared" si="18"/>
        <v>1.9704022718552107E-3</v>
      </c>
      <c r="U630" s="96">
        <f t="shared" si="19"/>
        <v>-9.6738536735548335E-4</v>
      </c>
      <c r="V630" s="96">
        <f>((Tableau!$G$16-P630)/(AC630^2+Tableau!$G$21^2)^(3/2))*Tableau!$G$20</f>
        <v>8.4047987935624709E-4</v>
      </c>
      <c r="W630" s="96">
        <f>((Tableau!$H$16-Q630)/(AC630^2+Tableau!$G$21^2)^(3/2))*Tableau!$G$20</f>
        <v>-4.1195347026618689E-4</v>
      </c>
      <c r="X630" s="96">
        <f>((Tableau!$G$25-P630)/(AD630^2+Tableau!$G$30^2)^(3/2))*Tableau!$G$29</f>
        <v>2.8909675256430311E-4</v>
      </c>
      <c r="Y630" s="96">
        <f>((Tableau!$H$25-Q630)/(AD630^2+Tableau!$G$30^2)^(3/2))*Tableau!$G$29</f>
        <v>-1.4193139903716703E-4</v>
      </c>
      <c r="Z630" s="96">
        <f>((Tableau!$G$35-P630)/(AE630^2+Tableau!$G$40^2)^(3/2))*Tableau!$G$39</f>
        <v>8.4082563993466072E-4</v>
      </c>
      <c r="AA630" s="97">
        <f>((Tableau!$H$35-Q630)/(AE630^2+Tableau!$G$40^2)^(3/2))*Tableau!$G$39</f>
        <v>-4.135004980521294E-4</v>
      </c>
      <c r="AC630" s="110">
        <f>SQRT((Tableau!$G$16-P630)^2+(Tableau!$H$16-Q630)^2)</f>
        <v>23651538.316400122</v>
      </c>
      <c r="AD630" s="111">
        <f>SQRT((Tableau!$G$25-P630)^2+(Tableau!$H$25-Q630)^2)</f>
        <v>23614525.405004121</v>
      </c>
      <c r="AE630" s="112">
        <f>SQRT((Tableau!$G$35-P630)^2+(Tableau!$H$35-Q630)^2)</f>
        <v>23639013.042921022</v>
      </c>
    </row>
    <row r="631" spans="2:31" x14ac:dyDescent="0.25">
      <c r="B631" s="18">
        <v>628</v>
      </c>
      <c r="C631" s="19">
        <f>Tableau!$G$17*COS(B631*PI()/180)+Tableau!$G$16</f>
        <v>19825.502516487486</v>
      </c>
      <c r="D631" s="19">
        <f>Tableau!$G$17*SIN(B631*PI()/180)+Tableau!$H$16</f>
        <v>2503.0458649045213</v>
      </c>
      <c r="F631" s="26">
        <v>628</v>
      </c>
      <c r="G631" s="27">
        <f>Tableau!$G$26*COS(F631*PI()/180)+Tableau!$G$25</f>
        <v>-20122.148238458758</v>
      </c>
      <c r="H631" s="27">
        <f>Tableau!$G$26*SIN(F631*PI()/180)+Tableau!$H$25</f>
        <v>6502.1321054331656</v>
      </c>
      <c r="J631" s="34">
        <v>628</v>
      </c>
      <c r="K631" s="35">
        <f>Tableau!$G$36*COS(J631*PI()/180)+Tableau!$G$35</f>
        <v>-5174.497483512514</v>
      </c>
      <c r="L631" s="35">
        <f>Tableau!$G$36*SIN(J631*PI()/180)+Tableau!$H$35</f>
        <v>-19996.954135095479</v>
      </c>
      <c r="N631" s="98">
        <v>627</v>
      </c>
      <c r="O631" s="99">
        <v>313.5</v>
      </c>
      <c r="P631" s="101">
        <f>P630+R630*Tableau!$G$2+((1/2)*T630)*Tableau!$G$2^2</f>
        <v>-21252019.477578595</v>
      </c>
      <c r="Q631" s="101">
        <f>Q630+S630*Tableau!$G$2+((1/2)*U630)*Tableau!$G$2^2</f>
        <v>10433848.854881641</v>
      </c>
      <c r="R631" s="101">
        <f>R630+T630*Tableau!$G$2</f>
        <v>-68698.056548652632</v>
      </c>
      <c r="S631" s="101">
        <f>S630+U630*Tableau!$G$2</f>
        <v>33800.656185207488</v>
      </c>
      <c r="T631" s="101">
        <f t="shared" si="18"/>
        <v>1.9640350567718366E-3</v>
      </c>
      <c r="U631" s="101">
        <f t="shared" si="19"/>
        <v>-9.6426269069349244E-4</v>
      </c>
      <c r="V631" s="101">
        <f>((Tableau!$G$16-P631)/(AC631^2+Tableau!$G$21^2)^(3/2))*Tableau!$G$20</f>
        <v>8.3776472808054416E-4</v>
      </c>
      <c r="W631" s="101">
        <f>((Tableau!$H$16-Q631)/(AC631^2+Tableau!$G$21^2)^(3/2))*Tableau!$G$20</f>
        <v>-4.1062520286283137E-4</v>
      </c>
      <c r="X631" s="101">
        <f>((Tableau!$G$25-P631)/(AD631^2+Tableau!$G$30^2)^(3/2))*Tableau!$G$29</f>
        <v>2.8816151942198149E-4</v>
      </c>
      <c r="Y631" s="101">
        <f>((Tableau!$H$25-Q631)/(AD631^2+Tableau!$G$30^2)^(3/2))*Tableau!$G$29</f>
        <v>-1.4147274720710355E-4</v>
      </c>
      <c r="Z631" s="101">
        <f>((Tableau!$G$35-P631)/(AE631^2+Tableau!$G$40^2)^(3/2))*Tableau!$G$39</f>
        <v>8.3810880926931091E-4</v>
      </c>
      <c r="AA631" s="102">
        <f>((Tableau!$H$35-Q631)/(AE631^2+Tableau!$G$40^2)^(3/2))*Tableau!$G$39</f>
        <v>-4.1216474062355746E-4</v>
      </c>
      <c r="AC631" s="113">
        <f>SQRT((Tableau!$G$16-P631)^2+(Tableau!$H$16-Q631)^2)</f>
        <v>23689819.819875684</v>
      </c>
      <c r="AD631" s="114">
        <f>SQRT((Tableau!$G$25-P631)^2+(Tableau!$H$25-Q631)^2)</f>
        <v>23652806.937987171</v>
      </c>
      <c r="AE631" s="115">
        <f>SQRT((Tableau!$G$35-P631)^2+(Tableau!$H$35-Q631)^2)</f>
        <v>23677294.589390181</v>
      </c>
    </row>
    <row r="632" spans="2:31" x14ac:dyDescent="0.25">
      <c r="B632" s="20">
        <v>629</v>
      </c>
      <c r="C632" s="21">
        <f>Tableau!$G$17*COS(B632*PI()/180)+Tableau!$G$16</f>
        <v>19912.737967813577</v>
      </c>
      <c r="D632" s="21">
        <f>Tableau!$G$17*SIN(B632*PI()/180)+Tableau!$H$16</f>
        <v>2500.7615242180436</v>
      </c>
      <c r="F632" s="28">
        <v>629</v>
      </c>
      <c r="G632" s="29">
        <f>Tableau!$G$26*COS(F632*PI()/180)+Tableau!$G$25</f>
        <v>-20061.083422530497</v>
      </c>
      <c r="H632" s="29">
        <f>Tableau!$G$26*SIN(F632*PI()/180)+Tableau!$H$25</f>
        <v>6500.5330669526302</v>
      </c>
      <c r="J632" s="36">
        <v>629</v>
      </c>
      <c r="K632" s="37">
        <f>Tableau!$G$36*COS(J632*PI()/180)+Tableau!$G$35</f>
        <v>-5087.2620321864233</v>
      </c>
      <c r="L632" s="37">
        <f>Tableau!$G$36*SIN(J632*PI()/180)+Tableau!$H$35</f>
        <v>-19999.238475781956</v>
      </c>
      <c r="N632" s="92">
        <v>628</v>
      </c>
      <c r="O632" s="93">
        <v>314</v>
      </c>
      <c r="P632" s="96">
        <f>P631+R631*Tableau!$G$2+((1/2)*T631)*Tableau!$G$2^2</f>
        <v>-21286368.505607419</v>
      </c>
      <c r="Q632" s="96">
        <f>Q631+S631*Tableau!$G$2+((1/2)*U631)*Tableau!$G$2^2</f>
        <v>10450749.18285371</v>
      </c>
      <c r="R632" s="96">
        <f>R631+T631*Tableau!$G$2</f>
        <v>-68698.055566635099</v>
      </c>
      <c r="S632" s="96">
        <f>S631+U631*Tableau!$G$2</f>
        <v>33800.65570307614</v>
      </c>
      <c r="T632" s="96">
        <f t="shared" si="18"/>
        <v>1.9576986547805899E-3</v>
      </c>
      <c r="U632" s="96">
        <f t="shared" si="19"/>
        <v>-9.6115510948873535E-4</v>
      </c>
      <c r="V632" s="96">
        <f>((Tableau!$G$16-P632)/(AC632^2+Tableau!$G$21^2)^(3/2))*Tableau!$G$20</f>
        <v>8.3506271245905521E-4</v>
      </c>
      <c r="W632" s="96">
        <f>((Tableau!$H$16-Q632)/(AC632^2+Tableau!$G$21^2)^(3/2))*Tableau!$G$20</f>
        <v>-4.0930334924154228E-4</v>
      </c>
      <c r="X632" s="96">
        <f>((Tableau!$G$25-P632)/(AD632^2+Tableau!$G$30^2)^(3/2))*Tableau!$G$29</f>
        <v>2.872308172051E-4</v>
      </c>
      <c r="Y632" s="96">
        <f>((Tableau!$H$25-Q632)/(AD632^2+Tableau!$G$30^2)^(3/2))*Tableau!$G$29</f>
        <v>-1.4101631499679004E-4</v>
      </c>
      <c r="Z632" s="96">
        <f>((Tableau!$G$35-P632)/(AE632^2+Tableau!$G$40^2)^(3/2))*Tableau!$G$39</f>
        <v>8.3540512511643447E-4</v>
      </c>
      <c r="AA632" s="97">
        <f>((Tableau!$H$35-Q632)/(AE632^2+Tableau!$G$40^2)^(3/2))*Tableau!$G$39</f>
        <v>-4.1083544525040292E-4</v>
      </c>
      <c r="AC632" s="110">
        <f>SQRT((Tableau!$G$16-P632)^2+(Tableau!$H$16-Q632)^2)</f>
        <v>23728101.322944369</v>
      </c>
      <c r="AD632" s="111">
        <f>SQRT((Tableau!$G$25-P632)^2+(Tableau!$H$25-Q632)^2)</f>
        <v>23691088.470468204</v>
      </c>
      <c r="AE632" s="112">
        <f>SQRT((Tableau!$G$35-P632)^2+(Tableau!$H$35-Q632)^2)</f>
        <v>23715576.135313734</v>
      </c>
    </row>
    <row r="633" spans="2:31" x14ac:dyDescent="0.25">
      <c r="B633" s="18">
        <v>630</v>
      </c>
      <c r="C633" s="19">
        <f>Tableau!$G$17*COS(B633*PI()/180)+Tableau!$G$16</f>
        <v>19999.999999999996</v>
      </c>
      <c r="D633" s="19">
        <f>Tableau!$G$17*SIN(B633*PI()/180)+Tableau!$H$16</f>
        <v>2500</v>
      </c>
      <c r="F633" s="26">
        <v>630</v>
      </c>
      <c r="G633" s="27">
        <f>Tableau!$G$26*COS(F633*PI()/180)+Tableau!$G$25</f>
        <v>-20000</v>
      </c>
      <c r="H633" s="27">
        <f>Tableau!$G$26*SIN(F633*PI()/180)+Tableau!$H$25</f>
        <v>6500</v>
      </c>
      <c r="J633" s="34">
        <v>630</v>
      </c>
      <c r="K633" s="35">
        <f>Tableau!$G$36*COS(J633*PI()/180)+Tableau!$G$35</f>
        <v>-5000.0000000000018</v>
      </c>
      <c r="L633" s="35">
        <f>Tableau!$G$36*SIN(J633*PI()/180)+Tableau!$H$35</f>
        <v>-20000</v>
      </c>
      <c r="N633" s="98">
        <v>629</v>
      </c>
      <c r="O633" s="99">
        <v>314.5</v>
      </c>
      <c r="P633" s="101">
        <f>P632+R632*Tableau!$G$2+((1/2)*T632)*Tableau!$G$2^2</f>
        <v>-21320717.533146027</v>
      </c>
      <c r="Q633" s="101">
        <f>Q632+S632*Tableau!$G$2+((1/2)*U632)*Tableau!$G$2^2</f>
        <v>10467649.510585103</v>
      </c>
      <c r="R633" s="101">
        <f>R632+T632*Tableau!$G$2</f>
        <v>-68698.054587785766</v>
      </c>
      <c r="S633" s="101">
        <f>S632+U632*Tableau!$G$2</f>
        <v>33800.655222498586</v>
      </c>
      <c r="T633" s="101">
        <f t="shared" si="18"/>
        <v>1.9513928673814463E-3</v>
      </c>
      <c r="U633" s="101">
        <f t="shared" si="19"/>
        <v>-9.5806252659952243E-4</v>
      </c>
      <c r="V633" s="101">
        <f>((Tableau!$G$16-P633)/(AC633^2+Tableau!$G$21^2)^(3/2))*Tableau!$G$20</f>
        <v>8.3237374789600594E-4</v>
      </c>
      <c r="W633" s="101">
        <f>((Tableau!$H$16-Q633)/(AC633^2+Tableau!$G$21^2)^(3/2))*Tableau!$G$20</f>
        <v>-4.0798786817524378E-4</v>
      </c>
      <c r="X633" s="101">
        <f>((Tableau!$G$25-P633)/(AD633^2+Tableau!$G$30^2)^(3/2))*Tableau!$G$29</f>
        <v>2.8630461669282352E-4</v>
      </c>
      <c r="Y633" s="101">
        <f>((Tableau!$H$25-Q633)/(AD633^2+Tableau!$G$30^2)^(3/2))*Tableau!$G$29</f>
        <v>-1.405620881069798E-4</v>
      </c>
      <c r="Z633" s="101">
        <f>((Tableau!$G$35-P633)/(AE633^2+Tableau!$G$40^2)^(3/2))*Tableau!$G$39</f>
        <v>8.327145027926167E-4</v>
      </c>
      <c r="AA633" s="102">
        <f>((Tableau!$H$35-Q633)/(AE633^2+Tableau!$G$40^2)^(3/2))*Tableau!$G$39</f>
        <v>-4.0951257031729882E-4</v>
      </c>
      <c r="AC633" s="113">
        <f>SQRT((Tableau!$G$16-P633)^2+(Tableau!$H$16-Q633)^2)</f>
        <v>23766382.825607266</v>
      </c>
      <c r="AD633" s="114">
        <f>SQRT((Tableau!$G$25-P633)^2+(Tableau!$H$25-Q633)^2)</f>
        <v>23729370.002448767</v>
      </c>
      <c r="AE633" s="115">
        <f>SQRT((Tableau!$G$35-P633)^2+(Tableau!$H$35-Q633)^2)</f>
        <v>23753857.680693444</v>
      </c>
    </row>
    <row r="634" spans="2:31" x14ac:dyDescent="0.25">
      <c r="B634" s="20">
        <v>631</v>
      </c>
      <c r="C634" s="21">
        <f>Tableau!$G$17*COS(B634*PI()/180)+Tableau!$G$16</f>
        <v>20087.26203218642</v>
      </c>
      <c r="D634" s="21">
        <f>Tableau!$G$17*SIN(B634*PI()/180)+Tableau!$H$16</f>
        <v>2500.7615242180436</v>
      </c>
      <c r="F634" s="28">
        <v>631</v>
      </c>
      <c r="G634" s="29">
        <f>Tableau!$G$26*COS(F634*PI()/180)+Tableau!$G$25</f>
        <v>-19938.916577469507</v>
      </c>
      <c r="H634" s="29">
        <f>Tableau!$G$26*SIN(F634*PI()/180)+Tableau!$H$25</f>
        <v>6500.5330669526302</v>
      </c>
      <c r="J634" s="36">
        <v>631</v>
      </c>
      <c r="K634" s="37">
        <f>Tableau!$G$36*COS(J634*PI()/180)+Tableau!$G$35</f>
        <v>-4912.7379678135812</v>
      </c>
      <c r="L634" s="37">
        <f>Tableau!$G$36*SIN(J634*PI()/180)+Tableau!$H$35</f>
        <v>-19999.238475781956</v>
      </c>
      <c r="N634" s="92">
        <v>630</v>
      </c>
      <c r="O634" s="93">
        <v>315</v>
      </c>
      <c r="P634" s="96">
        <f>P633+R633*Tableau!$G$2+((1/2)*T633)*Tableau!$G$2^2</f>
        <v>-21355066.560195997</v>
      </c>
      <c r="Q634" s="96">
        <f>Q633+S633*Tableau!$G$2+((1/2)*U633)*Tableau!$G$2^2</f>
        <v>10484549.838076595</v>
      </c>
      <c r="R634" s="96">
        <f>R633+T633*Tableau!$G$2</f>
        <v>-68698.053612089338</v>
      </c>
      <c r="S634" s="96">
        <f>S633+U633*Tableau!$G$2</f>
        <v>33800.654743467319</v>
      </c>
      <c r="T634" s="96">
        <f t="shared" si="18"/>
        <v>1.9451174976703135E-3</v>
      </c>
      <c r="U634" s="96">
        <f t="shared" si="19"/>
        <v>-9.5498484566434246E-4</v>
      </c>
      <c r="V634" s="96">
        <f>((Tableau!$G$16-P634)/(AC634^2+Tableau!$G$21^2)^(3/2))*Tableau!$G$20</f>
        <v>8.2969775047555107E-4</v>
      </c>
      <c r="W634" s="96">
        <f>((Tableau!$H$16-Q634)/(AC634^2+Tableau!$G$21^2)^(3/2))*Tableau!$G$20</f>
        <v>-4.0667871876758635E-4</v>
      </c>
      <c r="X634" s="96">
        <f>((Tableau!$G$25-P634)/(AD634^2+Tableau!$G$30^2)^(3/2))*Tableau!$G$29</f>
        <v>2.8538288889950531E-4</v>
      </c>
      <c r="Y634" s="96">
        <f>((Tableau!$H$25-Q634)/(AD634^2+Tableau!$G$30^2)^(3/2))*Tableau!$G$29</f>
        <v>-1.4011005235339106E-4</v>
      </c>
      <c r="Z634" s="96">
        <f>((Tableau!$G$35-P634)/(AE634^2+Tableau!$G$40^2)^(3/2))*Tableau!$G$39</f>
        <v>8.3003685829525695E-4</v>
      </c>
      <c r="AA634" s="97">
        <f>((Tableau!$H$35-Q634)/(AE634^2+Tableau!$G$40^2)^(3/2))*Tableau!$G$39</f>
        <v>-4.0819607454336502E-4</v>
      </c>
      <c r="AC634" s="110">
        <f>SQRT((Tableau!$G$16-P634)^2+(Tableau!$H$16-Q634)^2)</f>
        <v>23804664.327865452</v>
      </c>
      <c r="AD634" s="111">
        <f>SQRT((Tableau!$G$25-P634)^2+(Tableau!$H$25-Q634)^2)</f>
        <v>23767651.533930395</v>
      </c>
      <c r="AE634" s="112">
        <f>SQRT((Tableau!$G$35-P634)^2+(Tableau!$H$35-Q634)^2)</f>
        <v>23792139.225531057</v>
      </c>
    </row>
    <row r="635" spans="2:31" x14ac:dyDescent="0.25">
      <c r="B635" s="18">
        <v>632</v>
      </c>
      <c r="C635" s="19">
        <f>Tableau!$G$17*COS(B635*PI()/180)+Tableau!$G$16</f>
        <v>20174.497483512499</v>
      </c>
      <c r="D635" s="19">
        <f>Tableau!$G$17*SIN(B635*PI()/180)+Tableau!$H$16</f>
        <v>2503.0458649045213</v>
      </c>
      <c r="F635" s="26">
        <v>632</v>
      </c>
      <c r="G635" s="27">
        <f>Tableau!$G$26*COS(F635*PI()/180)+Tableau!$G$25</f>
        <v>-19877.851761541249</v>
      </c>
      <c r="H635" s="27">
        <f>Tableau!$G$26*SIN(F635*PI()/180)+Tableau!$H$25</f>
        <v>6502.1321054331647</v>
      </c>
      <c r="J635" s="34">
        <v>632</v>
      </c>
      <c r="K635" s="35">
        <f>Tableau!$G$36*COS(J635*PI()/180)+Tableau!$G$35</f>
        <v>-4825.5025164874996</v>
      </c>
      <c r="L635" s="35">
        <f>Tableau!$G$36*SIN(J635*PI()/180)+Tableau!$H$35</f>
        <v>-19996.954135095479</v>
      </c>
      <c r="N635" s="98">
        <v>631</v>
      </c>
      <c r="O635" s="99">
        <v>315.5</v>
      </c>
      <c r="P635" s="101">
        <f>P634+R634*Tableau!$G$2+((1/2)*T634)*Tableau!$G$2^2</f>
        <v>-21389415.586758904</v>
      </c>
      <c r="Q635" s="101">
        <f>Q634+S634*Tableau!$G$2+((1/2)*U634)*Tableau!$G$2^2</f>
        <v>10501450.165328955</v>
      </c>
      <c r="R635" s="101">
        <f>R634+T634*Tableau!$G$2</f>
        <v>-68698.052639530593</v>
      </c>
      <c r="S635" s="101">
        <f>S634+U634*Tableau!$G$2</f>
        <v>33800.654265974896</v>
      </c>
      <c r="T635" s="101">
        <f t="shared" si="18"/>
        <v>1.9388723503235815E-3</v>
      </c>
      <c r="U635" s="101">
        <f t="shared" si="19"/>
        <v>-9.5192197109431856E-4</v>
      </c>
      <c r="V635" s="101">
        <f>((Tableau!$G$16-P635)/(AC635^2+Tableau!$G$21^2)^(3/2))*Tableau!$G$20</f>
        <v>8.2703463695521734E-4</v>
      </c>
      <c r="W635" s="101">
        <f>((Tableau!$H$16-Q635)/(AC635^2+Tableau!$G$21^2)^(3/2))*Tableau!$G$20</f>
        <v>-4.0537586044976382E-4</v>
      </c>
      <c r="X635" s="101">
        <f>((Tableau!$G$25-P635)/(AD635^2+Tableau!$G$30^2)^(3/2))*Tableau!$G$29</f>
        <v>2.8446560507241434E-4</v>
      </c>
      <c r="Y635" s="101">
        <f>((Tableau!$H$25-Q635)/(AD635^2+Tableau!$G$30^2)^(3/2))*Tableau!$G$29</f>
        <v>-1.3966019366559734E-4</v>
      </c>
      <c r="Z635" s="101">
        <f>((Tableau!$G$35-P635)/(AE635^2+Tableau!$G$40^2)^(3/2))*Tableau!$G$39</f>
        <v>8.2737210829594973E-4</v>
      </c>
      <c r="AA635" s="102">
        <f>((Tableau!$H$35-Q635)/(AE635^2+Tableau!$G$40^2)^(3/2))*Tableau!$G$39</f>
        <v>-4.0688591697895745E-4</v>
      </c>
      <c r="AC635" s="113">
        <f>SQRT((Tableau!$G$16-P635)^2+(Tableau!$H$16-Q635)^2)</f>
        <v>23842945.829720009</v>
      </c>
      <c r="AD635" s="114">
        <f>SQRT((Tableau!$G$25-P635)^2+(Tableau!$H$25-Q635)^2)</f>
        <v>23805933.064914625</v>
      </c>
      <c r="AE635" s="115">
        <f>SQRT((Tableau!$G$35-P635)^2+(Tableau!$H$35-Q635)^2)</f>
        <v>23830420.769828312</v>
      </c>
    </row>
    <row r="636" spans="2:31" x14ac:dyDescent="0.25">
      <c r="B636" s="20">
        <v>633</v>
      </c>
      <c r="C636" s="21">
        <f>Tableau!$G$17*COS(B636*PI()/180)+Tableau!$G$16</f>
        <v>20261.67978121472</v>
      </c>
      <c r="D636" s="21">
        <f>Tableau!$G$17*SIN(B636*PI()/180)+Tableau!$H$16</f>
        <v>2506.852326227131</v>
      </c>
      <c r="F636" s="28">
        <v>633</v>
      </c>
      <c r="G636" s="29">
        <f>Tableau!$G$26*COS(F636*PI()/180)+Tableau!$G$25</f>
        <v>-19816.824153149697</v>
      </c>
      <c r="H636" s="29">
        <f>Tableau!$G$26*SIN(F636*PI()/180)+Tableau!$H$25</f>
        <v>6504.7966283589922</v>
      </c>
      <c r="J636" s="36">
        <v>633</v>
      </c>
      <c r="K636" s="37">
        <f>Tableau!$G$36*COS(J636*PI()/180)+Tableau!$G$35</f>
        <v>-4738.3202187852812</v>
      </c>
      <c r="L636" s="37">
        <f>Tableau!$G$36*SIN(J636*PI()/180)+Tableau!$H$35</f>
        <v>-19993.14767377287</v>
      </c>
      <c r="N636" s="92">
        <v>632</v>
      </c>
      <c r="O636" s="93">
        <v>316</v>
      </c>
      <c r="P636" s="96">
        <f>P635+R635*Tableau!$G$2+((1/2)*T635)*Tableau!$G$2^2</f>
        <v>-21423764.612836309</v>
      </c>
      <c r="Q636" s="96">
        <f>Q635+S635*Tableau!$G$2+((1/2)*U635)*Tableau!$G$2^2</f>
        <v>10518350.492342953</v>
      </c>
      <c r="R636" s="96">
        <f>R635+T635*Tableau!$G$2</f>
        <v>-68698.051670094414</v>
      </c>
      <c r="S636" s="96">
        <f>S635+U635*Tableau!$G$2</f>
        <v>33800.653790013908</v>
      </c>
      <c r="T636" s="96">
        <f t="shared" si="18"/>
        <v>1.9326572315829173E-3</v>
      </c>
      <c r="U636" s="96">
        <f t="shared" si="19"/>
        <v>-9.4887380806578294E-4</v>
      </c>
      <c r="V636" s="96">
        <f>((Tableau!$G$16-P636)/(AC636^2+Tableau!$G$21^2)^(3/2))*Tableau!$G$20</f>
        <v>8.2438432475941408E-4</v>
      </c>
      <c r="W636" s="96">
        <f>((Tableau!$H$16-Q636)/(AC636^2+Tableau!$G$21^2)^(3/2))*Tableau!$G$20</f>
        <v>-4.0407925297736264E-4</v>
      </c>
      <c r="X636" s="96">
        <f>((Tableau!$G$25-P636)/(AD636^2+Tableau!$G$30^2)^(3/2))*Tableau!$G$29</f>
        <v>2.8355273668949674E-4</v>
      </c>
      <c r="Y636" s="96">
        <f>((Tableau!$H$25-Q636)/(AD636^2+Tableau!$G$30^2)^(3/2))*Tableau!$G$29</f>
        <v>-1.3921249808593439E-4</v>
      </c>
      <c r="Z636" s="96">
        <f>((Tableau!$G$35-P636)/(AE636^2+Tableau!$G$40^2)^(3/2))*Tableau!$G$39</f>
        <v>8.2472017013400652E-4</v>
      </c>
      <c r="AA636" s="97">
        <f>((Tableau!$H$35-Q636)/(AE636^2+Tableau!$G$40^2)^(3/2))*Tableau!$G$39</f>
        <v>-4.0558205700248583E-4</v>
      </c>
      <c r="AC636" s="110">
        <f>SQRT((Tableau!$G$16-P636)^2+(Tableau!$H$16-Q636)^2)</f>
        <v>23881227.331172008</v>
      </c>
      <c r="AD636" s="111">
        <f>SQRT((Tableau!$G$25-P636)^2+(Tableau!$H$25-Q636)^2)</f>
        <v>23844214.595402975</v>
      </c>
      <c r="AE636" s="112">
        <f>SQRT((Tableau!$G$35-P636)^2+(Tableau!$H$35-Q636)^2)</f>
        <v>23868702.313586939</v>
      </c>
    </row>
    <row r="637" spans="2:31" x14ac:dyDescent="0.25">
      <c r="B637" s="18">
        <v>634</v>
      </c>
      <c r="C637" s="19">
        <f>Tableau!$G$17*COS(B637*PI()/180)+Tableau!$G$16</f>
        <v>20348.782368720629</v>
      </c>
      <c r="D637" s="19">
        <f>Tableau!$G$17*SIN(B637*PI()/180)+Tableau!$H$16</f>
        <v>2512.1797487008789</v>
      </c>
      <c r="F637" s="26">
        <v>634</v>
      </c>
      <c r="G637" s="27">
        <f>Tableau!$G$26*COS(F637*PI()/180)+Tableau!$G$25</f>
        <v>-19755.852341895559</v>
      </c>
      <c r="H637" s="27">
        <f>Tableau!$G$26*SIN(F637*PI()/180)+Tableau!$H$25</f>
        <v>6508.5258240906151</v>
      </c>
      <c r="J637" s="34">
        <v>634</v>
      </c>
      <c r="K637" s="35">
        <f>Tableau!$G$36*COS(J637*PI()/180)+Tableau!$G$35</f>
        <v>-4651.2176312793708</v>
      </c>
      <c r="L637" s="35">
        <f>Tableau!$G$36*SIN(J637*PI()/180)+Tableau!$H$35</f>
        <v>-19987.820251299119</v>
      </c>
      <c r="N637" s="98">
        <v>633</v>
      </c>
      <c r="O637" s="99">
        <v>316.5</v>
      </c>
      <c r="P637" s="101">
        <f>P636+R636*Tableau!$G$2+((1/2)*T636)*Tableau!$G$2^2</f>
        <v>-21458113.638429776</v>
      </c>
      <c r="Q637" s="101">
        <f>Q636+S636*Tableau!$G$2+((1/2)*U636)*Tableau!$G$2^2</f>
        <v>10535250.819119351</v>
      </c>
      <c r="R637" s="101">
        <f>R636+T636*Tableau!$G$2</f>
        <v>-68698.050703765795</v>
      </c>
      <c r="S637" s="101">
        <f>S636+U636*Tableau!$G$2</f>
        <v>33800.653315577001</v>
      </c>
      <c r="T637" s="101">
        <f t="shared" si="18"/>
        <v>1.9264719492402974E-3</v>
      </c>
      <c r="U637" s="101">
        <f t="shared" si="19"/>
        <v>-9.4584026251296653E-4</v>
      </c>
      <c r="V637" s="101">
        <f>((Tableau!$G$16-P637)/(AC637^2+Tableau!$G$21^2)^(3/2))*Tableau!$G$20</f>
        <v>8.2174673197306575E-4</v>
      </c>
      <c r="W637" s="101">
        <f>((Tableau!$H$16-Q637)/(AC637^2+Tableau!$G$21^2)^(3/2))*Tableau!$G$20</f>
        <v>-4.0278885642727058E-4</v>
      </c>
      <c r="X637" s="101">
        <f>((Tableau!$G$25-P637)/(AD637^2+Tableau!$G$30^2)^(3/2))*Tableau!$G$29</f>
        <v>2.8264425545715172E-4</v>
      </c>
      <c r="Y637" s="101">
        <f>((Tableau!$H$25-Q637)/(AD637^2+Tableau!$G$30^2)^(3/2))*Tableau!$G$29</f>
        <v>-1.387669517684141E-4</v>
      </c>
      <c r="Z637" s="101">
        <f>((Tableau!$G$35-P637)/(AE637^2+Tableau!$G$40^2)^(3/2))*Tableau!$G$39</f>
        <v>8.2208096181008003E-4</v>
      </c>
      <c r="AA637" s="102">
        <f>((Tableau!$H$35-Q637)/(AE637^2+Tableau!$G$40^2)^(3/2))*Tableau!$G$39</f>
        <v>-4.0428445431728196E-4</v>
      </c>
      <c r="AC637" s="113">
        <f>SQRT((Tableau!$G$16-P637)^2+(Tableau!$H$16-Q637)^2)</f>
        <v>23919508.832222521</v>
      </c>
      <c r="AD637" s="114">
        <f>SQRT((Tableau!$G$25-P637)^2+(Tableau!$H$25-Q637)^2)</f>
        <v>23882496.125396971</v>
      </c>
      <c r="AE637" s="115">
        <f>SQRT((Tableau!$G$35-P637)^2+(Tableau!$H$35-Q637)^2)</f>
        <v>23906983.856808666</v>
      </c>
    </row>
    <row r="638" spans="2:31" x14ac:dyDescent="0.25">
      <c r="B638" s="20">
        <v>635</v>
      </c>
      <c r="C638" s="21">
        <f>Tableau!$G$17*COS(B638*PI()/180)+Tableau!$G$16</f>
        <v>20435.778713738287</v>
      </c>
      <c r="D638" s="21">
        <f>Tableau!$G$17*SIN(B638*PI()/180)+Tableau!$H$16</f>
        <v>2519.0265095412724</v>
      </c>
      <c r="F638" s="28">
        <v>635</v>
      </c>
      <c r="G638" s="29">
        <f>Tableau!$G$26*COS(F638*PI()/180)+Tableau!$G$25</f>
        <v>-19694.9549003832</v>
      </c>
      <c r="H638" s="29">
        <f>Tableau!$G$26*SIN(F638*PI()/180)+Tableau!$H$25</f>
        <v>6513.3185566788907</v>
      </c>
      <c r="J638" s="36">
        <v>635</v>
      </c>
      <c r="K638" s="37">
        <f>Tableau!$G$36*COS(J638*PI()/180)+Tableau!$G$35</f>
        <v>-4564.2212862617116</v>
      </c>
      <c r="L638" s="37">
        <f>Tableau!$G$36*SIN(J638*PI()/180)+Tableau!$H$35</f>
        <v>-19980.973490458728</v>
      </c>
      <c r="N638" s="92">
        <v>634</v>
      </c>
      <c r="O638" s="93">
        <v>317</v>
      </c>
      <c r="P638" s="96">
        <f>P637+R637*Tableau!$G$2+((1/2)*T637)*Tableau!$G$2^2</f>
        <v>-21492462.663540848</v>
      </c>
      <c r="Q638" s="96">
        <f>Q637+S637*Tableau!$G$2+((1/2)*U637)*Tableau!$G$2^2</f>
        <v>10552151.14565891</v>
      </c>
      <c r="R638" s="96">
        <f>R637+T637*Tableau!$G$2</f>
        <v>-68698.049740529823</v>
      </c>
      <c r="S638" s="96">
        <f>S637+U637*Tableau!$G$2</f>
        <v>33800.652842656869</v>
      </c>
      <c r="T638" s="96">
        <f t="shared" si="18"/>
        <v>1.9203163126230516E-3</v>
      </c>
      <c r="U638" s="96">
        <f t="shared" si="19"/>
        <v>-9.4282124112069756E-4</v>
      </c>
      <c r="V638" s="96">
        <f>((Tableau!$G$16-P638)/(AC638^2+Tableau!$G$21^2)^(3/2))*Tableau!$G$20</f>
        <v>8.1912177733525575E-4</v>
      </c>
      <c r="W638" s="96">
        <f>((Tableau!$H$16-Q638)/(AC638^2+Tableau!$G$21^2)^(3/2))*Tableau!$G$20</f>
        <v>-4.0150463119459053E-4</v>
      </c>
      <c r="X638" s="96">
        <f>((Tableau!$G$25-P638)/(AD638^2+Tableau!$G$30^2)^(3/2))*Tableau!$G$29</f>
        <v>2.817401333080483E-4</v>
      </c>
      <c r="Y638" s="96">
        <f>((Tableau!$H$25-Q638)/(AD638^2+Tableau!$G$30^2)^(3/2))*Tableau!$G$29</f>
        <v>-1.3832354097765854E-4</v>
      </c>
      <c r="Z638" s="96">
        <f>((Tableau!$G$35-P638)/(AE638^2+Tableau!$G$40^2)^(3/2))*Tableau!$G$39</f>
        <v>8.1945440197974762E-4</v>
      </c>
      <c r="AA638" s="97">
        <f>((Tableau!$H$35-Q638)/(AE638^2+Tableau!$G$40^2)^(3/2))*Tableau!$G$39</f>
        <v>-4.0299306894844839E-4</v>
      </c>
      <c r="AC638" s="110">
        <f>SQRT((Tableau!$G$16-P638)^2+(Tableau!$H$16-Q638)^2)</f>
        <v>23957790.332872618</v>
      </c>
      <c r="AD638" s="111">
        <f>SQRT((Tableau!$G$25-P638)^2+(Tableau!$H$25-Q638)^2)</f>
        <v>23920777.654898118</v>
      </c>
      <c r="AE638" s="112">
        <f>SQRT((Tableau!$G$35-P638)^2+(Tableau!$H$35-Q638)^2)</f>
        <v>23945265.399495207</v>
      </c>
    </row>
    <row r="639" spans="2:31" x14ac:dyDescent="0.25">
      <c r="B639" s="18">
        <v>636</v>
      </c>
      <c r="C639" s="19">
        <f>Tableau!$G$17*COS(B639*PI()/180)+Tableau!$G$16</f>
        <v>20522.642316338268</v>
      </c>
      <c r="D639" s="19">
        <f>Tableau!$G$17*SIN(B639*PI()/180)+Tableau!$H$16</f>
        <v>2527.3905231586332</v>
      </c>
      <c r="F639" s="26">
        <v>636</v>
      </c>
      <c r="G639" s="27">
        <f>Tableau!$G$26*COS(F639*PI()/180)+Tableau!$G$25</f>
        <v>-19634.150378563212</v>
      </c>
      <c r="H639" s="27">
        <f>Tableau!$G$26*SIN(F639*PI()/180)+Tableau!$H$25</f>
        <v>6519.1733662110437</v>
      </c>
      <c r="J639" s="34">
        <v>636</v>
      </c>
      <c r="K639" s="35">
        <f>Tableau!$G$36*COS(J639*PI()/180)+Tableau!$G$35</f>
        <v>-4477.3576836617322</v>
      </c>
      <c r="L639" s="35">
        <f>Tableau!$G$36*SIN(J639*PI()/180)+Tableau!$H$35</f>
        <v>-19972.609476841368</v>
      </c>
      <c r="N639" s="98">
        <v>635</v>
      </c>
      <c r="O639" s="99">
        <v>317.5</v>
      </c>
      <c r="P639" s="101">
        <f>P638+R638*Tableau!$G$2+((1/2)*T638)*Tableau!$G$2^2</f>
        <v>-21526811.688171074</v>
      </c>
      <c r="Q639" s="101">
        <f>Q638+S638*Tableau!$G$2+((1/2)*U638)*Tableau!$G$2^2</f>
        <v>10569051.471962385</v>
      </c>
      <c r="R639" s="101">
        <f>R638+T638*Tableau!$G$2</f>
        <v>-68698.048780371668</v>
      </c>
      <c r="S639" s="101">
        <f>S638+U638*Tableau!$G$2</f>
        <v>33800.652371246251</v>
      </c>
      <c r="T639" s="101">
        <f t="shared" si="18"/>
        <v>1.9141901325792927E-3</v>
      </c>
      <c r="U639" s="101">
        <f t="shared" si="19"/>
        <v>-9.3981665131728277E-4</v>
      </c>
      <c r="V639" s="101">
        <f>((Tableau!$G$16-P639)/(AC639^2+Tableau!$G$21^2)^(3/2))*Tableau!$G$20</f>
        <v>8.1650938023297909E-4</v>
      </c>
      <c r="W639" s="101">
        <f>((Tableau!$H$16-Q639)/(AC639^2+Tableau!$G$21^2)^(3/2))*Tableau!$G$20</f>
        <v>-4.0022653798960729E-4</v>
      </c>
      <c r="X639" s="101">
        <f>((Tableau!$G$25-P639)/(AD639^2+Tableau!$G$30^2)^(3/2))*Tableau!$G$29</f>
        <v>2.8084034239894473E-4</v>
      </c>
      <c r="Y639" s="101">
        <f>((Tableau!$H$25-Q639)/(AD639^2+Tableau!$G$30^2)^(3/2))*Tableau!$G$29</f>
        <v>-1.3788225208783485E-4</v>
      </c>
      <c r="Z639" s="101">
        <f>((Tableau!$G$35-P639)/(AE639^2+Tableau!$G$40^2)^(3/2))*Tableau!$G$39</f>
        <v>8.168404099473689E-4</v>
      </c>
      <c r="AA639" s="102">
        <f>((Tableau!$H$35-Q639)/(AE639^2+Tableau!$G$40^2)^(3/2))*Tableau!$G$39</f>
        <v>-4.0170786123984068E-4</v>
      </c>
      <c r="AC639" s="113">
        <f>SQRT((Tableau!$G$16-P639)^2+(Tableau!$H$16-Q639)^2)</f>
        <v>23996071.833123364</v>
      </c>
      <c r="AD639" s="114">
        <f>SQRT((Tableau!$G$25-P639)^2+(Tableau!$H$25-Q639)^2)</f>
        <v>23959059.18390793</v>
      </c>
      <c r="AE639" s="115">
        <f>SQRT((Tableau!$G$35-P639)^2+(Tableau!$H$35-Q639)^2)</f>
        <v>23983546.941648275</v>
      </c>
    </row>
    <row r="640" spans="2:31" x14ac:dyDescent="0.25">
      <c r="B640" s="20">
        <v>637</v>
      </c>
      <c r="C640" s="21">
        <f>Tableau!$G$17*COS(B640*PI()/180)+Tableau!$G$16</f>
        <v>20609.346717025732</v>
      </c>
      <c r="D640" s="21">
        <f>Tableau!$G$17*SIN(B640*PI()/180)+Tableau!$H$16</f>
        <v>2537.2692417933895</v>
      </c>
      <c r="F640" s="28">
        <v>637</v>
      </c>
      <c r="G640" s="29">
        <f>Tableau!$G$26*COS(F640*PI()/180)+Tableau!$G$25</f>
        <v>-19573.457298081987</v>
      </c>
      <c r="H640" s="29">
        <f>Tableau!$G$26*SIN(F640*PI()/180)+Tableau!$H$25</f>
        <v>6526.0884692553727</v>
      </c>
      <c r="J640" s="36">
        <v>637</v>
      </c>
      <c r="K640" s="37">
        <f>Tableau!$G$36*COS(J640*PI()/180)+Tableau!$G$35</f>
        <v>-4390.6532829742673</v>
      </c>
      <c r="L640" s="37">
        <f>Tableau!$G$36*SIN(J640*PI()/180)+Tableau!$H$35</f>
        <v>-19962.73075820661</v>
      </c>
      <c r="N640" s="92">
        <v>636</v>
      </c>
      <c r="O640" s="93">
        <v>318</v>
      </c>
      <c r="P640" s="96">
        <f>P639+R639*Tableau!$G$2+((1/2)*T639)*Tableau!$G$2^2</f>
        <v>-21561160.712321986</v>
      </c>
      <c r="Q640" s="96">
        <f>Q639+S639*Tableau!$G$2+((1/2)*U639)*Tableau!$G$2^2</f>
        <v>10585951.798030531</v>
      </c>
      <c r="R640" s="96">
        <f>R639+T639*Tableau!$G$2</f>
        <v>-68698.047823276604</v>
      </c>
      <c r="S640" s="96">
        <f>S639+U639*Tableau!$G$2</f>
        <v>33800.651901337922</v>
      </c>
      <c r="T640" s="96">
        <f t="shared" si="18"/>
        <v>1.908093221463261E-3</v>
      </c>
      <c r="U640" s="96">
        <f t="shared" si="19"/>
        <v>-9.3682640126735407E-4</v>
      </c>
      <c r="V640" s="96">
        <f>((Tableau!$G$16-P640)/(AC640^2+Tableau!$G$21^2)^(3/2))*Tableau!$G$20</f>
        <v>8.1390946069494674E-4</v>
      </c>
      <c r="W640" s="96">
        <f>((Tableau!$H$16-Q640)/(AC640^2+Tableau!$G$21^2)^(3/2))*Tableau!$G$20</f>
        <v>-3.9895453783477951E-4</v>
      </c>
      <c r="X640" s="96">
        <f>((Tableau!$G$25-P640)/(AD640^2+Tableau!$G$30^2)^(3/2))*Tableau!$G$29</f>
        <v>2.7994485510856215E-4</v>
      </c>
      <c r="Y640" s="96">
        <f>((Tableau!$H$25-Q640)/(AD640^2+Tableau!$G$30^2)^(3/2))*Tableau!$G$29</f>
        <v>-1.3744307158161737E-4</v>
      </c>
      <c r="Z640" s="96">
        <f>((Tableau!$G$35-P640)/(AE640^2+Tableau!$G$40^2)^(3/2))*Tableau!$G$39</f>
        <v>8.1423890565975217E-4</v>
      </c>
      <c r="AA640" s="97">
        <f>((Tableau!$H$35-Q640)/(AE640^2+Tableau!$G$40^2)^(3/2))*Tableau!$G$39</f>
        <v>-4.0042879185095718E-4</v>
      </c>
      <c r="AC640" s="110">
        <f>SQRT((Tableau!$G$16-P640)^2+(Tableau!$H$16-Q640)^2)</f>
        <v>24034353.332975809</v>
      </c>
      <c r="AD640" s="111">
        <f>SQRT((Tableau!$G$25-P640)^2+(Tableau!$H$25-Q640)^2)</f>
        <v>23997340.712427899</v>
      </c>
      <c r="AE640" s="112">
        <f>SQRT((Tableau!$G$35-P640)^2+(Tableau!$H$35-Q640)^2)</f>
        <v>24021828.483269557</v>
      </c>
    </row>
    <row r="641" spans="2:31" x14ac:dyDescent="0.25">
      <c r="B641" s="18">
        <v>638</v>
      </c>
      <c r="C641" s="19">
        <f>Tableau!$G$17*COS(B641*PI()/180)+Tableau!$G$16</f>
        <v>20695.865504800327</v>
      </c>
      <c r="D641" s="19">
        <f>Tableau!$G$17*SIN(B641*PI()/180)+Tableau!$H$16</f>
        <v>2548.6596562921486</v>
      </c>
      <c r="F641" s="26">
        <v>638</v>
      </c>
      <c r="G641" s="27">
        <f>Tableau!$G$26*COS(F641*PI()/180)+Tableau!$G$25</f>
        <v>-19512.89414663977</v>
      </c>
      <c r="H641" s="27">
        <f>Tableau!$G$26*SIN(F641*PI()/180)+Tableau!$H$25</f>
        <v>6534.0617594045034</v>
      </c>
      <c r="J641" s="34">
        <v>638</v>
      </c>
      <c r="K641" s="35">
        <f>Tableau!$G$36*COS(J641*PI()/180)+Tableau!$G$35</f>
        <v>-4304.1344951996743</v>
      </c>
      <c r="L641" s="35">
        <f>Tableau!$G$36*SIN(J641*PI()/180)+Tableau!$H$35</f>
        <v>-19951.340343707852</v>
      </c>
      <c r="N641" s="98">
        <v>637</v>
      </c>
      <c r="O641" s="99">
        <v>318.5</v>
      </c>
      <c r="P641" s="101">
        <f>P640+R640*Tableau!$G$2+((1/2)*T640)*Tableau!$G$2^2</f>
        <v>-21595509.735995114</v>
      </c>
      <c r="Q641" s="101">
        <f>Q640+S640*Tableau!$G$2+((1/2)*U640)*Tableau!$G$2^2</f>
        <v>10602852.123864098</v>
      </c>
      <c r="R641" s="101">
        <f>R640+T640*Tableau!$G$2</f>
        <v>-68698.046869229991</v>
      </c>
      <c r="S641" s="101">
        <f>S640+U640*Tableau!$G$2</f>
        <v>33800.651432924722</v>
      </c>
      <c r="T641" s="101">
        <f t="shared" si="18"/>
        <v>1.9020253931210332E-3</v>
      </c>
      <c r="U641" s="101">
        <f t="shared" si="19"/>
        <v>-9.3385039986488552E-4</v>
      </c>
      <c r="V641" s="101">
        <f>((Tableau!$G$16-P641)/(AC641^2+Tableau!$G$21^2)^(3/2))*Tableau!$G$20</f>
        <v>8.1132193938546074E-4</v>
      </c>
      <c r="W641" s="101">
        <f>((Tableau!$H$16-Q641)/(AC641^2+Tableau!$G$21^2)^(3/2))*Tableau!$G$20</f>
        <v>-3.9768859206176544E-4</v>
      </c>
      <c r="X641" s="101">
        <f>((Tableau!$G$25-P641)/(AD641^2+Tableau!$G$30^2)^(3/2))*Tableau!$G$29</f>
        <v>2.7905364403544929E-4</v>
      </c>
      <c r="Y641" s="101">
        <f>((Tableau!$H$25-Q641)/(AD641^2+Tableau!$G$30^2)^(3/2))*Tableau!$G$29</f>
        <v>-1.3700598604914435E-4</v>
      </c>
      <c r="Z641" s="101">
        <f>((Tableau!$G$35-P641)/(AE641^2+Tableau!$G$40^2)^(3/2))*Tableau!$G$39</f>
        <v>8.1164980970012315E-4</v>
      </c>
      <c r="AA641" s="102">
        <f>((Tableau!$H$35-Q641)/(AE641^2+Tableau!$G$40^2)^(3/2))*Tableau!$G$39</f>
        <v>-3.9915582175397573E-4</v>
      </c>
      <c r="AC641" s="113">
        <f>SQRT((Tableau!$G$16-P641)^2+(Tableau!$H$16-Q641)^2)</f>
        <v>24072634.832431015</v>
      </c>
      <c r="AD641" s="114">
        <f>SQRT((Tableau!$G$25-P641)^2+(Tableau!$H$25-Q641)^2)</f>
        <v>24035622.240459513</v>
      </c>
      <c r="AE641" s="115">
        <f>SQRT((Tableau!$G$35-P641)^2+(Tableau!$H$35-Q641)^2)</f>
        <v>24060110.024360761</v>
      </c>
    </row>
    <row r="642" spans="2:31" x14ac:dyDescent="0.25">
      <c r="B642" s="20">
        <v>639</v>
      </c>
      <c r="C642" s="21">
        <f>Tableau!$G$17*COS(B642*PI()/180)+Tableau!$G$16</f>
        <v>20782.172325201147</v>
      </c>
      <c r="D642" s="21">
        <f>Tableau!$G$17*SIN(B642*PI()/180)+Tableau!$H$16</f>
        <v>2561.5582970243104</v>
      </c>
      <c r="F642" s="28">
        <v>639</v>
      </c>
      <c r="G642" s="29">
        <f>Tableau!$G$26*COS(F642*PI()/180)+Tableau!$G$25</f>
        <v>-19452.479372359197</v>
      </c>
      <c r="H642" s="29">
        <f>Tableau!$G$26*SIN(F642*PI()/180)+Tableau!$H$25</f>
        <v>6543.0908079170176</v>
      </c>
      <c r="J642" s="36">
        <v>639</v>
      </c>
      <c r="K642" s="37">
        <f>Tableau!$G$36*COS(J642*PI()/180)+Tableau!$G$35</f>
        <v>-4217.8276747988521</v>
      </c>
      <c r="L642" s="37">
        <f>Tableau!$G$36*SIN(J642*PI()/180)+Tableau!$H$35</f>
        <v>-19938.441702975688</v>
      </c>
      <c r="N642" s="92">
        <v>638</v>
      </c>
      <c r="O642" s="93">
        <v>319</v>
      </c>
      <c r="P642" s="96">
        <f>P641+R641*Tableau!$G$2+((1/2)*T641)*Tableau!$G$2^2</f>
        <v>-21629858.759191979</v>
      </c>
      <c r="Q642" s="96">
        <f>Q641+S641*Tableau!$G$2+((1/2)*U641)*Tableau!$G$2^2</f>
        <v>10619752.449463828</v>
      </c>
      <c r="R642" s="96">
        <f>R641+T641*Tableau!$G$2</f>
        <v>-68698.045918217293</v>
      </c>
      <c r="S642" s="96">
        <f>S641+U641*Tableau!$G$2</f>
        <v>33800.650965999521</v>
      </c>
      <c r="T642" s="96">
        <f t="shared" si="18"/>
        <v>1.8959864628762865E-3</v>
      </c>
      <c r="U642" s="96">
        <f t="shared" si="19"/>
        <v>-9.3088855672624317E-4</v>
      </c>
      <c r="V642" s="96">
        <f>((Tableau!$G$16-P642)/(AC642^2+Tableau!$G$21^2)^(3/2))*Tableau!$G$20</f>
        <v>8.0874673759840363E-4</v>
      </c>
      <c r="W642" s="96">
        <f>((Tableau!$H$16-Q642)/(AC642^2+Tableau!$G$21^2)^(3/2))*Tableau!$G$20</f>
        <v>-3.9642866230850464E-4</v>
      </c>
      <c r="X642" s="96">
        <f>((Tableau!$G$25-P642)/(AD642^2+Tableau!$G$30^2)^(3/2))*Tableau!$G$29</f>
        <v>2.7816668199589172E-4</v>
      </c>
      <c r="Y642" s="96">
        <f>((Tableau!$H$25-Q642)/(AD642^2+Tableau!$G$30^2)^(3/2))*Tableau!$G$29</f>
        <v>-1.365709821869974E-4</v>
      </c>
      <c r="Z642" s="96">
        <f>((Tableau!$G$35-P642)/(AE642^2+Tableau!$G$40^2)^(3/2))*Tableau!$G$39</f>
        <v>8.0907304328199116E-4</v>
      </c>
      <c r="AA642" s="97">
        <f>((Tableau!$H$35-Q642)/(AE642^2+Tableau!$G$40^2)^(3/2))*Tableau!$G$39</f>
        <v>-3.9788891223074108E-4</v>
      </c>
      <c r="AC642" s="110">
        <f>SQRT((Tableau!$G$16-P642)^2+(Tableau!$H$16-Q642)^2)</f>
        <v>24110916.331490029</v>
      </c>
      <c r="AD642" s="111">
        <f>SQRT((Tableau!$G$25-P642)^2+(Tableau!$H$25-Q642)^2)</f>
        <v>24073903.768004265</v>
      </c>
      <c r="AE642" s="112">
        <f>SQRT((Tableau!$G$35-P642)^2+(Tableau!$H$35-Q642)^2)</f>
        <v>24098391.564923562</v>
      </c>
    </row>
    <row r="643" spans="2:31" x14ac:dyDescent="0.25">
      <c r="B643" s="18">
        <v>640</v>
      </c>
      <c r="C643" s="19">
        <f>Tableau!$G$17*COS(B643*PI()/180)+Tableau!$G$16</f>
        <v>20868.240888334647</v>
      </c>
      <c r="D643" s="19">
        <f>Tableau!$G$17*SIN(B643*PI()/180)+Tableau!$H$16</f>
        <v>2575.961234938959</v>
      </c>
      <c r="F643" s="26">
        <v>640</v>
      </c>
      <c r="G643" s="27">
        <f>Tableau!$G$26*COS(F643*PI()/180)+Tableau!$G$25</f>
        <v>-19392.231378165747</v>
      </c>
      <c r="H643" s="27">
        <f>Tableau!$G$26*SIN(F643*PI()/180)+Tableau!$H$25</f>
        <v>6553.1728644572713</v>
      </c>
      <c r="J643" s="34">
        <v>640</v>
      </c>
      <c r="K643" s="35">
        <f>Tableau!$G$36*COS(J643*PI()/180)+Tableau!$G$35</f>
        <v>-4131.7591116653512</v>
      </c>
      <c r="L643" s="35">
        <f>Tableau!$G$36*SIN(J643*PI()/180)+Tableau!$H$35</f>
        <v>-19924.038765061043</v>
      </c>
      <c r="N643" s="98">
        <v>639</v>
      </c>
      <c r="O643" s="99">
        <v>319.5</v>
      </c>
      <c r="P643" s="101">
        <f>P642+R642*Tableau!$G$2+((1/2)*T642)*Tableau!$G$2^2</f>
        <v>-21664207.781914089</v>
      </c>
      <c r="Q643" s="101">
        <f>Q642+S642*Tableau!$G$2+((1/2)*U642)*Tableau!$G$2^2</f>
        <v>10636652.774830466</v>
      </c>
      <c r="R643" s="101">
        <f>R642+T642*Tableau!$G$2</f>
        <v>-68698.044970224058</v>
      </c>
      <c r="S643" s="101">
        <f>S642+U642*Tableau!$G$2</f>
        <v>33800.650500555239</v>
      </c>
      <c r="T643" s="101">
        <f t="shared" si="18"/>
        <v>1.8899762475162471E-3</v>
      </c>
      <c r="U643" s="101">
        <f t="shared" si="19"/>
        <v>-9.2794078218332227E-4</v>
      </c>
      <c r="V643" s="101">
        <f>((Tableau!$G$16-P643)/(AC643^2+Tableau!$G$21^2)^(3/2))*Tableau!$G$20</f>
        <v>8.0618377725115767E-4</v>
      </c>
      <c r="W643" s="101">
        <f>((Tableau!$H$16-Q643)/(AC643^2+Tableau!$G$21^2)^(3/2))*Tableau!$G$20</f>
        <v>-3.9517471051626538E-4</v>
      </c>
      <c r="X643" s="101">
        <f>((Tableau!$G$25-P643)/(AD643^2+Tableau!$G$30^2)^(3/2))*Tableau!$G$29</f>
        <v>2.7728394202184407E-4</v>
      </c>
      <c r="Y643" s="101">
        <f>((Tableau!$H$25-Q643)/(AD643^2+Tableau!$G$30^2)^(3/2))*Tableau!$G$29</f>
        <v>-1.3613804679719164E-4</v>
      </c>
      <c r="Z643" s="101">
        <f>((Tableau!$G$35-P643)/(AE643^2+Tableau!$G$40^2)^(3/2))*Tableau!$G$39</f>
        <v>8.0650852824324542E-4</v>
      </c>
      <c r="AA643" s="102">
        <f>((Tableau!$H$35-Q643)/(AE643^2+Tableau!$G$40^2)^(3/2))*Tableau!$G$39</f>
        <v>-3.9662802486986528E-4</v>
      </c>
      <c r="AC643" s="113">
        <f>SQRT((Tableau!$G$16-P643)^2+(Tableau!$H$16-Q643)^2)</f>
        <v>24149197.830153897</v>
      </c>
      <c r="AD643" s="114">
        <f>SQRT((Tableau!$G$25-P643)^2+(Tableau!$H$25-Q643)^2)</f>
        <v>24112185.295063622</v>
      </c>
      <c r="AE643" s="115">
        <f>SQRT((Tableau!$G$35-P643)^2+(Tableau!$H$35-Q643)^2)</f>
        <v>24136673.104959626</v>
      </c>
    </row>
    <row r="644" spans="2:31" x14ac:dyDescent="0.25">
      <c r="B644" s="20">
        <v>641</v>
      </c>
      <c r="C644" s="21">
        <f>Tableau!$G$17*COS(B644*PI()/180)+Tableau!$G$16</f>
        <v>20954.044976882724</v>
      </c>
      <c r="D644" s="21">
        <f>Tableau!$G$17*SIN(B644*PI()/180)+Tableau!$H$16</f>
        <v>2591.86408276168</v>
      </c>
      <c r="F644" s="28">
        <v>641</v>
      </c>
      <c r="G644" s="29">
        <f>Tableau!$G$26*COS(F644*PI()/180)+Tableau!$G$25</f>
        <v>-19332.168516182093</v>
      </c>
      <c r="H644" s="29">
        <f>Tableau!$G$26*SIN(F644*PI()/180)+Tableau!$H$25</f>
        <v>6564.3048579331762</v>
      </c>
      <c r="J644" s="36">
        <v>641</v>
      </c>
      <c r="K644" s="37">
        <f>Tableau!$G$36*COS(J644*PI()/180)+Tableau!$G$35</f>
        <v>-4045.9550231172757</v>
      </c>
      <c r="L644" s="37">
        <f>Tableau!$G$36*SIN(J644*PI()/180)+Tableau!$H$35</f>
        <v>-19908.13591723832</v>
      </c>
      <c r="N644" s="92">
        <v>640</v>
      </c>
      <c r="O644" s="93">
        <v>320</v>
      </c>
      <c r="P644" s="96">
        <f>P643+R643*Tableau!$G$2+((1/2)*T643)*Tableau!$G$2^2</f>
        <v>-21698556.804162953</v>
      </c>
      <c r="Q644" s="96">
        <f>Q643+S643*Tableau!$G$2+((1/2)*U643)*Tableau!$G$2^2</f>
        <v>10653553.099964751</v>
      </c>
      <c r="R644" s="96">
        <f>R643+T643*Tableau!$G$2</f>
        <v>-68698.04402523594</v>
      </c>
      <c r="S644" s="96">
        <f>S643+U643*Tableau!$G$2</f>
        <v>33800.650036584848</v>
      </c>
      <c r="T644" s="96">
        <f t="shared" ref="T644:T707" si="20">V644+X644+Z644</f>
        <v>1.8839945652778132E-3</v>
      </c>
      <c r="U644" s="96">
        <f t="shared" ref="U644:U707" si="21">W644+Y644+AA644</f>
        <v>-9.2500698727676915E-4</v>
      </c>
      <c r="V644" s="96">
        <f>((Tableau!$G$16-P644)/(AC644^2+Tableau!$G$21^2)^(3/2))*Tableau!$G$20</f>
        <v>8.036329808788176E-4</v>
      </c>
      <c r="W644" s="96">
        <f>((Tableau!$H$16-Q644)/(AC644^2+Tableau!$G$21^2)^(3/2))*Tableau!$G$20</f>
        <v>-3.9392669892683433E-4</v>
      </c>
      <c r="X644" s="96">
        <f>((Tableau!$G$25-P644)/(AD644^2+Tableau!$G$30^2)^(3/2))*Tableau!$G$29</f>
        <v>2.7640539735887673E-4</v>
      </c>
      <c r="Y644" s="96">
        <f>((Tableau!$H$25-Q644)/(AD644^2+Tableau!$G$30^2)^(3/2))*Tableau!$G$29</f>
        <v>-1.357071667861727E-4</v>
      </c>
      <c r="Z644" s="96">
        <f>((Tableau!$G$35-P644)/(AE644^2+Tableau!$G$40^2)^(3/2))*Tableau!$G$39</f>
        <v>8.0395618704011873E-4</v>
      </c>
      <c r="AA644" s="97">
        <f>((Tableau!$H$35-Q644)/(AE644^2+Tableau!$G$40^2)^(3/2))*Tableau!$G$39</f>
        <v>-3.9537312156376217E-4</v>
      </c>
      <c r="AC644" s="110">
        <f>SQRT((Tableau!$G$16-P644)^2+(Tableau!$H$16-Q644)^2)</f>
        <v>24187479.328423664</v>
      </c>
      <c r="AD644" s="111">
        <f>SQRT((Tableau!$G$25-P644)^2+(Tableau!$H$25-Q644)^2)</f>
        <v>24150466.821639061</v>
      </c>
      <c r="AE644" s="112">
        <f>SQRT((Tableau!$G$35-P644)^2+(Tableau!$H$35-Q644)^2)</f>
        <v>24174954.644470632</v>
      </c>
    </row>
    <row r="645" spans="2:31" x14ac:dyDescent="0.25">
      <c r="B645" s="18">
        <v>642</v>
      </c>
      <c r="C645" s="19">
        <f>Tableau!$G$17*COS(B645*PI()/180)+Tableau!$G$16</f>
        <v>21039.55845408879</v>
      </c>
      <c r="D645" s="19">
        <f>Tableau!$G$17*SIN(B645*PI()/180)+Tableau!$H$16</f>
        <v>2609.2619963309708</v>
      </c>
      <c r="F645" s="26">
        <v>642</v>
      </c>
      <c r="G645" s="27">
        <f>Tableau!$G$26*COS(F645*PI()/180)+Tableau!$G$25</f>
        <v>-19272.309082137846</v>
      </c>
      <c r="H645" s="27">
        <f>Tableau!$G$26*SIN(F645*PI()/180)+Tableau!$H$25</f>
        <v>6576.4833974316798</v>
      </c>
      <c r="J645" s="34">
        <v>642</v>
      </c>
      <c r="K645" s="35">
        <f>Tableau!$G$36*COS(J645*PI()/180)+Tableau!$G$35</f>
        <v>-3960.4415459112083</v>
      </c>
      <c r="L645" s="35">
        <f>Tableau!$G$36*SIN(J645*PI()/180)+Tableau!$H$35</f>
        <v>-19890.73800366903</v>
      </c>
      <c r="N645" s="98">
        <v>641</v>
      </c>
      <c r="O645" s="99">
        <v>320.5</v>
      </c>
      <c r="P645" s="101">
        <f>P644+R644*Tableau!$G$2+((1/2)*T644)*Tableau!$G$2^2</f>
        <v>-21732905.825940073</v>
      </c>
      <c r="Q645" s="101">
        <f>Q644+S644*Tableau!$G$2+((1/2)*U644)*Tableau!$G$2^2</f>
        <v>10670453.424867418</v>
      </c>
      <c r="R645" s="101">
        <f>R644+T644*Tableau!$G$2</f>
        <v>-68698.043083238663</v>
      </c>
      <c r="S645" s="101">
        <f>S644+U644*Tableau!$G$2</f>
        <v>33800.649574081355</v>
      </c>
      <c r="T645" s="101">
        <f t="shared" si="20"/>
        <v>1.8780412358337729E-3</v>
      </c>
      <c r="U645" s="101">
        <f t="shared" si="21"/>
        <v>-9.220870837492516E-4</v>
      </c>
      <c r="V645" s="101">
        <f>((Tableau!$G$16-P645)/(AC645^2+Tableau!$G$21^2)^(3/2))*Tableau!$G$20</f>
        <v>8.0109427162821354E-4</v>
      </c>
      <c r="W645" s="101">
        <f>((Tableau!$H$16-Q645)/(AC645^2+Tableau!$G$21^2)^(3/2))*Tableau!$G$20</f>
        <v>-3.9268459007961421E-4</v>
      </c>
      <c r="X645" s="101">
        <f>((Tableau!$G$25-P645)/(AD645^2+Tableau!$G$30^2)^(3/2))*Tableau!$G$29</f>
        <v>2.7553102146413584E-4</v>
      </c>
      <c r="Y645" s="101">
        <f>((Tableau!$H$25-Q645)/(AD645^2+Tableau!$G$30^2)^(3/2))*Tableau!$G$29</f>
        <v>-1.3527832916382086E-4</v>
      </c>
      <c r="Z645" s="101">
        <f>((Tableau!$G$35-P645)/(AE645^2+Tableau!$G$40^2)^(3/2))*Tableau!$G$39</f>
        <v>8.0141594274142354E-4</v>
      </c>
      <c r="AA645" s="102">
        <f>((Tableau!$H$35-Q645)/(AE645^2+Tableau!$G$40^2)^(3/2))*Tableau!$G$39</f>
        <v>-3.9412416450581656E-4</v>
      </c>
      <c r="AC645" s="113">
        <f>SQRT((Tableau!$G$16-P645)^2+(Tableau!$H$16-Q645)^2)</f>
        <v>24225760.826300364</v>
      </c>
      <c r="AD645" s="114">
        <f>SQRT((Tableau!$G$25-P645)^2+(Tableau!$H$25-Q645)^2)</f>
        <v>24188748.347732045</v>
      </c>
      <c r="AE645" s="115">
        <f>SQRT((Tableau!$G$35-P645)^2+(Tableau!$H$35-Q645)^2)</f>
        <v>24213236.183458239</v>
      </c>
    </row>
    <row r="646" spans="2:31" x14ac:dyDescent="0.25">
      <c r="B646" s="20">
        <v>643</v>
      </c>
      <c r="C646" s="21">
        <f>Tableau!$G$17*COS(B646*PI()/180)+Tableau!$G$16</f>
        <v>21124.755271719325</v>
      </c>
      <c r="D646" s="21">
        <f>Tableau!$G$17*SIN(B646*PI()/180)+Tableau!$H$16</f>
        <v>2628.1496760738228</v>
      </c>
      <c r="F646" s="28">
        <v>643</v>
      </c>
      <c r="G646" s="29">
        <f>Tableau!$G$26*COS(F646*PI()/180)+Tableau!$G$25</f>
        <v>-19212.671309796475</v>
      </c>
      <c r="H646" s="29">
        <f>Tableau!$G$26*SIN(F646*PI()/180)+Tableau!$H$25</f>
        <v>6589.7047732516767</v>
      </c>
      <c r="J646" s="36">
        <v>643</v>
      </c>
      <c r="K646" s="37">
        <f>Tableau!$G$36*COS(J646*PI()/180)+Tableau!$G$35</f>
        <v>-3875.2447282806766</v>
      </c>
      <c r="L646" s="37">
        <f>Tableau!$G$36*SIN(J646*PI()/180)+Tableau!$H$35</f>
        <v>-19871.850323926177</v>
      </c>
      <c r="N646" s="92">
        <v>642</v>
      </c>
      <c r="O646" s="93">
        <v>321</v>
      </c>
      <c r="P646" s="96">
        <f>P645+R645*Tableau!$G$2+((1/2)*T645)*Tableau!$G$2^2</f>
        <v>-21767254.847246934</v>
      </c>
      <c r="Q646" s="96">
        <f>Q645+S645*Tableau!$G$2+((1/2)*U645)*Tableau!$G$2^2</f>
        <v>10687353.749539198</v>
      </c>
      <c r="R646" s="96">
        <f>R645+T645*Tableau!$G$2</f>
        <v>-68698.042144218038</v>
      </c>
      <c r="S646" s="96">
        <f>S645+U645*Tableau!$G$2</f>
        <v>33800.649113037813</v>
      </c>
      <c r="T646" s="96">
        <f t="shared" si="20"/>
        <v>1.8721160802792427E-3</v>
      </c>
      <c r="U646" s="96">
        <f t="shared" si="21"/>
        <v>-9.1918098403883362E-4</v>
      </c>
      <c r="V646" s="96">
        <f>((Tableau!$G$16-P646)/(AC646^2+Tableau!$G$21^2)^(3/2))*Tableau!$G$20</f>
        <v>7.9856757325218707E-4</v>
      </c>
      <c r="W646" s="96">
        <f>((Tableau!$H$16-Q646)/(AC646^2+Tableau!$G$21^2)^(3/2))*Tableau!$G$20</f>
        <v>-3.914483468088442E-4</v>
      </c>
      <c r="X646" s="96">
        <f>((Tableau!$G$25-P646)/(AD646^2+Tableau!$G$30^2)^(3/2))*Tableau!$G$29</f>
        <v>2.7466078800436215E-4</v>
      </c>
      <c r="Y646" s="96">
        <f>((Tableau!$H$25-Q646)/(AD646^2+Tableau!$G$30^2)^(3/2))*Tableau!$G$29</f>
        <v>-1.3485152104248332E-4</v>
      </c>
      <c r="Z646" s="96">
        <f>((Tableau!$G$35-P646)/(AE646^2+Tableau!$G$40^2)^(3/2))*Tableau!$G$39</f>
        <v>7.9888771902269346E-4</v>
      </c>
      <c r="AA646" s="97">
        <f>((Tableau!$H$35-Q646)/(AE646^2+Tableau!$G$40^2)^(3/2))*Tableau!$G$39</f>
        <v>-3.928811161875061E-4</v>
      </c>
      <c r="AC646" s="110">
        <f>SQRT((Tableau!$G$16-P646)^2+(Tableau!$H$16-Q646)^2)</f>
        <v>24264042.323785037</v>
      </c>
      <c r="AD646" s="111">
        <f>SQRT((Tableau!$G$25-P646)^2+(Tableau!$H$25-Q646)^2)</f>
        <v>24227029.87334403</v>
      </c>
      <c r="AE646" s="112">
        <f>SQRT((Tableau!$G$35-P646)^2+(Tableau!$H$35-Q646)^2)</f>
        <v>24251517.721924093</v>
      </c>
    </row>
    <row r="647" spans="2:31" x14ac:dyDescent="0.25">
      <c r="B647" s="18">
        <v>644</v>
      </c>
      <c r="C647" s="19">
        <f>Tableau!$G$17*COS(B647*PI()/180)+Tableau!$G$16</f>
        <v>21209.609477998332</v>
      </c>
      <c r="D647" s="19">
        <f>Tableau!$G$17*SIN(B647*PI()/180)+Tableau!$H$16</f>
        <v>2648.5213686200159</v>
      </c>
      <c r="F647" s="26">
        <v>644</v>
      </c>
      <c r="G647" s="27">
        <f>Tableau!$G$26*COS(F647*PI()/180)+Tableau!$G$25</f>
        <v>-19153.273365401168</v>
      </c>
      <c r="H647" s="27">
        <f>Tableau!$G$26*SIN(F647*PI()/180)+Tableau!$H$25</f>
        <v>6603.964958034011</v>
      </c>
      <c r="J647" s="34">
        <v>644</v>
      </c>
      <c r="K647" s="35">
        <f>Tableau!$G$36*COS(J647*PI()/180)+Tableau!$G$35</f>
        <v>-3790.3905220016686</v>
      </c>
      <c r="L647" s="35">
        <f>Tableau!$G$36*SIN(J647*PI()/180)+Tableau!$H$35</f>
        <v>-19851.478631379985</v>
      </c>
      <c r="N647" s="98">
        <v>643</v>
      </c>
      <c r="O647" s="99">
        <v>321.5</v>
      </c>
      <c r="P647" s="101">
        <f>P646+R646*Tableau!$G$2+((1/2)*T646)*Tableau!$G$2^2</f>
        <v>-21801603.868085027</v>
      </c>
      <c r="Q647" s="101">
        <f>Q646+S646*Tableau!$G$2+((1/2)*U646)*Tableau!$G$2^2</f>
        <v>10704254.073980819</v>
      </c>
      <c r="R647" s="101">
        <f>R646+T646*Tableau!$G$2</f>
        <v>-68698.041208159993</v>
      </c>
      <c r="S647" s="101">
        <f>S646+U646*Tableau!$G$2</f>
        <v>33800.648653447322</v>
      </c>
      <c r="T647" s="101">
        <f t="shared" si="20"/>
        <v>1.8662189211182318E-3</v>
      </c>
      <c r="U647" s="101">
        <f t="shared" si="21"/>
        <v>-9.1628860127241458E-4</v>
      </c>
      <c r="V647" s="101">
        <f>((Tableau!$G$16-P647)/(AC647^2+Tableau!$G$21^2)^(3/2))*Tableau!$G$20</f>
        <v>7.9605281010387905E-4</v>
      </c>
      <c r="W647" s="101">
        <f>((Tableau!$H$16-Q647)/(AC647^2+Tableau!$G$21^2)^(3/2))*Tableau!$G$20</f>
        <v>-3.9021793224082592E-4</v>
      </c>
      <c r="X647" s="101">
        <f>((Tableau!$G$25-P647)/(AD647^2+Tableau!$G$30^2)^(3/2))*Tableau!$G$29</f>
        <v>2.7379467085389436E-4</v>
      </c>
      <c r="Y647" s="101">
        <f>((Tableau!$H$25-Q647)/(AD647^2+Tableau!$G$30^2)^(3/2))*Tableau!$G$29</f>
        <v>-1.3442672963599907E-4</v>
      </c>
      <c r="Z647" s="101">
        <f>((Tableau!$G$35-P647)/(AE647^2+Tableau!$G$40^2)^(3/2))*Tableau!$G$39</f>
        <v>7.9637144016045846E-4</v>
      </c>
      <c r="AA647" s="102">
        <f>((Tableau!$H$35-Q647)/(AE647^2+Tableau!$G$40^2)^(3/2))*Tableau!$G$39</f>
        <v>-3.9164393939558964E-4</v>
      </c>
      <c r="AC647" s="113">
        <f>SQRT((Tableau!$G$16-P647)^2+(Tableau!$H$16-Q647)^2)</f>
        <v>24302323.820878707</v>
      </c>
      <c r="AD647" s="114">
        <f>SQRT((Tableau!$G$25-P647)^2+(Tableau!$H$25-Q647)^2)</f>
        <v>24265311.398476467</v>
      </c>
      <c r="AE647" s="115">
        <f>SQRT((Tableau!$G$35-P647)^2+(Tableau!$H$35-Q647)^2)</f>
        <v>24289799.25986984</v>
      </c>
    </row>
    <row r="648" spans="2:31" x14ac:dyDescent="0.25">
      <c r="B648" s="20">
        <v>645</v>
      </c>
      <c r="C648" s="21">
        <f>Tableau!$G$17*COS(B648*PI()/180)+Tableau!$G$16</f>
        <v>21294.095225512599</v>
      </c>
      <c r="D648" s="21">
        <f>Tableau!$G$17*SIN(B648*PI()/180)+Tableau!$H$16</f>
        <v>2670.370868554658</v>
      </c>
      <c r="F648" s="28">
        <v>645</v>
      </c>
      <c r="G648" s="29">
        <f>Tableau!$G$26*COS(F648*PI()/180)+Tableau!$G$25</f>
        <v>-19094.13334214118</v>
      </c>
      <c r="H648" s="29">
        <f>Tableau!$G$26*SIN(F648*PI()/180)+Tableau!$H$25</f>
        <v>6619.2596079882605</v>
      </c>
      <c r="J648" s="36">
        <v>645</v>
      </c>
      <c r="K648" s="37">
        <f>Tableau!$G$36*COS(J648*PI()/180)+Tableau!$G$35</f>
        <v>-3705.9047744873997</v>
      </c>
      <c r="L648" s="37">
        <f>Tableau!$G$36*SIN(J648*PI()/180)+Tableau!$H$35</f>
        <v>-19829.629131445341</v>
      </c>
      <c r="N648" s="92">
        <v>644</v>
      </c>
      <c r="O648" s="93">
        <v>322</v>
      </c>
      <c r="P648" s="96">
        <f>P647+R647*Tableau!$G$2+((1/2)*T647)*Tableau!$G$2^2</f>
        <v>-21835952.888455831</v>
      </c>
      <c r="Q648" s="96">
        <f>Q647+S647*Tableau!$G$2+((1/2)*U647)*Tableau!$G$2^2</f>
        <v>10721154.398193007</v>
      </c>
      <c r="R648" s="96">
        <f>R647+T647*Tableau!$G$2</f>
        <v>-68698.040275050531</v>
      </c>
      <c r="S648" s="96">
        <f>S647+U647*Tableau!$G$2</f>
        <v>33800.648195303023</v>
      </c>
      <c r="T648" s="96">
        <f t="shared" si="20"/>
        <v>1.8603495822503428E-3</v>
      </c>
      <c r="U648" s="96">
        <f t="shared" si="21"/>
        <v>-9.1340984925923413E-4</v>
      </c>
      <c r="V648" s="96">
        <f>((Tableau!$G$16-P648)/(AC648^2+Tableau!$G$21^2)^(3/2))*Tableau!$G$20</f>
        <v>7.9354990713102844E-4</v>
      </c>
      <c r="W648" s="96">
        <f>((Tableau!$H$16-Q648)/(AC648^2+Tableau!$G$21^2)^(3/2))*Tableau!$G$20</f>
        <v>-3.8899330979115542E-4</v>
      </c>
      <c r="X648" s="96">
        <f>((Tableau!$G$25-P648)/(AD648^2+Tableau!$G$30^2)^(3/2))*Tableau!$G$29</f>
        <v>2.7293264409270076E-4</v>
      </c>
      <c r="Y648" s="96">
        <f>((Tableau!$H$25-Q648)/(AD648^2+Tableau!$G$30^2)^(3/2))*Tableau!$G$29</f>
        <v>-1.3400394225873775E-4</v>
      </c>
      <c r="Z648" s="96">
        <f>((Tableau!$G$35-P648)/(AE648^2+Tableau!$G$40^2)^(3/2))*Tableau!$G$39</f>
        <v>7.9386703102661365E-4</v>
      </c>
      <c r="AA648" s="97">
        <f>((Tableau!$H$35-Q648)/(AE648^2+Tableau!$G$40^2)^(3/2))*Tableau!$G$39</f>
        <v>-3.9041259720934087E-4</v>
      </c>
      <c r="AC648" s="110">
        <f>SQRT((Tableau!$G$16-P648)^2+(Tableau!$H$16-Q648)^2)</f>
        <v>24340605.31758241</v>
      </c>
      <c r="AD648" s="111">
        <f>SQRT((Tableau!$G$25-P648)^2+(Tableau!$H$25-Q648)^2)</f>
        <v>24303592.923130807</v>
      </c>
      <c r="AE648" s="112">
        <f>SQRT((Tableau!$G$35-P648)^2+(Tableau!$H$35-Q648)^2)</f>
        <v>24328080.797297124</v>
      </c>
    </row>
    <row r="649" spans="2:31" x14ac:dyDescent="0.25">
      <c r="B649" s="18">
        <v>646</v>
      </c>
      <c r="C649" s="19">
        <f>Tableau!$G$17*COS(B649*PI()/180)+Tableau!$G$16</f>
        <v>21378.186779084997</v>
      </c>
      <c r="D649" s="19">
        <f>Tableau!$G$17*SIN(B649*PI()/180)+Tableau!$H$16</f>
        <v>2693.6915203084054</v>
      </c>
      <c r="F649" s="26">
        <v>646</v>
      </c>
      <c r="G649" s="27">
        <f>Tableau!$G$26*COS(F649*PI()/180)+Tableau!$G$25</f>
        <v>-19035.269254640501</v>
      </c>
      <c r="H649" s="27">
        <f>Tableau!$G$26*SIN(F649*PI()/180)+Tableau!$H$25</f>
        <v>6635.5840642158837</v>
      </c>
      <c r="J649" s="34">
        <v>646</v>
      </c>
      <c r="K649" s="35">
        <f>Tableau!$G$36*COS(J649*PI()/180)+Tableau!$G$35</f>
        <v>-3621.8132209150044</v>
      </c>
      <c r="L649" s="35">
        <f>Tableau!$G$36*SIN(J649*PI()/180)+Tableau!$H$35</f>
        <v>-19806.308479691594</v>
      </c>
      <c r="N649" s="98">
        <v>645</v>
      </c>
      <c r="O649" s="99">
        <v>322.5</v>
      </c>
      <c r="P649" s="101">
        <f>P648+R648*Tableau!$G$2+((1/2)*T648)*Tableau!$G$2^2</f>
        <v>-21870301.908360813</v>
      </c>
      <c r="Q649" s="101">
        <f>Q648+S648*Tableau!$G$2+((1/2)*U648)*Tableau!$G$2^2</f>
        <v>10738054.722176483</v>
      </c>
      <c r="R649" s="101">
        <f>R648+T648*Tableau!$G$2</f>
        <v>-68698.039344875739</v>
      </c>
      <c r="S649" s="101">
        <f>S648+U648*Tableau!$G$2</f>
        <v>33800.647738598098</v>
      </c>
      <c r="T649" s="101">
        <f t="shared" si="20"/>
        <v>1.8545078889575929E-3</v>
      </c>
      <c r="U649" s="101">
        <f t="shared" si="21"/>
        <v>-9.1054464248443425E-4</v>
      </c>
      <c r="V649" s="101">
        <f>((Tableau!$G$16-P649)/(AC649^2+Tableau!$G$21^2)^(3/2))*Tableau!$G$20</f>
        <v>7.9105878987037232E-4</v>
      </c>
      <c r="W649" s="101">
        <f>((Tableau!$H$16-Q649)/(AC649^2+Tableau!$G$21^2)^(3/2))*Tableau!$G$20</f>
        <v>-3.8777444316200261E-4</v>
      </c>
      <c r="X649" s="101">
        <f>((Tableau!$G$25-P649)/(AD649^2+Tableau!$G$30^2)^(3/2))*Tableau!$G$29</f>
        <v>2.7207468200446226E-4</v>
      </c>
      <c r="Y649" s="101">
        <f>((Tableau!$H$25-Q649)/(AD649^2+Tableau!$G$30^2)^(3/2))*Tableau!$G$29</f>
        <v>-1.3358314632466348E-4</v>
      </c>
      <c r="Z649" s="101">
        <f>((Tableau!$G$35-P649)/(AE649^2+Tableau!$G$40^2)^(3/2))*Tableau!$G$39</f>
        <v>7.9137441708275848E-4</v>
      </c>
      <c r="AA649" s="102">
        <f>((Tableau!$H$35-Q649)/(AE649^2+Tableau!$G$40^2)^(3/2))*Tableau!$G$39</f>
        <v>-3.8918705299776805E-4</v>
      </c>
      <c r="AC649" s="113">
        <f>SQRT((Tableau!$G$16-P649)^2+(Tableau!$H$16-Q649)^2)</f>
        <v>24378886.813897166</v>
      </c>
      <c r="AD649" s="114">
        <f>SQRT((Tableau!$G$25-P649)^2+(Tableau!$H$25-Q649)^2)</f>
        <v>24341874.447308477</v>
      </c>
      <c r="AE649" s="115">
        <f>SQRT((Tableau!$G$35-P649)^2+(Tableau!$H$35-Q649)^2)</f>
        <v>24366362.334207561</v>
      </c>
    </row>
    <row r="650" spans="2:31" x14ac:dyDescent="0.25">
      <c r="B650" s="20">
        <v>647</v>
      </c>
      <c r="C650" s="21">
        <f>Tableau!$G$17*COS(B650*PI()/180)+Tableau!$G$16</f>
        <v>21461.858523613686</v>
      </c>
      <c r="D650" s="21">
        <f>Tableau!$G$17*SIN(B650*PI()/180)+Tableau!$H$16</f>
        <v>2718.4762201848234</v>
      </c>
      <c r="F650" s="28">
        <v>647</v>
      </c>
      <c r="G650" s="29">
        <f>Tableau!$G$26*COS(F650*PI()/180)+Tableau!$G$25</f>
        <v>-18976.699033470421</v>
      </c>
      <c r="H650" s="29">
        <f>Tableau!$G$26*SIN(F650*PI()/180)+Tableau!$H$25</f>
        <v>6652.9333541293763</v>
      </c>
      <c r="J650" s="36">
        <v>647</v>
      </c>
      <c r="K650" s="37">
        <f>Tableau!$G$36*COS(J650*PI()/180)+Tableau!$G$35</f>
        <v>-3538.1414763863131</v>
      </c>
      <c r="L650" s="37">
        <f>Tableau!$G$36*SIN(J650*PI()/180)+Tableau!$H$35</f>
        <v>-19781.523779815176</v>
      </c>
      <c r="N650" s="92">
        <v>646</v>
      </c>
      <c r="O650" s="93">
        <v>323</v>
      </c>
      <c r="P650" s="96">
        <f>P649+R649*Tableau!$G$2+((1/2)*T649)*Tableau!$G$2^2</f>
        <v>-21904650.927801438</v>
      </c>
      <c r="Q650" s="96">
        <f>Q649+S649*Tableau!$G$2+((1/2)*U649)*Tableau!$G$2^2</f>
        <v>10754955.045931963</v>
      </c>
      <c r="R650" s="96">
        <f>R649+T649*Tableau!$G$2</f>
        <v>-68698.038417621792</v>
      </c>
      <c r="S650" s="96">
        <f>S649+U649*Tableau!$G$2</f>
        <v>33800.647283325779</v>
      </c>
      <c r="T650" s="96">
        <f t="shared" si="20"/>
        <v>1.848693667891452E-3</v>
      </c>
      <c r="U650" s="96">
        <f t="shared" si="21"/>
        <v>-9.0769289610272922E-4</v>
      </c>
      <c r="V650" s="96">
        <f>((Tableau!$G$16-P650)/(AC650^2+Tableau!$G$21^2)^(3/2))*Tableau!$G$20</f>
        <v>7.8857938444213424E-4</v>
      </c>
      <c r="W650" s="96">
        <f>((Tableau!$H$16-Q650)/(AC650^2+Tableau!$G$21^2)^(3/2))*Tableau!$G$20</f>
        <v>-3.8656129633943579E-4</v>
      </c>
      <c r="X650" s="96">
        <f>((Tableau!$G$25-P650)/(AD650^2+Tableau!$G$30^2)^(3/2))*Tableau!$G$29</f>
        <v>2.7122075907463059E-4</v>
      </c>
      <c r="Y650" s="96">
        <f>((Tableau!$H$25-Q650)/(AD650^2+Tableau!$G$30^2)^(3/2))*Tableau!$G$29</f>
        <v>-1.331643293463863E-4</v>
      </c>
      <c r="Z650" s="96">
        <f>((Tableau!$G$35-P650)/(AE650^2+Tableau!$G$40^2)^(3/2))*Tableau!$G$39</f>
        <v>7.8889352437468705E-4</v>
      </c>
      <c r="AA650" s="97">
        <f>((Tableau!$H$35-Q650)/(AE650^2+Tableau!$G$40^2)^(3/2))*Tableau!$G$39</f>
        <v>-3.879672704169071E-4</v>
      </c>
      <c r="AC650" s="110">
        <f>SQRT((Tableau!$G$16-P650)^2+(Tableau!$H$16-Q650)^2)</f>
        <v>24417168.30982399</v>
      </c>
      <c r="AD650" s="111">
        <f>SQRT((Tableau!$G$25-P650)^2+(Tableau!$H$25-Q650)^2)</f>
        <v>24380155.971010912</v>
      </c>
      <c r="AE650" s="112">
        <f>SQRT((Tableau!$G$35-P650)^2+(Tableau!$H$35-Q650)^2)</f>
        <v>24404643.870602779</v>
      </c>
    </row>
    <row r="651" spans="2:31" x14ac:dyDescent="0.25">
      <c r="B651" s="18">
        <v>648</v>
      </c>
      <c r="C651" s="19">
        <f>Tableau!$G$17*COS(B651*PI()/180)+Tableau!$G$16</f>
        <v>21545.084971874734</v>
      </c>
      <c r="D651" s="19">
        <f>Tableau!$G$17*SIN(B651*PI()/180)+Tableau!$H$16</f>
        <v>2744.7174185242311</v>
      </c>
      <c r="F651" s="26">
        <v>648</v>
      </c>
      <c r="G651" s="27">
        <f>Tableau!$G$26*COS(F651*PI()/180)+Tableau!$G$25</f>
        <v>-18918.440519687687</v>
      </c>
      <c r="H651" s="27">
        <f>Tableau!$G$26*SIN(F651*PI()/180)+Tableau!$H$25</f>
        <v>6671.3021929669612</v>
      </c>
      <c r="J651" s="34">
        <v>648</v>
      </c>
      <c r="K651" s="35">
        <f>Tableau!$G$36*COS(J651*PI()/180)+Tableau!$G$35</f>
        <v>-3454.9150281252651</v>
      </c>
      <c r="L651" s="35">
        <f>Tableau!$G$36*SIN(J651*PI()/180)+Tableau!$H$35</f>
        <v>-19755.282581475767</v>
      </c>
      <c r="N651" s="98">
        <v>647</v>
      </c>
      <c r="O651" s="99">
        <v>323.5</v>
      </c>
      <c r="P651" s="101">
        <f>P650+R650*Tableau!$G$2+((1/2)*T650)*Tableau!$G$2^2</f>
        <v>-21938999.946779162</v>
      </c>
      <c r="Q651" s="101">
        <f>Q650+S650*Tableau!$G$2+((1/2)*U650)*Tableau!$G$2^2</f>
        <v>10771855.369460166</v>
      </c>
      <c r="R651" s="101">
        <f>R650+T650*Tableau!$G$2</f>
        <v>-68698.037493274955</v>
      </c>
      <c r="S651" s="101">
        <f>S650+U650*Tableau!$G$2</f>
        <v>33800.64682947933</v>
      </c>
      <c r="T651" s="101">
        <f t="shared" si="20"/>
        <v>1.8429067470599921E-3</v>
      </c>
      <c r="U651" s="101">
        <f t="shared" si="21"/>
        <v>-9.0485452593212984E-4</v>
      </c>
      <c r="V651" s="101">
        <f>((Tableau!$G$16-P651)/(AC651^2+Tableau!$G$21^2)^(3/2))*Tableau!$G$20</f>
        <v>7.8611161754454787E-4</v>
      </c>
      <c r="W651" s="101">
        <f>((Tableau!$H$16-Q651)/(AC651^2+Tableau!$G$21^2)^(3/2))*Tableau!$G$20</f>
        <v>-3.853538335907611E-4</v>
      </c>
      <c r="X651" s="101">
        <f>((Tableau!$G$25-P651)/(AD651^2+Tableau!$G$30^2)^(3/2))*Tableau!$G$29</f>
        <v>2.7037084998855228E-4</v>
      </c>
      <c r="Y651" s="101">
        <f>((Tableau!$H$25-Q651)/(AD651^2+Tableau!$G$30^2)^(3/2))*Tableau!$G$29</f>
        <v>-1.3274747893424619E-4</v>
      </c>
      <c r="Z651" s="101">
        <f>((Tableau!$G$35-P651)/(AE651^2+Tableau!$G$40^2)^(3/2))*Tableau!$G$39</f>
        <v>7.8642427952689195E-4</v>
      </c>
      <c r="AA651" s="102">
        <f>((Tableau!$H$35-Q651)/(AE651^2+Tableau!$G$40^2)^(3/2))*Tableau!$G$39</f>
        <v>-3.8675321340712258E-4</v>
      </c>
      <c r="AC651" s="113">
        <f>SQRT((Tableau!$G$16-P651)^2+(Tableau!$H$16-Q651)^2)</f>
        <v>24455449.805363897</v>
      </c>
      <c r="AD651" s="114">
        <f>SQRT((Tableau!$G$25-P651)^2+(Tableau!$H$25-Q651)^2)</f>
        <v>24418437.494239543</v>
      </c>
      <c r="AE651" s="115">
        <f>SQRT((Tableau!$G$35-P651)^2+(Tableau!$H$35-Q651)^2)</f>
        <v>24442925.406484384</v>
      </c>
    </row>
    <row r="652" spans="2:31" x14ac:dyDescent="0.25">
      <c r="B652" s="20">
        <v>649</v>
      </c>
      <c r="C652" s="21">
        <f>Tableau!$G$17*COS(B652*PI()/180)+Tableau!$G$16</f>
        <v>21627.840772285785</v>
      </c>
      <c r="D652" s="21">
        <f>Tableau!$G$17*SIN(B652*PI()/180)+Tableau!$H$16</f>
        <v>2772.4071220034166</v>
      </c>
      <c r="F652" s="28">
        <v>649</v>
      </c>
      <c r="G652" s="29">
        <f>Tableau!$G$26*COS(F652*PI()/180)+Tableau!$G$25</f>
        <v>-18860.51145939995</v>
      </c>
      <c r="H652" s="29">
        <f>Tableau!$G$26*SIN(F652*PI()/180)+Tableau!$H$25</f>
        <v>6690.6849854023912</v>
      </c>
      <c r="J652" s="36">
        <v>649</v>
      </c>
      <c r="K652" s="37">
        <f>Tableau!$G$36*COS(J652*PI()/180)+Tableau!$G$35</f>
        <v>-3372.1592277142154</v>
      </c>
      <c r="L652" s="37">
        <f>Tableau!$G$36*SIN(J652*PI()/180)+Tableau!$H$35</f>
        <v>-19727.592877996583</v>
      </c>
      <c r="N652" s="92">
        <v>648</v>
      </c>
      <c r="O652" s="93">
        <v>324</v>
      </c>
      <c r="P652" s="96">
        <f>P651+R651*Tableau!$G$2+((1/2)*T651)*Tableau!$G$2^2</f>
        <v>-21973348.965295434</v>
      </c>
      <c r="Q652" s="96">
        <f>Q651+S651*Tableau!$G$2+((1/2)*U651)*Tableau!$G$2^2</f>
        <v>10788755.692761797</v>
      </c>
      <c r="R652" s="96">
        <f>R651+T651*Tableau!$G$2</f>
        <v>-68698.036571821576</v>
      </c>
      <c r="S652" s="96">
        <f>S651+U651*Tableau!$G$2</f>
        <v>33800.646377052064</v>
      </c>
      <c r="T652" s="96">
        <f t="shared" si="20"/>
        <v>1.8371469558150929E-3</v>
      </c>
      <c r="U652" s="96">
        <f t="shared" si="21"/>
        <v>-9.0202944844769233E-4</v>
      </c>
      <c r="V652" s="96">
        <f>((Tableau!$G$16-P652)/(AC652^2+Tableau!$G$21^2)^(3/2))*Tableau!$G$20</f>
        <v>7.8365541644840654E-4</v>
      </c>
      <c r="W652" s="96">
        <f>((Tableau!$H$16-Q652)/(AC652^2+Tableau!$G$21^2)^(3/2))*Tableau!$G$20</f>
        <v>-3.8415201946187598E-4</v>
      </c>
      <c r="X652" s="96">
        <f>((Tableau!$G$25-P652)/(AD652^2+Tableau!$G$30^2)^(3/2))*Tableau!$G$29</f>
        <v>2.6952492962957128E-4</v>
      </c>
      <c r="Y652" s="96">
        <f>((Tableau!$H$25-Q652)/(AD652^2+Tableau!$G$30^2)^(3/2))*Tableau!$G$29</f>
        <v>-1.323325827953862E-4</v>
      </c>
      <c r="Z652" s="96">
        <f>((Tableau!$G$35-P652)/(AE652^2+Tableau!$G$40^2)^(3/2))*Tableau!$G$39</f>
        <v>7.8396660973711516E-4</v>
      </c>
      <c r="AA652" s="97">
        <f>((Tableau!$H$35-Q652)/(AE652^2+Tableau!$G$40^2)^(3/2))*Tableau!$G$39</f>
        <v>-3.8554484619043015E-4</v>
      </c>
      <c r="AC652" s="110">
        <f>SQRT((Tableau!$G$16-P652)^2+(Tableau!$H$16-Q652)^2)</f>
        <v>24493731.300517902</v>
      </c>
      <c r="AD652" s="111">
        <f>SQRT((Tableau!$G$25-P652)^2+(Tableau!$H$25-Q652)^2)</f>
        <v>24456719.01699578</v>
      </c>
      <c r="AE652" s="112">
        <f>SQRT((Tableau!$G$35-P652)^2+(Tableau!$H$35-Q652)^2)</f>
        <v>24481206.941853989</v>
      </c>
    </row>
    <row r="653" spans="2:31" x14ac:dyDescent="0.25">
      <c r="B653" s="18">
        <v>650</v>
      </c>
      <c r="C653" s="19">
        <f>Tableau!$G$17*COS(B653*PI()/180)+Tableau!$G$16</f>
        <v>21710.100716628338</v>
      </c>
      <c r="D653" s="19">
        <f>Tableau!$G$17*SIN(B653*PI()/180)+Tableau!$H$16</f>
        <v>2801.5368960704564</v>
      </c>
      <c r="F653" s="26">
        <v>650</v>
      </c>
      <c r="G653" s="27">
        <f>Tableau!$G$26*COS(F653*PI()/180)+Tableau!$G$25</f>
        <v>-18802.929498360161</v>
      </c>
      <c r="H653" s="27">
        <f>Tableau!$G$26*SIN(F653*PI()/180)+Tableau!$H$25</f>
        <v>6711.0758272493204</v>
      </c>
      <c r="J653" s="34">
        <v>650</v>
      </c>
      <c r="K653" s="35">
        <f>Tableau!$G$36*COS(J653*PI()/180)+Tableau!$G$35</f>
        <v>-3289.8992833716602</v>
      </c>
      <c r="L653" s="35">
        <f>Tableau!$G$36*SIN(J653*PI()/180)+Tableau!$H$35</f>
        <v>-19698.463103929542</v>
      </c>
      <c r="N653" s="98">
        <v>649</v>
      </c>
      <c r="O653" s="99">
        <v>324.5</v>
      </c>
      <c r="P653" s="101">
        <f>P652+R652*Tableau!$G$2+((1/2)*T652)*Tableau!$G$2^2</f>
        <v>-22007697.983351704</v>
      </c>
      <c r="Q653" s="101">
        <f>Q652+S652*Tableau!$G$2+((1/2)*U652)*Tableau!$G$2^2</f>
        <v>10805656.015837571</v>
      </c>
      <c r="R653" s="101">
        <f>R652+T652*Tableau!$G$2</f>
        <v>-68698.035653248095</v>
      </c>
      <c r="S653" s="101">
        <f>S652+U652*Tableau!$G$2</f>
        <v>33800.645926037338</v>
      </c>
      <c r="T653" s="101">
        <f t="shared" si="20"/>
        <v>1.8314141248399621E-3</v>
      </c>
      <c r="U653" s="101">
        <f t="shared" si="21"/>
        <v>-8.9921758077542396E-4</v>
      </c>
      <c r="V653" s="101">
        <f>((Tableau!$G$16-P653)/(AC653^2+Tableau!$G$21^2)^(3/2))*Tableau!$G$20</f>
        <v>7.8121070899172097E-4</v>
      </c>
      <c r="W653" s="101">
        <f>((Tableau!$H$16-Q653)/(AC653^2+Tableau!$G$21^2)^(3/2))*Tableau!$G$20</f>
        <v>-3.8295581877467391E-4</v>
      </c>
      <c r="X653" s="101">
        <f>((Tableau!$G$25-P653)/(AD653^2+Tableau!$G$30^2)^(3/2))*Tableau!$G$29</f>
        <v>2.6868297307719371E-4</v>
      </c>
      <c r="Y653" s="101">
        <f>((Tableau!$H$25-Q653)/(AD653^2+Tableau!$G$30^2)^(3/2))*Tableau!$G$29</f>
        <v>-1.3191962873285631E-4</v>
      </c>
      <c r="Z653" s="101">
        <f>((Tableau!$G$35-P653)/(AE653^2+Tableau!$G$40^2)^(3/2))*Tableau!$G$39</f>
        <v>7.8152044277104743E-4</v>
      </c>
      <c r="AA653" s="102">
        <f>((Tableau!$H$35-Q653)/(AE653^2+Tableau!$G$40^2)^(3/2))*Tableau!$G$39</f>
        <v>-3.8434213326789371E-4</v>
      </c>
      <c r="AC653" s="113">
        <f>SQRT((Tableau!$G$16-P653)^2+(Tableau!$H$16-Q653)^2)</f>
        <v>24532012.795287013</v>
      </c>
      <c r="AD653" s="114">
        <f>SQRT((Tableau!$G$25-P653)^2+(Tableau!$H$25-Q653)^2)</f>
        <v>24495000.53928104</v>
      </c>
      <c r="AE653" s="115">
        <f>SQRT((Tableau!$G$35-P653)^2+(Tableau!$H$35-Q653)^2)</f>
        <v>24519488.476713192</v>
      </c>
    </row>
    <row r="654" spans="2:31" x14ac:dyDescent="0.25">
      <c r="B654" s="20">
        <v>651</v>
      </c>
      <c r="C654" s="21">
        <f>Tableau!$G$17*COS(B654*PI()/180)+Tableau!$G$16</f>
        <v>21791.839747726503</v>
      </c>
      <c r="D654" s="21">
        <f>Tableau!$G$17*SIN(B654*PI()/180)+Tableau!$H$16</f>
        <v>2832.0978675139904</v>
      </c>
      <c r="F654" s="28">
        <v>651</v>
      </c>
      <c r="G654" s="29">
        <f>Tableau!$G$26*COS(F654*PI()/180)+Tableau!$G$25</f>
        <v>-18745.712176591449</v>
      </c>
      <c r="H654" s="29">
        <f>Tableau!$G$26*SIN(F654*PI()/180)+Tableau!$H$25</f>
        <v>6732.4685072597931</v>
      </c>
      <c r="J654" s="36">
        <v>651</v>
      </c>
      <c r="K654" s="37">
        <f>Tableau!$G$36*COS(J654*PI()/180)+Tableau!$G$35</f>
        <v>-3208.1602522734993</v>
      </c>
      <c r="L654" s="37">
        <f>Tableau!$G$36*SIN(J654*PI()/180)+Tableau!$H$35</f>
        <v>-19667.902132486008</v>
      </c>
      <c r="N654" s="92">
        <v>650</v>
      </c>
      <c r="O654" s="93">
        <v>325</v>
      </c>
      <c r="P654" s="96">
        <f>P653+R653*Tableau!$G$2+((1/2)*T653)*Tableau!$G$2^2</f>
        <v>-22042047.000949401</v>
      </c>
      <c r="Q654" s="96">
        <f>Q653+S653*Tableau!$G$2+((1/2)*U653)*Tableau!$G$2^2</f>
        <v>10822556.338688187</v>
      </c>
      <c r="R654" s="96">
        <f>R653+T653*Tableau!$G$2</f>
        <v>-68698.034737541035</v>
      </c>
      <c r="S654" s="96">
        <f>S653+U653*Tableau!$G$2</f>
        <v>33800.645476428544</v>
      </c>
      <c r="T654" s="96">
        <f t="shared" si="20"/>
        <v>1.8257080861366099E-3</v>
      </c>
      <c r="U654" s="96">
        <f t="shared" si="21"/>
        <v>-8.9641884068616538E-4</v>
      </c>
      <c r="V654" s="96">
        <f>((Tableau!$G$16-P654)/(AC654^2+Tableau!$G$21^2)^(3/2))*Tableau!$G$20</f>
        <v>7.7877742357444367E-4</v>
      </c>
      <c r="W654" s="96">
        <f>((Tableau!$H$16-Q654)/(AC654^2+Tableau!$G$21^2)^(3/2))*Tableau!$G$20</f>
        <v>-3.8176519662448341E-4</v>
      </c>
      <c r="X654" s="96">
        <f>((Tableau!$G$25-P654)/(AD654^2+Tableau!$G$30^2)^(3/2))*Tableau!$G$29</f>
        <v>2.6784495560523372E-4</v>
      </c>
      <c r="Y654" s="96">
        <f>((Tableau!$H$25-Q654)/(AD654^2+Tableau!$G$30^2)^(3/2))*Tableau!$G$29</f>
        <v>-1.3150860464470772E-4</v>
      </c>
      <c r="Z654" s="96">
        <f>((Tableau!$G$35-P654)/(AE654^2+Tableau!$G$40^2)^(3/2))*Tableau!$G$39</f>
        <v>7.7908570695693256E-4</v>
      </c>
      <c r="AA654" s="97">
        <f>((Tableau!$H$35-Q654)/(AE654^2+Tableau!$G$40^2)^(3/2))*Tableau!$G$39</f>
        <v>-3.8314503941697423E-4</v>
      </c>
      <c r="AC654" s="110">
        <f>SQRT((Tableau!$G$16-P654)^2+(Tableau!$H$16-Q654)^2)</f>
        <v>24570294.289672233</v>
      </c>
      <c r="AD654" s="111">
        <f>SQRT((Tableau!$G$25-P654)^2+(Tableau!$H$25-Q654)^2)</f>
        <v>24533282.061096732</v>
      </c>
      <c r="AE654" s="112">
        <f>SQRT((Tableau!$G$35-P654)^2+(Tableau!$H$35-Q654)^2)</f>
        <v>24557770.011063576</v>
      </c>
    </row>
    <row r="655" spans="2:31" x14ac:dyDescent="0.25">
      <c r="B655" s="18">
        <v>652</v>
      </c>
      <c r="C655" s="19">
        <f>Tableau!$G$17*COS(B655*PI()/180)+Tableau!$G$16</f>
        <v>21873.032967079555</v>
      </c>
      <c r="D655" s="19">
        <f>Tableau!$G$17*SIN(B655*PI()/180)+Tableau!$H$16</f>
        <v>2864.0807271660606</v>
      </c>
      <c r="F655" s="26">
        <v>652</v>
      </c>
      <c r="G655" s="27">
        <f>Tableau!$G$26*COS(F655*PI()/180)+Tableau!$G$25</f>
        <v>-18688.87692304431</v>
      </c>
      <c r="H655" s="27">
        <f>Tableau!$G$26*SIN(F655*PI()/180)+Tableau!$H$25</f>
        <v>6754.8565090162429</v>
      </c>
      <c r="J655" s="34">
        <v>652</v>
      </c>
      <c r="K655" s="35">
        <f>Tableau!$G$36*COS(J655*PI()/180)+Tableau!$G$35</f>
        <v>-3126.9670329204455</v>
      </c>
      <c r="L655" s="35">
        <f>Tableau!$G$36*SIN(J655*PI()/180)+Tableau!$H$35</f>
        <v>-19635.91927283394</v>
      </c>
      <c r="N655" s="98">
        <v>651</v>
      </c>
      <c r="O655" s="99">
        <v>325.5</v>
      </c>
      <c r="P655" s="101">
        <f>P654+R654*Tableau!$G$2+((1/2)*T654)*Tableau!$G$2^2</f>
        <v>-22076396.018089958</v>
      </c>
      <c r="Q655" s="101">
        <f>Q654+S654*Tableau!$G$2+((1/2)*U654)*Tableau!$G$2^2</f>
        <v>10839456.661314348</v>
      </c>
      <c r="R655" s="101">
        <f>R654+T654*Tableau!$G$2</f>
        <v>-68698.033824686994</v>
      </c>
      <c r="S655" s="101">
        <f>S654+U654*Tableau!$G$2</f>
        <v>33800.645028219122</v>
      </c>
      <c r="T655" s="101">
        <f t="shared" si="20"/>
        <v>1.820028673013608E-3</v>
      </c>
      <c r="U655" s="101">
        <f t="shared" si="21"/>
        <v>-8.9363314658961058E-4</v>
      </c>
      <c r="V655" s="101">
        <f>((Tableau!$G$16-P655)/(AC655^2+Tableau!$G$21^2)^(3/2))*Tableau!$G$20</f>
        <v>7.7635548915319565E-4</v>
      </c>
      <c r="W655" s="101">
        <f>((Tableau!$H$16-Q655)/(AC655^2+Tableau!$G$21^2)^(3/2))*Tableau!$G$20</f>
        <v>-3.8058011837750544E-4</v>
      </c>
      <c r="X655" s="101">
        <f>((Tableau!$G$25-P655)/(AD655^2+Tableau!$G$30^2)^(3/2))*Tableau!$G$29</f>
        <v>2.670108526800214E-4</v>
      </c>
      <c r="Y655" s="101">
        <f>((Tableau!$H$25-Q655)/(AD655^2+Tableau!$G$30^2)^(3/2))*Tableau!$G$29</f>
        <v>-1.3109949852311762E-4</v>
      </c>
      <c r="Z655" s="101">
        <f>((Tableau!$G$35-P655)/(AE655^2+Tableau!$G$40^2)^(3/2))*Tableau!$G$39</f>
        <v>7.7666233118039096E-4</v>
      </c>
      <c r="AA655" s="102">
        <f>((Tableau!$H$35-Q655)/(AE655^2+Tableau!$G$40^2)^(3/2))*Tableau!$G$39</f>
        <v>-3.8195352968898753E-4</v>
      </c>
      <c r="AC655" s="113">
        <f>SQRT((Tableau!$G$16-P655)^2+(Tableau!$H$16-Q655)^2)</f>
        <v>24608575.78367456</v>
      </c>
      <c r="AD655" s="114">
        <f>SQRT((Tableau!$G$25-P655)^2+(Tableau!$H$25-Q655)^2)</f>
        <v>24571563.582444243</v>
      </c>
      <c r="AE655" s="115">
        <f>SQRT((Tableau!$G$35-P655)^2+(Tableau!$H$35-Q655)^2)</f>
        <v>24596051.544906728</v>
      </c>
    </row>
    <row r="656" spans="2:31" x14ac:dyDescent="0.25">
      <c r="B656" s="20">
        <v>653</v>
      </c>
      <c r="C656" s="21">
        <f>Tableau!$G$17*COS(B656*PI()/180)+Tableau!$G$16</f>
        <v>21953.655642446374</v>
      </c>
      <c r="D656" s="21">
        <f>Tableau!$G$17*SIN(B656*PI()/180)+Tableau!$H$16</f>
        <v>2897.4757327378011</v>
      </c>
      <c r="F656" s="28">
        <v>653</v>
      </c>
      <c r="G656" s="29">
        <f>Tableau!$G$26*COS(F656*PI()/180)+Tableau!$G$25</f>
        <v>-18632.44105028754</v>
      </c>
      <c r="H656" s="29">
        <f>Tableau!$G$26*SIN(F656*PI()/180)+Tableau!$H$25</f>
        <v>6778.2330129164602</v>
      </c>
      <c r="J656" s="36">
        <v>653</v>
      </c>
      <c r="K656" s="37">
        <f>Tableau!$G$36*COS(J656*PI()/180)+Tableau!$G$35</f>
        <v>-3046.3443575536257</v>
      </c>
      <c r="L656" s="37">
        <f>Tableau!$G$36*SIN(J656*PI()/180)+Tableau!$H$35</f>
        <v>-19602.524267262197</v>
      </c>
      <c r="N656" s="92">
        <v>652</v>
      </c>
      <c r="O656" s="93">
        <v>326</v>
      </c>
      <c r="P656" s="96">
        <f>P655+R655*Tableau!$G$2+((1/2)*T655)*Tableau!$G$2^2</f>
        <v>-22110745.034774799</v>
      </c>
      <c r="Q656" s="96">
        <f>Q655+S655*Tableau!$G$2+((1/2)*U655)*Tableau!$G$2^2</f>
        <v>10856356.983716752</v>
      </c>
      <c r="R656" s="96">
        <f>R655+T655*Tableau!$G$2</f>
        <v>-68698.032914672658</v>
      </c>
      <c r="S656" s="96">
        <f>S655+U655*Tableau!$G$2</f>
        <v>33800.64458140255</v>
      </c>
      <c r="T656" s="96">
        <f t="shared" si="20"/>
        <v>1.8143757200738161E-3</v>
      </c>
      <c r="U656" s="96">
        <f t="shared" si="21"/>
        <v>-8.9086041752831318E-4</v>
      </c>
      <c r="V656" s="96">
        <f>((Tableau!$G$16-P656)/(AC656^2+Tableau!$G$21^2)^(3/2))*Tableau!$G$20</f>
        <v>7.7394483523606005E-4</v>
      </c>
      <c r="W656" s="96">
        <f>((Tableau!$H$16-Q656)/(AC656^2+Tableau!$G$21^2)^(3/2))*Tableau!$G$20</f>
        <v>-3.7940054966828561E-4</v>
      </c>
      <c r="X656" s="96">
        <f>((Tableau!$G$25-P656)/(AD656^2+Tableau!$G$30^2)^(3/2))*Tableau!$G$29</f>
        <v>2.6618063995858019E-4</v>
      </c>
      <c r="Y656" s="96">
        <f>((Tableau!$H$25-Q656)/(AD656^2+Tableau!$G$30^2)^(3/2))*Tableau!$G$29</f>
        <v>-1.3069229845349907E-4</v>
      </c>
      <c r="Z656" s="96">
        <f>((Tableau!$G$35-P656)/(AE656^2+Tableau!$G$40^2)^(3/2))*Tableau!$G$39</f>
        <v>7.7425024487917605E-4</v>
      </c>
      <c r="AA656" s="97">
        <f>((Tableau!$H$35-Q656)/(AE656^2+Tableau!$G$40^2)^(3/2))*Tableau!$G$39</f>
        <v>-3.8076756940652845E-4</v>
      </c>
      <c r="AC656" s="110">
        <f>SQRT((Tableau!$G$16-P656)^2+(Tableau!$H$16-Q656)^2)</f>
        <v>24646857.277294993</v>
      </c>
      <c r="AD656" s="111">
        <f>SQRT((Tableau!$G$25-P656)^2+(Tableau!$H$25-Q656)^2)</f>
        <v>24609845.103324983</v>
      </c>
      <c r="AE656" s="112">
        <f>SQRT((Tableau!$G$35-P656)^2+(Tableau!$H$35-Q656)^2)</f>
        <v>24634333.078244228</v>
      </c>
    </row>
    <row r="657" spans="2:31" x14ac:dyDescent="0.25">
      <c r="B657" s="18">
        <v>654</v>
      </c>
      <c r="C657" s="19">
        <f>Tableau!$G$17*COS(B657*PI()/180)+Tableau!$G$16</f>
        <v>22033.683215379002</v>
      </c>
      <c r="D657" s="19">
        <f>Tableau!$G$17*SIN(B657*PI()/180)+Tableau!$H$16</f>
        <v>2932.2727117869954</v>
      </c>
      <c r="F657" s="26">
        <v>654</v>
      </c>
      <c r="G657" s="27">
        <f>Tableau!$G$26*COS(F657*PI()/180)+Tableau!$G$25</f>
        <v>-18576.421749234698</v>
      </c>
      <c r="H657" s="27">
        <f>Tableau!$G$26*SIN(F657*PI()/180)+Tableau!$H$25</f>
        <v>6802.5908982508972</v>
      </c>
      <c r="J657" s="34">
        <v>654</v>
      </c>
      <c r="K657" s="35">
        <f>Tableau!$G$36*COS(J657*PI()/180)+Tableau!$G$35</f>
        <v>-2966.3167846209981</v>
      </c>
      <c r="L657" s="35">
        <f>Tableau!$G$36*SIN(J657*PI()/180)+Tableau!$H$35</f>
        <v>-19567.727288213006</v>
      </c>
      <c r="N657" s="98">
        <v>653</v>
      </c>
      <c r="O657" s="99">
        <v>326.5</v>
      </c>
      <c r="P657" s="101">
        <f>P656+R656*Tableau!$G$2+((1/2)*T656)*Tableau!$G$2^2</f>
        <v>-22145094.051005341</v>
      </c>
      <c r="Q657" s="101">
        <f>Q656+S656*Tableau!$G$2+((1/2)*U656)*Tableau!$G$2^2</f>
        <v>10873257.305896096</v>
      </c>
      <c r="R657" s="101">
        <f>R656+T656*Tableau!$G$2</f>
        <v>-68698.032007484799</v>
      </c>
      <c r="S657" s="101">
        <f>S656+U656*Tableau!$G$2</f>
        <v>33800.644135972339</v>
      </c>
      <c r="T657" s="101">
        <f t="shared" si="20"/>
        <v>1.808749063202485E-3</v>
      </c>
      <c r="U657" s="101">
        <f t="shared" si="21"/>
        <v>-8.8810057317187374E-4</v>
      </c>
      <c r="V657" s="101">
        <f>((Tableau!$G$16-P657)/(AC657^2+Tableau!$G$21^2)^(3/2))*Tableau!$G$20</f>
        <v>7.7154539187753433E-4</v>
      </c>
      <c r="W657" s="101">
        <f>((Tableau!$H$16-Q657)/(AC657^2+Tableau!$G$21^2)^(3/2))*Tableau!$G$20</f>
        <v>-3.7822645639726211E-4</v>
      </c>
      <c r="X657" s="101">
        <f>((Tableau!$G$25-P657)/(AD657^2+Tableau!$G$30^2)^(3/2))*Tableau!$G$29</f>
        <v>2.6535429328687074E-4</v>
      </c>
      <c r="Y657" s="101">
        <f>((Tableau!$H$25-Q657)/(AD657^2+Tableau!$G$30^2)^(3/2))*Tableau!$G$29</f>
        <v>-1.3028699261364321E-4</v>
      </c>
      <c r="Z657" s="101">
        <f>((Tableau!$G$35-P657)/(AE657^2+Tableau!$G$40^2)^(3/2))*Tableau!$G$39</f>
        <v>7.7184937803808013E-4</v>
      </c>
      <c r="AA657" s="102">
        <f>((Tableau!$H$35-Q657)/(AE657^2+Tableau!$G$40^2)^(3/2))*Tableau!$G$39</f>
        <v>-3.7958712416096842E-4</v>
      </c>
      <c r="AC657" s="113">
        <f>SQRT((Tableau!$G$16-P657)^2+(Tableau!$H$16-Q657)^2)</f>
        <v>24685138.770534527</v>
      </c>
      <c r="AD657" s="114">
        <f>SQRT((Tableau!$G$25-P657)^2+(Tableau!$H$25-Q657)^2)</f>
        <v>24648126.62374033</v>
      </c>
      <c r="AE657" s="115">
        <f>SQRT((Tableau!$G$35-P657)^2+(Tableau!$H$35-Q657)^2)</f>
        <v>24672614.61107764</v>
      </c>
    </row>
    <row r="658" spans="2:31" x14ac:dyDescent="0.25">
      <c r="B658" s="20">
        <v>655</v>
      </c>
      <c r="C658" s="21">
        <f>Tableau!$G$17*COS(B658*PI()/180)+Tableau!$G$16</f>
        <v>22113.091308703493</v>
      </c>
      <c r="D658" s="21">
        <f>Tableau!$G$17*SIN(B658*PI()/180)+Tableau!$H$16</f>
        <v>2968.4610648167481</v>
      </c>
      <c r="F658" s="28">
        <v>655</v>
      </c>
      <c r="G658" s="29">
        <f>Tableau!$G$26*COS(F658*PI()/180)+Tableau!$G$25</f>
        <v>-18520.836083907554</v>
      </c>
      <c r="H658" s="29">
        <f>Tableau!$G$26*SIN(F658*PI()/180)+Tableau!$H$25</f>
        <v>6827.9227453717231</v>
      </c>
      <c r="J658" s="36">
        <v>655</v>
      </c>
      <c r="K658" s="37">
        <f>Tableau!$G$36*COS(J658*PI()/180)+Tableau!$G$35</f>
        <v>-2886.9086912965067</v>
      </c>
      <c r="L658" s="37">
        <f>Tableau!$G$36*SIN(J658*PI()/180)+Tableau!$H$35</f>
        <v>-19531.538935183253</v>
      </c>
      <c r="N658" s="92">
        <v>654</v>
      </c>
      <c r="O658" s="93">
        <v>327</v>
      </c>
      <c r="P658" s="96">
        <f>P657+R657*Tableau!$G$2+((1/2)*T657)*Tableau!$G$2^2</f>
        <v>-22179443.066782989</v>
      </c>
      <c r="Q658" s="96">
        <f>Q657+S657*Tableau!$G$2+((1/2)*U657)*Tableau!$G$2^2</f>
        <v>10890157.627853069</v>
      </c>
      <c r="R658" s="96">
        <f>R657+T657*Tableau!$G$2</f>
        <v>-68698.031103110261</v>
      </c>
      <c r="S658" s="96">
        <f>S657+U657*Tableau!$G$2</f>
        <v>33800.64369192205</v>
      </c>
      <c r="T658" s="96">
        <f t="shared" si="20"/>
        <v>1.8031485395552205E-3</v>
      </c>
      <c r="U658" s="96">
        <f t="shared" si="21"/>
        <v>-8.8535353381106172E-4</v>
      </c>
      <c r="V658" s="96">
        <f>((Tableau!$G$16-P658)/(AC658^2+Tableau!$G$21^2)^(3/2))*Tableau!$G$20</f>
        <v>7.6915708967337855E-4</v>
      </c>
      <c r="W658" s="96">
        <f>((Tableau!$H$16-Q658)/(AC658^2+Tableau!$G$21^2)^(3/2))*Tableau!$G$20</f>
        <v>-3.7705780472826333E-4</v>
      </c>
      <c r="X658" s="96">
        <f>((Tableau!$G$25-P658)/(AD658^2+Tableau!$G$30^2)^(3/2))*Tableau!$G$29</f>
        <v>2.645317886980199E-4</v>
      </c>
      <c r="Y658" s="96">
        <f>((Tableau!$H$25-Q658)/(AD658^2+Tableau!$G$30^2)^(3/2))*Tableau!$G$29</f>
        <v>-1.2988356927285424E-4</v>
      </c>
      <c r="Z658" s="96">
        <f>((Tableau!$G$35-P658)/(AE658^2+Tableau!$G$40^2)^(3/2))*Tableau!$G$39</f>
        <v>7.6945966118382211E-4</v>
      </c>
      <c r="AA658" s="97">
        <f>((Tableau!$H$35-Q658)/(AE658^2+Tableau!$G$40^2)^(3/2))*Tableau!$G$39</f>
        <v>-3.7841215980994426E-4</v>
      </c>
      <c r="AC658" s="110">
        <f>SQRT((Tableau!$G$16-P658)^2+(Tableau!$H$16-Q658)^2)</f>
        <v>24723420.26339414</v>
      </c>
      <c r="AD658" s="111">
        <f>SQRT((Tableau!$G$25-P658)^2+(Tableau!$H$25-Q658)^2)</f>
        <v>24686408.143691663</v>
      </c>
      <c r="AE658" s="112">
        <f>SQRT((Tableau!$G$35-P658)^2+(Tableau!$H$35-Q658)^2)</f>
        <v>24710896.143408522</v>
      </c>
    </row>
    <row r="659" spans="2:31" x14ac:dyDescent="0.25">
      <c r="B659" s="18">
        <v>656</v>
      </c>
      <c r="C659" s="19">
        <f>Tableau!$G$17*COS(B659*PI()/180)+Tableau!$G$16</f>
        <v>22191.855733945376</v>
      </c>
      <c r="D659" s="19">
        <f>Tableau!$G$17*SIN(B659*PI()/180)+Tableau!$H$16</f>
        <v>3006.0297685041605</v>
      </c>
      <c r="F659" s="26">
        <v>656</v>
      </c>
      <c r="G659" s="27">
        <f>Tableau!$G$26*COS(F659*PI()/180)+Tableau!$G$25</f>
        <v>-18465.700986238237</v>
      </c>
      <c r="H659" s="27">
        <f>Tableau!$G$26*SIN(F659*PI()/180)+Tableau!$H$25</f>
        <v>6854.2208379529129</v>
      </c>
      <c r="J659" s="34">
        <v>656</v>
      </c>
      <c r="K659" s="35">
        <f>Tableau!$G$36*COS(J659*PI()/180)+Tableau!$G$35</f>
        <v>-2808.1442660546222</v>
      </c>
      <c r="L659" s="35">
        <f>Tableau!$G$36*SIN(J659*PI()/180)+Tableau!$H$35</f>
        <v>-19493.970231495841</v>
      </c>
      <c r="N659" s="98">
        <v>655</v>
      </c>
      <c r="O659" s="99">
        <v>327.5</v>
      </c>
      <c r="P659" s="101">
        <f>P658+R658*Tableau!$G$2+((1/2)*T658)*Tableau!$G$2^2</f>
        <v>-22213792.08210915</v>
      </c>
      <c r="Q659" s="101">
        <f>Q658+S658*Tableau!$G$2+((1/2)*U658)*Tableau!$G$2^2</f>
        <v>10907057.949588362</v>
      </c>
      <c r="R659" s="101">
        <f>R658+T658*Tableau!$G$2</f>
        <v>-68698.030201535992</v>
      </c>
      <c r="S659" s="101">
        <f>S658+U658*Tableau!$G$2</f>
        <v>33800.64324924528</v>
      </c>
      <c r="T659" s="101">
        <f t="shared" si="20"/>
        <v>1.7975739875462212E-3</v>
      </c>
      <c r="U659" s="101">
        <f t="shared" si="21"/>
        <v>-8.8261922035207021E-4</v>
      </c>
      <c r="V659" s="101">
        <f>((Tableau!$G$16-P659)/(AC659^2+Tableau!$G$21^2)^(3/2))*Tableau!$G$20</f>
        <v>7.6677985975559808E-4</v>
      </c>
      <c r="W659" s="101">
        <f>((Tableau!$H$16-Q659)/(AC659^2+Tableau!$G$21^2)^(3/2))*Tableau!$G$20</f>
        <v>-3.7589456108607099E-4</v>
      </c>
      <c r="X659" s="101">
        <f>((Tableau!$G$25-P659)/(AD659^2+Tableau!$G$30^2)^(3/2))*Tableau!$G$29</f>
        <v>2.6371310241060392E-4</v>
      </c>
      <c r="Y659" s="101">
        <f>((Tableau!$H$25-Q659)/(AD659^2+Tableau!$G$30^2)^(3/2))*Tableau!$G$29</f>
        <v>-1.2948201679111092E-4</v>
      </c>
      <c r="Z659" s="101">
        <f>((Tableau!$G$35-P659)/(AE659^2+Tableau!$G$40^2)^(3/2))*Tableau!$G$39</f>
        <v>7.6708102538001934E-4</v>
      </c>
      <c r="AA659" s="102">
        <f>((Tableau!$H$35-Q659)/(AE659^2+Tableau!$G$40^2)^(3/2))*Tableau!$G$39</f>
        <v>-3.772426424748883E-4</v>
      </c>
      <c r="AC659" s="113">
        <f>SQRT((Tableau!$G$16-P659)^2+(Tableau!$H$16-Q659)^2)</f>
        <v>24761701.755874824</v>
      </c>
      <c r="AD659" s="114">
        <f>SQRT((Tableau!$G$25-P659)^2+(Tableau!$H$25-Q659)^2)</f>
        <v>24724689.663180359</v>
      </c>
      <c r="AE659" s="115">
        <f>SQRT((Tableau!$G$35-P659)^2+(Tableau!$H$35-Q659)^2)</f>
        <v>24749177.675238431</v>
      </c>
    </row>
    <row r="660" spans="2:31" x14ac:dyDescent="0.25">
      <c r="B660" s="20">
        <v>657</v>
      </c>
      <c r="C660" s="21">
        <f>Tableau!$G$17*COS(B660*PI()/180)+Tableau!$G$16</f>
        <v>22269.952498697734</v>
      </c>
      <c r="D660" s="21">
        <f>Tableau!$G$17*SIN(B660*PI()/180)+Tableau!$H$16</f>
        <v>3044.9673790581619</v>
      </c>
      <c r="F660" s="28">
        <v>657</v>
      </c>
      <c r="G660" s="29">
        <f>Tableau!$G$26*COS(F660*PI()/180)+Tableau!$G$25</f>
        <v>-18411.033250911583</v>
      </c>
      <c r="H660" s="29">
        <f>Tableau!$G$26*SIN(F660*PI()/180)+Tableau!$H$25</f>
        <v>6881.4771653407133</v>
      </c>
      <c r="J660" s="36">
        <v>657</v>
      </c>
      <c r="K660" s="37">
        <f>Tableau!$G$36*COS(J660*PI()/180)+Tableau!$G$35</f>
        <v>-2730.0475013022642</v>
      </c>
      <c r="L660" s="37">
        <f>Tableau!$G$36*SIN(J660*PI()/180)+Tableau!$H$35</f>
        <v>-19455.032620941838</v>
      </c>
      <c r="N660" s="92">
        <v>656</v>
      </c>
      <c r="O660" s="93">
        <v>328</v>
      </c>
      <c r="P660" s="96">
        <f>P659+R659*Tableau!$G$2+((1/2)*T659)*Tableau!$G$2^2</f>
        <v>-22248141.096985221</v>
      </c>
      <c r="Q660" s="96">
        <f>Q659+S659*Tableau!$G$2+((1/2)*U659)*Tableau!$G$2^2</f>
        <v>10923958.271102656</v>
      </c>
      <c r="R660" s="96">
        <f>R659+T659*Tableau!$G$2</f>
        <v>-68698.029302748997</v>
      </c>
      <c r="S660" s="96">
        <f>S659+U659*Tableau!$G$2</f>
        <v>33800.64280793567</v>
      </c>
      <c r="T660" s="96">
        <f t="shared" si="20"/>
        <v>1.7920252468367143E-3</v>
      </c>
      <c r="U660" s="96">
        <f t="shared" si="21"/>
        <v>-8.7989755431086493E-4</v>
      </c>
      <c r="V660" s="96">
        <f>((Tableau!$G$16-P660)/(AC660^2+Tableau!$G$21^2)^(3/2))*Tableau!$G$20</f>
        <v>7.6441363378755383E-4</v>
      </c>
      <c r="W660" s="96">
        <f>((Tableau!$H$16-Q660)/(AC660^2+Tableau!$G$21^2)^(3/2))*Tableau!$G$20</f>
        <v>-3.7473669215404461E-4</v>
      </c>
      <c r="X660" s="96">
        <f>((Tableau!$G$25-P660)/(AD660^2+Tableau!$G$30^2)^(3/2))*Tableau!$G$29</f>
        <v>2.6289821082689746E-4</v>
      </c>
      <c r="Y660" s="96">
        <f>((Tableau!$H$25-Q660)/(AD660^2+Tableau!$G$30^2)^(3/2))*Tableau!$G$29</f>
        <v>-1.2908232361821123E-4</v>
      </c>
      <c r="Z660" s="96">
        <f>((Tableau!$G$35-P660)/(AE660^2+Tableau!$G$40^2)^(3/2))*Tableau!$G$39</f>
        <v>7.6471340222226307E-4</v>
      </c>
      <c r="AA660" s="97">
        <f>((Tableau!$H$35-Q660)/(AE660^2+Tableau!$G$40^2)^(3/2))*Tableau!$G$39</f>
        <v>-3.7607853853860907E-4</v>
      </c>
      <c r="AC660" s="110">
        <f>SQRT((Tableau!$G$16-P660)^2+(Tableau!$H$16-Q660)^2)</f>
        <v>24799983.247977562</v>
      </c>
      <c r="AD660" s="111">
        <f>SQRT((Tableau!$G$25-P660)^2+(Tableau!$H$25-Q660)^2)</f>
        <v>24762971.182207789</v>
      </c>
      <c r="AE660" s="112">
        <f>SQRT((Tableau!$G$35-P660)^2+(Tableau!$H$35-Q660)^2)</f>
        <v>24787459.206568915</v>
      </c>
    </row>
    <row r="661" spans="2:31" x14ac:dyDescent="0.25">
      <c r="B661" s="18">
        <v>658</v>
      </c>
      <c r="C661" s="19">
        <f>Tableau!$G$17*COS(B661*PI()/180)+Tableau!$G$16</f>
        <v>22347.357813929451</v>
      </c>
      <c r="D661" s="19">
        <f>Tableau!$G$17*SIN(B661*PI()/180)+Tableau!$H$16</f>
        <v>3085.2620357053638</v>
      </c>
      <c r="F661" s="26">
        <v>658</v>
      </c>
      <c r="G661" s="27">
        <f>Tableau!$G$26*COS(F661*PI()/180)+Tableau!$G$25</f>
        <v>-18356.849530249383</v>
      </c>
      <c r="H661" s="27">
        <f>Tableau!$G$26*SIN(F661*PI()/180)+Tableau!$H$25</f>
        <v>6909.6834249937547</v>
      </c>
      <c r="J661" s="34">
        <v>658</v>
      </c>
      <c r="K661" s="35">
        <f>Tableau!$G$36*COS(J661*PI()/180)+Tableau!$G$35</f>
        <v>-2652.6421860705491</v>
      </c>
      <c r="L661" s="35">
        <f>Tableau!$G$36*SIN(J661*PI()/180)+Tableau!$H$35</f>
        <v>-19414.737964294636</v>
      </c>
      <c r="N661" s="98">
        <v>657</v>
      </c>
      <c r="O661" s="99">
        <v>328.5</v>
      </c>
      <c r="P661" s="101">
        <f>P660+R660*Tableau!$G$2+((1/2)*T660)*Tableau!$G$2^2</f>
        <v>-22282490.111412592</v>
      </c>
      <c r="Q661" s="101">
        <f>Q660+S660*Tableau!$G$2+((1/2)*U660)*Tableau!$G$2^2</f>
        <v>10940858.592396636</v>
      </c>
      <c r="R661" s="101">
        <f>R660+T660*Tableau!$G$2</f>
        <v>-68698.028406736368</v>
      </c>
      <c r="S661" s="101">
        <f>S660+U660*Tableau!$G$2</f>
        <v>33800.642367986889</v>
      </c>
      <c r="T661" s="101">
        <f t="shared" si="20"/>
        <v>1.7865021583232965E-3</v>
      </c>
      <c r="U661" s="101">
        <f t="shared" si="21"/>
        <v>-8.7718845780749199E-4</v>
      </c>
      <c r="V661" s="101">
        <f>((Tableau!$G$16-P661)/(AC661^2+Tableau!$G$21^2)^(3/2))*Tableau!$G$20</f>
        <v>7.6205834395895629E-4</v>
      </c>
      <c r="W661" s="101">
        <f>((Tableau!$H$16-Q661)/(AC661^2+Tableau!$G$21^2)^(3/2))*Tableau!$G$20</f>
        <v>-3.7358416487169029E-4</v>
      </c>
      <c r="X661" s="101">
        <f>((Tableau!$G$25-P661)/(AD661^2+Tableau!$G$30^2)^(3/2))*Tableau!$G$29</f>
        <v>2.6208709053120426E-4</v>
      </c>
      <c r="Y661" s="101">
        <f>((Tableau!$H$25-Q661)/(AD661^2+Tableau!$G$30^2)^(3/2))*Tableau!$G$29</f>
        <v>-1.2868447829295725E-4</v>
      </c>
      <c r="Z661" s="101">
        <f>((Tableau!$G$35-P661)/(AE661^2+Tableau!$G$40^2)^(3/2))*Tableau!$G$39</f>
        <v>7.6235672383313574E-4</v>
      </c>
      <c r="AA661" s="102">
        <f>((Tableau!$H$35-Q661)/(AE661^2+Tableau!$G$40^2)^(3/2))*Tableau!$G$39</f>
        <v>-3.7491981464284443E-4</v>
      </c>
      <c r="AC661" s="113">
        <f>SQRT((Tableau!$G$16-P661)^2+(Tableau!$H$16-Q661)^2)</f>
        <v>24838264.739703331</v>
      </c>
      <c r="AD661" s="114">
        <f>SQRT((Tableau!$G$25-P661)^2+(Tableau!$H$25-Q661)^2)</f>
        <v>24801252.700775314</v>
      </c>
      <c r="AE661" s="115">
        <f>SQRT((Tableau!$G$35-P661)^2+(Tableau!$H$35-Q661)^2)</f>
        <v>24825740.737401512</v>
      </c>
    </row>
    <row r="662" spans="2:31" x14ac:dyDescent="0.25">
      <c r="B662" s="20">
        <v>659</v>
      </c>
      <c r="C662" s="21">
        <f>Tableau!$G$17*COS(B662*PI()/180)+Tableau!$G$16</f>
        <v>22424.048101231678</v>
      </c>
      <c r="D662" s="21">
        <f>Tableau!$G$17*SIN(B662*PI()/180)+Tableau!$H$16</f>
        <v>3126.9014643030168</v>
      </c>
      <c r="F662" s="28">
        <v>659</v>
      </c>
      <c r="G662" s="29">
        <f>Tableau!$G$26*COS(F662*PI()/180)+Tableau!$G$25</f>
        <v>-18303.166329137825</v>
      </c>
      <c r="H662" s="29">
        <f>Tableau!$G$26*SIN(F662*PI()/180)+Tableau!$H$25</f>
        <v>6938.8310250121121</v>
      </c>
      <c r="J662" s="36">
        <v>659</v>
      </c>
      <c r="K662" s="37">
        <f>Tableau!$G$36*COS(J662*PI()/180)+Tableau!$G$35</f>
        <v>-2575.9518987683223</v>
      </c>
      <c r="L662" s="37">
        <f>Tableau!$G$36*SIN(J662*PI()/180)+Tableau!$H$35</f>
        <v>-19373.098535696983</v>
      </c>
      <c r="N662" s="92">
        <v>658</v>
      </c>
      <c r="O662" s="93">
        <v>329</v>
      </c>
      <c r="P662" s="96">
        <f>P661+R661*Tableau!$G$2+((1/2)*T661)*Tableau!$G$2^2</f>
        <v>-22316839.125392649</v>
      </c>
      <c r="Q662" s="96">
        <f>Q661+S661*Tableau!$G$2+((1/2)*U661)*Tableau!$G$2^2</f>
        <v>10957758.91347098</v>
      </c>
      <c r="R662" s="96">
        <f>R661+T661*Tableau!$G$2</f>
        <v>-68698.027513485285</v>
      </c>
      <c r="S662" s="96">
        <f>S661+U661*Tableau!$G$2</f>
        <v>33800.641929392659</v>
      </c>
      <c r="T662" s="96">
        <f t="shared" si="20"/>
        <v>1.781004564126632E-3</v>
      </c>
      <c r="U662" s="96">
        <f t="shared" si="21"/>
        <v>-8.744918535605557E-4</v>
      </c>
      <c r="V662" s="96">
        <f>((Tableau!$G$16-P662)/(AC662^2+Tableau!$G$21^2)^(3/2))*Tableau!$G$20</f>
        <v>7.5971392298108443E-4</v>
      </c>
      <c r="W662" s="96">
        <f>((Tableau!$H$16-Q662)/(AC662^2+Tableau!$G$21^2)^(3/2))*Tableau!$G$20</f>
        <v>-3.724369464323385E-4</v>
      </c>
      <c r="X662" s="96">
        <f>((Tableau!$G$25-P662)/(AD662^2+Tableau!$G$30^2)^(3/2))*Tableau!$G$29</f>
        <v>2.6127971828816159E-4</v>
      </c>
      <c r="Y662" s="96">
        <f>((Tableau!$H$25-Q662)/(AD662^2+Tableau!$G$30^2)^(3/2))*Tableau!$G$29</f>
        <v>-1.2828846944232662E-4</v>
      </c>
      <c r="Z662" s="96">
        <f>((Tableau!$G$35-P662)/(AE662^2+Tableau!$G$40^2)^(3/2))*Tableau!$G$39</f>
        <v>7.6001092285738598E-4</v>
      </c>
      <c r="AA662" s="97">
        <f>((Tableau!$H$35-Q662)/(AE662^2+Tableau!$G$40^2)^(3/2))*Tableau!$G$39</f>
        <v>-3.7376643768589055E-4</v>
      </c>
      <c r="AC662" s="110">
        <f>SQRT((Tableau!$G$16-P662)^2+(Tableau!$H$16-Q662)^2)</f>
        <v>24876546.231053106</v>
      </c>
      <c r="AD662" s="111">
        <f>SQRT((Tableau!$G$25-P662)^2+(Tableau!$H$25-Q662)^2)</f>
        <v>24839534.218884293</v>
      </c>
      <c r="AE662" s="112">
        <f>SQRT((Tableau!$G$35-P662)^2+(Tableau!$H$35-Q662)^2)</f>
        <v>24864022.267737757</v>
      </c>
    </row>
    <row r="663" spans="2:31" x14ac:dyDescent="0.25">
      <c r="B663" s="18">
        <v>660</v>
      </c>
      <c r="C663" s="19">
        <f>Tableau!$G$17*COS(B663*PI()/180)+Tableau!$G$16</f>
        <v>22499.999999999996</v>
      </c>
      <c r="D663" s="19">
        <f>Tableau!$G$17*SIN(B663*PI()/180)+Tableau!$H$16</f>
        <v>3169.8729810778041</v>
      </c>
      <c r="F663" s="26">
        <v>660</v>
      </c>
      <c r="G663" s="27">
        <f>Tableau!$G$26*COS(F663*PI()/180)+Tableau!$G$25</f>
        <v>-18250.000000000004</v>
      </c>
      <c r="H663" s="27">
        <f>Tableau!$G$26*SIN(F663*PI()/180)+Tableau!$H$25</f>
        <v>6968.9110867544623</v>
      </c>
      <c r="J663" s="34">
        <v>660</v>
      </c>
      <c r="K663" s="35">
        <f>Tableau!$G$36*COS(J663*PI()/180)+Tableau!$G$35</f>
        <v>-2500.0000000000045</v>
      </c>
      <c r="L663" s="35">
        <f>Tableau!$G$36*SIN(J663*PI()/180)+Tableau!$H$35</f>
        <v>-19330.127018922198</v>
      </c>
      <c r="N663" s="98">
        <v>659</v>
      </c>
      <c r="O663" s="99">
        <v>329.5</v>
      </c>
      <c r="P663" s="101">
        <f>P662+R662*Tableau!$G$2+((1/2)*T662)*Tableau!$G$2^2</f>
        <v>-22351188.138926763</v>
      </c>
      <c r="Q663" s="101">
        <f>Q662+S662*Tableau!$G$2+((1/2)*U662)*Tableau!$G$2^2</f>
        <v>10974659.234326364</v>
      </c>
      <c r="R663" s="101">
        <f>R662+T662*Tableau!$G$2</f>
        <v>-68698.026622983001</v>
      </c>
      <c r="S663" s="101">
        <f>S662+U662*Tableau!$G$2</f>
        <v>33800.641492146729</v>
      </c>
      <c r="T663" s="101">
        <f t="shared" si="20"/>
        <v>1.775532307580101E-3</v>
      </c>
      <c r="U663" s="101">
        <f t="shared" si="21"/>
        <v>-8.7180766488167277E-4</v>
      </c>
      <c r="V663" s="101">
        <f>((Tableau!$G$16-P663)/(AC663^2+Tableau!$G$21^2)^(3/2))*Tableau!$G$20</f>
        <v>7.5738030408191773E-4</v>
      </c>
      <c r="W663" s="101">
        <f>((Tableau!$H$16-Q663)/(AC663^2+Tableau!$G$21^2)^(3/2))*Tableau!$G$20</f>
        <v>-3.7129500428077848E-4</v>
      </c>
      <c r="X663" s="101">
        <f>((Tableau!$G$25-P663)/(AD663^2+Tableau!$G$30^2)^(3/2))*Tableau!$G$29</f>
        <v>2.6047607104106891E-4</v>
      </c>
      <c r="Y663" s="101">
        <f>((Tableau!$H$25-Q663)/(AD663^2+Tableau!$G$30^2)^(3/2))*Tableau!$G$29</f>
        <v>-1.278942857806565E-4</v>
      </c>
      <c r="Z663" s="101">
        <f>((Tableau!$G$35-P663)/(AE663^2+Tableau!$G$40^2)^(3/2))*Tableau!$G$39</f>
        <v>7.5767593245711421E-4</v>
      </c>
      <c r="AA663" s="102">
        <f>((Tableau!$H$35-Q663)/(AE663^2+Tableau!$G$40^2)^(3/2))*Tableau!$G$39</f>
        <v>-3.7261837482023774E-4</v>
      </c>
      <c r="AC663" s="113">
        <f>SQRT((Tableau!$G$16-P663)^2+(Tableau!$H$16-Q663)^2)</f>
        <v>24914827.722027849</v>
      </c>
      <c r="AD663" s="114">
        <f>SQRT((Tableau!$G$25-P663)^2+(Tableau!$H$25-Q663)^2)</f>
        <v>24877815.736536071</v>
      </c>
      <c r="AE663" s="115">
        <f>SQRT((Tableau!$G$35-P663)^2+(Tableau!$H$35-Q663)^2)</f>
        <v>24902303.797579169</v>
      </c>
    </row>
    <row r="664" spans="2:31" x14ac:dyDescent="0.25">
      <c r="B664" s="20">
        <v>661</v>
      </c>
      <c r="C664" s="21">
        <f>Tableau!$G$17*COS(B664*PI()/180)+Tableau!$G$16</f>
        <v>22575.190374550271</v>
      </c>
      <c r="D664" s="21">
        <f>Tableau!$G$17*SIN(B664*PI()/180)+Tableau!$H$16</f>
        <v>3214.1634964894374</v>
      </c>
      <c r="F664" s="28">
        <v>661</v>
      </c>
      <c r="G664" s="29">
        <f>Tableau!$G$26*COS(F664*PI()/180)+Tableau!$G$25</f>
        <v>-18197.366737814809</v>
      </c>
      <c r="H664" s="29">
        <f>Tableau!$G$26*SIN(F664*PI()/180)+Tableau!$H$25</f>
        <v>6999.9144475426065</v>
      </c>
      <c r="J664" s="36">
        <v>661</v>
      </c>
      <c r="K664" s="37">
        <f>Tableau!$G$36*COS(J664*PI()/180)+Tableau!$G$35</f>
        <v>-2424.8096254497304</v>
      </c>
      <c r="L664" s="37">
        <f>Tableau!$G$36*SIN(J664*PI()/180)+Tableau!$H$35</f>
        <v>-19285.836503510563</v>
      </c>
      <c r="N664" s="92">
        <v>660</v>
      </c>
      <c r="O664" s="93">
        <v>330</v>
      </c>
      <c r="P664" s="96">
        <f>P663+R663*Tableau!$G$2+((1/2)*T663)*Tableau!$G$2^2</f>
        <v>-22385537.152016312</v>
      </c>
      <c r="Q664" s="96">
        <f>Q663+S663*Tableau!$G$2+((1/2)*U663)*Tableau!$G$2^2</f>
        <v>10991559.554963462</v>
      </c>
      <c r="R664" s="96">
        <f>R663+T663*Tableau!$G$2</f>
        <v>-68698.025735216841</v>
      </c>
      <c r="S664" s="96">
        <f>S663+U663*Tableau!$G$2</f>
        <v>33800.641056242894</v>
      </c>
      <c r="T664" s="96">
        <f t="shared" si="20"/>
        <v>1.7700852332186703E-3</v>
      </c>
      <c r="U664" s="96">
        <f t="shared" si="21"/>
        <v>-8.6913581567003655E-4</v>
      </c>
      <c r="V664" s="96">
        <f>((Tableau!$G$16-P664)/(AC664^2+Tableau!$G$21^2)^(3/2))*Tableau!$G$20</f>
        <v>7.5505742100142931E-4</v>
      </c>
      <c r="W664" s="96">
        <f>((Tableau!$H$16-Q664)/(AC664^2+Tableau!$G$21^2)^(3/2))*Tableau!$G$20</f>
        <v>-3.7015830611097244E-4</v>
      </c>
      <c r="X664" s="96">
        <f>((Tableau!$G$25-P664)/(AD664^2+Tableau!$G$30^2)^(3/2))*Tableau!$G$29</f>
        <v>2.5967612591025577E-4</v>
      </c>
      <c r="Y664" s="96">
        <f>((Tableau!$H$25-Q664)/(AD664^2+Tableau!$G$30^2)^(3/2))*Tableau!$G$29</f>
        <v>-1.2750191610884609E-4</v>
      </c>
      <c r="Z664" s="96">
        <f>((Tableau!$G$35-P664)/(AE664^2+Tableau!$G$40^2)^(3/2))*Tableau!$G$39</f>
        <v>7.5535168630698512E-4</v>
      </c>
      <c r="AA664" s="97">
        <f>((Tableau!$H$35-Q664)/(AE664^2+Tableau!$G$40^2)^(3/2))*Tableau!$G$39</f>
        <v>-3.7147559345021797E-4</v>
      </c>
      <c r="AC664" s="110">
        <f>SQRT((Tableau!$G$16-P664)^2+(Tableau!$H$16-Q664)^2)</f>
        <v>24953109.21262854</v>
      </c>
      <c r="AD664" s="111">
        <f>SQRT((Tableau!$G$25-P664)^2+(Tableau!$H$25-Q664)^2)</f>
        <v>24916097.253732</v>
      </c>
      <c r="AE664" s="112">
        <f>SQRT((Tableau!$G$35-P664)^2+(Tableau!$H$35-Q664)^2)</f>
        <v>24940585.326927271</v>
      </c>
    </row>
    <row r="665" spans="2:31" x14ac:dyDescent="0.25">
      <c r="B665" s="18">
        <v>662</v>
      </c>
      <c r="C665" s="19">
        <f>Tableau!$G$17*COS(B665*PI()/180)+Tableau!$G$16</f>
        <v>22649.596321166027</v>
      </c>
      <c r="D665" s="19">
        <f>Tableau!$G$17*SIN(B665*PI()/180)+Tableau!$H$16</f>
        <v>3259.7595192178705</v>
      </c>
      <c r="F665" s="26">
        <v>662</v>
      </c>
      <c r="G665" s="27">
        <f>Tableau!$G$26*COS(F665*PI()/180)+Tableau!$G$25</f>
        <v>-18145.282575183781</v>
      </c>
      <c r="H665" s="27">
        <f>Tableau!$G$26*SIN(F665*PI()/180)+Tableau!$H$25</f>
        <v>7031.831663452509</v>
      </c>
      <c r="J665" s="34">
        <v>662</v>
      </c>
      <c r="K665" s="35">
        <f>Tableau!$G$36*COS(J665*PI()/180)+Tableau!$G$35</f>
        <v>-2350.403678833974</v>
      </c>
      <c r="L665" s="35">
        <f>Tableau!$G$36*SIN(J665*PI()/180)+Tableau!$H$35</f>
        <v>-19240.240480782129</v>
      </c>
      <c r="N665" s="98">
        <v>661</v>
      </c>
      <c r="O665" s="99">
        <v>330.5</v>
      </c>
      <c r="P665" s="101">
        <f>P664+R664*Tableau!$G$2+((1/2)*T664)*Tableau!$G$2^2</f>
        <v>-22419886.164662659</v>
      </c>
      <c r="Q665" s="101">
        <f>Q664+S664*Tableau!$G$2+((1/2)*U664)*Tableau!$G$2^2</f>
        <v>11008459.875382941</v>
      </c>
      <c r="R665" s="101">
        <f>R664+T664*Tableau!$G$2</f>
        <v>-68698.024850174217</v>
      </c>
      <c r="S665" s="101">
        <f>S664+U664*Tableau!$G$2</f>
        <v>33800.640621674989</v>
      </c>
      <c r="T665" s="101">
        <f t="shared" si="20"/>
        <v>1.7646631867678608E-3</v>
      </c>
      <c r="U665" s="101">
        <f t="shared" si="21"/>
        <v>-8.6647623040702715E-4</v>
      </c>
      <c r="V665" s="101">
        <f>((Tableau!$G$16-P665)/(AC665^2+Tableau!$G$21^2)^(3/2))*Tableau!$G$20</f>
        <v>7.5274520798685558E-4</v>
      </c>
      <c r="W665" s="101">
        <f>((Tableau!$H$16-Q665)/(AC665^2+Tableau!$G$21^2)^(3/2))*Tableau!$G$20</f>
        <v>-3.6902681986375718E-4</v>
      </c>
      <c r="X665" s="101">
        <f>((Tableau!$G$25-P665)/(AD665^2+Tableau!$G$30^2)^(3/2))*Tableau!$G$29</f>
        <v>2.5887986019144894E-4</v>
      </c>
      <c r="Y665" s="101">
        <f>((Tableau!$H$25-Q665)/(AD665^2+Tableau!$G$30^2)^(3/2))*Tableau!$G$29</f>
        <v>-1.2711134931355918E-4</v>
      </c>
      <c r="Z665" s="101">
        <f>((Tableau!$G$35-P665)/(AE665^2+Tableau!$G$40^2)^(3/2))*Tableau!$G$39</f>
        <v>7.530381185895564E-4</v>
      </c>
      <c r="AA665" s="102">
        <f>((Tableau!$H$35-Q665)/(AE665^2+Tableau!$G$40^2)^(3/2))*Tableau!$G$39</f>
        <v>-3.7033806122971076E-4</v>
      </c>
      <c r="AC665" s="113">
        <f>SQRT((Tableau!$G$16-P665)^2+(Tableau!$H$16-Q665)^2)</f>
        <v>24991390.702856135</v>
      </c>
      <c r="AD665" s="114">
        <f>SQRT((Tableau!$G$25-P665)^2+(Tableau!$H$25-Q665)^2)</f>
        <v>24954378.770473413</v>
      </c>
      <c r="AE665" s="115">
        <f>SQRT((Tableau!$G$35-P665)^2+(Tableau!$H$35-Q665)^2)</f>
        <v>24978866.855783574</v>
      </c>
    </row>
    <row r="666" spans="2:31" x14ac:dyDescent="0.25">
      <c r="B666" s="20">
        <v>663</v>
      </c>
      <c r="C666" s="21">
        <f>Tableau!$G$17*COS(B666*PI()/180)+Tableau!$G$16</f>
        <v>22723.195175075132</v>
      </c>
      <c r="D666" s="21">
        <f>Tableau!$G$17*SIN(B666*PI()/180)+Tableau!$H$16</f>
        <v>3306.647160272878</v>
      </c>
      <c r="F666" s="28">
        <v>663</v>
      </c>
      <c r="G666" s="29">
        <f>Tableau!$G$26*COS(F666*PI()/180)+Tableau!$G$25</f>
        <v>-18093.763377447409</v>
      </c>
      <c r="H666" s="29">
        <f>Tableau!$G$26*SIN(F666*PI()/180)+Tableau!$H$25</f>
        <v>7064.6530121910146</v>
      </c>
      <c r="J666" s="36">
        <v>663</v>
      </c>
      <c r="K666" s="37">
        <f>Tableau!$G$36*COS(J666*PI()/180)+Tableau!$G$35</f>
        <v>-2276.8048249248677</v>
      </c>
      <c r="L666" s="37">
        <f>Tableau!$G$36*SIN(J666*PI()/180)+Tableau!$H$35</f>
        <v>-19193.352839727122</v>
      </c>
      <c r="N666" s="92">
        <v>662</v>
      </c>
      <c r="O666" s="93">
        <v>331</v>
      </c>
      <c r="P666" s="96">
        <f>P665+R665*Tableau!$G$2+((1/2)*T665)*Tableau!$G$2^2</f>
        <v>-22454235.176867165</v>
      </c>
      <c r="Q666" s="96">
        <f>Q665+S665*Tableau!$G$2+((1/2)*U665)*Tableau!$G$2^2</f>
        <v>11025360.195585469</v>
      </c>
      <c r="R666" s="96">
        <f>R665+T665*Tableau!$G$2</f>
        <v>-68698.02396784263</v>
      </c>
      <c r="S666" s="96">
        <f>S665+U665*Tableau!$G$2</f>
        <v>33800.640188436875</v>
      </c>
      <c r="T666" s="96">
        <f t="shared" si="20"/>
        <v>1.7592660151327893E-3</v>
      </c>
      <c r="U666" s="96">
        <f t="shared" si="21"/>
        <v>-8.6382883415085849E-4</v>
      </c>
      <c r="V666" s="96">
        <f>((Tableau!$G$16-P666)/(AC666^2+Tableau!$G$21^2)^(3/2))*Tableau!$G$20</f>
        <v>7.5044359978806692E-4</v>
      </c>
      <c r="W666" s="96">
        <f>((Tableau!$H$16-Q666)/(AC666^2+Tableau!$G$21^2)^(3/2))*Tableau!$G$20</f>
        <v>-3.679005137245959E-4</v>
      </c>
      <c r="X666" s="96">
        <f>((Tableau!$G$25-P666)/(AD666^2+Tableau!$G$30^2)^(3/2))*Tableau!$G$29</f>
        <v>2.5808725135414707E-4</v>
      </c>
      <c r="Y666" s="96">
        <f>((Tableau!$H$25-Q666)/(AD666^2+Tableau!$G$30^2)^(3/2))*Tableau!$G$29</f>
        <v>-1.2672257436643019E-4</v>
      </c>
      <c r="Z666" s="96">
        <f>((Tableau!$G$35-P666)/(AE666^2+Tableau!$G$40^2)^(3/2))*Tableau!$G$39</f>
        <v>7.5073516399057523E-4</v>
      </c>
      <c r="AA666" s="97">
        <f>((Tableau!$H$35-Q666)/(AE666^2+Tableau!$G$40^2)^(3/2))*Tableau!$G$39</f>
        <v>-3.6920574605983246E-4</v>
      </c>
      <c r="AC666" s="110">
        <f>SQRT((Tableau!$G$16-P666)^2+(Tableau!$H$16-Q666)^2)</f>
        <v>25029672.192711595</v>
      </c>
      <c r="AD666" s="111">
        <f>SQRT((Tableau!$G$25-P666)^2+(Tableau!$H$25-Q666)^2)</f>
        <v>24992660.286761649</v>
      </c>
      <c r="AE666" s="112">
        <f>SQRT((Tableau!$G$35-P666)^2+(Tableau!$H$35-Q666)^2)</f>
        <v>25017148.384149585</v>
      </c>
    </row>
    <row r="667" spans="2:31" x14ac:dyDescent="0.25">
      <c r="B667" s="18">
        <v>664</v>
      </c>
      <c r="C667" s="19">
        <f>Tableau!$G$17*COS(B667*PI()/180)+Tableau!$G$16</f>
        <v>22795.964517353736</v>
      </c>
      <c r="D667" s="19">
        <f>Tableau!$G$17*SIN(B667*PI()/180)+Tableau!$H$16</f>
        <v>3354.8121372247915</v>
      </c>
      <c r="F667" s="26">
        <v>664</v>
      </c>
      <c r="G667" s="27">
        <f>Tableau!$G$26*COS(F667*PI()/180)+Tableau!$G$25</f>
        <v>-18042.824837852386</v>
      </c>
      <c r="H667" s="27">
        <f>Tableau!$G$26*SIN(F667*PI()/180)+Tableau!$H$25</f>
        <v>7098.3684960573537</v>
      </c>
      <c r="J667" s="34">
        <v>664</v>
      </c>
      <c r="K667" s="35">
        <f>Tableau!$G$36*COS(J667*PI()/180)+Tableau!$G$35</f>
        <v>-2204.0354826462662</v>
      </c>
      <c r="L667" s="35">
        <f>Tableau!$G$36*SIN(J667*PI()/180)+Tableau!$H$35</f>
        <v>-19145.187862775208</v>
      </c>
      <c r="N667" s="98">
        <v>663</v>
      </c>
      <c r="O667" s="99">
        <v>331.5</v>
      </c>
      <c r="P667" s="101">
        <f>P666+R666*Tableau!$G$2+((1/2)*T666)*Tableau!$G$2^2</f>
        <v>-22488584.188631177</v>
      </c>
      <c r="Q667" s="101">
        <f>Q666+S666*Tableau!$G$2+((1/2)*U666)*Tableau!$G$2^2</f>
        <v>11042260.515571708</v>
      </c>
      <c r="R667" s="101">
        <f>R666+T666*Tableau!$G$2</f>
        <v>-68698.023088209622</v>
      </c>
      <c r="S667" s="101">
        <f>S666+U666*Tableau!$G$2</f>
        <v>33800.639756522462</v>
      </c>
      <c r="T667" s="101">
        <f t="shared" si="20"/>
        <v>1.7538935663874125E-3</v>
      </c>
      <c r="U667" s="101">
        <f t="shared" si="21"/>
        <v>-8.6119355253132484E-4</v>
      </c>
      <c r="V667" s="101">
        <f>((Tableau!$G$16-P667)/(AC667^2+Tableau!$G$21^2)^(3/2))*Tableau!$G$20</f>
        <v>7.4815253165293671E-4</v>
      </c>
      <c r="W667" s="101">
        <f>((Tableau!$H$16-Q667)/(AC667^2+Tableau!$G$21^2)^(3/2))*Tableau!$G$20</f>
        <v>-3.667793561213276E-4</v>
      </c>
      <c r="X667" s="101">
        <f>((Tableau!$G$25-P667)/(AD667^2+Tableau!$G$30^2)^(3/2))*Tableau!$G$29</f>
        <v>2.5729827704005479E-4</v>
      </c>
      <c r="Y667" s="101">
        <f>((Tableau!$H$25-Q667)/(AD667^2+Tableau!$G$30^2)^(3/2))*Tableau!$G$29</f>
        <v>-1.2633558032329933E-4</v>
      </c>
      <c r="Z667" s="101">
        <f>((Tableau!$G$35-P667)/(AE667^2+Tableau!$G$40^2)^(3/2))*Tableau!$G$39</f>
        <v>7.4844275769442119E-4</v>
      </c>
      <c r="AA667" s="102">
        <f>((Tableau!$H$35-Q667)/(AE667^2+Tableau!$G$40^2)^(3/2))*Tableau!$G$39</f>
        <v>-3.6807861608669792E-4</v>
      </c>
      <c r="AC667" s="113">
        <f>SQRT((Tableau!$G$16-P667)^2+(Tableau!$H$16-Q667)^2)</f>
        <v>25067953.68219588</v>
      </c>
      <c r="AD667" s="114">
        <f>SQRT((Tableau!$G$25-P667)^2+(Tableau!$H$25-Q667)^2)</f>
        <v>25030941.802598029</v>
      </c>
      <c r="AE667" s="115">
        <f>SQRT((Tableau!$G$35-P667)^2+(Tableau!$H$35-Q667)^2)</f>
        <v>25055429.912026793</v>
      </c>
    </row>
    <row r="668" spans="2:31" x14ac:dyDescent="0.25">
      <c r="B668" s="20">
        <v>665</v>
      </c>
      <c r="C668" s="21">
        <f>Tableau!$G$17*COS(B668*PI()/180)+Tableau!$G$16</f>
        <v>22867.882181755234</v>
      </c>
      <c r="D668" s="21">
        <f>Tableau!$G$17*SIN(B668*PI()/180)+Tableau!$H$16</f>
        <v>3404.2397785550424</v>
      </c>
      <c r="F668" s="28">
        <v>665</v>
      </c>
      <c r="G668" s="29">
        <f>Tableau!$G$26*COS(F668*PI()/180)+Tableau!$G$25</f>
        <v>-17992.482472771339</v>
      </c>
      <c r="H668" s="29">
        <f>Tableau!$G$26*SIN(F668*PI()/180)+Tableau!$H$25</f>
        <v>7132.9678449885305</v>
      </c>
      <c r="J668" s="36">
        <v>665</v>
      </c>
      <c r="K668" s="37">
        <f>Tableau!$G$36*COS(J668*PI()/180)+Tableau!$G$35</f>
        <v>-2132.117818244767</v>
      </c>
      <c r="L668" s="37">
        <f>Tableau!$G$36*SIN(J668*PI()/180)+Tableau!$H$35</f>
        <v>-19095.760221444958</v>
      </c>
      <c r="N668" s="92">
        <v>664</v>
      </c>
      <c r="O668" s="93">
        <v>332</v>
      </c>
      <c r="P668" s="96">
        <f>P667+R667*Tableau!$G$2+((1/2)*T667)*Tableau!$G$2^2</f>
        <v>-22522933.199956045</v>
      </c>
      <c r="Q668" s="96">
        <f>Q667+S667*Tableau!$G$2+((1/2)*U667)*Tableau!$G$2^2</f>
        <v>11059160.83534232</v>
      </c>
      <c r="R668" s="96">
        <f>R667+T667*Tableau!$G$2</f>
        <v>-68698.02221126284</v>
      </c>
      <c r="S668" s="96">
        <f>S667+U667*Tableau!$G$2</f>
        <v>33800.639325925687</v>
      </c>
      <c r="T668" s="96">
        <f t="shared" si="20"/>
        <v>1.7485456897637739E-3</v>
      </c>
      <c r="U668" s="96">
        <f t="shared" si="21"/>
        <v>-8.5857031174454545E-4</v>
      </c>
      <c r="V668" s="96">
        <f>((Tableau!$G$16-P668)/(AC668^2+Tableau!$G$21^2)^(3/2))*Tableau!$G$20</f>
        <v>7.4587193932278248E-4</v>
      </c>
      <c r="W668" s="96">
        <f>((Tableau!$H$16-Q668)/(AC668^2+Tableau!$G$21^2)^(3/2))*Tableau!$G$20</f>
        <v>-3.6566331572195272E-4</v>
      </c>
      <c r="X668" s="96">
        <f>((Tableau!$G$25-P668)/(AD668^2+Tableau!$G$30^2)^(3/2))*Tableau!$G$29</f>
        <v>2.5651291506148061E-4</v>
      </c>
      <c r="Y668" s="96">
        <f>((Tableau!$H$25-Q668)/(AD668^2+Tableau!$G$30^2)^(3/2))*Tableau!$G$29</f>
        <v>-1.259503563234298E-4</v>
      </c>
      <c r="Z668" s="96">
        <f>((Tableau!$G$35-P668)/(AE668^2+Tableau!$G$40^2)^(3/2))*Tableau!$G$39</f>
        <v>7.4616083537951084E-4</v>
      </c>
      <c r="AA668" s="97">
        <f>((Tableau!$H$35-Q668)/(AE668^2+Tableau!$G$40^2)^(3/2))*Tableau!$G$39</f>
        <v>-3.6695663969916282E-4</v>
      </c>
      <c r="AC668" s="110">
        <f>SQRT((Tableau!$G$16-P668)^2+(Tableau!$H$16-Q668)^2)</f>
        <v>25106235.171309929</v>
      </c>
      <c r="AD668" s="111">
        <f>SQRT((Tableau!$G$25-P668)^2+(Tableau!$H$25-Q668)^2)</f>
        <v>25069223.317983877</v>
      </c>
      <c r="AE668" s="112">
        <f>SQRT((Tableau!$G$35-P668)^2+(Tableau!$H$35-Q668)^2)</f>
        <v>25093711.439416695</v>
      </c>
    </row>
    <row r="669" spans="2:31" x14ac:dyDescent="0.25">
      <c r="B669" s="18">
        <v>666</v>
      </c>
      <c r="C669" s="19">
        <f>Tableau!$G$17*COS(B669*PI()/180)+Tableau!$G$16</f>
        <v>22938.926261462366</v>
      </c>
      <c r="D669" s="19">
        <f>Tableau!$G$17*SIN(B669*PI()/180)+Tableau!$H$16</f>
        <v>3454.9150281252614</v>
      </c>
      <c r="F669" s="26">
        <v>666</v>
      </c>
      <c r="G669" s="27">
        <f>Tableau!$G$26*COS(F669*PI()/180)+Tableau!$G$25</f>
        <v>-17942.751616976344</v>
      </c>
      <c r="H669" s="27">
        <f>Tableau!$G$26*SIN(F669*PI()/180)+Tableau!$H$25</f>
        <v>7168.4405196876833</v>
      </c>
      <c r="J669" s="34">
        <v>666</v>
      </c>
      <c r="K669" s="35">
        <f>Tableau!$G$36*COS(J669*PI()/180)+Tableau!$G$35</f>
        <v>-2061.073738537636</v>
      </c>
      <c r="L669" s="35">
        <f>Tableau!$G$36*SIN(J669*PI()/180)+Tableau!$H$35</f>
        <v>-19045.084971874738</v>
      </c>
      <c r="N669" s="98">
        <v>665</v>
      </c>
      <c r="O669" s="99">
        <v>332.5</v>
      </c>
      <c r="P669" s="101">
        <f>P668+R668*Tableau!$G$2+((1/2)*T668)*Tableau!$G$2^2</f>
        <v>-22557282.210843109</v>
      </c>
      <c r="Q669" s="101">
        <f>Q668+S668*Tableau!$G$2+((1/2)*U668)*Tableau!$G$2^2</f>
        <v>11076061.15489796</v>
      </c>
      <c r="R669" s="101">
        <f>R668+T668*Tableau!$G$2</f>
        <v>-68698.021336990001</v>
      </c>
      <c r="S669" s="101">
        <f>S668+U668*Tableau!$G$2</f>
        <v>33800.638896640528</v>
      </c>
      <c r="T669" s="101">
        <f t="shared" si="20"/>
        <v>1.7432222356414582E-3</v>
      </c>
      <c r="U669" s="101">
        <f t="shared" si="21"/>
        <v>-8.5595903854781478E-4</v>
      </c>
      <c r="V669" s="101">
        <f>((Tableau!$G$16-P669)/(AC669^2+Tableau!$G$21^2)^(3/2))*Tableau!$G$20</f>
        <v>7.4360175902791537E-4</v>
      </c>
      <c r="W669" s="101">
        <f>((Tableau!$H$16-Q669)/(AC669^2+Tableau!$G$21^2)^(3/2))*Tableau!$G$20</f>
        <v>-3.6455236143247117E-4</v>
      </c>
      <c r="X669" s="101">
        <f>((Tableau!$G$25-P669)/(AD669^2+Tableau!$G$30^2)^(3/2))*Tableau!$G$29</f>
        <v>2.5573114339979115E-4</v>
      </c>
      <c r="Y669" s="101">
        <f>((Tableau!$H$25-Q669)/(AD669^2+Tableau!$G$30^2)^(3/2))*Tableau!$G$29</f>
        <v>-1.2556689158875302E-4</v>
      </c>
      <c r="Z669" s="101">
        <f>((Tableau!$G$35-P669)/(AE669^2+Tableau!$G$40^2)^(3/2))*Tableau!$G$39</f>
        <v>7.4388933321375159E-4</v>
      </c>
      <c r="AA669" s="102">
        <f>((Tableau!$H$35-Q669)/(AE669^2+Tableau!$G$40^2)^(3/2))*Tableau!$G$39</f>
        <v>-3.6583978552659052E-4</v>
      </c>
      <c r="AC669" s="113">
        <f>SQRT((Tableau!$G$16-P669)^2+(Tableau!$H$16-Q669)^2)</f>
        <v>25144516.660054706</v>
      </c>
      <c r="AD669" s="114">
        <f>SQRT((Tableau!$G$25-P669)^2+(Tableau!$H$25-Q669)^2)</f>
        <v>25107504.83292051</v>
      </c>
      <c r="AE669" s="115">
        <f>SQRT((Tableau!$G$35-P669)^2+(Tableau!$H$35-Q669)^2)</f>
        <v>25131992.966320775</v>
      </c>
    </row>
    <row r="670" spans="2:31" x14ac:dyDescent="0.25">
      <c r="B670" s="20">
        <v>667</v>
      </c>
      <c r="C670" s="21">
        <f>Tableau!$G$17*COS(B670*PI()/180)+Tableau!$G$16</f>
        <v>23009.075115760235</v>
      </c>
      <c r="D670" s="21">
        <f>Tableau!$G$17*SIN(B670*PI()/180)+Tableau!$H$16</f>
        <v>3506.8224497635315</v>
      </c>
      <c r="F670" s="28">
        <v>667</v>
      </c>
      <c r="G670" s="29">
        <f>Tableau!$G$26*COS(F670*PI()/180)+Tableau!$G$25</f>
        <v>-17893.647418967834</v>
      </c>
      <c r="H670" s="29">
        <f>Tableau!$G$26*SIN(F670*PI()/180)+Tableau!$H$25</f>
        <v>7204.7757148344717</v>
      </c>
      <c r="J670" s="36">
        <v>667</v>
      </c>
      <c r="K670" s="37">
        <f>Tableau!$G$36*COS(J670*PI()/180)+Tableau!$G$35</f>
        <v>-1990.9248842397647</v>
      </c>
      <c r="L670" s="37">
        <f>Tableau!$G$36*SIN(J670*PI()/180)+Tableau!$H$35</f>
        <v>-18993.177550236469</v>
      </c>
      <c r="N670" s="92">
        <v>666</v>
      </c>
      <c r="O670" s="93">
        <v>333</v>
      </c>
      <c r="P670" s="96">
        <f>P669+R669*Tableau!$G$2+((1/2)*T669)*Tableau!$G$2^2</f>
        <v>-22591631.221293699</v>
      </c>
      <c r="Q670" s="96">
        <f>Q669+S669*Tableau!$G$2+((1/2)*U669)*Tableau!$G$2^2</f>
        <v>11092961.474239286</v>
      </c>
      <c r="R670" s="96">
        <f>R669+T669*Tableau!$G$2</f>
        <v>-68698.020465378882</v>
      </c>
      <c r="S670" s="96">
        <f>S669+U669*Tableau!$G$2</f>
        <v>33800.638468661011</v>
      </c>
      <c r="T670" s="96">
        <f t="shared" si="20"/>
        <v>1.7379230555371536E-3</v>
      </c>
      <c r="U670" s="96">
        <f t="shared" si="21"/>
        <v>-8.5335966025450291E-4</v>
      </c>
      <c r="V670" s="96">
        <f>((Tableau!$G$16-P670)/(AC670^2+Tableau!$G$21^2)^(3/2))*Tableau!$G$20</f>
        <v>7.4134192748311284E-4</v>
      </c>
      <c r="W670" s="96">
        <f>((Tableau!$H$16-Q670)/(AC670^2+Tableau!$G$21^2)^(3/2))*Tableau!$G$20</f>
        <v>-3.6344646239468224E-4</v>
      </c>
      <c r="X670" s="96">
        <f>((Tableau!$G$25-P670)/(AD670^2+Tableau!$G$30^2)^(3/2))*Tableau!$G$29</f>
        <v>2.5495294020386151E-4</v>
      </c>
      <c r="Y670" s="96">
        <f>((Tableau!$H$25-Q670)/(AD670^2+Tableau!$G$30^2)^(3/2))*Tableau!$G$29</f>
        <v>-1.2518517542311136E-4</v>
      </c>
      <c r="Z670" s="96">
        <f>((Tableau!$G$35-P670)/(AE670^2+Tableau!$G$40^2)^(3/2))*Tableau!$G$39</f>
        <v>7.4162818785017935E-4</v>
      </c>
      <c r="AA670" s="97">
        <f>((Tableau!$H$35-Q670)/(AE670^2+Tableau!$G$40^2)^(3/2))*Tableau!$G$39</f>
        <v>-3.6472802243670937E-4</v>
      </c>
      <c r="AC670" s="110">
        <f>SQRT((Tableau!$G$16-P670)^2+(Tableau!$H$16-Q670)^2)</f>
        <v>25182798.148431152</v>
      </c>
      <c r="AD670" s="111">
        <f>SQRT((Tableau!$G$25-P670)^2+(Tableau!$H$25-Q670)^2)</f>
        <v>25145786.347409237</v>
      </c>
      <c r="AE670" s="112">
        <f>SQRT((Tableau!$G$35-P670)^2+(Tableau!$H$35-Q670)^2)</f>
        <v>25170274.492740508</v>
      </c>
    </row>
    <row r="671" spans="2:31" x14ac:dyDescent="0.25">
      <c r="B671" s="18">
        <v>668</v>
      </c>
      <c r="C671" s="19">
        <f>Tableau!$G$17*COS(B671*PI()/180)+Tableau!$G$16</f>
        <v>23078.307376628294</v>
      </c>
      <c r="D671" s="19">
        <f>Tableau!$G$17*SIN(B671*PI()/180)+Tableau!$H$16</f>
        <v>3559.946231966393</v>
      </c>
      <c r="F671" s="26">
        <v>668</v>
      </c>
      <c r="G671" s="27">
        <f>Tableau!$G$26*COS(F671*PI()/180)+Tableau!$G$25</f>
        <v>-17845.184836360193</v>
      </c>
      <c r="H671" s="27">
        <f>Tableau!$G$26*SIN(F671*PI()/180)+Tableau!$H$25</f>
        <v>7241.9623623764746</v>
      </c>
      <c r="J671" s="34">
        <v>668</v>
      </c>
      <c r="K671" s="35">
        <f>Tableau!$G$36*COS(J671*PI()/180)+Tableau!$G$35</f>
        <v>-1921.6926233717054</v>
      </c>
      <c r="L671" s="35">
        <f>Tableau!$G$36*SIN(J671*PI()/180)+Tableau!$H$35</f>
        <v>-18940.053768033606</v>
      </c>
      <c r="N671" s="98">
        <v>667</v>
      </c>
      <c r="O671" s="99">
        <v>333.5</v>
      </c>
      <c r="P671" s="101">
        <f>P670+R670*Tableau!$G$2+((1/2)*T670)*Tableau!$G$2^2</f>
        <v>-22625980.231309149</v>
      </c>
      <c r="Q671" s="101">
        <f>Q670+S670*Tableau!$G$2+((1/2)*U670)*Tableau!$G$2^2</f>
        <v>11109861.793366946</v>
      </c>
      <c r="R671" s="101">
        <f>R670+T670*Tableau!$G$2</f>
        <v>-68698.019596417362</v>
      </c>
      <c r="S671" s="101">
        <f>S670+U670*Tableau!$G$2</f>
        <v>33800.638041981183</v>
      </c>
      <c r="T671" s="101">
        <f t="shared" si="20"/>
        <v>1.732648002094228E-3</v>
      </c>
      <c r="U671" s="101">
        <f t="shared" si="21"/>
        <v>-8.5077210472896234E-4</v>
      </c>
      <c r="V671" s="101">
        <f>((Tableau!$G$16-P671)/(AC671^2+Tableau!$G$21^2)^(3/2))*Tableau!$G$20</f>
        <v>7.3909238188323619E-4</v>
      </c>
      <c r="W671" s="101">
        <f>((Tableau!$H$16-Q671)/(AC671^2+Tableau!$G$21^2)^(3/2))*Tableau!$G$20</f>
        <v>-3.6234558798405568E-4</v>
      </c>
      <c r="X671" s="101">
        <f>((Tableau!$G$25-P671)/(AD671^2+Tableau!$G$30^2)^(3/2))*Tableau!$G$29</f>
        <v>2.5417828378855372E-4</v>
      </c>
      <c r="Y671" s="101">
        <f>((Tableau!$H$25-Q671)/(AD671^2+Tableau!$G$30^2)^(3/2))*Tableau!$G$29</f>
        <v>-1.2480519721151502E-4</v>
      </c>
      <c r="Z671" s="101">
        <f>((Tableau!$G$35-P671)/(AE671^2+Tableau!$G$40^2)^(3/2))*Tableau!$G$39</f>
        <v>7.3937733642243813E-4</v>
      </c>
      <c r="AA671" s="102">
        <f>((Tableau!$H$35-Q671)/(AE671^2+Tableau!$G$40^2)^(3/2))*Tableau!$G$39</f>
        <v>-3.6362131953339172E-4</v>
      </c>
      <c r="AC671" s="113">
        <f>SQRT((Tableau!$G$16-P671)^2+(Tableau!$H$16-Q671)^2)</f>
        <v>25221079.636440206</v>
      </c>
      <c r="AD671" s="114">
        <f>SQRT((Tableau!$G$25-P671)^2+(Tableau!$H$25-Q671)^2)</f>
        <v>25184067.861451361</v>
      </c>
      <c r="AE671" s="115">
        <f>SQRT((Tableau!$G$35-P671)^2+(Tableau!$H$35-Q671)^2)</f>
        <v>25208556.018677369</v>
      </c>
    </row>
    <row r="672" spans="2:31" x14ac:dyDescent="0.25">
      <c r="B672" s="20">
        <v>669</v>
      </c>
      <c r="C672" s="21">
        <f>Tableau!$G$17*COS(B672*PI()/180)+Tableau!$G$16</f>
        <v>23146.601955249185</v>
      </c>
      <c r="D672" s="21">
        <f>Tableau!$G$17*SIN(B672*PI()/180)+Tableau!$H$16</f>
        <v>3614.2701927151447</v>
      </c>
      <c r="F672" s="28">
        <v>669</v>
      </c>
      <c r="G672" s="29">
        <f>Tableau!$G$26*COS(F672*PI()/180)+Tableau!$G$25</f>
        <v>-17797.37863132557</v>
      </c>
      <c r="H672" s="29">
        <f>Tableau!$G$26*SIN(F672*PI()/180)+Tableau!$H$25</f>
        <v>7279.9891349006011</v>
      </c>
      <c r="J672" s="36">
        <v>669</v>
      </c>
      <c r="K672" s="37">
        <f>Tableau!$G$36*COS(J672*PI()/180)+Tableau!$G$35</f>
        <v>-1853.3980447508138</v>
      </c>
      <c r="L672" s="37">
        <f>Tableau!$G$36*SIN(J672*PI()/180)+Tableau!$H$35</f>
        <v>-18885.729807284857</v>
      </c>
      <c r="N672" s="92">
        <v>668</v>
      </c>
      <c r="O672" s="93">
        <v>334</v>
      </c>
      <c r="P672" s="96">
        <f>P671+R671*Tableau!$G$2+((1/2)*T671)*Tableau!$G$2^2</f>
        <v>-22660329.240890779</v>
      </c>
      <c r="Q672" s="96">
        <f>Q671+S671*Tableau!$G$2+((1/2)*U671)*Tableau!$G$2^2</f>
        <v>11126762.112281591</v>
      </c>
      <c r="R672" s="96">
        <f>R671+T671*Tableau!$G$2</f>
        <v>-68698.018730093361</v>
      </c>
      <c r="S672" s="96">
        <f>S671+U671*Tableau!$G$2</f>
        <v>33800.63761659513</v>
      </c>
      <c r="T672" s="96">
        <f t="shared" si="20"/>
        <v>1.7273969290725537E-3</v>
      </c>
      <c r="U672" s="96">
        <f t="shared" si="21"/>
        <v>-8.4819630038155823E-4</v>
      </c>
      <c r="V672" s="96">
        <f>((Tableau!$G$16-P672)/(AC672^2+Tableau!$G$21^2)^(3/2))*Tableau!$G$20</f>
        <v>7.3685305989890548E-4</v>
      </c>
      <c r="W672" s="96">
        <f>((Tableau!$H$16-Q672)/(AC672^2+Tableau!$G$21^2)^(3/2))*Tableau!$G$20</f>
        <v>-3.6124970780763071E-4</v>
      </c>
      <c r="X672" s="96">
        <f>((Tableau!$G$25-P672)/(AD672^2+Tableau!$G$30^2)^(3/2))*Tableau!$G$29</f>
        <v>2.5340715263319177E-4</v>
      </c>
      <c r="Y672" s="96">
        <f>((Tableau!$H$25-Q672)/(AD672^2+Tableau!$G$30^2)^(3/2))*Tableau!$G$29</f>
        <v>-1.2442694641939703E-4</v>
      </c>
      <c r="Z672" s="96">
        <f>((Tableau!$G$35-P672)/(AE672^2+Tableau!$G$40^2)^(3/2))*Tableau!$G$39</f>
        <v>7.3713671654045663E-4</v>
      </c>
      <c r="AA672" s="97">
        <f>((Tableau!$H$35-Q672)/(AE672^2+Tableau!$G$40^2)^(3/2))*Tableau!$G$39</f>
        <v>-3.6251964615453055E-4</v>
      </c>
      <c r="AC672" s="110">
        <f>SQRT((Tableau!$G$16-P672)^2+(Tableau!$H$16-Q672)^2)</f>
        <v>25259361.124082811</v>
      </c>
      <c r="AD672" s="111">
        <f>SQRT((Tableau!$G$25-P672)^2+(Tableau!$H$25-Q672)^2)</f>
        <v>25222349.375048183</v>
      </c>
      <c r="AE672" s="112">
        <f>SQRT((Tableau!$G$35-P672)^2+(Tableau!$H$35-Q672)^2)</f>
        <v>25246837.544132814</v>
      </c>
    </row>
    <row r="673" spans="2:31" x14ac:dyDescent="0.25">
      <c r="B673" s="18">
        <v>670</v>
      </c>
      <c r="C673" s="19">
        <f>Tableau!$G$17*COS(B673*PI()/180)+Tableau!$G$16</f>
        <v>23213.93804843269</v>
      </c>
      <c r="D673" s="19">
        <f>Tableau!$G$17*SIN(B673*PI()/180)+Tableau!$H$16</f>
        <v>3669.7777844051061</v>
      </c>
      <c r="F673" s="26">
        <v>670</v>
      </c>
      <c r="G673" s="27">
        <f>Tableau!$G$26*COS(F673*PI()/180)+Tableau!$G$25</f>
        <v>-17750.243366097115</v>
      </c>
      <c r="H673" s="27">
        <f>Tableau!$G$26*SIN(F673*PI()/180)+Tableau!$H$25</f>
        <v>7318.8444490835736</v>
      </c>
      <c r="J673" s="34">
        <v>670</v>
      </c>
      <c r="K673" s="35">
        <f>Tableau!$G$36*COS(J673*PI()/180)+Tableau!$G$35</f>
        <v>-1786.0619515673084</v>
      </c>
      <c r="L673" s="35">
        <f>Tableau!$G$36*SIN(J673*PI()/180)+Tableau!$H$35</f>
        <v>-18830.222215594895</v>
      </c>
      <c r="N673" s="98">
        <v>669</v>
      </c>
      <c r="O673" s="99">
        <v>334.5</v>
      </c>
      <c r="P673" s="101">
        <f>P672+R672*Tableau!$G$2+((1/2)*T672)*Tableau!$G$2^2</f>
        <v>-22694678.250039902</v>
      </c>
      <c r="Q673" s="101">
        <f>Q672+S672*Tableau!$G$2+((1/2)*U672)*Tableau!$G$2^2</f>
        <v>11143662.430983864</v>
      </c>
      <c r="R673" s="101">
        <f>R672+T672*Tableau!$G$2</f>
        <v>-68698.01786639489</v>
      </c>
      <c r="S673" s="101">
        <f>S672+U672*Tableau!$G$2</f>
        <v>33800.637192496979</v>
      </c>
      <c r="T673" s="101">
        <f t="shared" si="20"/>
        <v>1.7221696913383585E-3</v>
      </c>
      <c r="U673" s="101">
        <f t="shared" si="21"/>
        <v>-8.4563217616370919E-4</v>
      </c>
      <c r="V673" s="101">
        <f>((Tableau!$G$16-P673)/(AC673^2+Tableau!$G$21^2)^(3/2))*Tableau!$G$20</f>
        <v>7.3462389967210895E-4</v>
      </c>
      <c r="W673" s="101">
        <f>((Tableau!$H$16-Q673)/(AC673^2+Tableau!$G$21^2)^(3/2))*Tableau!$G$20</f>
        <v>-3.6015879170188235E-4</v>
      </c>
      <c r="X673" s="101">
        <f>((Tableau!$G$25-P673)/(AD673^2+Tableau!$G$30^2)^(3/2))*Tableau!$G$29</f>
        <v>2.5263952538009303E-4</v>
      </c>
      <c r="Y673" s="101">
        <f>((Tableau!$H$25-Q673)/(AD673^2+Tableau!$G$30^2)^(3/2))*Tableau!$G$29</f>
        <v>-1.2405041259189582E-4</v>
      </c>
      <c r="Z673" s="101">
        <f>((Tableau!$G$35-P673)/(AE673^2+Tableau!$G$40^2)^(3/2))*Tableau!$G$39</f>
        <v>7.3490626628615644E-4</v>
      </c>
      <c r="AA673" s="102">
        <f>((Tableau!$H$35-Q673)/(AE673^2+Tableau!$G$40^2)^(3/2))*Tableau!$G$39</f>
        <v>-3.6142297186993102E-4</v>
      </c>
      <c r="AC673" s="113">
        <f>SQRT((Tableau!$G$16-P673)^2+(Tableau!$H$16-Q673)^2)</f>
        <v>25297642.611359902</v>
      </c>
      <c r="AD673" s="114">
        <f>SQRT((Tableau!$G$25-P673)^2+(Tableau!$H$25-Q673)^2)</f>
        <v>25260630.888200995</v>
      </c>
      <c r="AE673" s="115">
        <f>SQRT((Tableau!$G$35-P673)^2+(Tableau!$H$35-Q673)^2)</f>
        <v>25285119.069108307</v>
      </c>
    </row>
    <row r="674" spans="2:31" x14ac:dyDescent="0.25">
      <c r="B674" s="20">
        <v>671</v>
      </c>
      <c r="C674" s="21">
        <f>Tableau!$G$17*COS(B674*PI()/180)+Tableau!$G$16</f>
        <v>23280.295144952528</v>
      </c>
      <c r="D674" s="21">
        <f>Tableau!$G$17*SIN(B674*PI()/180)+Tableau!$H$16</f>
        <v>3726.4520988861323</v>
      </c>
      <c r="F674" s="28">
        <v>671</v>
      </c>
      <c r="G674" s="29">
        <f>Tableau!$G$26*COS(F674*PI()/180)+Tableau!$G$25</f>
        <v>-17703.793398533231</v>
      </c>
      <c r="H674" s="29">
        <f>Tableau!$G$26*SIN(F674*PI()/180)+Tableau!$H$25</f>
        <v>7358.5164692202925</v>
      </c>
      <c r="J674" s="36">
        <v>671</v>
      </c>
      <c r="K674" s="37">
        <f>Tableau!$G$36*COS(J674*PI()/180)+Tableau!$G$35</f>
        <v>-1719.7048550474724</v>
      </c>
      <c r="L674" s="37">
        <f>Tableau!$G$36*SIN(J674*PI()/180)+Tableau!$H$35</f>
        <v>-18773.547901113867</v>
      </c>
      <c r="N674" s="92">
        <v>670</v>
      </c>
      <c r="O674" s="93">
        <v>335</v>
      </c>
      <c r="P674" s="96">
        <f>P673+R673*Tableau!$G$2+((1/2)*T673)*Tableau!$G$2^2</f>
        <v>-22729027.25875783</v>
      </c>
      <c r="Q674" s="96">
        <f>Q673+S673*Tableau!$G$2+((1/2)*U673)*Tableau!$G$2^2</f>
        <v>11160562.749474408</v>
      </c>
      <c r="R674" s="96">
        <f>R673+T673*Tableau!$G$2</f>
        <v>-68698.017005310045</v>
      </c>
      <c r="S674" s="96">
        <f>S673+U673*Tableau!$G$2</f>
        <v>33800.636769680888</v>
      </c>
      <c r="T674" s="96">
        <f t="shared" si="20"/>
        <v>1.7169661448541268E-3</v>
      </c>
      <c r="U674" s="96">
        <f t="shared" si="21"/>
        <v>-8.4307966156295399E-4</v>
      </c>
      <c r="V674" s="96">
        <f>((Tableau!$G$16-P674)/(AC674^2+Tableau!$G$21^2)^(3/2))*Tableau!$G$20</f>
        <v>7.3240483981198523E-4</v>
      </c>
      <c r="W674" s="96">
        <f>((Tableau!$H$16-Q674)/(AC674^2+Tableau!$G$21^2)^(3/2))*Tableau!$G$20</f>
        <v>-3.5907280973067216E-4</v>
      </c>
      <c r="X674" s="96">
        <f>((Tableau!$G$25-P674)/(AD674^2+Tableau!$G$30^2)^(3/2))*Tableau!$G$29</f>
        <v>2.5187538083306786E-4</v>
      </c>
      <c r="Y674" s="96">
        <f>((Tableau!$H$25-Q674)/(AD674^2+Tableau!$G$30^2)^(3/2))*Tableau!$G$29</f>
        <v>-1.236755853531224E-4</v>
      </c>
      <c r="Z674" s="96">
        <f>((Tableau!$G$35-P674)/(AE674^2+Tableau!$G$40^2)^(3/2))*Tableau!$G$39</f>
        <v>7.3268592420907359E-4</v>
      </c>
      <c r="AA674" s="97">
        <f>((Tableau!$H$35-Q674)/(AE674^2+Tableau!$G$40^2)^(3/2))*Tableau!$G$39</f>
        <v>-3.6033126647915946E-4</v>
      </c>
      <c r="AC674" s="110">
        <f>SQRT((Tableau!$G$16-P674)^2+(Tableau!$H$16-Q674)^2)</f>
        <v>25335924.098272406</v>
      </c>
      <c r="AD674" s="111">
        <f>SQRT((Tableau!$G$25-P674)^2+(Tableau!$H$25-Q674)^2)</f>
        <v>25298912.400911078</v>
      </c>
      <c r="AE674" s="112">
        <f>SQRT((Tableau!$G$35-P674)^2+(Tableau!$H$35-Q674)^2)</f>
        <v>25323400.593605291</v>
      </c>
    </row>
    <row r="675" spans="2:31" x14ac:dyDescent="0.25">
      <c r="B675" s="18">
        <v>672</v>
      </c>
      <c r="C675" s="19">
        <f>Tableau!$G$17*COS(B675*PI()/180)+Tableau!$G$16</f>
        <v>23345.653031794292</v>
      </c>
      <c r="D675" s="19">
        <f>Tableau!$G$17*SIN(B675*PI()/180)+Tableau!$H$16</f>
        <v>3784.2758726130292</v>
      </c>
      <c r="F675" s="26">
        <v>672</v>
      </c>
      <c r="G675" s="27">
        <f>Tableau!$G$26*COS(F675*PI()/180)+Tableau!$G$25</f>
        <v>-17658.042877743996</v>
      </c>
      <c r="H675" s="27">
        <f>Tableau!$G$26*SIN(F675*PI()/180)+Tableau!$H$25</f>
        <v>7398.9931108291203</v>
      </c>
      <c r="J675" s="34">
        <v>672</v>
      </c>
      <c r="K675" s="35">
        <f>Tableau!$G$36*COS(J675*PI()/180)+Tableau!$G$35</f>
        <v>-1654.3469682057084</v>
      </c>
      <c r="L675" s="35">
        <f>Tableau!$G$36*SIN(J675*PI()/180)+Tableau!$H$35</f>
        <v>-18715.724127386969</v>
      </c>
      <c r="N675" s="98">
        <v>671</v>
      </c>
      <c r="O675" s="99">
        <v>335.5</v>
      </c>
      <c r="P675" s="101">
        <f>P674+R674*Tableau!$G$2+((1/2)*T674)*Tableau!$G$2^2</f>
        <v>-22763376.267045863</v>
      </c>
      <c r="Q675" s="101">
        <f>Q674+S674*Tableau!$G$2+((1/2)*U674)*Tableau!$G$2^2</f>
        <v>11177463.067753864</v>
      </c>
      <c r="R675" s="101">
        <f>R674+T674*Tableau!$G$2</f>
        <v>-68698.016146826965</v>
      </c>
      <c r="S675" s="101">
        <f>S674+U674*Tableau!$G$2</f>
        <v>33800.636348141059</v>
      </c>
      <c r="T675" s="101">
        <f t="shared" si="20"/>
        <v>1.7117861466687825E-3</v>
      </c>
      <c r="U675" s="101">
        <f t="shared" si="21"/>
        <v>-8.4053868659815555E-4</v>
      </c>
      <c r="V675" s="101">
        <f>((Tableau!$G$16-P675)/(AC675^2+Tableau!$G$21^2)^(3/2))*Tableau!$G$20</f>
        <v>7.3019581939057915E-4</v>
      </c>
      <c r="W675" s="101">
        <f>((Tableau!$H$16-Q675)/(AC675^2+Tableau!$G$21^2)^(3/2))*Tableau!$G$20</f>
        <v>-3.5799173218318609E-4</v>
      </c>
      <c r="X675" s="101">
        <f>((Tableau!$G$25-P675)/(AD675^2+Tableau!$G$30^2)^(3/2))*Tableau!$G$29</f>
        <v>2.5111469795595321E-4</v>
      </c>
      <c r="Y675" s="101">
        <f>((Tableau!$H$25-Q675)/(AD675^2+Tableau!$G$30^2)^(3/2))*Tableau!$G$29</f>
        <v>-1.2330245440544377E-4</v>
      </c>
      <c r="Z675" s="101">
        <f>((Tableau!$G$35-P675)/(AE675^2+Tableau!$G$40^2)^(3/2))*Tableau!$G$39</f>
        <v>7.3047562932224998E-4</v>
      </c>
      <c r="AA675" s="102">
        <f>((Tableau!$H$35-Q675)/(AE675^2+Tableau!$G$40^2)^(3/2))*Tableau!$G$39</f>
        <v>-3.5924450000952564E-4</v>
      </c>
      <c r="AC675" s="113">
        <f>SQRT((Tableau!$G$16-P675)^2+(Tableau!$H$16-Q675)^2)</f>
        <v>25374205.58482125</v>
      </c>
      <c r="AD675" s="114">
        <f>SQRT((Tableau!$G$25-P675)^2+(Tableau!$H$25-Q675)^2)</f>
        <v>25337193.913179722</v>
      </c>
      <c r="AE675" s="115">
        <f>SQRT((Tableau!$G$35-P675)^2+(Tableau!$H$35-Q675)^2)</f>
        <v>25361682.117625214</v>
      </c>
    </row>
    <row r="676" spans="2:31" x14ac:dyDescent="0.25">
      <c r="B676" s="20">
        <v>673</v>
      </c>
      <c r="C676" s="21">
        <f>Tableau!$G$17*COS(B676*PI()/180)+Tableau!$G$16</f>
        <v>23409.991800312488</v>
      </c>
      <c r="D676" s="21">
        <f>Tableau!$G$17*SIN(B676*PI()/180)+Tableau!$H$16</f>
        <v>3843.2314919041441</v>
      </c>
      <c r="F676" s="28">
        <v>673</v>
      </c>
      <c r="G676" s="29">
        <f>Tableau!$G$26*COS(F676*PI()/180)+Tableau!$G$25</f>
        <v>-17613.005739781256</v>
      </c>
      <c r="H676" s="29">
        <f>Tableau!$G$26*SIN(F676*PI()/180)+Tableau!$H$25</f>
        <v>7440.2620443329015</v>
      </c>
      <c r="J676" s="36">
        <v>673</v>
      </c>
      <c r="K676" s="37">
        <f>Tableau!$G$36*COS(J676*PI()/180)+Tableau!$G$35</f>
        <v>-1590.008199687511</v>
      </c>
      <c r="L676" s="37">
        <f>Tableau!$G$36*SIN(J676*PI()/180)+Tableau!$H$35</f>
        <v>-18656.768508095854</v>
      </c>
      <c r="N676" s="92">
        <v>672</v>
      </c>
      <c r="O676" s="93">
        <v>336</v>
      </c>
      <c r="P676" s="96">
        <f>P675+R675*Tableau!$G$2+((1/2)*T675)*Tableau!$G$2^2</f>
        <v>-22797725.274905302</v>
      </c>
      <c r="Q676" s="96">
        <f>Q675+S675*Tableau!$G$2+((1/2)*U675)*Tableau!$G$2^2</f>
        <v>11194363.385822866</v>
      </c>
      <c r="R676" s="96">
        <f>R675+T675*Tableau!$G$2</f>
        <v>-68698.015290933894</v>
      </c>
      <c r="S676" s="96">
        <f>S675+U675*Tableau!$G$2</f>
        <v>33800.635927871714</v>
      </c>
      <c r="T676" s="96">
        <f t="shared" si="20"/>
        <v>1.7066295549077945E-3</v>
      </c>
      <c r="U676" s="96">
        <f t="shared" si="21"/>
        <v>-8.3800918181466566E-4</v>
      </c>
      <c r="V676" s="96">
        <f>((Tableau!$G$16-P676)/(AC676^2+Tableau!$G$21^2)^(3/2))*Tableau!$G$20</f>
        <v>7.2799677793863936E-4</v>
      </c>
      <c r="W676" s="96">
        <f>((Tableau!$H$16-Q676)/(AC676^2+Tableau!$G$21^2)^(3/2))*Tableau!$G$20</f>
        <v>-3.569155295718926E-4</v>
      </c>
      <c r="X676" s="96">
        <f>((Tableau!$G$25-P676)/(AD676^2+Tableau!$G$30^2)^(3/2))*Tableau!$G$29</f>
        <v>2.5035745587119132E-4</v>
      </c>
      <c r="Y676" s="96">
        <f>((Tableau!$H$25-Q676)/(AD676^2+Tableau!$G$30^2)^(3/2))*Tableau!$G$29</f>
        <v>-1.2293100952878876E-4</v>
      </c>
      <c r="Z676" s="96">
        <f>((Tableau!$G$35-P676)/(AE676^2+Tableau!$G$40^2)^(3/2))*Tableau!$G$39</f>
        <v>7.2827532109796388E-4</v>
      </c>
      <c r="AA676" s="97">
        <f>((Tableau!$H$35-Q676)/(AE676^2+Tableau!$G$40^2)^(3/2))*Tableau!$G$39</f>
        <v>-3.5816264271398433E-4</v>
      </c>
      <c r="AC676" s="110">
        <f>SQRT((Tableau!$G$16-P676)^2+(Tableau!$H$16-Q676)^2)</f>
        <v>25412487.071007363</v>
      </c>
      <c r="AD676" s="111">
        <f>SQRT((Tableau!$G$25-P676)^2+(Tableau!$H$25-Q676)^2)</f>
        <v>25375475.4250082</v>
      </c>
      <c r="AE676" s="112">
        <f>SQRT((Tableau!$G$35-P676)^2+(Tableau!$H$35-Q676)^2)</f>
        <v>25399963.641169515</v>
      </c>
    </row>
    <row r="677" spans="2:31" x14ac:dyDescent="0.25">
      <c r="B677" s="18">
        <v>674</v>
      </c>
      <c r="C677" s="19">
        <f>Tableau!$G$17*COS(B677*PI()/180)+Tableau!$G$16</f>
        <v>23473.29185229498</v>
      </c>
      <c r="D677" s="19">
        <f>Tableau!$G$17*SIN(B677*PI()/180)+Tableau!$H$16</f>
        <v>3903.3009983067373</v>
      </c>
      <c r="F677" s="26">
        <v>674</v>
      </c>
      <c r="G677" s="27">
        <f>Tableau!$G$26*COS(F677*PI()/180)+Tableau!$G$25</f>
        <v>-17568.695703393514</v>
      </c>
      <c r="H677" s="27">
        <f>Tableau!$G$26*SIN(F677*PI()/180)+Tableau!$H$25</f>
        <v>7482.3106988147156</v>
      </c>
      <c r="J677" s="34">
        <v>674</v>
      </c>
      <c r="K677" s="35">
        <f>Tableau!$G$36*COS(J677*PI()/180)+Tableau!$G$35</f>
        <v>-1526.708147705021</v>
      </c>
      <c r="L677" s="35">
        <f>Tableau!$G$36*SIN(J677*PI()/180)+Tableau!$H$35</f>
        <v>-18596.699001693261</v>
      </c>
      <c r="N677" s="98">
        <v>673</v>
      </c>
      <c r="O677" s="99">
        <v>336.5</v>
      </c>
      <c r="P677" s="101">
        <f>P676+R676*Tableau!$G$2+((1/2)*T676)*Tableau!$G$2^2</f>
        <v>-22832074.282337438</v>
      </c>
      <c r="Q677" s="101">
        <f>Q676+S676*Tableau!$G$2+((1/2)*U676)*Tableau!$G$2^2</f>
        <v>11211263.70368205</v>
      </c>
      <c r="R677" s="101">
        <f>R676+T676*Tableau!$G$2</f>
        <v>-68698.014437619117</v>
      </c>
      <c r="S677" s="101">
        <f>S676+U676*Tableau!$G$2</f>
        <v>33800.635508867126</v>
      </c>
      <c r="T677" s="101">
        <f t="shared" si="20"/>
        <v>1.7014962287635156E-3</v>
      </c>
      <c r="U677" s="101">
        <f t="shared" si="21"/>
        <v>-8.3549107827960681E-4</v>
      </c>
      <c r="V677" s="101">
        <f>((Tableau!$G$16-P677)/(AC677^2+Tableau!$G$21^2)^(3/2))*Tableau!$G$20</f>
        <v>7.2580765544153977E-4</v>
      </c>
      <c r="W677" s="101">
        <f>((Tableau!$H$16-Q677)/(AC677^2+Tableau!$G$21^2)^(3/2))*Tableau!$G$20</f>
        <v>-3.5584417263056123E-4</v>
      </c>
      <c r="X677" s="101">
        <f>((Tableau!$G$25-P677)/(AD677^2+Tableau!$G$30^2)^(3/2))*Tableau!$G$29</f>
        <v>2.496036338583704E-4</v>
      </c>
      <c r="Y677" s="101">
        <f>((Tableau!$H$25-Q677)/(AD677^2+Tableau!$G$30^2)^(3/2))*Tableau!$G$29</f>
        <v>-1.2256124057993505E-4</v>
      </c>
      <c r="Z677" s="101">
        <f>((Tableau!$G$35-P677)/(AE677^2+Tableau!$G$40^2)^(3/2))*Tableau!$G$39</f>
        <v>7.2608493946360532E-4</v>
      </c>
      <c r="AA677" s="102">
        <f>((Tableau!$H$35-Q677)/(AE677^2+Tableau!$G$40^2)^(3/2))*Tableau!$G$39</f>
        <v>-3.5708566506911045E-4</v>
      </c>
      <c r="AC677" s="113">
        <f>SQRT((Tableau!$G$16-P677)^2+(Tableau!$H$16-Q677)^2)</f>
        <v>25450768.556831669</v>
      </c>
      <c r="AD677" s="114">
        <f>SQRT((Tableau!$G$25-P677)^2+(Tableau!$H$25-Q677)^2)</f>
        <v>25413756.936397776</v>
      </c>
      <c r="AE677" s="115">
        <f>SQRT((Tableau!$G$35-P677)^2+(Tableau!$H$35-Q677)^2)</f>
        <v>25438245.164239615</v>
      </c>
    </row>
    <row r="678" spans="2:31" x14ac:dyDescent="0.25">
      <c r="B678" s="20">
        <v>675</v>
      </c>
      <c r="C678" s="21">
        <f>Tableau!$G$17*COS(B678*PI()/180)+Tableau!$G$16</f>
        <v>23535.533905932738</v>
      </c>
      <c r="D678" s="21">
        <f>Tableau!$G$17*SIN(B678*PI()/180)+Tableau!$H$16</f>
        <v>3964.4660940672638</v>
      </c>
      <c r="F678" s="28">
        <v>675</v>
      </c>
      <c r="G678" s="29">
        <f>Tableau!$G$26*COS(F678*PI()/180)+Tableau!$G$25</f>
        <v>-17525.126265847084</v>
      </c>
      <c r="H678" s="29">
        <f>Tableau!$G$26*SIN(F678*PI()/180)+Tableau!$H$25</f>
        <v>7525.1262658470841</v>
      </c>
      <c r="J678" s="36">
        <v>675</v>
      </c>
      <c r="K678" s="37">
        <f>Tableau!$G$36*COS(J678*PI()/180)+Tableau!$G$35</f>
        <v>-1464.4660940672611</v>
      </c>
      <c r="L678" s="37">
        <f>Tableau!$G$36*SIN(J678*PI()/180)+Tableau!$H$35</f>
        <v>-18535.533905932738</v>
      </c>
      <c r="N678" s="92">
        <v>674</v>
      </c>
      <c r="O678" s="93">
        <v>337</v>
      </c>
      <c r="P678" s="96">
        <f>P677+R677*Tableau!$G$2+((1/2)*T677)*Tableau!$G$2^2</f>
        <v>-22866423.289343558</v>
      </c>
      <c r="Q678" s="96">
        <f>Q677+S677*Tableau!$G$2+((1/2)*U677)*Tableau!$G$2^2</f>
        <v>11228164.021332048</v>
      </c>
      <c r="R678" s="96">
        <f>R677+T677*Tableau!$G$2</f>
        <v>-68698.013586871006</v>
      </c>
      <c r="S678" s="96">
        <f>S677+U677*Tableau!$G$2</f>
        <v>33800.635091121585</v>
      </c>
      <c r="T678" s="96">
        <f t="shared" si="20"/>
        <v>1.6963860284855089E-3</v>
      </c>
      <c r="U678" s="96">
        <f t="shared" si="21"/>
        <v>-8.3298430757714446E-4</v>
      </c>
      <c r="V678" s="96">
        <f>((Tableau!$G$16-P678)/(AC678^2+Tableau!$G$21^2)^(3/2))*Tableau!$G$20</f>
        <v>7.2362839233511712E-4</v>
      </c>
      <c r="W678" s="96">
        <f>((Tableau!$H$16-Q678)/(AC678^2+Tableau!$G$21^2)^(3/2))*Tableau!$G$20</f>
        <v>-3.5477763231223937E-4</v>
      </c>
      <c r="X678" s="96">
        <f>((Tableau!$G$25-P678)/(AD678^2+Tableau!$G$30^2)^(3/2))*Tableau!$G$29</f>
        <v>2.4885321135281518E-4</v>
      </c>
      <c r="Y678" s="96">
        <f>((Tableau!$H$25-Q678)/(AD678^2+Tableau!$G$30^2)^(3/2))*Tableau!$G$29</f>
        <v>-1.2219313749182068E-4</v>
      </c>
      <c r="Z678" s="96">
        <f>((Tableau!$G$35-P678)/(AE678^2+Tableau!$G$40^2)^(3/2))*Tableau!$G$39</f>
        <v>7.239044247975766E-4</v>
      </c>
      <c r="AA678" s="97">
        <f>((Tableau!$H$35-Q678)/(AE678^2+Tableau!$G$40^2)^(3/2))*Tableau!$G$39</f>
        <v>-3.5601353777308439E-4</v>
      </c>
      <c r="AC678" s="110">
        <f>SQRT((Tableau!$G$16-P678)^2+(Tableau!$H$16-Q678)^2)</f>
        <v>25489050.042295076</v>
      </c>
      <c r="AD678" s="111">
        <f>SQRT((Tableau!$G$25-P678)^2+(Tableau!$H$25-Q678)^2)</f>
        <v>25452038.447349727</v>
      </c>
      <c r="AE678" s="112">
        <f>SQRT((Tableau!$G$35-P678)^2+(Tableau!$H$35-Q678)^2)</f>
        <v>25476526.686836954</v>
      </c>
    </row>
    <row r="679" spans="2:31" x14ac:dyDescent="0.25">
      <c r="B679" s="18">
        <v>676</v>
      </c>
      <c r="C679" s="19">
        <f>Tableau!$G$17*COS(B679*PI()/180)+Tableau!$G$16</f>
        <v>23596.699001693254</v>
      </c>
      <c r="D679" s="19">
        <f>Tableau!$G$17*SIN(B679*PI()/180)+Tableau!$H$16</f>
        <v>4026.708147705011</v>
      </c>
      <c r="F679" s="26">
        <v>676</v>
      </c>
      <c r="G679" s="27">
        <f>Tableau!$G$26*COS(F679*PI()/180)+Tableau!$G$25</f>
        <v>-17482.310698814723</v>
      </c>
      <c r="H679" s="27">
        <f>Tableau!$G$26*SIN(F679*PI()/180)+Tableau!$H$25</f>
        <v>7568.6957033935078</v>
      </c>
      <c r="J679" s="34">
        <v>676</v>
      </c>
      <c r="K679" s="35">
        <f>Tableau!$G$36*COS(J679*PI()/180)+Tableau!$G$35</f>
        <v>-1403.3009983067468</v>
      </c>
      <c r="L679" s="35">
        <f>Tableau!$G$36*SIN(J679*PI()/180)+Tableau!$H$35</f>
        <v>-18473.291852294988</v>
      </c>
      <c r="N679" s="98">
        <v>675</v>
      </c>
      <c r="O679" s="99">
        <v>337.5</v>
      </c>
      <c r="P679" s="101">
        <f>P678+R678*Tableau!$G$2+((1/2)*T678)*Tableau!$G$2^2</f>
        <v>-22900772.295924947</v>
      </c>
      <c r="Q679" s="101">
        <f>Q678+S678*Tableau!$G$2+((1/2)*U678)*Tableau!$G$2^2</f>
        <v>11245064.338773485</v>
      </c>
      <c r="R679" s="101">
        <f>R678+T678*Tableau!$G$2</f>
        <v>-68698.012738677993</v>
      </c>
      <c r="S679" s="101">
        <f>S678+U678*Tableau!$G$2</f>
        <v>33800.634674629429</v>
      </c>
      <c r="T679" s="101">
        <f t="shared" si="20"/>
        <v>1.6912988153710835E-3</v>
      </c>
      <c r="U679" s="101">
        <f t="shared" si="21"/>
        <v>-8.3048880180386332E-4</v>
      </c>
      <c r="V679" s="101">
        <f>((Tableau!$G$16-P679)/(AC679^2+Tableau!$G$21^2)^(3/2))*Tableau!$G$20</f>
        <v>7.2145892950165177E-4</v>
      </c>
      <c r="W679" s="101">
        <f>((Tableau!$H$16-Q679)/(AC679^2+Tableau!$G$21^2)^(3/2))*Tableau!$G$20</f>
        <v>-3.537158797872996E-4</v>
      </c>
      <c r="X679" s="101">
        <f>((Tableau!$G$25-P679)/(AD679^2+Tableau!$G$30^2)^(3/2))*Tableau!$G$29</f>
        <v>2.481061679441897E-4</v>
      </c>
      <c r="Y679" s="101">
        <f>((Tableau!$H$25-Q679)/(AD679^2+Tableau!$G$30^2)^(3/2))*Tableau!$G$29</f>
        <v>-1.2182669027286116E-4</v>
      </c>
      <c r="Z679" s="101">
        <f>((Tableau!$G$35-P679)/(AE679^2+Tableau!$G$40^2)^(3/2))*Tableau!$G$39</f>
        <v>7.2173371792524216E-4</v>
      </c>
      <c r="AA679" s="102">
        <f>((Tableau!$H$35-Q679)/(AE679^2+Tableau!$G$40^2)^(3/2))*Tableau!$G$39</f>
        <v>-3.5494623174370254E-4</v>
      </c>
      <c r="AC679" s="113">
        <f>SQRT((Tableau!$G$16-P679)^2+(Tableau!$H$16-Q679)^2)</f>
        <v>25527331.527398512</v>
      </c>
      <c r="AD679" s="114">
        <f>SQRT((Tableau!$G$25-P679)^2+(Tableau!$H$25-Q679)^2)</f>
        <v>25490319.957865305</v>
      </c>
      <c r="AE679" s="115">
        <f>SQRT((Tableau!$G$35-P679)^2+(Tableau!$H$35-Q679)^2)</f>
        <v>25514808.20896294</v>
      </c>
    </row>
    <row r="680" spans="2:31" x14ac:dyDescent="0.25">
      <c r="B680" s="20">
        <v>677</v>
      </c>
      <c r="C680" s="21">
        <f>Tableau!$G$17*COS(B680*PI()/180)+Tableau!$G$16</f>
        <v>23656.768508095851</v>
      </c>
      <c r="D680" s="21">
        <f>Tableau!$G$17*SIN(B680*PI()/180)+Tableau!$H$16</f>
        <v>4090.0081996875078</v>
      </c>
      <c r="F680" s="28">
        <v>677</v>
      </c>
      <c r="G680" s="29">
        <f>Tableau!$G$26*COS(F680*PI()/180)+Tableau!$G$25</f>
        <v>-17440.262044332903</v>
      </c>
      <c r="H680" s="29">
        <f>Tableau!$G$26*SIN(F680*PI()/180)+Tableau!$H$25</f>
        <v>7613.0057397812552</v>
      </c>
      <c r="J680" s="36">
        <v>677</v>
      </c>
      <c r="K680" s="37">
        <f>Tableau!$G$36*COS(J680*PI()/180)+Tableau!$G$35</f>
        <v>-1343.2314919041478</v>
      </c>
      <c r="L680" s="37">
        <f>Tableau!$G$36*SIN(J680*PI()/180)+Tableau!$H$35</f>
        <v>-18409.991800312491</v>
      </c>
      <c r="N680" s="92">
        <v>676</v>
      </c>
      <c r="O680" s="93">
        <v>338</v>
      </c>
      <c r="P680" s="96">
        <f>P679+R679*Tableau!$G$2+((1/2)*T679)*Tableau!$G$2^2</f>
        <v>-22935121.30208287</v>
      </c>
      <c r="Q680" s="96">
        <f>Q679+S679*Tableau!$G$2+((1/2)*U679)*Tableau!$G$2^2</f>
        <v>11261964.65600699</v>
      </c>
      <c r="R680" s="96">
        <f>R679+T679*Tableau!$G$2</f>
        <v>-68698.011893028583</v>
      </c>
      <c r="S680" s="96">
        <f>S679+U679*Tableau!$G$2</f>
        <v>33800.634259385028</v>
      </c>
      <c r="T680" s="96">
        <f t="shared" si="20"/>
        <v>1.6862344517558968E-3</v>
      </c>
      <c r="U680" s="96">
        <f t="shared" si="21"/>
        <v>-8.2800449356417686E-4</v>
      </c>
      <c r="V680" s="96">
        <f>((Tableau!$G$16-P680)/(AC680^2+Tableau!$G$21^2)^(3/2))*Tableau!$G$20</f>
        <v>7.1929920826586643E-4</v>
      </c>
      <c r="W680" s="96">
        <f>((Tableau!$H$16-Q680)/(AC680^2+Tableau!$G$21^2)^(3/2))*Tableau!$G$20</f>
        <v>-3.5265888644149589E-4</v>
      </c>
      <c r="X680" s="96">
        <f>((Tableau!$G$25-P680)/(AD680^2+Tableau!$G$30^2)^(3/2))*Tableau!$G$29</f>
        <v>2.47362483375106E-4</v>
      </c>
      <c r="Y680" s="96">
        <f>((Tableau!$H$25-Q680)/(AD680^2+Tableau!$G$30^2)^(3/2))*Tableau!$G$29</f>
        <v>-1.2146188900627029E-4</v>
      </c>
      <c r="Z680" s="96">
        <f>((Tableau!$G$35-P680)/(AE680^2+Tableau!$G$40^2)^(3/2))*Tableau!$G$39</f>
        <v>7.1957276011492437E-4</v>
      </c>
      <c r="AA680" s="97">
        <f>((Tableau!$H$35-Q680)/(AE680^2+Tableau!$G$40^2)^(3/2))*Tableau!$G$39</f>
        <v>-3.5388371811641067E-4</v>
      </c>
      <c r="AC680" s="110">
        <f>SQRT((Tableau!$G$16-P680)^2+(Tableau!$H$16-Q680)^2)</f>
        <v>25565613.012142878</v>
      </c>
      <c r="AD680" s="111">
        <f>SQRT((Tableau!$G$25-P680)^2+(Tableau!$H$25-Q680)^2)</f>
        <v>25528601.467945766</v>
      </c>
      <c r="AE680" s="112">
        <f>SQRT((Tableau!$G$35-P680)^2+(Tableau!$H$35-Q680)^2)</f>
        <v>25553089.730618987</v>
      </c>
    </row>
    <row r="681" spans="2:31" x14ac:dyDescent="0.25">
      <c r="B681" s="18">
        <v>678</v>
      </c>
      <c r="C681" s="19">
        <f>Tableau!$G$17*COS(B681*PI()/180)+Tableau!$G$16</f>
        <v>23715.724127386966</v>
      </c>
      <c r="D681" s="19">
        <f>Tableau!$G$17*SIN(B681*PI()/180)+Tableau!$H$16</f>
        <v>4154.3469682057048</v>
      </c>
      <c r="F681" s="26">
        <v>678</v>
      </c>
      <c r="G681" s="27">
        <f>Tableau!$G$26*COS(F681*PI()/180)+Tableau!$G$25</f>
        <v>-17398.993110829124</v>
      </c>
      <c r="H681" s="27">
        <f>Tableau!$G$26*SIN(F681*PI()/180)+Tableau!$H$25</f>
        <v>7658.0428777439938</v>
      </c>
      <c r="J681" s="34">
        <v>678</v>
      </c>
      <c r="K681" s="35">
        <f>Tableau!$G$36*COS(J681*PI()/180)+Tableau!$G$35</f>
        <v>-1284.2758726130323</v>
      </c>
      <c r="L681" s="35">
        <f>Tableau!$G$36*SIN(J681*PI()/180)+Tableau!$H$35</f>
        <v>-18345.653031794296</v>
      </c>
      <c r="N681" s="98">
        <v>677</v>
      </c>
      <c r="O681" s="99">
        <v>338.5</v>
      </c>
      <c r="P681" s="101">
        <f>P680+R680*Tableau!$G$2+((1/2)*T680)*Tableau!$G$2^2</f>
        <v>-22969470.307818603</v>
      </c>
      <c r="Q681" s="101">
        <f>Q680+S680*Tableau!$G$2+((1/2)*U680)*Tableau!$G$2^2</f>
        <v>11278864.973033182</v>
      </c>
      <c r="R681" s="101">
        <f>R680+T680*Tableau!$G$2</f>
        <v>-68698.011049911351</v>
      </c>
      <c r="S681" s="101">
        <f>S680+U680*Tableau!$G$2</f>
        <v>33800.633845382778</v>
      </c>
      <c r="T681" s="101">
        <f t="shared" si="20"/>
        <v>1.6811928010045686E-3</v>
      </c>
      <c r="U681" s="101">
        <f t="shared" si="21"/>
        <v>-8.2553131596573958E-4</v>
      </c>
      <c r="V681" s="101">
        <f>((Tableau!$G$16-P681)/(AC681^2+Tableau!$G$21^2)^(3/2))*Tableau!$G$20</f>
        <v>7.1714917039092027E-4</v>
      </c>
      <c r="W681" s="101">
        <f>((Tableau!$H$16-Q681)/(AC681^2+Tableau!$G$21^2)^(3/2))*Tableau!$G$20</f>
        <v>-3.5160662387401557E-4</v>
      </c>
      <c r="X681" s="101">
        <f>((Tableau!$G$25-P681)/(AD681^2+Tableau!$G$30^2)^(3/2))*Tableau!$G$29</f>
        <v>2.4662213753975248E-4</v>
      </c>
      <c r="Y681" s="101">
        <f>((Tableau!$H$25-Q681)/(AD681^2+Tableau!$G$30^2)^(3/2))*Tableau!$G$29</f>
        <v>-1.2109872384938947E-4</v>
      </c>
      <c r="Z681" s="101">
        <f>((Tableau!$G$35-P681)/(AE681^2+Tableau!$G$40^2)^(3/2))*Tableau!$G$39</f>
        <v>7.1742149307389594E-4</v>
      </c>
      <c r="AA681" s="102">
        <f>((Tableau!$H$35-Q681)/(AE681^2+Tableau!$G$40^2)^(3/2))*Tableau!$G$39</f>
        <v>-3.5282596824233453E-4</v>
      </c>
      <c r="AC681" s="113">
        <f>SQRT((Tableau!$G$16-P681)^2+(Tableau!$H$16-Q681)^2)</f>
        <v>25603894.496529087</v>
      </c>
      <c r="AD681" s="114">
        <f>SQRT((Tableau!$G$25-P681)^2+(Tableau!$H$25-Q681)^2)</f>
        <v>25566882.977592357</v>
      </c>
      <c r="AE681" s="115">
        <f>SQRT((Tableau!$G$35-P681)^2+(Tableau!$H$35-Q681)^2)</f>
        <v>25591371.251806498</v>
      </c>
    </row>
    <row r="682" spans="2:31" x14ac:dyDescent="0.25">
      <c r="B682" s="20">
        <v>679</v>
      </c>
      <c r="C682" s="21">
        <f>Tableau!$G$17*COS(B682*PI()/180)+Tableau!$G$16</f>
        <v>23773.54790111386</v>
      </c>
      <c r="D682" s="21">
        <f>Tableau!$G$17*SIN(B682*PI()/180)+Tableau!$H$16</f>
        <v>4219.7048550474619</v>
      </c>
      <c r="F682" s="28">
        <v>679</v>
      </c>
      <c r="G682" s="29">
        <f>Tableau!$G$26*COS(F682*PI()/180)+Tableau!$G$25</f>
        <v>-17358.5164692203</v>
      </c>
      <c r="H682" s="29">
        <f>Tableau!$G$26*SIN(F682*PI()/180)+Tableau!$H$25</f>
        <v>7703.7933985332238</v>
      </c>
      <c r="J682" s="36">
        <v>679</v>
      </c>
      <c r="K682" s="37">
        <f>Tableau!$G$36*COS(J682*PI()/180)+Tableau!$G$35</f>
        <v>-1226.4520988861409</v>
      </c>
      <c r="L682" s="37">
        <f>Tableau!$G$36*SIN(J682*PI()/180)+Tableau!$H$35</f>
        <v>-18280.295144952539</v>
      </c>
      <c r="N682" s="92">
        <v>678</v>
      </c>
      <c r="O682" s="93">
        <v>339</v>
      </c>
      <c r="P682" s="96">
        <f>P681+R681*Tableau!$G$2+((1/2)*T681)*Tableau!$G$2^2</f>
        <v>-23003819.313133411</v>
      </c>
      <c r="Q682" s="96">
        <f>Q681+S681*Tableau!$G$2+((1/2)*U681)*Tableau!$G$2^2</f>
        <v>11295765.289852683</v>
      </c>
      <c r="R682" s="96">
        <f>R681+T681*Tableau!$G$2</f>
        <v>-68698.010209314947</v>
      </c>
      <c r="S682" s="96">
        <f>S681+U681*Tableau!$G$2</f>
        <v>33800.63343261712</v>
      </c>
      <c r="T682" s="96">
        <f t="shared" si="20"/>
        <v>1.6761737275015252E-3</v>
      </c>
      <c r="U682" s="96">
        <f t="shared" si="21"/>
        <v>-8.230692026149752E-4</v>
      </c>
      <c r="V682" s="96">
        <f>((Tableau!$G$16-P682)/(AC682^2+Tableau!$G$21^2)^(3/2))*Tableau!$G$20</f>
        <v>7.1500875807454069E-4</v>
      </c>
      <c r="W682" s="96">
        <f>((Tableau!$H$16-Q682)/(AC682^2+Tableau!$G$21^2)^(3/2))*Tableau!$G$20</f>
        <v>-3.5055906389560117E-4</v>
      </c>
      <c r="X682" s="96">
        <f>((Tableau!$G$25-P682)/(AD682^2+Tableau!$G$30^2)^(3/2))*Tableau!$G$29</f>
        <v>2.4588511048252617E-4</v>
      </c>
      <c r="Y682" s="96">
        <f>((Tableau!$H$25-Q682)/(AD682^2+Tableau!$G$30^2)^(3/2))*Tableau!$G$29</f>
        <v>-1.2073718503301996E-4</v>
      </c>
      <c r="Z682" s="96">
        <f>((Tableau!$G$35-P682)/(AE682^2+Tableau!$G$40^2)^(3/2))*Tableau!$G$39</f>
        <v>7.152798589444584E-4</v>
      </c>
      <c r="AA682" s="97">
        <f>((Tableau!$H$35-Q682)/(AE682^2+Tableau!$G$40^2)^(3/2))*Tableau!$G$39</f>
        <v>-3.5177295368635399E-4</v>
      </c>
      <c r="AC682" s="110">
        <f>SQRT((Tableau!$G$16-P682)^2+(Tableau!$H$16-Q682)^2)</f>
        <v>25642175.980558045</v>
      </c>
      <c r="AD682" s="111">
        <f>SQRT((Tableau!$G$25-P682)^2+(Tableau!$H$25-Q682)^2)</f>
        <v>25605164.486806329</v>
      </c>
      <c r="AE682" s="112">
        <f>SQRT((Tableau!$G$35-P682)^2+(Tableau!$H$35-Q682)^2)</f>
        <v>25629652.772526875</v>
      </c>
    </row>
    <row r="683" spans="2:31" x14ac:dyDescent="0.25">
      <c r="B683" s="18">
        <v>680</v>
      </c>
      <c r="C683" s="19">
        <f>Tableau!$G$17*COS(B683*PI()/180)+Tableau!$G$16</f>
        <v>23830.222215594891</v>
      </c>
      <c r="D683" s="19">
        <f>Tableau!$G$17*SIN(B683*PI()/180)+Tableau!$H$16</f>
        <v>4286.0619515673043</v>
      </c>
      <c r="F683" s="26">
        <v>680</v>
      </c>
      <c r="G683" s="27">
        <f>Tableau!$G$26*COS(F683*PI()/180)+Tableau!$G$25</f>
        <v>-17318.844449083575</v>
      </c>
      <c r="H683" s="27">
        <f>Tableau!$G$26*SIN(F683*PI()/180)+Tableau!$H$25</f>
        <v>7750.2433660971128</v>
      </c>
      <c r="J683" s="34">
        <v>680</v>
      </c>
      <c r="K683" s="35">
        <f>Tableau!$G$36*COS(J683*PI()/180)+Tableau!$G$35</f>
        <v>-1169.7777844051088</v>
      </c>
      <c r="L683" s="35">
        <f>Tableau!$G$36*SIN(J683*PI()/180)+Tableau!$H$35</f>
        <v>-18213.938048432694</v>
      </c>
      <c r="N683" s="98">
        <v>679</v>
      </c>
      <c r="O683" s="99">
        <v>339.5</v>
      </c>
      <c r="P683" s="101">
        <f>P682+R682*Tableau!$G$2+((1/2)*T682)*Tableau!$G$2^2</f>
        <v>-23038168.318028547</v>
      </c>
      <c r="Q683" s="101">
        <f>Q682+S682*Tableau!$G$2+((1/2)*U682)*Tableau!$G$2^2</f>
        <v>11312665.606466107</v>
      </c>
      <c r="R683" s="101">
        <f>R682+T682*Tableau!$G$2</f>
        <v>-68698.00937122808</v>
      </c>
      <c r="S683" s="101">
        <f>S682+U682*Tableau!$G$2</f>
        <v>33800.633021082518</v>
      </c>
      <c r="T683" s="101">
        <f t="shared" si="20"/>
        <v>1.6711770966418937E-3</v>
      </c>
      <c r="U683" s="101">
        <f t="shared" si="21"/>
        <v>-8.2061808761262674E-4</v>
      </c>
      <c r="V683" s="101">
        <f>((Tableau!$G$16-P683)/(AC683^2+Tableau!$G$21^2)^(3/2))*Tableau!$G$20</f>
        <v>7.1287791394509766E-4</v>
      </c>
      <c r="W683" s="101">
        <f>((Tableau!$H$16-Q683)/(AC683^2+Tableau!$G$21^2)^(3/2))*Tableau!$G$20</f>
        <v>-3.4951617852664189E-4</v>
      </c>
      <c r="X683" s="101">
        <f>((Tableau!$G$25-P683)/(AD683^2+Tableau!$G$30^2)^(3/2))*Tableau!$G$29</f>
        <v>2.4515138239670315E-4</v>
      </c>
      <c r="Y683" s="101">
        <f>((Tableau!$H$25-Q683)/(AD683^2+Tableau!$G$30^2)^(3/2))*Tableau!$G$29</f>
        <v>-1.2037726286077291E-4</v>
      </c>
      <c r="Z683" s="101">
        <f>((Tableau!$G$35-P683)/(AE683^2+Tableau!$G$40^2)^(3/2))*Tableau!$G$39</f>
        <v>7.1314780030009293E-4</v>
      </c>
      <c r="AA683" s="102">
        <f>((Tableau!$H$35-Q683)/(AE683^2+Tableau!$G$40^2)^(3/2))*Tableau!$G$39</f>
        <v>-3.5072464622521197E-4</v>
      </c>
      <c r="AC683" s="113">
        <f>SQRT((Tableau!$G$16-P683)^2+(Tableau!$H$16-Q683)^2)</f>
        <v>25680457.464230649</v>
      </c>
      <c r="AD683" s="114">
        <f>SQRT((Tableau!$G$25-P683)^2+(Tableau!$H$25-Q683)^2)</f>
        <v>25643445.995588914</v>
      </c>
      <c r="AE683" s="115">
        <f>SQRT((Tableau!$G$35-P683)^2+(Tableau!$H$35-Q683)^2)</f>
        <v>25667934.292781513</v>
      </c>
    </row>
    <row r="684" spans="2:31" x14ac:dyDescent="0.25">
      <c r="B684" s="20">
        <v>681</v>
      </c>
      <c r="C684" s="21">
        <f>Tableau!$G$17*COS(B684*PI()/180)+Tableau!$G$16</f>
        <v>23885.72980728485</v>
      </c>
      <c r="D684" s="21">
        <f>Tableau!$G$17*SIN(B684*PI()/180)+Tableau!$H$16</f>
        <v>4353.3980447508093</v>
      </c>
      <c r="F684" s="28">
        <v>681</v>
      </c>
      <c r="G684" s="29">
        <f>Tableau!$G$26*COS(F684*PI()/180)+Tableau!$G$25</f>
        <v>-17279.989134900603</v>
      </c>
      <c r="H684" s="29">
        <f>Tableau!$G$26*SIN(F684*PI()/180)+Tableau!$H$25</f>
        <v>7797.3786313255669</v>
      </c>
      <c r="J684" s="36">
        <v>681</v>
      </c>
      <c r="K684" s="37">
        <f>Tableau!$G$36*COS(J684*PI()/180)+Tableau!$G$35</f>
        <v>-1114.2701927151484</v>
      </c>
      <c r="L684" s="37">
        <f>Tableau!$G$36*SIN(J684*PI()/180)+Tableau!$H$35</f>
        <v>-18146.601955249189</v>
      </c>
      <c r="N684" s="92">
        <v>680</v>
      </c>
      <c r="O684" s="93">
        <v>340</v>
      </c>
      <c r="P684" s="96">
        <f>P683+R683*Tableau!$G$2+((1/2)*T683)*Tableau!$G$2^2</f>
        <v>-23072517.322505265</v>
      </c>
      <c r="Q684" s="96">
        <f>Q683+S683*Tableau!$G$2+((1/2)*U683)*Tableau!$G$2^2</f>
        <v>11329565.922874071</v>
      </c>
      <c r="R684" s="96">
        <f>R683+T683*Tableau!$G$2</f>
        <v>-68698.008535639528</v>
      </c>
      <c r="S684" s="96">
        <f>S683+U683*Tableau!$G$2</f>
        <v>33800.632610773471</v>
      </c>
      <c r="T684" s="96">
        <f t="shared" si="20"/>
        <v>1.6662027748224001E-3</v>
      </c>
      <c r="U684" s="96">
        <f t="shared" si="21"/>
        <v>-8.1817790554931003E-4</v>
      </c>
      <c r="V684" s="96">
        <f>((Tableau!$G$16-P684)/(AC684^2+Tableau!$G$21^2)^(3/2))*Tableau!$G$20</f>
        <v>7.1075658105775171E-4</v>
      </c>
      <c r="W684" s="96">
        <f>((Tableau!$H$16-Q684)/(AC684^2+Tableau!$G$21^2)^(3/2))*Tableau!$G$20</f>
        <v>-3.4847793999530163E-4</v>
      </c>
      <c r="X684" s="96">
        <f>((Tableau!$G$25-P684)/(AD684^2+Tableau!$G$30^2)^(3/2))*Tableau!$G$29</f>
        <v>2.444209336230952E-4</v>
      </c>
      <c r="Y684" s="96">
        <f>((Tableau!$H$25-Q684)/(AD684^2+Tableau!$G$30^2)^(3/2))*Tableau!$G$29</f>
        <v>-1.2001894770841343E-4</v>
      </c>
      <c r="Z684" s="96">
        <f>((Tableau!$G$35-P684)/(AE684^2+Tableau!$G$40^2)^(3/2))*Tableau!$G$39</f>
        <v>7.1102526014155327E-4</v>
      </c>
      <c r="AA684" s="97">
        <f>((Tableau!$H$35-Q684)/(AE684^2+Tableau!$G$40^2)^(3/2))*Tableau!$G$39</f>
        <v>-3.4968101784559503E-4</v>
      </c>
      <c r="AC684" s="110">
        <f>SQRT((Tableau!$G$16-P684)^2+(Tableau!$H$16-Q684)^2)</f>
        <v>25718738.947547797</v>
      </c>
      <c r="AD684" s="111">
        <f>SQRT((Tableau!$G$25-P684)^2+(Tableau!$H$25-Q684)^2)</f>
        <v>25681727.503941342</v>
      </c>
      <c r="AE684" s="112">
        <f>SQRT((Tableau!$G$35-P684)^2+(Tableau!$H$35-Q684)^2)</f>
        <v>25706215.812571794</v>
      </c>
    </row>
    <row r="685" spans="2:31" x14ac:dyDescent="0.25">
      <c r="B685" s="18">
        <v>682</v>
      </c>
      <c r="C685" s="19">
        <f>Tableau!$G$17*COS(B685*PI()/180)+Tableau!$G$16</f>
        <v>23940.053768033606</v>
      </c>
      <c r="D685" s="19">
        <f>Tableau!$G$17*SIN(B685*PI()/180)+Tableau!$H$16</f>
        <v>4421.6926233717013</v>
      </c>
      <c r="F685" s="26">
        <v>682</v>
      </c>
      <c r="G685" s="27">
        <f>Tableau!$G$26*COS(F685*PI()/180)+Tableau!$G$25</f>
        <v>-17241.962362376478</v>
      </c>
      <c r="H685" s="27">
        <f>Tableau!$G$26*SIN(F685*PI()/180)+Tableau!$H$25</f>
        <v>7845.1848363601912</v>
      </c>
      <c r="J685" s="34">
        <v>682</v>
      </c>
      <c r="K685" s="35">
        <f>Tableau!$G$36*COS(J685*PI()/180)+Tableau!$G$35</f>
        <v>-1059.9462319663962</v>
      </c>
      <c r="L685" s="35">
        <f>Tableau!$G$36*SIN(J685*PI()/180)+Tableau!$H$35</f>
        <v>-18078.307376628298</v>
      </c>
      <c r="N685" s="98">
        <v>681</v>
      </c>
      <c r="O685" s="99">
        <v>340.5</v>
      </c>
      <c r="P685" s="101">
        <f>P684+R684*Tableau!$G$2+((1/2)*T684)*Tableau!$G$2^2</f>
        <v>-23106866.326564811</v>
      </c>
      <c r="Q685" s="101">
        <f>Q684+S684*Tableau!$G$2+((1/2)*U684)*Tableau!$G$2^2</f>
        <v>11346466.239077184</v>
      </c>
      <c r="R685" s="101">
        <f>R684+T684*Tableau!$G$2</f>
        <v>-68698.007702538147</v>
      </c>
      <c r="S685" s="101">
        <f>S684+U684*Tableau!$G$2</f>
        <v>33800.632201684515</v>
      </c>
      <c r="T685" s="101">
        <f t="shared" si="20"/>
        <v>1.6612506294325182E-3</v>
      </c>
      <c r="U685" s="101">
        <f t="shared" si="21"/>
        <v>-8.1574859150118834E-4</v>
      </c>
      <c r="V685" s="101">
        <f>((Tableau!$G$16-P685)/(AC685^2+Tableau!$G$21^2)^(3/2))*Tableau!$G$20</f>
        <v>7.0864470289067928E-4</v>
      </c>
      <c r="W685" s="101">
        <f>((Tableau!$H$16-Q685)/(AC685^2+Tableau!$G$21^2)^(3/2))*Tableau!$G$20</f>
        <v>-3.4744432073568489E-4</v>
      </c>
      <c r="X685" s="101">
        <f>((Tableau!$G$25-P685)/(AD685^2+Tableau!$G$30^2)^(3/2))*Tableau!$G$29</f>
        <v>2.436937446487376E-4</v>
      </c>
      <c r="Y685" s="101">
        <f>((Tableau!$H$25-Q685)/(AD685^2+Tableau!$G$30^2)^(3/2))*Tableau!$G$29</f>
        <v>-1.1966223002321911E-4</v>
      </c>
      <c r="Z685" s="101">
        <f>((Tableau!$G$35-P685)/(AE685^2+Tableau!$G$40^2)^(3/2))*Tableau!$G$39</f>
        <v>7.0891218189310151E-4</v>
      </c>
      <c r="AA685" s="102">
        <f>((Tableau!$H$35-Q685)/(AE685^2+Tableau!$G$40^2)^(3/2))*Tableau!$G$39</f>
        <v>-3.4864204074228441E-4</v>
      </c>
      <c r="AC685" s="113">
        <f>SQRT((Tableau!$G$16-P685)^2+(Tableau!$H$16-Q685)^2)</f>
        <v>25757020.430510387</v>
      </c>
      <c r="AD685" s="114">
        <f>SQRT((Tableau!$G$25-P685)^2+(Tableau!$H$25-Q685)^2)</f>
        <v>25720009.011864848</v>
      </c>
      <c r="AE685" s="115">
        <f>SQRT((Tableau!$G$35-P685)^2+(Tableau!$H$35-Q685)^2)</f>
        <v>25744497.331899099</v>
      </c>
    </row>
    <row r="686" spans="2:31" x14ac:dyDescent="0.25">
      <c r="B686" s="20">
        <v>683</v>
      </c>
      <c r="C686" s="21">
        <f>Tableau!$G$17*COS(B686*PI()/180)+Tableau!$G$16</f>
        <v>23993.177550236465</v>
      </c>
      <c r="D686" s="21">
        <f>Tableau!$G$17*SIN(B686*PI()/180)+Tableau!$H$16</f>
        <v>4490.924884239761</v>
      </c>
      <c r="F686" s="28">
        <v>683</v>
      </c>
      <c r="G686" s="29">
        <f>Tableau!$G$26*COS(F686*PI()/180)+Tableau!$G$25</f>
        <v>-17204.775714834475</v>
      </c>
      <c r="H686" s="29">
        <f>Tableau!$G$26*SIN(F686*PI()/180)+Tableau!$H$25</f>
        <v>7893.647418967832</v>
      </c>
      <c r="J686" s="36">
        <v>683</v>
      </c>
      <c r="K686" s="37">
        <f>Tableau!$G$36*COS(J686*PI()/180)+Tableau!$G$35</f>
        <v>-1006.8224497635338</v>
      </c>
      <c r="L686" s="37">
        <f>Tableau!$G$36*SIN(J686*PI()/180)+Tableau!$H$35</f>
        <v>-18009.075115760239</v>
      </c>
      <c r="N686" s="92">
        <v>682</v>
      </c>
      <c r="O686" s="93">
        <v>341</v>
      </c>
      <c r="P686" s="96">
        <f>P685+R685*Tableau!$G$2+((1/2)*T685)*Tableau!$G$2^2</f>
        <v>-23141215.330208424</v>
      </c>
      <c r="Q686" s="96">
        <f>Q685+S685*Tableau!$G$2+((1/2)*U685)*Tableau!$G$2^2</f>
        <v>11363366.555076057</v>
      </c>
      <c r="R686" s="96">
        <f>R685+T685*Tableau!$G$2</f>
        <v>-68698.006871912832</v>
      </c>
      <c r="S686" s="96">
        <f>S685+U685*Tableau!$G$2</f>
        <v>33800.631793810222</v>
      </c>
      <c r="T686" s="96">
        <f t="shared" si="20"/>
        <v>1.6563205288455942E-3</v>
      </c>
      <c r="U686" s="96">
        <f t="shared" si="21"/>
        <v>-8.1333008102563598E-4</v>
      </c>
      <c r="V686" s="96">
        <f>((Tableau!$G$16-P686)/(AC686^2+Tableau!$G$21^2)^(3/2))*Tableau!$G$20</f>
        <v>7.0654222334130845E-4</v>
      </c>
      <c r="W686" s="96">
        <f>((Tableau!$H$16-Q686)/(AC686^2+Tableau!$G$21^2)^(3/2))*Tableau!$G$20</f>
        <v>-3.4641529338600731E-4</v>
      </c>
      <c r="X686" s="96">
        <f>((Tableau!$G$25-P686)/(AD686^2+Tableau!$G$30^2)^(3/2))*Tableau!$G$29</f>
        <v>2.4296979610558534E-4</v>
      </c>
      <c r="Y686" s="96">
        <f>((Tableau!$H$25-Q686)/(AD686^2+Tableau!$G$30^2)^(3/2))*Tableau!$G$29</f>
        <v>-1.1930710032334338E-4</v>
      </c>
      <c r="Z686" s="96">
        <f>((Tableau!$G$35-P686)/(AE686^2+Tableau!$G$40^2)^(3/2))*Tableau!$G$39</f>
        <v>7.0680850939870059E-4</v>
      </c>
      <c r="AA686" s="97">
        <f>((Tableau!$H$35-Q686)/(AE686^2+Tableau!$G$40^2)^(3/2))*Tableau!$G$39</f>
        <v>-3.4760768731628526E-4</v>
      </c>
      <c r="AC686" s="110">
        <f>SQRT((Tableau!$G$16-P686)^2+(Tableau!$H$16-Q686)^2)</f>
        <v>25795301.913119309</v>
      </c>
      <c r="AD686" s="111">
        <f>SQRT((Tableau!$G$25-P686)^2+(Tableau!$H$25-Q686)^2)</f>
        <v>25758290.519360647</v>
      </c>
      <c r="AE686" s="112">
        <f>SQRT((Tableau!$G$35-P686)^2+(Tableau!$H$35-Q686)^2)</f>
        <v>25782778.850764804</v>
      </c>
    </row>
    <row r="687" spans="2:31" x14ac:dyDescent="0.25">
      <c r="B687" s="18">
        <v>684</v>
      </c>
      <c r="C687" s="19">
        <f>Tableau!$G$17*COS(B687*PI()/180)+Tableau!$G$16</f>
        <v>24045.084971874734</v>
      </c>
      <c r="D687" s="19">
        <f>Tableau!$G$17*SIN(B687*PI()/180)+Tableau!$H$16</f>
        <v>4561.0737385376324</v>
      </c>
      <c r="F687" s="26">
        <v>684</v>
      </c>
      <c r="G687" s="27">
        <f>Tableau!$G$26*COS(F687*PI()/180)+Tableau!$G$25</f>
        <v>-17168.440519687683</v>
      </c>
      <c r="H687" s="27">
        <f>Tableau!$G$26*SIN(F687*PI()/180)+Tableau!$H$25</f>
        <v>7942.751616976343</v>
      </c>
      <c r="J687" s="34">
        <v>684</v>
      </c>
      <c r="K687" s="35">
        <f>Tableau!$G$36*COS(J687*PI()/180)+Tableau!$G$35</f>
        <v>-954.9150281252646</v>
      </c>
      <c r="L687" s="35">
        <f>Tableau!$G$36*SIN(J687*PI()/180)+Tableau!$H$35</f>
        <v>-17938.926261462366</v>
      </c>
      <c r="N687" s="98">
        <v>683</v>
      </c>
      <c r="O687" s="99">
        <v>341.5</v>
      </c>
      <c r="P687" s="101">
        <f>P686+R686*Tableau!$G$2+((1/2)*T686)*Tableau!$G$2^2</f>
        <v>-23175564.333437342</v>
      </c>
      <c r="Q687" s="101">
        <f>Q686+S686*Tableau!$G$2+((1/2)*U686)*Tableau!$G$2^2</f>
        <v>11380266.870871296</v>
      </c>
      <c r="R687" s="101">
        <f>R686+T686*Tableau!$G$2</f>
        <v>-68698.006043752568</v>
      </c>
      <c r="S687" s="101">
        <f>S686+U686*Tableau!$G$2</f>
        <v>33800.631387145178</v>
      </c>
      <c r="T687" s="101">
        <f t="shared" si="20"/>
        <v>1.6514123424100826E-3</v>
      </c>
      <c r="U687" s="101">
        <f t="shared" si="21"/>
        <v>-8.1092231015695616E-4</v>
      </c>
      <c r="V687" s="101">
        <f>((Tableau!$G$16-P687)/(AC687^2+Tableau!$G$21^2)^(3/2))*Tableau!$G$20</f>
        <v>7.0444908672254722E-4</v>
      </c>
      <c r="W687" s="101">
        <f>((Tableau!$H$16-Q687)/(AC687^2+Tableau!$G$21^2)^(3/2))*Tableau!$G$20</f>
        <v>-3.4539083078676273E-4</v>
      </c>
      <c r="X687" s="101">
        <f>((Tableau!$G$25-P687)/(AD687^2+Tableau!$G$30^2)^(3/2))*Tableau!$G$29</f>
        <v>2.4224906876922761E-4</v>
      </c>
      <c r="Y687" s="101">
        <f>((Tableau!$H$25-Q687)/(AD687^2+Tableau!$G$30^2)^(3/2))*Tableau!$G$29</f>
        <v>-1.1895354919718714E-4</v>
      </c>
      <c r="Z687" s="101">
        <f>((Tableau!$G$35-P687)/(AE687^2+Tableau!$G$40^2)^(3/2))*Tableau!$G$39</f>
        <v>7.0471418691830793E-4</v>
      </c>
      <c r="AA687" s="102">
        <f>((Tableau!$H$35-Q687)/(AE687^2+Tableau!$G$40^2)^(3/2))*Tableau!$G$39</f>
        <v>-3.4657793017300626E-4</v>
      </c>
      <c r="AC687" s="113">
        <f>SQRT((Tableau!$G$16-P687)^2+(Tableau!$H$16-Q687)^2)</f>
        <v>25833583.395375453</v>
      </c>
      <c r="AD687" s="114">
        <f>SQRT((Tableau!$G$25-P687)^2+(Tableau!$H$25-Q687)^2)</f>
        <v>25796572.026429962</v>
      </c>
      <c r="AE687" s="115">
        <f>SQRT((Tableau!$G$35-P687)^2+(Tableau!$H$35-Q687)^2)</f>
        <v>25821060.369170271</v>
      </c>
    </row>
    <row r="688" spans="2:31" x14ac:dyDescent="0.25">
      <c r="B688" s="20">
        <v>685</v>
      </c>
      <c r="C688" s="21">
        <f>Tableau!$G$17*COS(B688*PI()/180)+Tableau!$G$16</f>
        <v>24095.760221444954</v>
      </c>
      <c r="D688" s="21">
        <f>Tableau!$G$17*SIN(B688*PI()/180)+Tableau!$H$16</f>
        <v>4632.1178182447629</v>
      </c>
      <c r="F688" s="28">
        <v>685</v>
      </c>
      <c r="G688" s="29">
        <f>Tableau!$G$26*COS(F688*PI()/180)+Tableau!$G$25</f>
        <v>-17132.967844988532</v>
      </c>
      <c r="H688" s="29">
        <f>Tableau!$G$26*SIN(F688*PI()/180)+Tableau!$H$25</f>
        <v>7992.482472771334</v>
      </c>
      <c r="J688" s="36">
        <v>685</v>
      </c>
      <c r="K688" s="37">
        <f>Tableau!$G$36*COS(J688*PI()/180)+Tableau!$G$35</f>
        <v>-904.23977855504563</v>
      </c>
      <c r="L688" s="37">
        <f>Tableau!$G$36*SIN(J688*PI()/180)+Tableau!$H$35</f>
        <v>-17867.882181755238</v>
      </c>
      <c r="N688" s="92">
        <v>684</v>
      </c>
      <c r="O688" s="93">
        <v>342</v>
      </c>
      <c r="P688" s="96">
        <f>P687+R687*Tableau!$G$2+((1/2)*T687)*Tableau!$G$2^2</f>
        <v>-23209913.336252794</v>
      </c>
      <c r="Q688" s="96">
        <f>Q687+S687*Tableau!$G$2+((1/2)*U687)*Tableau!$G$2^2</f>
        <v>11397167.186463503</v>
      </c>
      <c r="R688" s="96">
        <f>R687+T687*Tableau!$G$2</f>
        <v>-68698.005218046397</v>
      </c>
      <c r="S688" s="96">
        <f>S687+U687*Tableau!$G$2</f>
        <v>33800.630981684022</v>
      </c>
      <c r="T688" s="96">
        <f t="shared" si="20"/>
        <v>1.6465259404409428E-3</v>
      </c>
      <c r="U688" s="96">
        <f t="shared" si="21"/>
        <v>-8.0852521540217682E-4</v>
      </c>
      <c r="V688" s="96">
        <f>((Tableau!$G$16-P688)/(AC688^2+Tableau!$G$21^2)^(3/2))*Tableau!$G$20</f>
        <v>7.0236523775915702E-4</v>
      </c>
      <c r="W688" s="96">
        <f>((Tableau!$H$16-Q688)/(AC688^2+Tableau!$G$21^2)^(3/2))*Tableau!$G$20</f>
        <v>-3.4437090597896035E-4</v>
      </c>
      <c r="X688" s="96">
        <f>((Tableau!$G$25-P688)/(AD688^2+Tableau!$G$30^2)^(3/2))*Tableau!$G$29</f>
        <v>2.4153154355760069E-4</v>
      </c>
      <c r="Y688" s="96">
        <f>((Tableau!$H$25-Q688)/(AD688^2+Tableau!$G$30^2)^(3/2))*Tableau!$G$29</f>
        <v>-1.1860156730277007E-4</v>
      </c>
      <c r="Z688" s="96">
        <f>((Tableau!$G$35-P688)/(AE688^2+Tableau!$G$40^2)^(3/2))*Tableau!$G$39</f>
        <v>7.0262915912418526E-4</v>
      </c>
      <c r="AA688" s="97">
        <f>((Tableau!$H$35-Q688)/(AE688^2+Tableau!$G$40^2)^(3/2))*Tableau!$G$39</f>
        <v>-3.4555274212044648E-4</v>
      </c>
      <c r="AC688" s="110">
        <f>SQRT((Tableau!$G$16-P688)^2+(Tableau!$H$16-Q688)^2)</f>
        <v>25871864.877279699</v>
      </c>
      <c r="AD688" s="111">
        <f>SQRT((Tableau!$G$25-P688)^2+(Tableau!$H$25-Q688)^2)</f>
        <v>25834853.533074003</v>
      </c>
      <c r="AE688" s="112">
        <f>SQRT((Tableau!$G$35-P688)^2+(Tableau!$H$35-Q688)^2)</f>
        <v>25859341.887116868</v>
      </c>
    </row>
    <row r="689" spans="2:31" x14ac:dyDescent="0.25">
      <c r="B689" s="18">
        <v>686</v>
      </c>
      <c r="C689" s="19">
        <f>Tableau!$G$17*COS(B689*PI()/180)+Tableau!$G$16</f>
        <v>24145.187862775212</v>
      </c>
      <c r="D689" s="19">
        <f>Tableau!$G$17*SIN(B689*PI()/180)+Tableau!$H$16</f>
        <v>4704.0354826462699</v>
      </c>
      <c r="F689" s="26">
        <v>686</v>
      </c>
      <c r="G689" s="27">
        <f>Tableau!$G$26*COS(F689*PI()/180)+Tableau!$G$25</f>
        <v>-17098.368496057352</v>
      </c>
      <c r="H689" s="27">
        <f>Tableau!$G$26*SIN(F689*PI()/180)+Tableau!$H$25</f>
        <v>8042.8248378523895</v>
      </c>
      <c r="J689" s="34">
        <v>686</v>
      </c>
      <c r="K689" s="35">
        <f>Tableau!$G$36*COS(J689*PI()/180)+Tableau!$G$35</f>
        <v>-854.81213722478878</v>
      </c>
      <c r="L689" s="35">
        <f>Tableau!$G$36*SIN(J689*PI()/180)+Tableau!$H$35</f>
        <v>-17795.964517353728</v>
      </c>
      <c r="N689" s="98">
        <v>685</v>
      </c>
      <c r="O689" s="99">
        <v>342.5</v>
      </c>
      <c r="P689" s="101">
        <f>P688+R688*Tableau!$G$2+((1/2)*T688)*Tableau!$G$2^2</f>
        <v>-23244262.338656001</v>
      </c>
      <c r="Q689" s="101">
        <f>Q688+S688*Tableau!$G$2+((1/2)*U688)*Tableau!$G$2^2</f>
        <v>11414067.50185328</v>
      </c>
      <c r="R689" s="101">
        <f>R688+T688*Tableau!$G$2</f>
        <v>-68698.00439478342</v>
      </c>
      <c r="S689" s="101">
        <f>S688+U688*Tableau!$G$2</f>
        <v>33800.630577421412</v>
      </c>
      <c r="T689" s="101">
        <f t="shared" si="20"/>
        <v>1.6416611942110227E-3</v>
      </c>
      <c r="U689" s="101">
        <f t="shared" si="21"/>
        <v>-8.061387337368409E-4</v>
      </c>
      <c r="V689" s="101">
        <f>((Tableau!$G$16-P689)/(AC689^2+Tableau!$G$21^2)^(3/2))*Tableau!$G$20</f>
        <v>7.00290621584062E-4</v>
      </c>
      <c r="W689" s="101">
        <f>((Tableau!$H$16-Q689)/(AC689^2+Tableau!$G$21^2)^(3/2))*Tableau!$G$20</f>
        <v>-3.4335549220233146E-4</v>
      </c>
      <c r="X689" s="101">
        <f>((Tableau!$G$25-P689)/(AD689^2+Tableau!$G$30^2)^(3/2))*Tableau!$G$29</f>
        <v>2.4081720152974249E-4</v>
      </c>
      <c r="Y689" s="101">
        <f>((Tableau!$H$25-Q689)/(AD689^2+Tableau!$G$30^2)^(3/2))*Tableau!$G$29</f>
        <v>-1.1825114536712203E-4</v>
      </c>
      <c r="Z689" s="101">
        <f>((Tableau!$G$35-P689)/(AE689^2+Tableau!$G$40^2)^(3/2))*Tableau!$G$39</f>
        <v>7.0055337109721809E-4</v>
      </c>
      <c r="AA689" s="102">
        <f>((Tableau!$H$35-Q689)/(AE689^2+Tableau!$G$40^2)^(3/2))*Tableau!$G$39</f>
        <v>-3.4453209616738746E-4</v>
      </c>
      <c r="AC689" s="113">
        <f>SQRT((Tableau!$G$16-P689)^2+(Tableau!$H$16-Q689)^2)</f>
        <v>25910146.358832929</v>
      </c>
      <c r="AD689" s="114">
        <f>SQRT((Tableau!$G$25-P689)^2+(Tableau!$H$25-Q689)^2)</f>
        <v>25873135.039293975</v>
      </c>
      <c r="AE689" s="115">
        <f>SQRT((Tableau!$G$35-P689)^2+(Tableau!$H$35-Q689)^2)</f>
        <v>25897623.404605951</v>
      </c>
    </row>
    <row r="690" spans="2:31" x14ac:dyDescent="0.25">
      <c r="B690" s="20">
        <v>687</v>
      </c>
      <c r="C690" s="21">
        <f>Tableau!$G$17*COS(B690*PI()/180)+Tableau!$G$16</f>
        <v>24193.352839727118</v>
      </c>
      <c r="D690" s="21">
        <f>Tableau!$G$17*SIN(B690*PI()/180)+Tableau!$H$16</f>
        <v>4776.8048249248641</v>
      </c>
      <c r="F690" s="28">
        <v>687</v>
      </c>
      <c r="G690" s="29">
        <f>Tableau!$G$26*COS(F690*PI()/180)+Tableau!$G$25</f>
        <v>-17064.653012191018</v>
      </c>
      <c r="H690" s="29">
        <f>Tableau!$G$26*SIN(F690*PI()/180)+Tableau!$H$25</f>
        <v>8093.7633774474052</v>
      </c>
      <c r="J690" s="36">
        <v>687</v>
      </c>
      <c r="K690" s="37">
        <f>Tableau!$G$36*COS(J690*PI()/180)+Tableau!$G$35</f>
        <v>-806.64716027288068</v>
      </c>
      <c r="L690" s="37">
        <f>Tableau!$G$36*SIN(J690*PI()/180)+Tableau!$H$35</f>
        <v>-17723.195175075136</v>
      </c>
      <c r="N690" s="92">
        <v>686</v>
      </c>
      <c r="O690" s="93">
        <v>343</v>
      </c>
      <c r="P690" s="96">
        <f>P689+R689*Tableau!$G$2+((1/2)*T689)*Tableau!$G$2^2</f>
        <v>-23278611.340648185</v>
      </c>
      <c r="Q690" s="96">
        <f>Q689+S689*Tableau!$G$2+((1/2)*U689)*Tableau!$G$2^2</f>
        <v>11430967.817041224</v>
      </c>
      <c r="R690" s="96">
        <f>R689+T689*Tableau!$G$2</f>
        <v>-68698.003573952825</v>
      </c>
      <c r="S690" s="96">
        <f>S689+U689*Tableau!$G$2</f>
        <v>33800.630174352045</v>
      </c>
      <c r="T690" s="96">
        <f t="shared" si="20"/>
        <v>1.6368179759426076E-3</v>
      </c>
      <c r="U690" s="96">
        <f t="shared" si="21"/>
        <v>-8.0376280260087711E-4</v>
      </c>
      <c r="V690" s="96">
        <f>((Tableau!$G$16-P690)/(AC690^2+Tableau!$G$21^2)^(3/2))*Tableau!$G$20</f>
        <v>6.9822518373474261E-4</v>
      </c>
      <c r="W690" s="96">
        <f>((Tableau!$H$16-Q690)/(AC690^2+Tableau!$G$21^2)^(3/2))*Tableau!$G$20</f>
        <v>-3.4234456289357655E-4</v>
      </c>
      <c r="X690" s="96">
        <f>((Tableau!$G$25-P690)/(AD690^2+Tableau!$G$30^2)^(3/2))*Tableau!$G$29</f>
        <v>2.4010602388452293E-4</v>
      </c>
      <c r="Y690" s="96">
        <f>((Tableau!$H$25-Q690)/(AD690^2+Tableau!$G$30^2)^(3/2))*Tableau!$G$29</f>
        <v>-1.1790227418566276E-4</v>
      </c>
      <c r="Z690" s="96">
        <f>((Tableau!$G$35-P690)/(AE690^2+Tableau!$G$40^2)^(3/2))*Tableau!$G$39</f>
        <v>6.9848676832334191E-4</v>
      </c>
      <c r="AA690" s="97">
        <f>((Tableau!$H$35-Q690)/(AE690^2+Tableau!$G$40^2)^(3/2))*Tableau!$G$39</f>
        <v>-3.4351596552163781E-4</v>
      </c>
      <c r="AC690" s="110">
        <f>SQRT((Tableau!$G$16-P690)^2+(Tableau!$H$16-Q690)^2)</f>
        <v>25948427.840036031</v>
      </c>
      <c r="AD690" s="111">
        <f>SQRT((Tableau!$G$25-P690)^2+(Tableau!$H$25-Q690)^2)</f>
        <v>25911416.545091081</v>
      </c>
      <c r="AE690" s="112">
        <f>SQRT((Tableau!$G$35-P690)^2+(Tableau!$H$35-Q690)^2)</f>
        <v>25935904.921638869</v>
      </c>
    </row>
    <row r="691" spans="2:31" x14ac:dyDescent="0.25">
      <c r="B691" s="18">
        <v>688</v>
      </c>
      <c r="C691" s="19">
        <f>Tableau!$G$17*COS(B691*PI()/180)+Tableau!$G$16</f>
        <v>24240.240480782126</v>
      </c>
      <c r="D691" s="19">
        <f>Tableau!$G$17*SIN(B691*PI()/180)+Tableau!$H$16</f>
        <v>4850.4036788339699</v>
      </c>
      <c r="F691" s="26">
        <v>688</v>
      </c>
      <c r="G691" s="27">
        <f>Tableau!$G$26*COS(F691*PI()/180)+Tableau!$G$25</f>
        <v>-17031.831663452511</v>
      </c>
      <c r="H691" s="27">
        <f>Tableau!$G$26*SIN(F691*PI()/180)+Tableau!$H$25</f>
        <v>8145.282575183779</v>
      </c>
      <c r="J691" s="34">
        <v>688</v>
      </c>
      <c r="K691" s="35">
        <f>Tableau!$G$36*COS(J691*PI()/180)+Tableau!$G$35</f>
        <v>-759.75951921787328</v>
      </c>
      <c r="L691" s="35">
        <f>Tableau!$G$36*SIN(J691*PI()/180)+Tableau!$H$35</f>
        <v>-17649.596321166031</v>
      </c>
      <c r="N691" s="98">
        <v>687</v>
      </c>
      <c r="O691" s="99">
        <v>343.5</v>
      </c>
      <c r="P691" s="101">
        <f>P690+R690*Tableau!$G$2+((1/2)*T690)*Tableau!$G$2^2</f>
        <v>-23312960.342230562</v>
      </c>
      <c r="Q691" s="101">
        <f>Q690+S690*Tableau!$G$2+((1/2)*U690)*Tableau!$G$2^2</f>
        <v>11447868.13202793</v>
      </c>
      <c r="R691" s="101">
        <f>R690+T690*Tableau!$G$2</f>
        <v>-68698.002755543843</v>
      </c>
      <c r="S691" s="101">
        <f>S690+U690*Tableau!$G$2</f>
        <v>33800.629772470646</v>
      </c>
      <c r="T691" s="101">
        <f t="shared" si="20"/>
        <v>1.6319961587990216E-3</v>
      </c>
      <c r="U691" s="101">
        <f t="shared" si="21"/>
        <v>-8.0139735989449455E-4</v>
      </c>
      <c r="V691" s="101">
        <f>((Tableau!$G$16-P691)/(AC691^2+Tableau!$G$21^2)^(3/2))*Tableau!$G$20</f>
        <v>6.9616887014969486E-4</v>
      </c>
      <c r="W691" s="101">
        <f>((Tableau!$H$16-Q691)/(AC691^2+Tableau!$G$21^2)^(3/2))*Tableau!$G$20</f>
        <v>-3.4133809168464404E-4</v>
      </c>
      <c r="X691" s="101">
        <f>((Tableau!$G$25-P691)/(AD691^2+Tableau!$G$30^2)^(3/2))*Tableau!$G$29</f>
        <v>2.3939799195941587E-4</v>
      </c>
      <c r="Y691" s="101">
        <f>((Tableau!$H$25-Q691)/(AD691^2+Tableau!$G$30^2)^(3/2))*Tableau!$G$29</f>
        <v>-1.1755494462160183E-4</v>
      </c>
      <c r="Z691" s="101">
        <f>((Tableau!$G$35-P691)/(AE691^2+Tableau!$G$40^2)^(3/2))*Tableau!$G$39</f>
        <v>6.9642929668991085E-4</v>
      </c>
      <c r="AA691" s="102">
        <f>((Tableau!$H$35-Q691)/(AE691^2+Tableau!$G$40^2)^(3/2))*Tableau!$G$39</f>
        <v>-3.4250432358824863E-4</v>
      </c>
      <c r="AC691" s="113">
        <f>SQRT((Tableau!$G$16-P691)^2+(Tableau!$H$16-Q691)^2)</f>
        <v>25986709.320889868</v>
      </c>
      <c r="AD691" s="114">
        <f>SQRT((Tableau!$G$25-P691)^2+(Tableau!$H$25-Q691)^2)</f>
        <v>25949698.050466515</v>
      </c>
      <c r="AE691" s="115">
        <f>SQRT((Tableau!$G$35-P691)^2+(Tableau!$H$35-Q691)^2)</f>
        <v>25974186.438216966</v>
      </c>
    </row>
    <row r="692" spans="2:31" x14ac:dyDescent="0.25">
      <c r="B692" s="20">
        <v>689</v>
      </c>
      <c r="C692" s="21">
        <f>Tableau!$G$17*COS(B692*PI()/180)+Tableau!$G$16</f>
        <v>24285.836503510556</v>
      </c>
      <c r="D692" s="21">
        <f>Tableau!$G$17*SIN(B692*PI()/180)+Tableau!$H$16</f>
        <v>4924.8096254497186</v>
      </c>
      <c r="F692" s="28">
        <v>689</v>
      </c>
      <c r="G692" s="29">
        <f>Tableau!$G$26*COS(F692*PI()/180)+Tableau!$G$25</f>
        <v>-16999.914447542611</v>
      </c>
      <c r="H692" s="29">
        <f>Tableau!$G$26*SIN(F692*PI()/180)+Tableau!$H$25</f>
        <v>8197.3667378148039</v>
      </c>
      <c r="J692" s="36">
        <v>689</v>
      </c>
      <c r="K692" s="37">
        <f>Tableau!$G$36*COS(J692*PI()/180)+Tableau!$G$35</f>
        <v>-714.1634964894447</v>
      </c>
      <c r="L692" s="37">
        <f>Tableau!$G$36*SIN(J692*PI()/180)+Tableau!$H$35</f>
        <v>-17575.190374550282</v>
      </c>
      <c r="N692" s="92">
        <v>688</v>
      </c>
      <c r="O692" s="93">
        <v>344</v>
      </c>
      <c r="P692" s="96">
        <f>P691+R691*Tableau!$G$2+((1/2)*T691)*Tableau!$G$2^2</f>
        <v>-23347309.343404334</v>
      </c>
      <c r="Q692" s="96">
        <f>Q691+S691*Tableau!$G$2+((1/2)*U691)*Tableau!$G$2^2</f>
        <v>11464768.446813989</v>
      </c>
      <c r="R692" s="96">
        <f>R691+T691*Tableau!$G$2</f>
        <v>-68698.001939545764</v>
      </c>
      <c r="S692" s="96">
        <f>S691+U691*Tableau!$G$2</f>
        <v>33800.629371771967</v>
      </c>
      <c r="T692" s="96">
        <f t="shared" si="20"/>
        <v>1.6271956168763223E-3</v>
      </c>
      <c r="U692" s="96">
        <f t="shared" si="21"/>
        <v>-7.9904234397412612E-4</v>
      </c>
      <c r="V692" s="96">
        <f>((Tableau!$G$16-P692)/(AC692^2+Tableau!$G$21^2)^(3/2))*Tableau!$G$20</f>
        <v>6.9412162716483788E-4</v>
      </c>
      <c r="W692" s="96">
        <f>((Tableau!$H$16-Q692)/(AC692^2+Tableau!$G$21^2)^(3/2))*Tableau!$G$20</f>
        <v>-3.4033605240098487E-4</v>
      </c>
      <c r="X692" s="96">
        <f>((Tableau!$G$25-P692)/(AD692^2+Tableau!$G$30^2)^(3/2))*Tableau!$G$29</f>
        <v>2.3869308722928226E-4</v>
      </c>
      <c r="Y692" s="96">
        <f>((Tableau!$H$25-Q692)/(AD692^2+Tableau!$G$30^2)^(3/2))*Tableau!$G$29</f>
        <v>-1.1720914760534411E-4</v>
      </c>
      <c r="Z692" s="96">
        <f>((Tableau!$G$35-P692)/(AE692^2+Tableau!$G$40^2)^(3/2))*Tableau!$G$39</f>
        <v>6.9438090248220223E-4</v>
      </c>
      <c r="AA692" s="97">
        <f>((Tableau!$H$35-Q692)/(AE692^2+Tableau!$G$40^2)^(3/2))*Tableau!$G$39</f>
        <v>-3.4149714396779717E-4</v>
      </c>
      <c r="AC692" s="110">
        <f>SQRT((Tableau!$G$16-P692)^2+(Tableau!$H$16-Q692)^2)</f>
        <v>26024990.801395319</v>
      </c>
      <c r="AD692" s="111">
        <f>SQRT((Tableau!$G$25-P692)^2+(Tableau!$H$25-Q692)^2)</f>
        <v>25987979.555421475</v>
      </c>
      <c r="AE692" s="112">
        <f>SQRT((Tableau!$G$35-P692)^2+(Tableau!$H$35-Q692)^2)</f>
        <v>26012467.954341576</v>
      </c>
    </row>
    <row r="693" spans="2:31" x14ac:dyDescent="0.25">
      <c r="B693" s="18">
        <v>690</v>
      </c>
      <c r="C693" s="19">
        <f>Tableau!$G$17*COS(B693*PI()/180)+Tableau!$G$16</f>
        <v>24330.127018922194</v>
      </c>
      <c r="D693" s="19">
        <f>Tableau!$G$17*SIN(B693*PI()/180)+Tableau!$H$16</f>
        <v>5000</v>
      </c>
      <c r="F693" s="26">
        <v>690</v>
      </c>
      <c r="G693" s="27">
        <f>Tableau!$G$26*COS(F693*PI()/180)+Tableau!$G$25</f>
        <v>-16968.911086754466</v>
      </c>
      <c r="H693" s="27">
        <f>Tableau!$G$26*SIN(F693*PI()/180)+Tableau!$H$25</f>
        <v>8250</v>
      </c>
      <c r="J693" s="34">
        <v>690</v>
      </c>
      <c r="K693" s="35">
        <f>Tableau!$G$36*COS(J693*PI()/180)+Tableau!$G$35</f>
        <v>-669.8729810778068</v>
      </c>
      <c r="L693" s="35">
        <f>Tableau!$G$36*SIN(J693*PI()/180)+Tableau!$H$35</f>
        <v>-17500</v>
      </c>
      <c r="N693" s="98">
        <v>689</v>
      </c>
      <c r="O693" s="99">
        <v>344.5</v>
      </c>
      <c r="P693" s="101">
        <f>P692+R692*Tableau!$G$2+((1/2)*T692)*Tableau!$G$2^2</f>
        <v>-23381658.344170704</v>
      </c>
      <c r="Q693" s="101">
        <f>Q692+S692*Tableau!$G$2+((1/2)*U692)*Tableau!$G$2^2</f>
        <v>11481668.761399996</v>
      </c>
      <c r="R693" s="101">
        <f>R692+T692*Tableau!$G$2</f>
        <v>-68698.001125947951</v>
      </c>
      <c r="S693" s="101">
        <f>S692+U692*Tableau!$G$2</f>
        <v>33800.628972250794</v>
      </c>
      <c r="T693" s="101">
        <f t="shared" si="20"/>
        <v>1.622416225195079E-3</v>
      </c>
      <c r="U693" s="101">
        <f t="shared" si="21"/>
        <v>-7.9669769364841049E-4</v>
      </c>
      <c r="V693" s="101">
        <f>((Tableau!$G$16-P693)/(AC693^2+Tableau!$G$21^2)^(3/2))*Tableau!$G$20</f>
        <v>6.9208340151004984E-4</v>
      </c>
      <c r="W693" s="101">
        <f>((Tableau!$H$16-Q693)/(AC693^2+Tableau!$G$21^2)^(3/2))*Tableau!$G$20</f>
        <v>-3.3933841905986836E-4</v>
      </c>
      <c r="X693" s="101">
        <f>((Tableau!$G$25-P693)/(AD693^2+Tableau!$G$30^2)^(3/2))*Tableau!$G$29</f>
        <v>2.3799129130514502E-4</v>
      </c>
      <c r="Y693" s="101">
        <f>((Tableau!$H$25-Q693)/(AD693^2+Tableau!$G$30^2)^(3/2))*Tableau!$G$29</f>
        <v>-1.1686487413389119E-4</v>
      </c>
      <c r="Z693" s="101">
        <f>((Tableau!$G$35-P693)/(AE693^2+Tableau!$G$40^2)^(3/2))*Tableau!$G$39</f>
        <v>6.9234153237988406E-4</v>
      </c>
      <c r="AA693" s="102">
        <f>((Tableau!$H$35-Q693)/(AE693^2+Tableau!$G$40^2)^(3/2))*Tableau!$G$39</f>
        <v>-3.4049440045465094E-4</v>
      </c>
      <c r="AC693" s="113">
        <f>SQRT((Tableau!$G$16-P693)^2+(Tableau!$H$16-Q693)^2)</f>
        <v>26063272.28155325</v>
      </c>
      <c r="AD693" s="114">
        <f>SQRT((Tableau!$G$25-P693)^2+(Tableau!$H$25-Q693)^2)</f>
        <v>26026261.059957139</v>
      </c>
      <c r="AE693" s="115">
        <f>SQRT((Tableau!$G$35-P693)^2+(Tableau!$H$35-Q693)^2)</f>
        <v>26050749.470014028</v>
      </c>
    </row>
    <row r="694" spans="2:31" x14ac:dyDescent="0.25">
      <c r="B694" s="20">
        <v>691</v>
      </c>
      <c r="C694" s="21">
        <f>Tableau!$G$17*COS(B694*PI()/180)+Tableau!$G$16</f>
        <v>24373.098535696976</v>
      </c>
      <c r="D694" s="21">
        <f>Tableau!$G$17*SIN(B694*PI()/180)+Tableau!$H$16</f>
        <v>5075.9518987683105</v>
      </c>
      <c r="F694" s="28">
        <v>691</v>
      </c>
      <c r="G694" s="29">
        <f>Tableau!$G$26*COS(F694*PI()/180)+Tableau!$G$25</f>
        <v>-16938.831025012118</v>
      </c>
      <c r="H694" s="29">
        <f>Tableau!$G$26*SIN(F694*PI()/180)+Tableau!$H$25</f>
        <v>8303.1663291378172</v>
      </c>
      <c r="J694" s="36">
        <v>691</v>
      </c>
      <c r="K694" s="37">
        <f>Tableau!$G$36*COS(J694*PI()/180)+Tableau!$G$35</f>
        <v>-626.9014643030232</v>
      </c>
      <c r="L694" s="37">
        <f>Tableau!$G$36*SIN(J694*PI()/180)+Tableau!$H$35</f>
        <v>-17424.048101231689</v>
      </c>
      <c r="N694" s="92">
        <v>690</v>
      </c>
      <c r="O694" s="93">
        <v>345</v>
      </c>
      <c r="P694" s="96">
        <f>P693+R693*Tableau!$G$2+((1/2)*T693)*Tableau!$G$2^2</f>
        <v>-23416007.344530877</v>
      </c>
      <c r="Q694" s="96">
        <f>Q693+S693*Tableau!$G$2+((1/2)*U693)*Tableau!$G$2^2</f>
        <v>11498569.075786535</v>
      </c>
      <c r="R694" s="96">
        <f>R693+T693*Tableau!$G$2</f>
        <v>-68698.000314739838</v>
      </c>
      <c r="S694" s="96">
        <f>S693+U693*Tableau!$G$2</f>
        <v>33800.628573901944</v>
      </c>
      <c r="T694" s="96">
        <f t="shared" si="20"/>
        <v>1.6176578596922356E-3</v>
      </c>
      <c r="U694" s="96">
        <f t="shared" si="21"/>
        <v>-7.9436334817421512E-4</v>
      </c>
      <c r="V694" s="96">
        <f>((Tableau!$G$16-P694)/(AC694^2+Tableau!$G$21^2)^(3/2))*Tableau!$G$20</f>
        <v>6.9005414030569442E-4</v>
      </c>
      <c r="W694" s="96">
        <f>((Tableau!$H$16-Q694)/(AC694^2+Tableau!$G$21^2)^(3/2))*Tableau!$G$20</f>
        <v>-3.3834516586869388E-4</v>
      </c>
      <c r="X694" s="96">
        <f>((Tableau!$G$25-P694)/(AD694^2+Tableau!$G$30^2)^(3/2))*Tableau!$G$29</f>
        <v>2.3729258593299424E-4</v>
      </c>
      <c r="Y694" s="96">
        <f>((Tableau!$H$25-Q694)/(AD694^2+Tableau!$G$30^2)^(3/2))*Tableau!$G$29</f>
        <v>-1.1652211527025743E-4</v>
      </c>
      <c r="Z694" s="96">
        <f>((Tableau!$G$35-P694)/(AE694^2+Tableau!$G$40^2)^(3/2))*Tableau!$G$39</f>
        <v>6.9031113345354692E-4</v>
      </c>
      <c r="AA694" s="97">
        <f>((Tableau!$H$35-Q694)/(AE694^2+Tableau!$G$40^2)^(3/2))*Tableau!$G$39</f>
        <v>-3.3949606703526385E-4</v>
      </c>
      <c r="AC694" s="110">
        <f>SQRT((Tableau!$G$16-P694)^2+(Tableau!$H$16-Q694)^2)</f>
        <v>26101553.761364527</v>
      </c>
      <c r="AD694" s="111">
        <f>SQRT((Tableau!$G$25-P694)^2+(Tableau!$H$25-Q694)^2)</f>
        <v>26064542.564074691</v>
      </c>
      <c r="AE694" s="112">
        <f>SQRT((Tableau!$G$35-P694)^2+(Tableau!$H$35-Q694)^2)</f>
        <v>26089030.985235665</v>
      </c>
    </row>
    <row r="695" spans="2:31" x14ac:dyDescent="0.25">
      <c r="B695" s="18">
        <v>692</v>
      </c>
      <c r="C695" s="19">
        <f>Tableau!$G$17*COS(B695*PI()/180)+Tableau!$G$16</f>
        <v>24414.737964294633</v>
      </c>
      <c r="D695" s="19">
        <f>Tableau!$G$17*SIN(B695*PI()/180)+Tableau!$H$16</f>
        <v>5152.642186070545</v>
      </c>
      <c r="F695" s="26">
        <v>692</v>
      </c>
      <c r="G695" s="27">
        <f>Tableau!$G$26*COS(F695*PI()/180)+Tableau!$G$25</f>
        <v>-16909.683424993756</v>
      </c>
      <c r="H695" s="27">
        <f>Tableau!$G$26*SIN(F695*PI()/180)+Tableau!$H$25</f>
        <v>8356.8495302493811</v>
      </c>
      <c r="J695" s="34">
        <v>692</v>
      </c>
      <c r="K695" s="35">
        <f>Tableau!$G$36*COS(J695*PI()/180)+Tableau!$G$35</f>
        <v>-585.26203570536654</v>
      </c>
      <c r="L695" s="35">
        <f>Tableau!$G$36*SIN(J695*PI()/180)+Tableau!$H$35</f>
        <v>-17347.357813929455</v>
      </c>
      <c r="N695" s="98">
        <v>691</v>
      </c>
      <c r="O695" s="99">
        <v>345.5</v>
      </c>
      <c r="P695" s="101">
        <f>P694+R694*Tableau!$G$2+((1/2)*T694)*Tableau!$G$2^2</f>
        <v>-23450356.344486039</v>
      </c>
      <c r="Q695" s="101">
        <f>Q694+S694*Tableau!$G$2+((1/2)*U694)*Tableau!$G$2^2</f>
        <v>11515469.38997419</v>
      </c>
      <c r="R695" s="101">
        <f>R694+T694*Tableau!$G$2</f>
        <v>-68697.999505910906</v>
      </c>
      <c r="S695" s="101">
        <f>S694+U694*Tableau!$G$2</f>
        <v>33800.628176720267</v>
      </c>
      <c r="T695" s="101">
        <f t="shared" si="20"/>
        <v>1.6129203972130835E-3</v>
      </c>
      <c r="U695" s="101">
        <f t="shared" si="21"/>
        <v>-7.9203924725271475E-4</v>
      </c>
      <c r="V695" s="101">
        <f>((Tableau!$G$16-P695)/(AC695^2+Tableau!$G$21^2)^(3/2))*Tableau!$G$20</f>
        <v>6.8803379105919667E-4</v>
      </c>
      <c r="W695" s="101">
        <f>((Tableau!$H$16-Q695)/(AC695^2+Tableau!$G$21^2)^(3/2))*Tableau!$G$20</f>
        <v>-3.3735626722332666E-4</v>
      </c>
      <c r="X695" s="101">
        <f>((Tableau!$G$25-P695)/(AD695^2+Tableau!$G$30^2)^(3/2))*Tableau!$G$29</f>
        <v>2.3659695299261003E-4</v>
      </c>
      <c r="Y695" s="101">
        <f>((Tableau!$H$25-Q695)/(AD695^2+Tableau!$G$30^2)^(3/2))*Tableau!$G$29</f>
        <v>-1.1618086214289496E-4</v>
      </c>
      <c r="Z695" s="101">
        <f>((Tableau!$G$35-P695)/(AE695^2+Tableau!$G$40^2)^(3/2))*Tableau!$G$39</f>
        <v>6.8828965316127672E-4</v>
      </c>
      <c r="AA695" s="102">
        <f>((Tableau!$H$35-Q695)/(AE695^2+Tableau!$G$40^2)^(3/2))*Tableau!$G$39</f>
        <v>-3.3850211788649312E-4</v>
      </c>
      <c r="AC695" s="113">
        <f>SQRT((Tableau!$G$16-P695)^2+(Tableau!$H$16-Q695)^2)</f>
        <v>26139835.240830019</v>
      </c>
      <c r="AD695" s="114">
        <f>SQRT((Tableau!$G$25-P695)^2+(Tableau!$H$25-Q695)^2)</f>
        <v>26102824.067775317</v>
      </c>
      <c r="AE695" s="115">
        <f>SQRT((Tableau!$G$35-P695)^2+(Tableau!$H$35-Q695)^2)</f>
        <v>26127312.500007793</v>
      </c>
    </row>
    <row r="696" spans="2:31" x14ac:dyDescent="0.25">
      <c r="B696" s="20">
        <v>693</v>
      </c>
      <c r="C696" s="21">
        <f>Tableau!$G$17*COS(B696*PI()/180)+Tableau!$G$16</f>
        <v>24455.032620941834</v>
      </c>
      <c r="D696" s="21">
        <f>Tableau!$G$17*SIN(B696*PI()/180)+Tableau!$H$16</f>
        <v>5230.0475013022597</v>
      </c>
      <c r="F696" s="28">
        <v>693</v>
      </c>
      <c r="G696" s="29">
        <f>Tableau!$G$26*COS(F696*PI()/180)+Tableau!$G$25</f>
        <v>-16881.477165340715</v>
      </c>
      <c r="H696" s="29">
        <f>Tableau!$G$26*SIN(F696*PI()/180)+Tableau!$H$25</f>
        <v>8411.0332509115815</v>
      </c>
      <c r="J696" s="36">
        <v>693</v>
      </c>
      <c r="K696" s="37">
        <f>Tableau!$G$36*COS(J696*PI()/180)+Tableau!$G$35</f>
        <v>-544.96737905816371</v>
      </c>
      <c r="L696" s="37">
        <f>Tableau!$G$36*SIN(J696*PI()/180)+Tableau!$H$35</f>
        <v>-17269.952498697741</v>
      </c>
      <c r="N696" s="92">
        <v>692</v>
      </c>
      <c r="O696" s="93">
        <v>346</v>
      </c>
      <c r="P696" s="96">
        <f>P695+R695*Tableau!$G$2+((1/2)*T695)*Tableau!$G$2^2</f>
        <v>-23484705.344037376</v>
      </c>
      <c r="Q696" s="96">
        <f>Q695+S695*Tableau!$G$2+((1/2)*U695)*Tableau!$G$2^2</f>
        <v>11532369.703963544</v>
      </c>
      <c r="R696" s="96">
        <f>R695+T695*Tableau!$G$2</f>
        <v>-68697.998699450705</v>
      </c>
      <c r="S696" s="96">
        <f>S695+U695*Tableau!$G$2</f>
        <v>33800.627780700641</v>
      </c>
      <c r="T696" s="96">
        <f t="shared" si="20"/>
        <v>1.6082037155032655E-3</v>
      </c>
      <c r="U696" s="96">
        <f t="shared" si="21"/>
        <v>-7.8972533102548363E-4</v>
      </c>
      <c r="V696" s="96">
        <f>((Tableau!$G$16-P696)/(AC696^2+Tableau!$G$21^2)^(3/2))*Tableau!$G$20</f>
        <v>6.860223016616348E-4</v>
      </c>
      <c r="W696" s="96">
        <f>((Tableau!$H$16-Q696)/(AC696^2+Tableau!$G$21^2)^(3/2))*Tableau!$G$20</f>
        <v>-3.3637169770644126E-4</v>
      </c>
      <c r="X696" s="96">
        <f>((Tableau!$G$25-P696)/(AD696^2+Tableau!$G$30^2)^(3/2))*Tableau!$G$29</f>
        <v>2.359043744963684E-4</v>
      </c>
      <c r="Y696" s="96">
        <f>((Tableau!$H$25-Q696)/(AD696^2+Tableau!$G$30^2)^(3/2))*Tableau!$G$29</f>
        <v>-1.1584110594511012E-4</v>
      </c>
      <c r="Z696" s="96">
        <f>((Tableau!$G$35-P696)/(AE696^2+Tableau!$G$40^2)^(3/2))*Tableau!$G$39</f>
        <v>6.8627703934526229E-4</v>
      </c>
      <c r="AA696" s="97">
        <f>((Tableau!$H$35-Q696)/(AE696^2+Tableau!$G$40^2)^(3/2))*Tableau!$G$39</f>
        <v>-3.3751252737393227E-4</v>
      </c>
      <c r="AC696" s="110">
        <f>SQRT((Tableau!$G$16-P696)^2+(Tableau!$H$16-Q696)^2)</f>
        <v>26178116.719950579</v>
      </c>
      <c r="AD696" s="111">
        <f>SQRT((Tableau!$G$25-P696)^2+(Tableau!$H$25-Q696)^2)</f>
        <v>26141105.571060169</v>
      </c>
      <c r="AE696" s="112">
        <f>SQRT((Tableau!$G$35-P696)^2+(Tableau!$H$35-Q696)^2)</f>
        <v>26165594.014331728</v>
      </c>
    </row>
    <row r="697" spans="2:31" x14ac:dyDescent="0.25">
      <c r="B697" s="18">
        <v>694</v>
      </c>
      <c r="C697" s="19">
        <f>Tableau!$G$17*COS(B697*PI()/180)+Tableau!$G$16</f>
        <v>24493.970231495834</v>
      </c>
      <c r="D697" s="19">
        <f>Tableau!$G$17*SIN(B697*PI()/180)+Tableau!$H$16</f>
        <v>5308.1442660546099</v>
      </c>
      <c r="F697" s="26">
        <v>694</v>
      </c>
      <c r="G697" s="27">
        <f>Tableau!$G$26*COS(F697*PI()/180)+Tableau!$G$25</f>
        <v>-16854.220837952918</v>
      </c>
      <c r="H697" s="27">
        <f>Tableau!$G$26*SIN(F697*PI()/180)+Tableau!$H$25</f>
        <v>8465.7009862382274</v>
      </c>
      <c r="J697" s="34">
        <v>694</v>
      </c>
      <c r="K697" s="35">
        <f>Tableau!$G$36*COS(J697*PI()/180)+Tableau!$G$35</f>
        <v>-506.0297685041669</v>
      </c>
      <c r="L697" s="35">
        <f>Tableau!$G$36*SIN(J697*PI()/180)+Tableau!$H$35</f>
        <v>-17191.855733945391</v>
      </c>
      <c r="N697" s="98">
        <v>693</v>
      </c>
      <c r="O697" s="99">
        <v>346.5</v>
      </c>
      <c r="P697" s="101">
        <f>P696+R696*Tableau!$G$2+((1/2)*T696)*Tableau!$G$2^2</f>
        <v>-23519054.343186077</v>
      </c>
      <c r="Q697" s="101">
        <f>Q696+S696*Tableau!$G$2+((1/2)*U696)*Tableau!$G$2^2</f>
        <v>11549270.017755179</v>
      </c>
      <c r="R697" s="101">
        <f>R696+T696*Tableau!$G$2</f>
        <v>-68697.997895348846</v>
      </c>
      <c r="S697" s="101">
        <f>S696+U696*Tableau!$G$2</f>
        <v>33800.627385837972</v>
      </c>
      <c r="T697" s="101">
        <f t="shared" si="20"/>
        <v>1.6035076932009009E-3</v>
      </c>
      <c r="U697" s="101">
        <f t="shared" si="21"/>
        <v>-7.8742154007064701E-4</v>
      </c>
      <c r="V697" s="101">
        <f>((Tableau!$G$16-P697)/(AC697^2+Tableau!$G$21^2)^(3/2))*Tableau!$G$20</f>
        <v>6.840196203843922E-4</v>
      </c>
      <c r="W697" s="101">
        <f>((Tableau!$H$16-Q697)/(AC697^2+Tableau!$G$21^2)^(3/2))*Tableau!$G$20</f>
        <v>-3.3539143208589385E-4</v>
      </c>
      <c r="X697" s="101">
        <f>((Tableau!$G$25-P697)/(AD697^2+Tableau!$G$30^2)^(3/2))*Tableau!$G$29</f>
        <v>2.3521483258809892E-4</v>
      </c>
      <c r="Y697" s="101">
        <f>((Tableau!$H$25-Q697)/(AD697^2+Tableau!$G$30^2)^(3/2))*Tableau!$G$29</f>
        <v>-1.1550283793450526E-4</v>
      </c>
      <c r="Z697" s="101">
        <f>((Tableau!$G$35-P697)/(AE697^2+Tableau!$G$40^2)^(3/2))*Tableau!$G$39</f>
        <v>6.8427324022840976E-4</v>
      </c>
      <c r="AA697" s="102">
        <f>((Tableau!$H$35-Q697)/(AE697^2+Tableau!$G$40^2)^(3/2))*Tableau!$G$39</f>
        <v>-3.3652727005024788E-4</v>
      </c>
      <c r="AC697" s="113">
        <f>SQRT((Tableau!$G$16-P697)^2+(Tableau!$H$16-Q697)^2)</f>
        <v>26216398.198727068</v>
      </c>
      <c r="AD697" s="114">
        <f>SQRT((Tableau!$G$25-P697)^2+(Tableau!$H$25-Q697)^2)</f>
        <v>26179387.073930435</v>
      </c>
      <c r="AE697" s="115">
        <f>SQRT((Tableau!$G$35-P697)^2+(Tableau!$H$35-Q697)^2)</f>
        <v>26203875.528208788</v>
      </c>
    </row>
    <row r="698" spans="2:31" x14ac:dyDescent="0.25">
      <c r="B698" s="20">
        <v>695</v>
      </c>
      <c r="C698" s="21">
        <f>Tableau!$G$17*COS(B698*PI()/180)+Tableau!$G$16</f>
        <v>24531.538935183249</v>
      </c>
      <c r="D698" s="21">
        <f>Tableau!$G$17*SIN(B698*PI()/180)+Tableau!$H$16</f>
        <v>5386.9086912965031</v>
      </c>
      <c r="F698" s="28">
        <v>695</v>
      </c>
      <c r="G698" s="29">
        <f>Tableau!$G$26*COS(F698*PI()/180)+Tableau!$G$25</f>
        <v>-16827.922745371725</v>
      </c>
      <c r="H698" s="29">
        <f>Tableau!$G$26*SIN(F698*PI()/180)+Tableau!$H$25</f>
        <v>8520.8360839075522</v>
      </c>
      <c r="J698" s="36">
        <v>695</v>
      </c>
      <c r="K698" s="37">
        <f>Tableau!$G$36*COS(J698*PI()/180)+Tableau!$G$35</f>
        <v>-468.46106481674997</v>
      </c>
      <c r="L698" s="37">
        <f>Tableau!$G$36*SIN(J698*PI()/180)+Tableau!$H$35</f>
        <v>-17113.091308703497</v>
      </c>
      <c r="N698" s="92">
        <v>694</v>
      </c>
      <c r="O698" s="93">
        <v>347</v>
      </c>
      <c r="P698" s="96">
        <f>P697+R697*Tableau!$G$2+((1/2)*T697)*Tableau!$G$2^2</f>
        <v>-23553403.341933314</v>
      </c>
      <c r="Q698" s="96">
        <f>Q697+S697*Tableau!$G$2+((1/2)*U697)*Tableau!$G$2^2</f>
        <v>11566170.331349671</v>
      </c>
      <c r="R698" s="96">
        <f>R697+T697*Tableau!$G$2</f>
        <v>-68697.997093594997</v>
      </c>
      <c r="S698" s="96">
        <f>S697+U697*Tableau!$G$2</f>
        <v>33800.626992127203</v>
      </c>
      <c r="T698" s="96">
        <f t="shared" si="20"/>
        <v>1.5988322098287762E-3</v>
      </c>
      <c r="U698" s="96">
        <f t="shared" si="21"/>
        <v>-7.8512781539906559E-4</v>
      </c>
      <c r="V698" s="96">
        <f>((Tableau!$G$16-P698)/(AC698^2+Tableau!$G$21^2)^(3/2))*Tableau!$G$20</f>
        <v>6.8202569587583152E-4</v>
      </c>
      <c r="W698" s="96">
        <f>((Tableau!$H$16-Q698)/(AC698^2+Tableau!$G$21^2)^(3/2))*Tableau!$G$20</f>
        <v>-3.3441544531310585E-4</v>
      </c>
      <c r="X698" s="96">
        <f>((Tableau!$G$25-P698)/(AD698^2+Tableau!$G$30^2)^(3/2))*Tableau!$G$29</f>
        <v>2.3452830954191235E-4</v>
      </c>
      <c r="Y698" s="96">
        <f>((Tableau!$H$25-Q698)/(AD698^2+Tableau!$G$30^2)^(3/2))*Tableau!$G$29</f>
        <v>-1.1516604943240594E-4</v>
      </c>
      <c r="Z698" s="96">
        <f>((Tableau!$G$35-P698)/(AE698^2+Tableau!$G$40^2)^(3/2))*Tableau!$G$39</f>
        <v>6.8227820441103229E-4</v>
      </c>
      <c r="AA698" s="97">
        <f>((Tableau!$H$35-Q698)/(AE698^2+Tableau!$G$40^2)^(3/2))*Tableau!$G$39</f>
        <v>-3.3554632065355377E-4</v>
      </c>
      <c r="AC698" s="110">
        <f>SQRT((Tableau!$G$16-P698)^2+(Tableau!$H$16-Q698)^2)</f>
        <v>26254679.677160334</v>
      </c>
      <c r="AD698" s="111">
        <f>SQRT((Tableau!$G$25-P698)^2+(Tableau!$H$25-Q698)^2)</f>
        <v>26217668.576387268</v>
      </c>
      <c r="AE698" s="112">
        <f>SQRT((Tableau!$G$35-P698)^2+(Tableau!$H$35-Q698)^2)</f>
        <v>26242157.041640267</v>
      </c>
    </row>
    <row r="699" spans="2:31" x14ac:dyDescent="0.25">
      <c r="B699" s="18">
        <v>696</v>
      </c>
      <c r="C699" s="19">
        <f>Tableau!$G$17*COS(B699*PI()/180)+Tableau!$G$16</f>
        <v>24567.727288213002</v>
      </c>
      <c r="D699" s="19">
        <f>Tableau!$G$17*SIN(B699*PI()/180)+Tableau!$H$16</f>
        <v>5466.3167846209944</v>
      </c>
      <c r="F699" s="26">
        <v>696</v>
      </c>
      <c r="G699" s="27">
        <f>Tableau!$G$26*COS(F699*PI()/180)+Tableau!$G$25</f>
        <v>-16802.590898250899</v>
      </c>
      <c r="H699" s="27">
        <f>Tableau!$G$26*SIN(F699*PI()/180)+Tableau!$H$25</f>
        <v>8576.4217492346961</v>
      </c>
      <c r="J699" s="34">
        <v>696</v>
      </c>
      <c r="K699" s="35">
        <f>Tableau!$G$36*COS(J699*PI()/180)+Tableau!$G$35</f>
        <v>-432.27271178699812</v>
      </c>
      <c r="L699" s="35">
        <f>Tableau!$G$36*SIN(J699*PI()/180)+Tableau!$H$35</f>
        <v>-17033.683215379006</v>
      </c>
      <c r="N699" s="98">
        <v>695</v>
      </c>
      <c r="O699" s="99">
        <v>347.5</v>
      </c>
      <c r="P699" s="101">
        <f>P698+R698*Tableau!$G$2+((1/2)*T698)*Tableau!$G$2^2</f>
        <v>-23587752.340280257</v>
      </c>
      <c r="Q699" s="101">
        <f>Q698+S698*Tableau!$G$2+((1/2)*U698)*Tableau!$G$2^2</f>
        <v>11583070.644747594</v>
      </c>
      <c r="R699" s="101">
        <f>R698+T698*Tableau!$G$2</f>
        <v>-68697.996294178898</v>
      </c>
      <c r="S699" s="101">
        <f>S698+U698*Tableau!$G$2</f>
        <v>33800.626599563293</v>
      </c>
      <c r="T699" s="101">
        <f t="shared" si="20"/>
        <v>1.5941771457866044E-3</v>
      </c>
      <c r="U699" s="101">
        <f t="shared" si="21"/>
        <v>-7.8284409845055249E-4</v>
      </c>
      <c r="V699" s="101">
        <f>((Tableau!$G$16-P699)/(AC699^2+Tableau!$G$21^2)^(3/2))*Tableau!$G$20</f>
        <v>6.8004047715797158E-4</v>
      </c>
      <c r="W699" s="101">
        <f>((Tableau!$H$16-Q699)/(AC699^2+Tableau!$G$21^2)^(3/2))*Tableau!$G$20</f>
        <v>-3.3344371252144847E-4</v>
      </c>
      <c r="X699" s="101">
        <f>((Tableau!$G$25-P699)/(AD699^2+Tableau!$G$30^2)^(3/2))*Tableau!$G$29</f>
        <v>2.3384478776109012E-4</v>
      </c>
      <c r="Y699" s="101">
        <f>((Tableau!$H$25-Q699)/(AD699^2+Tableau!$G$30^2)^(3/2))*Tableau!$G$29</f>
        <v>-1.1483073182331825E-4</v>
      </c>
      <c r="Z699" s="101">
        <f>((Tableau!$G$35-P699)/(AE699^2+Tableau!$G$40^2)^(3/2))*Tableau!$G$39</f>
        <v>6.8029188086754272E-4</v>
      </c>
      <c r="AA699" s="102">
        <f>((Tableau!$H$35-Q699)/(AE699^2+Tableau!$G$40^2)^(3/2))*Tableau!$G$39</f>
        <v>-3.3456965410578576E-4</v>
      </c>
      <c r="AC699" s="113">
        <f>SQRT((Tableau!$G$16-P699)^2+(Tableau!$H$16-Q699)^2)</f>
        <v>26292961.155251231</v>
      </c>
      <c r="AD699" s="114">
        <f>SQRT((Tableau!$G$25-P699)^2+(Tableau!$H$25-Q699)^2)</f>
        <v>26255950.078431822</v>
      </c>
      <c r="AE699" s="115">
        <f>SQRT((Tableau!$G$35-P699)^2+(Tableau!$H$35-Q699)^2)</f>
        <v>26280438.554627467</v>
      </c>
    </row>
    <row r="700" spans="2:31" x14ac:dyDescent="0.25">
      <c r="B700" s="20">
        <v>697</v>
      </c>
      <c r="C700" s="21">
        <f>Tableau!$G$17*COS(B700*PI()/180)+Tableau!$G$16</f>
        <v>24602.524267262204</v>
      </c>
      <c r="D700" s="21">
        <f>Tableau!$G$17*SIN(B700*PI()/180)+Tableau!$H$16</f>
        <v>5546.3443575536376</v>
      </c>
      <c r="F700" s="28">
        <v>697</v>
      </c>
      <c r="G700" s="29">
        <f>Tableau!$G$26*COS(F700*PI()/180)+Tableau!$G$25</f>
        <v>-16778.233012916455</v>
      </c>
      <c r="H700" s="29">
        <f>Tableau!$G$26*SIN(F700*PI()/180)+Tableau!$H$25</f>
        <v>8632.4410502875471</v>
      </c>
      <c r="J700" s="36">
        <v>697</v>
      </c>
      <c r="K700" s="37">
        <f>Tableau!$G$36*COS(J700*PI()/180)+Tableau!$G$35</f>
        <v>-397.47573273779562</v>
      </c>
      <c r="L700" s="37">
        <f>Tableau!$G$36*SIN(J700*PI()/180)+Tableau!$H$35</f>
        <v>-16953.655642446363</v>
      </c>
      <c r="N700" s="92">
        <v>696</v>
      </c>
      <c r="O700" s="93">
        <v>348</v>
      </c>
      <c r="P700" s="96">
        <f>P699+R699*Tableau!$G$2+((1/2)*T699)*Tableau!$G$2^2</f>
        <v>-23622101.338228073</v>
      </c>
      <c r="Q700" s="96">
        <f>Q699+S699*Tableau!$G$2+((1/2)*U699)*Tableau!$G$2^2</f>
        <v>11599970.957949521</v>
      </c>
      <c r="R700" s="96">
        <f>R699+T699*Tableau!$G$2</f>
        <v>-68697.99549709032</v>
      </c>
      <c r="S700" s="96">
        <f>S699+U699*Tableau!$G$2</f>
        <v>33800.626208141242</v>
      </c>
      <c r="T700" s="96">
        <f t="shared" si="20"/>
        <v>1.5895423823434212E-3</v>
      </c>
      <c r="U700" s="96">
        <f t="shared" si="21"/>
        <v>-7.8057033109015721E-4</v>
      </c>
      <c r="V700" s="96">
        <f>((Tableau!$G$16-P700)/(AC700^2+Tableau!$G$21^2)^(3/2))*Tableau!$G$20</f>
        <v>6.7806391362329205E-4</v>
      </c>
      <c r="W700" s="96">
        <f>((Tableau!$H$16-Q700)/(AC700^2+Tableau!$G$21^2)^(3/2))*Tableau!$G$20</f>
        <v>-3.3247620902468944E-4</v>
      </c>
      <c r="X700" s="96">
        <f>((Tableau!$G$25-P700)/(AD700^2+Tableau!$G$30^2)^(3/2))*Tableau!$G$29</f>
        <v>2.3316424977692249E-4</v>
      </c>
      <c r="Y700" s="96">
        <f>((Tableau!$H$25-Q700)/(AD700^2+Tableau!$G$30^2)^(3/2))*Tableau!$G$29</f>
        <v>-1.1449687655436107E-4</v>
      </c>
      <c r="Z700" s="96">
        <f>((Tableau!$G$35-P700)/(AE700^2+Tableau!$G$40^2)^(3/2))*Tableau!$G$39</f>
        <v>6.7831421894320673E-4</v>
      </c>
      <c r="AA700" s="97">
        <f>((Tableau!$H$35-Q700)/(AE700^2+Tableau!$G$40^2)^(3/2))*Tableau!$G$39</f>
        <v>-3.3359724551110676E-4</v>
      </c>
      <c r="AC700" s="110">
        <f>SQRT((Tableau!$G$16-P700)^2+(Tableau!$H$16-Q700)^2)</f>
        <v>26331242.633000609</v>
      </c>
      <c r="AD700" s="111">
        <f>SQRT((Tableau!$G$25-P700)^2+(Tableau!$H$25-Q700)^2)</f>
        <v>26294231.58006525</v>
      </c>
      <c r="AE700" s="112">
        <f>SQRT((Tableau!$G$35-P700)^2+(Tableau!$H$35-Q700)^2)</f>
        <v>26318720.067171674</v>
      </c>
    </row>
    <row r="701" spans="2:31" x14ac:dyDescent="0.25">
      <c r="B701" s="18">
        <v>698</v>
      </c>
      <c r="C701" s="19">
        <f>Tableau!$G$17*COS(B701*PI()/180)+Tableau!$G$16</f>
        <v>24635.919272833937</v>
      </c>
      <c r="D701" s="19">
        <f>Tableau!$G$17*SIN(B701*PI()/180)+Tableau!$H$16</f>
        <v>5626.9670329204419</v>
      </c>
      <c r="F701" s="26">
        <v>698</v>
      </c>
      <c r="G701" s="27">
        <f>Tableau!$G$26*COS(F701*PI()/180)+Tableau!$G$25</f>
        <v>-16754.856509016245</v>
      </c>
      <c r="H701" s="27">
        <f>Tableau!$G$26*SIN(F701*PI()/180)+Tableau!$H$25</f>
        <v>8688.8769230443086</v>
      </c>
      <c r="J701" s="34">
        <v>698</v>
      </c>
      <c r="K701" s="35">
        <f>Tableau!$G$36*COS(J701*PI()/180)+Tableau!$G$35</f>
        <v>-364.08072716606239</v>
      </c>
      <c r="L701" s="35">
        <f>Tableau!$G$36*SIN(J701*PI()/180)+Tableau!$H$35</f>
        <v>-16873.032967079558</v>
      </c>
      <c r="N701" s="98">
        <v>697</v>
      </c>
      <c r="O701" s="99">
        <v>348.5</v>
      </c>
      <c r="P701" s="101">
        <f>P700+R700*Tableau!$G$2+((1/2)*T700)*Tableau!$G$2^2</f>
        <v>-23656450.335777927</v>
      </c>
      <c r="Q701" s="101">
        <f>Q700+S700*Tableau!$G$2+((1/2)*U700)*Tableau!$G$2^2</f>
        <v>11616871.270956021</v>
      </c>
      <c r="R701" s="101">
        <f>R700+T700*Tableau!$G$2</f>
        <v>-68697.994702319134</v>
      </c>
      <c r="S701" s="101">
        <f>S700+U700*Tableau!$G$2</f>
        <v>33800.625817856075</v>
      </c>
      <c r="T701" s="101">
        <f t="shared" si="20"/>
        <v>1.5849278016299502E-3</v>
      </c>
      <c r="U701" s="101">
        <f t="shared" si="21"/>
        <v>-7.7830645560443491E-4</v>
      </c>
      <c r="V701" s="101">
        <f>((Tableau!$G$16-P701)/(AC701^2+Tableau!$G$21^2)^(3/2))*Tableau!$G$20</f>
        <v>6.7609595503145294E-4</v>
      </c>
      <c r="W701" s="101">
        <f>((Tableau!$H$16-Q701)/(AC701^2+Tableau!$G$21^2)^(3/2))*Tableau!$G$20</f>
        <v>-3.315129103153981E-4</v>
      </c>
      <c r="X701" s="101">
        <f>((Tableau!$G$25-P701)/(AD701^2+Tableau!$G$30^2)^(3/2))*Tableau!$G$29</f>
        <v>2.3248667824761926E-4</v>
      </c>
      <c r="Y701" s="101">
        <f>((Tableau!$H$25-Q701)/(AD701^2+Tableau!$G$30^2)^(3/2))*Tableau!$G$29</f>
        <v>-1.1416447513473372E-4</v>
      </c>
      <c r="Z701" s="101">
        <f>((Tableau!$G$35-P701)/(AE701^2+Tableau!$G$40^2)^(3/2))*Tableau!$G$39</f>
        <v>6.7634516835087791E-4</v>
      </c>
      <c r="AA701" s="102">
        <f>((Tableau!$H$35-Q701)/(AE701^2+Tableau!$G$40^2)^(3/2))*Tableau!$G$39</f>
        <v>-3.3262907015430302E-4</v>
      </c>
      <c r="AC701" s="113">
        <f>SQRT((Tableau!$G$16-P701)^2+(Tableau!$H$16-Q701)^2)</f>
        <v>26369524.110409308</v>
      </c>
      <c r="AD701" s="114">
        <f>SQRT((Tableau!$G$25-P701)^2+(Tableau!$H$25-Q701)^2)</f>
        <v>26332513.081288703</v>
      </c>
      <c r="AE701" s="115">
        <f>SQRT((Tableau!$G$35-P701)^2+(Tableau!$H$35-Q701)^2)</f>
        <v>26357001.579274185</v>
      </c>
    </row>
    <row r="702" spans="2:31" x14ac:dyDescent="0.25">
      <c r="B702" s="20">
        <v>699</v>
      </c>
      <c r="C702" s="21">
        <f>Tableau!$G$17*COS(B702*PI()/180)+Tableau!$G$16</f>
        <v>24667.902132486008</v>
      </c>
      <c r="D702" s="21">
        <f>Tableau!$G$17*SIN(B702*PI()/180)+Tableau!$H$16</f>
        <v>5708.1602522734947</v>
      </c>
      <c r="F702" s="28">
        <v>699</v>
      </c>
      <c r="G702" s="29">
        <f>Tableau!$G$26*COS(F702*PI()/180)+Tableau!$G$25</f>
        <v>-16732.468507259793</v>
      </c>
      <c r="H702" s="29">
        <f>Tableau!$G$26*SIN(F702*PI()/180)+Tableau!$H$25</f>
        <v>8745.7121765914471</v>
      </c>
      <c r="J702" s="36">
        <v>699</v>
      </c>
      <c r="K702" s="37">
        <f>Tableau!$G$36*COS(J702*PI()/180)+Tableau!$G$35</f>
        <v>-332.09786751399224</v>
      </c>
      <c r="L702" s="37">
        <f>Tableau!$G$36*SIN(J702*PI()/180)+Tableau!$H$35</f>
        <v>-16791.839747726506</v>
      </c>
      <c r="N702" s="92">
        <v>698</v>
      </c>
      <c r="O702" s="93">
        <v>349</v>
      </c>
      <c r="P702" s="96">
        <f>P701+R701*Tableau!$G$2+((1/2)*T701)*Tableau!$G$2^2</f>
        <v>-23690799.332930971</v>
      </c>
      <c r="Q702" s="96">
        <f>Q701+S701*Tableau!$G$2+((1/2)*U701)*Tableau!$G$2^2</f>
        <v>11633771.583767662</v>
      </c>
      <c r="R702" s="96">
        <f>R701+T701*Tableau!$G$2</f>
        <v>-68697.993909855228</v>
      </c>
      <c r="S702" s="96">
        <f>S701+U701*Tableau!$G$2</f>
        <v>33800.62542870285</v>
      </c>
      <c r="T702" s="96">
        <f t="shared" si="20"/>
        <v>1.5803332866311567E-3</v>
      </c>
      <c r="U702" s="96">
        <f t="shared" si="21"/>
        <v>-7.7605241469780751E-4</v>
      </c>
      <c r="V702" s="96">
        <f>((Tableau!$G$16-P702)/(AC702^2+Tableau!$G$21^2)^(3/2))*Tableau!$G$20</f>
        <v>6.7413655150611637E-4</v>
      </c>
      <c r="W702" s="96">
        <f>((Tableau!$H$16-Q702)/(AC702^2+Tableau!$G$21^2)^(3/2))*Tableau!$G$20</f>
        <v>-3.3055379206340079E-4</v>
      </c>
      <c r="X702" s="96">
        <f>((Tableau!$G$25-P702)/(AD702^2+Tableau!$G$30^2)^(3/2))*Tableau!$G$29</f>
        <v>2.3181205595719542E-4</v>
      </c>
      <c r="Y702" s="96">
        <f>((Tableau!$H$25-Q702)/(AD702^2+Tableau!$G$30^2)^(3/2))*Tableau!$G$29</f>
        <v>-1.1383351913517169E-4</v>
      </c>
      <c r="Z702" s="96">
        <f>((Tableau!$G$35-P702)/(AE702^2+Tableau!$G$40^2)^(3/2))*Tableau!$G$39</f>
        <v>6.7438467916784489E-4</v>
      </c>
      <c r="AA702" s="97">
        <f>((Tableau!$H$35-Q702)/(AE702^2+Tableau!$G$40^2)^(3/2))*Tableau!$G$39</f>
        <v>-3.3166510349923504E-4</v>
      </c>
      <c r="AC702" s="110">
        <f>SQRT((Tableau!$G$16-P702)^2+(Tableau!$H$16-Q702)^2)</f>
        <v>26407805.587478168</v>
      </c>
      <c r="AD702" s="111">
        <f>SQRT((Tableau!$G$25-P702)^2+(Tableau!$H$25-Q702)^2)</f>
        <v>26370794.582103319</v>
      </c>
      <c r="AE702" s="112">
        <f>SQRT((Tableau!$G$35-P702)^2+(Tableau!$H$35-Q702)^2)</f>
        <v>26395283.090936273</v>
      </c>
    </row>
    <row r="703" spans="2:31" x14ac:dyDescent="0.25">
      <c r="B703" s="18">
        <v>700</v>
      </c>
      <c r="C703" s="19">
        <f>Tableau!$G$17*COS(B703*PI()/180)+Tableau!$G$16</f>
        <v>24698.463103929538</v>
      </c>
      <c r="D703" s="19">
        <f>Tableau!$G$17*SIN(B703*PI()/180)+Tableau!$H$16</f>
        <v>5789.8992833716475</v>
      </c>
      <c r="F703" s="26">
        <v>700</v>
      </c>
      <c r="G703" s="27">
        <f>Tableau!$G$26*COS(F703*PI()/180)+Tableau!$G$25</f>
        <v>-16711.075827249322</v>
      </c>
      <c r="H703" s="27">
        <f>Tableau!$G$26*SIN(F703*PI()/180)+Tableau!$H$25</f>
        <v>8802.929498360154</v>
      </c>
      <c r="J703" s="34">
        <v>700</v>
      </c>
      <c r="K703" s="35">
        <f>Tableau!$G$36*COS(J703*PI()/180)+Tableau!$G$35</f>
        <v>-301.5368960704609</v>
      </c>
      <c r="L703" s="35">
        <f>Tableau!$G$36*SIN(J703*PI()/180)+Tableau!$H$35</f>
        <v>-16710.100716628353</v>
      </c>
      <c r="N703" s="98">
        <v>699</v>
      </c>
      <c r="O703" s="99">
        <v>349.5</v>
      </c>
      <c r="P703" s="101">
        <f>P702+R702*Tableau!$G$2+((1/2)*T702)*Tableau!$G$2^2</f>
        <v>-23725148.329688359</v>
      </c>
      <c r="Q703" s="101">
        <f>Q702+S702*Tableau!$G$2+((1/2)*U702)*Tableau!$G$2^2</f>
        <v>11650671.896385007</v>
      </c>
      <c r="R703" s="101">
        <f>R702+T702*Tableau!$G$2</f>
        <v>-68697.993119688588</v>
      </c>
      <c r="S703" s="101">
        <f>S702+U702*Tableau!$G$2</f>
        <v>33800.625040676641</v>
      </c>
      <c r="T703" s="101">
        <f t="shared" si="20"/>
        <v>1.5757587211788085E-3</v>
      </c>
      <c r="U703" s="101">
        <f t="shared" si="21"/>
        <v>-7.7380815148892792E-4</v>
      </c>
      <c r="V703" s="101">
        <f>((Tableau!$G$16-P703)/(AC703^2+Tableau!$G$21^2)^(3/2))*Tableau!$G$20</f>
        <v>6.7218565353179926E-4</v>
      </c>
      <c r="W703" s="101">
        <f>((Tableau!$H$16-Q703)/(AC703^2+Tableau!$G$21^2)^(3/2))*Tableau!$G$20</f>
        <v>-3.2959883011425052E-4</v>
      </c>
      <c r="X703" s="101">
        <f>((Tableau!$G$25-P703)/(AD703^2+Tableau!$G$30^2)^(3/2))*Tableau!$G$29</f>
        <v>2.3114036581437647E-4</v>
      </c>
      <c r="Y703" s="101">
        <f>((Tableau!$H$25-Q703)/(AD703^2+Tableau!$G$30^2)^(3/2))*Tableau!$G$29</f>
        <v>-1.1350400018741137E-4</v>
      </c>
      <c r="Z703" s="101">
        <f>((Tableau!$G$35-P703)/(AE703^2+Tableau!$G$40^2)^(3/2))*Tableau!$G$39</f>
        <v>6.7243270183263285E-4</v>
      </c>
      <c r="AA703" s="102">
        <f>((Tableau!$H$35-Q703)/(AE703^2+Tableau!$G$40^2)^(3/2))*Tableau!$G$39</f>
        <v>-3.3070532118726611E-4</v>
      </c>
      <c r="AC703" s="113">
        <f>SQRT((Tableau!$G$16-P703)^2+(Tableau!$H$16-Q703)^2)</f>
        <v>26446087.064208034</v>
      </c>
      <c r="AD703" s="114">
        <f>SQRT((Tableau!$G$25-P703)^2+(Tableau!$H$25-Q703)^2)</f>
        <v>26409076.08251024</v>
      </c>
      <c r="AE703" s="115">
        <f>SQRT((Tableau!$G$35-P703)^2+(Tableau!$H$35-Q703)^2)</f>
        <v>26433564.60215921</v>
      </c>
    </row>
    <row r="704" spans="2:31" x14ac:dyDescent="0.25">
      <c r="B704" s="20">
        <v>701</v>
      </c>
      <c r="C704" s="21">
        <f>Tableau!$G$17*COS(B704*PI()/180)+Tableau!$G$16</f>
        <v>24727.592877996583</v>
      </c>
      <c r="D704" s="21">
        <f>Tableau!$G$17*SIN(B704*PI()/180)+Tableau!$H$16</f>
        <v>5872.159227714219</v>
      </c>
      <c r="F704" s="28">
        <v>701</v>
      </c>
      <c r="G704" s="29">
        <f>Tableau!$G$26*COS(F704*PI()/180)+Tableau!$G$25</f>
        <v>-16690.684985402389</v>
      </c>
      <c r="H704" s="29">
        <f>Tableau!$G$26*SIN(F704*PI()/180)+Tableau!$H$25</f>
        <v>8860.5114593999533</v>
      </c>
      <c r="J704" s="36">
        <v>701</v>
      </c>
      <c r="K704" s="37">
        <f>Tableau!$G$36*COS(J704*PI()/180)+Tableau!$G$35</f>
        <v>-272.40712200341477</v>
      </c>
      <c r="L704" s="37">
        <f>Tableau!$G$36*SIN(J704*PI()/180)+Tableau!$H$35</f>
        <v>-16627.840772285781</v>
      </c>
      <c r="N704" s="92">
        <v>700</v>
      </c>
      <c r="O704" s="93">
        <v>350</v>
      </c>
      <c r="P704" s="96">
        <f>P703+R703*Tableau!$G$2+((1/2)*T703)*Tableau!$G$2^2</f>
        <v>-23759497.326051231</v>
      </c>
      <c r="Q704" s="96">
        <f>Q703+S703*Tableau!$G$2+((1/2)*U703)*Tableau!$G$2^2</f>
        <v>11667572.20880862</v>
      </c>
      <c r="R704" s="96">
        <f>R703+T703*Tableau!$G$2</f>
        <v>-68697.992331809233</v>
      </c>
      <c r="S704" s="96">
        <f>S703+U703*Tableau!$G$2</f>
        <v>33800.624653772567</v>
      </c>
      <c r="T704" s="96">
        <f t="shared" si="20"/>
        <v>1.5712039899441425E-3</v>
      </c>
      <c r="U704" s="96">
        <f t="shared" si="21"/>
        <v>-7.7157360950709736E-4</v>
      </c>
      <c r="V704" s="96">
        <f>((Tableau!$G$16-P704)/(AC704^2+Tableau!$G$21^2)^(3/2))*Tableau!$G$20</f>
        <v>6.7024321195074466E-4</v>
      </c>
      <c r="W704" s="96">
        <f>((Tableau!$H$16-Q704)/(AC704^2+Tableau!$G$21^2)^(3/2))*Tableau!$G$20</f>
        <v>-3.2864800048770662E-4</v>
      </c>
      <c r="X704" s="96">
        <f>((Tableau!$G$25-P704)/(AD704^2+Tableau!$G$30^2)^(3/2))*Tableau!$G$29</f>
        <v>2.3047159085151149E-4</v>
      </c>
      <c r="Y704" s="96">
        <f>((Tableau!$H$25-Q704)/(AD704^2+Tableau!$G$30^2)^(3/2))*Tableau!$G$29</f>
        <v>-1.1317590998365914E-4</v>
      </c>
      <c r="Z704" s="96">
        <f>((Tableau!$G$35-P704)/(AE704^2+Tableau!$G$40^2)^(3/2))*Tableau!$G$39</f>
        <v>6.7048918714188632E-4</v>
      </c>
      <c r="AA704" s="97">
        <f>((Tableau!$H$35-Q704)/(AE704^2+Tableau!$G$40^2)^(3/2))*Tableau!$G$39</f>
        <v>-3.2974969903573154E-4</v>
      </c>
      <c r="AC704" s="110">
        <f>SQRT((Tableau!$G$16-P704)^2+(Tableau!$H$16-Q704)^2)</f>
        <v>26484368.54059973</v>
      </c>
      <c r="AD704" s="111">
        <f>SQRT((Tableau!$G$25-P704)^2+(Tableau!$H$25-Q704)^2)</f>
        <v>26447357.582510598</v>
      </c>
      <c r="AE704" s="112">
        <f>SQRT((Tableau!$G$35-P704)^2+(Tableau!$H$35-Q704)^2)</f>
        <v>26471846.112944268</v>
      </c>
    </row>
    <row r="705" spans="2:31" x14ac:dyDescent="0.25">
      <c r="B705" s="18">
        <v>702</v>
      </c>
      <c r="C705" s="19">
        <f>Tableau!$G$17*COS(B705*PI()/180)+Tableau!$G$16</f>
        <v>24755.282581475767</v>
      </c>
      <c r="D705" s="19">
        <f>Tableau!$G$17*SIN(B705*PI()/180)+Tableau!$H$16</f>
        <v>5954.9150281252605</v>
      </c>
      <c r="F705" s="26">
        <v>702</v>
      </c>
      <c r="G705" s="27">
        <f>Tableau!$G$26*COS(F705*PI()/180)+Tableau!$G$25</f>
        <v>-16671.302192966963</v>
      </c>
      <c r="H705" s="27">
        <f>Tableau!$G$26*SIN(F705*PI()/180)+Tableau!$H$25</f>
        <v>8918.4405196876833</v>
      </c>
      <c r="J705" s="34">
        <v>702</v>
      </c>
      <c r="K705" s="35">
        <f>Tableau!$G$36*COS(J705*PI()/180)+Tableau!$G$35</f>
        <v>-244.71741852423293</v>
      </c>
      <c r="L705" s="35">
        <f>Tableau!$G$36*SIN(J705*PI()/180)+Tableau!$H$35</f>
        <v>-16545.084971874741</v>
      </c>
      <c r="N705" s="98">
        <v>701</v>
      </c>
      <c r="O705" s="99">
        <v>350.5</v>
      </c>
      <c r="P705" s="101">
        <f>P704+R704*Tableau!$G$2+((1/2)*T704)*Tableau!$G$2^2</f>
        <v>-23793846.322020736</v>
      </c>
      <c r="Q705" s="101">
        <f>Q704+S704*Tableau!$G$2+((1/2)*U704)*Tableau!$G$2^2</f>
        <v>11684472.521039059</v>
      </c>
      <c r="R705" s="101">
        <f>R704+T704*Tableau!$G$2</f>
        <v>-68697.991546207239</v>
      </c>
      <c r="S705" s="101">
        <f>S704+U704*Tableau!$G$2</f>
        <v>33800.624267985761</v>
      </c>
      <c r="T705" s="101">
        <f t="shared" si="20"/>
        <v>1.5666689784305924E-3</v>
      </c>
      <c r="U705" s="101">
        <f t="shared" si="21"/>
        <v>-7.6934873268870874E-4</v>
      </c>
      <c r="V705" s="101">
        <f>((Tableau!$G$16-P705)/(AC705^2+Tableau!$G$21^2)^(3/2))*Tableau!$G$20</f>
        <v>6.6830917795979638E-4</v>
      </c>
      <c r="W705" s="101">
        <f>((Tableau!$H$16-Q705)/(AC705^2+Tableau!$G$21^2)^(3/2))*Tableau!$G$20</f>
        <v>-3.2770127937621407E-4</v>
      </c>
      <c r="X705" s="101">
        <f>((Tableau!$G$25-P705)/(AD705^2+Tableau!$G$30^2)^(3/2))*Tableau!$G$29</f>
        <v>2.2980571422351857E-4</v>
      </c>
      <c r="Y705" s="101">
        <f>((Tableau!$H$25-Q705)/(AD705^2+Tableau!$G$30^2)^(3/2))*Tableau!$G$29</f>
        <v>-1.1284924027607596E-4</v>
      </c>
      <c r="Z705" s="101">
        <f>((Tableau!$G$35-P705)/(AE705^2+Tableau!$G$40^2)^(3/2))*Tableau!$G$39</f>
        <v>6.6855408624727746E-4</v>
      </c>
      <c r="AA705" s="102">
        <f>((Tableau!$H$35-Q705)/(AE705^2+Tableau!$G$40^2)^(3/2))*Tableau!$G$39</f>
        <v>-3.2879821303641874E-4</v>
      </c>
      <c r="AC705" s="113">
        <f>SQRT((Tableau!$G$16-P705)^2+(Tableau!$H$16-Q705)^2)</f>
        <v>26522650.0166541</v>
      </c>
      <c r="AD705" s="114">
        <f>SQRT((Tableau!$G$25-P705)^2+(Tableau!$H$25-Q705)^2)</f>
        <v>26485639.082105514</v>
      </c>
      <c r="AE705" s="115">
        <f>SQRT((Tableau!$G$35-P705)^2+(Tableau!$H$35-Q705)^2)</f>
        <v>26510127.623292714</v>
      </c>
    </row>
    <row r="706" spans="2:31" x14ac:dyDescent="0.25">
      <c r="B706" s="20">
        <v>703</v>
      </c>
      <c r="C706" s="21">
        <f>Tableau!$G$17*COS(B706*PI()/180)+Tableau!$G$16</f>
        <v>24781.523779815176</v>
      </c>
      <c r="D706" s="21">
        <f>Tableau!$G$17*SIN(B706*PI()/180)+Tableau!$H$16</f>
        <v>6038.1414763863086</v>
      </c>
      <c r="F706" s="28">
        <v>703</v>
      </c>
      <c r="G706" s="29">
        <f>Tableau!$G$26*COS(F706*PI()/180)+Tableau!$G$25</f>
        <v>-16652.933354129378</v>
      </c>
      <c r="H706" s="29">
        <f>Tableau!$G$26*SIN(F706*PI()/180)+Tableau!$H$25</f>
        <v>8976.6990334704169</v>
      </c>
      <c r="J706" s="36">
        <v>703</v>
      </c>
      <c r="K706" s="37">
        <f>Tableau!$G$36*COS(J706*PI()/180)+Tableau!$G$35</f>
        <v>-218.47622018482525</v>
      </c>
      <c r="L706" s="37">
        <f>Tableau!$G$36*SIN(J706*PI()/180)+Tableau!$H$35</f>
        <v>-16461.85852361369</v>
      </c>
      <c r="N706" s="92">
        <v>702</v>
      </c>
      <c r="O706" s="93">
        <v>351</v>
      </c>
      <c r="P706" s="96">
        <f>P705+R705*Tableau!$G$2+((1/2)*T705)*Tableau!$G$2^2</f>
        <v>-23828195.317598004</v>
      </c>
      <c r="Q706" s="96">
        <f>Q705+S705*Tableau!$G$2+((1/2)*U705)*Tableau!$G$2^2</f>
        <v>11701372.833076883</v>
      </c>
      <c r="R706" s="96">
        <f>R705+T705*Tableau!$G$2</f>
        <v>-68697.990762872752</v>
      </c>
      <c r="S706" s="96">
        <f>S705+U705*Tableau!$G$2</f>
        <v>33800.623883311397</v>
      </c>
      <c r="T706" s="96">
        <f t="shared" si="20"/>
        <v>1.5621535729665893E-3</v>
      </c>
      <c r="U706" s="96">
        <f t="shared" si="21"/>
        <v>-7.6713346537373123E-4</v>
      </c>
      <c r="V706" s="96">
        <f>((Tableau!$G$16-P706)/(AC706^2+Tableau!$G$21^2)^(3/2))*Tableau!$G$20</f>
        <v>6.6638350310737043E-4</v>
      </c>
      <c r="W706" s="96">
        <f>((Tableau!$H$16-Q706)/(AC706^2+Tableau!$G$21^2)^(3/2))*Tableau!$G$20</f>
        <v>-3.2675864314343252E-4</v>
      </c>
      <c r="X706" s="96">
        <f>((Tableau!$G$25-P706)/(AD706^2+Tableau!$G$30^2)^(3/2))*Tableau!$G$29</f>
        <v>2.2914271920680007E-4</v>
      </c>
      <c r="Y706" s="96">
        <f>((Tableau!$H$25-Q706)/(AD706^2+Tableau!$G$30^2)^(3/2))*Tableau!$G$29</f>
        <v>-1.1252398287624721E-4</v>
      </c>
      <c r="Z706" s="96">
        <f>((Tableau!$G$35-P706)/(AE706^2+Tableau!$G$40^2)^(3/2))*Tableau!$G$39</f>
        <v>6.6662735065241871E-4</v>
      </c>
      <c r="AA706" s="97">
        <f>((Tableau!$H$35-Q706)/(AE706^2+Tableau!$G$40^2)^(3/2))*Tableau!$G$39</f>
        <v>-3.2785083935405151E-4</v>
      </c>
      <c r="AC706" s="110">
        <f>SQRT((Tableau!$G$16-P706)^2+(Tableau!$H$16-Q706)^2)</f>
        <v>26560931.492371969</v>
      </c>
      <c r="AD706" s="111">
        <f>SQRT((Tableau!$G$25-P706)^2+(Tableau!$H$25-Q706)^2)</f>
        <v>26523920.581296116</v>
      </c>
      <c r="AE706" s="112">
        <f>SQRT((Tableau!$G$35-P706)^2+(Tableau!$H$35-Q706)^2)</f>
        <v>26548409.133205809</v>
      </c>
    </row>
    <row r="707" spans="2:31" x14ac:dyDescent="0.25">
      <c r="B707" s="18">
        <v>704</v>
      </c>
      <c r="C707" s="19">
        <f>Tableau!$G$17*COS(B707*PI()/180)+Tableau!$G$16</f>
        <v>24806.308479691594</v>
      </c>
      <c r="D707" s="19">
        <f>Tableau!$G$17*SIN(B707*PI()/180)+Tableau!$H$16</f>
        <v>6121.8132209149999</v>
      </c>
      <c r="F707" s="26">
        <v>704</v>
      </c>
      <c r="G707" s="27">
        <f>Tableau!$G$26*COS(F707*PI()/180)+Tableau!$G$25</f>
        <v>-16635.584064215884</v>
      </c>
      <c r="H707" s="27">
        <f>Tableau!$G$26*SIN(F707*PI()/180)+Tableau!$H$25</f>
        <v>9035.2692546404996</v>
      </c>
      <c r="J707" s="34">
        <v>704</v>
      </c>
      <c r="K707" s="35">
        <f>Tableau!$G$36*COS(J707*PI()/180)+Tableau!$G$35</f>
        <v>-193.69152030840633</v>
      </c>
      <c r="L707" s="35">
        <f>Tableau!$G$36*SIN(J707*PI()/180)+Tableau!$H$35</f>
        <v>-16378.186779085001</v>
      </c>
      <c r="N707" s="98">
        <v>703</v>
      </c>
      <c r="O707" s="99">
        <v>351.5</v>
      </c>
      <c r="P707" s="101">
        <f>P706+R706*Tableau!$G$2+((1/2)*T706)*Tableau!$G$2^2</f>
        <v>-23862544.312784173</v>
      </c>
      <c r="Q707" s="101">
        <f>Q706+S706*Tableau!$G$2+((1/2)*U706)*Tableau!$G$2^2</f>
        <v>11718273.144922648</v>
      </c>
      <c r="R707" s="101">
        <f>R706+T706*Tableau!$G$2</f>
        <v>-68697.989981795967</v>
      </c>
      <c r="S707" s="101">
        <f>S706+U706*Tableau!$G$2</f>
        <v>33800.623499744666</v>
      </c>
      <c r="T707" s="101">
        <f t="shared" si="20"/>
        <v>1.5576576606984264E-3</v>
      </c>
      <c r="U707" s="101">
        <f t="shared" si="21"/>
        <v>-7.6492775230222148E-4</v>
      </c>
      <c r="V707" s="101">
        <f>((Tableau!$G$16-P707)/(AC707^2+Tableau!$G$21^2)^(3/2))*Tableau!$G$20</f>
        <v>6.64466139290392E-4</v>
      </c>
      <c r="W707" s="101">
        <f>((Tableau!$H$16-Q707)/(AC707^2+Tableau!$G$21^2)^(3/2))*Tableau!$G$20</f>
        <v>-3.2582006832274633E-4</v>
      </c>
      <c r="X707" s="101">
        <f>((Tableau!$G$25-P707)/(AD707^2+Tableau!$G$30^2)^(3/2))*Tableau!$G$29</f>
        <v>2.2848258919821117E-4</v>
      </c>
      <c r="Y707" s="101">
        <f>((Tableau!$H$25-Q707)/(AD707^2+Tableau!$G$30^2)^(3/2))*Tableau!$G$29</f>
        <v>-1.1220012965467881E-4</v>
      </c>
      <c r="Z707" s="101">
        <f>((Tableau!$G$35-P707)/(AE707^2+Tableau!$G$40^2)^(3/2))*Tableau!$G$39</f>
        <v>6.6470893220982319E-4</v>
      </c>
      <c r="AA707" s="102">
        <f>((Tableau!$H$35-Q707)/(AE707^2+Tableau!$G$40^2)^(3/2))*Tableau!$G$39</f>
        <v>-3.2690755432479633E-4</v>
      </c>
      <c r="AC707" s="113">
        <f>SQRT((Tableau!$G$16-P707)^2+(Tableau!$H$16-Q707)^2)</f>
        <v>26599212.967754163</v>
      </c>
      <c r="AD707" s="114">
        <f>SQRT((Tableau!$G$25-P707)^2+(Tableau!$H$25-Q707)^2)</f>
        <v>26562202.08008353</v>
      </c>
      <c r="AE707" s="115">
        <f>SQRT((Tableau!$G$35-P707)^2+(Tableau!$H$35-Q707)^2)</f>
        <v>26586690.642684799</v>
      </c>
    </row>
    <row r="708" spans="2:31" x14ac:dyDescent="0.25">
      <c r="B708" s="20">
        <v>705</v>
      </c>
      <c r="C708" s="21">
        <f>Tableau!$G$17*COS(B708*PI()/180)+Tableau!$G$16</f>
        <v>24829.629131445341</v>
      </c>
      <c r="D708" s="21">
        <f>Tableau!$G$17*SIN(B708*PI()/180)+Tableau!$H$16</f>
        <v>6205.9047744873951</v>
      </c>
      <c r="F708" s="28">
        <v>705</v>
      </c>
      <c r="G708" s="29">
        <f>Tableau!$G$26*COS(F708*PI()/180)+Tableau!$G$25</f>
        <v>-16619.259607988261</v>
      </c>
      <c r="H708" s="29">
        <f>Tableau!$G$26*SIN(F708*PI()/180)+Tableau!$H$25</f>
        <v>9094.1333421411764</v>
      </c>
      <c r="J708" s="36">
        <v>705</v>
      </c>
      <c r="K708" s="37">
        <f>Tableau!$G$36*COS(J708*PI()/180)+Tableau!$G$35</f>
        <v>-170.37086855465895</v>
      </c>
      <c r="L708" s="37">
        <f>Tableau!$G$36*SIN(J708*PI()/180)+Tableau!$H$35</f>
        <v>-16294.095225512605</v>
      </c>
      <c r="N708" s="92">
        <v>704</v>
      </c>
      <c r="O708" s="93">
        <v>352</v>
      </c>
      <c r="P708" s="96">
        <f>P707+R707*Tableau!$G$2+((1/2)*T707)*Tableau!$G$2^2</f>
        <v>-23896893.307580363</v>
      </c>
      <c r="Q708" s="96">
        <f>Q707+S707*Tableau!$G$2+((1/2)*U707)*Tableau!$G$2^2</f>
        <v>11735173.456576904</v>
      </c>
      <c r="R708" s="96">
        <f>R707+T707*Tableau!$G$2</f>
        <v>-68697.989202967132</v>
      </c>
      <c r="S708" s="96">
        <f>S707+U707*Tableau!$G$2</f>
        <v>33800.623117280789</v>
      </c>
      <c r="T708" s="96">
        <f t="shared" ref="T708:T771" si="22">V708+X708+Z708</f>
        <v>1.5531811295832541E-3</v>
      </c>
      <c r="U708" s="96">
        <f t="shared" ref="U708:U771" si="23">W708+Y708+AA708</f>
        <v>-7.6273153861090024E-4</v>
      </c>
      <c r="V708" s="96">
        <f>((Tableau!$G$16-P708)/(AC708^2+Tableau!$G$21^2)^(3/2))*Tableau!$G$20</f>
        <v>6.6255703875131111E-4</v>
      </c>
      <c r="W708" s="96">
        <f>((Tableau!$H$16-Q708)/(AC708^2+Tableau!$G$21^2)^(3/2))*Tableau!$G$20</f>
        <v>-3.2488553161581389E-4</v>
      </c>
      <c r="X708" s="96">
        <f>((Tableau!$G$25-P708)/(AD708^2+Tableau!$G$30^2)^(3/2))*Tableau!$G$29</f>
        <v>2.2782530771401952E-4</v>
      </c>
      <c r="Y708" s="96">
        <f>((Tableau!$H$25-Q708)/(AD708^2+Tableau!$G$30^2)^(3/2))*Tableau!$G$29</f>
        <v>-1.118776725402887E-4</v>
      </c>
      <c r="Z708" s="96">
        <f>((Tableau!$G$35-P708)/(AE708^2+Tableau!$G$40^2)^(3/2))*Tableau!$G$39</f>
        <v>6.6279878311792351E-4</v>
      </c>
      <c r="AA708" s="97">
        <f>((Tableau!$H$35-Q708)/(AE708^2+Tableau!$G$40^2)^(3/2))*Tableau!$G$39</f>
        <v>-3.2596833445479773E-4</v>
      </c>
      <c r="AC708" s="110">
        <f>SQRT((Tableau!$G$16-P708)^2+(Tableau!$H$16-Q708)^2)</f>
        <v>26637494.442801502</v>
      </c>
      <c r="AD708" s="111">
        <f>SQRT((Tableau!$G$25-P708)^2+(Tableau!$H$25-Q708)^2)</f>
        <v>26600483.578468859</v>
      </c>
      <c r="AE708" s="112">
        <f>SQRT((Tableau!$G$35-P708)^2+(Tableau!$H$35-Q708)^2)</f>
        <v>26624972.151730932</v>
      </c>
    </row>
    <row r="709" spans="2:31" x14ac:dyDescent="0.25">
      <c r="B709" s="18">
        <v>706</v>
      </c>
      <c r="C709" s="19">
        <f>Tableau!$G$17*COS(B709*PI()/180)+Tableau!$G$16</f>
        <v>24851.478631379981</v>
      </c>
      <c r="D709" s="19">
        <f>Tableau!$G$17*SIN(B709*PI()/180)+Tableau!$H$16</f>
        <v>6290.390522001655</v>
      </c>
      <c r="F709" s="26">
        <v>706</v>
      </c>
      <c r="G709" s="27">
        <f>Tableau!$G$26*COS(F709*PI()/180)+Tableau!$G$25</f>
        <v>-16603.964958034012</v>
      </c>
      <c r="H709" s="27">
        <f>Tableau!$G$26*SIN(F709*PI()/180)+Tableau!$H$25</f>
        <v>9153.273365401159</v>
      </c>
      <c r="J709" s="34">
        <v>706</v>
      </c>
      <c r="K709" s="35">
        <f>Tableau!$G$36*COS(J709*PI()/180)+Tableau!$G$35</f>
        <v>-148.52136862001953</v>
      </c>
      <c r="L709" s="35">
        <f>Tableau!$G$36*SIN(J709*PI()/180)+Tableau!$H$35</f>
        <v>-16209.609477998345</v>
      </c>
      <c r="N709" s="98">
        <v>705</v>
      </c>
      <c r="O709" s="99">
        <v>352.5</v>
      </c>
      <c r="P709" s="101">
        <f>P708+R708*Tableau!$G$2+((1/2)*T708)*Tableau!$G$2^2</f>
        <v>-23931242.3019877</v>
      </c>
      <c r="Q709" s="101">
        <f>Q708+S708*Tableau!$G$2+((1/2)*U708)*Tableau!$G$2^2</f>
        <v>11752073.768040203</v>
      </c>
      <c r="R709" s="101">
        <f>R708+T708*Tableau!$G$2</f>
        <v>-68697.988426376571</v>
      </c>
      <c r="S709" s="101">
        <f>S708+U708*Tableau!$G$2</f>
        <v>33800.622735915022</v>
      </c>
      <c r="T709" s="101">
        <f t="shared" si="22"/>
        <v>1.548723868382056E-3</v>
      </c>
      <c r="U709" s="101">
        <f t="shared" si="23"/>
        <v>-7.6054476982972009E-4</v>
      </c>
      <c r="V709" s="101">
        <f>((Tableau!$G$16-P709)/(AC709^2+Tableau!$G$21^2)^(3/2))*Tableau!$G$20</f>
        <v>6.6065615407513711E-4</v>
      </c>
      <c r="W709" s="101">
        <f>((Tableau!$H$16-Q709)/(AC709^2+Tableau!$G$21^2)^(3/2))*Tableau!$G$20</f>
        <v>-3.2395500989112602E-4</v>
      </c>
      <c r="X709" s="101">
        <f>((Tableau!$G$25-P709)/(AD709^2+Tableau!$G$30^2)^(3/2))*Tableau!$G$29</f>
        <v>2.2717085838885905E-4</v>
      </c>
      <c r="Y709" s="101">
        <f>((Tableau!$H$25-Q709)/(AD709^2+Tableau!$G$30^2)^(3/2))*Tableau!$G$29</f>
        <v>-1.1155660351989559E-4</v>
      </c>
      <c r="Z709" s="101">
        <f>((Tableau!$G$35-P709)/(AE709^2+Tableau!$G$40^2)^(3/2))*Tableau!$G$39</f>
        <v>6.6089685591805996E-4</v>
      </c>
      <c r="AA709" s="102">
        <f>((Tableau!$H$35-Q709)/(AE709^2+Tableau!$G$40^2)^(3/2))*Tableau!$G$39</f>
        <v>-3.2503315641869849E-4</v>
      </c>
      <c r="AC709" s="113">
        <f>SQRT((Tableau!$G$16-P709)^2+(Tableau!$H$16-Q709)^2)</f>
        <v>26675775.917514812</v>
      </c>
      <c r="AD709" s="114">
        <f>SQRT((Tableau!$G$25-P709)^2+(Tableau!$H$25-Q709)^2)</f>
        <v>26638765.076453224</v>
      </c>
      <c r="AE709" s="115">
        <f>SQRT((Tableau!$G$35-P709)^2+(Tableau!$H$35-Q709)^2)</f>
        <v>26663253.660345457</v>
      </c>
    </row>
    <row r="710" spans="2:31" x14ac:dyDescent="0.25">
      <c r="B710" s="20">
        <v>707</v>
      </c>
      <c r="C710" s="21">
        <f>Tableau!$G$17*COS(B710*PI()/180)+Tableau!$G$16</f>
        <v>24871.850323926177</v>
      </c>
      <c r="D710" s="21">
        <f>Tableau!$G$17*SIN(B710*PI()/180)+Tableau!$H$16</f>
        <v>6375.2447282806725</v>
      </c>
      <c r="F710" s="28">
        <v>707</v>
      </c>
      <c r="G710" s="29">
        <f>Tableau!$G$26*COS(F710*PI()/180)+Tableau!$G$25</f>
        <v>-16589.704773251677</v>
      </c>
      <c r="H710" s="29">
        <f>Tableau!$G$26*SIN(F710*PI()/180)+Tableau!$H$25</f>
        <v>9212.6713097964712</v>
      </c>
      <c r="J710" s="36">
        <v>707</v>
      </c>
      <c r="K710" s="37">
        <f>Tableau!$G$36*COS(J710*PI()/180)+Tableau!$G$35</f>
        <v>-128.14967607382459</v>
      </c>
      <c r="L710" s="37">
        <f>Tableau!$G$36*SIN(J710*PI()/180)+Tableau!$H$35</f>
        <v>-16124.755271719328</v>
      </c>
      <c r="N710" s="92">
        <v>706</v>
      </c>
      <c r="O710" s="93">
        <v>353</v>
      </c>
      <c r="P710" s="96">
        <f>P709+R709*Tableau!$G$2+((1/2)*T709)*Tableau!$G$2^2</f>
        <v>-23965591.296007298</v>
      </c>
      <c r="Q710" s="96">
        <f>Q709+S709*Tableau!$G$2+((1/2)*U709)*Tableau!$G$2^2</f>
        <v>11768974.079313092</v>
      </c>
      <c r="R710" s="96">
        <f>R709+T709*Tableau!$G$2</f>
        <v>-68697.987652014635</v>
      </c>
      <c r="S710" s="96">
        <f>S709+U709*Tableau!$G$2</f>
        <v>33800.622355642634</v>
      </c>
      <c r="T710" s="96">
        <f t="shared" si="22"/>
        <v>1.5442857666527303E-3</v>
      </c>
      <c r="U710" s="96">
        <f t="shared" si="23"/>
        <v>-7.583673918784839E-4</v>
      </c>
      <c r="V710" s="96">
        <f>((Tableau!$G$16-P710)/(AC710^2+Tableau!$G$21^2)^(3/2))*Tableau!$G$20</f>
        <v>6.5876343818644387E-4</v>
      </c>
      <c r="W710" s="96">
        <f>((Tableau!$H$16-Q710)/(AC710^2+Tableau!$G$21^2)^(3/2))*Tableau!$G$20</f>
        <v>-3.2302848018254981E-4</v>
      </c>
      <c r="X710" s="96">
        <f>((Tableau!$G$25-P710)/(AD710^2+Tableau!$G$30^2)^(3/2))*Tableau!$G$29</f>
        <v>2.2651922497473343E-4</v>
      </c>
      <c r="Y710" s="96">
        <f>((Tableau!$H$25-Q710)/(AD710^2+Tableau!$G$30^2)^(3/2))*Tableau!$G$29</f>
        <v>-1.1123691463773194E-4</v>
      </c>
      <c r="Z710" s="96">
        <f>((Tableau!$G$35-P710)/(AE710^2+Tableau!$G$40^2)^(3/2))*Tableau!$G$39</f>
        <v>6.5900310349155291E-4</v>
      </c>
      <c r="AA710" s="97">
        <f>((Tableau!$H$35-Q710)/(AE710^2+Tableau!$G$40^2)^(3/2))*Tableau!$G$39</f>
        <v>-3.241019970582022E-4</v>
      </c>
      <c r="AC710" s="110">
        <f>SQRT((Tableau!$G$16-P710)^2+(Tableau!$H$16-Q710)^2)</f>
        <v>26714057.391894903</v>
      </c>
      <c r="AD710" s="111">
        <f>SQRT((Tableau!$G$25-P710)^2+(Tableau!$H$25-Q710)^2)</f>
        <v>26677046.57403772</v>
      </c>
      <c r="AE710" s="112">
        <f>SQRT((Tableau!$G$35-P710)^2+(Tableau!$H$35-Q710)^2)</f>
        <v>26701535.168529607</v>
      </c>
    </row>
    <row r="711" spans="2:31" x14ac:dyDescent="0.25">
      <c r="B711" s="18">
        <v>708</v>
      </c>
      <c r="C711" s="19">
        <f>Tableau!$G$17*COS(B711*PI()/180)+Tableau!$G$16</f>
        <v>24890.73800366903</v>
      </c>
      <c r="D711" s="19">
        <f>Tableau!$G$17*SIN(B711*PI()/180)+Tableau!$H$16</f>
        <v>6460.4415459112042</v>
      </c>
      <c r="F711" s="26">
        <v>708</v>
      </c>
      <c r="G711" s="27">
        <f>Tableau!$G$26*COS(F711*PI()/180)+Tableau!$G$25</f>
        <v>-16576.483397431679</v>
      </c>
      <c r="H711" s="27">
        <f>Tableau!$G$26*SIN(F711*PI()/180)+Tableau!$H$25</f>
        <v>9272.3090821378428</v>
      </c>
      <c r="J711" s="34">
        <v>708</v>
      </c>
      <c r="K711" s="35">
        <f>Tableau!$G$36*COS(J711*PI()/180)+Tableau!$G$35</f>
        <v>-109.26199633097167</v>
      </c>
      <c r="L711" s="35">
        <f>Tableau!$G$36*SIN(J711*PI()/180)+Tableau!$H$35</f>
        <v>-16039.558454088796</v>
      </c>
      <c r="N711" s="98">
        <v>707</v>
      </c>
      <c r="O711" s="99">
        <v>353.5</v>
      </c>
      <c r="P711" s="101">
        <f>P710+R710*Tableau!$G$2+((1/2)*T710)*Tableau!$G$2^2</f>
        <v>-23999940.289640266</v>
      </c>
      <c r="Q711" s="101">
        <f>Q710+S710*Tableau!$G$2+((1/2)*U710)*Tableau!$G$2^2</f>
        <v>11785874.390396118</v>
      </c>
      <c r="R711" s="101">
        <f>R710+T710*Tableau!$G$2</f>
        <v>-68697.986879871751</v>
      </c>
      <c r="S711" s="101">
        <f>S710+U710*Tableau!$G$2</f>
        <v>33800.62197645894</v>
      </c>
      <c r="T711" s="101">
        <f t="shared" si="22"/>
        <v>1.5398667147432867E-3</v>
      </c>
      <c r="U711" s="101">
        <f t="shared" si="23"/>
        <v>-7.561993510635202E-4</v>
      </c>
      <c r="V711" s="101">
        <f>((Tableau!$G$16-P711)/(AC711^2+Tableau!$G$21^2)^(3/2))*Tableau!$G$20</f>
        <v>6.5687884434651269E-4</v>
      </c>
      <c r="W711" s="101">
        <f>((Tableau!$H$16-Q711)/(AC711^2+Tableau!$G$21^2)^(3/2))*Tableau!$G$20</f>
        <v>-3.2210591968793919E-4</v>
      </c>
      <c r="X711" s="101">
        <f>((Tableau!$G$25-P711)/(AD711^2+Tableau!$G$30^2)^(3/2))*Tableau!$G$29</f>
        <v>2.2587039133999196E-4</v>
      </c>
      <c r="Y711" s="101">
        <f>((Tableau!$H$25-Q711)/(AD711^2+Tableau!$G$30^2)^(3/2))*Tableau!$G$29</f>
        <v>-1.109185979949436E-4</v>
      </c>
      <c r="Z711" s="101">
        <f>((Tableau!$G$35-P711)/(AE711^2+Tableau!$G$40^2)^(3/2))*Tableau!$G$39</f>
        <v>6.5711747905678201E-4</v>
      </c>
      <c r="AA711" s="102">
        <f>((Tableau!$H$35-Q711)/(AE711^2+Tableau!$G$40^2)^(3/2))*Tableau!$G$39</f>
        <v>-3.2317483338063741E-4</v>
      </c>
      <c r="AC711" s="113">
        <f>SQRT((Tableau!$G$16-P711)^2+(Tableau!$H$16-Q711)^2)</f>
        <v>26752338.865942597</v>
      </c>
      <c r="AD711" s="114">
        <f>SQRT((Tableau!$G$25-P711)^2+(Tableau!$H$25-Q711)^2)</f>
        <v>26715328.071223449</v>
      </c>
      <c r="AE711" s="115">
        <f>SQRT((Tableau!$G$35-P711)^2+(Tableau!$H$35-Q711)^2)</f>
        <v>26739816.676284615</v>
      </c>
    </row>
    <row r="712" spans="2:31" x14ac:dyDescent="0.25">
      <c r="B712" s="20">
        <v>709</v>
      </c>
      <c r="C712" s="21">
        <f>Tableau!$G$17*COS(B712*PI()/180)+Tableau!$G$16</f>
        <v>24908.13591723832</v>
      </c>
      <c r="D712" s="21">
        <f>Tableau!$G$17*SIN(B712*PI()/180)+Tableau!$H$16</f>
        <v>6545.9550231172707</v>
      </c>
      <c r="F712" s="28">
        <v>709</v>
      </c>
      <c r="G712" s="29">
        <f>Tableau!$G$26*COS(F712*PI()/180)+Tableau!$G$25</f>
        <v>-16564.304857933177</v>
      </c>
      <c r="H712" s="29">
        <f>Tableau!$G$26*SIN(F712*PI()/180)+Tableau!$H$25</f>
        <v>9332.1685161820897</v>
      </c>
      <c r="J712" s="36">
        <v>709</v>
      </c>
      <c r="K712" s="37">
        <f>Tableau!$G$36*COS(J712*PI()/180)+Tableau!$G$35</f>
        <v>-91.864082761680947</v>
      </c>
      <c r="L712" s="37">
        <f>Tableau!$G$36*SIN(J712*PI()/180)+Tableau!$H$35</f>
        <v>-15954.044976882729</v>
      </c>
      <c r="N712" s="92">
        <v>708</v>
      </c>
      <c r="O712" s="93">
        <v>354</v>
      </c>
      <c r="P712" s="96">
        <f>P711+R711*Tableau!$G$2+((1/2)*T711)*Tableau!$G$2^2</f>
        <v>-24034289.28288772</v>
      </c>
      <c r="Q712" s="96">
        <f>Q711+S711*Tableau!$G$2+((1/2)*U711)*Tableau!$G$2^2</f>
        <v>11802774.701289821</v>
      </c>
      <c r="R712" s="96">
        <f>R711+T711*Tableau!$G$2</f>
        <v>-68697.9861099384</v>
      </c>
      <c r="S712" s="96">
        <f>S711+U711*Tableau!$G$2</f>
        <v>33800.621598359263</v>
      </c>
      <c r="T712" s="96">
        <f t="shared" si="22"/>
        <v>1.5354666037850455E-3</v>
      </c>
      <c r="U712" s="96">
        <f t="shared" si="23"/>
        <v>-7.5404059407435816E-4</v>
      </c>
      <c r="V712" s="96">
        <f>((Tableau!$G$16-P712)/(AC712^2+Tableau!$G$21^2)^(3/2))*Tableau!$G$20</f>
        <v>6.5500232615041897E-4</v>
      </c>
      <c r="W712" s="96">
        <f>((Tableau!$H$16-Q712)/(AC712^2+Tableau!$G$21^2)^(3/2))*Tableau!$G$20</f>
        <v>-3.2118730576771894E-4</v>
      </c>
      <c r="X712" s="96">
        <f>((Tableau!$G$25-P712)/(AD712^2+Tableau!$G$30^2)^(3/2))*Tableau!$G$29</f>
        <v>2.2522434146833746E-4</v>
      </c>
      <c r="Y712" s="96">
        <f>((Tableau!$H$25-Q712)/(AD712^2+Tableau!$G$30^2)^(3/2))*Tableau!$G$29</f>
        <v>-1.1060164574910474E-4</v>
      </c>
      <c r="Z712" s="96">
        <f>((Tableau!$G$35-P712)/(AE712^2+Tableau!$G$40^2)^(3/2))*Tableau!$G$39</f>
        <v>6.5523993616628908E-4</v>
      </c>
      <c r="AA712" s="97">
        <f>((Tableau!$H$35-Q712)/(AE712^2+Tableau!$G$40^2)^(3/2))*Tableau!$G$39</f>
        <v>-3.2225164255753454E-4</v>
      </c>
      <c r="AC712" s="110">
        <f>SQRT((Tableau!$G$16-P712)^2+(Tableau!$H$16-Q712)^2)</f>
        <v>26790620.339658707</v>
      </c>
      <c r="AD712" s="111">
        <f>SQRT((Tableau!$G$25-P712)^2+(Tableau!$H$25-Q712)^2)</f>
        <v>26753609.568011515</v>
      </c>
      <c r="AE712" s="112">
        <f>SQRT((Tableau!$G$35-P712)^2+(Tableau!$H$35-Q712)^2)</f>
        <v>26778098.183611702</v>
      </c>
    </row>
    <row r="713" spans="2:31" x14ac:dyDescent="0.25">
      <c r="B713" s="18">
        <v>710</v>
      </c>
      <c r="C713" s="19">
        <f>Tableau!$G$17*COS(B713*PI()/180)+Tableau!$G$16</f>
        <v>24924.038765061039</v>
      </c>
      <c r="D713" s="19">
        <f>Tableau!$G$17*SIN(B713*PI()/180)+Tableau!$H$16</f>
        <v>6631.7591116653466</v>
      </c>
      <c r="F713" s="26">
        <v>710</v>
      </c>
      <c r="G713" s="27">
        <f>Tableau!$G$26*COS(F713*PI()/180)+Tableau!$G$25</f>
        <v>-16553.172864457272</v>
      </c>
      <c r="H713" s="27">
        <f>Tableau!$G$26*SIN(F713*PI()/180)+Tableau!$H$25</f>
        <v>9392.2313781657431</v>
      </c>
      <c r="J713" s="34">
        <v>710</v>
      </c>
      <c r="K713" s="35">
        <f>Tableau!$G$36*COS(J713*PI()/180)+Tableau!$G$35</f>
        <v>-75.961234938959933</v>
      </c>
      <c r="L713" s="35">
        <f>Tableau!$G$36*SIN(J713*PI()/180)+Tableau!$H$35</f>
        <v>-15868.240888334652</v>
      </c>
      <c r="N713" s="98">
        <v>709</v>
      </c>
      <c r="O713" s="99">
        <v>354.5</v>
      </c>
      <c r="P713" s="101">
        <f>P712+R712*Tableau!$G$2+((1/2)*T712)*Tableau!$G$2^2</f>
        <v>-24068638.275750753</v>
      </c>
      <c r="Q713" s="101">
        <f>Q712+S712*Tableau!$G$2+((1/2)*U712)*Tableau!$G$2^2</f>
        <v>11819675.011994746</v>
      </c>
      <c r="R713" s="101">
        <f>R712+T712*Tableau!$G$2</f>
        <v>-68697.985342205095</v>
      </c>
      <c r="S713" s="101">
        <f>S712+U712*Tableau!$G$2</f>
        <v>33800.621221338966</v>
      </c>
      <c r="T713" s="101">
        <f t="shared" si="22"/>
        <v>1.5310853256859651E-3</v>
      </c>
      <c r="U713" s="101">
        <f t="shared" si="23"/>
        <v>-7.5189106798046823E-4</v>
      </c>
      <c r="V713" s="101">
        <f>((Tableau!$G$16-P713)/(AC713^2+Tableau!$G$21^2)^(3/2))*Tableau!$G$20</f>
        <v>6.5313383752420046E-4</v>
      </c>
      <c r="W713" s="101">
        <f>((Tableau!$H$16-Q713)/(AC713^2+Tableau!$G$21^2)^(3/2))*Tableau!$G$20</f>
        <v>-3.202726159435076E-4</v>
      </c>
      <c r="X713" s="101">
        <f>((Tableau!$G$25-P713)/(AD713^2+Tableau!$G$30^2)^(3/2))*Tableau!$G$29</f>
        <v>2.2458105945784176E-4</v>
      </c>
      <c r="Y713" s="101">
        <f>((Tableau!$H$25-Q713)/(AD713^2+Tableau!$G$30^2)^(3/2))*Tableau!$G$29</f>
        <v>-1.1028605011373695E-4</v>
      </c>
      <c r="Z713" s="101">
        <f>((Tableau!$G$35-P713)/(AE713^2+Tableau!$G$40^2)^(3/2))*Tableau!$G$39</f>
        <v>6.5337042870392296E-4</v>
      </c>
      <c r="AA713" s="102">
        <f>((Tableau!$H$35-Q713)/(AE713^2+Tableau!$G$40^2)^(3/2))*Tableau!$G$39</f>
        <v>-3.2133240192322373E-4</v>
      </c>
      <c r="AC713" s="113">
        <f>SQRT((Tableau!$G$16-P713)^2+(Tableau!$H$16-Q713)^2)</f>
        <v>26828901.81304403</v>
      </c>
      <c r="AD713" s="114">
        <f>SQRT((Tableau!$G$25-P713)^2+(Tableau!$H$25-Q713)^2)</f>
        <v>26791891.064402997</v>
      </c>
      <c r="AE713" s="115">
        <f>SQRT((Tableau!$G$35-P713)^2+(Tableau!$H$35-Q713)^2)</f>
        <v>26816379.690512095</v>
      </c>
    </row>
    <row r="714" spans="2:31" x14ac:dyDescent="0.25">
      <c r="B714" s="20">
        <v>711</v>
      </c>
      <c r="C714" s="21">
        <f>Tableau!$G$17*COS(B714*PI()/180)+Tableau!$G$16</f>
        <v>24938.441702975688</v>
      </c>
      <c r="D714" s="21">
        <f>Tableau!$G$17*SIN(B714*PI()/180)+Tableau!$H$16</f>
        <v>6717.8276747988384</v>
      </c>
      <c r="F714" s="28">
        <v>711</v>
      </c>
      <c r="G714" s="29">
        <f>Tableau!$G$26*COS(F714*PI()/180)+Tableau!$G$25</f>
        <v>-16543.090807917019</v>
      </c>
      <c r="H714" s="29">
        <f>Tableau!$G$26*SIN(F714*PI()/180)+Tableau!$H$25</f>
        <v>9452.4793723591865</v>
      </c>
      <c r="J714" s="36">
        <v>711</v>
      </c>
      <c r="K714" s="37">
        <f>Tableau!$G$36*COS(J714*PI()/180)+Tableau!$G$35</f>
        <v>-61.558297024312196</v>
      </c>
      <c r="L714" s="37">
        <f>Tableau!$G$36*SIN(J714*PI()/180)+Tableau!$H$35</f>
        <v>-15782.172325201162</v>
      </c>
      <c r="N714" s="92">
        <v>710</v>
      </c>
      <c r="O714" s="93">
        <v>355</v>
      </c>
      <c r="P714" s="96">
        <f>P713+R713*Tableau!$G$2+((1/2)*T713)*Tableau!$G$2^2</f>
        <v>-24102987.268230468</v>
      </c>
      <c r="Q714" s="96">
        <f>Q713+S713*Tableau!$G$2+((1/2)*U713)*Tableau!$G$2^2</f>
        <v>11836575.322511427</v>
      </c>
      <c r="R714" s="96">
        <f>R713+T713*Tableau!$G$2</f>
        <v>-68697.984576662435</v>
      </c>
      <c r="S714" s="96">
        <f>S713+U713*Tableau!$G$2</f>
        <v>33800.62084539343</v>
      </c>
      <c r="T714" s="96">
        <f t="shared" si="22"/>
        <v>1.5267227731239293E-3</v>
      </c>
      <c r="U714" s="96">
        <f t="shared" si="23"/>
        <v>-7.4975072022797989E-4</v>
      </c>
      <c r="V714" s="96">
        <f>((Tableau!$G$16-P714)/(AC714^2+Tableau!$G$21^2)^(3/2))*Tableau!$G$20</f>
        <v>6.5127333272195639E-4</v>
      </c>
      <c r="W714" s="96">
        <f>((Tableau!$H$16-Q714)/(AC714^2+Tableau!$G$21^2)^(3/2))*Tableau!$G$20</f>
        <v>-3.193618278967068E-4</v>
      </c>
      <c r="X714" s="96">
        <f>((Tableau!$G$25-P714)/(AD714^2+Tableau!$G$30^2)^(3/2))*Tableau!$G$29</f>
        <v>2.2394052951995135E-4</v>
      </c>
      <c r="Y714" s="96">
        <f>((Tableau!$H$25-Q714)/(AD714^2+Tableau!$G$30^2)^(3/2))*Tableau!$G$29</f>
        <v>-1.0997180335782312E-4</v>
      </c>
      <c r="Z714" s="96">
        <f>((Tableau!$G$35-P714)/(AE714^2+Tableau!$G$40^2)^(3/2))*Tableau!$G$39</f>
        <v>6.5150891088202169E-4</v>
      </c>
      <c r="AA714" s="97">
        <f>((Tableau!$H$35-Q714)/(AE714^2+Tableau!$G$40^2)^(3/2))*Tableau!$G$39</f>
        <v>-3.204170889734499E-4</v>
      </c>
      <c r="AC714" s="110">
        <f>SQRT((Tableau!$G$16-P714)^2+(Tableau!$H$16-Q714)^2)</f>
        <v>26867183.286099385</v>
      </c>
      <c r="AD714" s="111">
        <f>SQRT((Tableau!$G$25-P714)^2+(Tableau!$H$25-Q714)^2)</f>
        <v>26830172.560398996</v>
      </c>
      <c r="AE714" s="112">
        <f>SQRT((Tableau!$G$35-P714)^2+(Tableau!$H$35-Q714)^2)</f>
        <v>26854661.196987007</v>
      </c>
    </row>
    <row r="715" spans="2:31" x14ac:dyDescent="0.25">
      <c r="B715" s="18">
        <v>712</v>
      </c>
      <c r="C715" s="19">
        <f>Tableau!$G$17*COS(B715*PI()/180)+Tableau!$G$16</f>
        <v>24951.340343707852</v>
      </c>
      <c r="D715" s="19">
        <f>Tableau!$G$17*SIN(B715*PI()/180)+Tableau!$H$16</f>
        <v>6804.134495199678</v>
      </c>
      <c r="F715" s="26">
        <v>712</v>
      </c>
      <c r="G715" s="27">
        <f>Tableau!$G$26*COS(F715*PI()/180)+Tableau!$G$25</f>
        <v>-16534.061759404503</v>
      </c>
      <c r="H715" s="27">
        <f>Tableau!$G$26*SIN(F715*PI()/180)+Tableau!$H$25</f>
        <v>9512.8941466397755</v>
      </c>
      <c r="J715" s="34">
        <v>712</v>
      </c>
      <c r="K715" s="35">
        <f>Tableau!$G$36*COS(J715*PI()/180)+Tableau!$G$35</f>
        <v>-48.659656292147702</v>
      </c>
      <c r="L715" s="35">
        <f>Tableau!$G$36*SIN(J715*PI()/180)+Tableau!$H$35</f>
        <v>-15695.865504800322</v>
      </c>
      <c r="N715" s="98">
        <v>711</v>
      </c>
      <c r="O715" s="99">
        <v>355.5</v>
      </c>
      <c r="P715" s="101">
        <f>P714+R714*Tableau!$G$2+((1/2)*T714)*Tableau!$G$2^2</f>
        <v>-24137336.260327961</v>
      </c>
      <c r="Q715" s="101">
        <f>Q714+S714*Tableau!$G$2+((1/2)*U714)*Tableau!$G$2^2</f>
        <v>11853475.632840404</v>
      </c>
      <c r="R715" s="101">
        <f>R714+T714*Tableau!$G$2</f>
        <v>-68697.983813301049</v>
      </c>
      <c r="S715" s="101">
        <f>S714+U714*Tableau!$G$2</f>
        <v>33800.620470518072</v>
      </c>
      <c r="T715" s="101">
        <f t="shared" si="22"/>
        <v>1.5223788395402891E-3</v>
      </c>
      <c r="U715" s="101">
        <f t="shared" si="23"/>
        <v>-7.4761949863652566E-4</v>
      </c>
      <c r="V715" s="101">
        <f>((Tableau!$G$16-P715)/(AC715^2+Tableau!$G$21^2)^(3/2))*Tableau!$G$20</f>
        <v>6.4942076632316026E-4</v>
      </c>
      <c r="W715" s="101">
        <f>((Tableau!$H$16-Q715)/(AC715^2+Tableau!$G$21^2)^(3/2))*Tableau!$G$20</f>
        <v>-3.1845491946719533E-4</v>
      </c>
      <c r="X715" s="101">
        <f>((Tableau!$G$25-P715)/(AD715^2+Tableau!$G$30^2)^(3/2))*Tableau!$G$29</f>
        <v>2.2330273597854312E-4</v>
      </c>
      <c r="Y715" s="101">
        <f>((Tableau!$H$25-Q715)/(AD715^2+Tableau!$G$30^2)^(3/2))*Tableau!$G$29</f>
        <v>-1.09658897805346E-4</v>
      </c>
      <c r="Z715" s="101">
        <f>((Tableau!$G$35-P715)/(AE715^2+Tableau!$G$40^2)^(3/2))*Tableau!$G$39</f>
        <v>6.4965533723858565E-4</v>
      </c>
      <c r="AA715" s="102">
        <f>((Tableau!$H$35-Q715)/(AE715^2+Tableau!$G$40^2)^(3/2))*Tableau!$G$39</f>
        <v>-3.1950568136398426E-4</v>
      </c>
      <c r="AC715" s="113">
        <f>SQRT((Tableau!$G$16-P715)^2+(Tableau!$H$16-Q715)^2)</f>
        <v>26905464.75882557</v>
      </c>
      <c r="AD715" s="114">
        <f>SQRT((Tableau!$G$25-P715)^2+(Tableau!$H$25-Q715)^2)</f>
        <v>26868454.056000583</v>
      </c>
      <c r="AE715" s="115">
        <f>SQRT((Tableau!$G$35-P715)^2+(Tableau!$H$35-Q715)^2)</f>
        <v>26892942.703037653</v>
      </c>
    </row>
    <row r="716" spans="2:31" x14ac:dyDescent="0.25">
      <c r="B716" s="20">
        <v>713</v>
      </c>
      <c r="C716" s="21">
        <f>Tableau!$G$17*COS(B716*PI()/180)+Tableau!$G$16</f>
        <v>24962.73075820661</v>
      </c>
      <c r="D716" s="21">
        <f>Tableau!$G$17*SIN(B716*PI()/180)+Tableau!$H$16</f>
        <v>6890.6532829742628</v>
      </c>
      <c r="F716" s="28">
        <v>713</v>
      </c>
      <c r="G716" s="29">
        <f>Tableau!$G$26*COS(F716*PI()/180)+Tableau!$G$25</f>
        <v>-16526.088469255374</v>
      </c>
      <c r="H716" s="29">
        <f>Tableau!$G$26*SIN(F716*PI()/180)+Tableau!$H$25</f>
        <v>9573.457298081983</v>
      </c>
      <c r="J716" s="36">
        <v>713</v>
      </c>
      <c r="K716" s="37">
        <f>Tableau!$G$36*COS(J716*PI()/180)+Tableau!$G$35</f>
        <v>-37.269241793390393</v>
      </c>
      <c r="L716" s="37">
        <f>Tableau!$G$36*SIN(J716*PI()/180)+Tableau!$H$35</f>
        <v>-15609.346717025737</v>
      </c>
      <c r="N716" s="92">
        <v>712</v>
      </c>
      <c r="O716" s="93">
        <v>356</v>
      </c>
      <c r="P716" s="96">
        <f>P715+R715*Tableau!$G$2+((1/2)*T715)*Tableau!$G$2^2</f>
        <v>-24171685.252044313</v>
      </c>
      <c r="Q716" s="96">
        <f>Q715+S715*Tableau!$G$2+((1/2)*U715)*Tableau!$G$2^2</f>
        <v>11870375.94298221</v>
      </c>
      <c r="R716" s="96">
        <f>R715+T715*Tableau!$G$2</f>
        <v>-68697.983052111624</v>
      </c>
      <c r="S716" s="96">
        <f>S715+U715*Tableau!$G$2</f>
        <v>33800.62009670832</v>
      </c>
      <c r="T716" s="96">
        <f t="shared" si="22"/>
        <v>1.5180534191332506E-3</v>
      </c>
      <c r="U716" s="96">
        <f t="shared" si="23"/>
        <v>-7.4549735139601008E-4</v>
      </c>
      <c r="V716" s="96">
        <f>((Tableau!$G$16-P716)/(AC716^2+Tableau!$G$21^2)^(3/2))*Tableau!$G$20</f>
        <v>6.4757609322980243E-4</v>
      </c>
      <c r="W716" s="96">
        <f>((Tableau!$H$16-Q716)/(AC716^2+Tableau!$G$21^2)^(3/2))*Tableau!$G$20</f>
        <v>-3.1755186865193907E-4</v>
      </c>
      <c r="X716" s="96">
        <f>((Tableau!$G$25-P716)/(AD716^2+Tableau!$G$30^2)^(3/2))*Tableau!$G$29</f>
        <v>2.2266766326894163E-4</v>
      </c>
      <c r="Y716" s="96">
        <f>((Tableau!$H$25-Q716)/(AD716^2+Tableau!$G$30^2)^(3/2))*Tableau!$G$29</f>
        <v>-1.0934732583480809E-4</v>
      </c>
      <c r="Z716" s="96">
        <f>((Tableau!$G$35-P716)/(AE716^2+Tableau!$G$40^2)^(3/2))*Tableau!$G$39</f>
        <v>6.4780966263450657E-4</v>
      </c>
      <c r="AA716" s="97">
        <f>((Tableau!$H$35-Q716)/(AE716^2+Tableau!$G$40^2)^(3/2))*Tableau!$G$39</f>
        <v>-3.18598156909263E-4</v>
      </c>
      <c r="AC716" s="110">
        <f>SQRT((Tableau!$G$16-P716)^2+(Tableau!$H$16-Q716)^2)</f>
        <v>26943746.231223382</v>
      </c>
      <c r="AD716" s="111">
        <f>SQRT((Tableau!$G$25-P716)^2+(Tableau!$H$25-Q716)^2)</f>
        <v>26906735.551208843</v>
      </c>
      <c r="AE716" s="112">
        <f>SQRT((Tableau!$G$35-P716)^2+(Tableau!$H$35-Q716)^2)</f>
        <v>26931224.208665233</v>
      </c>
    </row>
    <row r="717" spans="2:31" x14ac:dyDescent="0.25">
      <c r="B717" s="18">
        <v>714</v>
      </c>
      <c r="C717" s="19">
        <f>Tableau!$G$17*COS(B717*PI()/180)+Tableau!$G$16</f>
        <v>24972.609476841368</v>
      </c>
      <c r="D717" s="19">
        <f>Tableau!$G$17*SIN(B717*PI()/180)+Tableau!$H$16</f>
        <v>6977.3576836617276</v>
      </c>
      <c r="F717" s="26">
        <v>714</v>
      </c>
      <c r="G717" s="27">
        <f>Tableau!$G$26*COS(F717*PI()/180)+Tableau!$G$25</f>
        <v>-16519.173366211042</v>
      </c>
      <c r="H717" s="27">
        <f>Tableau!$G$26*SIN(F717*PI()/180)+Tableau!$H$25</f>
        <v>9634.1503785632085</v>
      </c>
      <c r="J717" s="34">
        <v>714</v>
      </c>
      <c r="K717" s="35">
        <f>Tableau!$G$36*COS(J717*PI()/180)+Tableau!$G$35</f>
        <v>-27.390523158634096</v>
      </c>
      <c r="L717" s="35">
        <f>Tableau!$G$36*SIN(J717*PI()/180)+Tableau!$H$35</f>
        <v>-15522.642316338273</v>
      </c>
      <c r="N717" s="98">
        <v>713</v>
      </c>
      <c r="O717" s="99">
        <v>356.5</v>
      </c>
      <c r="P717" s="101">
        <f>P716+R716*Tableau!$G$2+((1/2)*T716)*Tableau!$G$2^2</f>
        <v>-24206034.243380614</v>
      </c>
      <c r="Q717" s="101">
        <f>Q716+S716*Tableau!$G$2+((1/2)*U716)*Tableau!$G$2^2</f>
        <v>11887276.252937378</v>
      </c>
      <c r="R717" s="101">
        <f>R716+T716*Tableau!$G$2</f>
        <v>-68697.982293084919</v>
      </c>
      <c r="S717" s="101">
        <f>S716+U716*Tableau!$G$2</f>
        <v>33800.619723959644</v>
      </c>
      <c r="T717" s="101">
        <f t="shared" si="22"/>
        <v>1.5137464068514677E-3</v>
      </c>
      <c r="U717" s="101">
        <f t="shared" si="23"/>
        <v>-7.4338422706347722E-4</v>
      </c>
      <c r="V717" s="101">
        <f>((Tableau!$G$16-P717)/(AC717^2+Tableau!$G$21^2)^(3/2))*Tableau!$G$20</f>
        <v>6.4573926866365653E-4</v>
      </c>
      <c r="W717" s="101">
        <f>((Tableau!$H$16-Q717)/(AC717^2+Tableau!$G$21^2)^(3/2))*Tableau!$G$20</f>
        <v>-3.1665265360366208E-4</v>
      </c>
      <c r="X717" s="101">
        <f>((Tableau!$G$25-P717)/(AD717^2+Tableau!$G$30^2)^(3/2))*Tableau!$G$29</f>
        <v>2.2203529593698522E-4</v>
      </c>
      <c r="Y717" s="101">
        <f>((Tableau!$H$25-Q717)/(AD717^2+Tableau!$G$30^2)^(3/2))*Tableau!$G$29</f>
        <v>-1.0903707987877492E-4</v>
      </c>
      <c r="Z717" s="101">
        <f>((Tableau!$G$35-P717)/(AE717^2+Tableau!$G$40^2)^(3/2))*Tableau!$G$39</f>
        <v>6.4597184225082601E-4</v>
      </c>
      <c r="AA717" s="102">
        <f>((Tableau!$H$35-Q717)/(AE717^2+Tableau!$G$40^2)^(3/2))*Tableau!$G$39</f>
        <v>-3.1769449358104023E-4</v>
      </c>
      <c r="AC717" s="113">
        <f>SQRT((Tableau!$G$16-P717)^2+(Tableau!$H$16-Q717)^2)</f>
        <v>26982027.703293633</v>
      </c>
      <c r="AD717" s="114">
        <f>SQRT((Tableau!$G$25-P717)^2+(Tableau!$H$25-Q717)^2)</f>
        <v>26945017.046024852</v>
      </c>
      <c r="AE717" s="115">
        <f>SQRT((Tableau!$G$35-P717)^2+(Tableau!$H$35-Q717)^2)</f>
        <v>26969505.713870957</v>
      </c>
    </row>
    <row r="718" spans="2:31" x14ac:dyDescent="0.25">
      <c r="B718" s="20">
        <v>715</v>
      </c>
      <c r="C718" s="21">
        <f>Tableau!$G$17*COS(B718*PI()/180)+Tableau!$G$16</f>
        <v>24980.973490458728</v>
      </c>
      <c r="D718" s="21">
        <f>Tableau!$G$17*SIN(B718*PI()/180)+Tableau!$H$16</f>
        <v>7064.2212862617162</v>
      </c>
      <c r="F718" s="28">
        <v>715</v>
      </c>
      <c r="G718" s="29">
        <f>Tableau!$G$26*COS(F718*PI()/180)+Tableau!$G$25</f>
        <v>-16513.318556678889</v>
      </c>
      <c r="H718" s="29">
        <f>Tableau!$G$26*SIN(F718*PI()/180)+Tableau!$H$25</f>
        <v>9694.9549003832017</v>
      </c>
      <c r="J718" s="36">
        <v>715</v>
      </c>
      <c r="K718" s="37">
        <f>Tableau!$G$36*COS(J718*PI()/180)+Tableau!$G$35</f>
        <v>-19.02650954127148</v>
      </c>
      <c r="L718" s="37">
        <f>Tableau!$G$36*SIN(J718*PI()/180)+Tableau!$H$35</f>
        <v>-15435.778713738284</v>
      </c>
      <c r="N718" s="92">
        <v>714</v>
      </c>
      <c r="O718" s="93">
        <v>357</v>
      </c>
      <c r="P718" s="96">
        <f>P717+R717*Tableau!$G$2+((1/2)*T717)*Tableau!$G$2^2</f>
        <v>-24240383.234337937</v>
      </c>
      <c r="Q718" s="96">
        <f>Q717+S717*Tableau!$G$2+((1/2)*U717)*Tableau!$G$2^2</f>
        <v>11904176.562706435</v>
      </c>
      <c r="R718" s="96">
        <f>R717+T717*Tableau!$G$2</f>
        <v>-68697.981536211722</v>
      </c>
      <c r="S718" s="96">
        <f>S717+U717*Tableau!$G$2</f>
        <v>33800.619352267531</v>
      </c>
      <c r="T718" s="96">
        <f t="shared" si="22"/>
        <v>1.5094576983877071E-3</v>
      </c>
      <c r="U718" s="96">
        <f t="shared" si="23"/>
        <v>-7.4128007456001396E-4</v>
      </c>
      <c r="V718" s="96">
        <f>((Tableau!$G$16-P718)/(AC718^2+Tableau!$G$21^2)^(3/2))*Tableau!$G$20</f>
        <v>6.4391024816360266E-4</v>
      </c>
      <c r="W718" s="96">
        <f>((Tableau!$H$16-Q718)/(AC718^2+Tableau!$G$21^2)^(3/2))*Tableau!$G$20</f>
        <v>-3.1575725262954484E-4</v>
      </c>
      <c r="X718" s="96">
        <f>((Tableau!$G$25-P718)/(AD718^2+Tableau!$G$30^2)^(3/2))*Tableau!$G$29</f>
        <v>2.2140561863807624E-4</v>
      </c>
      <c r="Y718" s="96">
        <f>((Tableau!$H$25-Q718)/(AD718^2+Tableau!$G$30^2)^(3/2))*Tableau!$G$29</f>
        <v>-1.0872815242341108E-4</v>
      </c>
      <c r="Z718" s="96">
        <f>((Tableau!$G$35-P718)/(AE718^2+Tableau!$G$40^2)^(3/2))*Tableau!$G$39</f>
        <v>6.4414183158602821E-4</v>
      </c>
      <c r="AA718" s="97">
        <f>((Tableau!$H$35-Q718)/(AE718^2+Tableau!$G$40^2)^(3/2))*Tableau!$G$39</f>
        <v>-3.167946695070581E-4</v>
      </c>
      <c r="AC718" s="110">
        <f>SQRT((Tableau!$G$16-P718)^2+(Tableau!$H$16-Q718)^2)</f>
        <v>27020309.175037097</v>
      </c>
      <c r="AD718" s="111">
        <f>SQRT((Tableau!$G$25-P718)^2+(Tableau!$H$25-Q718)^2)</f>
        <v>26983298.540449668</v>
      </c>
      <c r="AE718" s="112">
        <f>SQRT((Tableau!$G$35-P718)^2+(Tableau!$H$35-Q718)^2)</f>
        <v>27007787.218656007</v>
      </c>
    </row>
    <row r="719" spans="2:31" x14ac:dyDescent="0.25">
      <c r="B719" s="18">
        <v>716</v>
      </c>
      <c r="C719" s="19">
        <f>Tableau!$G$17*COS(B719*PI()/180)+Tableau!$G$16</f>
        <v>24987.820251299123</v>
      </c>
      <c r="D719" s="19">
        <f>Tableau!$G$17*SIN(B719*PI()/180)+Tableau!$H$16</f>
        <v>7151.2176312793754</v>
      </c>
      <c r="F719" s="26">
        <v>716</v>
      </c>
      <c r="G719" s="27">
        <f>Tableau!$G$26*COS(F719*PI()/180)+Tableau!$G$25</f>
        <v>-16508.525824090615</v>
      </c>
      <c r="H719" s="27">
        <f>Tableau!$G$26*SIN(F719*PI()/180)+Tableau!$H$25</f>
        <v>9755.8523418955629</v>
      </c>
      <c r="J719" s="34">
        <v>716</v>
      </c>
      <c r="K719" s="35">
        <f>Tableau!$G$36*COS(J719*PI()/180)+Tableau!$G$35</f>
        <v>-12.179748700878008</v>
      </c>
      <c r="L719" s="35">
        <f>Tableau!$G$36*SIN(J719*PI()/180)+Tableau!$H$35</f>
        <v>-15348.782368720626</v>
      </c>
      <c r="N719" s="98">
        <v>715</v>
      </c>
      <c r="O719" s="99">
        <v>357.5</v>
      </c>
      <c r="P719" s="101">
        <f>P718+R718*Tableau!$G$2+((1/2)*T718)*Tableau!$G$2^2</f>
        <v>-24274732.22491736</v>
      </c>
      <c r="Q719" s="101">
        <f>Q718+S718*Tableau!$G$2+((1/2)*U718)*Tableau!$G$2^2</f>
        <v>11921076.872289909</v>
      </c>
      <c r="R719" s="101">
        <f>R718+T718*Tableau!$G$2</f>
        <v>-68697.980781482867</v>
      </c>
      <c r="S719" s="101">
        <f>S718+U718*Tableau!$G$2</f>
        <v>33800.618981627493</v>
      </c>
      <c r="T719" s="101">
        <f t="shared" si="22"/>
        <v>1.5051871901724549E-3</v>
      </c>
      <c r="U719" s="101">
        <f t="shared" si="23"/>
        <v>-7.3918484316762637E-4</v>
      </c>
      <c r="V719" s="101">
        <f>((Tableau!$G$16-P719)/(AC719^2+Tableau!$G$21^2)^(3/2))*Tableau!$G$20</f>
        <v>6.4208898758289347E-4</v>
      </c>
      <c r="W719" s="101">
        <f>((Tableau!$H$16-Q719)/(AC719^2+Tableau!$G$21^2)^(3/2))*Tableau!$G$20</f>
        <v>-3.1486564418989495E-4</v>
      </c>
      <c r="X719" s="101">
        <f>((Tableau!$G$25-P719)/(AD719^2+Tableau!$G$30^2)^(3/2))*Tableau!$G$29</f>
        <v>2.207786161362585E-4</v>
      </c>
      <c r="Y719" s="101">
        <f>((Tableau!$H$25-Q719)/(AD719^2+Tableau!$G$30^2)^(3/2))*Tableau!$G$29</f>
        <v>-1.0842053600802927E-4</v>
      </c>
      <c r="Z719" s="101">
        <f>((Tableau!$G$35-P719)/(AE719^2+Tableau!$G$40^2)^(3/2))*Tableau!$G$39</f>
        <v>6.4231958645330294E-4</v>
      </c>
      <c r="AA719" s="102">
        <f>((Tableau!$H$35-Q719)/(AE719^2+Tableau!$G$40^2)^(3/2))*Tableau!$G$39</f>
        <v>-3.1589866296970214E-4</v>
      </c>
      <c r="AC719" s="113">
        <f>SQRT((Tableau!$G$16-P719)^2+(Tableau!$H$16-Q719)^2)</f>
        <v>27058590.646454576</v>
      </c>
      <c r="AD719" s="114">
        <f>SQRT((Tableau!$G$25-P719)^2+(Tableau!$H$25-Q719)^2)</f>
        <v>27021580.034484368</v>
      </c>
      <c r="AE719" s="115">
        <f>SQRT((Tableau!$G$35-P719)^2+(Tableau!$H$35-Q719)^2)</f>
        <v>27046068.723021582</v>
      </c>
    </row>
    <row r="720" spans="2:31" x14ac:dyDescent="0.25">
      <c r="B720" s="20">
        <v>717</v>
      </c>
      <c r="C720" s="21">
        <f>Tableau!$G$17*COS(B720*PI()/180)+Tableau!$G$16</f>
        <v>24993.14767377287</v>
      </c>
      <c r="D720" s="21">
        <f>Tableau!$G$17*SIN(B720*PI()/180)+Tableau!$H$16</f>
        <v>7238.3202187852767</v>
      </c>
      <c r="F720" s="28">
        <v>717</v>
      </c>
      <c r="G720" s="29">
        <f>Tableau!$G$26*COS(F720*PI()/180)+Tableau!$G$25</f>
        <v>-16504.796628358992</v>
      </c>
      <c r="H720" s="29">
        <f>Tableau!$G$26*SIN(F720*PI()/180)+Tableau!$H$25</f>
        <v>9816.8241531496933</v>
      </c>
      <c r="J720" s="36">
        <v>717</v>
      </c>
      <c r="K720" s="37">
        <f>Tableau!$G$36*COS(J720*PI()/180)+Tableau!$G$35</f>
        <v>-6.8523262271310159</v>
      </c>
      <c r="L720" s="37">
        <f>Tableau!$G$36*SIN(J720*PI()/180)+Tableau!$H$35</f>
        <v>-15261.679781214723</v>
      </c>
      <c r="N720" s="92">
        <v>716</v>
      </c>
      <c r="O720" s="93">
        <v>358</v>
      </c>
      <c r="P720" s="96">
        <f>P719+R719*Tableau!$G$2+((1/2)*T719)*Tableau!$G$2^2</f>
        <v>-24309081.21511995</v>
      </c>
      <c r="Q720" s="96">
        <f>Q719+S719*Tableau!$G$2+((1/2)*U719)*Tableau!$G$2^2</f>
        <v>11937977.181688324</v>
      </c>
      <c r="R720" s="96">
        <f>R719+T719*Tableau!$G$2</f>
        <v>-68697.980028889273</v>
      </c>
      <c r="S720" s="96">
        <f>S719+U719*Tableau!$G$2</f>
        <v>33800.618612035069</v>
      </c>
      <c r="T720" s="96">
        <f t="shared" si="22"/>
        <v>1.500934779367745E-3</v>
      </c>
      <c r="U720" s="96">
        <f t="shared" si="23"/>
        <v>-7.3709848252622215E-4</v>
      </c>
      <c r="V720" s="96">
        <f>((Tableau!$G$16-P720)/(AC720^2+Tableau!$G$21^2)^(3/2))*Tableau!$G$20</f>
        <v>6.4027544308652661E-4</v>
      </c>
      <c r="W720" s="96">
        <f>((Tableau!$H$16-Q720)/(AC720^2+Tableau!$G$21^2)^(3/2))*Tableau!$G$20</f>
        <v>-3.1397780689686948E-4</v>
      </c>
      <c r="X720" s="96">
        <f>((Tableau!$G$25-P720)/(AD720^2+Tableau!$G$30^2)^(3/2))*Tableau!$G$29</f>
        <v>2.2015427330328473E-4</v>
      </c>
      <c r="Y720" s="96">
        <f>((Tableau!$H$25-Q720)/(AD720^2+Tableau!$G$30^2)^(3/2))*Tableau!$G$29</f>
        <v>-1.0811422322463451E-4</v>
      </c>
      <c r="Z720" s="96">
        <f>((Tableau!$G$35-P720)/(AE720^2+Tableau!$G$40^2)^(3/2))*Tableau!$G$39</f>
        <v>6.4050506297793383E-4</v>
      </c>
      <c r="AA720" s="97">
        <f>((Tableau!$H$35-Q720)/(AE720^2+Tableau!$G$40^2)^(3/2))*Tableau!$G$39</f>
        <v>-3.1500645240471812E-4</v>
      </c>
      <c r="AC720" s="110">
        <f>SQRT((Tableau!$G$16-P720)^2+(Tableau!$H$16-Q720)^2)</f>
        <v>27096872.117546856</v>
      </c>
      <c r="AD720" s="111">
        <f>SQRT((Tableau!$G$25-P720)^2+(Tableau!$H$25-Q720)^2)</f>
        <v>27059861.528130002</v>
      </c>
      <c r="AE720" s="112">
        <f>SQRT((Tableau!$G$35-P720)^2+(Tableau!$H$35-Q720)^2)</f>
        <v>27084350.226968862</v>
      </c>
    </row>
    <row r="721" spans="2:31" x14ac:dyDescent="0.25">
      <c r="B721" s="18">
        <v>718</v>
      </c>
      <c r="C721" s="19">
        <f>Tableau!$G$17*COS(B721*PI()/180)+Tableau!$G$16</f>
        <v>24996.954135095479</v>
      </c>
      <c r="D721" s="19">
        <f>Tableau!$G$17*SIN(B721*PI()/180)+Tableau!$H$16</f>
        <v>7325.502516487486</v>
      </c>
      <c r="F721" s="26">
        <v>718</v>
      </c>
      <c r="G721" s="27">
        <f>Tableau!$G$26*COS(F721*PI()/180)+Tableau!$G$25</f>
        <v>-16502.132105433164</v>
      </c>
      <c r="H721" s="27">
        <f>Tableau!$G$26*SIN(F721*PI()/180)+Tableau!$H$25</f>
        <v>9877.8517615412402</v>
      </c>
      <c r="J721" s="34">
        <v>718</v>
      </c>
      <c r="K721" s="35">
        <f>Tableau!$G$36*COS(J721*PI()/180)+Tableau!$G$35</f>
        <v>-3.0458649045212951</v>
      </c>
      <c r="L721" s="35">
        <f>Tableau!$G$36*SIN(J721*PI()/180)+Tableau!$H$35</f>
        <v>-15174.497483512514</v>
      </c>
      <c r="N721" s="98">
        <v>717</v>
      </c>
      <c r="O721" s="99">
        <v>358.5</v>
      </c>
      <c r="P721" s="101">
        <f>P720+R720*Tableau!$G$2+((1/2)*T720)*Tableau!$G$2^2</f>
        <v>-24343430.204946779</v>
      </c>
      <c r="Q721" s="101">
        <f>Q720+S720*Tableau!$G$2+((1/2)*U720)*Tableau!$G$2^2</f>
        <v>11954877.490902204</v>
      </c>
      <c r="R721" s="101">
        <f>R720+T720*Tableau!$G$2</f>
        <v>-68697.979278421888</v>
      </c>
      <c r="S721" s="101">
        <f>S720+U720*Tableau!$G$2</f>
        <v>33800.618243485827</v>
      </c>
      <c r="T721" s="101">
        <f t="shared" si="22"/>
        <v>1.4967003638608786E-3</v>
      </c>
      <c r="U721" s="101">
        <f t="shared" si="23"/>
        <v>-7.3502094263054119E-4</v>
      </c>
      <c r="V721" s="101">
        <f>((Tableau!$G$16-P721)/(AC721^2+Tableau!$G$21^2)^(3/2))*Tableau!$G$20</f>
        <v>6.3846957114855056E-4</v>
      </c>
      <c r="W721" s="101">
        <f>((Tableau!$H$16-Q721)/(AC721^2+Tableau!$G$21^2)^(3/2))*Tableau!$G$20</f>
        <v>-3.1309371951316494E-4</v>
      </c>
      <c r="X721" s="101">
        <f>((Tableau!$G$25-P721)/(AD721^2+Tableau!$G$30^2)^(3/2))*Tableau!$G$29</f>
        <v>2.1953257511771705E-4</v>
      </c>
      <c r="Y721" s="101">
        <f>((Tableau!$H$25-Q721)/(AD721^2+Tableau!$G$30^2)^(3/2))*Tableau!$G$29</f>
        <v>-1.0780920671748457E-4</v>
      </c>
      <c r="Z721" s="101">
        <f>((Tableau!$G$35-P721)/(AE721^2+Tableau!$G$40^2)^(3/2))*Tableau!$G$39</f>
        <v>6.3869821759461099E-4</v>
      </c>
      <c r="AA721" s="102">
        <f>((Tableau!$H$35-Q721)/(AE721^2+Tableau!$G$40^2)^(3/2))*Tableau!$G$39</f>
        <v>-3.1411801639989176E-4</v>
      </c>
      <c r="AC721" s="113">
        <f>SQRT((Tableau!$G$16-P721)^2+(Tableau!$H$16-Q721)^2)</f>
        <v>27135153.588314727</v>
      </c>
      <c r="AD721" s="114">
        <f>SQRT((Tableau!$G$25-P721)^2+(Tableau!$H$25-Q721)^2)</f>
        <v>27098143.021387637</v>
      </c>
      <c r="AE721" s="115">
        <f>SQRT((Tableau!$G$35-P721)^2+(Tableau!$H$35-Q721)^2)</f>
        <v>27122631.730499033</v>
      </c>
    </row>
    <row r="722" spans="2:31" x14ac:dyDescent="0.25">
      <c r="B722" s="20">
        <v>719</v>
      </c>
      <c r="C722" s="21">
        <f>Tableau!$G$17*COS(B722*PI()/180)+Tableau!$G$16</f>
        <v>24999.238475781956</v>
      </c>
      <c r="D722" s="21">
        <f>Tableau!$G$17*SIN(B722*PI()/180)+Tableau!$H$16</f>
        <v>7412.7379678135858</v>
      </c>
      <c r="F722" s="28">
        <v>719</v>
      </c>
      <c r="G722" s="29">
        <f>Tableau!$G$26*COS(F722*PI()/180)+Tableau!$G$25</f>
        <v>-16500.53306695263</v>
      </c>
      <c r="H722" s="29">
        <f>Tableau!$G$26*SIN(F722*PI()/180)+Tableau!$H$25</f>
        <v>9938.9165774695102</v>
      </c>
      <c r="J722" s="36">
        <v>719</v>
      </c>
      <c r="K722" s="37">
        <f>Tableau!$G$36*COS(J722*PI()/180)+Tableau!$G$35</f>
        <v>-0.76152421804363257</v>
      </c>
      <c r="L722" s="37">
        <f>Tableau!$G$36*SIN(J722*PI()/180)+Tableau!$H$35</f>
        <v>-15087.262032186414</v>
      </c>
      <c r="N722" s="92">
        <v>718</v>
      </c>
      <c r="O722" s="93">
        <v>359</v>
      </c>
      <c r="P722" s="96">
        <f>P721+R721*Tableau!$G$2+((1/2)*T721)*Tableau!$G$2^2</f>
        <v>-24377779.194398902</v>
      </c>
      <c r="Q722" s="96">
        <f>Q721+S721*Tableau!$G$2+((1/2)*U721)*Tableau!$G$2^2</f>
        <v>11971777.79993207</v>
      </c>
      <c r="R722" s="96">
        <f>R721+T721*Tableau!$G$2</f>
        <v>-68697.978530071705</v>
      </c>
      <c r="S722" s="96">
        <f>S721+U721*Tableau!$G$2</f>
        <v>33800.617875975353</v>
      </c>
      <c r="T722" s="96">
        <f t="shared" si="22"/>
        <v>1.4924838422583917E-3</v>
      </c>
      <c r="U722" s="96">
        <f t="shared" si="23"/>
        <v>-7.3295217382720766E-4</v>
      </c>
      <c r="V722" s="96">
        <f>((Tableau!$G$16-P722)/(AC722^2+Tableau!$G$21^2)^(3/2))*Tableau!$G$20</f>
        <v>6.3667132854953676E-4</v>
      </c>
      <c r="W722" s="96">
        <f>((Tableau!$H$16-Q722)/(AC722^2+Tableau!$G$21^2)^(3/2))*Tableau!$G$20</f>
        <v>-3.1221336095078758E-4</v>
      </c>
      <c r="X722" s="96">
        <f>((Tableau!$G$25-P722)/(AD722^2+Tableau!$G$30^2)^(3/2))*Tableau!$G$29</f>
        <v>2.1891350666401475E-4</v>
      </c>
      <c r="Y722" s="96">
        <f>((Tableau!$H$25-Q722)/(AD722^2+Tableau!$G$30^2)^(3/2))*Tableau!$G$29</f>
        <v>-1.0750547918264411E-4</v>
      </c>
      <c r="Z722" s="96">
        <f>((Tableau!$G$35-P722)/(AE722^2+Tableau!$G$40^2)^(3/2))*Tableau!$G$39</f>
        <v>6.3689900704484031E-4</v>
      </c>
      <c r="AA722" s="97">
        <f>((Tableau!$H$35-Q722)/(AE722^2+Tableau!$G$40^2)^(3/2))*Tableau!$G$39</f>
        <v>-3.132333336937759E-4</v>
      </c>
      <c r="AC722" s="110">
        <f>SQRT((Tableau!$G$16-P722)^2+(Tableau!$H$16-Q722)^2)</f>
        <v>27173435.058758974</v>
      </c>
      <c r="AD722" s="111">
        <f>SQRT((Tableau!$G$25-P722)^2+(Tableau!$H$25-Q722)^2)</f>
        <v>27136424.514258318</v>
      </c>
      <c r="AE722" s="112">
        <f>SQRT((Tableau!$G$35-P722)^2+(Tableau!$H$35-Q722)^2)</f>
        <v>27160913.233613268</v>
      </c>
    </row>
    <row r="723" spans="2:31" x14ac:dyDescent="0.25">
      <c r="B723" s="18">
        <v>720</v>
      </c>
      <c r="C723" s="19">
        <f>Tableau!$G$17*COS(B723*PI()/180)+Tableau!$G$16</f>
        <v>25000</v>
      </c>
      <c r="D723" s="19">
        <f>Tableau!$G$17*SIN(B723*PI()/180)+Tableau!$H$16</f>
        <v>7499.9999999999973</v>
      </c>
      <c r="F723" s="26">
        <v>720</v>
      </c>
      <c r="G723" s="27">
        <f>Tableau!$G$26*COS(F723*PI()/180)+Tableau!$G$25</f>
        <v>-16500</v>
      </c>
      <c r="H723" s="27">
        <f>Tableau!$G$26*SIN(F723*PI()/180)+Tableau!$H$25</f>
        <v>9999.9999999999982</v>
      </c>
      <c r="J723" s="34">
        <v>720</v>
      </c>
      <c r="K723" s="35">
        <f>Tableau!$G$36*COS(J723*PI()/180)+Tableau!$G$35</f>
        <v>0</v>
      </c>
      <c r="L723" s="35">
        <f>Tableau!$G$36*SIN(J723*PI()/180)+Tableau!$H$35</f>
        <v>-15000.000000000002</v>
      </c>
      <c r="N723" s="98">
        <v>719</v>
      </c>
      <c r="O723" s="99">
        <v>359.5</v>
      </c>
      <c r="P723" s="101">
        <f>P722+R722*Tableau!$G$2+((1/2)*T722)*Tableau!$G$2^2</f>
        <v>-24412128.183477379</v>
      </c>
      <c r="Q723" s="101">
        <f>Q722+S722*Tableau!$G$2+((1/2)*U722)*Tableau!$G$2^2</f>
        <v>11988678.108778438</v>
      </c>
      <c r="R723" s="101">
        <f>R722+T722*Tableau!$G$2</f>
        <v>-68697.977783829789</v>
      </c>
      <c r="S723" s="101">
        <f>S722+U722*Tableau!$G$2</f>
        <v>33800.617509499265</v>
      </c>
      <c r="T723" s="101">
        <f t="shared" si="22"/>
        <v>1.4882851138799046E-3</v>
      </c>
      <c r="U723" s="101">
        <f t="shared" si="23"/>
        <v>-7.3089212681172184E-4</v>
      </c>
      <c r="V723" s="101">
        <f>((Tableau!$G$16-P723)/(AC723^2+Tableau!$G$21^2)^(3/2))*Tableau!$G$20</f>
        <v>6.34880672373915E-4</v>
      </c>
      <c r="W723" s="101">
        <f>((Tableau!$H$16-Q723)/(AC723^2+Tableau!$G$21^2)^(3/2))*Tableau!$G$20</f>
        <v>-3.11336710269758E-4</v>
      </c>
      <c r="X723" s="101">
        <f>((Tableau!$G$25-P723)/(AD723^2+Tableau!$G$30^2)^(3/2))*Tableau!$G$29</f>
        <v>2.1829705313164023E-4</v>
      </c>
      <c r="Y723" s="101">
        <f>((Tableau!$H$25-Q723)/(AD723^2+Tableau!$G$30^2)^(3/2))*Tableau!$G$29</f>
        <v>-1.0720303336754755E-4</v>
      </c>
      <c r="Z723" s="101">
        <f>((Tableau!$G$35-P723)/(AE723^2+Tableau!$G$40^2)^(3/2))*Tableau!$G$39</f>
        <v>6.3510738837434938E-4</v>
      </c>
      <c r="AA723" s="102">
        <f>((Tableau!$H$35-Q723)/(AE723^2+Tableau!$G$40^2)^(3/2))*Tableau!$G$39</f>
        <v>-3.1235238317441636E-4</v>
      </c>
      <c r="AC723" s="113">
        <f>SQRT((Tableau!$G$16-P723)^2+(Tableau!$H$16-Q723)^2)</f>
        <v>27211716.528880373</v>
      </c>
      <c r="AD723" s="114">
        <f>SQRT((Tableau!$G$25-P723)^2+(Tableau!$H$25-Q723)^2)</f>
        <v>27174706.006743096</v>
      </c>
      <c r="AE723" s="115">
        <f>SQRT((Tableau!$G$35-P723)^2+(Tableau!$H$35-Q723)^2)</f>
        <v>27199194.736312736</v>
      </c>
    </row>
    <row r="724" spans="2:31" x14ac:dyDescent="0.25">
      <c r="B724" s="20">
        <v>721</v>
      </c>
      <c r="C724" s="21">
        <f>Tableau!$G$17*COS(B724*PI()/180)+Tableau!$G$16</f>
        <v>24999.238475781956</v>
      </c>
      <c r="D724" s="21">
        <f>Tableau!$G$17*SIN(B724*PI()/180)+Tableau!$H$16</f>
        <v>7587.2620321864097</v>
      </c>
      <c r="F724" s="28">
        <v>721</v>
      </c>
      <c r="G724" s="29">
        <f>Tableau!$G$26*COS(F724*PI()/180)+Tableau!$G$25</f>
        <v>-16500.53306695263</v>
      </c>
      <c r="H724" s="29">
        <f>Tableau!$G$26*SIN(F724*PI()/180)+Tableau!$H$25</f>
        <v>10061.083422530486</v>
      </c>
      <c r="J724" s="36">
        <v>721</v>
      </c>
      <c r="K724" s="37">
        <f>Tableau!$G$36*COS(J724*PI()/180)+Tableau!$G$35</f>
        <v>-0.76152421804363257</v>
      </c>
      <c r="L724" s="37">
        <f>Tableau!$G$36*SIN(J724*PI()/180)+Tableau!$H$35</f>
        <v>-14912.737967813589</v>
      </c>
      <c r="N724" s="92">
        <v>720</v>
      </c>
      <c r="O724" s="93">
        <v>360</v>
      </c>
      <c r="P724" s="96">
        <f>P723+R723*Tableau!$G$2+((1/2)*T723)*Tableau!$G$2^2</f>
        <v>-24446477.172183257</v>
      </c>
      <c r="Q724" s="96">
        <f>Q723+S723*Tableau!$G$2+((1/2)*U723)*Tableau!$G$2^2</f>
        <v>12005578.417441826</v>
      </c>
      <c r="R724" s="96">
        <f>R723+T723*Tableau!$G$2</f>
        <v>-68697.977039687234</v>
      </c>
      <c r="S724" s="96">
        <f>S723+U723*Tableau!$G$2</f>
        <v>33800.617144053198</v>
      </c>
      <c r="T724" s="96">
        <f t="shared" si="22"/>
        <v>1.4841040787521636E-3</v>
      </c>
      <c r="U724" s="96">
        <f t="shared" si="23"/>
        <v>-7.2884075262555055E-4</v>
      </c>
      <c r="V724" s="96">
        <f>((Tableau!$G$16-P724)/(AC724^2+Tableau!$G$21^2)^(3/2))*Tableau!$G$20</f>
        <v>6.3309756000745989E-4</v>
      </c>
      <c r="W724" s="96">
        <f>((Tableau!$H$16-Q724)/(AC724^2+Tableau!$G$21^2)^(3/2))*Tableau!$G$20</f>
        <v>-3.1046374667688886E-4</v>
      </c>
      <c r="X724" s="96">
        <f>((Tableau!$G$25-P724)/(AD724^2+Tableau!$G$30^2)^(3/2))*Tableau!$G$29</f>
        <v>2.1768319981417729E-4</v>
      </c>
      <c r="Y724" s="96">
        <f>((Tableau!$H$25-Q724)/(AD724^2+Tableau!$G$30^2)^(3/2))*Tableau!$G$29</f>
        <v>-1.069018620705684E-4</v>
      </c>
      <c r="Z724" s="96">
        <f>((Tableau!$G$35-P724)/(AE724^2+Tableau!$G$40^2)^(3/2))*Tableau!$G$39</f>
        <v>6.3332331893052639E-4</v>
      </c>
      <c r="AA724" s="97">
        <f>((Tableau!$H$35-Q724)/(AE724^2+Tableau!$G$40^2)^(3/2))*Tableau!$G$39</f>
        <v>-3.1147514387809327E-4</v>
      </c>
      <c r="AC724" s="110">
        <f>SQRT((Tableau!$G$16-P724)^2+(Tableau!$H$16-Q724)^2)</f>
        <v>27249997.998679701</v>
      </c>
      <c r="AD724" s="111">
        <f>SQRT((Tableau!$G$25-P724)^2+(Tableau!$H$25-Q724)^2)</f>
        <v>27212987.498843011</v>
      </c>
      <c r="AE724" s="112">
        <f>SQRT((Tableau!$G$35-P724)^2+(Tableau!$H$35-Q724)^2)</f>
        <v>27237476.238598604</v>
      </c>
    </row>
    <row r="725" spans="2:31" x14ac:dyDescent="0.25">
      <c r="B725" s="18">
        <v>722</v>
      </c>
      <c r="C725" s="19">
        <f>Tableau!$G$17*COS(B725*PI()/180)+Tableau!$G$16</f>
        <v>24996.954135095479</v>
      </c>
      <c r="D725" s="19">
        <f>Tableau!$G$17*SIN(B725*PI()/180)+Tableau!$H$16</f>
        <v>7674.4974835125004</v>
      </c>
      <c r="F725" s="26">
        <v>722</v>
      </c>
      <c r="G725" s="27">
        <f>Tableau!$G$26*COS(F725*PI()/180)+Tableau!$G$25</f>
        <v>-16502.132105433164</v>
      </c>
      <c r="H725" s="27">
        <f>Tableau!$G$26*SIN(F725*PI()/180)+Tableau!$H$25</f>
        <v>10122.148238458751</v>
      </c>
      <c r="J725" s="34">
        <v>722</v>
      </c>
      <c r="K725" s="35">
        <f>Tableau!$G$36*COS(J725*PI()/180)+Tableau!$G$35</f>
        <v>-3.0458649045212951</v>
      </c>
      <c r="L725" s="35">
        <f>Tableau!$G$36*SIN(J725*PI()/180)+Tableau!$H$35</f>
        <v>-14825.502516487499</v>
      </c>
      <c r="N725" s="98">
        <v>721</v>
      </c>
      <c r="O725" s="99">
        <v>360.5</v>
      </c>
      <c r="P725" s="101">
        <f>P724+R724*Tableau!$G$2+((1/2)*T724)*Tableau!$G$2^2</f>
        <v>-24480826.160517588</v>
      </c>
      <c r="Q725" s="101">
        <f>Q724+S724*Tableau!$G$2+((1/2)*U724)*Tableau!$G$2^2</f>
        <v>12022478.725922747</v>
      </c>
      <c r="R725" s="101">
        <f>R724+T724*Tableau!$G$2</f>
        <v>-68697.976297635192</v>
      </c>
      <c r="S725" s="101">
        <f>S724+U724*Tableau!$G$2</f>
        <v>33800.616779632823</v>
      </c>
      <c r="T725" s="101">
        <f t="shared" si="22"/>
        <v>1.4799406376030419E-3</v>
      </c>
      <c r="U725" s="101">
        <f t="shared" si="23"/>
        <v>-7.2679800265319154E-4</v>
      </c>
      <c r="V725" s="101">
        <f>((Tableau!$G$16-P725)/(AC725^2+Tableau!$G$21^2)^(3/2))*Tableau!$G$20</f>
        <v>6.3132194913472579E-4</v>
      </c>
      <c r="W725" s="101">
        <f>((Tableau!$H$16-Q725)/(AC725^2+Tableau!$G$21^2)^(3/2))*Tableau!$G$20</f>
        <v>-3.0959444952453679E-4</v>
      </c>
      <c r="X725" s="101">
        <f>((Tableau!$G$25-P725)/(AD725^2+Tableau!$G$30^2)^(3/2))*Tableau!$G$29</f>
        <v>2.1707193210844723E-4</v>
      </c>
      <c r="Y725" s="101">
        <f>((Tableau!$H$25-Q725)/(AD725^2+Tableau!$G$30^2)^(3/2))*Tableau!$G$29</f>
        <v>-1.066019581405869E-4</v>
      </c>
      <c r="Z725" s="101">
        <f>((Tableau!$G$35-P725)/(AE725^2+Tableau!$G$40^2)^(3/2))*Tableau!$G$39</f>
        <v>6.3154675635986881E-4</v>
      </c>
      <c r="AA725" s="102">
        <f>((Tableau!$H$35-Q725)/(AE725^2+Tableau!$G$40^2)^(3/2))*Tableau!$G$39</f>
        <v>-3.106015949880678E-4</v>
      </c>
      <c r="AC725" s="113">
        <f>SQRT((Tableau!$G$16-P725)^2+(Tableau!$H$16-Q725)^2)</f>
        <v>27288279.468157738</v>
      </c>
      <c r="AD725" s="114">
        <f>SQRT((Tableau!$G$25-P725)^2+(Tableau!$H$25-Q725)^2)</f>
        <v>27251268.990559105</v>
      </c>
      <c r="AE725" s="115">
        <f>SQRT((Tableau!$G$35-P725)^2+(Tableau!$H$35-Q725)^2)</f>
        <v>27275757.74047203</v>
      </c>
    </row>
    <row r="726" spans="2:31" x14ac:dyDescent="0.25">
      <c r="B726" s="20">
        <v>723</v>
      </c>
      <c r="C726" s="21">
        <f>Tableau!$G$17*COS(B726*PI()/180)+Tableau!$G$16</f>
        <v>24993.14767377287</v>
      </c>
      <c r="D726" s="21">
        <f>Tableau!$G$17*SIN(B726*PI()/180)+Tableau!$H$16</f>
        <v>7761.6797812147179</v>
      </c>
      <c r="F726" s="28">
        <v>723</v>
      </c>
      <c r="G726" s="29">
        <f>Tableau!$G$26*COS(F726*PI()/180)+Tableau!$G$25</f>
        <v>-16504.796628358992</v>
      </c>
      <c r="H726" s="29">
        <f>Tableau!$G$26*SIN(F726*PI()/180)+Tableau!$H$25</f>
        <v>10183.175846850303</v>
      </c>
      <c r="J726" s="36">
        <v>723</v>
      </c>
      <c r="K726" s="37">
        <f>Tableau!$G$36*COS(J726*PI()/180)+Tableau!$G$35</f>
        <v>-6.8523262271310159</v>
      </c>
      <c r="L726" s="37">
        <f>Tableau!$G$36*SIN(J726*PI()/180)+Tableau!$H$35</f>
        <v>-14738.320218785282</v>
      </c>
      <c r="N726" s="92">
        <v>722</v>
      </c>
      <c r="O726" s="93">
        <v>361</v>
      </c>
      <c r="P726" s="96">
        <f>P725+R725*Tableau!$G$2+((1/2)*T725)*Tableau!$G$2^2</f>
        <v>-24515175.14848141</v>
      </c>
      <c r="Q726" s="96">
        <f>Q725+S725*Tableau!$G$2+((1/2)*U725)*Tableau!$G$2^2</f>
        <v>12039379.034221712</v>
      </c>
      <c r="R726" s="96">
        <f>R725+T725*Tableau!$G$2</f>
        <v>-68697.975557664875</v>
      </c>
      <c r="S726" s="96">
        <f>S725+U725*Tableau!$G$2</f>
        <v>33800.616416233825</v>
      </c>
      <c r="T726" s="96">
        <f t="shared" si="22"/>
        <v>1.4757946918557158E-3</v>
      </c>
      <c r="U726" s="96">
        <f t="shared" si="23"/>
        <v>-7.2476382861932963E-4</v>
      </c>
      <c r="V726" s="96">
        <f>((Tableau!$G$16-P726)/(AC726^2+Tableau!$G$21^2)^(3/2))*Tableau!$G$20</f>
        <v>6.2955379773657226E-4</v>
      </c>
      <c r="W726" s="96">
        <f>((Tableau!$H$16-Q726)/(AC726^2+Tableau!$G$21^2)^(3/2))*Tableau!$G$20</f>
        <v>-3.0872879830939995E-4</v>
      </c>
      <c r="X726" s="96">
        <f>((Tableau!$G$25-P726)/(AD726^2+Tableau!$G$30^2)^(3/2))*Tableau!$G$29</f>
        <v>2.1646323551365235E-4</v>
      </c>
      <c r="Y726" s="96">
        <f>((Tableau!$H$25-Q726)/(AD726^2+Tableau!$G$30^2)^(3/2))*Tableau!$G$29</f>
        <v>-1.0630331447657183E-4</v>
      </c>
      <c r="Z726" s="96">
        <f>((Tableau!$G$35-P726)/(AE726^2+Tableau!$G$40^2)^(3/2))*Tableau!$G$39</f>
        <v>6.2977765860549131E-4</v>
      </c>
      <c r="AA726" s="97">
        <f>((Tableau!$H$35-Q726)/(AE726^2+Tableau!$G$40^2)^(3/2))*Tableau!$G$39</f>
        <v>-3.0973171583335786E-4</v>
      </c>
      <c r="AC726" s="110">
        <f>SQRT((Tableau!$G$16-P726)^2+(Tableau!$H$16-Q726)^2)</f>
        <v>27326560.937315252</v>
      </c>
      <c r="AD726" s="111">
        <f>SQRT((Tableau!$G$25-P726)^2+(Tableau!$H$25-Q726)^2)</f>
        <v>27289550.481892407</v>
      </c>
      <c r="AE726" s="112">
        <f>SQRT((Tableau!$G$35-P726)^2+(Tableau!$H$35-Q726)^2)</f>
        <v>27314039.241934169</v>
      </c>
    </row>
    <row r="727" spans="2:31" x14ac:dyDescent="0.25">
      <c r="B727" s="18">
        <v>724</v>
      </c>
      <c r="C727" s="19">
        <f>Tableau!$G$17*COS(B727*PI()/180)+Tableau!$G$16</f>
        <v>24987.820251299123</v>
      </c>
      <c r="D727" s="19">
        <f>Tableau!$G$17*SIN(B727*PI()/180)+Tableau!$H$16</f>
        <v>7848.7823687206201</v>
      </c>
      <c r="F727" s="26">
        <v>724</v>
      </c>
      <c r="G727" s="27">
        <f>Tableau!$G$26*COS(F727*PI()/180)+Tableau!$G$25</f>
        <v>-16508.525824090615</v>
      </c>
      <c r="H727" s="27">
        <f>Tableau!$G$26*SIN(F727*PI()/180)+Tableau!$H$25</f>
        <v>10244.147658104434</v>
      </c>
      <c r="J727" s="34">
        <v>724</v>
      </c>
      <c r="K727" s="35">
        <f>Tableau!$G$36*COS(J727*PI()/180)+Tableau!$G$35</f>
        <v>-12.179748700878008</v>
      </c>
      <c r="L727" s="35">
        <f>Tableau!$G$36*SIN(J727*PI()/180)+Tableau!$H$35</f>
        <v>-14651.21763127938</v>
      </c>
      <c r="N727" s="98">
        <v>723</v>
      </c>
      <c r="O727" s="99">
        <v>361.5</v>
      </c>
      <c r="P727" s="101">
        <f>P726+R726*Tableau!$G$2+((1/2)*T726)*Tableau!$G$2^2</f>
        <v>-24549524.136075769</v>
      </c>
      <c r="Q727" s="101">
        <f>Q726+S726*Tableau!$G$2+((1/2)*U726)*Tableau!$G$2^2</f>
        <v>12056279.342339234</v>
      </c>
      <c r="R727" s="101">
        <f>R726+T726*Tableau!$G$2</f>
        <v>-68697.974819767536</v>
      </c>
      <c r="S727" s="101">
        <f>S726+U726*Tableau!$G$2</f>
        <v>33800.616053851911</v>
      </c>
      <c r="T727" s="101">
        <f t="shared" si="22"/>
        <v>1.4716661436227443E-3</v>
      </c>
      <c r="U727" s="101">
        <f t="shared" si="23"/>
        <v>-7.2273818258594116E-4</v>
      </c>
      <c r="V727" s="101">
        <f>((Tableau!$G$16-P727)/(AC727^2+Tableau!$G$21^2)^(3/2))*Tableau!$G$20</f>
        <v>6.2779306408764174E-4</v>
      </c>
      <c r="W727" s="101">
        <f>((Tableau!$H$16-Q727)/(AC727^2+Tableau!$G$21^2)^(3/2))*Tableau!$G$20</f>
        <v>-3.0786677267129073E-4</v>
      </c>
      <c r="X727" s="101">
        <f>((Tableau!$G$25-P727)/(AD727^2+Tableau!$G$30^2)^(3/2))*Tableau!$G$29</f>
        <v>2.1585709563050039E-4</v>
      </c>
      <c r="Y727" s="101">
        <f>((Tableau!$H$25-Q727)/(AD727^2+Tableau!$G$30^2)^(3/2))*Tableau!$G$29</f>
        <v>-1.0600592402715209E-4</v>
      </c>
      <c r="Z727" s="101">
        <f>((Tableau!$G$35-P727)/(AE727^2+Tableau!$G$40^2)^(3/2))*Tableau!$G$39</f>
        <v>6.280159839046021E-4</v>
      </c>
      <c r="AA727" s="102">
        <f>((Tableau!$H$35-Q727)/(AE727^2+Tableau!$G$40^2)^(3/2))*Tableau!$G$39</f>
        <v>-3.0886548588749833E-4</v>
      </c>
      <c r="AC727" s="113">
        <f>SQRT((Tableau!$G$16-P727)^2+(Tableau!$H$16-Q727)^2)</f>
        <v>27364842.40615302</v>
      </c>
      <c r="AD727" s="114">
        <f>SQRT((Tableau!$G$25-P727)^2+(Tableau!$H$25-Q727)^2)</f>
        <v>27327831.97284396</v>
      </c>
      <c r="AE727" s="115">
        <f>SQRT((Tableau!$G$35-P727)^2+(Tableau!$H$35-Q727)^2)</f>
        <v>27352320.74298618</v>
      </c>
    </row>
    <row r="728" spans="2:31" x14ac:dyDescent="0.25">
      <c r="B728" s="20">
        <v>725</v>
      </c>
      <c r="C728" s="21">
        <f>Tableau!$G$17*COS(B728*PI()/180)+Tableau!$G$16</f>
        <v>24980.973490458728</v>
      </c>
      <c r="D728" s="21">
        <f>Tableau!$G$17*SIN(B728*PI()/180)+Tableau!$H$16</f>
        <v>7935.7787137382875</v>
      </c>
      <c r="F728" s="28">
        <v>725</v>
      </c>
      <c r="G728" s="29">
        <f>Tableau!$G$26*COS(F728*PI()/180)+Tableau!$G$25</f>
        <v>-16513.318556678889</v>
      </c>
      <c r="H728" s="29">
        <f>Tableau!$G$26*SIN(F728*PI()/180)+Tableau!$H$25</f>
        <v>10305.045099616802</v>
      </c>
      <c r="J728" s="36">
        <v>725</v>
      </c>
      <c r="K728" s="37">
        <f>Tableau!$G$36*COS(J728*PI()/180)+Tableau!$G$35</f>
        <v>-19.026509541272389</v>
      </c>
      <c r="L728" s="37">
        <f>Tableau!$G$36*SIN(J728*PI()/180)+Tableau!$H$35</f>
        <v>-14564.221286261713</v>
      </c>
      <c r="N728" s="92">
        <v>724</v>
      </c>
      <c r="O728" s="93">
        <v>362</v>
      </c>
      <c r="P728" s="96">
        <f>P727+R727*Tableau!$G$2+((1/2)*T727)*Tableau!$G$2^2</f>
        <v>-24583873.123301692</v>
      </c>
      <c r="Q728" s="96">
        <f>Q727+S727*Tableau!$G$2+((1/2)*U727)*Tableau!$G$2^2</f>
        <v>12073179.650275819</v>
      </c>
      <c r="R728" s="96">
        <f>R727+T727*Tableau!$G$2</f>
        <v>-68697.974083934459</v>
      </c>
      <c r="S728" s="96">
        <f>S727+U727*Tableau!$G$2</f>
        <v>33800.615692482817</v>
      </c>
      <c r="T728" s="96">
        <f t="shared" si="22"/>
        <v>1.4675548957003648E-3</v>
      </c>
      <c r="U728" s="96">
        <f t="shared" si="23"/>
        <v>-7.2072101694950627E-4</v>
      </c>
      <c r="V728" s="96">
        <f>((Tableau!$G$16-P728)/(AC728^2+Tableau!$G$21^2)^(3/2))*Tableau!$G$20</f>
        <v>6.2603970675391353E-4</v>
      </c>
      <c r="W728" s="96">
        <f>((Tableau!$H$16-Q728)/(AC728^2+Tableau!$G$21^2)^(3/2))*Tableau!$G$20</f>
        <v>-3.0700835239194603E-4</v>
      </c>
      <c r="X728" s="96">
        <f>((Tableau!$G$25-P728)/(AD728^2+Tableau!$G$30^2)^(3/2))*Tableau!$G$29</f>
        <v>2.1525349816036376E-4</v>
      </c>
      <c r="Y728" s="96">
        <f>((Tableau!$H$25-Q728)/(AD728^2+Tableau!$G$30^2)^(3/2))*Tableau!$G$29</f>
        <v>-1.0570977979020608E-4</v>
      </c>
      <c r="Z728" s="96">
        <f>((Tableau!$G$35-P728)/(AE728^2+Tableau!$G$40^2)^(3/2))*Tableau!$G$39</f>
        <v>6.2626169078608743E-4</v>
      </c>
      <c r="AA728" s="97">
        <f>((Tableau!$H$35-Q728)/(AE728^2+Tableau!$G$40^2)^(3/2))*Tableau!$G$39</f>
        <v>-3.0800288476735414E-4</v>
      </c>
      <c r="AC728" s="110">
        <f>SQRT((Tableau!$G$16-P728)^2+(Tableau!$H$16-Q728)^2)</f>
        <v>27403123.874671794</v>
      </c>
      <c r="AD728" s="111">
        <f>SQRT((Tableau!$G$25-P728)^2+(Tableau!$H$25-Q728)^2)</f>
        <v>27366113.463414785</v>
      </c>
      <c r="AE728" s="112">
        <f>SQRT((Tableau!$G$35-P728)^2+(Tableau!$H$35-Q728)^2)</f>
        <v>27390602.243629195</v>
      </c>
    </row>
    <row r="729" spans="2:31" x14ac:dyDescent="0.25">
      <c r="B729" s="18">
        <v>726</v>
      </c>
      <c r="C729" s="19">
        <f>Tableau!$G$17*COS(B729*PI()/180)+Tableau!$G$16</f>
        <v>24972.609476841368</v>
      </c>
      <c r="D729" s="19">
        <f>Tableau!$G$17*SIN(B729*PI()/180)+Tableau!$H$16</f>
        <v>8022.6423163382678</v>
      </c>
      <c r="F729" s="26">
        <v>726</v>
      </c>
      <c r="G729" s="27">
        <f>Tableau!$G$26*COS(F729*PI()/180)+Tableau!$G$25</f>
        <v>-16519.173366211042</v>
      </c>
      <c r="H729" s="27">
        <f>Tableau!$G$26*SIN(F729*PI()/180)+Tableau!$H$25</f>
        <v>10365.849621436788</v>
      </c>
      <c r="J729" s="34">
        <v>726</v>
      </c>
      <c r="K729" s="35">
        <f>Tableau!$G$36*COS(J729*PI()/180)+Tableau!$G$35</f>
        <v>-27.390523158633187</v>
      </c>
      <c r="L729" s="35">
        <f>Tableau!$G$36*SIN(J729*PI()/180)+Tableau!$H$35</f>
        <v>-14477.357683661732</v>
      </c>
      <c r="N729" s="98">
        <v>725</v>
      </c>
      <c r="O729" s="99">
        <v>362.5</v>
      </c>
      <c r="P729" s="101">
        <f>P728+R728*Tableau!$G$2+((1/2)*T728)*Tableau!$G$2^2</f>
        <v>-24618222.110160217</v>
      </c>
      <c r="Q729" s="101">
        <f>Q728+S728*Tableau!$G$2+((1/2)*U728)*Tableau!$G$2^2</f>
        <v>12090079.958031969</v>
      </c>
      <c r="R729" s="101">
        <f>R728+T728*Tableau!$G$2</f>
        <v>-68697.973350157015</v>
      </c>
      <c r="S729" s="101">
        <f>S728+U728*Tableau!$G$2</f>
        <v>33800.61533212231</v>
      </c>
      <c r="T729" s="101">
        <f t="shared" si="22"/>
        <v>1.4634608515627333E-3</v>
      </c>
      <c r="U729" s="101">
        <f t="shared" si="23"/>
        <v>-7.1871228443819298E-4</v>
      </c>
      <c r="V729" s="101">
        <f>((Tableau!$G$16-P729)/(AC729^2+Tableau!$G$21^2)^(3/2))*Tableau!$G$20</f>
        <v>6.2429368459027796E-4</v>
      </c>
      <c r="W729" s="101">
        <f>((Tableau!$H$16-Q729)/(AC729^2+Tableau!$G$21^2)^(3/2))*Tableau!$G$20</f>
        <v>-3.0615351739384791E-4</v>
      </c>
      <c r="X729" s="101">
        <f>((Tableau!$G$25-P729)/(AD729^2+Tableau!$G$30^2)^(3/2))*Tableau!$G$29</f>
        <v>2.1465242890443466E-4</v>
      </c>
      <c r="Y729" s="101">
        <f>((Tableau!$H$25-Q729)/(AD729^2+Tableau!$G$30^2)^(3/2))*Tableau!$G$29</f>
        <v>-1.0541487481244856E-4</v>
      </c>
      <c r="Z729" s="101">
        <f>((Tableau!$G$35-P729)/(AE729^2+Tableau!$G$40^2)^(3/2))*Tableau!$G$39</f>
        <v>6.245147380680206E-4</v>
      </c>
      <c r="AA729" s="102">
        <f>((Tableau!$H$35-Q729)/(AE729^2+Tableau!$G$40^2)^(3/2))*Tableau!$G$39</f>
        <v>-3.071438922318965E-4</v>
      </c>
      <c r="AC729" s="113">
        <f>SQRT((Tableau!$G$16-P729)^2+(Tableau!$H$16-Q729)^2)</f>
        <v>27441405.342872355</v>
      </c>
      <c r="AD729" s="114">
        <f>SQRT((Tableau!$G$25-P729)^2+(Tableau!$H$25-Q729)^2)</f>
        <v>27404394.953605901</v>
      </c>
      <c r="AE729" s="115">
        <f>SQRT((Tableau!$G$35-P729)^2+(Tableau!$H$35-Q729)^2)</f>
        <v>27428883.743864369</v>
      </c>
    </row>
    <row r="730" spans="2:31" x14ac:dyDescent="0.25">
      <c r="B730" s="20">
        <v>727</v>
      </c>
      <c r="C730" s="21">
        <f>Tableau!$G$17*COS(B730*PI()/180)+Tableau!$G$16</f>
        <v>24962.73075820661</v>
      </c>
      <c r="D730" s="21">
        <f>Tableau!$G$17*SIN(B730*PI()/180)+Tableau!$H$16</f>
        <v>8109.3467170257409</v>
      </c>
      <c r="F730" s="28">
        <v>727</v>
      </c>
      <c r="G730" s="29">
        <f>Tableau!$G$26*COS(F730*PI()/180)+Tableau!$G$25</f>
        <v>-16526.088469255374</v>
      </c>
      <c r="H730" s="29">
        <f>Tableau!$G$26*SIN(F730*PI()/180)+Tableau!$H$25</f>
        <v>10426.542701918019</v>
      </c>
      <c r="J730" s="36">
        <v>727</v>
      </c>
      <c r="K730" s="37">
        <f>Tableau!$G$36*COS(J730*PI()/180)+Tableau!$G$35</f>
        <v>-37.269241793390393</v>
      </c>
      <c r="L730" s="37">
        <f>Tableau!$G$36*SIN(J730*PI()/180)+Tableau!$H$35</f>
        <v>-14390.653282974259</v>
      </c>
      <c r="N730" s="92">
        <v>726</v>
      </c>
      <c r="O730" s="93">
        <v>363</v>
      </c>
      <c r="P730" s="96">
        <f>P729+R729*Tableau!$G$2+((1/2)*T729)*Tableau!$G$2^2</f>
        <v>-24652571.096652362</v>
      </c>
      <c r="Q730" s="96">
        <f>Q729+S729*Tableau!$G$2+((1/2)*U729)*Tableau!$G$2^2</f>
        <v>12106980.265608191</v>
      </c>
      <c r="R730" s="96">
        <f>R729+T729*Tableau!$G$2</f>
        <v>-68697.972618426589</v>
      </c>
      <c r="S730" s="96">
        <f>S729+U729*Tableau!$G$2</f>
        <v>33800.614972766169</v>
      </c>
      <c r="T730" s="96">
        <f t="shared" si="22"/>
        <v>1.4593839153562785E-3</v>
      </c>
      <c r="U730" s="96">
        <f t="shared" si="23"/>
        <v>-7.1671193810909797E-4</v>
      </c>
      <c r="V730" s="96">
        <f>((Tableau!$G$16-P730)/(AC730^2+Tableau!$G$21^2)^(3/2))*Tableau!$G$20</f>
        <v>6.2255495673810431E-4</v>
      </c>
      <c r="W730" s="96">
        <f>((Tableau!$H$16-Q730)/(AC730^2+Tableau!$G$21^2)^(3/2))*Tableau!$G$20</f>
        <v>-3.0530224773904068E-4</v>
      </c>
      <c r="X730" s="96">
        <f>((Tableau!$G$25-P730)/(AD730^2+Tableau!$G$30^2)^(3/2))*Tableau!$G$29</f>
        <v>2.1405387376288455E-4</v>
      </c>
      <c r="Y730" s="96">
        <f>((Tableau!$H$25-Q730)/(AD730^2+Tableau!$G$30^2)^(3/2))*Tableau!$G$29</f>
        <v>-1.0512120218901992E-4</v>
      </c>
      <c r="Z730" s="96">
        <f>((Tableau!$G$35-P730)/(AE730^2+Tableau!$G$40^2)^(3/2))*Tableau!$G$39</f>
        <v>6.2277508485528946E-4</v>
      </c>
      <c r="AA730" s="97">
        <f>((Tableau!$H$35-Q730)/(AE730^2+Tableau!$G$40^2)^(3/2))*Tableau!$G$39</f>
        <v>-3.0628848818103736E-4</v>
      </c>
      <c r="AC730" s="110">
        <f>SQRT((Tableau!$G$16-P730)^2+(Tableau!$H$16-Q730)^2)</f>
        <v>27479686.810755458</v>
      </c>
      <c r="AD730" s="111">
        <f>SQRT((Tableau!$G$25-P730)^2+(Tableau!$H$25-Q730)^2)</f>
        <v>27442676.443418331</v>
      </c>
      <c r="AE730" s="112">
        <f>SQRT((Tableau!$G$35-P730)^2+(Tableau!$H$35-Q730)^2)</f>
        <v>27467165.24369283</v>
      </c>
    </row>
    <row r="731" spans="2:31" x14ac:dyDescent="0.25">
      <c r="B731" s="18">
        <v>728</v>
      </c>
      <c r="C731" s="19">
        <f>Tableau!$G$17*COS(B731*PI()/180)+Tableau!$G$16</f>
        <v>24951.340343707852</v>
      </c>
      <c r="D731" s="19">
        <f>Tableau!$G$17*SIN(B731*PI()/180)+Tableau!$H$16</f>
        <v>8195.8655048003257</v>
      </c>
      <c r="F731" s="26">
        <v>728</v>
      </c>
      <c r="G731" s="27">
        <f>Tableau!$G$26*COS(F731*PI()/180)+Tableau!$G$25</f>
        <v>-16534.061759404503</v>
      </c>
      <c r="H731" s="27">
        <f>Tableau!$G$26*SIN(F731*PI()/180)+Tableau!$H$25</f>
        <v>10487.105853360228</v>
      </c>
      <c r="J731" s="34">
        <v>728</v>
      </c>
      <c r="K731" s="35">
        <f>Tableau!$G$36*COS(J731*PI()/180)+Tableau!$G$35</f>
        <v>-48.659656292148611</v>
      </c>
      <c r="L731" s="35">
        <f>Tableau!$G$36*SIN(J731*PI()/180)+Tableau!$H$35</f>
        <v>-14304.134495199674</v>
      </c>
      <c r="N731" s="98">
        <v>727</v>
      </c>
      <c r="O731" s="99">
        <v>363.5</v>
      </c>
      <c r="P731" s="101">
        <f>P730+R730*Tableau!$G$2+((1/2)*T730)*Tableau!$G$2^2</f>
        <v>-24686920.08277915</v>
      </c>
      <c r="Q731" s="101">
        <f>Q730+S730*Tableau!$G$2+((1/2)*U730)*Tableau!$G$2^2</f>
        <v>12123880.573004985</v>
      </c>
      <c r="R731" s="101">
        <f>R730+T730*Tableau!$G$2</f>
        <v>-68697.971888734624</v>
      </c>
      <c r="S731" s="101">
        <f>S730+U730*Tableau!$G$2</f>
        <v>33800.614614410202</v>
      </c>
      <c r="T731" s="101">
        <f t="shared" si="22"/>
        <v>1.4553239918940577E-3</v>
      </c>
      <c r="U731" s="101">
        <f t="shared" si="23"/>
        <v>-7.1471993134548755E-4</v>
      </c>
      <c r="V731" s="101">
        <f>((Tableau!$G$16-P731)/(AC731^2+Tableau!$G$21^2)^(3/2))*Tableau!$G$20</f>
        <v>6.2082348262285005E-4</v>
      </c>
      <c r="W731" s="101">
        <f>((Tableau!$H$16-Q731)/(AC731^2+Tableau!$G$21^2)^(3/2))*Tableau!$G$20</f>
        <v>-3.0445452362796793E-4</v>
      </c>
      <c r="X731" s="101">
        <f>((Tableau!$G$25-P731)/(AD731^2+Tableau!$G$30^2)^(3/2))*Tableau!$G$29</f>
        <v>2.1345781873404818E-4</v>
      </c>
      <c r="Y731" s="101">
        <f>((Tableau!$H$25-Q731)/(AD731^2+Tableau!$G$30^2)^(3/2))*Tableau!$G$29</f>
        <v>-1.0482875506308736E-4</v>
      </c>
      <c r="Z731" s="101">
        <f>((Tableau!$G$35-P731)/(AE731^2+Tableau!$G$40^2)^(3/2))*Tableau!$G$39</f>
        <v>6.2104269053715939E-4</v>
      </c>
      <c r="AA731" s="102">
        <f>((Tableau!$H$35-Q731)/(AE731^2+Tableau!$G$40^2)^(3/2))*Tableau!$G$39</f>
        <v>-3.0543665265443226E-4</v>
      </c>
      <c r="AC731" s="113">
        <f>SQRT((Tableau!$G$16-P731)^2+(Tableau!$H$16-Q731)^2)</f>
        <v>27517968.278321862</v>
      </c>
      <c r="AD731" s="114">
        <f>SQRT((Tableau!$G$25-P731)^2+(Tableau!$H$25-Q731)^2)</f>
        <v>27480957.932853088</v>
      </c>
      <c r="AE731" s="115">
        <f>SQRT((Tableau!$G$35-P731)^2+(Tableau!$H$35-Q731)^2)</f>
        <v>27505446.743115712</v>
      </c>
    </row>
    <row r="732" spans="2:31" x14ac:dyDescent="0.25">
      <c r="B732" s="20">
        <v>729</v>
      </c>
      <c r="C732" s="21">
        <f>Tableau!$G$17*COS(B732*PI()/180)+Tableau!$G$16</f>
        <v>24938.441702975688</v>
      </c>
      <c r="D732" s="21">
        <f>Tableau!$G$17*SIN(B732*PI()/180)+Tableau!$H$16</f>
        <v>8282.172325201147</v>
      </c>
      <c r="F732" s="28">
        <v>729</v>
      </c>
      <c r="G732" s="29">
        <f>Tableau!$G$26*COS(F732*PI()/180)+Tableau!$G$25</f>
        <v>-16543.090807917019</v>
      </c>
      <c r="H732" s="29">
        <f>Tableau!$G$26*SIN(F732*PI()/180)+Tableau!$H$25</f>
        <v>10547.520627640803</v>
      </c>
      <c r="J732" s="36">
        <v>729</v>
      </c>
      <c r="K732" s="37">
        <f>Tableau!$G$36*COS(J732*PI()/180)+Tableau!$G$35</f>
        <v>-61.558297024310377</v>
      </c>
      <c r="L732" s="37">
        <f>Tableau!$G$36*SIN(J732*PI()/180)+Tableau!$H$35</f>
        <v>-14217.827674798853</v>
      </c>
      <c r="N732" s="92">
        <v>728</v>
      </c>
      <c r="O732" s="93">
        <v>364</v>
      </c>
      <c r="P732" s="96">
        <f>P731+R731*Tableau!$G$2+((1/2)*T731)*Tableau!$G$2^2</f>
        <v>-24721269.068541601</v>
      </c>
      <c r="Q732" s="96">
        <f>Q731+S731*Tableau!$G$2+((1/2)*U731)*Tableau!$G$2^2</f>
        <v>12140780.88022285</v>
      </c>
      <c r="R732" s="96">
        <f>R731+T731*Tableau!$G$2</f>
        <v>-68697.971161072623</v>
      </c>
      <c r="S732" s="96">
        <f>S731+U731*Tableau!$G$2</f>
        <v>33800.614257050234</v>
      </c>
      <c r="T732" s="96">
        <f t="shared" si="22"/>
        <v>1.4512809866502395E-3</v>
      </c>
      <c r="U732" s="96">
        <f t="shared" si="23"/>
        <v>-7.127362178540994E-4</v>
      </c>
      <c r="V732" s="96">
        <f>((Tableau!$G$16-P732)/(AC732^2+Tableau!$G$21^2)^(3/2))*Tableau!$G$20</f>
        <v>6.1909922195170454E-4</v>
      </c>
      <c r="W732" s="96">
        <f>((Tableau!$H$16-Q732)/(AC732^2+Tableau!$G$21^2)^(3/2))*Tableau!$G$20</f>
        <v>-3.0361032539832623E-4</v>
      </c>
      <c r="X732" s="96">
        <f>((Tableau!$G$25-P732)/(AD732^2+Tableau!$G$30^2)^(3/2))*Tableau!$G$29</f>
        <v>2.1286424991359055E-4</v>
      </c>
      <c r="Y732" s="96">
        <f>((Tableau!$H$25-Q732)/(AD732^2+Tableau!$G$30^2)^(3/2))*Tableau!$G$29</f>
        <v>-1.0453752662543748E-4</v>
      </c>
      <c r="Z732" s="96">
        <f>((Tableau!$G$35-P732)/(AE732^2+Tableau!$G$40^2)^(3/2))*Tableau!$G$39</f>
        <v>6.1931751478494436E-4</v>
      </c>
      <c r="AA732" s="97">
        <f>((Tableau!$H$35-Q732)/(AE732^2+Tableau!$G$40^2)^(3/2))*Tableau!$G$39</f>
        <v>-3.0458836583033565E-4</v>
      </c>
      <c r="AC732" s="110">
        <f>SQRT((Tableau!$G$16-P732)^2+(Tableau!$H$16-Q732)^2)</f>
        <v>27556249.745572325</v>
      </c>
      <c r="AD732" s="111">
        <f>SQRT((Tableau!$G$25-P732)^2+(Tableau!$H$25-Q732)^2)</f>
        <v>27519239.42191118</v>
      </c>
      <c r="AE732" s="112">
        <f>SQRT((Tableau!$G$35-P732)^2+(Tableau!$H$35-Q732)^2)</f>
        <v>27543728.242134139</v>
      </c>
    </row>
    <row r="733" spans="2:31" x14ac:dyDescent="0.25">
      <c r="B733" s="18">
        <v>730</v>
      </c>
      <c r="C733" s="19">
        <f>Tableau!$G$17*COS(B733*PI()/180)+Tableau!$G$16</f>
        <v>24924.038765061039</v>
      </c>
      <c r="D733" s="19">
        <f>Tableau!$G$17*SIN(B733*PI()/180)+Tableau!$H$16</f>
        <v>8368.2408883346579</v>
      </c>
      <c r="F733" s="26">
        <v>730</v>
      </c>
      <c r="G733" s="27">
        <f>Tableau!$G$26*COS(F733*PI()/180)+Tableau!$G$25</f>
        <v>-16553.172864457272</v>
      </c>
      <c r="H733" s="27">
        <f>Tableau!$G$26*SIN(F733*PI()/180)+Tableau!$H$25</f>
        <v>10607.768621834261</v>
      </c>
      <c r="J733" s="34">
        <v>730</v>
      </c>
      <c r="K733" s="35">
        <f>Tableau!$G$36*COS(J733*PI()/180)+Tableau!$G$35</f>
        <v>-75.961234938960843</v>
      </c>
      <c r="L733" s="35">
        <f>Tableau!$G$36*SIN(J733*PI()/180)+Tableau!$H$35</f>
        <v>-14131.759111665342</v>
      </c>
      <c r="N733" s="98">
        <v>729</v>
      </c>
      <c r="O733" s="99">
        <v>364.5</v>
      </c>
      <c r="P733" s="101">
        <f>P732+R732*Tableau!$G$2+((1/2)*T732)*Tableau!$G$2^2</f>
        <v>-24755618.053940728</v>
      </c>
      <c r="Q733" s="101">
        <f>Q732+S732*Tableau!$G$2+((1/2)*U732)*Tableau!$G$2^2</f>
        <v>12157681.187262282</v>
      </c>
      <c r="R733" s="101">
        <f>R732+T732*Tableau!$G$2</f>
        <v>-68697.970435432129</v>
      </c>
      <c r="S733" s="101">
        <f>S732+U732*Tableau!$G$2</f>
        <v>33800.613900682125</v>
      </c>
      <c r="T733" s="101">
        <f t="shared" si="22"/>
        <v>1.4472548057545831E-3</v>
      </c>
      <c r="U733" s="101">
        <f t="shared" si="23"/>
        <v>-7.1076075166244556E-4</v>
      </c>
      <c r="V733" s="101">
        <f>((Tableau!$G$16-P733)/(AC733^2+Tableau!$G$21^2)^(3/2))*Tableau!$G$20</f>
        <v>6.1738213471124799E-4</v>
      </c>
      <c r="W733" s="101">
        <f>((Tableau!$H$16-Q733)/(AC733^2+Tableau!$G$21^2)^(3/2))*Tableau!$G$20</f>
        <v>-3.0276963352392737E-4</v>
      </c>
      <c r="X733" s="101">
        <f>((Tableau!$G$25-P733)/(AD733^2+Tableau!$G$30^2)^(3/2))*Tableau!$G$29</f>
        <v>2.1227315349371036E-4</v>
      </c>
      <c r="Y733" s="101">
        <f>((Tableau!$H$25-Q733)/(AD733^2+Tableau!$G$30^2)^(3/2))*Tableau!$G$29</f>
        <v>-1.0424751011408719E-4</v>
      </c>
      <c r="Z733" s="101">
        <f>((Tableau!$G$35-P733)/(AE733^2+Tableau!$G$40^2)^(3/2))*Tableau!$G$39</f>
        <v>6.1759951754962472E-4</v>
      </c>
      <c r="AA733" s="102">
        <f>((Tableau!$H$35-Q733)/(AE733^2+Tableau!$G$40^2)^(3/2))*Tableau!$G$39</f>
        <v>-3.0374360802443102E-4</v>
      </c>
      <c r="AC733" s="113">
        <f>SQRT((Tableau!$G$16-P733)^2+(Tableau!$H$16-Q733)^2)</f>
        <v>27594531.212507598</v>
      </c>
      <c r="AD733" s="114">
        <f>SQRT((Tableau!$G$25-P733)^2+(Tableau!$H$25-Q733)^2)</f>
        <v>27557520.910593618</v>
      </c>
      <c r="AE733" s="115">
        <f>SQRT((Tableau!$G$35-P733)^2+(Tableau!$H$35-Q733)^2)</f>
        <v>27582009.740749236</v>
      </c>
    </row>
    <row r="734" spans="2:31" x14ac:dyDescent="0.25">
      <c r="B734" s="20">
        <v>731</v>
      </c>
      <c r="C734" s="21">
        <f>Tableau!$G$17*COS(B734*PI()/180)+Tableau!$G$16</f>
        <v>24908.13591723832</v>
      </c>
      <c r="D734" s="21">
        <f>Tableau!$G$17*SIN(B734*PI()/180)+Tableau!$H$16</f>
        <v>8454.0449768827239</v>
      </c>
      <c r="F734" s="28">
        <v>731</v>
      </c>
      <c r="G734" s="29">
        <f>Tableau!$G$26*COS(F734*PI()/180)+Tableau!$G$25</f>
        <v>-16564.304857933177</v>
      </c>
      <c r="H734" s="29">
        <f>Tableau!$G$26*SIN(F734*PI()/180)+Tableau!$H$25</f>
        <v>10667.831483817907</v>
      </c>
      <c r="J734" s="36">
        <v>731</v>
      </c>
      <c r="K734" s="37">
        <f>Tableau!$G$36*COS(J734*PI()/180)+Tableau!$G$35</f>
        <v>-91.864082761680038</v>
      </c>
      <c r="L734" s="37">
        <f>Tableau!$G$36*SIN(J734*PI()/180)+Tableau!$H$35</f>
        <v>-14045.955023117276</v>
      </c>
      <c r="N734" s="92">
        <v>730</v>
      </c>
      <c r="O734" s="93">
        <v>365</v>
      </c>
      <c r="P734" s="96">
        <f>P733+R733*Tableau!$G$2+((1/2)*T733)*Tableau!$G$2^2</f>
        <v>-24789967.038977537</v>
      </c>
      <c r="Q734" s="96">
        <f>Q733+S733*Tableau!$G$2+((1/2)*U733)*Tableau!$G$2^2</f>
        <v>12174581.494123779</v>
      </c>
      <c r="R734" s="96">
        <f>R733+T733*Tableau!$G$2</f>
        <v>-68697.969711804733</v>
      </c>
      <c r="S734" s="96">
        <f>S733+U733*Tableau!$G$2</f>
        <v>33800.613545301749</v>
      </c>
      <c r="T734" s="96">
        <f t="shared" si="22"/>
        <v>1.4432453559869978E-3</v>
      </c>
      <c r="U734" s="96">
        <f t="shared" si="23"/>
        <v>-7.0879348711615263E-4</v>
      </c>
      <c r="V734" s="96">
        <f>((Tableau!$G$16-P734)/(AC734^2+Tableau!$G$21^2)^(3/2))*Tableau!$G$20</f>
        <v>6.1567218116510695E-4</v>
      </c>
      <c r="W734" s="96">
        <f>((Tableau!$H$16-Q734)/(AC734^2+Tableau!$G$21^2)^(3/2))*Tableau!$G$20</f>
        <v>-3.0193242861355733E-4</v>
      </c>
      <c r="X734" s="96">
        <f>((Tableau!$G$25-P734)/(AD734^2+Tableau!$G$30^2)^(3/2))*Tableau!$G$29</f>
        <v>2.1168451576232447E-4</v>
      </c>
      <c r="Y734" s="96">
        <f>((Tableau!$H$25-Q734)/(AD734^2+Tableau!$G$30^2)^(3/2))*Tableau!$G$29</f>
        <v>-1.0395869881388504E-4</v>
      </c>
      <c r="Z734" s="96">
        <f>((Tableau!$G$35-P734)/(AE734^2+Tableau!$G$40^2)^(3/2))*Tableau!$G$39</f>
        <v>6.1588865905956645E-4</v>
      </c>
      <c r="AA734" s="97">
        <f>((Tableau!$H$35-Q734)/(AE734^2+Tableau!$G$40^2)^(3/2))*Tableau!$G$39</f>
        <v>-3.0290235968871021E-4</v>
      </c>
      <c r="AC734" s="110">
        <f>SQRT((Tableau!$G$16-P734)^2+(Tableau!$H$16-Q734)^2)</f>
        <v>27632812.679128435</v>
      </c>
      <c r="AD734" s="111">
        <f>SQRT((Tableau!$G$25-P734)^2+(Tableau!$H$25-Q734)^2)</f>
        <v>27595802.398901403</v>
      </c>
      <c r="AE734" s="112">
        <f>SQRT((Tableau!$G$35-P734)^2+(Tableau!$H$35-Q734)^2)</f>
        <v>27620291.238962125</v>
      </c>
    </row>
    <row r="735" spans="2:31" x14ac:dyDescent="0.25">
      <c r="B735" s="18">
        <v>732</v>
      </c>
      <c r="C735" s="19">
        <f>Tableau!$G$17*COS(B735*PI()/180)+Tableau!$G$16</f>
        <v>24890.73800366903</v>
      </c>
      <c r="D735" s="19">
        <f>Tableau!$G$17*SIN(B735*PI()/180)+Tableau!$H$16</f>
        <v>8539.5584540887903</v>
      </c>
      <c r="F735" s="26">
        <v>732</v>
      </c>
      <c r="G735" s="27">
        <f>Tableau!$G$26*COS(F735*PI()/180)+Tableau!$G$25</f>
        <v>-16576.483397431679</v>
      </c>
      <c r="H735" s="27">
        <f>Tableau!$G$26*SIN(F735*PI()/180)+Tableau!$H$25</f>
        <v>10727.690917862154</v>
      </c>
      <c r="J735" s="34">
        <v>732</v>
      </c>
      <c r="K735" s="35">
        <f>Tableau!$G$36*COS(J735*PI()/180)+Tableau!$G$35</f>
        <v>-109.26199633097076</v>
      </c>
      <c r="L735" s="35">
        <f>Tableau!$G$36*SIN(J735*PI()/180)+Tableau!$H$35</f>
        <v>-13960.44154591121</v>
      </c>
      <c r="N735" s="98">
        <v>731</v>
      </c>
      <c r="O735" s="99">
        <v>365.5</v>
      </c>
      <c r="P735" s="101">
        <f>P734+R734*Tableau!$G$2+((1/2)*T734)*Tableau!$G$2^2</f>
        <v>-24824316.023653034</v>
      </c>
      <c r="Q735" s="101">
        <f>Q734+S734*Tableau!$G$2+((1/2)*U734)*Tableau!$G$2^2</f>
        <v>12191481.800807832</v>
      </c>
      <c r="R735" s="101">
        <f>R734+T734*Tableau!$G$2</f>
        <v>-68697.968990182053</v>
      </c>
      <c r="S735" s="101">
        <f>S734+U734*Tableau!$G$2</f>
        <v>33800.613190905002</v>
      </c>
      <c r="T735" s="101">
        <f t="shared" si="22"/>
        <v>1.4392525447721183E-3</v>
      </c>
      <c r="U735" s="101">
        <f t="shared" si="23"/>
        <v>-7.068343788763083E-4</v>
      </c>
      <c r="V735" s="101">
        <f>((Tableau!$G$16-P735)/(AC735^2+Tableau!$G$21^2)^(3/2))*Tableau!$G$20</f>
        <v>6.1396932185168334E-4</v>
      </c>
      <c r="W735" s="101">
        <f>((Tableau!$H$16-Q735)/(AC735^2+Tableau!$G$21^2)^(3/2))*Tableau!$G$20</f>
        <v>-3.0109869140987176E-4</v>
      </c>
      <c r="X735" s="101">
        <f>((Tableau!$G$25-P735)/(AD735^2+Tableau!$G$30^2)^(3/2))*Tableau!$G$29</f>
        <v>2.1109832310228002E-4</v>
      </c>
      <c r="Y735" s="101">
        <f>((Tableau!$H$25-Q735)/(AD735^2+Tableau!$G$30^2)^(3/2))*Tableau!$G$29</f>
        <v>-1.0367108605612585E-4</v>
      </c>
      <c r="Z735" s="101">
        <f>((Tableau!$G$35-P735)/(AE735^2+Tableau!$G$40^2)^(3/2))*Tableau!$G$39</f>
        <v>6.1418489981815482E-4</v>
      </c>
      <c r="AA735" s="102">
        <f>((Tableau!$H$35-Q735)/(AE735^2+Tableau!$G$40^2)^(3/2))*Tableau!$G$39</f>
        <v>-3.020646014103106E-4</v>
      </c>
      <c r="AC735" s="113">
        <f>SQRT((Tableau!$G$16-P735)^2+(Tableau!$H$16-Q735)^2)</f>
        <v>27671094.145435583</v>
      </c>
      <c r="AD735" s="114">
        <f>SQRT((Tableau!$G$25-P735)^2+(Tableau!$H$25-Q735)^2)</f>
        <v>27634083.88683553</v>
      </c>
      <c r="AE735" s="115">
        <f>SQRT((Tableau!$G$35-P735)^2+(Tableau!$H$35-Q735)^2)</f>
        <v>27658572.736773908</v>
      </c>
    </row>
    <row r="736" spans="2:31" x14ac:dyDescent="0.25">
      <c r="B736" s="20">
        <v>733</v>
      </c>
      <c r="C736" s="21">
        <f>Tableau!$G$17*COS(B736*PI()/180)+Tableau!$G$16</f>
        <v>24871.850323926177</v>
      </c>
      <c r="D736" s="21">
        <f>Tableau!$G$17*SIN(B736*PI()/180)+Tableau!$H$16</f>
        <v>8624.7552717193139</v>
      </c>
      <c r="F736" s="28">
        <v>733</v>
      </c>
      <c r="G736" s="29">
        <f>Tableau!$G$26*COS(F736*PI()/180)+Tableau!$G$25</f>
        <v>-16589.704773251677</v>
      </c>
      <c r="H736" s="29">
        <f>Tableau!$G$26*SIN(F736*PI()/180)+Tableau!$H$25</f>
        <v>10787.32869020352</v>
      </c>
      <c r="J736" s="36">
        <v>733</v>
      </c>
      <c r="K736" s="37">
        <f>Tableau!$G$36*COS(J736*PI()/180)+Tableau!$G$35</f>
        <v>-128.14967607382187</v>
      </c>
      <c r="L736" s="37">
        <f>Tableau!$G$36*SIN(J736*PI()/180)+Tableau!$H$35</f>
        <v>-13875.244728280686</v>
      </c>
      <c r="N736" s="92">
        <v>732</v>
      </c>
      <c r="O736" s="93">
        <v>366</v>
      </c>
      <c r="P736" s="96">
        <f>P735+R735*Tableau!$G$2+((1/2)*T735)*Tableau!$G$2^2</f>
        <v>-24858665.007968221</v>
      </c>
      <c r="Q736" s="96">
        <f>Q735+S735*Tableau!$G$2+((1/2)*U735)*Tableau!$G$2^2</f>
        <v>12208382.107314929</v>
      </c>
      <c r="R736" s="96">
        <f>R735+T735*Tableau!$G$2</f>
        <v>-68697.968270555779</v>
      </c>
      <c r="S736" s="96">
        <f>S735+U735*Tableau!$G$2</f>
        <v>33800.61283748781</v>
      </c>
      <c r="T736" s="96">
        <f t="shared" si="22"/>
        <v>1.4352762801740102E-3</v>
      </c>
      <c r="U736" s="96">
        <f t="shared" si="23"/>
        <v>-7.0488338191687498E-4</v>
      </c>
      <c r="V736" s="96">
        <f>((Tableau!$G$16-P736)/(AC736^2+Tableau!$G$21^2)^(3/2))*Tableau!$G$20</f>
        <v>6.1227351758187188E-4</v>
      </c>
      <c r="W736" s="96">
        <f>((Tableau!$H$16-Q736)/(AC736^2+Tableau!$G$21^2)^(3/2))*Tableau!$G$20</f>
        <v>-3.0026840278828582E-4</v>
      </c>
      <c r="X736" s="96">
        <f>((Tableau!$G$25-P736)/(AD736^2+Tableau!$G$30^2)^(3/2))*Tableau!$G$29</f>
        <v>2.1051456199056259E-4</v>
      </c>
      <c r="Y736" s="96">
        <f>((Tableau!$H$25-Q736)/(AD736^2+Tableau!$G$30^2)^(3/2))*Tableau!$G$29</f>
        <v>-1.0338466521816396E-4</v>
      </c>
      <c r="Z736" s="96">
        <f>((Tableau!$G$35-P736)/(AE736^2+Tableau!$G$40^2)^(3/2))*Tableau!$G$39</f>
        <v>6.1248820060157572E-4</v>
      </c>
      <c r="AA736" s="97">
        <f>((Tableau!$H$35-Q736)/(AE736^2+Tableau!$G$40^2)^(3/2))*Tableau!$G$39</f>
        <v>-3.0123031391042526E-4</v>
      </c>
      <c r="AC736" s="110">
        <f>SQRT((Tableau!$G$16-P736)^2+(Tableau!$H$16-Q736)^2)</f>
        <v>27709375.611429788</v>
      </c>
      <c r="AD736" s="111">
        <f>SQRT((Tableau!$G$25-P736)^2+(Tableau!$H$25-Q736)^2)</f>
        <v>27672365.374396998</v>
      </c>
      <c r="AE736" s="112">
        <f>SQRT((Tableau!$G$35-P736)^2+(Tableau!$H$35-Q736)^2)</f>
        <v>27696854.234185707</v>
      </c>
    </row>
    <row r="737" spans="2:31" x14ac:dyDescent="0.25">
      <c r="B737" s="18">
        <v>734</v>
      </c>
      <c r="C737" s="19">
        <f>Tableau!$G$17*COS(B737*PI()/180)+Tableau!$G$16</f>
        <v>24851.478631379981</v>
      </c>
      <c r="D737" s="19">
        <f>Tableau!$G$17*SIN(B737*PI()/180)+Tableau!$H$16</f>
        <v>8709.6094779983396</v>
      </c>
      <c r="F737" s="26">
        <v>734</v>
      </c>
      <c r="G737" s="27">
        <f>Tableau!$G$26*COS(F737*PI()/180)+Tableau!$G$25</f>
        <v>-16603.964958034012</v>
      </c>
      <c r="H737" s="27">
        <f>Tableau!$G$26*SIN(F737*PI()/180)+Tableau!$H$25</f>
        <v>10846.726634598837</v>
      </c>
      <c r="J737" s="34">
        <v>734</v>
      </c>
      <c r="K737" s="35">
        <f>Tableau!$G$36*COS(J737*PI()/180)+Tableau!$G$35</f>
        <v>-148.52136862001862</v>
      </c>
      <c r="L737" s="35">
        <f>Tableau!$G$36*SIN(J737*PI()/180)+Tableau!$H$35</f>
        <v>-13790.39052200166</v>
      </c>
      <c r="N737" s="98">
        <v>733</v>
      </c>
      <c r="O737" s="99">
        <v>366.5</v>
      </c>
      <c r="P737" s="101">
        <f>P736+R736*Tableau!$G$2+((1/2)*T736)*Tableau!$G$2^2</f>
        <v>-24893013.991924088</v>
      </c>
      <c r="Q737" s="101">
        <f>Q736+S736*Tableau!$G$2+((1/2)*U736)*Tableau!$G$2^2</f>
        <v>12225282.413645562</v>
      </c>
      <c r="R737" s="101">
        <f>R736+T736*Tableau!$G$2</f>
        <v>-68697.967552917646</v>
      </c>
      <c r="S737" s="101">
        <f>S736+U736*Tableau!$G$2</f>
        <v>33800.61248504612</v>
      </c>
      <c r="T737" s="101">
        <f t="shared" si="22"/>
        <v>1.4313164708908413E-3</v>
      </c>
      <c r="U737" s="101">
        <f t="shared" si="23"/>
        <v>-7.0294045152208447E-4</v>
      </c>
      <c r="V737" s="101">
        <f>((Tableau!$G$16-P737)/(AC737^2+Tableau!$G$21^2)^(3/2))*Tableau!$G$20</f>
        <v>6.1058472943678187E-4</v>
      </c>
      <c r="W737" s="101">
        <f>((Tableau!$H$16-Q737)/(AC737^2+Tableau!$G$21^2)^(3/2))*Tableau!$G$20</f>
        <v>-2.994415437558663E-4</v>
      </c>
      <c r="X737" s="101">
        <f>((Tableau!$G$25-P737)/(AD737^2+Tableau!$G$30^2)^(3/2))*Tableau!$G$29</f>
        <v>2.09933218997528E-4</v>
      </c>
      <c r="Y737" s="101">
        <f>((Tableau!$H$25-Q737)/(AD737^2+Tableau!$G$30^2)^(3/2))*Tableau!$G$29</f>
        <v>-1.0309942972303749E-4</v>
      </c>
      <c r="Z737" s="101">
        <f>((Tableau!$G$35-P737)/(AE737^2+Tableau!$G$40^2)^(3/2))*Tableau!$G$39</f>
        <v>6.1079852245653134E-4</v>
      </c>
      <c r="AA737" s="102">
        <f>((Tableau!$H$35-Q737)/(AE737^2+Tableau!$G$40^2)^(3/2))*Tableau!$G$39</f>
        <v>-3.0039947804318075E-4</v>
      </c>
      <c r="AC737" s="113">
        <f>SQRT((Tableau!$G$16-P737)^2+(Tableau!$H$16-Q737)^2)</f>
        <v>27747657.077111792</v>
      </c>
      <c r="AD737" s="114">
        <f>SQRT((Tableau!$G$25-P737)^2+(Tableau!$H$25-Q737)^2)</f>
        <v>27710646.861586794</v>
      </c>
      <c r="AE737" s="115">
        <f>SQRT((Tableau!$G$35-P737)^2+(Tableau!$H$35-Q737)^2)</f>
        <v>27735135.731198613</v>
      </c>
    </row>
    <row r="738" spans="2:31" x14ac:dyDescent="0.25">
      <c r="B738" s="20">
        <v>735</v>
      </c>
      <c r="C738" s="21">
        <f>Tableau!$G$17*COS(B738*PI()/180)+Tableau!$G$16</f>
        <v>24829.629131445341</v>
      </c>
      <c r="D738" s="21">
        <f>Tableau!$G$17*SIN(B738*PI()/180)+Tableau!$H$16</f>
        <v>8794.0952255125994</v>
      </c>
      <c r="F738" s="28">
        <v>735</v>
      </c>
      <c r="G738" s="29">
        <f>Tableau!$G$26*COS(F738*PI()/180)+Tableau!$G$25</f>
        <v>-16619.259607988261</v>
      </c>
      <c r="H738" s="29">
        <f>Tableau!$G$26*SIN(F738*PI()/180)+Tableau!$H$25</f>
        <v>10905.86665785882</v>
      </c>
      <c r="J738" s="36">
        <v>735</v>
      </c>
      <c r="K738" s="37">
        <f>Tableau!$G$36*COS(J738*PI()/180)+Tableau!$G$35</f>
        <v>-170.37086855465714</v>
      </c>
      <c r="L738" s="37">
        <f>Tableau!$G$36*SIN(J738*PI()/180)+Tableau!$H$35</f>
        <v>-13705.904774487401</v>
      </c>
      <c r="N738" s="92">
        <v>734</v>
      </c>
      <c r="O738" s="93">
        <v>367</v>
      </c>
      <c r="P738" s="96">
        <f>P737+R737*Tableau!$G$2+((1/2)*T737)*Tableau!$G$2^2</f>
        <v>-24927362.975521632</v>
      </c>
      <c r="Q738" s="96">
        <f>Q737+S737*Tableau!$G$2+((1/2)*U737)*Tableau!$G$2^2</f>
        <v>12242182.719800217</v>
      </c>
      <c r="R738" s="96">
        <f>R737+T737*Tableau!$G$2</f>
        <v>-68697.966837259417</v>
      </c>
      <c r="S738" s="96">
        <f>S737+U737*Tableau!$G$2</f>
        <v>33800.612133575894</v>
      </c>
      <c r="T738" s="96">
        <f t="shared" si="22"/>
        <v>1.4273730262496591E-3</v>
      </c>
      <c r="U738" s="96">
        <f t="shared" si="23"/>
        <v>-7.0100554328388477E-4</v>
      </c>
      <c r="V738" s="96">
        <f>((Tableau!$G$16-P738)/(AC738^2+Tableau!$G$21^2)^(3/2))*Tableau!$G$20</f>
        <v>6.089029187655358E-4</v>
      </c>
      <c r="W738" s="96">
        <f>((Tableau!$H$16-Q738)/(AC738^2+Tableau!$G$21^2)^(3/2))*Tableau!$G$20</f>
        <v>-2.986180954502606E-4</v>
      </c>
      <c r="X738" s="96">
        <f>((Tableau!$G$25-P738)/(AD738^2+Tableau!$G$30^2)^(3/2))*Tableau!$G$29</f>
        <v>2.0935428078610983E-4</v>
      </c>
      <c r="Y738" s="96">
        <f>((Tableau!$H$25-Q738)/(AD738^2+Tableau!$G$30^2)^(3/2))*Tableau!$G$29</f>
        <v>-1.0281537303908118E-4</v>
      </c>
      <c r="Z738" s="96">
        <f>((Tableau!$G$35-P738)/(AE738^2+Tableau!$G$40^2)^(3/2))*Tableau!$G$39</f>
        <v>6.0911582669801346E-4</v>
      </c>
      <c r="AA738" s="97">
        <f>((Tableau!$H$35-Q738)/(AE738^2+Tableau!$G$40^2)^(3/2))*Tableau!$G$39</f>
        <v>-2.9957207479454297E-4</v>
      </c>
      <c r="AC738" s="110">
        <f>SQRT((Tableau!$G$16-P738)^2+(Tableau!$H$16-Q738)^2)</f>
        <v>27785938.542482339</v>
      </c>
      <c r="AD738" s="111">
        <f>SQRT((Tableau!$G$25-P738)^2+(Tableau!$H$25-Q738)^2)</f>
        <v>27748928.348405901</v>
      </c>
      <c r="AE738" s="112">
        <f>SQRT((Tableau!$G$35-P738)^2+(Tableau!$H$35-Q738)^2)</f>
        <v>27773417.227813728</v>
      </c>
    </row>
    <row r="739" spans="2:31" x14ac:dyDescent="0.25">
      <c r="B739" s="18">
        <v>736</v>
      </c>
      <c r="C739" s="19">
        <f>Tableau!$G$17*COS(B739*PI()/180)+Tableau!$G$16</f>
        <v>24806.308479691597</v>
      </c>
      <c r="D739" s="19">
        <f>Tableau!$G$17*SIN(B739*PI()/180)+Tableau!$H$16</f>
        <v>8878.1867790849865</v>
      </c>
      <c r="F739" s="26">
        <v>736</v>
      </c>
      <c r="G739" s="27">
        <f>Tableau!$G$26*COS(F739*PI()/180)+Tableau!$G$25</f>
        <v>-16635.584064215884</v>
      </c>
      <c r="H739" s="27">
        <f>Tableau!$G$26*SIN(F739*PI()/180)+Tableau!$H$25</f>
        <v>10964.730745359491</v>
      </c>
      <c r="J739" s="34">
        <v>736</v>
      </c>
      <c r="K739" s="35">
        <f>Tableau!$G$36*COS(J739*PI()/180)+Tableau!$G$35</f>
        <v>-193.6915203084036</v>
      </c>
      <c r="L739" s="35">
        <f>Tableau!$G$36*SIN(J739*PI()/180)+Tableau!$H$35</f>
        <v>-13621.813220915014</v>
      </c>
      <c r="N739" s="98">
        <v>735</v>
      </c>
      <c r="O739" s="99">
        <v>367.5</v>
      </c>
      <c r="P739" s="101">
        <f>P738+R738*Tableau!$G$2+((1/2)*T738)*Tableau!$G$2^2</f>
        <v>-24961711.958761837</v>
      </c>
      <c r="Q739" s="101">
        <f>Q738+S738*Tableau!$G$2+((1/2)*U738)*Tableau!$G$2^2</f>
        <v>12259083.02577938</v>
      </c>
      <c r="R739" s="101">
        <f>R738+T738*Tableau!$G$2</f>
        <v>-68697.9661235729</v>
      </c>
      <c r="S739" s="101">
        <f>S738+U738*Tableau!$G$2</f>
        <v>33800.611783073124</v>
      </c>
      <c r="T739" s="101">
        <f t="shared" si="22"/>
        <v>1.4234458562011531E-3</v>
      </c>
      <c r="U739" s="101">
        <f t="shared" si="23"/>
        <v>-6.9907861309937867E-4</v>
      </c>
      <c r="V739" s="101">
        <f>((Tableau!$G$16-P739)/(AC739^2+Tableau!$G$21^2)^(3/2))*Tableau!$G$20</f>
        <v>6.0722804718302183E-4</v>
      </c>
      <c r="W739" s="101">
        <f>((Tableau!$H$16-Q739)/(AC739^2+Tableau!$G$21^2)^(3/2))*Tableau!$G$20</f>
        <v>-2.9779803913860327E-4</v>
      </c>
      <c r="X739" s="101">
        <f>((Tableau!$G$25-P739)/(AD739^2+Tableau!$G$30^2)^(3/2))*Tableau!$G$29</f>
        <v>2.0877773411106821E-4</v>
      </c>
      <c r="Y739" s="101">
        <f>((Tableau!$H$25-Q739)/(AD739^2+Tableau!$G$30^2)^(3/2))*Tableau!$G$29</f>
        <v>-1.0253248867955887E-4</v>
      </c>
      <c r="Z739" s="101">
        <f>((Tableau!$G$35-P739)/(AE739^2+Tableau!$G$40^2)^(3/2))*Tableau!$G$39</f>
        <v>6.0744007490706308E-4</v>
      </c>
      <c r="AA739" s="102">
        <f>((Tableau!$H$35-Q739)/(AE739^2+Tableau!$G$40^2)^(3/2))*Tableau!$G$39</f>
        <v>-2.9874808528121654E-4</v>
      </c>
      <c r="AC739" s="113">
        <f>SQRT((Tableau!$G$16-P739)^2+(Tableau!$H$16-Q739)^2)</f>
        <v>27824220.007542163</v>
      </c>
      <c r="AD739" s="114">
        <f>SQRT((Tableau!$G$25-P739)^2+(Tableau!$H$25-Q739)^2)</f>
        <v>27787209.834855311</v>
      </c>
      <c r="AE739" s="115">
        <f>SQRT((Tableau!$G$35-P739)^2+(Tableau!$H$35-Q739)^2)</f>
        <v>27811698.724032152</v>
      </c>
    </row>
    <row r="740" spans="2:31" x14ac:dyDescent="0.25">
      <c r="B740" s="20">
        <v>737</v>
      </c>
      <c r="C740" s="21">
        <f>Tableau!$G$17*COS(B740*PI()/180)+Tableau!$G$16</f>
        <v>24781.523779815176</v>
      </c>
      <c r="D740" s="21">
        <f>Tableau!$G$17*SIN(B740*PI()/180)+Tableau!$H$16</f>
        <v>8961.858523613686</v>
      </c>
      <c r="F740" s="28">
        <v>737</v>
      </c>
      <c r="G740" s="29">
        <f>Tableau!$G$26*COS(F740*PI()/180)+Tableau!$G$25</f>
        <v>-16652.933354129374</v>
      </c>
      <c r="H740" s="29">
        <f>Tableau!$G$26*SIN(F740*PI()/180)+Tableau!$H$25</f>
        <v>11023.300966529581</v>
      </c>
      <c r="J740" s="36">
        <v>737</v>
      </c>
      <c r="K740" s="37">
        <f>Tableau!$G$36*COS(J740*PI()/180)+Tableau!$G$35</f>
        <v>-218.47622018482343</v>
      </c>
      <c r="L740" s="37">
        <f>Tableau!$G$36*SIN(J740*PI()/180)+Tableau!$H$35</f>
        <v>-13538.141476386314</v>
      </c>
      <c r="N740" s="92">
        <v>736</v>
      </c>
      <c r="O740" s="93">
        <v>368</v>
      </c>
      <c r="P740" s="96">
        <f>P739+R739*Tableau!$G$2+((1/2)*T739)*Tableau!$G$2^2</f>
        <v>-24996060.941645693</v>
      </c>
      <c r="Q740" s="96">
        <f>Q739+S739*Tableau!$G$2+((1/2)*U739)*Tableau!$G$2^2</f>
        <v>12275983.331583532</v>
      </c>
      <c r="R740" s="96">
        <f>R739+T739*Tableau!$G$2</f>
        <v>-68697.965411849975</v>
      </c>
      <c r="S740" s="96">
        <f>S739+U739*Tableau!$G$2</f>
        <v>33800.611433533821</v>
      </c>
      <c r="T740" s="96">
        <f t="shared" si="22"/>
        <v>1.4195348713146028E-3</v>
      </c>
      <c r="U740" s="96">
        <f t="shared" si="23"/>
        <v>-6.9715961716835531E-4</v>
      </c>
      <c r="V740" s="96">
        <f>((Tableau!$G$16-P740)/(AC740^2+Tableau!$G$21^2)^(3/2))*Tableau!$G$20</f>
        <v>6.0556007656775821E-4</v>
      </c>
      <c r="W740" s="96">
        <f>((Tableau!$H$16-Q740)/(AC740^2+Tableau!$G$21^2)^(3/2))*Tableau!$G$20</f>
        <v>-2.9698135621647747E-4</v>
      </c>
      <c r="X740" s="96">
        <f>((Tableau!$G$25-P740)/(AD740^2+Tableau!$G$30^2)^(3/2))*Tableau!$G$29</f>
        <v>2.0820356581823779E-4</v>
      </c>
      <c r="Y740" s="96">
        <f>((Tableau!$H$25-Q740)/(AD740^2+Tableau!$G$30^2)^(3/2))*Tableau!$G$29</f>
        <v>-1.0225077020229619E-4</v>
      </c>
      <c r="Z740" s="96">
        <f>((Tableau!$G$35-P740)/(AE740^2+Tableau!$G$40^2)^(3/2))*Tableau!$G$39</f>
        <v>6.0577122892860682E-4</v>
      </c>
      <c r="AA740" s="97">
        <f>((Tableau!$H$35-Q740)/(AE740^2+Tableau!$G$40^2)^(3/2))*Tableau!$G$39</f>
        <v>-2.9792749074958162E-4</v>
      </c>
      <c r="AC740" s="110">
        <f>SQRT((Tableau!$G$16-P740)^2+(Tableau!$H$16-Q740)^2)</f>
        <v>27862501.472292006</v>
      </c>
      <c r="AD740" s="111">
        <f>SQRT((Tableau!$G$25-P740)^2+(Tableau!$H$25-Q740)^2)</f>
        <v>27825491.320935998</v>
      </c>
      <c r="AE740" s="112">
        <f>SQRT((Tableau!$G$35-P740)^2+(Tableau!$H$35-Q740)^2)</f>
        <v>27849980.21985497</v>
      </c>
    </row>
    <row r="741" spans="2:31" x14ac:dyDescent="0.25">
      <c r="B741" s="18">
        <v>738</v>
      </c>
      <c r="C741" s="19">
        <f>Tableau!$G$17*COS(B741*PI()/180)+Tableau!$G$16</f>
        <v>24755.282581475767</v>
      </c>
      <c r="D741" s="19">
        <f>Tableau!$G$17*SIN(B741*PI()/180)+Tableau!$H$16</f>
        <v>9045.084971874734</v>
      </c>
      <c r="F741" s="26">
        <v>738</v>
      </c>
      <c r="G741" s="27">
        <f>Tableau!$G$26*COS(F741*PI()/180)+Tableau!$G$25</f>
        <v>-16671.302192966963</v>
      </c>
      <c r="H741" s="27">
        <f>Tableau!$G$26*SIN(F741*PI()/180)+Tableau!$H$25</f>
        <v>11081.559480312315</v>
      </c>
      <c r="J741" s="34">
        <v>738</v>
      </c>
      <c r="K741" s="35">
        <f>Tableau!$G$36*COS(J741*PI()/180)+Tableau!$G$35</f>
        <v>-244.71741852423111</v>
      </c>
      <c r="L741" s="35">
        <f>Tableau!$G$36*SIN(J741*PI()/180)+Tableau!$H$35</f>
        <v>-13454.915028125266</v>
      </c>
      <c r="N741" s="98">
        <v>737</v>
      </c>
      <c r="O741" s="99">
        <v>368.5</v>
      </c>
      <c r="P741" s="101">
        <f>P740+R740*Tableau!$G$2+((1/2)*T740)*Tableau!$G$2^2</f>
        <v>-25030409.924174175</v>
      </c>
      <c r="Q741" s="101">
        <f>Q740+S740*Tableau!$G$2+((1/2)*U740)*Tableau!$G$2^2</f>
        <v>12292883.637213152</v>
      </c>
      <c r="R741" s="101">
        <f>R740+T740*Tableau!$G$2</f>
        <v>-68697.964702082536</v>
      </c>
      <c r="S741" s="101">
        <f>S740+U740*Tableau!$G$2</f>
        <v>33800.611084954013</v>
      </c>
      <c r="T741" s="101">
        <f t="shared" si="22"/>
        <v>1.4156399827727224E-3</v>
      </c>
      <c r="U741" s="101">
        <f t="shared" si="23"/>
        <v>-6.9524851199076953E-4</v>
      </c>
      <c r="V741" s="101">
        <f>((Tableau!$G$16-P741)/(AC741^2+Tableau!$G$21^2)^(3/2))*Tableau!$G$20</f>
        <v>6.0389896905966732E-4</v>
      </c>
      <c r="W741" s="101">
        <f>((Tableau!$H$16-Q741)/(AC741^2+Tableau!$G$21^2)^(3/2))*Tableau!$G$20</f>
        <v>-2.961680282068323E-4</v>
      </c>
      <c r="X741" s="101">
        <f>((Tableau!$G$25-P741)/(AD741^2+Tableau!$G$30^2)^(3/2))*Tableau!$G$29</f>
        <v>2.0763176284375735E-4</v>
      </c>
      <c r="Y741" s="101">
        <f>((Tableau!$H$25-Q741)/(AD741^2+Tableau!$G$30^2)^(3/2))*Tableau!$G$29</f>
        <v>-1.019702112093038E-4</v>
      </c>
      <c r="Z741" s="101">
        <f>((Tableau!$G$35-P741)/(AE741^2+Tableau!$G$40^2)^(3/2))*Tableau!$G$39</f>
        <v>6.0410925086929769E-4</v>
      </c>
      <c r="AA741" s="102">
        <f>((Tableau!$H$35-Q741)/(AE741^2+Tableau!$G$40^2)^(3/2))*Tableau!$G$39</f>
        <v>-2.9711027257463339E-4</v>
      </c>
      <c r="AC741" s="113">
        <f>SQRT((Tableau!$G$16-P741)^2+(Tableau!$H$16-Q741)^2)</f>
        <v>27900782.936732594</v>
      </c>
      <c r="AD741" s="114">
        <f>SQRT((Tableau!$G$25-P741)^2+(Tableau!$H$25-Q741)^2)</f>
        <v>27863772.806648932</v>
      </c>
      <c r="AE741" s="115">
        <f>SQRT((Tableau!$G$35-P741)^2+(Tableau!$H$35-Q741)^2)</f>
        <v>27888261.715283267</v>
      </c>
    </row>
    <row r="742" spans="2:31" x14ac:dyDescent="0.25">
      <c r="B742" s="20">
        <v>739</v>
      </c>
      <c r="C742" s="21">
        <f>Tableau!$G$17*COS(B742*PI()/180)+Tableau!$G$16</f>
        <v>24727.592877996583</v>
      </c>
      <c r="D742" s="21">
        <f>Tableau!$G$17*SIN(B742*PI()/180)+Tableau!$H$16</f>
        <v>9127.8407722857846</v>
      </c>
      <c r="F742" s="28">
        <v>739</v>
      </c>
      <c r="G742" s="29">
        <f>Tableau!$G$26*COS(F742*PI()/180)+Tableau!$G$25</f>
        <v>-16690.684985402389</v>
      </c>
      <c r="H742" s="29">
        <f>Tableau!$G$26*SIN(F742*PI()/180)+Tableau!$H$25</f>
        <v>11139.488540600049</v>
      </c>
      <c r="J742" s="36">
        <v>739</v>
      </c>
      <c r="K742" s="37">
        <f>Tableau!$G$36*COS(J742*PI()/180)+Tableau!$G$35</f>
        <v>-272.40712200341659</v>
      </c>
      <c r="L742" s="37">
        <f>Tableau!$G$36*SIN(J742*PI()/180)+Tableau!$H$35</f>
        <v>-13372.159227714215</v>
      </c>
      <c r="N742" s="92">
        <v>738</v>
      </c>
      <c r="O742" s="93">
        <v>369</v>
      </c>
      <c r="P742" s="96">
        <f>P741+R741*Tableau!$G$2+((1/2)*T741)*Tableau!$G$2^2</f>
        <v>-25064758.906348262</v>
      </c>
      <c r="Q742" s="96">
        <f>Q741+S741*Tableau!$G$2+((1/2)*U741)*Tableau!$G$2^2</f>
        <v>12309783.942668723</v>
      </c>
      <c r="R742" s="96">
        <f>R741+T741*Tableau!$G$2</f>
        <v>-68697.963994262551</v>
      </c>
      <c r="S742" s="96">
        <f>S741+U741*Tableau!$G$2</f>
        <v>33800.610737329756</v>
      </c>
      <c r="T742" s="96">
        <f t="shared" si="22"/>
        <v>1.4117611023665979E-3</v>
      </c>
      <c r="U742" s="96">
        <f t="shared" si="23"/>
        <v>-6.9334525436426646E-4</v>
      </c>
      <c r="V742" s="96">
        <f>((Tableau!$G$16-P742)/(AC742^2+Tableau!$G$21^2)^(3/2))*Tableau!$G$20</f>
        <v>6.0224468705794487E-4</v>
      </c>
      <c r="W742" s="96">
        <f>((Tableau!$H$16-Q742)/(AC742^2+Tableau!$G$21^2)^(3/2))*Tableau!$G$20</f>
        <v>-2.9535803675894589E-4</v>
      </c>
      <c r="X742" s="96">
        <f>((Tableau!$G$25-P742)/(AD742^2+Tableau!$G$30^2)^(3/2))*Tableau!$G$29</f>
        <v>2.0706231221334038E-4</v>
      </c>
      <c r="Y742" s="96">
        <f>((Tableau!$H$25-Q742)/(AD742^2+Tableau!$G$30^2)^(3/2))*Tableau!$G$29</f>
        <v>-1.0169080534642088E-4</v>
      </c>
      <c r="Z742" s="96">
        <f>((Tableau!$G$35-P742)/(AE742^2+Tableau!$G$40^2)^(3/2))*Tableau!$G$39</f>
        <v>6.0245410309531277E-4</v>
      </c>
      <c r="AA742" s="97">
        <f>((Tableau!$H$35-Q742)/(AE742^2+Tableau!$G$40^2)^(3/2))*Tableau!$G$39</f>
        <v>-2.9629641225889969E-4</v>
      </c>
      <c r="AC742" s="110">
        <f>SQRT((Tableau!$G$16-P742)^2+(Tableau!$H$16-Q742)^2)</f>
        <v>27939064.400864664</v>
      </c>
      <c r="AD742" s="111">
        <f>SQRT((Tableau!$G$25-P742)^2+(Tableau!$H$25-Q742)^2)</f>
        <v>27902054.291995097</v>
      </c>
      <c r="AE742" s="112">
        <f>SQRT((Tableau!$G$35-P742)^2+(Tableau!$H$35-Q742)^2)</f>
        <v>27926543.210318133</v>
      </c>
    </row>
    <row r="743" spans="2:31" x14ac:dyDescent="0.25">
      <c r="B743" s="18">
        <v>740</v>
      </c>
      <c r="C743" s="19">
        <f>Tableau!$G$17*COS(B743*PI()/180)+Tableau!$G$16</f>
        <v>24698.463103929542</v>
      </c>
      <c r="D743" s="19">
        <f>Tableau!$G$17*SIN(B743*PI()/180)+Tableau!$H$16</f>
        <v>9210.1007166283398</v>
      </c>
      <c r="F743" s="26">
        <v>740</v>
      </c>
      <c r="G743" s="27">
        <f>Tableau!$G$26*COS(F743*PI()/180)+Tableau!$G$25</f>
        <v>-16711.075827249319</v>
      </c>
      <c r="H743" s="27">
        <f>Tableau!$G$26*SIN(F743*PI()/180)+Tableau!$H$25</f>
        <v>11197.070501639837</v>
      </c>
      <c r="J743" s="34">
        <v>740</v>
      </c>
      <c r="K743" s="35">
        <f>Tableau!$G$36*COS(J743*PI()/180)+Tableau!$G$35</f>
        <v>-301.53689607045635</v>
      </c>
      <c r="L743" s="35">
        <f>Tableau!$G$36*SIN(J743*PI()/180)+Tableau!$H$35</f>
        <v>-13289.89928337166</v>
      </c>
      <c r="N743" s="98">
        <v>739</v>
      </c>
      <c r="O743" s="99">
        <v>369.5</v>
      </c>
      <c r="P743" s="101">
        <f>P742+R742*Tableau!$G$2+((1/2)*T742)*Tableau!$G$2^2</f>
        <v>-25099107.888168924</v>
      </c>
      <c r="Q743" s="101">
        <f>Q742+S742*Tableau!$G$2+((1/2)*U742)*Tableau!$G$2^2</f>
        <v>12326684.24795072</v>
      </c>
      <c r="R743" s="101">
        <f>R742+T742*Tableau!$G$2</f>
        <v>-68697.963288382001</v>
      </c>
      <c r="S743" s="101">
        <f>S742+U742*Tableau!$G$2</f>
        <v>33800.61039065713</v>
      </c>
      <c r="T743" s="101">
        <f t="shared" si="22"/>
        <v>1.4078981424907769E-3</v>
      </c>
      <c r="U743" s="101">
        <f t="shared" si="23"/>
        <v>-6.9144980138178126E-4</v>
      </c>
      <c r="V743" s="101">
        <f>((Tableau!$G$16-P743)/(AC743^2+Tableau!$G$21^2)^(3/2))*Tableau!$G$20</f>
        <v>6.0059719321897166E-4</v>
      </c>
      <c r="W743" s="101">
        <f>((Tableau!$H$16-Q743)/(AC743^2+Tableau!$G$21^2)^(3/2))*Tableau!$G$20</f>
        <v>-2.9455136364741003E-4</v>
      </c>
      <c r="X743" s="101">
        <f>((Tableau!$G$25-P743)/(AD743^2+Tableau!$G$30^2)^(3/2))*Tableau!$G$29</f>
        <v>2.0649520104154586E-4</v>
      </c>
      <c r="Y743" s="101">
        <f>((Tableau!$H$25-Q743)/(AD743^2+Tableau!$G$30^2)^(3/2))*Tableau!$G$29</f>
        <v>-1.014125463029586E-4</v>
      </c>
      <c r="Z743" s="101">
        <f>((Tableau!$G$35-P743)/(AE743^2+Tableau!$G$40^2)^(3/2))*Tableau!$G$39</f>
        <v>6.0080574823025926E-4</v>
      </c>
      <c r="AA743" s="102">
        <f>((Tableau!$H$35-Q743)/(AE743^2+Tableau!$G$40^2)^(3/2))*Tableau!$G$39</f>
        <v>-2.9548589143141258E-4</v>
      </c>
      <c r="AC743" s="113">
        <f>SQRT((Tableau!$G$16-P743)^2+(Tableau!$H$16-Q743)^2)</f>
        <v>27977345.86468894</v>
      </c>
      <c r="AD743" s="114">
        <f>SQRT((Tableau!$G$25-P743)^2+(Tableau!$H$25-Q743)^2)</f>
        <v>27940335.776975445</v>
      </c>
      <c r="AE743" s="115">
        <f>SQRT((Tableau!$G$35-P743)^2+(Tableau!$H$35-Q743)^2)</f>
        <v>27964824.704960633</v>
      </c>
    </row>
    <row r="744" spans="2:31" x14ac:dyDescent="0.25">
      <c r="B744" s="20">
        <v>741</v>
      </c>
      <c r="C744" s="21">
        <f>Tableau!$G$17*COS(B744*PI()/180)+Tableau!$G$16</f>
        <v>24667.902132486008</v>
      </c>
      <c r="D744" s="21">
        <f>Tableau!$G$17*SIN(B744*PI()/180)+Tableau!$H$16</f>
        <v>9291.8397477265007</v>
      </c>
      <c r="F744" s="28">
        <v>741</v>
      </c>
      <c r="G744" s="29">
        <f>Tableau!$G$26*COS(F744*PI()/180)+Tableau!$G$25</f>
        <v>-16732.468507259793</v>
      </c>
      <c r="H744" s="29">
        <f>Tableau!$G$26*SIN(F744*PI()/180)+Tableau!$H$25</f>
        <v>11254.287823408551</v>
      </c>
      <c r="J744" s="36">
        <v>741</v>
      </c>
      <c r="K744" s="37">
        <f>Tableau!$G$36*COS(J744*PI()/180)+Tableau!$G$35</f>
        <v>-332.09786751399042</v>
      </c>
      <c r="L744" s="37">
        <f>Tableau!$G$36*SIN(J744*PI()/180)+Tableau!$H$35</f>
        <v>-13208.160252273499</v>
      </c>
      <c r="N744" s="92">
        <v>740</v>
      </c>
      <c r="O744" s="93">
        <v>370</v>
      </c>
      <c r="P744" s="96">
        <f>P743+R743*Tableau!$G$2+((1/2)*T743)*Tableau!$G$2^2</f>
        <v>-25133456.869637128</v>
      </c>
      <c r="Q744" s="96">
        <f>Q743+S743*Tableau!$G$2+((1/2)*U743)*Tableau!$G$2^2</f>
        <v>12343584.553059617</v>
      </c>
      <c r="R744" s="96">
        <f>R743+T743*Tableau!$G$2</f>
        <v>-68697.962584432928</v>
      </c>
      <c r="S744" s="96">
        <f>S743+U743*Tableau!$G$2</f>
        <v>33800.610044932226</v>
      </c>
      <c r="T744" s="96">
        <f t="shared" si="22"/>
        <v>1.4040510161382376E-3</v>
      </c>
      <c r="U744" s="96">
        <f t="shared" si="23"/>
        <v>-6.8956211042907963E-4</v>
      </c>
      <c r="V744" s="96">
        <f>((Tableau!$G$16-P744)/(AC744^2+Tableau!$G$21^2)^(3/2))*Tableau!$G$20</f>
        <v>5.9895645045413405E-4</v>
      </c>
      <c r="W744" s="96">
        <f>((Tableau!$H$16-Q744)/(AC744^2+Tableau!$G$21^2)^(3/2))*Tableau!$G$20</f>
        <v>-2.9374799077106948E-4</v>
      </c>
      <c r="X744" s="96">
        <f>((Tableau!$G$25-P744)/(AD744^2+Tableau!$G$30^2)^(3/2))*Tableau!$G$29</f>
        <v>2.0593041653103398E-4</v>
      </c>
      <c r="Y744" s="96">
        <f>((Tableau!$H$25-Q744)/(AD744^2+Tableau!$G$30^2)^(3/2))*Tableau!$G$29</f>
        <v>-1.011354278113363E-4</v>
      </c>
      <c r="Z744" s="96">
        <f>((Tableau!$G$35-P744)/(AE744^2+Tableau!$G$40^2)^(3/2))*Tableau!$G$39</f>
        <v>5.9916414915306957E-4</v>
      </c>
      <c r="AA744" s="97">
        <f>((Tableau!$H$35-Q744)/(AE744^2+Tableau!$G$40^2)^(3/2))*Tableau!$G$39</f>
        <v>-2.9467869184667385E-4</v>
      </c>
      <c r="AC744" s="110">
        <f>SQRT((Tableau!$G$16-P744)^2+(Tableau!$H$16-Q744)^2)</f>
        <v>28015627.328206152</v>
      </c>
      <c r="AD744" s="111">
        <f>SQRT((Tableau!$G$25-P744)^2+(Tableau!$H$25-Q744)^2)</f>
        <v>27978617.26159095</v>
      </c>
      <c r="AE744" s="112">
        <f>SQRT((Tableau!$G$35-P744)^2+(Tableau!$H$35-Q744)^2)</f>
        <v>28003106.199211851</v>
      </c>
    </row>
    <row r="745" spans="2:31" x14ac:dyDescent="0.25">
      <c r="B745" s="18">
        <v>742</v>
      </c>
      <c r="C745" s="19">
        <f>Tableau!$G$17*COS(B745*PI()/180)+Tableau!$G$16</f>
        <v>24635.919272833937</v>
      </c>
      <c r="D745" s="19">
        <f>Tableau!$G$17*SIN(B745*PI()/180)+Tableau!$H$16</f>
        <v>9373.0329670795618</v>
      </c>
      <c r="F745" s="26">
        <v>742</v>
      </c>
      <c r="G745" s="27">
        <f>Tableau!$G$26*COS(F745*PI()/180)+Tableau!$G$25</f>
        <v>-16754.856509016245</v>
      </c>
      <c r="H745" s="27">
        <f>Tableau!$G$26*SIN(F745*PI()/180)+Tableau!$H$25</f>
        <v>11311.123076955693</v>
      </c>
      <c r="J745" s="34">
        <v>742</v>
      </c>
      <c r="K745" s="35">
        <f>Tableau!$G$36*COS(J745*PI()/180)+Tableau!$G$35</f>
        <v>-364.08072716606421</v>
      </c>
      <c r="L745" s="35">
        <f>Tableau!$G$36*SIN(J745*PI()/180)+Tableau!$H$35</f>
        <v>-13126.967032920438</v>
      </c>
      <c r="N745" s="98">
        <v>741</v>
      </c>
      <c r="O745" s="99">
        <v>370.5</v>
      </c>
      <c r="P745" s="101">
        <f>P744+R744*Tableau!$G$2+((1/2)*T744)*Tableau!$G$2^2</f>
        <v>-25167805.85075384</v>
      </c>
      <c r="Q745" s="101">
        <f>Q744+S744*Tableau!$G$2+((1/2)*U744)*Tableau!$G$2^2</f>
        <v>12360484.857995888</v>
      </c>
      <c r="R745" s="101">
        <f>R744+T744*Tableau!$G$2</f>
        <v>-68697.961882407413</v>
      </c>
      <c r="S745" s="101">
        <f>S744+U744*Tableau!$G$2</f>
        <v>33800.609700151173</v>
      </c>
      <c r="T745" s="101">
        <f t="shared" si="22"/>
        <v>1.4002196368955197E-3</v>
      </c>
      <c r="U745" s="101">
        <f t="shared" si="23"/>
        <v>-6.87682139182377E-4</v>
      </c>
      <c r="V745" s="101">
        <f>((Tableau!$G$16-P745)/(AC745^2+Tableau!$G$21^2)^(3/2))*Tableau!$G$20</f>
        <v>5.9732242192778748E-4</v>
      </c>
      <c r="W745" s="101">
        <f>((Tableau!$H$16-Q745)/(AC745^2+Tableau!$G$21^2)^(3/2))*Tableau!$G$20</f>
        <v>-2.9294790015203142E-4</v>
      </c>
      <c r="X745" s="101">
        <f>((Tableau!$G$25-P745)/(AD745^2+Tableau!$G$30^2)^(3/2))*Tableau!$G$29</f>
        <v>2.0536794597184708E-4</v>
      </c>
      <c r="Y745" s="101">
        <f>((Tableau!$H$25-Q745)/(AD745^2+Tableau!$G$30^2)^(3/2))*Tableau!$G$29</f>
        <v>-1.0085944364673003E-4</v>
      </c>
      <c r="Z745" s="101">
        <f>((Tableau!$G$35-P745)/(AE745^2+Tableau!$G$40^2)^(3/2))*Tableau!$G$39</f>
        <v>5.975292689958851E-4</v>
      </c>
      <c r="AA745" s="102">
        <f>((Tableau!$H$35-Q745)/(AE745^2+Tableau!$G$40^2)^(3/2))*Tableau!$G$39</f>
        <v>-2.9387479538361554E-4</v>
      </c>
      <c r="AC745" s="113">
        <f>SQRT((Tableau!$G$16-P745)^2+(Tableau!$H$16-Q745)^2)</f>
        <v>28053908.791417018</v>
      </c>
      <c r="AD745" s="114">
        <f>SQRT((Tableau!$G$25-P745)^2+(Tableau!$H$25-Q745)^2)</f>
        <v>28016898.745842569</v>
      </c>
      <c r="AE745" s="115">
        <f>SQRT((Tableau!$G$35-P745)^2+(Tableau!$H$35-Q745)^2)</f>
        <v>28041387.693072844</v>
      </c>
    </row>
    <row r="746" spans="2:31" x14ac:dyDescent="0.25">
      <c r="B746" s="20">
        <v>743</v>
      </c>
      <c r="C746" s="21">
        <f>Tableau!$G$17*COS(B746*PI()/180)+Tableau!$G$16</f>
        <v>24602.524267262204</v>
      </c>
      <c r="D746" s="21">
        <f>Tableau!$G$17*SIN(B746*PI()/180)+Tableau!$H$16</f>
        <v>9453.655642446367</v>
      </c>
      <c r="F746" s="28">
        <v>743</v>
      </c>
      <c r="G746" s="29">
        <f>Tableau!$G$26*COS(F746*PI()/180)+Tableau!$G$25</f>
        <v>-16778.233012916458</v>
      </c>
      <c r="H746" s="29">
        <f>Tableau!$G$26*SIN(F746*PI()/180)+Tableau!$H$25</f>
        <v>11367.558949712457</v>
      </c>
      <c r="J746" s="36">
        <v>743</v>
      </c>
      <c r="K746" s="37">
        <f>Tableau!$G$36*COS(J746*PI()/180)+Tableau!$G$35</f>
        <v>-397.47573273779744</v>
      </c>
      <c r="L746" s="37">
        <f>Tableau!$G$36*SIN(J746*PI()/180)+Tableau!$H$35</f>
        <v>-13046.344357553633</v>
      </c>
      <c r="N746" s="92">
        <v>742</v>
      </c>
      <c r="O746" s="93">
        <v>371</v>
      </c>
      <c r="P746" s="96">
        <f>P745+R745*Tableau!$G$2+((1/2)*T745)*Tableau!$G$2^2</f>
        <v>-25202154.831520014</v>
      </c>
      <c r="Q746" s="96">
        <f>Q745+S745*Tableau!$G$2+((1/2)*U745)*Tableau!$G$2^2</f>
        <v>12377385.162760003</v>
      </c>
      <c r="R746" s="96">
        <f>R745+T745*Tableau!$G$2</f>
        <v>-68697.9611822976</v>
      </c>
      <c r="S746" s="96">
        <f>S745+U745*Tableau!$G$2</f>
        <v>33800.609356310102</v>
      </c>
      <c r="T746" s="96">
        <f t="shared" si="22"/>
        <v>1.3964039189379037E-3</v>
      </c>
      <c r="U746" s="96">
        <f t="shared" si="23"/>
        <v>-6.8580984560598249E-4</v>
      </c>
      <c r="V746" s="96">
        <f>((Tableau!$G$16-P746)/(AC746^2+Tableau!$G$21^2)^(3/2))*Tableau!$G$20</f>
        <v>5.9569507105519334E-4</v>
      </c>
      <c r="W746" s="96">
        <f>((Tableau!$H$16-Q746)/(AC746^2+Tableau!$G$21^2)^(3/2))*Tableau!$G$20</f>
        <v>-2.921510739346622E-4</v>
      </c>
      <c r="X746" s="96">
        <f>((Tableau!$G$25-P746)/(AD746^2+Tableau!$G$30^2)^(3/2))*Tableau!$G$29</f>
        <v>2.0480777674070465E-4</v>
      </c>
      <c r="Y746" s="96">
        <f>((Tableau!$H$25-Q746)/(AD746^2+Tableau!$G$30^2)^(3/2))*Tableau!$G$29</f>
        <v>-1.0058458762672789E-4</v>
      </c>
      <c r="Z746" s="96">
        <f>((Tableau!$G$35-P746)/(AE746^2+Tableau!$G$40^2)^(3/2))*Tableau!$G$39</f>
        <v>5.9590107114200572E-4</v>
      </c>
      <c r="AA746" s="97">
        <f>((Tableau!$H$35-Q746)/(AE746^2+Tableau!$G$40^2)^(3/2))*Tableau!$G$39</f>
        <v>-2.9307418404459233E-4</v>
      </c>
      <c r="AC746" s="110">
        <f>SQRT((Tableau!$G$16-P746)^2+(Tableau!$H$16-Q746)^2)</f>
        <v>28092190.254322261</v>
      </c>
      <c r="AD746" s="111">
        <f>SQRT((Tableau!$G$25-P746)^2+(Tableau!$H$25-Q746)^2)</f>
        <v>28055180.229731247</v>
      </c>
      <c r="AE746" s="112">
        <f>SQRT((Tableau!$G$35-P746)^2+(Tableau!$H$35-Q746)^2)</f>
        <v>28079669.186544679</v>
      </c>
    </row>
    <row r="747" spans="2:31" x14ac:dyDescent="0.25">
      <c r="B747" s="18">
        <v>744</v>
      </c>
      <c r="C747" s="19">
        <f>Tableau!$G$17*COS(B747*PI()/180)+Tableau!$G$16</f>
        <v>24567.727288213006</v>
      </c>
      <c r="D747" s="19">
        <f>Tableau!$G$17*SIN(B747*PI()/180)+Tableau!$H$16</f>
        <v>9533.6832153789928</v>
      </c>
      <c r="F747" s="26">
        <v>744</v>
      </c>
      <c r="G747" s="27">
        <f>Tableau!$G$26*COS(F747*PI()/180)+Tableau!$G$25</f>
        <v>-16802.590898250895</v>
      </c>
      <c r="H747" s="27">
        <f>Tableau!$G$26*SIN(F747*PI()/180)+Tableau!$H$25</f>
        <v>11423.578250765295</v>
      </c>
      <c r="J747" s="34">
        <v>744</v>
      </c>
      <c r="K747" s="35">
        <f>Tableau!$G$36*COS(J747*PI()/180)+Tableau!$G$35</f>
        <v>-432.27271178699266</v>
      </c>
      <c r="L747" s="35">
        <f>Tableau!$G$36*SIN(J747*PI()/180)+Tableau!$H$35</f>
        <v>-12966.316784621007</v>
      </c>
      <c r="N747" s="98">
        <v>743</v>
      </c>
      <c r="O747" s="99">
        <v>371.5</v>
      </c>
      <c r="P747" s="101">
        <f>P746+R746*Tableau!$G$2+((1/2)*T746)*Tableau!$G$2^2</f>
        <v>-25236503.811936609</v>
      </c>
      <c r="Q747" s="101">
        <f>Q746+S746*Tableau!$G$2+((1/2)*U746)*Tableau!$G$2^2</f>
        <v>12394285.467352431</v>
      </c>
      <c r="R747" s="101">
        <f>R746+T746*Tableau!$G$2</f>
        <v>-68697.960484095645</v>
      </c>
      <c r="S747" s="101">
        <f>S746+U746*Tableau!$G$2</f>
        <v>33800.609013405177</v>
      </c>
      <c r="T747" s="101">
        <f t="shared" si="22"/>
        <v>1.3926037770245606E-3</v>
      </c>
      <c r="U747" s="101">
        <f t="shared" si="23"/>
        <v>-6.8394518794992639E-4</v>
      </c>
      <c r="V747" s="101">
        <f>((Tableau!$G$16-P747)/(AC747^2+Tableau!$G$21^2)^(3/2))*Tableau!$G$20</f>
        <v>5.9407436150043559E-4</v>
      </c>
      <c r="W747" s="101">
        <f>((Tableau!$H$16-Q747)/(AC747^2+Tableau!$G$21^2)^(3/2))*Tableau!$G$20</f>
        <v>-2.9135749438457311E-4</v>
      </c>
      <c r="X747" s="101">
        <f>((Tableau!$G$25-P747)/(AD747^2+Tableau!$G$30^2)^(3/2))*Tableau!$G$29</f>
        <v>2.0424989630028834E-4</v>
      </c>
      <c r="Y747" s="101">
        <f>((Tableau!$H$25-Q747)/(AD747^2+Tableau!$G$30^2)^(3/2))*Tableau!$G$29</f>
        <v>-1.003108536109804E-4</v>
      </c>
      <c r="Z747" s="101">
        <f>((Tableau!$G$35-P747)/(AE747^2+Tableau!$G$40^2)^(3/2))*Tableau!$G$39</f>
        <v>5.9427951922383663E-4</v>
      </c>
      <c r="AA747" s="102">
        <f>((Tableau!$H$35-Q747)/(AE747^2+Tableau!$G$40^2)^(3/2))*Tableau!$G$39</f>
        <v>-2.9227683995437288E-4</v>
      </c>
      <c r="AC747" s="113">
        <f>SQRT((Tableau!$G$16-P747)^2+(Tableau!$H$16-Q747)^2)</f>
        <v>28130471.716922592</v>
      </c>
      <c r="AD747" s="114">
        <f>SQRT((Tableau!$G$25-P747)^2+(Tableau!$H$25-Q747)^2)</f>
        <v>28093461.713257946</v>
      </c>
      <c r="AE747" s="115">
        <f>SQRT((Tableau!$G$35-P747)^2+(Tableau!$H$35-Q747)^2)</f>
        <v>28117950.679628413</v>
      </c>
    </row>
    <row r="748" spans="2:31" x14ac:dyDescent="0.25">
      <c r="B748" s="20">
        <v>745</v>
      </c>
      <c r="C748" s="21">
        <f>Tableau!$G$17*COS(B748*PI()/180)+Tableau!$G$16</f>
        <v>24531.538935183249</v>
      </c>
      <c r="D748" s="21">
        <f>Tableau!$G$17*SIN(B748*PI()/180)+Tableau!$H$16</f>
        <v>9613.0913087035005</v>
      </c>
      <c r="F748" s="28">
        <v>745</v>
      </c>
      <c r="G748" s="29">
        <f>Tableau!$G$26*COS(F748*PI()/180)+Tableau!$G$25</f>
        <v>-16827.922745371725</v>
      </c>
      <c r="H748" s="29">
        <f>Tableau!$G$26*SIN(F748*PI()/180)+Tableau!$H$25</f>
        <v>11479.16391609245</v>
      </c>
      <c r="J748" s="36">
        <v>745</v>
      </c>
      <c r="K748" s="37">
        <f>Tableau!$G$36*COS(J748*PI()/180)+Tableau!$G$35</f>
        <v>-468.46106481675179</v>
      </c>
      <c r="L748" s="37">
        <f>Tableau!$G$36*SIN(J748*PI()/180)+Tableau!$H$35</f>
        <v>-12886.908691296499</v>
      </c>
      <c r="N748" s="92">
        <v>744</v>
      </c>
      <c r="O748" s="93">
        <v>372</v>
      </c>
      <c r="P748" s="96">
        <f>P747+R747*Tableau!$G$2+((1/2)*T747)*Tableau!$G$2^2</f>
        <v>-25270852.792004582</v>
      </c>
      <c r="Q748" s="96">
        <f>Q747+S747*Tableau!$G$2+((1/2)*U747)*Tableau!$G$2^2</f>
        <v>12411185.77177364</v>
      </c>
      <c r="R748" s="96">
        <f>R747+T747*Tableau!$G$2</f>
        <v>-68697.959787793763</v>
      </c>
      <c r="S748" s="96">
        <f>S747+U747*Tableau!$G$2</f>
        <v>33800.608671432587</v>
      </c>
      <c r="T748" s="96">
        <f t="shared" si="22"/>
        <v>1.3888191264937967E-3</v>
      </c>
      <c r="U748" s="96">
        <f t="shared" si="23"/>
        <v>-6.8208812474763666E-4</v>
      </c>
      <c r="V748" s="96">
        <f>((Tableau!$G$16-P748)/(AC748^2+Tableau!$G$21^2)^(3/2))*Tableau!$G$20</f>
        <v>5.924602571744116E-4</v>
      </c>
      <c r="W748" s="96">
        <f>((Tableau!$H$16-Q748)/(AC748^2+Tableau!$G$21^2)^(3/2))*Tableau!$G$20</f>
        <v>-2.9056714388764332E-4</v>
      </c>
      <c r="X748" s="96">
        <f>((Tableau!$G$25-P748)/(AD748^2+Tableau!$G$30^2)^(3/2))*Tableau!$G$29</f>
        <v>2.036942921985377E-4</v>
      </c>
      <c r="Y748" s="96">
        <f>((Tableau!$H$25-Q748)/(AD748^2+Tableau!$G$30^2)^(3/2))*Tableau!$G$29</f>
        <v>-1.0003823550085625E-4</v>
      </c>
      <c r="Z748" s="96">
        <f>((Tableau!$G$35-P748)/(AE748^2+Tableau!$G$40^2)^(3/2))*Tableau!$G$39</f>
        <v>5.9266457712084733E-4</v>
      </c>
      <c r="AA748" s="97">
        <f>((Tableau!$H$35-Q748)/(AE748^2+Tableau!$G$40^2)^(3/2))*Tableau!$G$39</f>
        <v>-2.9148274535913712E-4</v>
      </c>
      <c r="AC748" s="110">
        <f>SQRT((Tableau!$G$16-P748)^2+(Tableau!$H$16-Q748)^2)</f>
        <v>28168753.179218739</v>
      </c>
      <c r="AD748" s="111">
        <f>SQRT((Tableau!$G$25-P748)^2+(Tableau!$H$25-Q748)^2)</f>
        <v>28131743.19642362</v>
      </c>
      <c r="AE748" s="112">
        <f>SQRT((Tableau!$G$35-P748)^2+(Tableau!$H$35-Q748)^2)</f>
        <v>28156232.172325104</v>
      </c>
    </row>
    <row r="749" spans="2:31" x14ac:dyDescent="0.25">
      <c r="B749" s="18">
        <v>746</v>
      </c>
      <c r="C749" s="19">
        <f>Tableau!$G$17*COS(B749*PI()/180)+Tableau!$G$16</f>
        <v>24493.970231495834</v>
      </c>
      <c r="D749" s="19">
        <f>Tableau!$G$17*SIN(B749*PI()/180)+Tableau!$H$16</f>
        <v>9691.8557339453855</v>
      </c>
      <c r="F749" s="26">
        <v>746</v>
      </c>
      <c r="G749" s="27">
        <f>Tableau!$G$26*COS(F749*PI()/180)+Tableau!$G$25</f>
        <v>-16854.220837952915</v>
      </c>
      <c r="H749" s="27">
        <f>Tableau!$G$26*SIN(F749*PI()/180)+Tableau!$H$25</f>
        <v>11534.299013761771</v>
      </c>
      <c r="J749" s="34">
        <v>746</v>
      </c>
      <c r="K749" s="35">
        <f>Tableau!$G$36*COS(J749*PI()/180)+Tableau!$G$35</f>
        <v>-506.02976850416417</v>
      </c>
      <c r="L749" s="35">
        <f>Tableau!$G$36*SIN(J749*PI()/180)+Tableau!$H$35</f>
        <v>-12808.144266054614</v>
      </c>
      <c r="N749" s="98">
        <v>745</v>
      </c>
      <c r="O749" s="99">
        <v>372.5</v>
      </c>
      <c r="P749" s="101">
        <f>P748+R748*Tableau!$G$2+((1/2)*T748)*Tableau!$G$2^2</f>
        <v>-25305201.771724876</v>
      </c>
      <c r="Q749" s="101">
        <f>Q748+S748*Tableau!$G$2+((1/2)*U748)*Tableau!$G$2^2</f>
        <v>12428086.076024096</v>
      </c>
      <c r="R749" s="101">
        <f>R748+T748*Tableau!$G$2</f>
        <v>-68697.959093384197</v>
      </c>
      <c r="S749" s="101">
        <f>S748+U748*Tableau!$G$2</f>
        <v>33800.608330388524</v>
      </c>
      <c r="T749" s="101">
        <f t="shared" si="22"/>
        <v>1.3850498832583772E-3</v>
      </c>
      <c r="U749" s="101">
        <f t="shared" si="23"/>
        <v>-6.8023861481365214E-4</v>
      </c>
      <c r="V749" s="101">
        <f>((Tableau!$G$16-P749)/(AC749^2+Tableau!$G$21^2)^(3/2))*Tableau!$G$20</f>
        <v>5.9085272223284124E-4</v>
      </c>
      <c r="W749" s="101">
        <f>((Tableau!$H$16-Q749)/(AC749^2+Tableau!$G$21^2)^(3/2))*Tableau!$G$20</f>
        <v>-2.8978000494905148E-4</v>
      </c>
      <c r="X749" s="101">
        <f>((Tableau!$G$25-P749)/(AD749^2+Tableau!$G$30^2)^(3/2))*Tableau!$G$29</f>
        <v>2.0314095206795915E-4</v>
      </c>
      <c r="Y749" s="101">
        <f>((Tableau!$H$25-Q749)/(AD749^2+Tableau!$G$30^2)^(3/2))*Tableau!$G$29</f>
        <v>-9.9766727239104664E-5</v>
      </c>
      <c r="Z749" s="101">
        <f>((Tableau!$G$35-P749)/(AE749^2+Tableau!$G$40^2)^(3/2))*Tableau!$G$39</f>
        <v>5.9105620895757679E-4</v>
      </c>
      <c r="AA749" s="102">
        <f>((Tableau!$H$35-Q749)/(AE749^2+Tableau!$G$40^2)^(3/2))*Tableau!$G$39</f>
        <v>-2.9069188262549595E-4</v>
      </c>
      <c r="AC749" s="113">
        <f>SQRT((Tableau!$G$16-P749)^2+(Tableau!$H$16-Q749)^2)</f>
        <v>28207034.641211409</v>
      </c>
      <c r="AD749" s="114">
        <f>SQRT((Tableau!$G$25-P749)^2+(Tableau!$H$25-Q749)^2)</f>
        <v>28170024.6792292</v>
      </c>
      <c r="AE749" s="115">
        <f>SQRT((Tableau!$G$35-P749)^2+(Tableau!$H$35-Q749)^2)</f>
        <v>28194513.664635807</v>
      </c>
    </row>
    <row r="750" spans="2:31" x14ac:dyDescent="0.25">
      <c r="B750" s="20">
        <v>747</v>
      </c>
      <c r="C750" s="21">
        <f>Tableau!$G$17*COS(B750*PI()/180)+Tableau!$G$16</f>
        <v>24455.032620941842</v>
      </c>
      <c r="D750" s="21">
        <f>Tableau!$G$17*SIN(B750*PI()/180)+Tableau!$H$16</f>
        <v>9769.9524986977267</v>
      </c>
      <c r="F750" s="28">
        <v>747</v>
      </c>
      <c r="G750" s="29">
        <f>Tableau!$G$26*COS(F750*PI()/180)+Tableau!$G$25</f>
        <v>-16881.477165340712</v>
      </c>
      <c r="H750" s="29">
        <f>Tableau!$G$26*SIN(F750*PI()/180)+Tableau!$H$25</f>
        <v>11588.966749088409</v>
      </c>
      <c r="J750" s="36">
        <v>747</v>
      </c>
      <c r="K750" s="37">
        <f>Tableau!$G$36*COS(J750*PI()/180)+Tableau!$G$35</f>
        <v>-544.96737905815735</v>
      </c>
      <c r="L750" s="37">
        <f>Tableau!$G$36*SIN(J750*PI()/180)+Tableau!$H$35</f>
        <v>-12730.047501302273</v>
      </c>
      <c r="N750" s="92">
        <v>746</v>
      </c>
      <c r="O750" s="93">
        <v>373</v>
      </c>
      <c r="P750" s="96">
        <f>P749+R749*Tableau!$G$2+((1/2)*T749)*Tableau!$G$2^2</f>
        <v>-25339550.751098435</v>
      </c>
      <c r="Q750" s="96">
        <f>Q749+S749*Tableau!$G$2+((1/2)*U749)*Tableau!$G$2^2</f>
        <v>12444986.380104261</v>
      </c>
      <c r="R750" s="96">
        <f>R749+T749*Tableau!$G$2</f>
        <v>-68697.95840085925</v>
      </c>
      <c r="S750" s="96">
        <f>S749+U749*Tableau!$G$2</f>
        <v>33800.607990269214</v>
      </c>
      <c r="T750" s="96">
        <f t="shared" si="22"/>
        <v>1.3812959638007946E-3</v>
      </c>
      <c r="U750" s="96">
        <f t="shared" si="23"/>
        <v>-6.7839661724130858E-4</v>
      </c>
      <c r="V750" s="96">
        <f>((Tableau!$G$16-P750)/(AC750^2+Tableau!$G$21^2)^(3/2))*Tableau!$G$20</f>
        <v>5.8925172107423694E-4</v>
      </c>
      <c r="W750" s="96">
        <f>((Tableau!$H$16-Q750)/(AC750^2+Tableau!$G$21^2)^(3/2))*Tableau!$G$20</f>
        <v>-2.8899606019228765E-4</v>
      </c>
      <c r="X750" s="96">
        <f>((Tableau!$G$25-P750)/(AD750^2+Tableau!$G$30^2)^(3/2))*Tableau!$G$29</f>
        <v>2.0258986362493863E-4</v>
      </c>
      <c r="Y750" s="96">
        <f>((Tableau!$H$25-Q750)/(AD750^2+Tableau!$G$30^2)^(3/2))*Tableau!$G$29</f>
        <v>-9.9496322809519103E-5</v>
      </c>
      <c r="Z750" s="96">
        <f>((Tableau!$G$35-P750)/(AE750^2+Tableau!$G$40^2)^(3/2))*Tableau!$G$39</f>
        <v>5.8945437910161924E-4</v>
      </c>
      <c r="AA750" s="97">
        <f>((Tableau!$H$35-Q750)/(AE750^2+Tableau!$G$40^2)^(3/2))*Tableau!$G$39</f>
        <v>-2.8990423423950188E-4</v>
      </c>
      <c r="AC750" s="110">
        <f>SQRT((Tableau!$G$16-P750)^2+(Tableau!$H$16-Q750)^2)</f>
        <v>28245316.102901313</v>
      </c>
      <c r="AD750" s="111">
        <f>SQRT((Tableau!$G$25-P750)^2+(Tableau!$H$25-Q750)^2)</f>
        <v>28208306.161675639</v>
      </c>
      <c r="AE750" s="112">
        <f>SQRT((Tableau!$G$35-P750)^2+(Tableau!$H$35-Q750)^2)</f>
        <v>28232795.156561561</v>
      </c>
    </row>
    <row r="751" spans="2:31" x14ac:dyDescent="0.25">
      <c r="B751" s="18">
        <v>748</v>
      </c>
      <c r="C751" s="19">
        <f>Tableau!$G$17*COS(B751*PI()/180)+Tableau!$G$16</f>
        <v>24414.737964294633</v>
      </c>
      <c r="D751" s="19">
        <f>Tableau!$G$17*SIN(B751*PI()/180)+Tableau!$H$16</f>
        <v>9847.3578139294586</v>
      </c>
      <c r="F751" s="26">
        <v>748</v>
      </c>
      <c r="G751" s="27">
        <f>Tableau!$G$26*COS(F751*PI()/180)+Tableau!$G$25</f>
        <v>-16909.683424993756</v>
      </c>
      <c r="H751" s="27">
        <f>Tableau!$G$26*SIN(F751*PI()/180)+Tableau!$H$25</f>
        <v>11643.150469750621</v>
      </c>
      <c r="J751" s="34">
        <v>748</v>
      </c>
      <c r="K751" s="35">
        <f>Tableau!$G$36*COS(J751*PI()/180)+Tableau!$G$35</f>
        <v>-585.26203570536745</v>
      </c>
      <c r="L751" s="35">
        <f>Tableau!$G$36*SIN(J751*PI()/180)+Tableau!$H$35</f>
        <v>-12652.642186070541</v>
      </c>
      <c r="N751" s="98">
        <v>747</v>
      </c>
      <c r="O751" s="99">
        <v>373.5</v>
      </c>
      <c r="P751" s="101">
        <f>P750+R750*Tableau!$G$2+((1/2)*T750)*Tableau!$G$2^2</f>
        <v>-25373899.730126202</v>
      </c>
      <c r="Q751" s="101">
        <f>Q750+S750*Tableau!$G$2+((1/2)*U750)*Tableau!$G$2^2</f>
        <v>12461886.684014596</v>
      </c>
      <c r="R751" s="101">
        <f>R750+T750*Tableau!$G$2</f>
        <v>-68697.957710211267</v>
      </c>
      <c r="S751" s="101">
        <f>S750+U750*Tableau!$G$2</f>
        <v>33800.607651070903</v>
      </c>
      <c r="T751" s="101">
        <f t="shared" si="22"/>
        <v>1.3775572851686881E-3</v>
      </c>
      <c r="U751" s="101">
        <f t="shared" si="23"/>
        <v>-6.7656209140050014E-4</v>
      </c>
      <c r="V751" s="101">
        <f>((Tableau!$G$16-P751)/(AC751^2+Tableau!$G$21^2)^(3/2))*Tableau!$G$20</f>
        <v>5.8765721833795546E-4</v>
      </c>
      <c r="W751" s="101">
        <f>((Tableau!$H$16-Q751)/(AC751^2+Tableau!$G$21^2)^(3/2))*Tableau!$G$20</f>
        <v>-2.8821529235820598E-4</v>
      </c>
      <c r="X751" s="101">
        <f>((Tableau!$G$25-P751)/(AD751^2+Tableau!$G$30^2)^(3/2))*Tableau!$G$29</f>
        <v>2.0204101466905574E-4</v>
      </c>
      <c r="Y751" s="101">
        <f>((Tableau!$H$25-Q751)/(AD751^2+Tableau!$G$30^2)^(3/2))*Tableau!$G$29</f>
        <v>-9.9227016236602033E-5</v>
      </c>
      <c r="Z751" s="101">
        <f>((Tableau!$G$35-P751)/(AE751^2+Tableau!$G$40^2)^(3/2))*Tableau!$G$39</f>
        <v>5.8785905216167693E-4</v>
      </c>
      <c r="AA751" s="102">
        <f>((Tableau!$H$35-Q751)/(AE751^2+Tableau!$G$40^2)^(3/2))*Tableau!$G$39</f>
        <v>-2.8911978280569213E-4</v>
      </c>
      <c r="AC751" s="113">
        <f>SQRT((Tableau!$G$16-P751)^2+(Tableau!$H$16-Q751)^2)</f>
        <v>28283597.56428916</v>
      </c>
      <c r="AD751" s="114">
        <f>SQRT((Tableau!$G$25-P751)^2+(Tableau!$H$25-Q751)^2)</f>
        <v>28246587.643763866</v>
      </c>
      <c r="AE751" s="115">
        <f>SQRT((Tableau!$G$35-P751)^2+(Tableau!$H$35-Q751)^2)</f>
        <v>28271076.648103412</v>
      </c>
    </row>
    <row r="752" spans="2:31" x14ac:dyDescent="0.25">
      <c r="B752" s="20">
        <v>749</v>
      </c>
      <c r="C752" s="21">
        <f>Tableau!$G$17*COS(B752*PI()/180)+Tableau!$G$16</f>
        <v>24373.09853569698</v>
      </c>
      <c r="D752" s="21">
        <f>Tableau!$G$17*SIN(B752*PI()/180)+Tableau!$H$16</f>
        <v>9924.048101231685</v>
      </c>
      <c r="F752" s="28">
        <v>749</v>
      </c>
      <c r="G752" s="29">
        <f>Tableau!$G$26*COS(F752*PI()/180)+Tableau!$G$25</f>
        <v>-16938.831025012114</v>
      </c>
      <c r="H752" s="29">
        <f>Tableau!$G$26*SIN(F752*PI()/180)+Tableau!$H$25</f>
        <v>11696.833670862179</v>
      </c>
      <c r="J752" s="36">
        <v>749</v>
      </c>
      <c r="K752" s="37">
        <f>Tableau!$G$36*COS(J752*PI()/180)+Tableau!$G$35</f>
        <v>-626.90146430302048</v>
      </c>
      <c r="L752" s="37">
        <f>Tableau!$G$36*SIN(J752*PI()/180)+Tableau!$H$35</f>
        <v>-12575.951898768315</v>
      </c>
      <c r="N752" s="92">
        <v>748</v>
      </c>
      <c r="O752" s="93">
        <v>374</v>
      </c>
      <c r="P752" s="96">
        <f>P751+R751*Tableau!$G$2+((1/2)*T751)*Tableau!$G$2^2</f>
        <v>-25408248.708809115</v>
      </c>
      <c r="Q752" s="96">
        <f>Q751+S751*Tableau!$G$2+((1/2)*U751)*Tableau!$G$2^2</f>
        <v>12478786.987755561</v>
      </c>
      <c r="R752" s="96">
        <f>R751+T751*Tableau!$G$2</f>
        <v>-68697.957021432623</v>
      </c>
      <c r="S752" s="96">
        <f>S751+U751*Tableau!$G$2</f>
        <v>33800.607312789856</v>
      </c>
      <c r="T752" s="96">
        <f t="shared" si="22"/>
        <v>1.3738337649702699E-3</v>
      </c>
      <c r="U752" s="96">
        <f t="shared" si="23"/>
        <v>-6.7473499693544259E-4</v>
      </c>
      <c r="V752" s="96">
        <f>((Tableau!$G$16-P752)/(AC752^2+Tableau!$G$21^2)^(3/2))*Tableau!$G$20</f>
        <v>5.8606917890226132E-4</v>
      </c>
      <c r="W752" s="96">
        <f>((Tableau!$H$16-Q752)/(AC752^2+Tableau!$G$21^2)^(3/2))*Tableau!$G$20</f>
        <v>-2.8743768430408207E-4</v>
      </c>
      <c r="X752" s="96">
        <f>((Tableau!$G$25-P752)/(AD752^2+Tableau!$G$30^2)^(3/2))*Tableau!$G$29</f>
        <v>2.0149439308241379E-4</v>
      </c>
      <c r="Y752" s="96">
        <f>((Tableau!$H$25-Q752)/(AD752^2+Tableau!$G$30^2)^(3/2))*Tableau!$G$29</f>
        <v>-9.8958801585237555E-5</v>
      </c>
      <c r="Z752" s="96">
        <f>((Tableau!$G$35-P752)/(AE752^2+Tableau!$G$40^2)^(3/2))*Tableau!$G$39</f>
        <v>5.8627019298559469E-4</v>
      </c>
      <c r="AA752" s="97">
        <f>((Tableau!$H$35-Q752)/(AE752^2+Tableau!$G$40^2)^(3/2))*Tableau!$G$39</f>
        <v>-2.8833851104612292E-4</v>
      </c>
      <c r="AC752" s="110">
        <f>SQRT((Tableau!$G$16-P752)^2+(Tableau!$H$16-Q752)^2)</f>
        <v>28321879.025375657</v>
      </c>
      <c r="AD752" s="111">
        <f>SQRT((Tableau!$G$25-P752)^2+(Tableau!$H$25-Q752)^2)</f>
        <v>28284869.125494819</v>
      </c>
      <c r="AE752" s="112">
        <f>SQRT((Tableau!$G$35-P752)^2+(Tableau!$H$35-Q752)^2)</f>
        <v>28309358.139262401</v>
      </c>
    </row>
    <row r="753" spans="2:31" x14ac:dyDescent="0.25">
      <c r="B753" s="18">
        <v>750</v>
      </c>
      <c r="C753" s="19">
        <f>Tableau!$G$17*COS(B753*PI()/180)+Tableau!$G$16</f>
        <v>24330.127018922198</v>
      </c>
      <c r="D753" s="19">
        <f>Tableau!$G$17*SIN(B753*PI()/180)+Tableau!$H$16</f>
        <v>9999.9999999999964</v>
      </c>
      <c r="F753" s="26">
        <v>750</v>
      </c>
      <c r="G753" s="27">
        <f>Tableau!$G$26*COS(F753*PI()/180)+Tableau!$G$25</f>
        <v>-16968.911086754462</v>
      </c>
      <c r="H753" s="27">
        <f>Tableau!$G$26*SIN(F753*PI()/180)+Tableau!$H$25</f>
        <v>11749.999999999996</v>
      </c>
      <c r="J753" s="34">
        <v>750</v>
      </c>
      <c r="K753" s="35">
        <f>Tableau!$G$36*COS(J753*PI()/180)+Tableau!$G$35</f>
        <v>-669.87298107780407</v>
      </c>
      <c r="L753" s="35">
        <f>Tableau!$G$36*SIN(J753*PI()/180)+Tableau!$H$35</f>
        <v>-12500.000000000004</v>
      </c>
      <c r="N753" s="98">
        <v>749</v>
      </c>
      <c r="O753" s="99">
        <v>374.5</v>
      </c>
      <c r="P753" s="101">
        <f>P752+R752*Tableau!$G$2+((1/2)*T752)*Tableau!$G$2^2</f>
        <v>-25442597.687148102</v>
      </c>
      <c r="Q753" s="101">
        <f>Q752+S752*Tableau!$G$2+((1/2)*U752)*Tableau!$G$2^2</f>
        <v>12495687.291327614</v>
      </c>
      <c r="R753" s="101">
        <f>R752+T752*Tableau!$G$2</f>
        <v>-68697.956334515737</v>
      </c>
      <c r="S753" s="101">
        <f>S752+U752*Tableau!$G$2</f>
        <v>33800.606975422357</v>
      </c>
      <c r="T753" s="101">
        <f t="shared" si="22"/>
        <v>1.3701253213697152E-3</v>
      </c>
      <c r="U753" s="101">
        <f t="shared" si="23"/>
        <v>-6.7291529376242005E-4</v>
      </c>
      <c r="V753" s="101">
        <f>((Tableau!$G$16-P753)/(AC753^2+Tableau!$G$21^2)^(3/2))*Tableau!$G$20</f>
        <v>5.8448756788235872E-4</v>
      </c>
      <c r="W753" s="101">
        <f>((Tableau!$H$16-Q753)/(AC753^2+Tableau!$G$21^2)^(3/2))*Tableau!$G$20</f>
        <v>-2.8666321900265601E-4</v>
      </c>
      <c r="X753" s="101">
        <f>((Tableau!$G$25-P753)/(AD753^2+Tableau!$G$30^2)^(3/2))*Tableau!$G$29</f>
        <v>2.0094998682896586E-4</v>
      </c>
      <c r="Y753" s="101">
        <f>((Tableau!$H$25-Q753)/(AD753^2+Tableau!$G$30^2)^(3/2))*Tableau!$G$29</f>
        <v>-9.8691672960361787E-5</v>
      </c>
      <c r="Z753" s="101">
        <f>((Tableau!$G$35-P753)/(AE753^2+Tableau!$G$40^2)^(3/2))*Tableau!$G$39</f>
        <v>5.846877666583906E-4</v>
      </c>
      <c r="AA753" s="102">
        <f>((Tableau!$H$35-Q753)/(AE753^2+Tableau!$G$40^2)^(3/2))*Tableau!$G$39</f>
        <v>-2.8756040179940225E-4</v>
      </c>
      <c r="AC753" s="113">
        <f>SQRT((Tableau!$G$16-P753)^2+(Tableau!$H$16-Q753)^2)</f>
        <v>28360160.486161504</v>
      </c>
      <c r="AD753" s="114">
        <f>SQRT((Tableau!$G$25-P753)^2+(Tableau!$H$25-Q753)^2)</f>
        <v>28323150.606869426</v>
      </c>
      <c r="AE753" s="115">
        <f>SQRT((Tableau!$G$35-P753)^2+(Tableau!$H$35-Q753)^2)</f>
        <v>28347639.630039547</v>
      </c>
    </row>
    <row r="754" spans="2:31" x14ac:dyDescent="0.25">
      <c r="B754" s="20">
        <v>751</v>
      </c>
      <c r="C754" s="21">
        <f>Tableau!$G$17*COS(B754*PI()/180)+Tableau!$G$16</f>
        <v>24285.836503510567</v>
      </c>
      <c r="D754" s="21">
        <f>Tableau!$G$17*SIN(B754*PI()/180)+Tableau!$H$16</f>
        <v>10075.190374550262</v>
      </c>
      <c r="F754" s="28">
        <v>751</v>
      </c>
      <c r="G754" s="29">
        <f>Tableau!$G$26*COS(F754*PI()/180)+Tableau!$G$25</f>
        <v>-16999.914447542604</v>
      </c>
      <c r="H754" s="29">
        <f>Tableau!$G$26*SIN(F754*PI()/180)+Tableau!$H$25</f>
        <v>11802.633262185183</v>
      </c>
      <c r="J754" s="36">
        <v>751</v>
      </c>
      <c r="K754" s="37">
        <f>Tableau!$G$36*COS(J754*PI()/180)+Tableau!$G$35</f>
        <v>-714.16349648943287</v>
      </c>
      <c r="L754" s="37">
        <f>Tableau!$G$36*SIN(J754*PI()/180)+Tableau!$H$35</f>
        <v>-12424.809625449738</v>
      </c>
      <c r="N754" s="92">
        <v>750</v>
      </c>
      <c r="O754" s="93">
        <v>375</v>
      </c>
      <c r="P754" s="96">
        <f>P753+R753*Tableau!$G$2+((1/2)*T753)*Tableau!$G$2^2</f>
        <v>-25476946.665144093</v>
      </c>
      <c r="Q754" s="96">
        <f>Q753+S753*Tableau!$G$2+((1/2)*U753)*Tableau!$G$2^2</f>
        <v>12512587.59473121</v>
      </c>
      <c r="R754" s="96">
        <f>R753+T753*Tableau!$G$2</f>
        <v>-68697.95564945307</v>
      </c>
      <c r="S754" s="96">
        <f>S753+U753*Tableau!$G$2</f>
        <v>33800.606638964709</v>
      </c>
      <c r="T754" s="96">
        <f t="shared" si="22"/>
        <v>1.3664318730827556E-3</v>
      </c>
      <c r="U754" s="96">
        <f t="shared" si="23"/>
        <v>-6.7110294206762944E-4</v>
      </c>
      <c r="V754" s="96">
        <f>((Tableau!$G$16-P754)/(AC754^2+Tableau!$G$21^2)^(3/2))*Tableau!$G$20</f>
        <v>5.8291235062849715E-4</v>
      </c>
      <c r="W754" s="96">
        <f>((Tableau!$H$16-Q754)/(AC754^2+Tableau!$G$21^2)^(3/2))*Tableau!$G$20</f>
        <v>-2.8589187954120991E-4</v>
      </c>
      <c r="X754" s="96">
        <f>((Tableau!$G$25-P754)/(AD754^2+Tableau!$G$30^2)^(3/2))*Tableau!$G$29</f>
        <v>2.0040778395385696E-4</v>
      </c>
      <c r="Y754" s="96">
        <f>((Tableau!$H$25-Q754)/(AD754^2+Tableau!$G$30^2)^(3/2))*Tableau!$G$29</f>
        <v>-9.8425624506641191E-5</v>
      </c>
      <c r="Z754" s="96">
        <f>((Tableau!$G$35-P754)/(AE754^2+Tableau!$G$40^2)^(3/2))*Tableau!$G$39</f>
        <v>5.8311173850040155E-4</v>
      </c>
      <c r="AA754" s="97">
        <f>((Tableau!$H$35-Q754)/(AE754^2+Tableau!$G$40^2)^(3/2))*Tableau!$G$39</f>
        <v>-2.8678543801977828E-4</v>
      </c>
      <c r="AC754" s="110">
        <f>SQRT((Tableau!$G$16-P754)^2+(Tableau!$H$16-Q754)^2)</f>
        <v>28398441.946647406</v>
      </c>
      <c r="AD754" s="111">
        <f>SQRT((Tableau!$G$25-P754)^2+(Tableau!$H$25-Q754)^2)</f>
        <v>28361432.08788861</v>
      </c>
      <c r="AE754" s="112">
        <f>SQRT((Tableau!$G$35-P754)^2+(Tableau!$H$35-Q754)^2)</f>
        <v>28385921.120435894</v>
      </c>
    </row>
    <row r="755" spans="2:31" x14ac:dyDescent="0.25">
      <c r="B755" s="18">
        <v>752</v>
      </c>
      <c r="C755" s="19">
        <f>Tableau!$G$17*COS(B755*PI()/180)+Tableau!$G$16</f>
        <v>24240.240480782129</v>
      </c>
      <c r="D755" s="19">
        <f>Tableau!$G$17*SIN(B755*PI()/180)+Tableau!$H$16</f>
        <v>10149.596321166026</v>
      </c>
      <c r="F755" s="26">
        <v>752</v>
      </c>
      <c r="G755" s="27">
        <f>Tableau!$G$26*COS(F755*PI()/180)+Tableau!$G$25</f>
        <v>-17031.831663452511</v>
      </c>
      <c r="H755" s="27">
        <f>Tableau!$G$26*SIN(F755*PI()/180)+Tableau!$H$25</f>
        <v>11854.717424816219</v>
      </c>
      <c r="J755" s="34">
        <v>752</v>
      </c>
      <c r="K755" s="35">
        <f>Tableau!$G$36*COS(J755*PI()/180)+Tableau!$G$35</f>
        <v>-759.75951921787055</v>
      </c>
      <c r="L755" s="35">
        <f>Tableau!$G$36*SIN(J755*PI()/180)+Tableau!$H$35</f>
        <v>-12350.403678833974</v>
      </c>
      <c r="N755" s="98">
        <v>751</v>
      </c>
      <c r="O755" s="99">
        <v>375.5</v>
      </c>
      <c r="P755" s="101">
        <f>P754+R754*Tableau!$G$2+((1/2)*T754)*Tableau!$G$2^2</f>
        <v>-25511295.642798014</v>
      </c>
      <c r="Q755" s="101">
        <f>Q754+S754*Tableau!$G$2+((1/2)*U754)*Tableau!$G$2^2</f>
        <v>12529487.897966804</v>
      </c>
      <c r="R755" s="101">
        <f>R754+T754*Tableau!$G$2</f>
        <v>-68697.954966237128</v>
      </c>
      <c r="S755" s="101">
        <f>S754+U754*Tableau!$G$2</f>
        <v>33800.606303413238</v>
      </c>
      <c r="T755" s="101">
        <f t="shared" si="22"/>
        <v>1.362753339372164E-3</v>
      </c>
      <c r="U755" s="101">
        <f t="shared" si="23"/>
        <v>-6.6929790230497381E-4</v>
      </c>
      <c r="V755" s="101">
        <f>((Tableau!$G$16-P755)/(AC755^2+Tableau!$G$21^2)^(3/2))*Tableau!$G$20</f>
        <v>5.813434927240675E-4</v>
      </c>
      <c r="W755" s="101">
        <f>((Tableau!$H$16-Q755)/(AC755^2+Tableau!$G$21^2)^(3/2))*Tableau!$G$20</f>
        <v>-2.851236491206423E-4</v>
      </c>
      <c r="X755" s="101">
        <f>((Tableau!$G$25-P755)/(AD755^2+Tableau!$G$30^2)^(3/2))*Tableau!$G$29</f>
        <v>1.9986777258276163E-4</v>
      </c>
      <c r="Y755" s="101">
        <f>((Tableau!$H$25-Q755)/(AD755^2+Tableau!$G$30^2)^(3/2))*Tableau!$G$29</f>
        <v>-9.8160650408148924E-5</v>
      </c>
      <c r="Z755" s="101">
        <f>((Tableau!$G$35-P755)/(AE755^2+Tableau!$G$40^2)^(3/2))*Tableau!$G$39</f>
        <v>5.8154207406533481E-4</v>
      </c>
      <c r="AA755" s="102">
        <f>((Tableau!$H$35-Q755)/(AE755^2+Tableau!$G$40^2)^(3/2))*Tableau!$G$39</f>
        <v>-2.8601360277618259E-4</v>
      </c>
      <c r="AC755" s="113">
        <f>SQRT((Tableau!$G$16-P755)^2+(Tableau!$H$16-Q755)^2)</f>
        <v>28436723.406834058</v>
      </c>
      <c r="AD755" s="114">
        <f>SQRT((Tableau!$G$25-P755)^2+(Tableau!$H$25-Q755)^2)</f>
        <v>28399713.568553299</v>
      </c>
      <c r="AE755" s="115">
        <f>SQRT((Tableau!$G$35-P755)^2+(Tableau!$H$35-Q755)^2)</f>
        <v>28424202.610452462</v>
      </c>
    </row>
    <row r="756" spans="2:31" x14ac:dyDescent="0.25">
      <c r="B756" s="20">
        <v>753</v>
      </c>
      <c r="C756" s="21">
        <f>Tableau!$G$17*COS(B756*PI()/180)+Tableau!$G$16</f>
        <v>24193.352839727122</v>
      </c>
      <c r="D756" s="21">
        <f>Tableau!$G$17*SIN(B756*PI()/180)+Tableau!$H$16</f>
        <v>10223.195175075132</v>
      </c>
      <c r="F756" s="28">
        <v>753</v>
      </c>
      <c r="G756" s="29">
        <f>Tableau!$G$26*COS(F756*PI()/180)+Tableau!$G$25</f>
        <v>-17064.653012191015</v>
      </c>
      <c r="H756" s="29">
        <f>Tableau!$G$26*SIN(F756*PI()/180)+Tableau!$H$25</f>
        <v>11906.236622552593</v>
      </c>
      <c r="J756" s="36">
        <v>753</v>
      </c>
      <c r="K756" s="37">
        <f>Tableau!$G$36*COS(J756*PI()/180)+Tableau!$G$35</f>
        <v>-806.64716027287795</v>
      </c>
      <c r="L756" s="37">
        <f>Tableau!$G$36*SIN(J756*PI()/180)+Tableau!$H$35</f>
        <v>-12276.804824924868</v>
      </c>
      <c r="N756" s="92">
        <v>752</v>
      </c>
      <c r="O756" s="93">
        <v>376</v>
      </c>
      <c r="P756" s="96">
        <f>P755+R755*Tableau!$G$2+((1/2)*T755)*Tableau!$G$2^2</f>
        <v>-25545644.620110791</v>
      </c>
      <c r="Q756" s="96">
        <f>Q755+S755*Tableau!$G$2+((1/2)*U755)*Tableau!$G$2^2</f>
        <v>12546388.201034848</v>
      </c>
      <c r="R756" s="96">
        <f>R755+T755*Tableau!$G$2</f>
        <v>-68697.954284860461</v>
      </c>
      <c r="S756" s="96">
        <f>S755+U755*Tableau!$G$2</f>
        <v>33800.605968764285</v>
      </c>
      <c r="T756" s="96">
        <f t="shared" si="22"/>
        <v>1.359089640043375E-3</v>
      </c>
      <c r="U756" s="96">
        <f t="shared" si="23"/>
        <v>-6.6750013519392085E-4</v>
      </c>
      <c r="V756" s="96">
        <f>((Tableau!$G$16-P756)/(AC756^2+Tableau!$G$21^2)^(3/2))*Tableau!$G$20</f>
        <v>5.7978095998373488E-4</v>
      </c>
      <c r="W756" s="96">
        <f>((Tableau!$H$16-Q756)/(AC756^2+Tableau!$G$21^2)^(3/2))*Tableau!$G$20</f>
        <v>-2.8435851105455937E-4</v>
      </c>
      <c r="X756" s="96">
        <f>((Tableau!$G$25-P756)/(AD756^2+Tableau!$G$30^2)^(3/2))*Tableau!$G$29</f>
        <v>1.9932994092123924E-4</v>
      </c>
      <c r="Y756" s="96">
        <f>((Tableau!$H$25-Q756)/(AD756^2+Tableau!$G$30^2)^(3/2))*Tableau!$G$29</f>
        <v>-9.7896744888049408E-5</v>
      </c>
      <c r="Z756" s="96">
        <f>((Tableau!$G$35-P756)/(AE756^2+Tableau!$G$40^2)^(3/2))*Tableau!$G$39</f>
        <v>5.7997873913840086E-4</v>
      </c>
      <c r="AA756" s="97">
        <f>((Tableau!$H$35-Q756)/(AE756^2+Tableau!$G$40^2)^(3/2))*Tableau!$G$39</f>
        <v>-2.8524487925131204E-4</v>
      </c>
      <c r="AC756" s="110">
        <f>SQRT((Tableau!$G$16-P756)^2+(Tableau!$H$16-Q756)^2)</f>
        <v>28475004.866722159</v>
      </c>
      <c r="AD756" s="111">
        <f>SQRT((Tableau!$G$25-P756)^2+(Tableau!$H$25-Q756)^2)</f>
        <v>28437995.048864409</v>
      </c>
      <c r="AE756" s="112">
        <f>SQRT((Tableau!$G$35-P756)^2+(Tableau!$H$35-Q756)^2)</f>
        <v>28462484.100090276</v>
      </c>
    </row>
    <row r="757" spans="2:31" x14ac:dyDescent="0.25">
      <c r="B757" s="18">
        <v>754</v>
      </c>
      <c r="C757" s="19">
        <f>Tableau!$G$17*COS(B757*PI()/180)+Tableau!$G$16</f>
        <v>24145.187862775208</v>
      </c>
      <c r="D757" s="19">
        <f>Tableau!$G$17*SIN(B757*PI()/180)+Tableau!$H$16</f>
        <v>10295.964517353734</v>
      </c>
      <c r="F757" s="26">
        <v>754</v>
      </c>
      <c r="G757" s="27">
        <f>Tableau!$G$26*COS(F757*PI()/180)+Tableau!$G$25</f>
        <v>-17098.368496057356</v>
      </c>
      <c r="H757" s="27">
        <f>Tableau!$G$26*SIN(F757*PI()/180)+Tableau!$H$25</f>
        <v>11957.175162147614</v>
      </c>
      <c r="J757" s="34">
        <v>754</v>
      </c>
      <c r="K757" s="35">
        <f>Tableau!$G$36*COS(J757*PI()/180)+Tableau!$G$35</f>
        <v>-854.81213722479151</v>
      </c>
      <c r="L757" s="35">
        <f>Tableau!$G$36*SIN(J757*PI()/180)+Tableau!$H$35</f>
        <v>-12204.035482646266</v>
      </c>
      <c r="N757" s="98">
        <v>753</v>
      </c>
      <c r="O757" s="99">
        <v>376.5</v>
      </c>
      <c r="P757" s="101">
        <f>P756+R756*Tableau!$G$2+((1/2)*T756)*Tableau!$G$2^2</f>
        <v>-25579993.597083338</v>
      </c>
      <c r="Q757" s="101">
        <f>Q756+S756*Tableau!$G$2+((1/2)*U756)*Tableau!$G$2^2</f>
        <v>12563288.503935793</v>
      </c>
      <c r="R757" s="101">
        <f>R756+T756*Tableau!$G$2</f>
        <v>-68697.953605315648</v>
      </c>
      <c r="S757" s="101">
        <f>S756+U756*Tableau!$G$2</f>
        <v>33800.605635014217</v>
      </c>
      <c r="T757" s="101">
        <f t="shared" si="22"/>
        <v>1.355440695440083E-3</v>
      </c>
      <c r="U757" s="101">
        <f t="shared" si="23"/>
        <v>-6.6570960171735043E-4</v>
      </c>
      <c r="V757" s="101">
        <f>((Tableau!$G$16-P757)/(AC757^2+Tableau!$G$21^2)^(3/2))*Tableau!$G$20</f>
        <v>5.7822471845154816E-4</v>
      </c>
      <c r="W757" s="101">
        <f>((Tableau!$H$16-Q757)/(AC757^2+Tableau!$G$21^2)^(3/2))*Tableau!$G$20</f>
        <v>-2.8359644876835494E-4</v>
      </c>
      <c r="X757" s="101">
        <f>((Tableau!$G$25-P757)/(AD757^2+Tableau!$G$30^2)^(3/2))*Tableau!$G$29</f>
        <v>1.9879427725409118E-4</v>
      </c>
      <c r="Y757" s="101">
        <f>((Tableau!$H$25-Q757)/(AD757^2+Tableau!$G$30^2)^(3/2))*Tableau!$G$29</f>
        <v>-9.7633902208284296E-5</v>
      </c>
      <c r="Z757" s="101">
        <f>((Tableau!$G$35-P757)/(AE757^2+Tableau!$G$40^2)^(3/2))*Tableau!$G$39</f>
        <v>5.7842169973444364E-4</v>
      </c>
      <c r="AA757" s="102">
        <f>((Tableau!$H$35-Q757)/(AE757^2+Tableau!$G$40^2)^(3/2))*Tableau!$G$39</f>
        <v>-2.8447925074071121E-4</v>
      </c>
      <c r="AC757" s="113">
        <f>SQRT((Tableau!$G$16-P757)^2+(Tableau!$H$16-Q757)^2)</f>
        <v>28513286.326312408</v>
      </c>
      <c r="AD757" s="114">
        <f>SQRT((Tableau!$G$25-P757)^2+(Tableau!$H$25-Q757)^2)</f>
        <v>28476276.528822862</v>
      </c>
      <c r="AE757" s="115">
        <f>SQRT((Tableau!$G$35-P757)^2+(Tableau!$H$35-Q757)^2)</f>
        <v>28500765.589350354</v>
      </c>
    </row>
    <row r="758" spans="2:31" x14ac:dyDescent="0.25">
      <c r="B758" s="20">
        <v>755</v>
      </c>
      <c r="C758" s="21">
        <f>Tableau!$G$17*COS(B758*PI()/180)+Tableau!$G$16</f>
        <v>24095.760221444962</v>
      </c>
      <c r="D758" s="21">
        <f>Tableau!$G$17*SIN(B758*PI()/180)+Tableau!$H$16</f>
        <v>10367.882181755225</v>
      </c>
      <c r="F758" s="28">
        <v>755</v>
      </c>
      <c r="G758" s="29">
        <f>Tableau!$G$26*COS(F758*PI()/180)+Tableau!$G$25</f>
        <v>-17132.967844988525</v>
      </c>
      <c r="H758" s="29">
        <f>Tableau!$G$26*SIN(F758*PI()/180)+Tableau!$H$25</f>
        <v>12007.517527228658</v>
      </c>
      <c r="J758" s="36">
        <v>755</v>
      </c>
      <c r="K758" s="37">
        <f>Tableau!$G$36*COS(J758*PI()/180)+Tableau!$G$35</f>
        <v>-904.2397785550379</v>
      </c>
      <c r="L758" s="37">
        <f>Tableau!$G$36*SIN(J758*PI()/180)+Tableau!$H$35</f>
        <v>-12132.117818244775</v>
      </c>
      <c r="N758" s="92">
        <v>754</v>
      </c>
      <c r="O758" s="93">
        <v>377</v>
      </c>
      <c r="P758" s="96">
        <f>P757+R757*Tableau!$G$2+((1/2)*T757)*Tableau!$G$2^2</f>
        <v>-25614342.573716566</v>
      </c>
      <c r="Q758" s="96">
        <f>Q757+S757*Tableau!$G$2+((1/2)*U757)*Tableau!$G$2^2</f>
        <v>12580188.806670086</v>
      </c>
      <c r="R758" s="96">
        <f>R757+T757*Tableau!$G$2</f>
        <v>-68697.952927595295</v>
      </c>
      <c r="S758" s="96">
        <f>S757+U757*Tableau!$G$2</f>
        <v>33800.60530215942</v>
      </c>
      <c r="T758" s="96">
        <f t="shared" si="22"/>
        <v>1.3518064264399288E-3</v>
      </c>
      <c r="U758" s="96">
        <f t="shared" si="23"/>
        <v>-6.6392626311944562E-4</v>
      </c>
      <c r="V758" s="96">
        <f>((Tableau!$G$16-P758)/(AC758^2+Tableau!$G$21^2)^(3/2))*Tableau!$G$20</f>
        <v>5.7667473439910913E-4</v>
      </c>
      <c r="W758" s="96">
        <f>((Tableau!$H$16-Q758)/(AC758^2+Tableau!$G$21^2)^(3/2))*Tableau!$G$20</f>
        <v>-2.8283744579831995E-4</v>
      </c>
      <c r="X758" s="96">
        <f>((Tableau!$G$25-P758)/(AD758^2+Tableau!$G$30^2)^(3/2))*Tableau!$G$29</f>
        <v>1.9826076994471325E-4</v>
      </c>
      <c r="Y758" s="96">
        <f>((Tableau!$H$25-Q758)/(AD758^2+Tableau!$G$30^2)^(3/2))*Tableau!$G$29</f>
        <v>-9.7372116669255707E-5</v>
      </c>
      <c r="Z758" s="96">
        <f>((Tableau!$G$35-P758)/(AE758^2+Tableau!$G$40^2)^(3/2))*Tableau!$G$39</f>
        <v>5.7687092209610645E-4</v>
      </c>
      <c r="AA758" s="97">
        <f>((Tableau!$H$35-Q758)/(AE758^2+Tableau!$G$40^2)^(3/2))*Tableau!$G$39</f>
        <v>-2.8371670065186996E-4</v>
      </c>
      <c r="AC758" s="110">
        <f>SQRT((Tableau!$G$16-P758)^2+(Tableau!$H$16-Q758)^2)</f>
        <v>28551567.785605483</v>
      </c>
      <c r="AD758" s="111">
        <f>SQRT((Tableau!$G$25-P758)^2+(Tableau!$H$25-Q758)^2)</f>
        <v>28514558.008429557</v>
      </c>
      <c r="AE758" s="112">
        <f>SQRT((Tableau!$G$35-P758)^2+(Tableau!$H$35-Q758)^2)</f>
        <v>28539047.078233697</v>
      </c>
    </row>
    <row r="759" spans="2:31" x14ac:dyDescent="0.25">
      <c r="B759" s="18">
        <v>756</v>
      </c>
      <c r="C759" s="19">
        <f>Tableau!$G$17*COS(B759*PI()/180)+Tableau!$G$16</f>
        <v>24045.084971874738</v>
      </c>
      <c r="D759" s="19">
        <f>Tableau!$G$17*SIN(B759*PI()/180)+Tableau!$H$16</f>
        <v>10438.926261462364</v>
      </c>
      <c r="F759" s="26">
        <v>756</v>
      </c>
      <c r="G759" s="27">
        <f>Tableau!$G$26*COS(F759*PI()/180)+Tableau!$G$25</f>
        <v>-17168.440519687683</v>
      </c>
      <c r="H759" s="27">
        <f>Tableau!$G$26*SIN(F759*PI()/180)+Tableau!$H$25</f>
        <v>12057.248383023654</v>
      </c>
      <c r="J759" s="34">
        <v>756</v>
      </c>
      <c r="K759" s="35">
        <f>Tableau!$G$36*COS(J759*PI()/180)+Tableau!$G$35</f>
        <v>-954.91502812526141</v>
      </c>
      <c r="L759" s="35">
        <f>Tableau!$G$36*SIN(J759*PI()/180)+Tableau!$H$35</f>
        <v>-12061.073738537636</v>
      </c>
      <c r="N759" s="98">
        <v>755</v>
      </c>
      <c r="O759" s="99">
        <v>377.5</v>
      </c>
      <c r="P759" s="101">
        <f>P758+R758*Tableau!$G$2+((1/2)*T758)*Tableau!$G$2^2</f>
        <v>-25648691.550011389</v>
      </c>
      <c r="Q759" s="101">
        <f>Q758+S758*Tableau!$G$2+((1/2)*U758)*Tableau!$G$2^2</f>
        <v>12597089.109238176</v>
      </c>
      <c r="R759" s="101">
        <f>R758+T758*Tableau!$G$2</f>
        <v>-68697.952251692084</v>
      </c>
      <c r="S759" s="101">
        <f>S758+U758*Tableau!$G$2</f>
        <v>33800.604970196291</v>
      </c>
      <c r="T759" s="101">
        <f t="shared" si="22"/>
        <v>1.348186754450239E-3</v>
      </c>
      <c r="U759" s="101">
        <f t="shared" si="23"/>
        <v>-6.6215008090360946E-4</v>
      </c>
      <c r="V759" s="101">
        <f>((Tableau!$G$16-P759)/(AC759^2+Tableau!$G$21^2)^(3/2))*Tableau!$G$20</f>
        <v>5.7513097432377702E-4</v>
      </c>
      <c r="W759" s="101">
        <f>((Tableau!$H$16-Q759)/(AC759^2+Tableau!$G$21^2)^(3/2))*Tableau!$G$20</f>
        <v>-2.8208148579076872E-4</v>
      </c>
      <c r="X759" s="101">
        <f>((Tableau!$G$25-P759)/(AD759^2+Tableau!$G$30^2)^(3/2))*Tableau!$G$29</f>
        <v>1.9772940743447586E-4</v>
      </c>
      <c r="Y759" s="101">
        <f>((Tableau!$H$25-Q759)/(AD759^2+Tableau!$G$30^2)^(3/2))*Tableau!$G$29</f>
        <v>-9.7111382609523151E-5</v>
      </c>
      <c r="Z759" s="101">
        <f>((Tableau!$G$35-P759)/(AE759^2+Tableau!$G$40^2)^(3/2))*Tableau!$G$39</f>
        <v>5.7532637269198613E-4</v>
      </c>
      <c r="AA759" s="102">
        <f>((Tableau!$H$35-Q759)/(AE759^2+Tableau!$G$40^2)^(3/2))*Tableau!$G$39</f>
        <v>-2.8295721250331759E-4</v>
      </c>
      <c r="AC759" s="113">
        <f>SQRT((Tableau!$G$16-P759)^2+(Tableau!$H$16-Q759)^2)</f>
        <v>28589849.244602088</v>
      </c>
      <c r="AD759" s="114">
        <f>SQRT((Tableau!$G$25-P759)^2+(Tableau!$H$25-Q759)^2)</f>
        <v>28552839.487685412</v>
      </c>
      <c r="AE759" s="115">
        <f>SQRT((Tableau!$G$35-P759)^2+(Tableau!$H$35-Q759)^2)</f>
        <v>28577328.566741325</v>
      </c>
    </row>
    <row r="760" spans="2:31" x14ac:dyDescent="0.25">
      <c r="B760" s="20">
        <v>757</v>
      </c>
      <c r="C760" s="21">
        <f>Tableau!$G$17*COS(B760*PI()/180)+Tableau!$G$16</f>
        <v>23993.177550236462</v>
      </c>
      <c r="D760" s="21">
        <f>Tableau!$G$17*SIN(B760*PI()/180)+Tableau!$H$16</f>
        <v>10509.075115760243</v>
      </c>
      <c r="F760" s="28">
        <v>757</v>
      </c>
      <c r="G760" s="29">
        <f>Tableau!$G$26*COS(F760*PI()/180)+Tableau!$G$25</f>
        <v>-17204.775714834475</v>
      </c>
      <c r="H760" s="29">
        <f>Tableau!$G$26*SIN(F760*PI()/180)+Tableau!$H$25</f>
        <v>12106.35258103217</v>
      </c>
      <c r="J760" s="36">
        <v>757</v>
      </c>
      <c r="K760" s="37">
        <f>Tableau!$G$36*COS(J760*PI()/180)+Tableau!$G$35</f>
        <v>-1006.8224497635365</v>
      </c>
      <c r="L760" s="37">
        <f>Tableau!$G$36*SIN(J760*PI()/180)+Tableau!$H$35</f>
        <v>-11990.924884239757</v>
      </c>
      <c r="N760" s="92">
        <v>756</v>
      </c>
      <c r="O760" s="93">
        <v>378</v>
      </c>
      <c r="P760" s="96">
        <f>P759+R759*Tableau!$G$2+((1/2)*T759)*Tableau!$G$2^2</f>
        <v>-25683040.525968712</v>
      </c>
      <c r="Q760" s="96">
        <f>Q759+S759*Tableau!$G$2+((1/2)*U759)*Tableau!$G$2^2</f>
        <v>12613989.411640506</v>
      </c>
      <c r="R760" s="96">
        <f>R759+T759*Tableau!$G$2</f>
        <v>-68697.951577598709</v>
      </c>
      <c r="S760" s="96">
        <f>S759+U759*Tableau!$G$2</f>
        <v>33800.604639121251</v>
      </c>
      <c r="T760" s="96">
        <f t="shared" si="22"/>
        <v>1.344581601403727E-3</v>
      </c>
      <c r="U760" s="96">
        <f t="shared" si="23"/>
        <v>-6.6038101683036363E-4</v>
      </c>
      <c r="V760" s="96">
        <f>((Tableau!$G$16-P760)/(AC760^2+Tableau!$G$21^2)^(3/2))*Tableau!$G$20</f>
        <v>5.735934049467986E-4</v>
      </c>
      <c r="W760" s="96">
        <f>((Tableau!$H$16-Q760)/(AC760^2+Tableau!$G$21^2)^(3/2))*Tableau!$G$20</f>
        <v>-2.8132855250112923E-4</v>
      </c>
      <c r="X760" s="96">
        <f>((Tableau!$G$25-P760)/(AD760^2+Tableau!$G$30^2)^(3/2))*Tableau!$G$29</f>
        <v>1.9720017824208997E-4</v>
      </c>
      <c r="Y760" s="96">
        <f>((Tableau!$H$25-Q760)/(AD760^2+Tableau!$G$30^2)^(3/2))*Tableau!$G$29</f>
        <v>-9.685169440549373E-5</v>
      </c>
      <c r="Z760" s="96">
        <f>((Tableau!$G$35-P760)/(AE760^2+Tableau!$G$40^2)^(3/2))*Tableau!$G$39</f>
        <v>5.7378801821483848E-4</v>
      </c>
      <c r="AA760" s="97">
        <f>((Tableau!$H$35-Q760)/(AE760^2+Tableau!$G$40^2)^(3/2))*Tableau!$G$39</f>
        <v>-2.8220076992374068E-4</v>
      </c>
      <c r="AC760" s="110">
        <f>SQRT((Tableau!$G$16-P760)^2+(Tableau!$H$16-Q760)^2)</f>
        <v>28628130.703302901</v>
      </c>
      <c r="AD760" s="111">
        <f>SQRT((Tableau!$G$25-P760)^2+(Tableau!$H$25-Q760)^2)</f>
        <v>28591120.966591332</v>
      </c>
      <c r="AE760" s="112">
        <f>SQRT((Tableau!$G$35-P760)^2+(Tableau!$H$35-Q760)^2)</f>
        <v>28615610.054874238</v>
      </c>
    </row>
    <row r="761" spans="2:31" x14ac:dyDescent="0.25">
      <c r="B761" s="18">
        <v>758</v>
      </c>
      <c r="C761" s="19">
        <f>Tableau!$G$17*COS(B761*PI()/180)+Tableau!$G$16</f>
        <v>23940.053768033613</v>
      </c>
      <c r="D761" s="19">
        <f>Tableau!$G$17*SIN(B761*PI()/180)+Tableau!$H$16</f>
        <v>10578.307376628287</v>
      </c>
      <c r="F761" s="26">
        <v>758</v>
      </c>
      <c r="G761" s="27">
        <f>Tableau!$G$26*COS(F761*PI()/180)+Tableau!$G$25</f>
        <v>-17241.962362376471</v>
      </c>
      <c r="H761" s="27">
        <f>Tableau!$G$26*SIN(F761*PI()/180)+Tableau!$H$25</f>
        <v>12154.815163639802</v>
      </c>
      <c r="J761" s="34">
        <v>758</v>
      </c>
      <c r="K761" s="35">
        <f>Tableau!$G$36*COS(J761*PI()/180)+Tableau!$G$35</f>
        <v>-1059.9462319663871</v>
      </c>
      <c r="L761" s="35">
        <f>Tableau!$G$36*SIN(J761*PI()/180)+Tableau!$H$35</f>
        <v>-11921.692623371713</v>
      </c>
      <c r="N761" s="98">
        <v>757</v>
      </c>
      <c r="O761" s="99">
        <v>378.5</v>
      </c>
      <c r="P761" s="101">
        <f>P760+R760*Tableau!$G$2+((1/2)*T760)*Tableau!$G$2^2</f>
        <v>-25717389.501589436</v>
      </c>
      <c r="Q761" s="101">
        <f>Q760+S760*Tableau!$G$2+((1/2)*U760)*Tableau!$G$2^2</f>
        <v>12630889.71387752</v>
      </c>
      <c r="R761" s="101">
        <f>R760+T760*Tableau!$G$2</f>
        <v>-68697.950905307909</v>
      </c>
      <c r="S761" s="101">
        <f>S760+U760*Tableau!$G$2</f>
        <v>33800.604308930742</v>
      </c>
      <c r="T761" s="101">
        <f t="shared" si="22"/>
        <v>1.3409908897543104E-3</v>
      </c>
      <c r="U761" s="101">
        <f t="shared" si="23"/>
        <v>-6.5861903291530215E-4</v>
      </c>
      <c r="V761" s="101">
        <f>((Tableau!$G$16-P761)/(AC761^2+Tableau!$G$21^2)^(3/2))*Tableau!$G$20</f>
        <v>5.7206199321155251E-4</v>
      </c>
      <c r="W761" s="101">
        <f>((Tableau!$H$16-Q761)/(AC761^2+Tableau!$G$21^2)^(3/2))*Tableau!$G$20</f>
        <v>-2.8057862979308836E-4</v>
      </c>
      <c r="X761" s="101">
        <f>((Tableau!$G$25-P761)/(AD761^2+Tableau!$G$30^2)^(3/2))*Tableau!$G$29</f>
        <v>1.9667307096299253E-4</v>
      </c>
      <c r="Y761" s="101">
        <f>((Tableau!$H$25-Q761)/(AD761^2+Tableau!$G$30^2)^(3/2))*Tableau!$G$29</f>
        <v>-9.6593046471121427E-5</v>
      </c>
      <c r="Z761" s="101">
        <f>((Tableau!$G$35-P761)/(AE761^2+Tableau!$G$40^2)^(3/2))*Tableau!$G$39</f>
        <v>5.7225582557976539E-4</v>
      </c>
      <c r="AA761" s="102">
        <f>((Tableau!$H$35-Q761)/(AE761^2+Tableau!$G$40^2)^(3/2))*Tableau!$G$39</f>
        <v>-2.8144735665109233E-4</v>
      </c>
      <c r="AC761" s="113">
        <f>SQRT((Tableau!$G$16-P761)^2+(Tableau!$H$16-Q761)^2)</f>
        <v>28666412.161708601</v>
      </c>
      <c r="AD761" s="114">
        <f>SQRT((Tableau!$G$25-P761)^2+(Tableau!$H$25-Q761)^2)</f>
        <v>28629402.445148211</v>
      </c>
      <c r="AE761" s="115">
        <f>SQRT((Tableau!$G$35-P761)^2+(Tableau!$H$35-Q761)^2)</f>
        <v>28653891.542633433</v>
      </c>
    </row>
    <row r="762" spans="2:31" x14ac:dyDescent="0.25">
      <c r="B762" s="20">
        <v>759</v>
      </c>
      <c r="C762" s="21">
        <f>Tableau!$G$17*COS(B762*PI()/180)+Tableau!$G$16</f>
        <v>23885.729807284857</v>
      </c>
      <c r="D762" s="21">
        <f>Tableau!$G$17*SIN(B762*PI()/180)+Tableau!$H$16</f>
        <v>10646.601955249185</v>
      </c>
      <c r="F762" s="28">
        <v>759</v>
      </c>
      <c r="G762" s="29">
        <f>Tableau!$G$26*COS(F762*PI()/180)+Tableau!$G$25</f>
        <v>-17279.989134900603</v>
      </c>
      <c r="H762" s="29">
        <f>Tableau!$G$26*SIN(F762*PI()/180)+Tableau!$H$25</f>
        <v>12202.62136867443</v>
      </c>
      <c r="J762" s="36">
        <v>759</v>
      </c>
      <c r="K762" s="37">
        <f>Tableau!$G$36*COS(J762*PI()/180)+Tableau!$G$35</f>
        <v>-1114.2701927151447</v>
      </c>
      <c r="L762" s="37">
        <f>Tableau!$G$36*SIN(J762*PI()/180)+Tableau!$H$35</f>
        <v>-11853.398044750815</v>
      </c>
      <c r="N762" s="92">
        <v>758</v>
      </c>
      <c r="O762" s="93">
        <v>379</v>
      </c>
      <c r="P762" s="96">
        <f>P761+R761*Tableau!$G$2+((1/2)*T761)*Tableau!$G$2^2</f>
        <v>-25751738.476874467</v>
      </c>
      <c r="Q762" s="96">
        <f>Q761+S761*Tableau!$G$2+((1/2)*U761)*Tableau!$G$2^2</f>
        <v>12647790.015949657</v>
      </c>
      <c r="R762" s="96">
        <f>R761+T761*Tableau!$G$2</f>
        <v>-68697.950234812466</v>
      </c>
      <c r="S762" s="96">
        <f>S761+U761*Tableau!$G$2</f>
        <v>33800.603979621228</v>
      </c>
      <c r="T762" s="96">
        <f t="shared" si="22"/>
        <v>1.3374145424729297E-3</v>
      </c>
      <c r="U762" s="96">
        <f t="shared" si="23"/>
        <v>-6.5686409142704774E-4</v>
      </c>
      <c r="V762" s="96">
        <f>((Tableau!$G$16-P762)/(AC762^2+Tableau!$G$21^2)^(3/2))*Tableau!$G$20</f>
        <v>5.7053670628177348E-4</v>
      </c>
      <c r="W762" s="96">
        <f>((Tableau!$H$16-Q762)/(AC762^2+Tableau!$G$21^2)^(3/2))*Tableau!$G$20</f>
        <v>-2.7983170163772852E-4</v>
      </c>
      <c r="X762" s="96">
        <f>((Tableau!$G$25-P762)/(AD762^2+Tableau!$G$30^2)^(3/2))*Tableau!$G$29</f>
        <v>1.96148074268722E-4</v>
      </c>
      <c r="Y762" s="96">
        <f>((Tableau!$H$25-Q762)/(AD762^2+Tableau!$G$30^2)^(3/2))*Tableau!$G$29</f>
        <v>-9.6335433257601892E-5</v>
      </c>
      <c r="Z762" s="96">
        <f>((Tableau!$G$35-P762)/(AE762^2+Tableau!$G$40^2)^(3/2))*Tableau!$G$39</f>
        <v>5.7072976192243429E-4</v>
      </c>
      <c r="AA762" s="97">
        <f>((Tableau!$H$35-Q762)/(AE762^2+Tableau!$G$40^2)^(3/2))*Tableau!$G$39</f>
        <v>-2.8069695653171732E-4</v>
      </c>
      <c r="AC762" s="110">
        <f>SQRT((Tableau!$G$16-P762)^2+(Tableau!$H$16-Q762)^2)</f>
        <v>28704693.619819887</v>
      </c>
      <c r="AD762" s="111">
        <f>SQRT((Tableau!$G$25-P762)^2+(Tableau!$H$25-Q762)^2)</f>
        <v>28667683.923356954</v>
      </c>
      <c r="AE762" s="112">
        <f>SQRT((Tableau!$G$35-P762)^2+(Tableau!$H$35-Q762)^2)</f>
        <v>28692173.03001992</v>
      </c>
    </row>
    <row r="763" spans="2:31" x14ac:dyDescent="0.25">
      <c r="B763" s="18">
        <v>760</v>
      </c>
      <c r="C763" s="19">
        <f>Tableau!$G$17*COS(B763*PI()/180)+Tableau!$G$16</f>
        <v>23830.222215594888</v>
      </c>
      <c r="D763" s="19">
        <f>Tableau!$G$17*SIN(B763*PI()/180)+Tableau!$H$16</f>
        <v>10713.938048432698</v>
      </c>
      <c r="F763" s="26">
        <v>760</v>
      </c>
      <c r="G763" s="27">
        <f>Tableau!$G$26*COS(F763*PI()/180)+Tableau!$G$25</f>
        <v>-17318.844449083579</v>
      </c>
      <c r="H763" s="27">
        <f>Tableau!$G$26*SIN(F763*PI()/180)+Tableau!$H$25</f>
        <v>12249.756633902889</v>
      </c>
      <c r="J763" s="34">
        <v>760</v>
      </c>
      <c r="K763" s="35">
        <f>Tableau!$G$36*COS(J763*PI()/180)+Tableau!$G$35</f>
        <v>-1169.7777844051116</v>
      </c>
      <c r="L763" s="35">
        <f>Tableau!$G$36*SIN(J763*PI()/180)+Tableau!$H$35</f>
        <v>-11786.061951567302</v>
      </c>
      <c r="N763" s="98">
        <v>759</v>
      </c>
      <c r="O763" s="99">
        <v>379.5</v>
      </c>
      <c r="P763" s="101">
        <f>P762+R762*Tableau!$G$2+((1/2)*T762)*Tableau!$G$2^2</f>
        <v>-25786087.451824699</v>
      </c>
      <c r="Q763" s="101">
        <f>Q762+S762*Tableau!$G$2+((1/2)*U762)*Tableau!$G$2^2</f>
        <v>12664690.31785736</v>
      </c>
      <c r="R763" s="101">
        <f>R762+T762*Tableau!$G$2</f>
        <v>-68697.949566105191</v>
      </c>
      <c r="S763" s="101">
        <f>S762+U762*Tableau!$G$2</f>
        <v>33800.60365118918</v>
      </c>
      <c r="T763" s="101">
        <f t="shared" si="22"/>
        <v>1.3338524830434379E-3</v>
      </c>
      <c r="U763" s="101">
        <f t="shared" si="23"/>
        <v>-6.5511615488524186E-4</v>
      </c>
      <c r="V763" s="101">
        <f>((Tableau!$G$16-P763)/(AC763^2+Tableau!$G$21^2)^(3/2))*Tableau!$G$20</f>
        <v>5.6901751153977257E-4</v>
      </c>
      <c r="W763" s="101">
        <f>((Tableau!$H$16-Q763)/(AC763^2+Tableau!$G$21^2)^(3/2))*Tableau!$G$20</f>
        <v>-2.790877521126608E-4</v>
      </c>
      <c r="X763" s="101">
        <f>((Tableau!$G$25-P763)/(AD763^2+Tableau!$G$30^2)^(3/2))*Tableau!$G$29</f>
        <v>1.9562517690632422E-4</v>
      </c>
      <c r="Y763" s="101">
        <f>((Tableau!$H$25-Q763)/(AD763^2+Tableau!$G$30^2)^(3/2))*Tableau!$G$29</f>
        <v>-9.6078849253082053E-5</v>
      </c>
      <c r="Z763" s="101">
        <f>((Tableau!$G$35-P763)/(AE763^2+Tableau!$G$40^2)^(3/2))*Tableau!$G$39</f>
        <v>5.6920979459734104E-4</v>
      </c>
      <c r="AA763" s="102">
        <f>((Tableau!$H$35-Q763)/(AE763^2+Tableau!$G$40^2)^(3/2))*Tableau!$G$39</f>
        <v>-2.7994955351949894E-4</v>
      </c>
      <c r="AC763" s="113">
        <f>SQRT((Tableau!$G$16-P763)^2+(Tableau!$H$16-Q763)^2)</f>
        <v>28742975.077637427</v>
      </c>
      <c r="AD763" s="114">
        <f>SQRT((Tableau!$G$25-P763)^2+(Tableau!$H$25-Q763)^2)</f>
        <v>28705965.401218455</v>
      </c>
      <c r="AE763" s="115">
        <f>SQRT((Tableau!$G$35-P763)^2+(Tableau!$H$35-Q763)^2)</f>
        <v>28730454.51703468</v>
      </c>
    </row>
    <row r="764" spans="2:31" x14ac:dyDescent="0.25">
      <c r="B764" s="20">
        <v>761</v>
      </c>
      <c r="C764" s="21">
        <f>Tableau!$G$17*COS(B764*PI()/180)+Tableau!$G$16</f>
        <v>23773.547901113863</v>
      </c>
      <c r="D764" s="21">
        <f>Tableau!$G$17*SIN(B764*PI()/180)+Tableau!$H$16</f>
        <v>10780.295144952534</v>
      </c>
      <c r="F764" s="28">
        <v>761</v>
      </c>
      <c r="G764" s="29">
        <f>Tableau!$G$26*COS(F764*PI()/180)+Tableau!$G$25</f>
        <v>-17358.516469220296</v>
      </c>
      <c r="H764" s="29">
        <f>Tableau!$G$26*SIN(F764*PI()/180)+Tableau!$H$25</f>
        <v>12296.206601466774</v>
      </c>
      <c r="J764" s="36">
        <v>761</v>
      </c>
      <c r="K764" s="37">
        <f>Tableau!$G$36*COS(J764*PI()/180)+Tableau!$G$35</f>
        <v>-1226.4520988861382</v>
      </c>
      <c r="L764" s="37">
        <f>Tableau!$G$36*SIN(J764*PI()/180)+Tableau!$H$35</f>
        <v>-11719.704855047466</v>
      </c>
      <c r="N764" s="92">
        <v>760</v>
      </c>
      <c r="O764" s="93">
        <v>380</v>
      </c>
      <c r="P764" s="96">
        <f>P763+R763*Tableau!$G$2+((1/2)*T763)*Tableau!$G$2^2</f>
        <v>-25820436.426441018</v>
      </c>
      <c r="Q764" s="96">
        <f>Q763+S763*Tableau!$G$2+((1/2)*U763)*Tableau!$G$2^2</f>
        <v>12681590.619601065</v>
      </c>
      <c r="R764" s="96">
        <f>R763+T763*Tableau!$G$2</f>
        <v>-68697.948899178955</v>
      </c>
      <c r="S764" s="96">
        <f>S763+U763*Tableau!$G$2</f>
        <v>33800.603323631105</v>
      </c>
      <c r="T764" s="96">
        <f t="shared" si="22"/>
        <v>1.3303046354584884E-3</v>
      </c>
      <c r="U764" s="96">
        <f t="shared" si="23"/>
        <v>-6.5337518605853434E-4</v>
      </c>
      <c r="V764" s="96">
        <f>((Tableau!$G$16-P764)/(AC764^2+Tableau!$G$21^2)^(3/2))*Tableau!$G$20</f>
        <v>5.6750437658471332E-4</v>
      </c>
      <c r="W764" s="96">
        <f>((Tableau!$H$16-Q764)/(AC764^2+Tableau!$G$21^2)^(3/2))*Tableau!$G$20</f>
        <v>-2.7834676540118699E-4</v>
      </c>
      <c r="X764" s="96">
        <f>((Tableau!$G$25-P764)/(AD764^2+Tableau!$G$30^2)^(3/2))*Tableau!$G$29</f>
        <v>1.9510436769773563E-4</v>
      </c>
      <c r="Y764" s="96">
        <f>((Tableau!$H$25-Q764)/(AD764^2+Tableau!$G$30^2)^(3/2))*Tableau!$G$29</f>
        <v>-9.5823288982358395E-5</v>
      </c>
      <c r="Z764" s="96">
        <f>((Tableau!$G$35-P764)/(AE764^2+Tableau!$G$40^2)^(3/2))*Tableau!$G$39</f>
        <v>5.6769589117603944E-4</v>
      </c>
      <c r="AA764" s="97">
        <f>((Tableau!$H$35-Q764)/(AE764^2+Tableau!$G$40^2)^(3/2))*Tableau!$G$39</f>
        <v>-2.7920513167498893E-4</v>
      </c>
      <c r="AC764" s="110">
        <f>SQRT((Tableau!$G$16-P764)^2+(Tableau!$H$16-Q764)^2)</f>
        <v>28781256.535161901</v>
      </c>
      <c r="AD764" s="111">
        <f>SQRT((Tableau!$G$25-P764)^2+(Tableau!$H$25-Q764)^2)</f>
        <v>28744246.878733598</v>
      </c>
      <c r="AE764" s="112">
        <f>SQRT((Tableau!$G$35-P764)^2+(Tableau!$H$35-Q764)^2)</f>
        <v>28768736.003678706</v>
      </c>
    </row>
    <row r="765" spans="2:31" x14ac:dyDescent="0.25">
      <c r="B765" s="18">
        <v>762</v>
      </c>
      <c r="C765" s="19">
        <f>Tableau!$G$17*COS(B765*PI()/180)+Tableau!$G$16</f>
        <v>23715.724127386977</v>
      </c>
      <c r="D765" s="19">
        <f>Tableau!$G$17*SIN(B765*PI()/180)+Tableau!$H$16</f>
        <v>10845.653031794285</v>
      </c>
      <c r="F765" s="26">
        <v>762</v>
      </c>
      <c r="G765" s="27">
        <f>Tableau!$G$26*COS(F765*PI()/180)+Tableau!$G$25</f>
        <v>-17398.993110829117</v>
      </c>
      <c r="H765" s="27">
        <f>Tableau!$G$26*SIN(F765*PI()/180)+Tableau!$H$25</f>
        <v>12341.957122255999</v>
      </c>
      <c r="J765" s="34">
        <v>762</v>
      </c>
      <c r="K765" s="35">
        <f>Tableau!$G$36*COS(J765*PI()/180)+Tableau!$G$35</f>
        <v>-1284.2758726130232</v>
      </c>
      <c r="L765" s="35">
        <f>Tableau!$G$36*SIN(J765*PI()/180)+Tableau!$H$35</f>
        <v>-11654.346968205715</v>
      </c>
      <c r="N765" s="98">
        <v>761</v>
      </c>
      <c r="O765" s="99">
        <v>380.5</v>
      </c>
      <c r="P765" s="101">
        <f>P764+R764*Tableau!$G$2+((1/2)*T764)*Tableau!$G$2^2</f>
        <v>-25854785.400724318</v>
      </c>
      <c r="Q765" s="101">
        <f>Q764+S764*Tableau!$G$2+((1/2)*U764)*Tableau!$G$2^2</f>
        <v>12698490.921181209</v>
      </c>
      <c r="R765" s="101">
        <f>R764+T764*Tableau!$G$2</f>
        <v>-68697.94823402664</v>
      </c>
      <c r="S765" s="101">
        <f>S764+U764*Tableau!$G$2</f>
        <v>33800.602996943511</v>
      </c>
      <c r="T765" s="101">
        <f t="shared" si="22"/>
        <v>1.3267709242154781E-3</v>
      </c>
      <c r="U765" s="101">
        <f t="shared" si="23"/>
        <v>-6.5164114796259867E-4</v>
      </c>
      <c r="V765" s="101">
        <f>((Tableau!$G$16-P765)/(AC765^2+Tableau!$G$21^2)^(3/2))*Tableau!$G$20</f>
        <v>5.659972692308666E-4</v>
      </c>
      <c r="W765" s="101">
        <f>((Tableau!$H$16-Q765)/(AC765^2+Tableau!$G$21^2)^(3/2))*Tableau!$G$20</f>
        <v>-2.7760872579144972E-4</v>
      </c>
      <c r="X765" s="101">
        <f>((Tableau!$G$25-P765)/(AD765^2+Tableau!$G$30^2)^(3/2))*Tableau!$G$29</f>
        <v>1.9458563553919557E-4</v>
      </c>
      <c r="Y765" s="101">
        <f>((Tableau!$H$25-Q765)/(AD765^2+Tableau!$G$30^2)^(3/2))*Tableau!$G$29</f>
        <v>-9.5568747006589673E-5</v>
      </c>
      <c r="Z765" s="101">
        <f>((Tableau!$G$35-P765)/(AE765^2+Tableau!$G$40^2)^(3/2))*Tableau!$G$39</f>
        <v>5.6618801944541589E-4</v>
      </c>
      <c r="AA765" s="102">
        <f>((Tableau!$H$35-Q765)/(AE765^2+Tableau!$G$40^2)^(3/2))*Tableau!$G$39</f>
        <v>-2.784636751645593E-4</v>
      </c>
      <c r="AC765" s="113">
        <f>SQRT((Tableau!$G$16-P765)^2+(Tableau!$H$16-Q765)^2)</f>
        <v>28819537.992393982</v>
      </c>
      <c r="AD765" s="114">
        <f>SQRT((Tableau!$G$25-P765)^2+(Tableau!$H$25-Q765)^2)</f>
        <v>28782528.355903279</v>
      </c>
      <c r="AE765" s="115">
        <f>SQRT((Tableau!$G$35-P765)^2+(Tableau!$H$35-Q765)^2)</f>
        <v>28807017.489952985</v>
      </c>
    </row>
    <row r="766" spans="2:31" x14ac:dyDescent="0.25">
      <c r="B766" s="20">
        <v>763</v>
      </c>
      <c r="C766" s="21">
        <f>Tableau!$G$17*COS(B766*PI()/180)+Tableau!$G$16</f>
        <v>23656.768508095851</v>
      </c>
      <c r="D766" s="21">
        <f>Tableau!$G$17*SIN(B766*PI()/180)+Tableau!$H$16</f>
        <v>10909.991800312495</v>
      </c>
      <c r="F766" s="28">
        <v>763</v>
      </c>
      <c r="G766" s="29">
        <f>Tableau!$G$26*COS(F766*PI()/180)+Tableau!$G$25</f>
        <v>-17440.262044332907</v>
      </c>
      <c r="H766" s="29">
        <f>Tableau!$G$26*SIN(F766*PI()/180)+Tableau!$H$25</f>
        <v>12386.994260218748</v>
      </c>
      <c r="J766" s="36">
        <v>763</v>
      </c>
      <c r="K766" s="37">
        <f>Tableau!$G$36*COS(J766*PI()/180)+Tableau!$G$35</f>
        <v>-1343.2314919041501</v>
      </c>
      <c r="L766" s="37">
        <f>Tableau!$G$36*SIN(J766*PI()/180)+Tableau!$H$35</f>
        <v>-11590.008199687505</v>
      </c>
      <c r="N766" s="92">
        <v>762</v>
      </c>
      <c r="O766" s="93">
        <v>381</v>
      </c>
      <c r="P766" s="96">
        <f>P765+R765*Tableau!$G$2+((1/2)*T765)*Tableau!$G$2^2</f>
        <v>-25889134.374675486</v>
      </c>
      <c r="Q766" s="96">
        <f>Q765+S765*Tableau!$G$2+((1/2)*U765)*Tableau!$G$2^2</f>
        <v>12715391.222598225</v>
      </c>
      <c r="R766" s="96">
        <f>R765+T765*Tableau!$G$2</f>
        <v>-68697.947570641176</v>
      </c>
      <c r="S766" s="96">
        <f>S765+U765*Tableau!$G$2</f>
        <v>33800.602671122935</v>
      </c>
      <c r="T766" s="96">
        <f t="shared" si="22"/>
        <v>1.323251274312555E-3</v>
      </c>
      <c r="U766" s="96">
        <f t="shared" si="23"/>
        <v>-6.4991400385818105E-4</v>
      </c>
      <c r="V766" s="96">
        <f>((Tableau!$G$16-P766)/(AC766^2+Tableau!$G$21^2)^(3/2))*Tableau!$G$20</f>
        <v>5.6449615750592014E-4</v>
      </c>
      <c r="W766" s="96">
        <f>((Tableau!$H$16-Q766)/(AC766^2+Tableau!$G$21^2)^(3/2))*Tableau!$G$20</f>
        <v>-2.7687361767561011E-4</v>
      </c>
      <c r="X766" s="96">
        <f>((Tableau!$G$25-P766)/(AD766^2+Tableau!$G$30^2)^(3/2))*Tableau!$G$29</f>
        <v>1.9406896940065124E-4</v>
      </c>
      <c r="Y766" s="96">
        <f>((Tableau!$H$25-Q766)/(AD766^2+Tableau!$G$30^2)^(3/2))*Tableau!$G$29</f>
        <v>-9.5315217923005926E-5</v>
      </c>
      <c r="Z766" s="96">
        <f>((Tableau!$G$35-P766)/(AE766^2+Tableau!$G$40^2)^(3/2))*Tableau!$G$39</f>
        <v>5.6468614740598348E-4</v>
      </c>
      <c r="AA766" s="97">
        <f>((Tableau!$H$35-Q766)/(AE766^2+Tableau!$G$40^2)^(3/2))*Tableau!$G$39</f>
        <v>-2.7772516825956501E-4</v>
      </c>
      <c r="AC766" s="110">
        <f>SQRT((Tableau!$G$16-P766)^2+(Tableau!$H$16-Q766)^2)</f>
        <v>28857819.449334349</v>
      </c>
      <c r="AD766" s="111">
        <f>SQRT((Tableau!$G$25-P766)^2+(Tableau!$H$25-Q766)^2)</f>
        <v>28820809.832728378</v>
      </c>
      <c r="AE766" s="112">
        <f>SQRT((Tableau!$G$35-P766)^2+(Tableau!$H$35-Q766)^2)</f>
        <v>28845298.975858491</v>
      </c>
    </row>
    <row r="767" spans="2:31" x14ac:dyDescent="0.25">
      <c r="B767" s="18">
        <v>764</v>
      </c>
      <c r="C767" s="19">
        <f>Tableau!$G$17*COS(B767*PI()/180)+Tableau!$G$16</f>
        <v>23596.699001693258</v>
      </c>
      <c r="D767" s="19">
        <f>Tableau!$G$17*SIN(B767*PI()/180)+Tableau!$H$16</f>
        <v>10973.291852294986</v>
      </c>
      <c r="F767" s="26">
        <v>764</v>
      </c>
      <c r="G767" s="27">
        <f>Tableau!$G$26*COS(F767*PI()/180)+Tableau!$G$25</f>
        <v>-17482.310698814719</v>
      </c>
      <c r="H767" s="27">
        <f>Tableau!$G$26*SIN(F767*PI()/180)+Tableau!$H$25</f>
        <v>12431.30429660649</v>
      </c>
      <c r="J767" s="34">
        <v>764</v>
      </c>
      <c r="K767" s="35">
        <f>Tableau!$G$36*COS(J767*PI()/180)+Tableau!$G$35</f>
        <v>-1403.3009983067427</v>
      </c>
      <c r="L767" s="35">
        <f>Tableau!$G$36*SIN(J767*PI()/180)+Tableau!$H$35</f>
        <v>-11526.708147705014</v>
      </c>
      <c r="N767" s="98">
        <v>763</v>
      </c>
      <c r="O767" s="99">
        <v>381.5</v>
      </c>
      <c r="P767" s="101">
        <f>P766+R766*Tableau!$G$2+((1/2)*T766)*Tableau!$G$2^2</f>
        <v>-25923483.348295402</v>
      </c>
      <c r="Q767" s="101">
        <f>Q766+S766*Tableau!$G$2+((1/2)*U766)*Tableau!$G$2^2</f>
        <v>12732291.523852548</v>
      </c>
      <c r="R767" s="101">
        <f>R766+T766*Tableau!$G$2</f>
        <v>-68697.946909015533</v>
      </c>
      <c r="S767" s="101">
        <f>S766+U766*Tableau!$G$2</f>
        <v>33800.602346165935</v>
      </c>
      <c r="T767" s="101">
        <f t="shared" si="22"/>
        <v>1.3197456112446059E-3</v>
      </c>
      <c r="U767" s="101">
        <f t="shared" si="23"/>
        <v>-6.4819371724913761E-4</v>
      </c>
      <c r="V767" s="101">
        <f>((Tableau!$G$16-P767)/(AC767^2+Tableau!$G$21^2)^(3/2))*Tableau!$G$20</f>
        <v>5.6300100964925116E-4</v>
      </c>
      <c r="W767" s="101">
        <f>((Tableau!$H$16-Q767)/(AC767^2+Tableau!$G$21^2)^(3/2))*Tableau!$G$20</f>
        <v>-2.7614142554900699E-4</v>
      </c>
      <c r="X767" s="101">
        <f>((Tableau!$G$25-P767)/(AD767^2+Tableau!$G$30^2)^(3/2))*Tableau!$G$29</f>
        <v>1.9355435832516855E-4</v>
      </c>
      <c r="Y767" s="101">
        <f>((Tableau!$H$25-Q767)/(AD767^2+Tableau!$G$30^2)^(3/2))*Tableau!$G$29</f>
        <v>-9.5062696364620568E-5</v>
      </c>
      <c r="Z767" s="101">
        <f>((Tableau!$G$35-P767)/(AE767^2+Tableau!$G$40^2)^(3/2))*Tableau!$G$39</f>
        <v>5.631902432701862E-4</v>
      </c>
      <c r="AA767" s="102">
        <f>((Tableau!$H$35-Q767)/(AE767^2+Tableau!$G$40^2)^(3/2))*Tableau!$G$39</f>
        <v>-2.7698959533551006E-4</v>
      </c>
      <c r="AC767" s="113">
        <f>SQRT((Tableau!$G$16-P767)^2+(Tableau!$H$16-Q767)^2)</f>
        <v>28896100.905983672</v>
      </c>
      <c r="AD767" s="114">
        <f>SQRT((Tableau!$G$25-P767)^2+(Tableau!$H$25-Q767)^2)</f>
        <v>28859091.309209783</v>
      </c>
      <c r="AE767" s="115">
        <f>SQRT((Tableau!$G$35-P767)^2+(Tableau!$H$35-Q767)^2)</f>
        <v>28883580.46139621</v>
      </c>
    </row>
    <row r="768" spans="2:31" x14ac:dyDescent="0.25">
      <c r="B768" s="20">
        <v>765</v>
      </c>
      <c r="C768" s="21">
        <f>Tableau!$G$17*COS(B768*PI()/180)+Tableau!$G$16</f>
        <v>23535.533905932742</v>
      </c>
      <c r="D768" s="21">
        <f>Tableau!$G$17*SIN(B768*PI()/180)+Tableau!$H$16</f>
        <v>11035.533905932733</v>
      </c>
      <c r="F768" s="28">
        <v>765</v>
      </c>
      <c r="G768" s="29">
        <f>Tableau!$G$26*COS(F768*PI()/180)+Tableau!$G$25</f>
        <v>-17525.126265847081</v>
      </c>
      <c r="H768" s="29">
        <f>Tableau!$G$26*SIN(F768*PI()/180)+Tableau!$H$25</f>
        <v>12474.873734152912</v>
      </c>
      <c r="J768" s="36">
        <v>765</v>
      </c>
      <c r="K768" s="37">
        <f>Tableau!$G$36*COS(J768*PI()/180)+Tableau!$G$35</f>
        <v>-1464.466094067257</v>
      </c>
      <c r="L768" s="37">
        <f>Tableau!$G$36*SIN(J768*PI()/180)+Tableau!$H$35</f>
        <v>-11464.466094067267</v>
      </c>
      <c r="N768" s="92">
        <v>764</v>
      </c>
      <c r="O768" s="93">
        <v>382</v>
      </c>
      <c r="P768" s="96">
        <f>P767+R767*Tableau!$G$2+((1/2)*T767)*Tableau!$G$2^2</f>
        <v>-25957832.321584944</v>
      </c>
      <c r="Q768" s="96">
        <f>Q767+S767*Tableau!$G$2+((1/2)*U767)*Tableau!$G$2^2</f>
        <v>12749191.824944606</v>
      </c>
      <c r="R768" s="96">
        <f>R767+T767*Tableau!$G$2</f>
        <v>-68697.946249142726</v>
      </c>
      <c r="S768" s="96">
        <f>S767+U767*Tableau!$G$2</f>
        <v>33800.602022069077</v>
      </c>
      <c r="T768" s="96">
        <f t="shared" si="22"/>
        <v>1.3162538609993368E-3</v>
      </c>
      <c r="U768" s="96">
        <f t="shared" si="23"/>
        <v>-6.4648025188051802E-4</v>
      </c>
      <c r="V768" s="96">
        <f>((Tableau!$G$16-P768)/(AC768^2+Tableau!$G$21^2)^(3/2))*Tableau!$G$20</f>
        <v>5.6151179411028523E-4</v>
      </c>
      <c r="W768" s="96">
        <f>((Tableau!$H$16-Q768)/(AC768^2+Tableau!$G$21^2)^(3/2))*Tableau!$G$20</f>
        <v>-2.7541213400935862E-4</v>
      </c>
      <c r="X768" s="96">
        <f>((Tableau!$G$25-P768)/(AD768^2+Tableau!$G$30^2)^(3/2))*Tableau!$G$29</f>
        <v>1.9304179142835189E-4</v>
      </c>
      <c r="Y768" s="96">
        <f>((Tableau!$H$25-Q768)/(AD768^2+Tableau!$G$30^2)^(3/2))*Tableau!$G$29</f>
        <v>-9.4811176999946449E-5</v>
      </c>
      <c r="Z768" s="96">
        <f>((Tableau!$G$35-P768)/(AE768^2+Tableau!$G$40^2)^(3/2))*Tableau!$G$39</f>
        <v>5.6170027546069976E-4</v>
      </c>
      <c r="AA768" s="97">
        <f>((Tableau!$H$35-Q768)/(AE768^2+Tableau!$G$40^2)^(3/2))*Tableau!$G$39</f>
        <v>-2.7625694087121303E-4</v>
      </c>
      <c r="AC768" s="110">
        <f>SQRT((Tableau!$G$16-P768)^2+(Tableau!$H$16-Q768)^2)</f>
        <v>28934382.362342618</v>
      </c>
      <c r="AD768" s="111">
        <f>SQRT((Tableau!$G$25-P768)^2+(Tableau!$H$25-Q768)^2)</f>
        <v>28897372.785348363</v>
      </c>
      <c r="AE768" s="112">
        <f>SQRT((Tableau!$G$35-P768)^2+(Tableau!$H$35-Q768)^2)</f>
        <v>28921861.946567114</v>
      </c>
    </row>
    <row r="769" spans="2:31" x14ac:dyDescent="0.25">
      <c r="B769" s="18">
        <v>766</v>
      </c>
      <c r="C769" s="19">
        <f>Tableau!$G$17*COS(B769*PI()/180)+Tableau!$G$16</f>
        <v>23473.291852294995</v>
      </c>
      <c r="D769" s="19">
        <f>Tableau!$G$17*SIN(B769*PI()/180)+Tableau!$H$16</f>
        <v>11096.699001693247</v>
      </c>
      <c r="F769" s="26">
        <v>766</v>
      </c>
      <c r="G769" s="27">
        <f>Tableau!$G$26*COS(F769*PI()/180)+Tableau!$G$25</f>
        <v>-17568.695703393503</v>
      </c>
      <c r="H769" s="27">
        <f>Tableau!$G$26*SIN(F769*PI()/180)+Tableau!$H$25</f>
        <v>12517.689301185274</v>
      </c>
      <c r="J769" s="34">
        <v>766</v>
      </c>
      <c r="K769" s="35">
        <f>Tableau!$G$36*COS(J769*PI()/180)+Tableau!$G$35</f>
        <v>-1526.7081477050046</v>
      </c>
      <c r="L769" s="35">
        <f>Tableau!$G$36*SIN(J769*PI()/180)+Tableau!$H$35</f>
        <v>-11403.300998306753</v>
      </c>
      <c r="N769" s="98">
        <v>765</v>
      </c>
      <c r="O769" s="99">
        <v>382.5</v>
      </c>
      <c r="P769" s="101">
        <f>P768+R768*Tableau!$G$2+((1/2)*T768)*Tableau!$G$2^2</f>
        <v>-25992181.294544984</v>
      </c>
      <c r="Q769" s="101">
        <f>Q768+S768*Tableau!$G$2+((1/2)*U768)*Tableau!$G$2^2</f>
        <v>12766092.12587483</v>
      </c>
      <c r="R769" s="101">
        <f>R768+T768*Tableau!$G$2</f>
        <v>-68697.945591015799</v>
      </c>
      <c r="S769" s="101">
        <f>S768+U768*Tableau!$G$2</f>
        <v>33800.601698828948</v>
      </c>
      <c r="T769" s="101">
        <f t="shared" si="22"/>
        <v>1.3127759500533615E-3</v>
      </c>
      <c r="U769" s="101">
        <f t="shared" si="23"/>
        <v>-6.4477357173665321E-4</v>
      </c>
      <c r="V769" s="101">
        <f>((Tableau!$G$16-P769)/(AC769^2+Tableau!$G$21^2)^(3/2))*Tableau!$G$20</f>
        <v>5.6002847954679795E-4</v>
      </c>
      <c r="W769" s="101">
        <f>((Tableau!$H$16-Q769)/(AC769^2+Tableau!$G$21^2)^(3/2))*Tableau!$G$20</f>
        <v>-2.746857277559358E-4</v>
      </c>
      <c r="X769" s="101">
        <f>((Tableau!$G$25-P769)/(AD769^2+Tableau!$G$30^2)^(3/2))*Tableau!$G$29</f>
        <v>1.9253125789777582E-4</v>
      </c>
      <c r="Y769" s="101">
        <f>((Tableau!$H$25-Q769)/(AD769^2+Tableau!$G$30^2)^(3/2))*Tableau!$G$29</f>
        <v>-9.4560654532718216E-5</v>
      </c>
      <c r="Z769" s="101">
        <f>((Tableau!$G$35-P769)/(AE769^2+Tableau!$G$40^2)^(3/2))*Tableau!$G$39</f>
        <v>5.6021621260878766E-4</v>
      </c>
      <c r="AA769" s="102">
        <f>((Tableau!$H$35-Q769)/(AE769^2+Tableau!$G$40^2)^(3/2))*Tableau!$G$39</f>
        <v>-2.7552718944799914E-4</v>
      </c>
      <c r="AC769" s="113">
        <f>SQRT((Tableau!$G$16-P769)^2+(Tableau!$H$16-Q769)^2)</f>
        <v>28972663.818411853</v>
      </c>
      <c r="AD769" s="114">
        <f>SQRT((Tableau!$G$25-P769)^2+(Tableau!$H$25-Q769)^2)</f>
        <v>28935654.261144992</v>
      </c>
      <c r="AE769" s="115">
        <f>SQRT((Tableau!$G$35-P769)^2+(Tableau!$H$35-Q769)^2)</f>
        <v>28960143.431372166</v>
      </c>
    </row>
    <row r="770" spans="2:31" x14ac:dyDescent="0.25">
      <c r="B770" s="20">
        <v>767</v>
      </c>
      <c r="C770" s="21">
        <f>Tableau!$G$17*COS(B770*PI()/180)+Tableau!$G$16</f>
        <v>23409.991800312491</v>
      </c>
      <c r="D770" s="21">
        <f>Tableau!$G$17*SIN(B770*PI()/180)+Tableau!$H$16</f>
        <v>11156.768508095853</v>
      </c>
      <c r="F770" s="28">
        <v>767</v>
      </c>
      <c r="G770" s="29">
        <f>Tableau!$G$26*COS(F770*PI()/180)+Tableau!$G$25</f>
        <v>-17613.005739781256</v>
      </c>
      <c r="H770" s="29">
        <f>Tableau!$G$26*SIN(F770*PI()/180)+Tableau!$H$25</f>
        <v>12559.737955667097</v>
      </c>
      <c r="J770" s="36">
        <v>767</v>
      </c>
      <c r="K770" s="37">
        <f>Tableau!$G$36*COS(J770*PI()/180)+Tableau!$G$35</f>
        <v>-1590.0081996875078</v>
      </c>
      <c r="L770" s="37">
        <f>Tableau!$G$36*SIN(J770*PI()/180)+Tableau!$H$35</f>
        <v>-11343.231491904147</v>
      </c>
      <c r="N770" s="92">
        <v>766</v>
      </c>
      <c r="O770" s="93">
        <v>383</v>
      </c>
      <c r="P770" s="96">
        <f>P769+R769*Tableau!$G$2+((1/2)*T769)*Tableau!$G$2^2</f>
        <v>-26026530.267176397</v>
      </c>
      <c r="Q770" s="96">
        <f>Q769+S769*Tableau!$G$2+((1/2)*U769)*Tableau!$G$2^2</f>
        <v>12782992.426643649</v>
      </c>
      <c r="R770" s="96">
        <f>R769+T769*Tableau!$G$2</f>
        <v>-68697.944934627827</v>
      </c>
      <c r="S770" s="96">
        <f>S769+U769*Tableau!$G$2</f>
        <v>33800.601376442166</v>
      </c>
      <c r="T770" s="96">
        <f t="shared" si="22"/>
        <v>1.3093118053683216E-3</v>
      </c>
      <c r="U770" s="96">
        <f t="shared" si="23"/>
        <v>-6.4307364103925767E-4</v>
      </c>
      <c r="V770" s="96">
        <f>((Tableau!$G$16-P770)/(AC770^2+Tableau!$G$21^2)^(3/2))*Tableau!$G$20</f>
        <v>5.5855103482329476E-4</v>
      </c>
      <c r="W770" s="96">
        <f>((Tableau!$H$16-Q770)/(AC770^2+Tableau!$G$21^2)^(3/2))*Tableau!$G$20</f>
        <v>-2.7396219158877375E-4</v>
      </c>
      <c r="X770" s="96">
        <f>((Tableau!$G$25-P770)/(AD770^2+Tableau!$G$30^2)^(3/2))*Tableau!$G$29</f>
        <v>1.9202274699240792E-4</v>
      </c>
      <c r="Y770" s="96">
        <f>((Tableau!$H$25-Q770)/(AD770^2+Tableau!$G$30^2)^(3/2))*Tableau!$G$29</f>
        <v>-9.4311123701609935E-5</v>
      </c>
      <c r="Z770" s="96">
        <f>((Tableau!$G$35-P770)/(AE770^2+Tableau!$G$40^2)^(3/2))*Tableau!$G$39</f>
        <v>5.5873802355261898E-4</v>
      </c>
      <c r="AA770" s="97">
        <f>((Tableau!$H$35-Q770)/(AE770^2+Tableau!$G$40^2)^(3/2))*Tableau!$G$39</f>
        <v>-2.7480032574887401E-4</v>
      </c>
      <c r="AC770" s="110">
        <f>SQRT((Tableau!$G$16-P770)^2+(Tableau!$H$16-Q770)^2)</f>
        <v>29010945.274192039</v>
      </c>
      <c r="AD770" s="111">
        <f>SQRT((Tableau!$G$25-P770)^2+(Tableau!$H$25-Q770)^2)</f>
        <v>28973935.736600541</v>
      </c>
      <c r="AE770" s="112">
        <f>SQRT((Tableau!$G$35-P770)^2+(Tableau!$H$35-Q770)^2)</f>
        <v>28998424.915812332</v>
      </c>
    </row>
    <row r="771" spans="2:31" x14ac:dyDescent="0.25">
      <c r="B771" s="18">
        <v>768</v>
      </c>
      <c r="C771" s="19">
        <f>Tableau!$G$17*COS(B771*PI()/180)+Tableau!$G$16</f>
        <v>23345.653031794296</v>
      </c>
      <c r="D771" s="19">
        <f>Tableau!$G$17*SIN(B771*PI()/180)+Tableau!$H$16</f>
        <v>11215.724127386968</v>
      </c>
      <c r="F771" s="26">
        <v>768</v>
      </c>
      <c r="G771" s="27">
        <f>Tableau!$G$26*COS(F771*PI()/180)+Tableau!$G$25</f>
        <v>-17658.042877743992</v>
      </c>
      <c r="H771" s="27">
        <f>Tableau!$G$26*SIN(F771*PI()/180)+Tableau!$H$25</f>
        <v>12601.006889170876</v>
      </c>
      <c r="J771" s="34">
        <v>768</v>
      </c>
      <c r="K771" s="35">
        <f>Tableau!$G$36*COS(J771*PI()/180)+Tableau!$G$35</f>
        <v>-1654.3469682057048</v>
      </c>
      <c r="L771" s="35">
        <f>Tableau!$G$36*SIN(J771*PI()/180)+Tableau!$H$35</f>
        <v>-11284.275872613032</v>
      </c>
      <c r="N771" s="98">
        <v>767</v>
      </c>
      <c r="O771" s="99">
        <v>383.5</v>
      </c>
      <c r="P771" s="101">
        <f>P770+R770*Tableau!$G$2+((1/2)*T770)*Tableau!$G$2^2</f>
        <v>-26060879.239480048</v>
      </c>
      <c r="Q771" s="101">
        <f>Q770+S770*Tableau!$G$2+((1/2)*U770)*Tableau!$G$2^2</f>
        <v>12799892.727251485</v>
      </c>
      <c r="R771" s="101">
        <f>R770+T770*Tableau!$G$2</f>
        <v>-68697.944279971925</v>
      </c>
      <c r="S771" s="101">
        <f>S770+U770*Tableau!$G$2</f>
        <v>33800.601054905346</v>
      </c>
      <c r="T771" s="101">
        <f t="shared" si="22"/>
        <v>1.3058613543870563E-3</v>
      </c>
      <c r="U771" s="101">
        <f t="shared" si="23"/>
        <v>-6.4138042424555664E-4</v>
      </c>
      <c r="V771" s="101">
        <f>((Tableau!$G$16-P771)/(AC771^2+Tableau!$G$21^2)^(3/2))*Tableau!$G$20</f>
        <v>5.5707942900933677E-4</v>
      </c>
      <c r="W771" s="101">
        <f>((Tableau!$H$16-Q771)/(AC771^2+Tableau!$G$21^2)^(3/2))*Tableau!$G$20</f>
        <v>-2.7324151040785701E-4</v>
      </c>
      <c r="X771" s="101">
        <f>((Tableau!$G$25-P771)/(AD771^2+Tableau!$G$30^2)^(3/2))*Tableau!$G$29</f>
        <v>1.9151624804203822E-4</v>
      </c>
      <c r="Y771" s="101">
        <f>((Tableau!$H$25-Q771)/(AD771^2+Tableau!$G$30^2)^(3/2))*Tableau!$G$29</f>
        <v>-9.4062579279956138E-5</v>
      </c>
      <c r="Z771" s="101">
        <f>((Tableau!$G$35-P771)/(AE771^2+Tableau!$G$40^2)^(3/2))*Tableau!$G$39</f>
        <v>5.5726567733568151E-4</v>
      </c>
      <c r="AA771" s="102">
        <f>((Tableau!$H$35-Q771)/(AE771^2+Tableau!$G$40^2)^(3/2))*Tableau!$G$39</f>
        <v>-2.7407633455774354E-4</v>
      </c>
      <c r="AC771" s="113">
        <f>SQRT((Tableau!$G$16-P771)^2+(Tableau!$H$16-Q771)^2)</f>
        <v>29049226.729683839</v>
      </c>
      <c r="AD771" s="114">
        <f>SQRT((Tableau!$G$25-P771)^2+(Tableau!$H$25-Q771)^2)</f>
        <v>29012217.211715885</v>
      </c>
      <c r="AE771" s="115">
        <f>SQRT((Tableau!$G$35-P771)^2+(Tableau!$H$35-Q771)^2)</f>
        <v>29036706.399888579</v>
      </c>
    </row>
    <row r="772" spans="2:31" x14ac:dyDescent="0.25">
      <c r="B772" s="20">
        <v>769</v>
      </c>
      <c r="C772" s="21">
        <f>Tableau!$G$17*COS(B772*PI()/180)+Tableau!$G$16</f>
        <v>23280.295144952539</v>
      </c>
      <c r="D772" s="21">
        <f>Tableau!$G$17*SIN(B772*PI()/180)+Tableau!$H$16</f>
        <v>11273.547901113858</v>
      </c>
      <c r="F772" s="28">
        <v>769</v>
      </c>
      <c r="G772" s="29">
        <f>Tableau!$G$26*COS(F772*PI()/180)+Tableau!$G$25</f>
        <v>-17703.793398533224</v>
      </c>
      <c r="H772" s="29">
        <f>Tableau!$G$26*SIN(F772*PI()/180)+Tableau!$H$25</f>
        <v>12641.4835307797</v>
      </c>
      <c r="J772" s="36">
        <v>769</v>
      </c>
      <c r="K772" s="37">
        <f>Tableau!$G$36*COS(J772*PI()/180)+Tableau!$G$35</f>
        <v>-1719.7048550474619</v>
      </c>
      <c r="L772" s="37">
        <f>Tableau!$G$36*SIN(J772*PI()/180)+Tableau!$H$35</f>
        <v>-11226.452098886142</v>
      </c>
      <c r="N772" s="92">
        <v>768</v>
      </c>
      <c r="O772" s="93">
        <v>384</v>
      </c>
      <c r="P772" s="96">
        <f>P771+R771*Tableau!$G$2+((1/2)*T771)*Tableau!$G$2^2</f>
        <v>-26095228.211456802</v>
      </c>
      <c r="Q772" s="96">
        <f>Q771+S771*Tableau!$G$2+((1/2)*U771)*Tableau!$G$2^2</f>
        <v>12816793.027698766</v>
      </c>
      <c r="R772" s="96">
        <f>R771+T771*Tableau!$G$2</f>
        <v>-68697.943627041255</v>
      </c>
      <c r="S772" s="96">
        <f>S771+U771*Tableau!$G$2</f>
        <v>33800.600734215135</v>
      </c>
      <c r="T772" s="96">
        <f t="shared" ref="T772:T835" si="24">V772+X772+Z772</f>
        <v>1.3024245250298128E-3</v>
      </c>
      <c r="U772" s="96">
        <f t="shared" ref="U772:U835" si="25">W772+Y772+AA772</f>
        <v>-6.3969388604643304E-4</v>
      </c>
      <c r="V772" s="96">
        <f>((Tableau!$G$16-P772)/(AC772^2+Tableau!$G$21^2)^(3/2))*Tableau!$G$20</f>
        <v>5.5561363137797621E-4</v>
      </c>
      <c r="W772" s="96">
        <f>((Tableau!$H$16-Q772)/(AC772^2+Tableau!$G$21^2)^(3/2))*Tableau!$G$20</f>
        <v>-2.7252366921235837E-4</v>
      </c>
      <c r="X772" s="96">
        <f>((Tableau!$G$25-P772)/(AD772^2+Tableau!$G$30^2)^(3/2))*Tableau!$G$29</f>
        <v>1.9101175044673724E-4</v>
      </c>
      <c r="Y772" s="96">
        <f>((Tableau!$H$25-Q772)/(AD772^2+Tableau!$G$30^2)^(3/2))*Tableau!$G$29</f>
        <v>-9.3815016075486979E-5</v>
      </c>
      <c r="Z772" s="96">
        <f>((Tableau!$G$35-P772)/(AE772^2+Tableau!$G$40^2)^(3/2))*Tableau!$G$39</f>
        <v>5.557991432050993E-4</v>
      </c>
      <c r="AA772" s="97">
        <f>((Tableau!$H$35-Q772)/(AE772^2+Tableau!$G$40^2)^(3/2))*Tableau!$G$39</f>
        <v>-2.7335520075858763E-4</v>
      </c>
      <c r="AC772" s="110">
        <f>SQRT((Tableau!$G$16-P772)^2+(Tableau!$H$16-Q772)^2)</f>
        <v>29087508.184887916</v>
      </c>
      <c r="AD772" s="111">
        <f>SQRT((Tableau!$G$25-P772)^2+(Tableau!$H$25-Q772)^2)</f>
        <v>29050498.686491881</v>
      </c>
      <c r="AE772" s="112">
        <f>SQRT((Tableau!$G$35-P772)^2+(Tableau!$H$35-Q772)^2)</f>
        <v>29074987.883601859</v>
      </c>
    </row>
    <row r="773" spans="2:31" x14ac:dyDescent="0.25">
      <c r="B773" s="18">
        <v>770</v>
      </c>
      <c r="C773" s="19">
        <f>Tableau!$G$17*COS(B773*PI()/180)+Tableau!$G$16</f>
        <v>23213.938048432698</v>
      </c>
      <c r="D773" s="19">
        <f>Tableau!$G$17*SIN(B773*PI()/180)+Tableau!$H$16</f>
        <v>11330.222215594891</v>
      </c>
      <c r="F773" s="26">
        <v>770</v>
      </c>
      <c r="G773" s="27">
        <f>Tableau!$G$26*COS(F773*PI()/180)+Tableau!$G$25</f>
        <v>-17750.243366097115</v>
      </c>
      <c r="H773" s="27">
        <f>Tableau!$G$26*SIN(F773*PI()/180)+Tableau!$H$25</f>
        <v>12681.155550916425</v>
      </c>
      <c r="J773" s="34">
        <v>770</v>
      </c>
      <c r="K773" s="35">
        <f>Tableau!$G$36*COS(J773*PI()/180)+Tableau!$G$35</f>
        <v>-1786.0619515673043</v>
      </c>
      <c r="L773" s="35">
        <f>Tableau!$G$36*SIN(J773*PI()/180)+Tableau!$H$35</f>
        <v>-11169.777784405109</v>
      </c>
      <c r="N773" s="98">
        <v>769</v>
      </c>
      <c r="O773" s="99">
        <v>384.5</v>
      </c>
      <c r="P773" s="101">
        <f>P772+R772*Tableau!$G$2+((1/2)*T772)*Tableau!$G$2^2</f>
        <v>-26129577.183107521</v>
      </c>
      <c r="Q773" s="101">
        <f>Q772+S772*Tableau!$G$2+((1/2)*U772)*Tableau!$G$2^2</f>
        <v>12833693.327985913</v>
      </c>
      <c r="R773" s="101">
        <f>R772+T772*Tableau!$G$2</f>
        <v>-68697.942975828992</v>
      </c>
      <c r="S773" s="101">
        <f>S772+U772*Tableau!$G$2</f>
        <v>33800.600414368193</v>
      </c>
      <c r="T773" s="101">
        <f t="shared" si="24"/>
        <v>1.2990012456904831E-3</v>
      </c>
      <c r="U773" s="101">
        <f t="shared" si="25"/>
        <v>-6.380139913645872E-4</v>
      </c>
      <c r="V773" s="101">
        <f>((Tableau!$G$16-P773)/(AC773^2+Tableau!$G$21^2)^(3/2))*Tableau!$G$20</f>
        <v>5.5415361140410697E-4</v>
      </c>
      <c r="W773" s="101">
        <f>((Tableau!$H$16-Q773)/(AC773^2+Tableau!$G$21^2)^(3/2))*Tableau!$G$20</f>
        <v>-2.7180865309983583E-4</v>
      </c>
      <c r="X773" s="101">
        <f>((Tableau!$G$25-P773)/(AD773^2+Tableau!$G$30^2)^(3/2))*Tableau!$G$29</f>
        <v>1.9050924367628334E-4</v>
      </c>
      <c r="Y773" s="101">
        <f>((Tableau!$H$25-Q773)/(AD773^2+Tableau!$G$30^2)^(3/2))*Tableau!$G$29</f>
        <v>-9.3568428930047929E-5</v>
      </c>
      <c r="Z773" s="101">
        <f>((Tableau!$G$35-P773)/(AE773^2+Tableau!$G$40^2)^(3/2))*Tableau!$G$39</f>
        <v>5.543383906100928E-4</v>
      </c>
      <c r="AA773" s="102">
        <f>((Tableau!$H$35-Q773)/(AE773^2+Tableau!$G$40^2)^(3/2))*Tableau!$G$39</f>
        <v>-2.7263690933470349E-4</v>
      </c>
      <c r="AC773" s="113">
        <f>SQRT((Tableau!$G$16-P773)^2+(Tableau!$H$16-Q773)^2)</f>
        <v>29125789.639804926</v>
      </c>
      <c r="AD773" s="114">
        <f>SQRT((Tableau!$G$25-P773)^2+(Tableau!$H$25-Q773)^2)</f>
        <v>29088780.160929389</v>
      </c>
      <c r="AE773" s="115">
        <f>SQRT((Tableau!$G$35-P773)^2+(Tableau!$H$35-Q773)^2)</f>
        <v>29113269.366953135</v>
      </c>
    </row>
    <row r="774" spans="2:31" x14ac:dyDescent="0.25">
      <c r="B774" s="20">
        <v>771</v>
      </c>
      <c r="C774" s="21">
        <f>Tableau!$G$17*COS(B774*PI()/180)+Tableau!$G$16</f>
        <v>23146.601955249189</v>
      </c>
      <c r="D774" s="21">
        <f>Tableau!$G$17*SIN(B774*PI()/180)+Tableau!$H$16</f>
        <v>11385.729807284852</v>
      </c>
      <c r="F774" s="28">
        <v>771</v>
      </c>
      <c r="G774" s="29">
        <f>Tableau!$G$26*COS(F774*PI()/180)+Tableau!$G$25</f>
        <v>-17797.378631325566</v>
      </c>
      <c r="H774" s="29">
        <f>Tableau!$G$26*SIN(F774*PI()/180)+Tableau!$H$25</f>
        <v>12720.010865099397</v>
      </c>
      <c r="J774" s="36">
        <v>771</v>
      </c>
      <c r="K774" s="37">
        <f>Tableau!$G$36*COS(J774*PI()/180)+Tableau!$G$35</f>
        <v>-1853.3980447508097</v>
      </c>
      <c r="L774" s="37">
        <f>Tableau!$G$36*SIN(J774*PI()/180)+Tableau!$H$35</f>
        <v>-11114.270192715148</v>
      </c>
      <c r="N774" s="92">
        <v>770</v>
      </c>
      <c r="O774" s="93">
        <v>385</v>
      </c>
      <c r="P774" s="96">
        <f>P773+R773*Tableau!$G$2+((1/2)*T773)*Tableau!$G$2^2</f>
        <v>-26163926.15443306</v>
      </c>
      <c r="Q774" s="96">
        <f>Q773+S773*Tableau!$G$2+((1/2)*U773)*Tableau!$G$2^2</f>
        <v>12850593.628113346</v>
      </c>
      <c r="R774" s="96">
        <f>R773+T773*Tableau!$G$2</f>
        <v>-68697.942326328368</v>
      </c>
      <c r="S774" s="96">
        <f>S773+U773*Tableau!$G$2</f>
        <v>33800.600095361195</v>
      </c>
      <c r="T774" s="96">
        <f t="shared" si="24"/>
        <v>1.2955914452328489E-3</v>
      </c>
      <c r="U774" s="96">
        <f t="shared" si="25"/>
        <v>-6.3634070535270094E-4</v>
      </c>
      <c r="V774" s="96">
        <f>((Tableau!$G$16-P774)/(AC774^2+Tableau!$G$21^2)^(3/2))*Tableau!$G$20</f>
        <v>5.5269933876290317E-4</v>
      </c>
      <c r="W774" s="96">
        <f>((Tableau!$H$16-Q774)/(AC774^2+Tableau!$G$21^2)^(3/2))*Tableau!$G$20</f>
        <v>-2.71096447265473E-4</v>
      </c>
      <c r="X774" s="96">
        <f>((Tableau!$G$25-P774)/(AD774^2+Tableau!$G$30^2)^(3/2))*Tableau!$G$29</f>
        <v>1.9000871726962046E-4</v>
      </c>
      <c r="Y774" s="96">
        <f>((Tableau!$H$25-Q774)/(AD774^2+Tableau!$G$30^2)^(3/2))*Tableau!$G$29</f>
        <v>-9.3322812719334931E-5</v>
      </c>
      <c r="Z774" s="96">
        <f>((Tableau!$G$35-P774)/(AE774^2+Tableau!$G$40^2)^(3/2))*Tableau!$G$39</f>
        <v>5.5288338920032529E-4</v>
      </c>
      <c r="AA774" s="97">
        <f>((Tableau!$H$35-Q774)/(AE774^2+Tableau!$G$40^2)^(3/2))*Tableau!$G$39</f>
        <v>-2.7192144536789301E-4</v>
      </c>
      <c r="AC774" s="110">
        <f>SQRT((Tableau!$G$16-P774)^2+(Tableau!$H$16-Q774)^2)</f>
        <v>29164071.094435517</v>
      </c>
      <c r="AD774" s="111">
        <f>SQRT((Tableau!$G$25-P774)^2+(Tableau!$H$25-Q774)^2)</f>
        <v>29127061.635029271</v>
      </c>
      <c r="AE774" s="112">
        <f>SQRT((Tableau!$G$35-P774)^2+(Tableau!$H$35-Q774)^2)</f>
        <v>29151550.849943347</v>
      </c>
    </row>
    <row r="775" spans="2:31" x14ac:dyDescent="0.25">
      <c r="B775" s="18">
        <v>772</v>
      </c>
      <c r="C775" s="19">
        <f>Tableau!$G$17*COS(B775*PI()/180)+Tableau!$G$16</f>
        <v>23078.307376628291</v>
      </c>
      <c r="D775" s="19">
        <f>Tableau!$G$17*SIN(B775*PI()/180)+Tableau!$H$16</f>
        <v>11440.053768033609</v>
      </c>
      <c r="F775" s="26">
        <v>772</v>
      </c>
      <c r="G775" s="27">
        <f>Tableau!$G$26*COS(F775*PI()/180)+Tableau!$G$25</f>
        <v>-17845.184836360197</v>
      </c>
      <c r="H775" s="27">
        <f>Tableau!$G$26*SIN(F775*PI()/180)+Tableau!$H$25</f>
        <v>12758.037637623527</v>
      </c>
      <c r="J775" s="34">
        <v>772</v>
      </c>
      <c r="K775" s="35">
        <f>Tableau!$G$36*COS(J775*PI()/180)+Tableau!$G$35</f>
        <v>-1921.6926233717081</v>
      </c>
      <c r="L775" s="35">
        <f>Tableau!$G$36*SIN(J775*PI()/180)+Tableau!$H$35</f>
        <v>-11059.946231966391</v>
      </c>
      <c r="N775" s="98">
        <v>771</v>
      </c>
      <c r="O775" s="99">
        <v>385.5</v>
      </c>
      <c r="P775" s="101">
        <f>P774+R774*Tableau!$G$2+((1/2)*T774)*Tableau!$G$2^2</f>
        <v>-26198275.125434276</v>
      </c>
      <c r="Q775" s="101">
        <f>Q774+S774*Tableau!$G$2+((1/2)*U774)*Tableau!$G$2^2</f>
        <v>12867493.928081485</v>
      </c>
      <c r="R775" s="101">
        <f>R774+T774*Tableau!$G$2</f>
        <v>-68697.941678532647</v>
      </c>
      <c r="S775" s="101">
        <f>S774+U774*Tableau!$G$2</f>
        <v>33800.599777190844</v>
      </c>
      <c r="T775" s="101">
        <f t="shared" si="24"/>
        <v>1.2921950529868999E-3</v>
      </c>
      <c r="U775" s="101">
        <f t="shared" si="25"/>
        <v>-6.346739933916363E-4</v>
      </c>
      <c r="V775" s="101">
        <f>((Tableau!$G$16-P775)/(AC775^2+Tableau!$G$21^2)^(3/2))*Tableau!$G$20</f>
        <v>5.5125078332821228E-4</v>
      </c>
      <c r="W775" s="101">
        <f>((Tableau!$H$16-Q775)/(AC775^2+Tableau!$G$21^2)^(3/2))*Tableau!$G$20</f>
        <v>-2.7038703700129664E-4</v>
      </c>
      <c r="X775" s="101">
        <f>((Tableau!$G$25-P775)/(AD775^2+Tableau!$G$30^2)^(3/2))*Tableau!$G$29</f>
        <v>1.8951016083431792E-4</v>
      </c>
      <c r="Y775" s="101">
        <f>((Tableau!$H$25-Q775)/(AD775^2+Tableau!$G$30^2)^(3/2))*Tableau!$G$29</f>
        <v>-9.3078162352630043E-5</v>
      </c>
      <c r="Z775" s="101">
        <f>((Tableau!$G$35-P775)/(AE775^2+Tableau!$G$40^2)^(3/2))*Tableau!$G$39</f>
        <v>5.5143410882436971E-4</v>
      </c>
      <c r="AA775" s="102">
        <f>((Tableau!$H$35-Q775)/(AE775^2+Tableau!$G$40^2)^(3/2))*Tableau!$G$39</f>
        <v>-2.712087940377096E-4</v>
      </c>
      <c r="AC775" s="113">
        <f>SQRT((Tableau!$G$16-P775)^2+(Tableau!$H$16-Q775)^2)</f>
        <v>29202352.548780352</v>
      </c>
      <c r="AD775" s="114">
        <f>SQRT((Tableau!$G$25-P775)^2+(Tableau!$H$25-Q775)^2)</f>
        <v>29165343.108792383</v>
      </c>
      <c r="AE775" s="115">
        <f>SQRT((Tableau!$G$35-P775)^2+(Tableau!$H$35-Q775)^2)</f>
        <v>29189832.332573447</v>
      </c>
    </row>
    <row r="776" spans="2:31" x14ac:dyDescent="0.25">
      <c r="B776" s="20">
        <v>773</v>
      </c>
      <c r="C776" s="21">
        <f>Tableau!$G$17*COS(B776*PI()/180)+Tableau!$G$16</f>
        <v>23009.075115760246</v>
      </c>
      <c r="D776" s="21">
        <f>Tableau!$G$17*SIN(B776*PI()/180)+Tableau!$H$16</f>
        <v>11493.177550236462</v>
      </c>
      <c r="F776" s="28">
        <v>773</v>
      </c>
      <c r="G776" s="29">
        <f>Tableau!$G$26*COS(F776*PI()/180)+Tableau!$G$25</f>
        <v>-17893.647418967827</v>
      </c>
      <c r="H776" s="29">
        <f>Tableau!$G$26*SIN(F776*PI()/180)+Tableau!$H$25</f>
        <v>12795.224285165523</v>
      </c>
      <c r="J776" s="36">
        <v>773</v>
      </c>
      <c r="K776" s="37">
        <f>Tableau!$G$36*COS(J776*PI()/180)+Tableau!$G$35</f>
        <v>-1990.9248842397537</v>
      </c>
      <c r="L776" s="37">
        <f>Tableau!$G$36*SIN(J776*PI()/180)+Tableau!$H$35</f>
        <v>-11006.822449763538</v>
      </c>
      <c r="N776" s="92">
        <v>772</v>
      </c>
      <c r="O776" s="93">
        <v>386</v>
      </c>
      <c r="P776" s="96">
        <f>P775+R775*Tableau!$G$2+((1/2)*T775)*Tableau!$G$2^2</f>
        <v>-26232624.096112017</v>
      </c>
      <c r="Q776" s="96">
        <f>Q775+S775*Tableau!$G$2+((1/2)*U775)*Tableau!$G$2^2</f>
        <v>12884394.227890747</v>
      </c>
      <c r="R776" s="96">
        <f>R775+T775*Tableau!$G$2</f>
        <v>-68697.941032435119</v>
      </c>
      <c r="S776" s="96">
        <f>S775+U775*Tableau!$G$2</f>
        <v>33800.599459853845</v>
      </c>
      <c r="T776" s="96">
        <f t="shared" si="24"/>
        <v>1.2888119987451961E-3</v>
      </c>
      <c r="U776" s="96">
        <f t="shared" si="25"/>
        <v>-6.3301382108865776E-4</v>
      </c>
      <c r="V776" s="96">
        <f>((Tableau!$G$16-P776)/(AC776^2+Tableau!$G$21^2)^(3/2))*Tableau!$G$20</f>
        <v>5.4980791517103772E-4</v>
      </c>
      <c r="W776" s="96">
        <f>((Tableau!$H$16-Q776)/(AC776^2+Tableau!$G$21^2)^(3/2))*Tableau!$G$20</f>
        <v>-2.696804076954385E-4</v>
      </c>
      <c r="X776" s="96">
        <f>((Tableau!$G$25-P776)/(AD776^2+Tableau!$G$30^2)^(3/2))*Tableau!$G$29</f>
        <v>1.890135640460253E-4</v>
      </c>
      <c r="Y776" s="96">
        <f>((Tableau!$H$25-Q776)/(AD776^2+Tableau!$G$30^2)^(3/2))*Tableau!$G$29</f>
        <v>-9.2834472772535001E-5</v>
      </c>
      <c r="Z776" s="96">
        <f>((Tableau!$G$35-P776)/(AE776^2+Tableau!$G$40^2)^(3/2))*Tableau!$G$39</f>
        <v>5.4999051952813306E-4</v>
      </c>
      <c r="AA776" s="97">
        <f>((Tableau!$H$35-Q776)/(AE776^2+Tableau!$G$40^2)^(3/2))*Tableau!$G$39</f>
        <v>-2.704989406206843E-4</v>
      </c>
      <c r="AC776" s="110">
        <f>SQRT((Tableau!$G$16-P776)^2+(Tableau!$H$16-Q776)^2)</f>
        <v>29240634.002840076</v>
      </c>
      <c r="AD776" s="111">
        <f>SQRT((Tableau!$G$25-P776)^2+(Tableau!$H$25-Q776)^2)</f>
        <v>29203624.582219567</v>
      </c>
      <c r="AE776" s="112">
        <f>SQRT((Tableau!$G$35-P776)^2+(Tableau!$H$35-Q776)^2)</f>
        <v>29228113.814844377</v>
      </c>
    </row>
    <row r="777" spans="2:31" x14ac:dyDescent="0.25">
      <c r="B777" s="18">
        <v>774</v>
      </c>
      <c r="C777" s="19">
        <f>Tableau!$G$17*COS(B777*PI()/180)+Tableau!$G$16</f>
        <v>22938.926261462362</v>
      </c>
      <c r="D777" s="19">
        <f>Tableau!$G$17*SIN(B777*PI()/180)+Tableau!$H$16</f>
        <v>11545.084971874741</v>
      </c>
      <c r="F777" s="26">
        <v>774</v>
      </c>
      <c r="G777" s="27">
        <f>Tableau!$G$26*COS(F777*PI()/180)+Tableau!$G$25</f>
        <v>-17942.751616976348</v>
      </c>
      <c r="H777" s="27">
        <f>Tableau!$G$26*SIN(F777*PI()/180)+Tableau!$H$25</f>
        <v>12831.559480312319</v>
      </c>
      <c r="J777" s="34">
        <v>774</v>
      </c>
      <c r="K777" s="35">
        <f>Tableau!$G$36*COS(J777*PI()/180)+Tableau!$G$35</f>
        <v>-2061.0737385376392</v>
      </c>
      <c r="L777" s="35">
        <f>Tableau!$G$36*SIN(J777*PI()/180)+Tableau!$H$35</f>
        <v>-10954.915028125259</v>
      </c>
      <c r="N777" s="98">
        <v>773</v>
      </c>
      <c r="O777" s="99">
        <v>386.5</v>
      </c>
      <c r="P777" s="101">
        <f>P776+R776*Tableau!$G$2+((1/2)*T776)*Tableau!$G$2^2</f>
        <v>-26266973.066467132</v>
      </c>
      <c r="Q777" s="101">
        <f>Q776+S776*Tableau!$G$2+((1/2)*U776)*Tableau!$G$2^2</f>
        <v>12901294.527541546</v>
      </c>
      <c r="R777" s="101">
        <f>R776+T776*Tableau!$G$2</f>
        <v>-68697.940388029121</v>
      </c>
      <c r="S777" s="101">
        <f>S776+U776*Tableau!$G$2</f>
        <v>33800.599143346932</v>
      </c>
      <c r="T777" s="101">
        <f t="shared" si="24"/>
        <v>1.2854422127591978E-3</v>
      </c>
      <c r="U777" s="101">
        <f t="shared" si="25"/>
        <v>-6.3136015427563683E-4</v>
      </c>
      <c r="V777" s="101">
        <f>((Tableau!$G$16-P777)/(AC777^2+Tableau!$G$21^2)^(3/2))*Tableau!$G$20</f>
        <v>5.4837070455796173E-4</v>
      </c>
      <c r="W777" s="101">
        <f>((Tableau!$H$16-Q777)/(AC777^2+Tableau!$G$21^2)^(3/2))*Tableau!$G$20</f>
        <v>-2.6897654483136761E-4</v>
      </c>
      <c r="X777" s="101">
        <f>((Tableau!$G$25-P777)/(AD777^2+Tableau!$G$30^2)^(3/2))*Tableau!$G$29</f>
        <v>1.8851891664793631E-4</v>
      </c>
      <c r="Y777" s="101">
        <f>((Tableau!$H$25-Q777)/(AD777^2+Tableau!$G$30^2)^(3/2))*Tableau!$G$29</f>
        <v>-9.2591738954708982E-5</v>
      </c>
      <c r="Z777" s="101">
        <f>((Tableau!$G$35-P777)/(AE777^2+Tableau!$G$40^2)^(3/2))*Tableau!$G$39</f>
        <v>5.4855259155329973E-4</v>
      </c>
      <c r="AA777" s="102">
        <f>((Tableau!$H$35-Q777)/(AE777^2+Tableau!$G$40^2)^(3/2))*Tableau!$G$39</f>
        <v>-2.6979187048956017E-4</v>
      </c>
      <c r="AC777" s="113">
        <f>SQRT((Tableau!$G$16-P777)^2+(Tableau!$H$16-Q777)^2)</f>
        <v>29278915.45661534</v>
      </c>
      <c r="AD777" s="114">
        <f>SQRT((Tableau!$G$25-P777)^2+(Tableau!$H$25-Q777)^2)</f>
        <v>29241906.055311676</v>
      </c>
      <c r="AE777" s="115">
        <f>SQRT((Tableau!$G$35-P777)^2+(Tableau!$H$35-Q777)^2)</f>
        <v>29266395.296757076</v>
      </c>
    </row>
    <row r="778" spans="2:31" x14ac:dyDescent="0.25">
      <c r="B778" s="20">
        <v>775</v>
      </c>
      <c r="C778" s="21">
        <f>Tableau!$G$17*COS(B778*PI()/180)+Tableau!$G$16</f>
        <v>22867.882181755231</v>
      </c>
      <c r="D778" s="21">
        <f>Tableau!$G$17*SIN(B778*PI()/180)+Tableau!$H$16</f>
        <v>11595.76022144496</v>
      </c>
      <c r="F778" s="28">
        <v>775</v>
      </c>
      <c r="G778" s="29">
        <f>Tableau!$G$26*COS(F778*PI()/180)+Tableau!$G$25</f>
        <v>-17992.482472771339</v>
      </c>
      <c r="H778" s="29">
        <f>Tableau!$G$26*SIN(F778*PI()/180)+Tableau!$H$25</f>
        <v>12867.032155011471</v>
      </c>
      <c r="J778" s="36">
        <v>775</v>
      </c>
      <c r="K778" s="37">
        <f>Tableau!$G$36*COS(J778*PI()/180)+Tableau!$G$35</f>
        <v>-2132.1178182447702</v>
      </c>
      <c r="L778" s="37">
        <f>Tableau!$G$36*SIN(J778*PI()/180)+Tableau!$H$35</f>
        <v>-10904.23977855504</v>
      </c>
      <c r="N778" s="92">
        <v>774</v>
      </c>
      <c r="O778" s="93">
        <v>387</v>
      </c>
      <c r="P778" s="96">
        <f>P777+R777*Tableau!$G$2+((1/2)*T777)*Tableau!$G$2^2</f>
        <v>-26301322.036500469</v>
      </c>
      <c r="Q778" s="96">
        <f>Q777+S777*Tableau!$G$2+((1/2)*U777)*Tableau!$G$2^2</f>
        <v>12918194.8270343</v>
      </c>
      <c r="R778" s="96">
        <f>R777+T777*Tableau!$G$2</f>
        <v>-68697.939745308016</v>
      </c>
      <c r="S778" s="96">
        <f>S777+U777*Tableau!$G$2</f>
        <v>33800.598827666858</v>
      </c>
      <c r="T778" s="96">
        <f t="shared" si="24"/>
        <v>1.2820856257357107E-3</v>
      </c>
      <c r="U778" s="96">
        <f t="shared" si="25"/>
        <v>-6.2971295900731382E-4</v>
      </c>
      <c r="V778" s="96">
        <f>((Tableau!$G$16-P778)/(AC778^2+Tableau!$G$21^2)^(3/2))*Tableau!$G$20</f>
        <v>5.4693912194962637E-4</v>
      </c>
      <c r="W778" s="96">
        <f>((Tableau!$H$16-Q778)/(AC778^2+Tableau!$G$21^2)^(3/2))*Tableau!$G$20</f>
        <v>-2.6827543398715096E-4</v>
      </c>
      <c r="X778" s="96">
        <f>((Tableau!$G$25-P778)/(AD778^2+Tableau!$G$30^2)^(3/2))*Tableau!$G$29</f>
        <v>1.8802620845026353E-4</v>
      </c>
      <c r="Y778" s="96">
        <f>((Tableau!$H$25-Q778)/(AD778^2+Tableau!$G$30^2)^(3/2))*Tableau!$G$29</f>
        <v>-9.2349955907611807E-5</v>
      </c>
      <c r="Z778" s="96">
        <f>((Tableau!$G$35-P778)/(AE778^2+Tableau!$G$40^2)^(3/2))*Tableau!$G$39</f>
        <v>5.471202953358208E-4</v>
      </c>
      <c r="AA778" s="97">
        <f>((Tableau!$H$35-Q778)/(AE778^2+Tableau!$G$40^2)^(3/2))*Tableau!$G$39</f>
        <v>-2.6908756911255097E-4</v>
      </c>
      <c r="AC778" s="110">
        <f>SQRT((Tableau!$G$16-P778)^2+(Tableau!$H$16-Q778)^2)</f>
        <v>29317196.910106797</v>
      </c>
      <c r="AD778" s="111">
        <f>SQRT((Tableau!$G$25-P778)^2+(Tableau!$H$25-Q778)^2)</f>
        <v>29280187.528069559</v>
      </c>
      <c r="AE778" s="112">
        <f>SQRT((Tableau!$G$35-P778)^2+(Tableau!$H$35-Q778)^2)</f>
        <v>29304676.778312482</v>
      </c>
    </row>
    <row r="779" spans="2:31" x14ac:dyDescent="0.25">
      <c r="B779" s="18">
        <v>776</v>
      </c>
      <c r="C779" s="19">
        <f>Tableau!$G$17*COS(B779*PI()/180)+Tableau!$G$16</f>
        <v>22795.964517353739</v>
      </c>
      <c r="D779" s="19">
        <f>Tableau!$G$17*SIN(B779*PI()/180)+Tableau!$H$16</f>
        <v>11645.187862775205</v>
      </c>
      <c r="F779" s="26">
        <v>776</v>
      </c>
      <c r="G779" s="27">
        <f>Tableau!$G$26*COS(F779*PI()/180)+Tableau!$G$25</f>
        <v>-18042.824837852382</v>
      </c>
      <c r="H779" s="27">
        <f>Tableau!$G$26*SIN(F779*PI()/180)+Tableau!$H$25</f>
        <v>12901.631503942644</v>
      </c>
      <c r="J779" s="34">
        <v>776</v>
      </c>
      <c r="K779" s="35">
        <f>Tableau!$G$36*COS(J779*PI()/180)+Tableau!$G$35</f>
        <v>-2204.0354826462622</v>
      </c>
      <c r="L779" s="35">
        <f>Tableau!$G$36*SIN(J779*PI()/180)+Tableau!$H$35</f>
        <v>-10854.812137224795</v>
      </c>
      <c r="N779" s="98">
        <v>775</v>
      </c>
      <c r="O779" s="99">
        <v>387.5</v>
      </c>
      <c r="P779" s="101">
        <f>P778+R778*Tableau!$G$2+((1/2)*T778)*Tableau!$G$2^2</f>
        <v>-26335671.00621286</v>
      </c>
      <c r="Q779" s="101">
        <f>Q778+S778*Tableau!$G$2+((1/2)*U778)*Tableau!$G$2^2</f>
        <v>12935095.12636942</v>
      </c>
      <c r="R779" s="101">
        <f>R778+T778*Tableau!$G$2</f>
        <v>-68697.939104265199</v>
      </c>
      <c r="S779" s="101">
        <f>S778+U778*Tableau!$G$2</f>
        <v>33800.598512810378</v>
      </c>
      <c r="T779" s="101">
        <f t="shared" si="24"/>
        <v>1.2787421688332896E-3</v>
      </c>
      <c r="U779" s="101">
        <f t="shared" si="25"/>
        <v>-6.2807220155953916E-4</v>
      </c>
      <c r="V779" s="101">
        <f>((Tableau!$G$16-P779)/(AC779^2+Tableau!$G$21^2)^(3/2))*Tableau!$G$20</f>
        <v>5.4551313799921066E-4</v>
      </c>
      <c r="W779" s="101">
        <f>((Tableau!$H$16-Q779)/(AC779^2+Tableau!$G$21^2)^(3/2))*Tableau!$G$20</f>
        <v>-2.6757706083471239E-4</v>
      </c>
      <c r="X779" s="101">
        <f>((Tableau!$G$25-P779)/(AD779^2+Tableau!$G$30^2)^(3/2))*Tableau!$G$29</f>
        <v>1.8753542932971901E-4</v>
      </c>
      <c r="Y779" s="101">
        <f>((Tableau!$H$25-Q779)/(AD779^2+Tableau!$G$30^2)^(3/2))*Tableau!$G$29</f>
        <v>-9.2109118672249946E-5</v>
      </c>
      <c r="Z779" s="101">
        <f>((Tableau!$G$35-P779)/(AE779^2+Tableau!$G$40^2)^(3/2))*Tableau!$G$39</f>
        <v>5.4569360150435997E-4</v>
      </c>
      <c r="AA779" s="102">
        <f>((Tableau!$H$35-Q779)/(AE779^2+Tableau!$G$40^2)^(3/2))*Tableau!$G$39</f>
        <v>-2.6838602205257674E-4</v>
      </c>
      <c r="AC779" s="113">
        <f>SQRT((Tableau!$G$16-P779)^2+(Tableau!$H$16-Q779)^2)</f>
        <v>29355478.363315076</v>
      </c>
      <c r="AD779" s="114">
        <f>SQRT((Tableau!$G$25-P779)^2+(Tableau!$H$25-Q779)^2)</f>
        <v>29318469.000494052</v>
      </c>
      <c r="AE779" s="115">
        <f>SQRT((Tableau!$G$35-P779)^2+(Tableau!$H$35-Q779)^2)</f>
        <v>29342958.259511527</v>
      </c>
    </row>
    <row r="780" spans="2:31" x14ac:dyDescent="0.25">
      <c r="B780" s="20">
        <v>777</v>
      </c>
      <c r="C780" s="21">
        <f>Tableau!$G$17*COS(B780*PI()/180)+Tableau!$G$16</f>
        <v>22723.195175075143</v>
      </c>
      <c r="D780" s="21">
        <f>Tableau!$G$17*SIN(B780*PI()/180)+Tableau!$H$16</f>
        <v>11693.352839727115</v>
      </c>
      <c r="F780" s="28">
        <v>777</v>
      </c>
      <c r="G780" s="29">
        <f>Tableau!$G$26*COS(F780*PI()/180)+Tableau!$G$25</f>
        <v>-18093.763377447398</v>
      </c>
      <c r="H780" s="29">
        <f>Tableau!$G$26*SIN(F780*PI()/180)+Tableau!$H$25</f>
        <v>12935.34698780898</v>
      </c>
      <c r="J780" s="36">
        <v>777</v>
      </c>
      <c r="K780" s="37">
        <f>Tableau!$G$36*COS(J780*PI()/180)+Tableau!$G$35</f>
        <v>-2276.8048249248563</v>
      </c>
      <c r="L780" s="37">
        <f>Tableau!$G$36*SIN(J780*PI()/180)+Tableau!$H$35</f>
        <v>-10806.647160272885</v>
      </c>
      <c r="N780" s="92">
        <v>776</v>
      </c>
      <c r="O780" s="93">
        <v>388</v>
      </c>
      <c r="P780" s="96">
        <f>P779+R779*Tableau!$G$2+((1/2)*T779)*Tableau!$G$2^2</f>
        <v>-26370019.975605153</v>
      </c>
      <c r="Q780" s="96">
        <f>Q779+S779*Tableau!$G$2+((1/2)*U779)*Tableau!$G$2^2</f>
        <v>12951995.425547317</v>
      </c>
      <c r="R780" s="96">
        <f>R779+T779*Tableau!$G$2</f>
        <v>-68697.93846489412</v>
      </c>
      <c r="S780" s="96">
        <f>S779+U779*Tableau!$G$2</f>
        <v>33800.598198774278</v>
      </c>
      <c r="T780" s="96">
        <f t="shared" si="24"/>
        <v>1.2754117736587119E-3</v>
      </c>
      <c r="U780" s="96">
        <f t="shared" si="25"/>
        <v>-6.2643784842754879E-4</v>
      </c>
      <c r="V780" s="96">
        <f>((Tableau!$G$16-P780)/(AC780^2+Tableau!$G$21^2)^(3/2))*Tableau!$G$20</f>
        <v>5.4409272355092201E-4</v>
      </c>
      <c r="W780" s="96">
        <f>((Tableau!$H$16-Q780)/(AC780^2+Tableau!$G$21^2)^(3/2))*Tableau!$G$20</f>
        <v>-2.6688141113909809E-4</v>
      </c>
      <c r="X780" s="96">
        <f>((Tableau!$G$25-P780)/(AD780^2+Tableau!$G$30^2)^(3/2))*Tableau!$G$29</f>
        <v>1.8704656922897674E-4</v>
      </c>
      <c r="Y780" s="96">
        <f>((Tableau!$H$25-Q780)/(AD780^2+Tableau!$G$30^2)^(3/2))*Tableau!$G$29</f>
        <v>-9.186922232191367E-5</v>
      </c>
      <c r="Z780" s="96">
        <f>((Tableau!$G$35-P780)/(AE780^2+Tableau!$G$40^2)^(3/2))*Tableau!$G$39</f>
        <v>5.4427248087881316E-4</v>
      </c>
      <c r="AA780" s="97">
        <f>((Tableau!$H$35-Q780)/(AE780^2+Tableau!$G$40^2)^(3/2))*Tableau!$G$39</f>
        <v>-2.676872149665371E-4</v>
      </c>
      <c r="AC780" s="110">
        <f>SQRT((Tableau!$G$16-P780)^2+(Tableau!$H$16-Q780)^2)</f>
        <v>29393759.816240832</v>
      </c>
      <c r="AD780" s="111">
        <f>SQRT((Tableau!$G$25-P780)^2+(Tableau!$H$25-Q780)^2)</f>
        <v>29356750.472585998</v>
      </c>
      <c r="AE780" s="112">
        <f>SQRT((Tableau!$G$35-P780)^2+(Tableau!$H$35-Q780)^2)</f>
        <v>29381239.740355134</v>
      </c>
    </row>
    <row r="781" spans="2:31" x14ac:dyDescent="0.25">
      <c r="B781" s="18">
        <v>778</v>
      </c>
      <c r="C781" s="19">
        <f>Tableau!$G$17*COS(B781*PI()/180)+Tableau!$G$16</f>
        <v>22649.596321166024</v>
      </c>
      <c r="D781" s="19">
        <f>Tableau!$G$17*SIN(B781*PI()/180)+Tableau!$H$16</f>
        <v>11740.240480782131</v>
      </c>
      <c r="F781" s="26">
        <v>778</v>
      </c>
      <c r="G781" s="27">
        <f>Tableau!$G$26*COS(F781*PI()/180)+Tableau!$G$25</f>
        <v>-18145.282575183785</v>
      </c>
      <c r="H781" s="27">
        <f>Tableau!$G$26*SIN(F781*PI()/180)+Tableau!$H$25</f>
        <v>12968.168336547491</v>
      </c>
      <c r="J781" s="34">
        <v>778</v>
      </c>
      <c r="K781" s="35">
        <f>Tableau!$G$36*COS(J781*PI()/180)+Tableau!$G$35</f>
        <v>-2350.4036788339772</v>
      </c>
      <c r="L781" s="35">
        <f>Tableau!$G$36*SIN(J781*PI()/180)+Tableau!$H$35</f>
        <v>-10759.759519217869</v>
      </c>
      <c r="N781" s="98">
        <v>777</v>
      </c>
      <c r="O781" s="99">
        <v>388.5</v>
      </c>
      <c r="P781" s="101">
        <f>P780+R780*Tableau!$G$2+((1/2)*T780)*Tableau!$G$2^2</f>
        <v>-26404368.944678172</v>
      </c>
      <c r="Q781" s="101">
        <f>Q780+S780*Tableau!$G$2+((1/2)*U780)*Tableau!$G$2^2</f>
        <v>12968895.724568399</v>
      </c>
      <c r="R781" s="101">
        <f>R780+T780*Tableau!$G$2</f>
        <v>-68697.937827188231</v>
      </c>
      <c r="S781" s="101">
        <f>S780+U780*Tableau!$G$2</f>
        <v>33800.597885555355</v>
      </c>
      <c r="T781" s="101">
        <f t="shared" si="24"/>
        <v>1.2720943722635315E-3</v>
      </c>
      <c r="U781" s="101">
        <f t="shared" si="25"/>
        <v>-6.2480986632427928E-4</v>
      </c>
      <c r="V781" s="101">
        <f>((Tableau!$G$16-P781)/(AC781^2+Tableau!$G$21^2)^(3/2))*Tableau!$G$20</f>
        <v>5.4267784963852933E-4</v>
      </c>
      <c r="W781" s="101">
        <f>((Tableau!$H$16-Q781)/(AC781^2+Tableau!$G$21^2)^(3/2))*Tableau!$G$20</f>
        <v>-2.6618847075776295E-4</v>
      </c>
      <c r="X781" s="101">
        <f>((Tableau!$G$25-P781)/(AD781^2+Tableau!$G$30^2)^(3/2))*Tableau!$G$29</f>
        <v>1.8655961815617562E-4</v>
      </c>
      <c r="Y781" s="101">
        <f>((Tableau!$H$25-Q781)/(AD781^2+Tableau!$G$30^2)^(3/2))*Tableau!$G$29</f>
        <v>-9.1630261961934013E-5</v>
      </c>
      <c r="Z781" s="101">
        <f>((Tableau!$G$35-P781)/(AE781^2+Tableau!$G$40^2)^(3/2))*Tableau!$G$39</f>
        <v>5.4285690446882653E-4</v>
      </c>
      <c r="AA781" s="102">
        <f>((Tableau!$H$35-Q781)/(AE781^2+Tableau!$G$40^2)^(3/2))*Tableau!$G$39</f>
        <v>-2.6699113360458237E-4</v>
      </c>
      <c r="AC781" s="113">
        <f>SQRT((Tableau!$G$16-P781)^2+(Tableau!$H$16-Q781)^2)</f>
        <v>29432041.268884704</v>
      </c>
      <c r="AD781" s="114">
        <f>SQRT((Tableau!$G$25-P781)^2+(Tableau!$H$25-Q781)^2)</f>
        <v>29395031.944346227</v>
      </c>
      <c r="AE781" s="115">
        <f>SQRT((Tableau!$G$35-P781)^2+(Tableau!$H$35-Q781)^2)</f>
        <v>29419521.220844228</v>
      </c>
    </row>
    <row r="782" spans="2:31" x14ac:dyDescent="0.25">
      <c r="B782" s="20">
        <v>779</v>
      </c>
      <c r="C782" s="21">
        <f>Tableau!$G$17*COS(B782*PI()/180)+Tableau!$G$16</f>
        <v>22575.190374550275</v>
      </c>
      <c r="D782" s="21">
        <f>Tableau!$G$17*SIN(B782*PI()/180)+Tableau!$H$16</f>
        <v>11785.83650351056</v>
      </c>
      <c r="F782" s="28">
        <v>779</v>
      </c>
      <c r="G782" s="29">
        <f>Tableau!$G$26*COS(F782*PI()/180)+Tableau!$G$25</f>
        <v>-18197.366737814809</v>
      </c>
      <c r="H782" s="29">
        <f>Tableau!$G$26*SIN(F782*PI()/180)+Tableau!$H$25</f>
        <v>13000.085552457393</v>
      </c>
      <c r="J782" s="36">
        <v>779</v>
      </c>
      <c r="K782" s="37">
        <f>Tableau!$G$36*COS(J782*PI()/180)+Tableau!$G$35</f>
        <v>-2424.8096254497264</v>
      </c>
      <c r="L782" s="37">
        <f>Tableau!$G$36*SIN(J782*PI()/180)+Tableau!$H$35</f>
        <v>-10714.16349648944</v>
      </c>
      <c r="N782" s="92">
        <v>778</v>
      </c>
      <c r="O782" s="93">
        <v>389</v>
      </c>
      <c r="P782" s="96">
        <f>P781+R781*Tableau!$G$2+((1/2)*T781)*Tableau!$G$2^2</f>
        <v>-26438717.913432755</v>
      </c>
      <c r="Q782" s="96">
        <f>Q781+S781*Tableau!$G$2+((1/2)*U781)*Tableau!$G$2^2</f>
        <v>12985796.023433076</v>
      </c>
      <c r="R782" s="96">
        <f>R781+T781*Tableau!$G$2</f>
        <v>-68697.937191141042</v>
      </c>
      <c r="S782" s="96">
        <f>S781+U781*Tableau!$G$2</f>
        <v>33800.597573150422</v>
      </c>
      <c r="T782" s="96">
        <f t="shared" si="24"/>
        <v>1.2687898971405357E-3</v>
      </c>
      <c r="U782" s="96">
        <f t="shared" si="25"/>
        <v>-6.2318822217863465E-4</v>
      </c>
      <c r="V782" s="96">
        <f>((Tableau!$G$16-P782)/(AC782^2+Tableau!$G$21^2)^(3/2))*Tableau!$G$20</f>
        <v>5.4126848748385268E-4</v>
      </c>
      <c r="W782" s="96">
        <f>((Tableau!$H$16-Q782)/(AC782^2+Tableau!$G$21^2)^(3/2))*Tableau!$G$20</f>
        <v>-2.6549822563983529E-4</v>
      </c>
      <c r="X782" s="96">
        <f>((Tableau!$G$25-P782)/(AD782^2+Tableau!$G$30^2)^(3/2))*Tableau!$G$29</f>
        <v>1.8607456618439995E-4</v>
      </c>
      <c r="Y782" s="96">
        <f>((Tableau!$H$25-Q782)/(AD782^2+Tableau!$G$30^2)^(3/2))*Tableau!$G$29</f>
        <v>-9.1392232729428633E-5</v>
      </c>
      <c r="Z782" s="96">
        <f>((Tableau!$G$35-P782)/(AE782^2+Tableau!$G$40^2)^(3/2))*Tableau!$G$39</f>
        <v>5.4144684347228302E-4</v>
      </c>
      <c r="AA782" s="97">
        <f>((Tableau!$H$35-Q782)/(AE782^2+Tableau!$G$40^2)^(3/2))*Tableau!$G$39</f>
        <v>-2.6629776380937071E-4</v>
      </c>
      <c r="AC782" s="110">
        <f>SQRT((Tableau!$G$16-P782)^2+(Tableau!$H$16-Q782)^2)</f>
        <v>29470322.721247323</v>
      </c>
      <c r="AD782" s="111">
        <f>SQRT((Tableau!$G$25-P782)^2+(Tableau!$H$25-Q782)^2)</f>
        <v>29433313.415775575</v>
      </c>
      <c r="AE782" s="112">
        <f>SQRT((Tableau!$G$35-P782)^2+(Tableau!$H$35-Q782)^2)</f>
        <v>29457802.700979736</v>
      </c>
    </row>
    <row r="783" spans="2:31" x14ac:dyDescent="0.25">
      <c r="B783" s="18">
        <v>780</v>
      </c>
      <c r="C783" s="19">
        <f>Tableau!$G$17*COS(B783*PI()/180)+Tableau!$G$16</f>
        <v>22500.000000000007</v>
      </c>
      <c r="D783" s="19">
        <f>Tableau!$G$17*SIN(B783*PI()/180)+Tableau!$H$16</f>
        <v>11830.127018922189</v>
      </c>
      <c r="F783" s="26">
        <v>780</v>
      </c>
      <c r="G783" s="27">
        <f>Tableau!$G$26*COS(F783*PI()/180)+Tableau!$G$25</f>
        <v>-18249.999999999996</v>
      </c>
      <c r="H783" s="27">
        <f>Tableau!$G$26*SIN(F783*PI()/180)+Tableau!$H$25</f>
        <v>13031.088913245532</v>
      </c>
      <c r="J783" s="34">
        <v>780</v>
      </c>
      <c r="K783" s="35">
        <f>Tableau!$G$36*COS(J783*PI()/180)+Tableau!$G$35</f>
        <v>-2499.9999999999927</v>
      </c>
      <c r="L783" s="35">
        <f>Tableau!$G$36*SIN(J783*PI()/180)+Tableau!$H$35</f>
        <v>-10669.872981077811</v>
      </c>
      <c r="N783" s="98">
        <v>779</v>
      </c>
      <c r="O783" s="99">
        <v>389.5</v>
      </c>
      <c r="P783" s="101">
        <f>P782+R782*Tableau!$G$2+((1/2)*T782)*Tableau!$G$2^2</f>
        <v>-26473066.881869726</v>
      </c>
      <c r="Q783" s="101">
        <f>Q782+S782*Tableau!$G$2+((1/2)*U782)*Tableau!$G$2^2</f>
        <v>13002696.322141754</v>
      </c>
      <c r="R783" s="101">
        <f>R782+T782*Tableau!$G$2</f>
        <v>-68697.936556746092</v>
      </c>
      <c r="S783" s="101">
        <f>S782+U782*Tableau!$G$2</f>
        <v>33800.597261556308</v>
      </c>
      <c r="T783" s="101">
        <f t="shared" si="24"/>
        <v>1.2654982812203535E-3</v>
      </c>
      <c r="U783" s="101">
        <f t="shared" si="25"/>
        <v>-6.215728831338276E-4</v>
      </c>
      <c r="V783" s="101">
        <f>((Tableau!$G$16-P783)/(AC783^2+Tableau!$G$21^2)^(3/2))*Tableau!$G$20</f>
        <v>5.3986460849531829E-4</v>
      </c>
      <c r="W783" s="101">
        <f>((Tableau!$H$16-Q783)/(AC783^2+Tableau!$G$21^2)^(3/2))*Tableau!$G$20</f>
        <v>-2.6481066182541319E-4</v>
      </c>
      <c r="X783" s="101">
        <f>((Tableau!$G$25-P783)/(AD783^2+Tableau!$G$30^2)^(3/2))*Tableau!$G$29</f>
        <v>1.8559140345117086E-4</v>
      </c>
      <c r="Y783" s="101">
        <f>((Tableau!$H$25-Q783)/(AD783^2+Tableau!$G$30^2)^(3/2))*Tableau!$G$29</f>
        <v>-9.1155129793053289E-5</v>
      </c>
      <c r="Z783" s="101">
        <f>((Tableau!$G$35-P783)/(AE783^2+Tableau!$G$40^2)^(3/2))*Tableau!$G$39</f>
        <v>5.400422692738644E-4</v>
      </c>
      <c r="AA783" s="102">
        <f>((Tableau!$H$35-Q783)/(AE783^2+Tableau!$G$40^2)^(3/2))*Tableau!$G$39</f>
        <v>-2.6560709151536111E-4</v>
      </c>
      <c r="AC783" s="113">
        <f>SQRT((Tableau!$G$16-P783)^2+(Tableau!$H$16-Q783)^2)</f>
        <v>29508604.173329327</v>
      </c>
      <c r="AD783" s="114">
        <f>SQRT((Tableau!$G$25-P783)^2+(Tableau!$H$25-Q783)^2)</f>
        <v>29471594.886874866</v>
      </c>
      <c r="AE783" s="115">
        <f>SQRT((Tableau!$G$35-P783)^2+(Tableau!$H$35-Q783)^2)</f>
        <v>29496084.18076257</v>
      </c>
    </row>
    <row r="784" spans="2:31" x14ac:dyDescent="0.25">
      <c r="B784" s="20">
        <v>781</v>
      </c>
      <c r="C784" s="21">
        <f>Tableau!$G$17*COS(B784*PI()/180)+Tableau!$G$16</f>
        <v>22424.048101231681</v>
      </c>
      <c r="D784" s="21">
        <f>Tableau!$G$17*SIN(B784*PI()/180)+Tableau!$H$16</f>
        <v>11873.098535696981</v>
      </c>
      <c r="F784" s="28">
        <v>781</v>
      </c>
      <c r="G784" s="29">
        <f>Tableau!$G$26*COS(F784*PI()/180)+Tableau!$G$25</f>
        <v>-18303.166329137821</v>
      </c>
      <c r="H784" s="29">
        <f>Tableau!$G$26*SIN(F784*PI()/180)+Tableau!$H$25</f>
        <v>13061.168974987886</v>
      </c>
      <c r="J784" s="36">
        <v>781</v>
      </c>
      <c r="K784" s="37">
        <f>Tableau!$G$36*COS(J784*PI()/180)+Tableau!$G$35</f>
        <v>-2575.9518987683182</v>
      </c>
      <c r="L784" s="37">
        <f>Tableau!$G$36*SIN(J784*PI()/180)+Tableau!$H$35</f>
        <v>-10626.901464303019</v>
      </c>
      <c r="N784" s="92">
        <v>780</v>
      </c>
      <c r="O784" s="93">
        <v>390</v>
      </c>
      <c r="P784" s="96">
        <f>P783+R783*Tableau!$G$2+((1/2)*T783)*Tableau!$G$2^2</f>
        <v>-26507415.849989913</v>
      </c>
      <c r="Q784" s="96">
        <f>Q783+S783*Tableau!$G$2+((1/2)*U783)*Tableau!$G$2^2</f>
        <v>13019596.620694835</v>
      </c>
      <c r="R784" s="96">
        <f>R783+T783*Tableau!$G$2</f>
        <v>-68697.935923996949</v>
      </c>
      <c r="S784" s="96">
        <f>S783+U783*Tableau!$G$2</f>
        <v>33800.596950769868</v>
      </c>
      <c r="T784" s="96">
        <f t="shared" si="24"/>
        <v>1.2622194578680523E-3</v>
      </c>
      <c r="U784" s="96">
        <f t="shared" si="25"/>
        <v>-6.1996381654571544E-4</v>
      </c>
      <c r="V784" s="96">
        <f>((Tableau!$G$16-P784)/(AC784^2+Tableau!$G$21^2)^(3/2))*Tableau!$G$20</f>
        <v>5.3846618426650714E-4</v>
      </c>
      <c r="W784" s="96">
        <f>((Tableau!$H$16-Q784)/(AC784^2+Tableau!$G$21^2)^(3/2))*Tableau!$G$20</f>
        <v>-2.6412576544485858E-4</v>
      </c>
      <c r="X784" s="96">
        <f>((Tableau!$G$25-P784)/(AD784^2+Tableau!$G$30^2)^(3/2))*Tableau!$G$29</f>
        <v>1.8511012015795831E-4</v>
      </c>
      <c r="Y784" s="96">
        <f>((Tableau!$H$25-Q784)/(AD784^2+Tableau!$G$30^2)^(3/2))*Tableau!$G$29</f>
        <v>-9.0918948352763018E-5</v>
      </c>
      <c r="Z784" s="96">
        <f>((Tableau!$G$35-P784)/(AE784^2+Tableau!$G$40^2)^(3/2))*Tableau!$G$39</f>
        <v>5.3864315344358694E-4</v>
      </c>
      <c r="AA784" s="97">
        <f>((Tableau!$H$35-Q784)/(AE784^2+Tableau!$G$40^2)^(3/2))*Tableau!$G$39</f>
        <v>-2.6491910274809379E-4</v>
      </c>
      <c r="AC784" s="110">
        <f>SQRT((Tableau!$G$16-P784)^2+(Tableau!$H$16-Q784)^2)</f>
        <v>29546885.625131357</v>
      </c>
      <c r="AD784" s="111">
        <f>SQRT((Tableau!$G$25-P784)^2+(Tableau!$H$25-Q784)^2)</f>
        <v>29509876.357644934</v>
      </c>
      <c r="AE784" s="112">
        <f>SQRT((Tableau!$G$35-P784)^2+(Tableau!$H$35-Q784)^2)</f>
        <v>29534365.660193648</v>
      </c>
    </row>
    <row r="785" spans="2:31" x14ac:dyDescent="0.25">
      <c r="B785" s="18">
        <v>782</v>
      </c>
      <c r="C785" s="19">
        <f>Tableau!$G$17*COS(B785*PI()/180)+Tableau!$G$16</f>
        <v>22347.357813929455</v>
      </c>
      <c r="D785" s="19">
        <f>Tableau!$G$17*SIN(B785*PI()/180)+Tableau!$H$16</f>
        <v>11914.737964294633</v>
      </c>
      <c r="F785" s="26">
        <v>782</v>
      </c>
      <c r="G785" s="27">
        <f>Tableau!$G$26*COS(F785*PI()/180)+Tableau!$G$25</f>
        <v>-18356.849530249383</v>
      </c>
      <c r="H785" s="27">
        <f>Tableau!$G$26*SIN(F785*PI()/180)+Tableau!$H$25</f>
        <v>13090.316575006244</v>
      </c>
      <c r="J785" s="34">
        <v>782</v>
      </c>
      <c r="K785" s="35">
        <f>Tableau!$G$36*COS(J785*PI()/180)+Tableau!$G$35</f>
        <v>-2652.6421860705445</v>
      </c>
      <c r="L785" s="35">
        <f>Tableau!$G$36*SIN(J785*PI()/180)+Tableau!$H$35</f>
        <v>-10585.262035705367</v>
      </c>
      <c r="N785" s="98">
        <v>781</v>
      </c>
      <c r="O785" s="99">
        <v>390.5</v>
      </c>
      <c r="P785" s="101">
        <f>P784+R784*Tableau!$G$2+((1/2)*T784)*Tableau!$G$2^2</f>
        <v>-26541764.817794133</v>
      </c>
      <c r="Q785" s="101">
        <f>Q784+S784*Tableau!$G$2+((1/2)*U784)*Tableau!$G$2^2</f>
        <v>13036496.919092724</v>
      </c>
      <c r="R785" s="101">
        <f>R784+T784*Tableau!$G$2</f>
        <v>-68697.935292887225</v>
      </c>
      <c r="S785" s="101">
        <f>S784+U784*Tableau!$G$2</f>
        <v>33800.59664078796</v>
      </c>
      <c r="T785" s="101">
        <f t="shared" si="24"/>
        <v>1.258953360879778E-3</v>
      </c>
      <c r="U785" s="101">
        <f t="shared" si="25"/>
        <v>-6.1836098998115725E-4</v>
      </c>
      <c r="V785" s="101">
        <f>((Tableau!$G$16-P785)/(AC785^2+Tableau!$G$21^2)^(3/2))*Tableau!$G$20</f>
        <v>5.3707318657473407E-4</v>
      </c>
      <c r="W785" s="101">
        <f>((Tableau!$H$16-Q785)/(AC785^2+Tableau!$G$21^2)^(3/2))*Tableau!$G$20</f>
        <v>-2.6344352271810543E-4</v>
      </c>
      <c r="X785" s="101">
        <f>((Tableau!$G$25-P785)/(AD785^2+Tableau!$G$30^2)^(3/2))*Tableau!$G$29</f>
        <v>1.8463070656966476E-4</v>
      </c>
      <c r="Y785" s="101">
        <f>((Tableau!$H$25-Q785)/(AD785^2+Tableau!$G$30^2)^(3/2))*Tableau!$G$29</f>
        <v>-9.068368363955981E-5</v>
      </c>
      <c r="Z785" s="101">
        <f>((Tableau!$G$35-P785)/(AE785^2+Tableau!$G$40^2)^(3/2))*Tableau!$G$39</f>
        <v>5.3724946773537935E-4</v>
      </c>
      <c r="AA785" s="102">
        <f>((Tableau!$H$35-Q785)/(AE785^2+Tableau!$G$40^2)^(3/2))*Tableau!$G$39</f>
        <v>-2.64233783623492E-4</v>
      </c>
      <c r="AC785" s="113">
        <f>SQRT((Tableau!$G$16-P785)^2+(Tableau!$H$16-Q785)^2)</f>
        <v>29585167.076654036</v>
      </c>
      <c r="AD785" s="114">
        <f>SQRT((Tableau!$G$25-P785)^2+(Tableau!$H$25-Q785)^2)</f>
        <v>29548157.828086592</v>
      </c>
      <c r="AE785" s="115">
        <f>SQRT((Tableau!$G$35-P785)^2+(Tableau!$H$35-Q785)^2)</f>
        <v>29572647.139273874</v>
      </c>
    </row>
    <row r="786" spans="2:31" x14ac:dyDescent="0.25">
      <c r="B786" s="20">
        <v>783</v>
      </c>
      <c r="C786" s="21">
        <f>Tableau!$G$17*COS(B786*PI()/180)+Tableau!$G$16</f>
        <v>22269.952498697741</v>
      </c>
      <c r="D786" s="21">
        <f>Tableau!$G$17*SIN(B786*PI()/180)+Tableau!$H$16</f>
        <v>11955.032620941836</v>
      </c>
      <c r="F786" s="28">
        <v>783</v>
      </c>
      <c r="G786" s="29">
        <f>Tableau!$G$26*COS(F786*PI()/180)+Tableau!$G$25</f>
        <v>-18411.033250911583</v>
      </c>
      <c r="H786" s="29">
        <f>Tableau!$G$26*SIN(F786*PI()/180)+Tableau!$H$25</f>
        <v>13118.522834659285</v>
      </c>
      <c r="J786" s="36">
        <v>783</v>
      </c>
      <c r="K786" s="37">
        <f>Tableau!$G$36*COS(J786*PI()/180)+Tableau!$G$35</f>
        <v>-2730.0475013022597</v>
      </c>
      <c r="L786" s="37">
        <f>Tableau!$G$36*SIN(J786*PI()/180)+Tableau!$H$35</f>
        <v>-10544.967379058164</v>
      </c>
      <c r="N786" s="92">
        <v>782</v>
      </c>
      <c r="O786" s="93">
        <v>391</v>
      </c>
      <c r="P786" s="96">
        <f>P785+R785*Tableau!$G$2+((1/2)*T785)*Tableau!$G$2^2</f>
        <v>-26576113.785283208</v>
      </c>
      <c r="Q786" s="96">
        <f>Q785+S785*Tableau!$G$2+((1/2)*U785)*Tableau!$G$2^2</f>
        <v>13053397.217335822</v>
      </c>
      <c r="R786" s="96">
        <f>R785+T785*Tableau!$G$2</f>
        <v>-68697.934663410546</v>
      </c>
      <c r="S786" s="96">
        <f>S785+U785*Tableau!$G$2</f>
        <v>33800.596331607463</v>
      </c>
      <c r="T786" s="96">
        <f t="shared" si="24"/>
        <v>1.255699924479361E-3</v>
      </c>
      <c r="U786" s="96">
        <f t="shared" si="25"/>
        <v>-6.1676437121635313E-4</v>
      </c>
      <c r="V786" s="96">
        <f>((Tableau!$G$16-P786)/(AC786^2+Tableau!$G$21^2)^(3/2))*Tableau!$G$20</f>
        <v>5.3568558737958263E-4</v>
      </c>
      <c r="W786" s="96">
        <f>((Tableau!$H$16-Q786)/(AC786^2+Tableau!$G$21^2)^(3/2))*Tableau!$G$20</f>
        <v>-2.6276391995394631E-4</v>
      </c>
      <c r="X786" s="96">
        <f>((Tableau!$G$25-P786)/(AD786^2+Tableau!$G$30^2)^(3/2))*Tableau!$G$29</f>
        <v>1.8415315301415102E-4</v>
      </c>
      <c r="Y786" s="96">
        <f>((Tableau!$H$25-Q786)/(AD786^2+Tableau!$G$30^2)^(3/2))*Tableau!$G$29</f>
        <v>-9.0449330915260608E-5</v>
      </c>
      <c r="Z786" s="96">
        <f>((Tableau!$G$35-P786)/(AE786^2+Tableau!$G$40^2)^(3/2))*Tableau!$G$39</f>
        <v>5.3586118408562738E-4</v>
      </c>
      <c r="AA786" s="97">
        <f>((Tableau!$H$35-Q786)/(AE786^2+Tableau!$G$40^2)^(3/2))*Tableau!$G$39</f>
        <v>-2.6355112034714625E-4</v>
      </c>
      <c r="AC786" s="110">
        <f>SQRT((Tableau!$G$16-P786)^2+(Tableau!$H$16-Q786)^2)</f>
        <v>29623448.527897999</v>
      </c>
      <c r="AD786" s="111">
        <f>SQRT((Tableau!$G$25-P786)^2+(Tableau!$H$25-Q786)^2)</f>
        <v>29586439.298200667</v>
      </c>
      <c r="AE786" s="112">
        <f>SQRT((Tableau!$G$35-P786)^2+(Tableau!$H$35-Q786)^2)</f>
        <v>29610928.618004166</v>
      </c>
    </row>
    <row r="787" spans="2:31" x14ac:dyDescent="0.25">
      <c r="B787" s="18">
        <v>784</v>
      </c>
      <c r="C787" s="19">
        <f>Tableau!$G$17*COS(B787*PI()/180)+Tableau!$G$16</f>
        <v>22191.855733945391</v>
      </c>
      <c r="D787" s="19">
        <f>Tableau!$G$17*SIN(B787*PI()/180)+Tableau!$H$16</f>
        <v>11993.970231495834</v>
      </c>
      <c r="F787" s="26">
        <v>784</v>
      </c>
      <c r="G787" s="27">
        <f>Tableau!$G$26*COS(F787*PI()/180)+Tableau!$G$25</f>
        <v>-18465.700986238226</v>
      </c>
      <c r="H787" s="27">
        <f>Tableau!$G$26*SIN(F787*PI()/180)+Tableau!$H$25</f>
        <v>13145.779162047083</v>
      </c>
      <c r="J787" s="34">
        <v>784</v>
      </c>
      <c r="K787" s="35">
        <f>Tableau!$G$36*COS(J787*PI()/180)+Tableau!$G$35</f>
        <v>-2808.1442660546095</v>
      </c>
      <c r="L787" s="35">
        <f>Tableau!$G$36*SIN(J787*PI()/180)+Tableau!$H$35</f>
        <v>-10506.029768504166</v>
      </c>
      <c r="N787" s="98">
        <v>783</v>
      </c>
      <c r="O787" s="99">
        <v>391.5</v>
      </c>
      <c r="P787" s="101">
        <f>P786+R786*Tableau!$G$2+((1/2)*T786)*Tableau!$G$2^2</f>
        <v>-26610462.75245795</v>
      </c>
      <c r="Q787" s="101">
        <f>Q786+S786*Tableau!$G$2+((1/2)*U786)*Tableau!$G$2^2</f>
        <v>13070297.515424531</v>
      </c>
      <c r="R787" s="101">
        <f>R786+T786*Tableau!$G$2</f>
        <v>-68697.934035560582</v>
      </c>
      <c r="S787" s="101">
        <f>S786+U786*Tableau!$G$2</f>
        <v>33800.596023225276</v>
      </c>
      <c r="T787" s="101">
        <f t="shared" si="24"/>
        <v>1.2524590833150667E-3</v>
      </c>
      <c r="U787" s="101">
        <f t="shared" si="25"/>
        <v>-6.1517392823525613E-4</v>
      </c>
      <c r="V787" s="101">
        <f>((Tableau!$G$16-P787)/(AC787^2+Tableau!$G$21^2)^(3/2))*Tableau!$G$20</f>
        <v>5.3430335882153604E-4</v>
      </c>
      <c r="W787" s="101">
        <f>((Tableau!$H$16-Q787)/(AC787^2+Tableau!$G$21^2)^(3/2))*Tableau!$G$20</f>
        <v>-2.6208694354936605E-4</v>
      </c>
      <c r="X787" s="101">
        <f>((Tableau!$G$25-P787)/(AD787^2+Tableau!$G$30^2)^(3/2))*Tableau!$G$29</f>
        <v>1.8367744988173886E-4</v>
      </c>
      <c r="Y787" s="101">
        <f>((Tableau!$H$25-Q787)/(AD787^2+Tableau!$G$30^2)^(3/2))*Tableau!$G$29</f>
        <v>-9.0215885472254211E-5</v>
      </c>
      <c r="Z787" s="101">
        <f>((Tableau!$G$35-P787)/(AE787^2+Tableau!$G$40^2)^(3/2))*Tableau!$G$39</f>
        <v>5.3447827461179176E-4</v>
      </c>
      <c r="AA787" s="102">
        <f>((Tableau!$H$35-Q787)/(AE787^2+Tableau!$G$40^2)^(3/2))*Tableau!$G$39</f>
        <v>-2.6287109921363592E-4</v>
      </c>
      <c r="AC787" s="113">
        <f>SQRT((Tableau!$G$16-P787)^2+(Tableau!$H$16-Q787)^2)</f>
        <v>29661729.978863869</v>
      </c>
      <c r="AD787" s="114">
        <f>SQRT((Tableau!$G$25-P787)^2+(Tableau!$H$25-Q787)^2)</f>
        <v>29624720.76798797</v>
      </c>
      <c r="AE787" s="115">
        <f>SQRT((Tableau!$G$35-P787)^2+(Tableau!$H$35-Q787)^2)</f>
        <v>29649210.096385412</v>
      </c>
    </row>
    <row r="788" spans="2:31" x14ac:dyDescent="0.25">
      <c r="B788" s="20">
        <v>785</v>
      </c>
      <c r="C788" s="21">
        <f>Tableau!$G$17*COS(B788*PI()/180)+Tableau!$G$16</f>
        <v>22113.091308703497</v>
      </c>
      <c r="D788" s="21">
        <f>Tableau!$G$17*SIN(B788*PI()/180)+Tableau!$H$16</f>
        <v>12031.538935183249</v>
      </c>
      <c r="F788" s="28">
        <v>785</v>
      </c>
      <c r="G788" s="29">
        <f>Tableau!$G$26*COS(F788*PI()/180)+Tableau!$G$25</f>
        <v>-18520.83608390755</v>
      </c>
      <c r="H788" s="29">
        <f>Tableau!$G$26*SIN(F788*PI()/180)+Tableau!$H$25</f>
        <v>13172.077254628275</v>
      </c>
      <c r="J788" s="36">
        <v>785</v>
      </c>
      <c r="K788" s="37">
        <f>Tableau!$G$36*COS(J788*PI()/180)+Tableau!$G$35</f>
        <v>-2886.9086912965026</v>
      </c>
      <c r="L788" s="37">
        <f>Tableau!$G$36*SIN(J788*PI()/180)+Tableau!$H$35</f>
        <v>-10468.461064816751</v>
      </c>
      <c r="N788" s="92">
        <v>784</v>
      </c>
      <c r="O788" s="93">
        <v>392</v>
      </c>
      <c r="P788" s="96">
        <f>P787+R787*Tableau!$G$2+((1/2)*T787)*Tableau!$G$2^2</f>
        <v>-26644811.719319172</v>
      </c>
      <c r="Q788" s="96">
        <f>Q787+S787*Tableau!$G$2+((1/2)*U787)*Tableau!$G$2^2</f>
        <v>13087197.813359246</v>
      </c>
      <c r="R788" s="96">
        <f>R787+T787*Tableau!$G$2</f>
        <v>-68697.933409331046</v>
      </c>
      <c r="S788" s="96">
        <f>S787+U787*Tableau!$G$2</f>
        <v>33800.595715638316</v>
      </c>
      <c r="T788" s="96">
        <f t="shared" si="24"/>
        <v>1.2492307724562596E-3</v>
      </c>
      <c r="U788" s="96">
        <f t="shared" si="25"/>
        <v>-6.1358962922794004E-4</v>
      </c>
      <c r="V788" s="96">
        <f>((Tableau!$G$16-P788)/(AC788^2+Tableau!$G$21^2)^(3/2))*Tableau!$G$20</f>
        <v>5.3292647322054161E-4</v>
      </c>
      <c r="W788" s="96">
        <f>((Tableau!$H$16-Q788)/(AC788^2+Tableau!$G$21^2)^(3/2))*Tableau!$G$20</f>
        <v>-2.6141257998884339E-4</v>
      </c>
      <c r="X788" s="96">
        <f>((Tableau!$G$25-P788)/(AD788^2+Tableau!$G$30^2)^(3/2))*Tableau!$G$29</f>
        <v>1.8320358762472649E-4</v>
      </c>
      <c r="Y788" s="96">
        <f>((Tableau!$H$25-Q788)/(AD788^2+Tableau!$G$30^2)^(3/2))*Tableau!$G$29</f>
        <v>-8.9983342633264082E-5</v>
      </c>
      <c r="Z788" s="96">
        <f>((Tableau!$G$35-P788)/(AE788^2+Tableau!$G$40^2)^(3/2))*Tableau!$G$39</f>
        <v>5.3310071161099149E-4</v>
      </c>
      <c r="AA788" s="97">
        <f>((Tableau!$H$35-Q788)/(AE788^2+Tableau!$G$40^2)^(3/2))*Tableau!$G$39</f>
        <v>-2.6219370660583258E-4</v>
      </c>
      <c r="AC788" s="110">
        <f>SQRT((Tableau!$G$16-P788)^2+(Tableau!$H$16-Q788)^2)</f>
        <v>29700011.429552276</v>
      </c>
      <c r="AD788" s="111">
        <f>SQRT((Tableau!$G$25-P788)^2+(Tableau!$H$25-Q788)^2)</f>
        <v>29663002.237449322</v>
      </c>
      <c r="AE788" s="112">
        <f>SQRT((Tableau!$G$35-P788)^2+(Tableau!$H$35-Q788)^2)</f>
        <v>29687491.574418526</v>
      </c>
    </row>
    <row r="789" spans="2:31" x14ac:dyDescent="0.25">
      <c r="B789" s="18">
        <v>786</v>
      </c>
      <c r="C789" s="19">
        <f>Tableau!$G$17*COS(B789*PI()/180)+Tableau!$G$16</f>
        <v>22033.683215379006</v>
      </c>
      <c r="D789" s="19">
        <f>Tableau!$G$17*SIN(B789*PI()/180)+Tableau!$H$16</f>
        <v>12067.727288213002</v>
      </c>
      <c r="F789" s="26">
        <v>786</v>
      </c>
      <c r="G789" s="27">
        <f>Tableau!$G$26*COS(F789*PI()/180)+Tableau!$G$25</f>
        <v>-18576.421749234694</v>
      </c>
      <c r="H789" s="27">
        <f>Tableau!$G$26*SIN(F789*PI()/180)+Tableau!$H$25</f>
        <v>13197.409101749101</v>
      </c>
      <c r="J789" s="34">
        <v>786</v>
      </c>
      <c r="K789" s="35">
        <f>Tableau!$G$36*COS(J789*PI()/180)+Tableau!$G$35</f>
        <v>-2966.3167846209935</v>
      </c>
      <c r="L789" s="35">
        <f>Tableau!$G$36*SIN(J789*PI()/180)+Tableau!$H$35</f>
        <v>-10432.272711786998</v>
      </c>
      <c r="N789" s="98">
        <v>785</v>
      </c>
      <c r="O789" s="99">
        <v>392.5</v>
      </c>
      <c r="P789" s="101">
        <f>P788+R788*Tableau!$G$2+((1/2)*T788)*Tableau!$G$2^2</f>
        <v>-26679160.685867686</v>
      </c>
      <c r="Q789" s="101">
        <f>Q788+S788*Tableau!$G$2+((1/2)*U788)*Tableau!$G$2^2</f>
        <v>13104098.111140367</v>
      </c>
      <c r="R789" s="101">
        <f>R788+T788*Tableau!$G$2</f>
        <v>-68697.932784715653</v>
      </c>
      <c r="S789" s="101">
        <f>S788+U788*Tableau!$G$2</f>
        <v>33800.595408843503</v>
      </c>
      <c r="T789" s="101">
        <f t="shared" si="24"/>
        <v>1.2460149273901995E-3</v>
      </c>
      <c r="U789" s="101">
        <f t="shared" si="25"/>
        <v>-6.1201144258903246E-4</v>
      </c>
      <c r="V789" s="101">
        <f>((Tableau!$G$16-P789)/(AC789^2+Tableau!$G$21^2)^(3/2))*Tableau!$G$20</f>
        <v>5.315549030746661E-4</v>
      </c>
      <c r="W789" s="101">
        <f>((Tableau!$H$16-Q789)/(AC789^2+Tableau!$G$21^2)^(3/2))*Tableau!$G$20</f>
        <v>-2.6074081584369591E-4</v>
      </c>
      <c r="X789" s="101">
        <f>((Tableau!$G$25-P789)/(AD789^2+Tableau!$G$30^2)^(3/2))*Tableau!$G$29</f>
        <v>1.8273155675691528E-4</v>
      </c>
      <c r="Y789" s="101">
        <f>((Tableau!$H$25-Q789)/(AD789^2+Tableau!$G$30^2)^(3/2))*Tableau!$G$29</f>
        <v>-8.9751697751117235E-5</v>
      </c>
      <c r="Z789" s="101">
        <f>((Tableau!$G$35-P789)/(AE789^2+Tableau!$G$40^2)^(3/2))*Tableau!$G$39</f>
        <v>5.317284675586181E-4</v>
      </c>
      <c r="AA789" s="102">
        <f>((Tableau!$H$35-Q789)/(AE789^2+Tableau!$G$40^2)^(3/2))*Tableau!$G$39</f>
        <v>-2.6151892899421936E-4</v>
      </c>
      <c r="AC789" s="113">
        <f>SQRT((Tableau!$G$16-P789)^2+(Tableau!$H$16-Q789)^2)</f>
        <v>29738292.879963841</v>
      </c>
      <c r="AD789" s="114">
        <f>SQRT((Tableau!$G$25-P789)^2+(Tableau!$H$25-Q789)^2)</f>
        <v>29701283.70658553</v>
      </c>
      <c r="AE789" s="115">
        <f>SQRT((Tableau!$G$35-P789)^2+(Tableau!$H$35-Q789)^2)</f>
        <v>29725773.052104399</v>
      </c>
    </row>
    <row r="790" spans="2:31" x14ac:dyDescent="0.25">
      <c r="B790" s="20">
        <v>787</v>
      </c>
      <c r="C790" s="21">
        <f>Tableau!$G$17*COS(B790*PI()/180)+Tableau!$G$16</f>
        <v>21953.655642446371</v>
      </c>
      <c r="D790" s="21">
        <f>Tableau!$G$17*SIN(B790*PI()/180)+Tableau!$H$16</f>
        <v>12102.524267262201</v>
      </c>
      <c r="F790" s="28">
        <v>787</v>
      </c>
      <c r="G790" s="29">
        <f>Tableau!$G$26*COS(F790*PI()/180)+Tableau!$G$25</f>
        <v>-18632.44105028754</v>
      </c>
      <c r="H790" s="29">
        <f>Tableau!$G$26*SIN(F790*PI()/180)+Tableau!$H$25</f>
        <v>13221.766987083542</v>
      </c>
      <c r="J790" s="36">
        <v>787</v>
      </c>
      <c r="K790" s="37">
        <f>Tableau!$G$36*COS(J790*PI()/180)+Tableau!$G$35</f>
        <v>-3046.3443575536294</v>
      </c>
      <c r="L790" s="37">
        <f>Tableau!$G$36*SIN(J790*PI()/180)+Tableau!$H$35</f>
        <v>-10397.475732737799</v>
      </c>
      <c r="N790" s="92">
        <v>786</v>
      </c>
      <c r="O790" s="93">
        <v>393</v>
      </c>
      <c r="P790" s="96">
        <f>P789+R789*Tableau!$G$2+((1/2)*T789)*Tableau!$G$2^2</f>
        <v>-26713509.652104292</v>
      </c>
      <c r="Q790" s="96">
        <f>Q789+S789*Tableau!$G$2+((1/2)*U789)*Tableau!$G$2^2</f>
        <v>13120998.408768287</v>
      </c>
      <c r="R790" s="96">
        <f>R789+T789*Tableau!$G$2</f>
        <v>-68697.932161708188</v>
      </c>
      <c r="S790" s="96">
        <f>S789+U789*Tableau!$G$2</f>
        <v>33800.595102837782</v>
      </c>
      <c r="T790" s="96">
        <f t="shared" si="24"/>
        <v>1.2428114840187794E-3</v>
      </c>
      <c r="U790" s="96">
        <f t="shared" si="25"/>
        <v>-6.1043933691611995E-4</v>
      </c>
      <c r="V790" s="96">
        <f>((Tableau!$G$16-P790)/(AC790^2+Tableau!$G$21^2)^(3/2))*Tableau!$G$20</f>
        <v>5.3018862105868409E-4</v>
      </c>
      <c r="W790" s="96">
        <f>((Tableau!$H$16-Q790)/(AC790^2+Tableau!$G$21^2)^(3/2))*Tableau!$G$20</f>
        <v>-2.60071637771393E-4</v>
      </c>
      <c r="X790" s="96">
        <f>((Tableau!$G$25-P790)/(AD790^2+Tableau!$G$30^2)^(3/2))*Tableau!$G$29</f>
        <v>1.8226134785313296E-4</v>
      </c>
      <c r="Y790" s="96">
        <f>((Tableau!$H$25-Q790)/(AD790^2+Tableau!$G$30^2)^(3/2))*Tableau!$G$29</f>
        <v>-8.9520946208510697E-5</v>
      </c>
      <c r="Z790" s="96">
        <f>((Tableau!$G$35-P790)/(AE790^2+Tableau!$G$40^2)^(3/2))*Tableau!$G$39</f>
        <v>5.3036151510696243E-4</v>
      </c>
      <c r="AA790" s="97">
        <f>((Tableau!$H$35-Q790)/(AE790^2+Tableau!$G$40^2)^(3/2))*Tableau!$G$39</f>
        <v>-2.6084675293621627E-4</v>
      </c>
      <c r="AC790" s="110">
        <f>SQRT((Tableau!$G$16-P790)^2+(Tableau!$H$16-Q790)^2)</f>
        <v>29776574.330099184</v>
      </c>
      <c r="AD790" s="111">
        <f>SQRT((Tableau!$G$25-P790)^2+(Tableau!$H$25-Q790)^2)</f>
        <v>29739565.175397396</v>
      </c>
      <c r="AE790" s="112">
        <f>SQRT((Tableau!$G$35-P790)^2+(Tableau!$H$35-Q790)^2)</f>
        <v>29764054.52944392</v>
      </c>
    </row>
    <row r="791" spans="2:31" x14ac:dyDescent="0.25">
      <c r="B791" s="18">
        <v>788</v>
      </c>
      <c r="C791" s="19">
        <f>Tableau!$G$17*COS(B791*PI()/180)+Tableau!$G$16</f>
        <v>21873.032967079569</v>
      </c>
      <c r="D791" s="19">
        <f>Tableau!$G$17*SIN(B791*PI()/180)+Tableau!$H$16</f>
        <v>12135.919272833933</v>
      </c>
      <c r="F791" s="26">
        <v>788</v>
      </c>
      <c r="G791" s="27">
        <f>Tableau!$G$26*COS(F791*PI()/180)+Tableau!$G$25</f>
        <v>-18688.876923044303</v>
      </c>
      <c r="H791" s="27">
        <f>Tableau!$G$26*SIN(F791*PI()/180)+Tableau!$H$25</f>
        <v>13245.143490983754</v>
      </c>
      <c r="J791" s="34">
        <v>788</v>
      </c>
      <c r="K791" s="35">
        <f>Tableau!$G$36*COS(J791*PI()/180)+Tableau!$G$35</f>
        <v>-3126.9670329204328</v>
      </c>
      <c r="L791" s="35">
        <f>Tableau!$G$36*SIN(J791*PI()/180)+Tableau!$H$35</f>
        <v>-10364.080727166067</v>
      </c>
      <c r="N791" s="98">
        <v>787</v>
      </c>
      <c r="O791" s="99">
        <v>393.5</v>
      </c>
      <c r="P791" s="101">
        <f>P790+R790*Tableau!$G$2+((1/2)*T790)*Tableau!$G$2^2</f>
        <v>-26747858.618029796</v>
      </c>
      <c r="Q791" s="101">
        <f>Q790+S790*Tableau!$G$2+((1/2)*U790)*Tableau!$G$2^2</f>
        <v>13137898.706243401</v>
      </c>
      <c r="R791" s="101">
        <f>R790+T790*Tableau!$G$2</f>
        <v>-68697.931540302452</v>
      </c>
      <c r="S791" s="101">
        <f>S790+U790*Tableau!$G$2</f>
        <v>33800.594797618112</v>
      </c>
      <c r="T791" s="101">
        <f t="shared" si="24"/>
        <v>1.2396203786553543E-3</v>
      </c>
      <c r="U791" s="101">
        <f t="shared" si="25"/>
        <v>-6.0887328100819676E-4</v>
      </c>
      <c r="V791" s="101">
        <f>((Tableau!$G$16-P791)/(AC791^2+Tableau!$G$21^2)^(3/2))*Tableau!$G$20</f>
        <v>5.2882760002274747E-4</v>
      </c>
      <c r="W791" s="101">
        <f>((Tableau!$H$16-Q791)/(AC791^2+Tableau!$G$21^2)^(3/2))*Tableau!$G$20</f>
        <v>-2.5940503251490829E-4</v>
      </c>
      <c r="X791" s="101">
        <f>((Tableau!$G$25-P791)/(AD791^2+Tableau!$G$30^2)^(3/2))*Tableau!$G$29</f>
        <v>1.817929515487556E-4</v>
      </c>
      <c r="Y791" s="101">
        <f>((Tableau!$H$25-Q791)/(AD791^2+Tableau!$G$30^2)^(3/2))*Tableau!$G$29</f>
        <v>-8.9291083417778106E-5</v>
      </c>
      <c r="Z791" s="101">
        <f>((Tableau!$G$35-P791)/(AE791^2+Tableau!$G$40^2)^(3/2))*Tableau!$G$39</f>
        <v>5.2899982708385133E-4</v>
      </c>
      <c r="AA791" s="102">
        <f>((Tableau!$H$35-Q791)/(AE791^2+Tableau!$G$40^2)^(3/2))*Tableau!$G$39</f>
        <v>-2.6017716507551028E-4</v>
      </c>
      <c r="AC791" s="113">
        <f>SQRT((Tableau!$G$16-P791)^2+(Tableau!$H$16-Q791)^2)</f>
        <v>29814855.77995893</v>
      </c>
      <c r="AD791" s="114">
        <f>SQRT((Tableau!$G$25-P791)^2+(Tableau!$H$25-Q791)^2)</f>
        <v>29777846.643885732</v>
      </c>
      <c r="AE791" s="115">
        <f>SQRT((Tableau!$G$35-P791)^2+(Tableau!$H$35-Q791)^2)</f>
        <v>29802336.006437983</v>
      </c>
    </row>
    <row r="792" spans="2:31" x14ac:dyDescent="0.25">
      <c r="B792" s="20">
        <v>789</v>
      </c>
      <c r="C792" s="21">
        <f>Tableau!$G$17*COS(B792*PI()/180)+Tableau!$G$16</f>
        <v>21791.839747726495</v>
      </c>
      <c r="D792" s="21">
        <f>Tableau!$G$17*SIN(B792*PI()/180)+Tableau!$H$16</f>
        <v>12167.902132486011</v>
      </c>
      <c r="F792" s="28">
        <v>789</v>
      </c>
      <c r="G792" s="29">
        <f>Tableau!$G$26*COS(F792*PI()/180)+Tableau!$G$25</f>
        <v>-18745.712176591453</v>
      </c>
      <c r="H792" s="29">
        <f>Tableau!$G$26*SIN(F792*PI()/180)+Tableau!$H$25</f>
        <v>13267.531492740207</v>
      </c>
      <c r="J792" s="36">
        <v>789</v>
      </c>
      <c r="K792" s="37">
        <f>Tableau!$G$36*COS(J792*PI()/180)+Tableau!$G$35</f>
        <v>-3208.1602522735029</v>
      </c>
      <c r="L792" s="37">
        <f>Tableau!$G$36*SIN(J792*PI()/180)+Tableau!$H$35</f>
        <v>-10332.097867513989</v>
      </c>
      <c r="N792" s="92">
        <v>788</v>
      </c>
      <c r="O792" s="93">
        <v>394</v>
      </c>
      <c r="P792" s="96">
        <f>P791+R791*Tableau!$G$2+((1/2)*T791)*Tableau!$G$2^2</f>
        <v>-26782207.583644994</v>
      </c>
      <c r="Q792" s="96">
        <f>Q791+S791*Tableau!$G$2+((1/2)*U791)*Tableau!$G$2^2</f>
        <v>13154799.003566101</v>
      </c>
      <c r="R792" s="96">
        <f>R791+T791*Tableau!$G$2</f>
        <v>-68697.930920492261</v>
      </c>
      <c r="S792" s="96">
        <f>S791+U791*Tableau!$G$2</f>
        <v>33800.594493181474</v>
      </c>
      <c r="T792" s="96">
        <f t="shared" si="24"/>
        <v>1.2364415480215878E-3</v>
      </c>
      <c r="U792" s="96">
        <f t="shared" si="25"/>
        <v>-6.0731324386412221E-4</v>
      </c>
      <c r="V792" s="96">
        <f>((Tableau!$G$16-P792)/(AC792^2+Tableau!$G$21^2)^(3/2))*Tableau!$G$20</f>
        <v>5.2747181299102027E-4</v>
      </c>
      <c r="W792" s="96">
        <f>((Tableau!$H$16-Q792)/(AC792^2+Tableau!$G$21^2)^(3/2))*Tableau!$G$20</f>
        <v>-2.587409869020549E-4</v>
      </c>
      <c r="X792" s="96">
        <f>((Tableau!$G$25-P792)/(AD792^2+Tableau!$G$30^2)^(3/2))*Tableau!$G$29</f>
        <v>1.8132635853925934E-4</v>
      </c>
      <c r="Y792" s="96">
        <f>((Tableau!$H$25-Q792)/(AD792^2+Tableau!$G$30^2)^(3/2))*Tableau!$G$29</f>
        <v>-8.9062104820670205E-5</v>
      </c>
      <c r="Z792" s="96">
        <f>((Tableau!$G$35-P792)/(AE792^2+Tableau!$G$40^2)^(3/2))*Tableau!$G$39</f>
        <v>5.2764337649130824E-4</v>
      </c>
      <c r="AA792" s="97">
        <f>((Tableau!$H$35-Q792)/(AE792^2+Tableau!$G$40^2)^(3/2))*Tableau!$G$39</f>
        <v>-2.595101521413971E-4</v>
      </c>
      <c r="AC792" s="110">
        <f>SQRT((Tableau!$G$16-P792)^2+(Tableau!$H$16-Q792)^2)</f>
        <v>29853137.22954369</v>
      </c>
      <c r="AD792" s="111">
        <f>SQRT((Tableau!$G$25-P792)^2+(Tableau!$H$25-Q792)^2)</f>
        <v>29816128.112051338</v>
      </c>
      <c r="AE792" s="112">
        <f>SQRT((Tableau!$G$35-P792)^2+(Tableau!$H$35-Q792)^2)</f>
        <v>29840617.483087473</v>
      </c>
    </row>
    <row r="793" spans="2:31" x14ac:dyDescent="0.25">
      <c r="B793" s="18">
        <v>790</v>
      </c>
      <c r="C793" s="19">
        <f>Tableau!$G$17*COS(B793*PI()/180)+Tableau!$G$16</f>
        <v>21710.100716628345</v>
      </c>
      <c r="D793" s="19">
        <f>Tableau!$G$17*SIN(B793*PI()/180)+Tableau!$H$16</f>
        <v>12198.463103929542</v>
      </c>
      <c r="F793" s="26">
        <v>790</v>
      </c>
      <c r="G793" s="27">
        <f>Tableau!$G$26*COS(F793*PI()/180)+Tableau!$G$25</f>
        <v>-18802.929498360158</v>
      </c>
      <c r="H793" s="27">
        <f>Tableau!$G$26*SIN(F793*PI()/180)+Tableau!$H$25</f>
        <v>13288.92417275068</v>
      </c>
      <c r="J793" s="34">
        <v>790</v>
      </c>
      <c r="K793" s="35">
        <f>Tableau!$G$36*COS(J793*PI()/180)+Tableau!$G$35</f>
        <v>-3289.8992833716557</v>
      </c>
      <c r="L793" s="35">
        <f>Tableau!$G$36*SIN(J793*PI()/180)+Tableau!$H$35</f>
        <v>-10301.536896070458</v>
      </c>
      <c r="N793" s="98">
        <v>789</v>
      </c>
      <c r="O793" s="99">
        <v>394.5</v>
      </c>
      <c r="P793" s="101">
        <f>P792+R792*Tableau!$G$2+((1/2)*T792)*Tableau!$G$2^2</f>
        <v>-26816556.548950683</v>
      </c>
      <c r="Q793" s="101">
        <f>Q792+S792*Tableau!$G$2+((1/2)*U792)*Tableau!$G$2^2</f>
        <v>13171699.300736777</v>
      </c>
      <c r="R793" s="101">
        <f>R792+T792*Tableau!$G$2</f>
        <v>-68697.930302271488</v>
      </c>
      <c r="S793" s="101">
        <f>S792+U792*Tableau!$G$2</f>
        <v>33800.594189524854</v>
      </c>
      <c r="T793" s="101">
        <f t="shared" si="24"/>
        <v>1.2332749292442639E-3</v>
      </c>
      <c r="U793" s="101">
        <f t="shared" si="25"/>
        <v>-6.0575919468106249E-4</v>
      </c>
      <c r="V793" s="101">
        <f>((Tableau!$G$16-P793)/(AC793^2+Tableau!$G$21^2)^(3/2))*Tableau!$G$20</f>
        <v>5.2612123316033246E-4</v>
      </c>
      <c r="W793" s="101">
        <f>((Tableau!$H$16-Q793)/(AC793^2+Tableau!$G$21^2)^(3/2))*Tableau!$G$20</f>
        <v>-2.5807948784483038E-4</v>
      </c>
      <c r="X793" s="101">
        <f>((Tableau!$G$25-P793)/(AD793^2+Tableau!$G$30^2)^(3/2))*Tableau!$G$29</f>
        <v>1.8086155957973714E-4</v>
      </c>
      <c r="Y793" s="101">
        <f>((Tableau!$H$25-Q793)/(AD793^2+Tableau!$G$30^2)^(3/2))*Tableau!$G$29</f>
        <v>-8.8834005888118643E-5</v>
      </c>
      <c r="Z793" s="101">
        <f>((Tableau!$G$35-P793)/(AE793^2+Tableau!$G$40^2)^(3/2))*Tableau!$G$39</f>
        <v>5.2629213650419427E-4</v>
      </c>
      <c r="AA793" s="102">
        <f>((Tableau!$H$35-Q793)/(AE793^2+Tableau!$G$40^2)^(3/2))*Tableau!$G$39</f>
        <v>-2.5884570094811352E-4</v>
      </c>
      <c r="AC793" s="113">
        <f>SQRT((Tableau!$G$16-P793)^2+(Tableau!$H$16-Q793)^2)</f>
        <v>29891418.678854078</v>
      </c>
      <c r="AD793" s="114">
        <f>SQRT((Tableau!$G$25-P793)^2+(Tableau!$H$25-Q793)^2)</f>
        <v>29854409.579895008</v>
      </c>
      <c r="AE793" s="115">
        <f>SQRT((Tableau!$G$35-P793)^2+(Tableau!$H$35-Q793)^2)</f>
        <v>29878898.959393267</v>
      </c>
    </row>
    <row r="794" spans="2:31" x14ac:dyDescent="0.25">
      <c r="B794" s="20">
        <v>791</v>
      </c>
      <c r="C794" s="21">
        <f>Tableau!$G$17*COS(B794*PI()/180)+Tableau!$G$16</f>
        <v>21627.840772285788</v>
      </c>
      <c r="D794" s="21">
        <f>Tableau!$G$17*SIN(B794*PI()/180)+Tableau!$H$16</f>
        <v>12227.592877996582</v>
      </c>
      <c r="F794" s="28">
        <v>791</v>
      </c>
      <c r="G794" s="29">
        <f>Tableau!$G$26*COS(F794*PI()/180)+Tableau!$G$25</f>
        <v>-18860.511459399946</v>
      </c>
      <c r="H794" s="29">
        <f>Tableau!$G$26*SIN(F794*PI()/180)+Tableau!$H$25</f>
        <v>13309.315014597607</v>
      </c>
      <c r="J794" s="36">
        <v>791</v>
      </c>
      <c r="K794" s="37">
        <f>Tableau!$G$36*COS(J794*PI()/180)+Tableau!$G$35</f>
        <v>-3372.1592277142108</v>
      </c>
      <c r="L794" s="37">
        <f>Tableau!$G$36*SIN(J794*PI()/180)+Tableau!$H$35</f>
        <v>-10272.407122003418</v>
      </c>
      <c r="N794" s="92">
        <v>790</v>
      </c>
      <c r="O794" s="93">
        <v>395</v>
      </c>
      <c r="P794" s="96">
        <f>P793+R793*Tableau!$G$2+((1/2)*T793)*Tableau!$G$2^2</f>
        <v>-26850905.513947658</v>
      </c>
      <c r="Q794" s="96">
        <f>Q793+S793*Tableau!$G$2+((1/2)*U793)*Tableau!$G$2^2</f>
        <v>13188599.59775582</v>
      </c>
      <c r="R794" s="96">
        <f>R793+T793*Tableau!$G$2</f>
        <v>-68697.929685634022</v>
      </c>
      <c r="S794" s="96">
        <f>S793+U793*Tableau!$G$2</f>
        <v>33800.593886645256</v>
      </c>
      <c r="T794" s="96">
        <f t="shared" si="24"/>
        <v>1.2301204598522391E-3</v>
      </c>
      <c r="U794" s="96">
        <f t="shared" si="25"/>
        <v>-6.0421110285299902E-4</v>
      </c>
      <c r="V794" s="96">
        <f>((Tableau!$G$16-P794)/(AC794^2+Tableau!$G$21^2)^(3/2))*Tableau!$G$20</f>
        <v>5.2477583389887899E-4</v>
      </c>
      <c r="W794" s="96">
        <f>((Tableau!$H$16-Q794)/(AC794^2+Tableau!$G$21^2)^(3/2))*Tableau!$G$20</f>
        <v>-2.5742052233878292E-4</v>
      </c>
      <c r="X794" s="96">
        <f>((Tableau!$G$25-P794)/(AD794^2+Tableau!$G$30^2)^(3/2))*Tableau!$G$29</f>
        <v>1.8039854548445463E-4</v>
      </c>
      <c r="Y794" s="96">
        <f>((Tableau!$H$25-Q794)/(AD794^2+Tableau!$G$30^2)^(3/2))*Tableau!$G$29</f>
        <v>-8.8606782120018705E-5</v>
      </c>
      <c r="Z794" s="96">
        <f>((Tableau!$G$35-P794)/(AE794^2+Tableau!$G$40^2)^(3/2))*Tableau!$G$39</f>
        <v>5.249460804689055E-4</v>
      </c>
      <c r="AA794" s="97">
        <f>((Tableau!$H$35-Q794)/(AE794^2+Tableau!$G$40^2)^(3/2))*Tableau!$G$39</f>
        <v>-2.5818379839419737E-4</v>
      </c>
      <c r="AC794" s="110">
        <f>SQRT((Tableau!$G$16-P794)^2+(Tableau!$H$16-Q794)^2)</f>
        <v>29929700.12789071</v>
      </c>
      <c r="AD794" s="111">
        <f>SQRT((Tableau!$G$25-P794)^2+(Tableau!$H$25-Q794)^2)</f>
        <v>29892691.04741754</v>
      </c>
      <c r="AE794" s="112">
        <f>SQRT((Tableau!$G$35-P794)^2+(Tableau!$H$35-Q794)^2)</f>
        <v>29917180.435356252</v>
      </c>
    </row>
    <row r="795" spans="2:31" x14ac:dyDescent="0.25">
      <c r="B795" s="18">
        <v>792</v>
      </c>
      <c r="C795" s="19">
        <f>Tableau!$G$17*COS(B795*PI()/180)+Tableau!$G$16</f>
        <v>21545.08497187473</v>
      </c>
      <c r="D795" s="19">
        <f>Tableau!$G$17*SIN(B795*PI()/180)+Tableau!$H$16</f>
        <v>12255.282581475771</v>
      </c>
      <c r="F795" s="26">
        <v>792</v>
      </c>
      <c r="G795" s="27">
        <f>Tableau!$G$26*COS(F795*PI()/180)+Tableau!$G$25</f>
        <v>-18918.440519687687</v>
      </c>
      <c r="H795" s="27">
        <f>Tableau!$G$26*SIN(F795*PI()/180)+Tableau!$H$25</f>
        <v>13328.697807033039</v>
      </c>
      <c r="J795" s="34">
        <v>792</v>
      </c>
      <c r="K795" s="35">
        <f>Tableau!$G$36*COS(J795*PI()/180)+Tableau!$G$35</f>
        <v>-3454.9150281252687</v>
      </c>
      <c r="L795" s="35">
        <f>Tableau!$G$36*SIN(J795*PI()/180)+Tableau!$H$35</f>
        <v>-10244.717418524229</v>
      </c>
      <c r="N795" s="98">
        <v>791</v>
      </c>
      <c r="O795" s="99">
        <v>395.5</v>
      </c>
      <c r="P795" s="101">
        <f>P794+R794*Tableau!$G$2+((1/2)*T794)*Tableau!$G$2^2</f>
        <v>-26885254.478636712</v>
      </c>
      <c r="Q795" s="101">
        <f>Q794+S794*Tableau!$G$2+((1/2)*U794)*Tableau!$G$2^2</f>
        <v>13205499.894623615</v>
      </c>
      <c r="R795" s="101">
        <f>R794+T794*Tableau!$G$2</f>
        <v>-68697.929070573795</v>
      </c>
      <c r="S795" s="101">
        <f>S794+U794*Tableau!$G$2</f>
        <v>33800.593584539703</v>
      </c>
      <c r="T795" s="101">
        <f t="shared" si="24"/>
        <v>1.2269780777733044E-3</v>
      </c>
      <c r="U795" s="101">
        <f t="shared" si="25"/>
        <v>-6.0266893796919396E-4</v>
      </c>
      <c r="V795" s="101">
        <f>((Tableau!$G$16-P795)/(AC795^2+Tableau!$G$21^2)^(3/2))*Tableau!$G$20</f>
        <v>5.2343558874489132E-4</v>
      </c>
      <c r="W795" s="101">
        <f>((Tableau!$H$16-Q795)/(AC795^2+Tableau!$G$21^2)^(3/2))*Tableau!$G$20</f>
        <v>-2.5676407746236523E-4</v>
      </c>
      <c r="X795" s="101">
        <f>((Tableau!$G$25-P795)/(AD795^2+Tableau!$G$30^2)^(3/2))*Tableau!$G$29</f>
        <v>1.7993730712639113E-4</v>
      </c>
      <c r="Y795" s="101">
        <f>((Tableau!$H$25-Q795)/(AD795^2+Tableau!$G$30^2)^(3/2))*Tableau!$G$29</f>
        <v>-8.8380429045004864E-5</v>
      </c>
      <c r="Z795" s="101">
        <f>((Tableau!$G$35-P795)/(AE795^2+Tableau!$G$40^2)^(3/2))*Tableau!$G$39</f>
        <v>5.236051819020221E-4</v>
      </c>
      <c r="AA795" s="102">
        <f>((Tableau!$H$35-Q795)/(AE795^2+Tableau!$G$40^2)^(3/2))*Tableau!$G$39</f>
        <v>-2.5752443146182387E-4</v>
      </c>
      <c r="AC795" s="113">
        <f>SQRT((Tableau!$G$16-P795)^2+(Tableau!$H$16-Q795)^2)</f>
        <v>29967981.576654203</v>
      </c>
      <c r="AD795" s="114">
        <f>SQRT((Tableau!$G$25-P795)^2+(Tableau!$H$25-Q795)^2)</f>
        <v>29930972.51461973</v>
      </c>
      <c r="AE795" s="115">
        <f>SQRT((Tableau!$G$35-P795)^2+(Tableau!$H$35-Q795)^2)</f>
        <v>29955461.910977304</v>
      </c>
    </row>
    <row r="796" spans="2:31" x14ac:dyDescent="0.25">
      <c r="B796" s="20">
        <v>793</v>
      </c>
      <c r="C796" s="21">
        <f>Tableau!$G$17*COS(B796*PI()/180)+Tableau!$G$16</f>
        <v>21461.858523613682</v>
      </c>
      <c r="D796" s="21">
        <f>Tableau!$G$17*SIN(B796*PI()/180)+Tableau!$H$16</f>
        <v>12281.523779815177</v>
      </c>
      <c r="F796" s="28">
        <v>793</v>
      </c>
      <c r="G796" s="29">
        <f>Tableau!$G$26*COS(F796*PI()/180)+Tableau!$G$25</f>
        <v>-18976.699033470421</v>
      </c>
      <c r="H796" s="29">
        <f>Tableau!$G$26*SIN(F796*PI()/180)+Tableau!$H$25</f>
        <v>13347.066645870626</v>
      </c>
      <c r="J796" s="36">
        <v>793</v>
      </c>
      <c r="K796" s="37">
        <f>Tableau!$G$36*COS(J796*PI()/180)+Tableau!$G$35</f>
        <v>-3538.1414763863168</v>
      </c>
      <c r="L796" s="37">
        <f>Tableau!$G$36*SIN(J796*PI()/180)+Tableau!$H$35</f>
        <v>-10218.476220184823</v>
      </c>
      <c r="N796" s="92">
        <v>792</v>
      </c>
      <c r="O796" s="93">
        <v>396</v>
      </c>
      <c r="P796" s="96">
        <f>P795+R795*Tableau!$G$2+((1/2)*T795)*Tableau!$G$2^2</f>
        <v>-26919603.443018626</v>
      </c>
      <c r="Q796" s="96">
        <f>Q795+S795*Tableau!$G$2+((1/2)*U795)*Tableau!$G$2^2</f>
        <v>13222400.191340553</v>
      </c>
      <c r="R796" s="96">
        <f>R795+T795*Tableau!$G$2</f>
        <v>-68697.928457084752</v>
      </c>
      <c r="S796" s="96">
        <f>S795+U795*Tableau!$G$2</f>
        <v>33800.593283205235</v>
      </c>
      <c r="T796" s="96">
        <f t="shared" si="24"/>
        <v>1.2238477213311802E-3</v>
      </c>
      <c r="U796" s="96">
        <f t="shared" si="25"/>
        <v>-6.0113266981272025E-4</v>
      </c>
      <c r="V796" s="96">
        <f>((Tableau!$G$16-P796)/(AC796^2+Tableau!$G$21^2)^(3/2))*Tableau!$G$20</f>
        <v>5.2210047140534028E-4</v>
      </c>
      <c r="W796" s="96">
        <f>((Tableau!$H$16-Q796)/(AC796^2+Tableau!$G$21^2)^(3/2))*Tableau!$G$20</f>
        <v>-2.5611014037630258E-4</v>
      </c>
      <c r="X796" s="96">
        <f>((Tableau!$G$25-P796)/(AD796^2+Tableau!$G$30^2)^(3/2))*Tableau!$G$29</f>
        <v>1.7947783543679382E-4</v>
      </c>
      <c r="Y796" s="96">
        <f>((Tableau!$H$25-Q796)/(AD796^2+Tableau!$G$30^2)^(3/2))*Tableau!$G$29</f>
        <v>-8.8154942220232822E-5</v>
      </c>
      <c r="Z796" s="96">
        <f>((Tableau!$G$35-P796)/(AE796^2+Tableau!$G$40^2)^(3/2))*Tableau!$G$39</f>
        <v>5.2226941448904607E-4</v>
      </c>
      <c r="AA796" s="97">
        <f>((Tableau!$H$35-Q796)/(AE796^2+Tableau!$G$40^2)^(3/2))*Tableau!$G$39</f>
        <v>-2.5686758721618484E-4</v>
      </c>
      <c r="AC796" s="110">
        <f>SQRT((Tableau!$G$16-P796)^2+(Tableau!$H$16-Q796)^2)</f>
        <v>30006263.025145158</v>
      </c>
      <c r="AD796" s="111">
        <f>SQRT((Tableau!$G$25-P796)^2+(Tableau!$H$25-Q796)^2)</f>
        <v>29969253.981502365</v>
      </c>
      <c r="AE796" s="112">
        <f>SQRT((Tableau!$G$35-P796)^2+(Tableau!$H$35-Q796)^2)</f>
        <v>29993743.386257291</v>
      </c>
    </row>
    <row r="797" spans="2:31" x14ac:dyDescent="0.25">
      <c r="B797" s="18">
        <v>794</v>
      </c>
      <c r="C797" s="19">
        <f>Tableau!$G$17*COS(B797*PI()/180)+Tableau!$G$16</f>
        <v>21378.186779085001</v>
      </c>
      <c r="D797" s="19">
        <f>Tableau!$G$17*SIN(B797*PI()/180)+Tableau!$H$16</f>
        <v>12306.308479691594</v>
      </c>
      <c r="F797" s="26">
        <v>794</v>
      </c>
      <c r="G797" s="27">
        <f>Tableau!$G$26*COS(F797*PI()/180)+Tableau!$G$25</f>
        <v>-19035.269254640501</v>
      </c>
      <c r="H797" s="27">
        <f>Tableau!$G$26*SIN(F797*PI()/180)+Tableau!$H$25</f>
        <v>13364.415935784114</v>
      </c>
      <c r="J797" s="34">
        <v>794</v>
      </c>
      <c r="K797" s="35">
        <f>Tableau!$G$36*COS(J797*PI()/180)+Tableau!$G$35</f>
        <v>-3621.8132209149994</v>
      </c>
      <c r="L797" s="35">
        <f>Tableau!$G$36*SIN(J797*PI()/180)+Tableau!$H$35</f>
        <v>-10193.691520308406</v>
      </c>
      <c r="N797" s="98">
        <v>793</v>
      </c>
      <c r="O797" s="99">
        <v>396.5</v>
      </c>
      <c r="P797" s="101">
        <f>P796+R796*Tableau!$G$2+((1/2)*T796)*Tableau!$G$2^2</f>
        <v>-26953952.407094184</v>
      </c>
      <c r="Q797" s="101">
        <f>Q796+S796*Tableau!$G$2+((1/2)*U796)*Tableau!$G$2^2</f>
        <v>13239300.487907015</v>
      </c>
      <c r="R797" s="101">
        <f>R796+T796*Tableau!$G$2</f>
        <v>-68697.927845160884</v>
      </c>
      <c r="S797" s="101">
        <f>S796+U796*Tableau!$G$2</f>
        <v>33800.592982638897</v>
      </c>
      <c r="T797" s="101">
        <f t="shared" si="24"/>
        <v>1.2207293292424697E-3</v>
      </c>
      <c r="U797" s="101">
        <f t="shared" si="25"/>
        <v>-5.9960226835897249E-4</v>
      </c>
      <c r="V797" s="101">
        <f>((Tableau!$G$16-P797)/(AC797^2+Tableau!$G$21^2)^(3/2))*Tableau!$G$20</f>
        <v>5.2077045575464761E-4</v>
      </c>
      <c r="W797" s="101">
        <f>((Tableau!$H$16-Q797)/(AC797^2+Tableau!$G$21^2)^(3/2))*Tableau!$G$20</f>
        <v>-2.5545869832296561E-4</v>
      </c>
      <c r="X797" s="101">
        <f>((Tableau!$G$25-P797)/(AD797^2+Tableau!$G$30^2)^(3/2))*Tableau!$G$29</f>
        <v>1.7902012140472531E-4</v>
      </c>
      <c r="Y797" s="101">
        <f>((Tableau!$H$25-Q797)/(AD797^2+Tableau!$G$30^2)^(3/2))*Tableau!$G$29</f>
        <v>-8.7930317231158097E-5</v>
      </c>
      <c r="Z797" s="101">
        <f>((Tableau!$G$35-P797)/(AE797^2+Tableau!$G$40^2)^(3/2))*Tableau!$G$39</f>
        <v>5.2093875208309684E-4</v>
      </c>
      <c r="AA797" s="102">
        <f>((Tableau!$H$35-Q797)/(AE797^2+Tableau!$G$40^2)^(3/2))*Tableau!$G$39</f>
        <v>-2.5621325280484887E-4</v>
      </c>
      <c r="AC797" s="113">
        <f>SQRT((Tableau!$G$16-P797)^2+(Tableau!$H$16-Q797)^2)</f>
        <v>30044544.473364186</v>
      </c>
      <c r="AD797" s="114">
        <f>SQRT((Tableau!$G$25-P797)^2+(Tableau!$H$25-Q797)^2)</f>
        <v>30007535.448066231</v>
      </c>
      <c r="AE797" s="115">
        <f>SQRT((Tableau!$G$35-P797)^2+(Tableau!$H$35-Q797)^2)</f>
        <v>30032024.86119708</v>
      </c>
    </row>
    <row r="798" spans="2:31" x14ac:dyDescent="0.25">
      <c r="B798" s="20">
        <v>795</v>
      </c>
      <c r="C798" s="21">
        <f>Tableau!$G$17*COS(B798*PI()/180)+Tableau!$G$16</f>
        <v>21294.095225512614</v>
      </c>
      <c r="D798" s="21">
        <f>Tableau!$G$17*SIN(B798*PI()/180)+Tableau!$H$16</f>
        <v>12329.629131445339</v>
      </c>
      <c r="F798" s="28">
        <v>795</v>
      </c>
      <c r="G798" s="29">
        <f>Tableau!$G$26*COS(F798*PI()/180)+Tableau!$G$25</f>
        <v>-19094.133342141169</v>
      </c>
      <c r="H798" s="29">
        <f>Tableau!$G$26*SIN(F798*PI()/180)+Tableau!$H$25</f>
        <v>13380.740392011738</v>
      </c>
      <c r="J798" s="36">
        <v>795</v>
      </c>
      <c r="K798" s="37">
        <f>Tableau!$G$36*COS(J798*PI()/180)+Tableau!$G$35</f>
        <v>-3705.904774487386</v>
      </c>
      <c r="L798" s="37">
        <f>Tableau!$G$36*SIN(J798*PI()/180)+Tableau!$H$35</f>
        <v>-10170.370868554661</v>
      </c>
      <c r="N798" s="92">
        <v>794</v>
      </c>
      <c r="O798" s="93">
        <v>397</v>
      </c>
      <c r="P798" s="96">
        <f>P797+R797*Tableau!$G$2+((1/2)*T797)*Tableau!$G$2^2</f>
        <v>-26988301.370864172</v>
      </c>
      <c r="Q798" s="96">
        <f>Q797+S797*Tableau!$G$2+((1/2)*U797)*Tableau!$G$2^2</f>
        <v>13256200.784323383</v>
      </c>
      <c r="R798" s="96">
        <f>R797+T797*Tableau!$G$2</f>
        <v>-68697.927234796225</v>
      </c>
      <c r="S798" s="96">
        <f>S797+U797*Tableau!$G$2</f>
        <v>33800.592682837763</v>
      </c>
      <c r="T798" s="96">
        <f t="shared" si="24"/>
        <v>1.2176228406136579E-3</v>
      </c>
      <c r="U798" s="96">
        <f t="shared" si="25"/>
        <v>-5.9807770377419758E-4</v>
      </c>
      <c r="V798" s="96">
        <f>((Tableau!$G$16-P798)/(AC798^2+Tableau!$G$21^2)^(3/2))*Tableau!$G$20</f>
        <v>5.1944551583340626E-4</v>
      </c>
      <c r="W798" s="96">
        <f>((Tableau!$H$16-Q798)/(AC798^2+Tableau!$G$21^2)^(3/2))*Tableau!$G$20</f>
        <v>-2.5480973862574736E-4</v>
      </c>
      <c r="X798" s="96">
        <f>((Tableau!$G$25-P798)/(AD798^2+Tableau!$G$30^2)^(3/2))*Tableau!$G$29</f>
        <v>1.7856415607662778E-4</v>
      </c>
      <c r="Y798" s="96">
        <f>((Tableau!$H$25-Q798)/(AD798^2+Tableau!$G$30^2)^(3/2))*Tableau!$G$29</f>
        <v>-8.77065496913229E-5</v>
      </c>
      <c r="Z798" s="96">
        <f>((Tableau!$G$35-P798)/(AE798^2+Tableau!$G$40^2)^(3/2))*Tableau!$G$39</f>
        <v>5.1961316870362381E-4</v>
      </c>
      <c r="AA798" s="97">
        <f>((Tableau!$H$35-Q798)/(AE798^2+Tableau!$G$40^2)^(3/2))*Tableau!$G$39</f>
        <v>-2.5556141545712732E-4</v>
      </c>
      <c r="AC798" s="110">
        <f>SQRT((Tableau!$G$16-P798)^2+(Tableau!$H$16-Q798)^2)</f>
        <v>30082825.921311889</v>
      </c>
      <c r="AD798" s="111">
        <f>SQRT((Tableau!$G$25-P798)^2+(Tableau!$H$25-Q798)^2)</f>
        <v>30045816.914312109</v>
      </c>
      <c r="AE798" s="112">
        <f>SQRT((Tableau!$G$35-P798)^2+(Tableau!$H$35-Q798)^2)</f>
        <v>30070306.335797545</v>
      </c>
    </row>
    <row r="799" spans="2:31" x14ac:dyDescent="0.25">
      <c r="B799" s="18">
        <v>796</v>
      </c>
      <c r="C799" s="19">
        <f>Tableau!$G$17*COS(B799*PI()/180)+Tableau!$G$16</f>
        <v>21209.609477998336</v>
      </c>
      <c r="D799" s="19">
        <f>Tableau!$G$17*SIN(B799*PI()/180)+Tableau!$H$16</f>
        <v>12351.478631379983</v>
      </c>
      <c r="F799" s="26">
        <v>796</v>
      </c>
      <c r="G799" s="27">
        <f>Tableau!$G$26*COS(F799*PI()/180)+Tableau!$G$25</f>
        <v>-19153.273365401164</v>
      </c>
      <c r="H799" s="27">
        <f>Tableau!$G$26*SIN(F799*PI()/180)+Tableau!$H$25</f>
        <v>13396.035041965988</v>
      </c>
      <c r="J799" s="34">
        <v>796</v>
      </c>
      <c r="K799" s="35">
        <f>Tableau!$G$36*COS(J799*PI()/180)+Tableau!$G$35</f>
        <v>-3790.3905220016636</v>
      </c>
      <c r="L799" s="35">
        <f>Tableau!$G$36*SIN(J799*PI()/180)+Tableau!$H$35</f>
        <v>-10148.521368620017</v>
      </c>
      <c r="N799" s="98">
        <v>795</v>
      </c>
      <c r="O799" s="99">
        <v>397.5</v>
      </c>
      <c r="P799" s="101">
        <f>P798+R798*Tableau!$G$2+((1/2)*T798)*Tableau!$G$2^2</f>
        <v>-27022650.334329367</v>
      </c>
      <c r="Q799" s="101">
        <f>Q798+S798*Tableau!$G$2+((1/2)*U798)*Tableau!$G$2^2</f>
        <v>13273101.080590043</v>
      </c>
      <c r="R799" s="101">
        <f>R798+T798*Tableau!$G$2</f>
        <v>-68697.926625984808</v>
      </c>
      <c r="S799" s="101">
        <f>S798+U798*Tableau!$G$2</f>
        <v>33800.59238379891</v>
      </c>
      <c r="T799" s="101">
        <f t="shared" si="24"/>
        <v>1.2145281949381445E-3</v>
      </c>
      <c r="U799" s="101">
        <f t="shared" si="25"/>
        <v>-5.9655894641404486E-4</v>
      </c>
      <c r="V799" s="101">
        <f>((Tableau!$G$16-P799)/(AC799^2+Tableau!$G$21^2)^(3/2))*Tableau!$G$20</f>
        <v>5.1812562584711028E-4</v>
      </c>
      <c r="W799" s="101">
        <f>((Tableau!$H$16-Q799)/(AC799^2+Tableau!$G$21^2)^(3/2))*Tableau!$G$20</f>
        <v>-2.5416324868844507E-4</v>
      </c>
      <c r="X799" s="101">
        <f>((Tableau!$G$25-P799)/(AD799^2+Tableau!$G$30^2)^(3/2))*Tableau!$G$29</f>
        <v>1.7810993055588541E-4</v>
      </c>
      <c r="Y799" s="101">
        <f>((Tableau!$H$25-Q799)/(AD799^2+Tableau!$G$30^2)^(3/2))*Tableau!$G$29</f>
        <v>-8.7483635242142257E-5</v>
      </c>
      <c r="Z799" s="101">
        <f>((Tableau!$G$35-P799)/(AE799^2+Tableau!$G$40^2)^(3/2))*Tableau!$G$39</f>
        <v>5.1829263853514875E-4</v>
      </c>
      <c r="AA799" s="102">
        <f>((Tableau!$H$35-Q799)/(AE799^2+Tableau!$G$40^2)^(3/2))*Tableau!$G$39</f>
        <v>-2.5491206248345752E-4</v>
      </c>
      <c r="AC799" s="113">
        <f>SQRT((Tableau!$G$16-P799)^2+(Tableau!$H$16-Q799)^2)</f>
        <v>30121107.368988875</v>
      </c>
      <c r="AD799" s="114">
        <f>SQRT((Tableau!$G$25-P799)^2+(Tableau!$H$25-Q799)^2)</f>
        <v>30084098.380240791</v>
      </c>
      <c r="AE799" s="115">
        <f>SQRT((Tableau!$G$35-P799)^2+(Tableau!$H$35-Q799)^2)</f>
        <v>30108587.81005954</v>
      </c>
    </row>
    <row r="800" spans="2:31" x14ac:dyDescent="0.25">
      <c r="B800" s="20">
        <v>797</v>
      </c>
      <c r="C800" s="21">
        <f>Tableau!$G$17*COS(B800*PI()/180)+Tableau!$G$16</f>
        <v>21124.755271719328</v>
      </c>
      <c r="D800" s="21">
        <f>Tableau!$G$17*SIN(B800*PI()/180)+Tableau!$H$16</f>
        <v>12371.850323926175</v>
      </c>
      <c r="F800" s="28">
        <v>797</v>
      </c>
      <c r="G800" s="29">
        <f>Tableau!$G$26*COS(F800*PI()/180)+Tableau!$G$25</f>
        <v>-19212.671309796471</v>
      </c>
      <c r="H800" s="29">
        <f>Tableau!$G$26*SIN(F800*PI()/180)+Tableau!$H$25</f>
        <v>13410.295226748323</v>
      </c>
      <c r="J800" s="36">
        <v>797</v>
      </c>
      <c r="K800" s="37">
        <f>Tableau!$G$36*COS(J800*PI()/180)+Tableau!$G$35</f>
        <v>-3875.244728280672</v>
      </c>
      <c r="L800" s="37">
        <f>Tableau!$G$36*SIN(J800*PI()/180)+Tableau!$H$35</f>
        <v>-10128.149676073825</v>
      </c>
      <c r="N800" s="92">
        <v>796</v>
      </c>
      <c r="O800" s="93">
        <v>398</v>
      </c>
      <c r="P800" s="96">
        <f>P799+R799*Tableau!$G$2+((1/2)*T799)*Tableau!$G$2^2</f>
        <v>-27056999.297490541</v>
      </c>
      <c r="Q800" s="96">
        <f>Q799+S799*Tableau!$G$2+((1/2)*U799)*Tableau!$G$2^2</f>
        <v>13290001.376707373</v>
      </c>
      <c r="R800" s="96">
        <f>R799+T799*Tableau!$G$2</f>
        <v>-68697.926018720711</v>
      </c>
      <c r="S800" s="96">
        <f>S799+U799*Tableau!$G$2</f>
        <v>33800.592085519434</v>
      </c>
      <c r="T800" s="96">
        <f t="shared" si="24"/>
        <v>1.2114453320932587E-3</v>
      </c>
      <c r="U800" s="96">
        <f t="shared" si="25"/>
        <v>-5.9504596682210566E-4</v>
      </c>
      <c r="V800" s="96">
        <f>((Tableau!$G$16-P800)/(AC800^2+Tableau!$G$21^2)^(3/2))*Tableau!$G$20</f>
        <v>5.1681076016490599E-4</v>
      </c>
      <c r="W800" s="96">
        <f>((Tableau!$H$16-Q800)/(AC800^2+Tableau!$G$21^2)^(3/2))*Tableau!$G$20</f>
        <v>-2.5351921599465208E-4</v>
      </c>
      <c r="X800" s="96">
        <f>((Tableau!$G$25-P800)/(AD800^2+Tableau!$G$30^2)^(3/2))*Tableau!$G$29</f>
        <v>1.7765743600238045E-4</v>
      </c>
      <c r="Y800" s="96">
        <f>((Tableau!$H$25-Q800)/(AD800^2+Tableau!$G$30^2)^(3/2))*Tableau!$G$29</f>
        <v>-8.7261569552686796E-5</v>
      </c>
      <c r="Z800" s="96">
        <f>((Tableau!$G$35-P800)/(AE800^2+Tableau!$G$40^2)^(3/2))*Tableau!$G$39</f>
        <v>5.1697713592597225E-4</v>
      </c>
      <c r="AA800" s="97">
        <f>((Tableau!$H$35-Q800)/(AE800^2+Tableau!$G$40^2)^(3/2))*Tableau!$G$39</f>
        <v>-2.5426518127476678E-4</v>
      </c>
      <c r="AC800" s="110">
        <f>SQRT((Tableau!$G$16-P800)^2+(Tableau!$H$16-Q800)^2)</f>
        <v>30159388.816395741</v>
      </c>
      <c r="AD800" s="111">
        <f>SQRT((Tableau!$G$25-P800)^2+(Tableau!$H$25-Q800)^2)</f>
        <v>30122379.845853046</v>
      </c>
      <c r="AE800" s="112">
        <f>SQRT((Tableau!$G$35-P800)^2+(Tableau!$H$35-Q800)^2)</f>
        <v>30146869.283983931</v>
      </c>
    </row>
    <row r="801" spans="2:31" x14ac:dyDescent="0.25">
      <c r="B801" s="18">
        <v>798</v>
      </c>
      <c r="C801" s="19">
        <f>Tableau!$G$17*COS(B801*PI()/180)+Tableau!$G$16</f>
        <v>21039.558454088805</v>
      </c>
      <c r="D801" s="19">
        <f>Tableau!$G$17*SIN(B801*PI()/180)+Tableau!$H$16</f>
        <v>12390.738003669027</v>
      </c>
      <c r="F801" s="26">
        <v>798</v>
      </c>
      <c r="G801" s="27">
        <f>Tableau!$G$26*COS(F801*PI()/180)+Tableau!$G$25</f>
        <v>-19272.309082137836</v>
      </c>
      <c r="H801" s="27">
        <f>Tableau!$G$26*SIN(F801*PI()/180)+Tableau!$H$25</f>
        <v>13423.516602568317</v>
      </c>
      <c r="J801" s="34">
        <v>798</v>
      </c>
      <c r="K801" s="35">
        <f>Tableau!$G$36*COS(J801*PI()/180)+Tableau!$G$35</f>
        <v>-3960.4415459111951</v>
      </c>
      <c r="L801" s="35">
        <f>Tableau!$G$36*SIN(J801*PI()/180)+Tableau!$H$35</f>
        <v>-10109.261996330973</v>
      </c>
      <c r="N801" s="98">
        <v>797</v>
      </c>
      <c r="O801" s="99">
        <v>398.5</v>
      </c>
      <c r="P801" s="101">
        <f>P800+R800*Tableau!$G$2+((1/2)*T800)*Tableau!$G$2^2</f>
        <v>-27091348.260348473</v>
      </c>
      <c r="Q801" s="101">
        <f>Q800+S800*Tableau!$G$2+((1/2)*U800)*Tableau!$G$2^2</f>
        <v>13306901.672675751</v>
      </c>
      <c r="R801" s="101">
        <f>R800+T800*Tableau!$G$2</f>
        <v>-68697.92541299804</v>
      </c>
      <c r="S801" s="101">
        <f>S800+U800*Tableau!$G$2</f>
        <v>33800.591787996455</v>
      </c>
      <c r="T801" s="101">
        <f t="shared" si="24"/>
        <v>1.2083741923374469E-3</v>
      </c>
      <c r="U801" s="101">
        <f t="shared" si="25"/>
        <v>-5.9353873572853702E-4</v>
      </c>
      <c r="V801" s="101">
        <f>((Tableau!$G$16-P801)/(AC801^2+Tableau!$G$21^2)^(3/2))*Tableau!$G$20</f>
        <v>5.1550089331835473E-4</v>
      </c>
      <c r="W801" s="101">
        <f>((Tableau!$H$16-Q801)/(AC801^2+Tableau!$G$21^2)^(3/2))*Tableau!$G$20</f>
        <v>-2.5287762810715525E-4</v>
      </c>
      <c r="X801" s="101">
        <f>((Tableau!$G$25-P801)/(AD801^2+Tableau!$G$30^2)^(3/2))*Tableau!$G$29</f>
        <v>1.7720666363208332E-4</v>
      </c>
      <c r="Y801" s="101">
        <f>((Tableau!$H$25-Q801)/(AD801^2+Tableau!$G$30^2)^(3/2))*Tableau!$G$29</f>
        <v>-8.7040348319482124E-5</v>
      </c>
      <c r="Z801" s="101">
        <f>((Tableau!$G$35-P801)/(AE801^2+Tableau!$G$40^2)^(3/2))*Tableau!$G$39</f>
        <v>5.1566663538700876E-4</v>
      </c>
      <c r="AA801" s="102">
        <f>((Tableau!$H$35-Q801)/(AE801^2+Tableau!$G$40^2)^(3/2))*Tableau!$G$39</f>
        <v>-2.5362075930189965E-4</v>
      </c>
      <c r="AC801" s="113">
        <f>SQRT((Tableau!$G$16-P801)^2+(Tableau!$H$16-Q801)^2)</f>
        <v>30197670.263533093</v>
      </c>
      <c r="AD801" s="114">
        <f>SQRT((Tableau!$G$25-P801)^2+(Tableau!$H$25-Q801)^2)</f>
        <v>30160661.311149653</v>
      </c>
      <c r="AE801" s="115">
        <f>SQRT((Tableau!$G$35-P801)^2+(Tableau!$H$35-Q801)^2)</f>
        <v>30185150.757571574</v>
      </c>
    </row>
    <row r="802" spans="2:31" x14ac:dyDescent="0.25">
      <c r="B802" s="20">
        <v>799</v>
      </c>
      <c r="C802" s="21">
        <f>Tableau!$G$17*COS(B802*PI()/180)+Tableau!$G$16</f>
        <v>20954.044976882727</v>
      </c>
      <c r="D802" s="21">
        <f>Tableau!$G$17*SIN(B802*PI()/180)+Tableau!$H$16</f>
        <v>12408.13591723832</v>
      </c>
      <c r="F802" s="28">
        <v>799</v>
      </c>
      <c r="G802" s="29">
        <f>Tableau!$G$26*COS(F802*PI()/180)+Tableau!$G$25</f>
        <v>-19332.16851618209</v>
      </c>
      <c r="H802" s="29">
        <f>Tableau!$G$26*SIN(F802*PI()/180)+Tableau!$H$25</f>
        <v>13435.695142066823</v>
      </c>
      <c r="J802" s="36">
        <v>799</v>
      </c>
      <c r="K802" s="37">
        <f>Tableau!$G$36*COS(J802*PI()/180)+Tableau!$G$35</f>
        <v>-4045.9550231172707</v>
      </c>
      <c r="L802" s="37">
        <f>Tableau!$G$36*SIN(J802*PI()/180)+Tableau!$H$35</f>
        <v>-10091.86408276168</v>
      </c>
      <c r="N802" s="92">
        <v>798</v>
      </c>
      <c r="O802" s="93">
        <v>399</v>
      </c>
      <c r="P802" s="96">
        <f>P801+R801*Tableau!$G$2+((1/2)*T801)*Tableau!$G$2^2</f>
        <v>-27125697.222903926</v>
      </c>
      <c r="Q802" s="96">
        <f>Q801+S801*Tableau!$G$2+((1/2)*U801)*Tableau!$G$2^2</f>
        <v>13323801.968495557</v>
      </c>
      <c r="R802" s="96">
        <f>R801+T801*Tableau!$G$2</f>
        <v>-68697.924808810945</v>
      </c>
      <c r="S802" s="96">
        <f>S801+U801*Tableau!$G$2</f>
        <v>33800.591491227089</v>
      </c>
      <c r="T802" s="96">
        <f t="shared" si="24"/>
        <v>1.2053147163072434E-3</v>
      </c>
      <c r="U802" s="96">
        <f t="shared" si="25"/>
        <v>-5.9203722404858146E-4</v>
      </c>
      <c r="V802" s="96">
        <f>((Tableau!$G$16-P802)/(AC802^2+Tableau!$G$21^2)^(3/2))*Tableau!$G$20</f>
        <v>5.1419600000018255E-4</v>
      </c>
      <c r="W802" s="96">
        <f>((Tableau!$H$16-Q802)/(AC802^2+Tableau!$G$21^2)^(3/2))*Tableau!$G$20</f>
        <v>-2.5223847266732656E-4</v>
      </c>
      <c r="X802" s="96">
        <f>((Tableau!$G$25-P802)/(AD802^2+Tableau!$G$30^2)^(3/2))*Tableau!$G$29</f>
        <v>1.7675760471659927E-4</v>
      </c>
      <c r="Y802" s="96">
        <f>((Tableau!$H$25-Q802)/(AD802^2+Tableau!$G$30^2)^(3/2))*Tableau!$G$29</f>
        <v>-8.6819967266287516E-5</v>
      </c>
      <c r="Z802" s="96">
        <f>((Tableau!$G$35-P802)/(AE802^2+Tableau!$G$40^2)^(3/2))*Tableau!$G$39</f>
        <v>5.1436111159046144E-4</v>
      </c>
      <c r="AA802" s="97">
        <f>((Tableau!$H$35-Q802)/(AE802^2+Tableau!$G$40^2)^(3/2))*Tableau!$G$39</f>
        <v>-2.529787841149674E-4</v>
      </c>
      <c r="AC802" s="110">
        <f>SQRT((Tableau!$G$16-P802)^2+(Tableau!$H$16-Q802)^2)</f>
        <v>30235951.71040152</v>
      </c>
      <c r="AD802" s="111">
        <f>SQRT((Tableau!$G$25-P802)^2+(Tableau!$H$25-Q802)^2)</f>
        <v>30198942.77613138</v>
      </c>
      <c r="AE802" s="112">
        <f>SQRT((Tableau!$G$35-P802)^2+(Tableau!$H$35-Q802)^2)</f>
        <v>30223432.230823319</v>
      </c>
    </row>
    <row r="803" spans="2:31" x14ac:dyDescent="0.25">
      <c r="B803" s="18">
        <v>800</v>
      </c>
      <c r="C803" s="19">
        <f>Tableau!$G$17*COS(B803*PI()/180)+Tableau!$G$16</f>
        <v>20868.240888334654</v>
      </c>
      <c r="D803" s="19">
        <f>Tableau!$G$17*SIN(B803*PI()/180)+Tableau!$H$16</f>
        <v>12424.038765061039</v>
      </c>
      <c r="F803" s="26">
        <v>800</v>
      </c>
      <c r="G803" s="27">
        <f>Tableau!$G$26*COS(F803*PI()/180)+Tableau!$G$25</f>
        <v>-19392.231378165743</v>
      </c>
      <c r="H803" s="27">
        <f>Tableau!$G$26*SIN(F803*PI()/180)+Tableau!$H$25</f>
        <v>13446.827135542728</v>
      </c>
      <c r="J803" s="34">
        <v>800</v>
      </c>
      <c r="K803" s="35">
        <f>Tableau!$G$36*COS(J803*PI()/180)+Tableau!$G$35</f>
        <v>-4131.7591116653466</v>
      </c>
      <c r="L803" s="35">
        <f>Tableau!$G$36*SIN(J803*PI()/180)+Tableau!$H$35</f>
        <v>-10075.961234938961</v>
      </c>
      <c r="N803" s="98">
        <v>799</v>
      </c>
      <c r="O803" s="99">
        <v>399.5</v>
      </c>
      <c r="P803" s="101">
        <f>P802+R802*Tableau!$G$2+((1/2)*T802)*Tableau!$G$2^2</f>
        <v>-27160046.185157664</v>
      </c>
      <c r="Q803" s="101">
        <f>Q802+S802*Tableau!$G$2+((1/2)*U802)*Tableau!$G$2^2</f>
        <v>13340702.264167165</v>
      </c>
      <c r="R803" s="101">
        <f>R802+T802*Tableau!$G$2</f>
        <v>-68697.924206153592</v>
      </c>
      <c r="S803" s="101">
        <f>S802+U802*Tableau!$G$2</f>
        <v>33800.591195208479</v>
      </c>
      <c r="T803" s="101">
        <f t="shared" si="24"/>
        <v>1.2022668450144694E-3</v>
      </c>
      <c r="U803" s="101">
        <f t="shared" si="25"/>
        <v>-5.9054140288119584E-4</v>
      </c>
      <c r="V803" s="101">
        <f>((Tableau!$G$16-P803)/(AC803^2+Tableau!$G$21^2)^(3/2))*Tableau!$G$20</f>
        <v>5.1289605506304775E-4</v>
      </c>
      <c r="W803" s="101">
        <f>((Tableau!$H$16-Q803)/(AC803^2+Tableau!$G$21^2)^(3/2))*Tableau!$G$20</f>
        <v>-2.5160173739452267E-4</v>
      </c>
      <c r="X803" s="101">
        <f>((Tableau!$G$25-P803)/(AD803^2+Tableau!$G$30^2)^(3/2))*Tableau!$G$29</f>
        <v>1.7631025058276683E-4</v>
      </c>
      <c r="Y803" s="101">
        <f>((Tableau!$H$25-Q803)/(AD803^2+Tableau!$G$30^2)^(3/2))*Tableau!$G$29</f>
        <v>-8.6600422143899038E-5</v>
      </c>
      <c r="Z803" s="101">
        <f>((Tableau!$G$35-P803)/(AE803^2+Tableau!$G$40^2)^(3/2))*Tableau!$G$39</f>
        <v>5.1306053936865474E-4</v>
      </c>
      <c r="AA803" s="102">
        <f>((Tableau!$H$35-Q803)/(AE803^2+Tableau!$G$40^2)^(3/2))*Tableau!$G$39</f>
        <v>-2.5233924334277407E-4</v>
      </c>
      <c r="AC803" s="113">
        <f>SQRT((Tableau!$G$16-P803)^2+(Tableau!$H$16-Q803)^2)</f>
        <v>30274233.157001618</v>
      </c>
      <c r="AD803" s="114">
        <f>SQRT((Tableau!$G$25-P803)^2+(Tableau!$H$25-Q803)^2)</f>
        <v>30237224.240799002</v>
      </c>
      <c r="AE803" s="115">
        <f>SQRT((Tableau!$G$35-P803)^2+(Tableau!$H$35-Q803)^2)</f>
        <v>30261713.703740008</v>
      </c>
    </row>
    <row r="804" spans="2:31" x14ac:dyDescent="0.25">
      <c r="B804" s="20">
        <v>801</v>
      </c>
      <c r="C804" s="21">
        <f>Tableau!$G$17*COS(B804*PI()/180)+Tableau!$G$16</f>
        <v>20782.172325201162</v>
      </c>
      <c r="D804" s="21">
        <f>Tableau!$G$17*SIN(B804*PI()/180)+Tableau!$H$16</f>
        <v>12438.441702975688</v>
      </c>
      <c r="F804" s="28">
        <v>801</v>
      </c>
      <c r="G804" s="29">
        <f>Tableau!$G$26*COS(F804*PI()/180)+Tableau!$G$25</f>
        <v>-19452.479372359187</v>
      </c>
      <c r="H804" s="29">
        <f>Tableau!$G$26*SIN(F804*PI()/180)+Tableau!$H$25</f>
        <v>13456.909192082981</v>
      </c>
      <c r="J804" s="36">
        <v>801</v>
      </c>
      <c r="K804" s="37">
        <f>Tableau!$G$36*COS(J804*PI()/180)+Tableau!$G$35</f>
        <v>-4217.8276747988384</v>
      </c>
      <c r="L804" s="37">
        <f>Tableau!$G$36*SIN(J804*PI()/180)+Tableau!$H$35</f>
        <v>-10061.558297024312</v>
      </c>
      <c r="N804" s="92">
        <v>800</v>
      </c>
      <c r="O804" s="93">
        <v>400</v>
      </c>
      <c r="P804" s="96">
        <f>P803+R803*Tableau!$G$2+((1/2)*T803)*Tableau!$G$2^2</f>
        <v>-27194395.147110458</v>
      </c>
      <c r="Q804" s="96">
        <f>Q803+S803*Tableau!$G$2+((1/2)*U803)*Tableau!$G$2^2</f>
        <v>13357602.55969095</v>
      </c>
      <c r="R804" s="96">
        <f>R803+T803*Tableau!$G$2</f>
        <v>-68697.923605020173</v>
      </c>
      <c r="S804" s="96">
        <f>S803+U803*Tableau!$G$2</f>
        <v>33800.590899937779</v>
      </c>
      <c r="T804" s="96">
        <f t="shared" si="24"/>
        <v>1.1992305198434137E-3</v>
      </c>
      <c r="U804" s="96">
        <f t="shared" si="25"/>
        <v>-5.890512435076723E-4</v>
      </c>
      <c r="V804" s="96">
        <f>((Tableau!$G$16-P804)/(AC804^2+Tableau!$G$21^2)^(3/2))*Tableau!$G$20</f>
        <v>5.1160103351837035E-4</v>
      </c>
      <c r="W804" s="96">
        <f>((Tableau!$H$16-Q804)/(AC804^2+Tableau!$G$21^2)^(3/2))*Tableau!$G$20</f>
        <v>-2.5096741008551546E-4</v>
      </c>
      <c r="X804" s="96">
        <f>((Tableau!$G$25-P804)/(AD804^2+Tableau!$G$30^2)^(3/2))*Tableau!$G$29</f>
        <v>1.7586459261223922E-4</v>
      </c>
      <c r="Y804" s="96">
        <f>((Tableau!$H$25-Q804)/(AD804^2+Tableau!$G$30^2)^(3/2))*Tableau!$G$29</f>
        <v>-8.6381708729945145E-5</v>
      </c>
      <c r="Z804" s="96">
        <f>((Tableau!$G$35-P804)/(AE804^2+Tableau!$G$40^2)^(3/2))*Tableau!$G$39</f>
        <v>5.1176489371280412E-4</v>
      </c>
      <c r="AA804" s="97">
        <f>((Tableau!$H$35-Q804)/(AE804^2+Tableau!$G$40^2)^(3/2))*Tableau!$G$39</f>
        <v>-2.5170212469221171E-4</v>
      </c>
      <c r="AC804" s="110">
        <f>SQRT((Tableau!$G$16-P804)^2+(Tableau!$H$16-Q804)^2)</f>
        <v>30312514.603333987</v>
      </c>
      <c r="AD804" s="111">
        <f>SQRT((Tableau!$G$25-P804)^2+(Tableau!$H$25-Q804)^2)</f>
        <v>30275505.705153279</v>
      </c>
      <c r="AE804" s="112">
        <f>SQRT((Tableau!$G$35-P804)^2+(Tableau!$H$35-Q804)^2)</f>
        <v>30299995.176322501</v>
      </c>
    </row>
    <row r="805" spans="2:31" x14ac:dyDescent="0.25">
      <c r="B805" s="18">
        <v>802</v>
      </c>
      <c r="C805" s="19">
        <f>Tableau!$G$17*COS(B805*PI()/180)+Tableau!$G$16</f>
        <v>20695.865504800331</v>
      </c>
      <c r="D805" s="19">
        <f>Tableau!$G$17*SIN(B805*PI()/180)+Tableau!$H$16</f>
        <v>12451.340343707852</v>
      </c>
      <c r="F805" s="26">
        <v>802</v>
      </c>
      <c r="G805" s="27">
        <f>Tableau!$G$26*COS(F805*PI()/180)+Tableau!$G$25</f>
        <v>-19512.89414663977</v>
      </c>
      <c r="H805" s="27">
        <f>Tableau!$G$26*SIN(F805*PI()/180)+Tableau!$H$25</f>
        <v>13465.938240595497</v>
      </c>
      <c r="J805" s="34">
        <v>802</v>
      </c>
      <c r="K805" s="35">
        <f>Tableau!$G$36*COS(J805*PI()/180)+Tableau!$G$35</f>
        <v>-4304.1344951996689</v>
      </c>
      <c r="L805" s="35">
        <f>Tableau!$G$36*SIN(J805*PI()/180)+Tableau!$H$35</f>
        <v>-10048.659656292148</v>
      </c>
      <c r="N805" s="98">
        <v>801</v>
      </c>
      <c r="O805" s="99">
        <v>400.5</v>
      </c>
      <c r="P805" s="101">
        <f>P804+R804*Tableau!$G$2+((1/2)*T804)*Tableau!$G$2^2</f>
        <v>-27228744.108763065</v>
      </c>
      <c r="Q805" s="101">
        <f>Q804+S804*Tableau!$G$2+((1/2)*U804)*Tableau!$G$2^2</f>
        <v>13374502.855067287</v>
      </c>
      <c r="R805" s="101">
        <f>R804+T804*Tableau!$G$2</f>
        <v>-68697.923005404911</v>
      </c>
      <c r="S805" s="101">
        <f>S804+U804*Tableau!$G$2</f>
        <v>33800.590605412159</v>
      </c>
      <c r="T805" s="101">
        <f t="shared" si="24"/>
        <v>1.1962056825479657E-3</v>
      </c>
      <c r="U805" s="101">
        <f t="shared" si="25"/>
        <v>-5.8756671739023704E-4</v>
      </c>
      <c r="V805" s="101">
        <f>((Tableau!$G$16-P805)/(AC805^2+Tableau!$G$21^2)^(3/2))*Tableau!$G$20</f>
        <v>5.1031091053509712E-4</v>
      </c>
      <c r="W805" s="101">
        <f>((Tableau!$H$16-Q805)/(AC805^2+Tableau!$G$21^2)^(3/2))*Tableau!$G$20</f>
        <v>-2.5033547861389046E-4</v>
      </c>
      <c r="X805" s="101">
        <f>((Tableau!$G$25-P805)/(AD805^2+Tableau!$G$30^2)^(3/2))*Tableau!$G$29</f>
        <v>1.7542062224105176E-4</v>
      </c>
      <c r="Y805" s="101">
        <f>((Tableau!$H$25-Q805)/(AD805^2+Tableau!$G$30^2)^(3/2))*Tableau!$G$29</f>
        <v>-8.6163822828675023E-5</v>
      </c>
      <c r="Z805" s="101">
        <f>((Tableau!$G$35-P805)/(AE805^2+Tableau!$G$40^2)^(3/2))*Tableau!$G$39</f>
        <v>5.1047414977181693E-4</v>
      </c>
      <c r="AA805" s="102">
        <f>((Tableau!$H$35-Q805)/(AE805^2+Tableau!$G$40^2)^(3/2))*Tableau!$G$39</f>
        <v>-2.5106741594767154E-4</v>
      </c>
      <c r="AC805" s="113">
        <f>SQRT((Tableau!$G$16-P805)^2+(Tableau!$H$16-Q805)^2)</f>
        <v>30350796.049399212</v>
      </c>
      <c r="AD805" s="114">
        <f>SQRT((Tableau!$G$25-P805)^2+(Tableau!$H$25-Q805)^2)</f>
        <v>30313787.169194981</v>
      </c>
      <c r="AE805" s="115">
        <f>SQRT((Tableau!$G$35-P805)^2+(Tableau!$H$35-Q805)^2)</f>
        <v>30338276.648571633</v>
      </c>
    </row>
    <row r="806" spans="2:31" x14ac:dyDescent="0.25">
      <c r="B806" s="20">
        <v>803</v>
      </c>
      <c r="C806" s="21">
        <f>Tableau!$G$17*COS(B806*PI()/180)+Tableau!$G$16</f>
        <v>20609.346717025739</v>
      </c>
      <c r="D806" s="21">
        <f>Tableau!$G$17*SIN(B806*PI()/180)+Tableau!$H$16</f>
        <v>12462.73075820661</v>
      </c>
      <c r="F806" s="28">
        <v>803</v>
      </c>
      <c r="G806" s="29">
        <f>Tableau!$G$26*COS(F806*PI()/180)+Tableau!$G$25</f>
        <v>-19573.457298081983</v>
      </c>
      <c r="H806" s="29">
        <f>Tableau!$G$26*SIN(F806*PI()/180)+Tableau!$H$25</f>
        <v>13473.911530744626</v>
      </c>
      <c r="J806" s="36">
        <v>803</v>
      </c>
      <c r="K806" s="37">
        <f>Tableau!$G$36*COS(J806*PI()/180)+Tableau!$G$35</f>
        <v>-4390.6532829742628</v>
      </c>
      <c r="L806" s="37">
        <f>Tableau!$G$36*SIN(J806*PI()/180)+Tableau!$H$35</f>
        <v>-10037.26924179339</v>
      </c>
      <c r="N806" s="92">
        <v>802</v>
      </c>
      <c r="O806" s="93">
        <v>401</v>
      </c>
      <c r="P806" s="96">
        <f>P805+R805*Tableau!$G$2+((1/2)*T805)*Tableau!$G$2^2</f>
        <v>-27263093.070116241</v>
      </c>
      <c r="Q806" s="96">
        <f>Q805+S805*Tableau!$G$2+((1/2)*U805)*Tableau!$G$2^2</f>
        <v>13391403.150296547</v>
      </c>
      <c r="R806" s="96">
        <f>R805+T805*Tableau!$G$2</f>
        <v>-68697.922407302074</v>
      </c>
      <c r="S806" s="96">
        <f>S805+U805*Tableau!$G$2</f>
        <v>33800.590311628803</v>
      </c>
      <c r="T806" s="96">
        <f t="shared" si="24"/>
        <v>1.1931922752488574E-3</v>
      </c>
      <c r="U806" s="96">
        <f t="shared" si="25"/>
        <v>-5.8608779617070022E-4</v>
      </c>
      <c r="V806" s="96">
        <f>((Tableau!$G$16-P806)/(AC806^2+Tableau!$G$21^2)^(3/2))*Tableau!$G$20</f>
        <v>5.090256614385287E-4</v>
      </c>
      <c r="W806" s="96">
        <f>((Tableau!$H$16-Q806)/(AC806^2+Tableau!$G$21^2)^(3/2))*Tableau!$G$20</f>
        <v>-2.4970593092947589E-4</v>
      </c>
      <c r="X806" s="96">
        <f>((Tableau!$G$25-P806)/(AD806^2+Tableau!$G$30^2)^(3/2))*Tableau!$G$29</f>
        <v>1.7497833095922536E-4</v>
      </c>
      <c r="Y806" s="96">
        <f>((Tableau!$H$25-Q806)/(AD806^2+Tableau!$G$30^2)^(3/2))*Tableau!$G$29</f>
        <v>-8.5946760270764645E-5</v>
      </c>
      <c r="Z806" s="96">
        <f>((Tableau!$G$35-P806)/(AE806^2+Tableau!$G$40^2)^(3/2))*Tableau!$G$39</f>
        <v>5.0918828285110326E-4</v>
      </c>
      <c r="AA806" s="97">
        <f>((Tableau!$H$35-Q806)/(AE806^2+Tableau!$G$40^2)^(3/2))*Tableau!$G$39</f>
        <v>-2.5043510497045965E-4</v>
      </c>
      <c r="AC806" s="110">
        <f>SQRT((Tableau!$G$16-P806)^2+(Tableau!$H$16-Q806)^2)</f>
        <v>30389077.495197888</v>
      </c>
      <c r="AD806" s="111">
        <f>SQRT((Tableau!$G$25-P806)^2+(Tableau!$H$25-Q806)^2)</f>
        <v>30352068.63292487</v>
      </c>
      <c r="AE806" s="112">
        <f>SQRT((Tableau!$G$35-P806)^2+(Tableau!$H$35-Q806)^2)</f>
        <v>30376558.120488241</v>
      </c>
    </row>
    <row r="807" spans="2:31" x14ac:dyDescent="0.25">
      <c r="B807" s="18">
        <v>804</v>
      </c>
      <c r="C807" s="19">
        <f>Tableau!$G$17*COS(B807*PI()/180)+Tableau!$G$16</f>
        <v>20522.642316338264</v>
      </c>
      <c r="D807" s="19">
        <f>Tableau!$G$17*SIN(B807*PI()/180)+Tableau!$H$16</f>
        <v>12472.609476841368</v>
      </c>
      <c r="F807" s="26">
        <v>804</v>
      </c>
      <c r="G807" s="27">
        <f>Tableau!$G$26*COS(F807*PI()/180)+Tableau!$G$25</f>
        <v>-19634.150378563216</v>
      </c>
      <c r="H807" s="27">
        <f>Tableau!$G$26*SIN(F807*PI()/180)+Tableau!$H$25</f>
        <v>13480.826633788956</v>
      </c>
      <c r="J807" s="34">
        <v>804</v>
      </c>
      <c r="K807" s="35">
        <f>Tableau!$G$36*COS(J807*PI()/180)+Tableau!$G$35</f>
        <v>-4477.3576836617358</v>
      </c>
      <c r="L807" s="35">
        <f>Tableau!$G$36*SIN(J807*PI()/180)+Tableau!$H$35</f>
        <v>-10027.390523158632</v>
      </c>
      <c r="N807" s="98">
        <v>803</v>
      </c>
      <c r="O807" s="99">
        <v>401.5</v>
      </c>
      <c r="P807" s="101">
        <f>P806+R806*Tableau!$G$2+((1/2)*T806)*Tableau!$G$2^2</f>
        <v>-27297442.031170741</v>
      </c>
      <c r="Q807" s="101">
        <f>Q806+S806*Tableau!$G$2+((1/2)*U806)*Tableau!$G$2^2</f>
        <v>13408303.445379099</v>
      </c>
      <c r="R807" s="101">
        <f>R806+T806*Tableau!$G$2</f>
        <v>-68697.921810705942</v>
      </c>
      <c r="S807" s="101">
        <f>S806+U806*Tableau!$G$2</f>
        <v>33800.590018584902</v>
      </c>
      <c r="T807" s="101">
        <f t="shared" si="24"/>
        <v>1.1901902404308443E-3</v>
      </c>
      <c r="U807" s="101">
        <f t="shared" si="25"/>
        <v>-5.8461445166907758E-4</v>
      </c>
      <c r="V807" s="101">
        <f>((Tableau!$G$16-P807)/(AC807^2+Tableau!$G$21^2)^(3/2))*Tableau!$G$20</f>
        <v>5.0774526170911964E-4</v>
      </c>
      <c r="W807" s="101">
        <f>((Tableau!$H$16-Q807)/(AC807^2+Tableau!$G$21^2)^(3/2))*Tableau!$G$20</f>
        <v>-2.4907875505775809E-4</v>
      </c>
      <c r="X807" s="101">
        <f>((Tableau!$G$25-P807)/(AD807^2+Tableau!$G$30^2)^(3/2))*Tableau!$G$29</f>
        <v>1.7453771031035705E-4</v>
      </c>
      <c r="Y807" s="101">
        <f>((Tableau!$H$25-Q807)/(AD807^2+Tableau!$G$30^2)^(3/2))*Tableau!$G$29</f>
        <v>-8.5730516913116431E-5</v>
      </c>
      <c r="Z807" s="101">
        <f>((Tableau!$G$35-P807)/(AE807^2+Tableau!$G$40^2)^(3/2))*Tableau!$G$39</f>
        <v>5.0790726841136761E-4</v>
      </c>
      <c r="AA807" s="102">
        <f>((Tableau!$H$35-Q807)/(AE807^2+Tableau!$G$40^2)^(3/2))*Tableau!$G$39</f>
        <v>-2.4980517969820307E-4</v>
      </c>
      <c r="AC807" s="113">
        <f>SQRT((Tableau!$G$16-P807)^2+(Tableau!$H$16-Q807)^2)</f>
        <v>30427358.940730594</v>
      </c>
      <c r="AD807" s="114">
        <f>SQRT((Tableau!$G$25-P807)^2+(Tableau!$H$25-Q807)^2)</f>
        <v>30390350.0963437</v>
      </c>
      <c r="AE807" s="115">
        <f>SQRT((Tableau!$G$35-P807)^2+(Tableau!$H$35-Q807)^2)</f>
        <v>30414839.592073169</v>
      </c>
    </row>
    <row r="808" spans="2:31" x14ac:dyDescent="0.25">
      <c r="B808" s="20">
        <v>805</v>
      </c>
      <c r="C808" s="21">
        <f>Tableau!$G$17*COS(B808*PI()/180)+Tableau!$G$16</f>
        <v>20435.778713738295</v>
      </c>
      <c r="D808" s="21">
        <f>Tableau!$G$17*SIN(B808*PI()/180)+Tableau!$H$16</f>
        <v>12480.973490458728</v>
      </c>
      <c r="F808" s="28">
        <v>805</v>
      </c>
      <c r="G808" s="29">
        <f>Tableau!$G$26*COS(F808*PI()/180)+Tableau!$G$25</f>
        <v>-19694.954900383196</v>
      </c>
      <c r="H808" s="29">
        <f>Tableau!$G$26*SIN(F808*PI()/180)+Tableau!$H$25</f>
        <v>13486.681443321109</v>
      </c>
      <c r="J808" s="36">
        <v>805</v>
      </c>
      <c r="K808" s="37">
        <f>Tableau!$G$36*COS(J808*PI()/180)+Tableau!$G$35</f>
        <v>-4564.2212862617071</v>
      </c>
      <c r="L808" s="37">
        <f>Tableau!$G$36*SIN(J808*PI()/180)+Tableau!$H$35</f>
        <v>-10019.026509541272</v>
      </c>
      <c r="N808" s="92">
        <v>804</v>
      </c>
      <c r="O808" s="93">
        <v>402</v>
      </c>
      <c r="P808" s="96">
        <f>P807+R807*Tableau!$G$2+((1/2)*T807)*Tableau!$G$2^2</f>
        <v>-27331790.991927322</v>
      </c>
      <c r="Q808" s="96">
        <f>Q807+S807*Tableau!$G$2+((1/2)*U807)*Tableau!$G$2^2</f>
        <v>13425203.740315314</v>
      </c>
      <c r="R808" s="96">
        <f>R807+T807*Tableau!$G$2</f>
        <v>-68697.921215610826</v>
      </c>
      <c r="S808" s="96">
        <f>S807+U807*Tableau!$G$2</f>
        <v>33800.589726277678</v>
      </c>
      <c r="T808" s="96">
        <f t="shared" si="24"/>
        <v>1.1871995209400291E-3</v>
      </c>
      <c r="U808" s="96">
        <f t="shared" si="25"/>
        <v>-5.831466558822812E-4</v>
      </c>
      <c r="V808" s="96">
        <f>((Tableau!$G$16-P808)/(AC808^2+Tableau!$G$21^2)^(3/2))*Tableau!$G$20</f>
        <v>5.0646968698133147E-4</v>
      </c>
      <c r="W808" s="96">
        <f>((Tableau!$H$16-Q808)/(AC808^2+Tableau!$G$21^2)^(3/2))*Tableau!$G$20</f>
        <v>-2.4845393909932357E-4</v>
      </c>
      <c r="X808" s="96">
        <f>((Tableau!$G$25-P808)/(AD808^2+Tableau!$G$30^2)^(3/2))*Tableau!$G$29</f>
        <v>1.740987518912075E-4</v>
      </c>
      <c r="Y808" s="96">
        <f>((Tableau!$H$25-Q808)/(AD808^2+Tableau!$G$30^2)^(3/2))*Tableau!$G$29</f>
        <v>-8.5515088638657582E-5</v>
      </c>
      <c r="Z808" s="96">
        <f>((Tableau!$G$35-P808)/(AE808^2+Tableau!$G$40^2)^(3/2))*Tableau!$G$39</f>
        <v>5.0663108206749007E-4</v>
      </c>
      <c r="AA808" s="97">
        <f>((Tableau!$H$35-Q808)/(AE808^2+Tableau!$G$40^2)^(3/2))*Tableau!$G$39</f>
        <v>-2.4917762814430003E-4</v>
      </c>
      <c r="AC808" s="110">
        <f>SQRT((Tableau!$G$16-P808)^2+(Tableau!$H$16-Q808)^2)</f>
        <v>30465640.385997932</v>
      </c>
      <c r="AD808" s="111">
        <f>SQRT((Tableau!$G$25-P808)^2+(Tableau!$H$25-Q808)^2)</f>
        <v>30428631.559452232</v>
      </c>
      <c r="AE808" s="112">
        <f>SQRT((Tableau!$G$35-P808)^2+(Tableau!$H$35-Q808)^2)</f>
        <v>30453121.063327253</v>
      </c>
    </row>
    <row r="809" spans="2:31" x14ac:dyDescent="0.25">
      <c r="B809" s="18">
        <v>806</v>
      </c>
      <c r="C809" s="19">
        <f>Tableau!$G$17*COS(B809*PI()/180)+Tableau!$G$16</f>
        <v>20348.782368720633</v>
      </c>
      <c r="D809" s="19">
        <f>Tableau!$G$17*SIN(B809*PI()/180)+Tableau!$H$16</f>
        <v>12487.820251299119</v>
      </c>
      <c r="F809" s="26">
        <v>806</v>
      </c>
      <c r="G809" s="27">
        <f>Tableau!$G$26*COS(F809*PI()/180)+Tableau!$G$25</f>
        <v>-19755.852341895556</v>
      </c>
      <c r="H809" s="27">
        <f>Tableau!$G$26*SIN(F809*PI()/180)+Tableau!$H$25</f>
        <v>13491.474175909385</v>
      </c>
      <c r="J809" s="34">
        <v>806</v>
      </c>
      <c r="K809" s="35">
        <f>Tableau!$G$36*COS(J809*PI()/180)+Tableau!$G$35</f>
        <v>-4651.2176312793654</v>
      </c>
      <c r="L809" s="35">
        <f>Tableau!$G$36*SIN(J809*PI()/180)+Tableau!$H$35</f>
        <v>-10012.179748700881</v>
      </c>
      <c r="N809" s="98">
        <v>805</v>
      </c>
      <c r="O809" s="99">
        <v>402.5</v>
      </c>
      <c r="P809" s="101">
        <f>P808+R808*Tableau!$G$2+((1/2)*T808)*Tableau!$G$2^2</f>
        <v>-27366139.952386726</v>
      </c>
      <c r="Q809" s="101">
        <f>Q808+S808*Tableau!$G$2+((1/2)*U808)*Tableau!$G$2^2</f>
        <v>13442104.03510556</v>
      </c>
      <c r="R809" s="101">
        <f>R808+T808*Tableau!$G$2</f>
        <v>-68697.920622011065</v>
      </c>
      <c r="S809" s="101">
        <f>S808+U808*Tableau!$G$2</f>
        <v>33800.58943470435</v>
      </c>
      <c r="T809" s="101">
        <f t="shared" si="24"/>
        <v>1.1842200599811012E-3</v>
      </c>
      <c r="U809" s="101">
        <f t="shared" si="25"/>
        <v>-5.816843809827697E-4</v>
      </c>
      <c r="V809" s="101">
        <f>((Tableau!$G$16-P809)/(AC809^2+Tableau!$G$21^2)^(3/2))*Tableau!$G$20</f>
        <v>5.0519891304246628E-4</v>
      </c>
      <c r="W809" s="101">
        <f>((Tableau!$H$16-Q809)/(AC809^2+Tableau!$G$21^2)^(3/2))*Tableau!$G$20</f>
        <v>-2.4783147122929078E-4</v>
      </c>
      <c r="X809" s="101">
        <f>((Tableau!$G$25-P809)/(AD809^2+Tableau!$G$30^2)^(3/2))*Tableau!$G$29</f>
        <v>1.7366144735131189E-4</v>
      </c>
      <c r="Y809" s="101">
        <f>((Tableau!$H$25-Q809)/(AD809^2+Tableau!$G$30^2)^(3/2))*Tableau!$G$29</f>
        <v>-8.5300471356149831E-5</v>
      </c>
      <c r="Z809" s="101">
        <f>((Tableau!$G$35-P809)/(AE809^2+Tableau!$G$40^2)^(3/2))*Tableau!$G$39</f>
        <v>5.0535969958732301E-4</v>
      </c>
      <c r="AA809" s="102">
        <f>((Tableau!$H$35-Q809)/(AE809^2+Tableau!$G$40^2)^(3/2))*Tableau!$G$39</f>
        <v>-2.4855243839732905E-4</v>
      </c>
      <c r="AC809" s="113">
        <f>SQRT((Tableau!$G$16-P809)^2+(Tableau!$H$16-Q809)^2)</f>
        <v>30503921.83100047</v>
      </c>
      <c r="AD809" s="114">
        <f>SQRT((Tableau!$G$25-P809)^2+(Tableau!$H$25-Q809)^2)</f>
        <v>30466913.022251211</v>
      </c>
      <c r="AE809" s="115">
        <f>SQRT((Tableau!$G$35-P809)^2+(Tableau!$H$35-Q809)^2)</f>
        <v>30491402.534251314</v>
      </c>
    </row>
    <row r="810" spans="2:31" x14ac:dyDescent="0.25">
      <c r="B810" s="20">
        <v>807</v>
      </c>
      <c r="C810" s="21">
        <f>Tableau!$G$17*COS(B810*PI()/180)+Tableau!$G$16</f>
        <v>20261.679781214716</v>
      </c>
      <c r="D810" s="21">
        <f>Tableau!$G$17*SIN(B810*PI()/180)+Tableau!$H$16</f>
        <v>12493.14767377287</v>
      </c>
      <c r="F810" s="28">
        <v>807</v>
      </c>
      <c r="G810" s="29">
        <f>Tableau!$G$26*COS(F810*PI()/180)+Tableau!$G$25</f>
        <v>-19816.824153149701</v>
      </c>
      <c r="H810" s="29">
        <f>Tableau!$G$26*SIN(F810*PI()/180)+Tableau!$H$25</f>
        <v>13495.203371641008</v>
      </c>
      <c r="J810" s="36">
        <v>807</v>
      </c>
      <c r="K810" s="37">
        <f>Tableau!$G$36*COS(J810*PI()/180)+Tableau!$G$35</f>
        <v>-4738.3202187852858</v>
      </c>
      <c r="L810" s="37">
        <f>Tableau!$G$36*SIN(J810*PI()/180)+Tableau!$H$35</f>
        <v>-10006.85232622713</v>
      </c>
      <c r="N810" s="92">
        <v>806</v>
      </c>
      <c r="O810" s="93">
        <v>403</v>
      </c>
      <c r="P810" s="96">
        <f>P809+R809*Tableau!$G$2+((1/2)*T809)*Tableau!$G$2^2</f>
        <v>-27400488.912549704</v>
      </c>
      <c r="Q810" s="96">
        <f>Q809+S809*Tableau!$G$2+((1/2)*U809)*Tableau!$G$2^2</f>
        <v>13459004.329750203</v>
      </c>
      <c r="R810" s="96">
        <f>R809+T809*Tableau!$G$2</f>
        <v>-68697.920029901041</v>
      </c>
      <c r="S810" s="96">
        <f>S809+U809*Tableau!$G$2</f>
        <v>33800.589143862162</v>
      </c>
      <c r="T810" s="96">
        <f t="shared" si="24"/>
        <v>1.1812518011146229E-3</v>
      </c>
      <c r="U810" s="96">
        <f t="shared" si="25"/>
        <v>-5.8022759931721912E-4</v>
      </c>
      <c r="V810" s="96">
        <f>((Tableau!$G$16-P810)/(AC810^2+Tableau!$G$21^2)^(3/2))*Tableau!$G$20</f>
        <v>5.0393291583151036E-4</v>
      </c>
      <c r="W810" s="96">
        <f>((Tableau!$H$16-Q810)/(AC810^2+Tableau!$G$21^2)^(3/2))*Tableau!$G$20</f>
        <v>-2.4721133969674686E-4</v>
      </c>
      <c r="X810" s="96">
        <f>((Tableau!$G$25-P810)/(AD810^2+Tableau!$G$30^2)^(3/2))*Tableau!$G$29</f>
        <v>1.7322578839257184E-4</v>
      </c>
      <c r="Y810" s="96">
        <f>((Tableau!$H$25-Q810)/(AD810^2+Tableau!$G$30^2)^(3/2))*Tableau!$G$29</f>
        <v>-8.5086660999989612E-5</v>
      </c>
      <c r="Z810" s="96">
        <f>((Tableau!$G$35-P810)/(AE810^2+Tableau!$G$40^2)^(3/2))*Tableau!$G$39</f>
        <v>5.0409309689054057E-4</v>
      </c>
      <c r="AA810" s="97">
        <f>((Tableau!$H$35-Q810)/(AE810^2+Tableau!$G$40^2)^(3/2))*Tableau!$G$39</f>
        <v>-2.4792959862048264E-4</v>
      </c>
      <c r="AC810" s="110">
        <f>SQRT((Tableau!$G$16-P810)^2+(Tableau!$H$16-Q810)^2)</f>
        <v>30542203.275738798</v>
      </c>
      <c r="AD810" s="111">
        <f>SQRT((Tableau!$G$25-P810)^2+(Tableau!$H$25-Q810)^2)</f>
        <v>30505194.484741397</v>
      </c>
      <c r="AE810" s="112">
        <f>SQRT((Tableau!$G$35-P810)^2+(Tableau!$H$35-Q810)^2)</f>
        <v>30529684.004846185</v>
      </c>
    </row>
    <row r="811" spans="2:31" x14ac:dyDescent="0.25">
      <c r="B811" s="18">
        <v>808</v>
      </c>
      <c r="C811" s="19">
        <f>Tableau!$G$17*COS(B811*PI()/180)+Tableau!$G$16</f>
        <v>20174.497483512507</v>
      </c>
      <c r="D811" s="19">
        <f>Tableau!$G$17*SIN(B811*PI()/180)+Tableau!$H$16</f>
        <v>12496.954135095479</v>
      </c>
      <c r="F811" s="26">
        <v>808</v>
      </c>
      <c r="G811" s="27">
        <f>Tableau!$G$26*COS(F811*PI()/180)+Tableau!$G$25</f>
        <v>-19877.851761541246</v>
      </c>
      <c r="H811" s="27">
        <f>Tableau!$G$26*SIN(F811*PI()/180)+Tableau!$H$25</f>
        <v>13497.867894566836</v>
      </c>
      <c r="J811" s="34">
        <v>808</v>
      </c>
      <c r="K811" s="35">
        <f>Tableau!$G$36*COS(J811*PI()/180)+Tableau!$G$35</f>
        <v>-4825.5025164874942</v>
      </c>
      <c r="L811" s="35">
        <f>Tableau!$G$36*SIN(J811*PI()/180)+Tableau!$H$35</f>
        <v>-10003.045864904521</v>
      </c>
      <c r="N811" s="98">
        <v>807</v>
      </c>
      <c r="O811" s="99">
        <v>403.5</v>
      </c>
      <c r="P811" s="101">
        <f>P810+R810*Tableau!$G$2+((1/2)*T810)*Tableau!$G$2^2</f>
        <v>-27434837.872416999</v>
      </c>
      <c r="Q811" s="101">
        <f>Q810+S810*Tableau!$G$2+((1/2)*U810)*Tableau!$G$2^2</f>
        <v>13475904.624249605</v>
      </c>
      <c r="R811" s="101">
        <f>R810+T810*Tableau!$G$2</f>
        <v>-68697.919439275138</v>
      </c>
      <c r="S811" s="101">
        <f>S810+U810*Tableau!$G$2</f>
        <v>33800.588853748362</v>
      </c>
      <c r="T811" s="101">
        <f t="shared" si="24"/>
        <v>1.1782946882544216E-3</v>
      </c>
      <c r="U811" s="101">
        <f t="shared" si="25"/>
        <v>-5.7877628340525058E-4</v>
      </c>
      <c r="V811" s="101">
        <f>((Tableau!$G$16-P811)/(AC811^2+Tableau!$G$21^2)^(3/2))*Tableau!$G$20</f>
        <v>5.026716714379932E-4</v>
      </c>
      <c r="W811" s="101">
        <f>((Tableau!$H$16-Q811)/(AC811^2+Tableau!$G$21^2)^(3/2))*Tableau!$G$20</f>
        <v>-2.4659353282419257E-4</v>
      </c>
      <c r="X811" s="101">
        <f>((Tableau!$G$25-P811)/(AD811^2+Tableau!$G$30^2)^(3/2))*Tableau!$G$29</f>
        <v>1.7279176676887473E-4</v>
      </c>
      <c r="Y811" s="101">
        <f>((Tableau!$H$25-Q811)/(AD811^2+Tableau!$G$30^2)^(3/2))*Tableau!$G$29</f>
        <v>-8.4873653530022144E-5</v>
      </c>
      <c r="Z811" s="101">
        <f>((Tableau!$G$35-P811)/(AE811^2+Tableau!$G$40^2)^(3/2))*Tableau!$G$39</f>
        <v>5.0283125004755376E-4</v>
      </c>
      <c r="AA811" s="102">
        <f>((Tableau!$H$35-Q811)/(AE811^2+Tableau!$G$40^2)^(3/2))*Tableau!$G$39</f>
        <v>-2.4730909705103585E-4</v>
      </c>
      <c r="AC811" s="113">
        <f>SQRT((Tableau!$G$16-P811)^2+(Tableau!$H$16-Q811)^2)</f>
        <v>30580484.720213491</v>
      </c>
      <c r="AD811" s="114">
        <f>SQRT((Tableau!$G$25-P811)^2+(Tableau!$H$25-Q811)^2)</f>
        <v>30543475.946923532</v>
      </c>
      <c r="AE811" s="115">
        <f>SQRT((Tableau!$G$35-P811)^2+(Tableau!$H$35-Q811)^2)</f>
        <v>30567965.475112688</v>
      </c>
    </row>
    <row r="812" spans="2:31" x14ac:dyDescent="0.25">
      <c r="B812" s="20">
        <v>809</v>
      </c>
      <c r="C812" s="21">
        <f>Tableau!$G$17*COS(B812*PI()/180)+Tableau!$G$16</f>
        <v>20087.262032186423</v>
      </c>
      <c r="D812" s="21">
        <f>Tableau!$G$17*SIN(B812*PI()/180)+Tableau!$H$16</f>
        <v>12499.238475781956</v>
      </c>
      <c r="F812" s="28">
        <v>809</v>
      </c>
      <c r="G812" s="29">
        <f>Tableau!$G$26*COS(F812*PI()/180)+Tableau!$G$25</f>
        <v>-19938.916577469503</v>
      </c>
      <c r="H812" s="29">
        <f>Tableau!$G$26*SIN(F812*PI()/180)+Tableau!$H$25</f>
        <v>13499.46693304737</v>
      </c>
      <c r="J812" s="36">
        <v>809</v>
      </c>
      <c r="K812" s="37">
        <f>Tableau!$G$36*COS(J812*PI()/180)+Tableau!$G$35</f>
        <v>-4912.7379678135767</v>
      </c>
      <c r="L812" s="37">
        <f>Tableau!$G$36*SIN(J812*PI()/180)+Tableau!$H$35</f>
        <v>-10000.761524218044</v>
      </c>
      <c r="N812" s="92">
        <v>808</v>
      </c>
      <c r="O812" s="93">
        <v>404</v>
      </c>
      <c r="P812" s="96">
        <f>P811+R811*Tableau!$G$2+((1/2)*T811)*Tableau!$G$2^2</f>
        <v>-27469186.831989352</v>
      </c>
      <c r="Q812" s="96">
        <f>Q811+S811*Tableau!$G$2+((1/2)*U811)*Tableau!$G$2^2</f>
        <v>13492804.918604132</v>
      </c>
      <c r="R812" s="96">
        <f>R811+T811*Tableau!$G$2</f>
        <v>-68697.918850127797</v>
      </c>
      <c r="S812" s="96">
        <f>S811+U811*Tableau!$G$2</f>
        <v>33800.588564360223</v>
      </c>
      <c r="T812" s="96">
        <f t="shared" si="24"/>
        <v>1.1753486656648597E-3</v>
      </c>
      <c r="U812" s="96">
        <f t="shared" si="25"/>
        <v>-5.7733040593809068E-4</v>
      </c>
      <c r="V812" s="96">
        <f>((Tableau!$G$16-P812)/(AC812^2+Tableau!$G$21^2)^(3/2))*Tableau!$G$20</f>
        <v>5.014151561008863E-4</v>
      </c>
      <c r="W812" s="96">
        <f>((Tableau!$H$16-Q812)/(AC812^2+Tableau!$G$21^2)^(3/2))*Tableau!$G$20</f>
        <v>-2.4597803900700552E-4</v>
      </c>
      <c r="X812" s="96">
        <f>((Tableau!$G$25-P812)/(AD812^2+Tableau!$G$30^2)^(3/2))*Tableau!$G$29</f>
        <v>1.7235937428568621E-4</v>
      </c>
      <c r="Y812" s="96">
        <f>((Tableau!$H$25-Q812)/(AD812^2+Tableau!$G$30^2)^(3/2))*Tableau!$G$29</f>
        <v>-8.4661444931341859E-5</v>
      </c>
      <c r="Z812" s="96">
        <f>((Tableau!$G$35-P812)/(AE812^2+Tableau!$G$40^2)^(3/2))*Tableau!$G$39</f>
        <v>5.0157413527828724E-4</v>
      </c>
      <c r="AA812" s="97">
        <f>((Tableau!$H$35-Q812)/(AE812^2+Tableau!$G$40^2)^(3/2))*Tableau!$G$39</f>
        <v>-2.466909219997433E-4</v>
      </c>
      <c r="AC812" s="110">
        <f>SQRT((Tableau!$G$16-P812)^2+(Tableau!$H$16-Q812)^2)</f>
        <v>30618766.164425135</v>
      </c>
      <c r="AD812" s="111">
        <f>SQRT((Tableau!$G$25-P812)^2+(Tableau!$H$25-Q812)^2)</f>
        <v>30581757.408798359</v>
      </c>
      <c r="AE812" s="112">
        <f>SQRT((Tableau!$G$35-P812)^2+(Tableau!$H$35-Q812)^2)</f>
        <v>30606246.945051648</v>
      </c>
    </row>
    <row r="813" spans="2:31" x14ac:dyDescent="0.25">
      <c r="B813" s="18">
        <v>810</v>
      </c>
      <c r="C813" s="19">
        <f>Tableau!$G$17*COS(B813*PI()/180)+Tableau!$G$16</f>
        <v>20000.000000000011</v>
      </c>
      <c r="D813" s="19">
        <f>Tableau!$G$17*SIN(B813*PI()/180)+Tableau!$H$16</f>
        <v>12500</v>
      </c>
      <c r="F813" s="26">
        <v>810</v>
      </c>
      <c r="G813" s="27">
        <f>Tableau!$G$26*COS(F813*PI()/180)+Tableau!$G$25</f>
        <v>-19999.999999999993</v>
      </c>
      <c r="H813" s="27">
        <f>Tableau!$G$26*SIN(F813*PI()/180)+Tableau!$H$25</f>
        <v>13500</v>
      </c>
      <c r="J813" s="34">
        <v>810</v>
      </c>
      <c r="K813" s="35">
        <f>Tableau!$G$36*COS(J813*PI()/180)+Tableau!$G$35</f>
        <v>-4999.9999999999882</v>
      </c>
      <c r="L813" s="35">
        <f>Tableau!$G$36*SIN(J813*PI()/180)+Tableau!$H$35</f>
        <v>-10000</v>
      </c>
      <c r="N813" s="98">
        <v>809</v>
      </c>
      <c r="O813" s="99">
        <v>404.5</v>
      </c>
      <c r="P813" s="101">
        <f>P812+R812*Tableau!$G$2+((1/2)*T812)*Tableau!$G$2^2</f>
        <v>-27503535.791267499</v>
      </c>
      <c r="Q813" s="101">
        <f>Q812+S812*Tableau!$G$2+((1/2)*U812)*Tableau!$G$2^2</f>
        <v>13509705.212814145</v>
      </c>
      <c r="R813" s="101">
        <f>R812+T812*Tableau!$G$2</f>
        <v>-68697.918262453459</v>
      </c>
      <c r="S813" s="101">
        <f>S812+U812*Tableau!$G$2</f>
        <v>33800.588275695023</v>
      </c>
      <c r="T813" s="101">
        <f t="shared" si="24"/>
        <v>1.172413677958267E-3</v>
      </c>
      <c r="U813" s="101">
        <f t="shared" si="25"/>
        <v>-5.7588993977731955E-4</v>
      </c>
      <c r="V813" s="101">
        <f>((Tableau!$G$16-P813)/(AC813^2+Tableau!$G$21^2)^(3/2))*Tableau!$G$20</f>
        <v>5.0016334620743748E-4</v>
      </c>
      <c r="W813" s="101">
        <f>((Tableau!$H$16-Q813)/(AC813^2+Tableau!$G$21^2)^(3/2))*Tableau!$G$20</f>
        <v>-2.4536484671287319E-4</v>
      </c>
      <c r="X813" s="101">
        <f>((Tableau!$G$25-P813)/(AD813^2+Tableau!$G$30^2)^(3/2))*Tableau!$G$29</f>
        <v>1.7192860279967851E-4</v>
      </c>
      <c r="Y813" s="101">
        <f>((Tableau!$H$25-Q813)/(AD813^2+Tableau!$G$30^2)^(3/2))*Tableau!$G$29</f>
        <v>-8.4450031214110838E-5</v>
      </c>
      <c r="Z813" s="101">
        <f>((Tableau!$G$35-P813)/(AE813^2+Tableau!$G$40^2)^(3/2))*Tableau!$G$39</f>
        <v>5.0032172895115082E-4</v>
      </c>
      <c r="AA813" s="102">
        <f>((Tableau!$H$35-Q813)/(AE813^2+Tableau!$G$40^2)^(3/2))*Tableau!$G$39</f>
        <v>-2.4607506185033557E-4</v>
      </c>
      <c r="AC813" s="113">
        <f>SQRT((Tableau!$G$16-P813)^2+(Tableau!$H$16-Q813)^2)</f>
        <v>30657047.608374301</v>
      </c>
      <c r="AD813" s="114">
        <f>SQRT((Tableau!$G$25-P813)^2+(Tableau!$H$25-Q813)^2)</f>
        <v>30620038.870366625</v>
      </c>
      <c r="AE813" s="115">
        <f>SQRT((Tableau!$G$35-P813)^2+(Tableau!$H$35-Q813)^2)</f>
        <v>30644528.414663877</v>
      </c>
    </row>
    <row r="814" spans="2:31" x14ac:dyDescent="0.25">
      <c r="B814" s="20">
        <v>811</v>
      </c>
      <c r="C814" s="21">
        <f>Tableau!$G$17*COS(B814*PI()/180)+Tableau!$G$16</f>
        <v>19912.73796781358</v>
      </c>
      <c r="D814" s="21">
        <f>Tableau!$G$17*SIN(B814*PI()/180)+Tableau!$H$16</f>
        <v>12499.238475781956</v>
      </c>
      <c r="F814" s="28">
        <v>811</v>
      </c>
      <c r="G814" s="29">
        <f>Tableau!$G$26*COS(F814*PI()/180)+Tableau!$G$25</f>
        <v>-20061.083422530493</v>
      </c>
      <c r="H814" s="29">
        <f>Tableau!$G$26*SIN(F814*PI()/180)+Tableau!$H$25</f>
        <v>13499.46693304737</v>
      </c>
      <c r="J814" s="36">
        <v>811</v>
      </c>
      <c r="K814" s="37">
        <f>Tableau!$G$36*COS(J814*PI()/180)+Tableau!$G$35</f>
        <v>-5087.2620321864179</v>
      </c>
      <c r="L814" s="37">
        <f>Tableau!$G$36*SIN(J814*PI()/180)+Tableau!$H$35</f>
        <v>-10000.761524218044</v>
      </c>
      <c r="N814" s="92">
        <v>810</v>
      </c>
      <c r="O814" s="93">
        <v>405</v>
      </c>
      <c r="P814" s="96">
        <f>P813+R813*Tableau!$G$2+((1/2)*T813)*Tableau!$G$2^2</f>
        <v>-27537884.750252172</v>
      </c>
      <c r="Q814" s="96">
        <f>Q813+S813*Tableau!$G$2+((1/2)*U813)*Tableau!$G$2^2</f>
        <v>13526605.506880006</v>
      </c>
      <c r="R814" s="96">
        <f>R813+T813*Tableau!$G$2</f>
        <v>-68697.917676246623</v>
      </c>
      <c r="S814" s="96">
        <f>S813+U813*Tableau!$G$2</f>
        <v>33800.587987750056</v>
      </c>
      <c r="T814" s="96">
        <f t="shared" si="24"/>
        <v>1.1694896700923116E-3</v>
      </c>
      <c r="U814" s="96">
        <f t="shared" si="25"/>
        <v>-5.7445485795358249E-4</v>
      </c>
      <c r="V814" s="96">
        <f>((Tableau!$G$16-P814)/(AC814^2+Tableau!$G$21^2)^(3/2))*Tableau!$G$20</f>
        <v>4.9891621829210853E-4</v>
      </c>
      <c r="W814" s="96">
        <f>((Tableau!$H$16-Q814)/(AC814^2+Tableau!$G$21^2)^(3/2))*Tableau!$G$20</f>
        <v>-2.4475394448127488E-4</v>
      </c>
      <c r="X814" s="96">
        <f>((Tableau!$G$25-P814)/(AD814^2+Tableau!$G$30^2)^(3/2))*Tableau!$G$29</f>
        <v>1.7149944421833988E-4</v>
      </c>
      <c r="Y814" s="96">
        <f>((Tableau!$H$25-Q814)/(AD814^2+Tableau!$G$30^2)^(3/2))*Tableau!$G$29</f>
        <v>-8.423940841336761E-5</v>
      </c>
      <c r="Z814" s="96">
        <f>((Tableau!$G$35-P814)/(AE814^2+Tableau!$G$40^2)^(3/2))*Tableau!$G$39</f>
        <v>4.9907400758186326E-4</v>
      </c>
      <c r="AA814" s="97">
        <f>((Tableau!$H$35-Q814)/(AE814^2+Tableau!$G$40^2)^(3/2))*Tableau!$G$39</f>
        <v>-2.4546150505893997E-4</v>
      </c>
      <c r="AC814" s="110">
        <f>SQRT((Tableau!$G$16-P814)^2+(Tableau!$H$16-Q814)^2)</f>
        <v>30695329.052061561</v>
      </c>
      <c r="AD814" s="111">
        <f>SQRT((Tableau!$G$25-P814)^2+(Tableau!$H$25-Q814)^2)</f>
        <v>30658320.33162906</v>
      </c>
      <c r="AE814" s="112">
        <f>SQRT((Tableau!$G$35-P814)^2+(Tableau!$H$35-Q814)^2)</f>
        <v>30682809.883950189</v>
      </c>
    </row>
    <row r="815" spans="2:31" x14ac:dyDescent="0.25">
      <c r="B815" s="18">
        <v>812</v>
      </c>
      <c r="C815" s="19">
        <f>Tableau!$G$17*COS(B815*PI()/180)+Tableau!$G$16</f>
        <v>19825.502516487501</v>
      </c>
      <c r="D815" s="19">
        <f>Tableau!$G$17*SIN(B815*PI()/180)+Tableau!$H$16</f>
        <v>12496.954135095479</v>
      </c>
      <c r="F815" s="26">
        <v>812</v>
      </c>
      <c r="G815" s="27">
        <f>Tableau!$G$26*COS(F815*PI()/180)+Tableau!$G$25</f>
        <v>-20122.148238458751</v>
      </c>
      <c r="H815" s="27">
        <f>Tableau!$G$26*SIN(F815*PI()/180)+Tableau!$H$25</f>
        <v>13497.867894566836</v>
      </c>
      <c r="J815" s="34">
        <v>812</v>
      </c>
      <c r="K815" s="35">
        <f>Tableau!$G$36*COS(J815*PI()/180)+Tableau!$G$35</f>
        <v>-5174.4974835125004</v>
      </c>
      <c r="L815" s="35">
        <f>Tableau!$G$36*SIN(J815*PI()/180)+Tableau!$H$35</f>
        <v>-10003.045864904521</v>
      </c>
      <c r="N815" s="98">
        <v>811</v>
      </c>
      <c r="O815" s="99">
        <v>405.5</v>
      </c>
      <c r="P815" s="101">
        <f>P814+R814*Tableau!$G$2+((1/2)*T814)*Tableau!$G$2^2</f>
        <v>-27572233.708944108</v>
      </c>
      <c r="Q815" s="101">
        <f>Q814+S814*Tableau!$G$2+((1/2)*U814)*Tableau!$G$2^2</f>
        <v>13543505.800802074</v>
      </c>
      <c r="R815" s="101">
        <f>R814+T814*Tableau!$G$2</f>
        <v>-68697.917091501789</v>
      </c>
      <c r="S815" s="101">
        <f>S814+U814*Tableau!$G$2</f>
        <v>33800.587700522628</v>
      </c>
      <c r="T815" s="101">
        <f t="shared" si="24"/>
        <v>1.1665765873674337E-3</v>
      </c>
      <c r="U815" s="101">
        <f t="shared" si="25"/>
        <v>-5.7302513366533434E-4</v>
      </c>
      <c r="V815" s="101">
        <f>((Tableau!$G$16-P815)/(AC815^2+Tableau!$G$21^2)^(3/2))*Tableau!$G$20</f>
        <v>4.9767374903544328E-4</v>
      </c>
      <c r="W815" s="101">
        <f>((Tableau!$H$16-Q815)/(AC815^2+Tableau!$G$21^2)^(3/2))*Tableau!$G$20</f>
        <v>-2.4414532092293105E-4</v>
      </c>
      <c r="X815" s="101">
        <f>((Tableau!$G$25-P815)/(AD815^2+Tableau!$G$30^2)^(3/2))*Tableau!$G$29</f>
        <v>1.7107189049959723E-4</v>
      </c>
      <c r="Y815" s="101">
        <f>((Tableau!$H$25-Q815)/(AD815^2+Tableau!$G$30^2)^(3/2))*Tableau!$G$29</f>
        <v>-8.4029572588842651E-5</v>
      </c>
      <c r="Z815" s="101">
        <f>((Tableau!$G$35-P815)/(AE815^2+Tableau!$G$40^2)^(3/2))*Tableau!$G$39</f>
        <v>4.9783094783239308E-4</v>
      </c>
      <c r="AA815" s="102">
        <f>((Tableau!$H$35-Q815)/(AE815^2+Tableau!$G$40^2)^(3/2))*Tableau!$G$39</f>
        <v>-2.4485024015356063E-4</v>
      </c>
      <c r="AC815" s="113">
        <f>SQRT((Tableau!$G$16-P815)^2+(Tableau!$H$16-Q815)^2)</f>
        <v>30733610.495487493</v>
      </c>
      <c r="AD815" s="114">
        <f>SQRT((Tableau!$G$25-P815)^2+(Tableau!$H$25-Q815)^2)</f>
        <v>30696601.792586412</v>
      </c>
      <c r="AE815" s="115">
        <f>SQRT((Tableau!$G$35-P815)^2+(Tableau!$H$35-Q815)^2)</f>
        <v>30721091.352911405</v>
      </c>
    </row>
    <row r="816" spans="2:31" x14ac:dyDescent="0.25">
      <c r="B816" s="20">
        <v>813</v>
      </c>
      <c r="C816" s="21">
        <f>Tableau!$G$17*COS(B816*PI()/180)+Tableau!$G$16</f>
        <v>19738.320218785291</v>
      </c>
      <c r="D816" s="21">
        <f>Tableau!$G$17*SIN(B816*PI()/180)+Tableau!$H$16</f>
        <v>12493.14767377287</v>
      </c>
      <c r="F816" s="28">
        <v>813</v>
      </c>
      <c r="G816" s="29">
        <f>Tableau!$G$26*COS(F816*PI()/180)+Tableau!$G$25</f>
        <v>-20183.175846850296</v>
      </c>
      <c r="H816" s="29">
        <f>Tableau!$G$26*SIN(F816*PI()/180)+Tableau!$H$25</f>
        <v>13495.203371641008</v>
      </c>
      <c r="J816" s="36">
        <v>813</v>
      </c>
      <c r="K816" s="37">
        <f>Tableau!$G$36*COS(J816*PI()/180)+Tableau!$G$35</f>
        <v>-5261.6797812147088</v>
      </c>
      <c r="L816" s="37">
        <f>Tableau!$G$36*SIN(J816*PI()/180)+Tableau!$H$35</f>
        <v>-10006.85232622713</v>
      </c>
      <c r="N816" s="92">
        <v>812</v>
      </c>
      <c r="O816" s="93">
        <v>406</v>
      </c>
      <c r="P816" s="96">
        <f>P815+R815*Tableau!$G$2+((1/2)*T815)*Tableau!$G$2^2</f>
        <v>-27606582.667344037</v>
      </c>
      <c r="Q816" s="96">
        <f>Q815+S815*Tableau!$G$2+((1/2)*U815)*Tableau!$G$2^2</f>
        <v>13560406.094580708</v>
      </c>
      <c r="R816" s="96">
        <f>R815+T815*Tableau!$G$2</f>
        <v>-68697.9165082135</v>
      </c>
      <c r="S816" s="96">
        <f>S815+U815*Tableau!$G$2</f>
        <v>33800.587414010064</v>
      </c>
      <c r="T816" s="96">
        <f t="shared" si="24"/>
        <v>1.1636743754242771E-3</v>
      </c>
      <c r="U816" s="96">
        <f t="shared" si="25"/>
        <v>-5.7160074027758512E-4</v>
      </c>
      <c r="V816" s="96">
        <f>((Tableau!$G$16-P816)/(AC816^2+Tableau!$G$21^2)^(3/2))*Tableau!$G$20</f>
        <v>4.9643591526299337E-4</v>
      </c>
      <c r="W816" s="96">
        <f>((Tableau!$H$16-Q816)/(AC816^2+Tableau!$G$21^2)^(3/2))*Tableau!$G$20</f>
        <v>-2.4353896471928009E-4</v>
      </c>
      <c r="X816" s="96">
        <f>((Tableau!$G$25-P816)/(AD816^2+Tableau!$G$30^2)^(3/2))*Tableau!$G$29</f>
        <v>1.7064593365143541E-4</v>
      </c>
      <c r="Y816" s="96">
        <f>((Tableau!$H$25-Q816)/(AD816^2+Tableau!$G$30^2)^(3/2))*Tableau!$G$29</f>
        <v>-8.3820519824772115E-5</v>
      </c>
      <c r="Z816" s="96">
        <f>((Tableau!$G$35-P816)/(AE816^2+Tableau!$G$40^2)^(3/2))*Tableau!$G$39</f>
        <v>4.9659252650984833E-4</v>
      </c>
      <c r="AA816" s="97">
        <f>((Tableau!$H$35-Q816)/(AE816^2+Tableau!$G$40^2)^(3/2))*Tableau!$G$39</f>
        <v>-2.44241255733533E-4</v>
      </c>
      <c r="AC816" s="110">
        <f>SQRT((Tableau!$G$16-P816)^2+(Tableau!$H$16-Q816)^2)</f>
        <v>30771891.938652664</v>
      </c>
      <c r="AD816" s="111">
        <f>SQRT((Tableau!$G$25-P816)^2+(Tableau!$H$25-Q816)^2)</f>
        <v>30734883.253239412</v>
      </c>
      <c r="AE816" s="112">
        <f>SQRT((Tableau!$G$35-P816)^2+(Tableau!$H$35-Q816)^2)</f>
        <v>30759372.821548324</v>
      </c>
    </row>
    <row r="817" spans="2:31" x14ac:dyDescent="0.25">
      <c r="B817" s="18">
        <v>814</v>
      </c>
      <c r="C817" s="19">
        <f>Tableau!$G$17*COS(B817*PI()/180)+Tableau!$G$16</f>
        <v>19651.217631279371</v>
      </c>
      <c r="D817" s="19">
        <f>Tableau!$G$17*SIN(B817*PI()/180)+Tableau!$H$16</f>
        <v>12487.820251299121</v>
      </c>
      <c r="F817" s="26">
        <v>814</v>
      </c>
      <c r="G817" s="27">
        <f>Tableau!$G$26*COS(F817*PI()/180)+Tableau!$G$25</f>
        <v>-20244.147658104441</v>
      </c>
      <c r="H817" s="27">
        <f>Tableau!$G$26*SIN(F817*PI()/180)+Tableau!$H$25</f>
        <v>13491.474175909385</v>
      </c>
      <c r="J817" s="34">
        <v>814</v>
      </c>
      <c r="K817" s="35">
        <f>Tableau!$G$36*COS(J817*PI()/180)+Tableau!$G$35</f>
        <v>-5348.7823687206283</v>
      </c>
      <c r="L817" s="35">
        <f>Tableau!$G$36*SIN(J817*PI()/180)+Tableau!$H$35</f>
        <v>-10012.179748700879</v>
      </c>
      <c r="N817" s="98">
        <v>813</v>
      </c>
      <c r="O817" s="99">
        <v>406.5</v>
      </c>
      <c r="P817" s="101">
        <f>P816+R816*Tableau!$G$2+((1/2)*T816)*Tableau!$G$2^2</f>
        <v>-27640931.625452686</v>
      </c>
      <c r="Q817" s="101">
        <f>Q816+S816*Tableau!$G$2+((1/2)*U816)*Tableau!$G$2^2</f>
        <v>13577306.388216265</v>
      </c>
      <c r="R817" s="101">
        <f>R816+T816*Tableau!$G$2</f>
        <v>-68697.915926376314</v>
      </c>
      <c r="S817" s="101">
        <f>S816+U816*Tableau!$G$2</f>
        <v>33800.587128209692</v>
      </c>
      <c r="T817" s="101">
        <f t="shared" si="24"/>
        <v>1.1607829802411423E-3</v>
      </c>
      <c r="U817" s="101">
        <f t="shared" si="25"/>
        <v>-5.7018165132065248E-4</v>
      </c>
      <c r="V817" s="101">
        <f>((Tableau!$G$16-P817)/(AC817^2+Tableau!$G$21^2)^(3/2))*Tableau!$G$20</f>
        <v>4.9520269394423251E-4</v>
      </c>
      <c r="W817" s="101">
        <f>((Tableau!$H$16-Q817)/(AC817^2+Tableau!$G$21^2)^(3/2))*Tableau!$G$20</f>
        <v>-2.4293486462194946E-4</v>
      </c>
      <c r="X817" s="101">
        <f>((Tableau!$G$25-P817)/(AD817^2+Tableau!$G$30^2)^(3/2))*Tableau!$G$29</f>
        <v>1.7022156573153071E-4</v>
      </c>
      <c r="Y817" s="101">
        <f>((Tableau!$H$25-Q817)/(AD817^2+Tableau!$G$30^2)^(3/2))*Tableau!$G$29</f>
        <v>-8.3612246229718593E-5</v>
      </c>
      <c r="Z817" s="101">
        <f>((Tableau!$G$35-P817)/(AE817^2+Tableau!$G$40^2)^(3/2))*Tableau!$G$39</f>
        <v>4.9535872056537906E-4</v>
      </c>
      <c r="AA817" s="102">
        <f>((Tableau!$H$35-Q817)/(AE817^2+Tableau!$G$40^2)^(3/2))*Tableau!$G$39</f>
        <v>-2.4363454046898435E-4</v>
      </c>
      <c r="AC817" s="113">
        <f>SQRT((Tableau!$G$16-P817)^2+(Tableau!$H$16-Q817)^2)</f>
        <v>30810173.381557651</v>
      </c>
      <c r="AD817" s="114">
        <f>SQRT((Tableau!$G$25-P817)^2+(Tableau!$H$25-Q817)^2)</f>
        <v>30773164.713588789</v>
      </c>
      <c r="AE817" s="115">
        <f>SQRT((Tableau!$G$35-P817)^2+(Tableau!$H$35-Q817)^2)</f>
        <v>30797654.289861765</v>
      </c>
    </row>
    <row r="818" spans="2:31" x14ac:dyDescent="0.25">
      <c r="B818" s="20">
        <v>815</v>
      </c>
      <c r="C818" s="21">
        <f>Tableau!$G$17*COS(B818*PI()/180)+Tableau!$G$16</f>
        <v>19564.221286261713</v>
      </c>
      <c r="D818" s="21">
        <f>Tableau!$G$17*SIN(B818*PI()/180)+Tableau!$H$16</f>
        <v>12480.973490458728</v>
      </c>
      <c r="F818" s="28">
        <v>815</v>
      </c>
      <c r="G818" s="29">
        <f>Tableau!$G$26*COS(F818*PI()/180)+Tableau!$G$25</f>
        <v>-20305.0450996168</v>
      </c>
      <c r="H818" s="29">
        <f>Tableau!$G$26*SIN(F818*PI()/180)+Tableau!$H$25</f>
        <v>13486.681443321109</v>
      </c>
      <c r="J818" s="36">
        <v>815</v>
      </c>
      <c r="K818" s="37">
        <f>Tableau!$G$36*COS(J818*PI()/180)+Tableau!$G$35</f>
        <v>-5435.7787137382875</v>
      </c>
      <c r="L818" s="37">
        <f>Tableau!$G$36*SIN(J818*PI()/180)+Tableau!$H$35</f>
        <v>-10019.026509541272</v>
      </c>
      <c r="N818" s="92">
        <v>814</v>
      </c>
      <c r="O818" s="93">
        <v>407</v>
      </c>
      <c r="P818" s="96">
        <f>P817+R817*Tableau!$G$2+((1/2)*T817)*Tableau!$G$2^2</f>
        <v>-27675280.583270777</v>
      </c>
      <c r="Q818" s="96">
        <f>Q817+S817*Tableau!$G$2+((1/2)*U817)*Tableau!$G$2^2</f>
        <v>13594206.681709098</v>
      </c>
      <c r="R818" s="96">
        <f>R817+T817*Tableau!$G$2</f>
        <v>-68697.915345984817</v>
      </c>
      <c r="S818" s="96">
        <f>S817+U817*Tableau!$G$2</f>
        <v>33800.586843118865</v>
      </c>
      <c r="T818" s="96">
        <f t="shared" si="24"/>
        <v>1.1579023481314977E-3</v>
      </c>
      <c r="U818" s="96">
        <f t="shared" si="25"/>
        <v>-5.6876784048894447E-4</v>
      </c>
      <c r="V818" s="96">
        <f>((Tableau!$G$16-P818)/(AC818^2+Tableau!$G$21^2)^(3/2))*Tableau!$G$20</f>
        <v>4.9397406219147614E-4</v>
      </c>
      <c r="W818" s="96">
        <f>((Tableau!$H$16-Q818)/(AC818^2+Tableau!$G$21^2)^(3/2))*Tableau!$G$20</f>
        <v>-2.4233300945222981E-4</v>
      </c>
      <c r="X818" s="96">
        <f>((Tableau!$G$25-P818)/(AD818^2+Tableau!$G$30^2)^(3/2))*Tableau!$G$29</f>
        <v>1.6979877884687239E-4</v>
      </c>
      <c r="Y818" s="96">
        <f>((Tableau!$H$25-Q818)/(AD818^2+Tableau!$G$30^2)^(3/2))*Tableau!$G$29</f>
        <v>-8.3404747936385992E-5</v>
      </c>
      <c r="Z818" s="96">
        <f>((Tableau!$G$35-P818)/(AE818^2+Tableau!$G$40^2)^(3/2))*Tableau!$G$39</f>
        <v>4.9412950709314921E-4</v>
      </c>
      <c r="AA818" s="97">
        <f>((Tableau!$H$35-Q818)/(AE818^2+Tableau!$G$40^2)^(3/2))*Tableau!$G$39</f>
        <v>-2.4303008310032871E-4</v>
      </c>
      <c r="AC818" s="110">
        <f>SQRT((Tableau!$G$16-P818)^2+(Tableau!$H$16-Q818)^2)</f>
        <v>30848454.824203007</v>
      </c>
      <c r="AD818" s="111">
        <f>SQRT((Tableau!$G$25-P818)^2+(Tableau!$H$25-Q818)^2)</f>
        <v>30811446.173635274</v>
      </c>
      <c r="AE818" s="112">
        <f>SQRT((Tableau!$G$35-P818)^2+(Tableau!$H$35-Q818)^2)</f>
        <v>30835935.757852513</v>
      </c>
    </row>
    <row r="819" spans="2:31" x14ac:dyDescent="0.25">
      <c r="B819" s="18">
        <v>816</v>
      </c>
      <c r="C819" s="19">
        <f>Tableau!$G$17*COS(B819*PI()/180)+Tableau!$G$16</f>
        <v>19477.357683661743</v>
      </c>
      <c r="D819" s="19">
        <f>Tableau!$G$17*SIN(B819*PI()/180)+Tableau!$H$16</f>
        <v>12472.609476841368</v>
      </c>
      <c r="F819" s="26">
        <v>816</v>
      </c>
      <c r="G819" s="27">
        <f>Tableau!$G$26*COS(F819*PI()/180)+Tableau!$G$25</f>
        <v>-20365.849621436781</v>
      </c>
      <c r="H819" s="27">
        <f>Tableau!$G$26*SIN(F819*PI()/180)+Tableau!$H$25</f>
        <v>13480.826633788958</v>
      </c>
      <c r="J819" s="34">
        <v>816</v>
      </c>
      <c r="K819" s="35">
        <f>Tableau!$G$36*COS(J819*PI()/180)+Tableau!$G$35</f>
        <v>-5522.6423163382588</v>
      </c>
      <c r="L819" s="35">
        <f>Tableau!$G$36*SIN(J819*PI()/180)+Tableau!$H$35</f>
        <v>-10027.390523158632</v>
      </c>
      <c r="N819" s="98">
        <v>815</v>
      </c>
      <c r="O819" s="99">
        <v>407.5</v>
      </c>
      <c r="P819" s="101">
        <f>P818+R818*Tableau!$G$2+((1/2)*T818)*Tableau!$G$2^2</f>
        <v>-27709629.540799029</v>
      </c>
      <c r="Q819" s="101">
        <f>Q818+S818*Tableau!$G$2+((1/2)*U818)*Tableau!$G$2^2</f>
        <v>13611106.975059561</v>
      </c>
      <c r="R819" s="101">
        <f>R818+T818*Tableau!$G$2</f>
        <v>-68697.914767033639</v>
      </c>
      <c r="S819" s="101">
        <f>S818+U818*Tableau!$G$2</f>
        <v>33800.586558734947</v>
      </c>
      <c r="T819" s="101">
        <f t="shared" si="24"/>
        <v>1.1550324257414753E-3</v>
      </c>
      <c r="U819" s="101">
        <f t="shared" si="25"/>
        <v>-5.6735928163973543E-4</v>
      </c>
      <c r="V819" s="101">
        <f>((Tableau!$G$16-P819)/(AC819^2+Tableau!$G$21^2)^(3/2))*Tableau!$G$20</f>
        <v>4.9274999725884376E-4</v>
      </c>
      <c r="W819" s="101">
        <f>((Tableau!$H$16-Q819)/(AC819^2+Tableau!$G$21^2)^(3/2))*Tableau!$G$20</f>
        <v>-2.4173338810056939E-4</v>
      </c>
      <c r="X819" s="101">
        <f>((Tableau!$G$25-P819)/(AD819^2+Tableau!$G$30^2)^(3/2))*Tableau!$G$29</f>
        <v>1.6937756515340125E-4</v>
      </c>
      <c r="Y819" s="101">
        <f>((Tableau!$H$25-Q819)/(AD819^2+Tableau!$G$30^2)^(3/2))*Tableau!$G$29</f>
        <v>-8.319802110144279E-5</v>
      </c>
      <c r="Z819" s="101">
        <f>((Tableau!$G$35-P819)/(AE819^2+Tableau!$G$40^2)^(3/2))*Tableau!$G$39</f>
        <v>4.9290486332923043E-4</v>
      </c>
      <c r="AA819" s="102">
        <f>((Tableau!$H$35-Q819)/(AE819^2+Tableau!$G$40^2)^(3/2))*Tableau!$G$39</f>
        <v>-2.4242787243772325E-4</v>
      </c>
      <c r="AC819" s="113">
        <f>SQRT((Tableau!$G$16-P819)^2+(Tableau!$H$16-Q819)^2)</f>
        <v>30886736.26658931</v>
      </c>
      <c r="AD819" s="114">
        <f>SQRT((Tableau!$G$25-P819)^2+(Tableau!$H$25-Q819)^2)</f>
        <v>30849727.633379586</v>
      </c>
      <c r="AE819" s="115">
        <f>SQRT((Tableau!$G$35-P819)^2+(Tableau!$H$35-Q819)^2)</f>
        <v>30874217.225521382</v>
      </c>
    </row>
    <row r="820" spans="2:31" x14ac:dyDescent="0.25">
      <c r="B820" s="20">
        <v>817</v>
      </c>
      <c r="C820" s="21">
        <f>Tableau!$G$17*COS(B820*PI()/180)+Tableau!$G$16</f>
        <v>19390.653282974268</v>
      </c>
      <c r="D820" s="21">
        <f>Tableau!$G$17*SIN(B820*PI()/180)+Tableau!$H$16</f>
        <v>12462.730758206611</v>
      </c>
      <c r="F820" s="28">
        <v>817</v>
      </c>
      <c r="G820" s="29">
        <f>Tableau!$G$26*COS(F820*PI()/180)+Tableau!$G$25</f>
        <v>-20426.542701918013</v>
      </c>
      <c r="H820" s="29">
        <f>Tableau!$G$26*SIN(F820*PI()/180)+Tableau!$H$25</f>
        <v>13473.911530744628</v>
      </c>
      <c r="J820" s="36">
        <v>817</v>
      </c>
      <c r="K820" s="37">
        <f>Tableau!$G$36*COS(J820*PI()/180)+Tableau!$G$35</f>
        <v>-5609.3467170257318</v>
      </c>
      <c r="L820" s="37">
        <f>Tableau!$G$36*SIN(J820*PI()/180)+Tableau!$H$35</f>
        <v>-10037.269241793389</v>
      </c>
      <c r="N820" s="92">
        <v>816</v>
      </c>
      <c r="O820" s="93">
        <v>408</v>
      </c>
      <c r="P820" s="96">
        <f>P819+R819*Tableau!$G$2+((1/2)*T819)*Tableau!$G$2^2</f>
        <v>-27743978.498038169</v>
      </c>
      <c r="Q820" s="96">
        <f>Q819+S819*Tableau!$G$2+((1/2)*U819)*Tableau!$G$2^2</f>
        <v>13628007.268268008</v>
      </c>
      <c r="R820" s="96">
        <f>R819+T819*Tableau!$G$2</f>
        <v>-68697.914189517425</v>
      </c>
      <c r="S820" s="96">
        <f>S819+U819*Tableau!$G$2</f>
        <v>33800.586275055306</v>
      </c>
      <c r="T820" s="96">
        <f t="shared" si="24"/>
        <v>1.1521731600474066E-3</v>
      </c>
      <c r="U820" s="96">
        <f t="shared" si="25"/>
        <v>-5.6595594879195932E-4</v>
      </c>
      <c r="V820" s="96">
        <f>((Tableau!$G$16-P820)/(AC820^2+Tableau!$G$21^2)^(3/2))*Tableau!$G$20</f>
        <v>4.9153047654118532E-4</v>
      </c>
      <c r="W820" s="96">
        <f>((Tableau!$H$16-Q820)/(AC820^2+Tableau!$G$21^2)^(3/2))*Tableau!$G$20</f>
        <v>-2.4113598952605158E-4</v>
      </c>
      <c r="X820" s="96">
        <f>((Tableau!$G$25-P820)/(AD820^2+Tableau!$G$30^2)^(3/2))*Tableau!$G$29</f>
        <v>1.6895791685564708E-4</v>
      </c>
      <c r="Y820" s="96">
        <f>((Tableau!$H$25-Q820)/(AD820^2+Tableau!$G$30^2)^(3/2))*Tableau!$G$29</f>
        <v>-8.2992061905344519E-5</v>
      </c>
      <c r="Z820" s="96">
        <f>((Tableau!$G$35-P820)/(AE820^2+Tableau!$G$40^2)^(3/2))*Tableau!$G$39</f>
        <v>4.9168476665057423E-4</v>
      </c>
      <c r="AA820" s="97">
        <f>((Tableau!$H$35-Q820)/(AE820^2+Tableau!$G$40^2)^(3/2))*Tableau!$G$39</f>
        <v>-2.4182789736056318E-4</v>
      </c>
      <c r="AC820" s="110">
        <f>SQRT((Tableau!$G$16-P820)^2+(Tableau!$H$16-Q820)^2)</f>
        <v>30925017.708717119</v>
      </c>
      <c r="AD820" s="111">
        <f>SQRT((Tableau!$G$25-P820)^2+(Tableau!$H$25-Q820)^2)</f>
        <v>30888009.092822462</v>
      </c>
      <c r="AE820" s="112">
        <f>SQRT((Tableau!$G$35-P820)^2+(Tableau!$H$35-Q820)^2)</f>
        <v>30912498.69286916</v>
      </c>
    </row>
    <row r="821" spans="2:31" x14ac:dyDescent="0.25">
      <c r="B821" s="18">
        <v>818</v>
      </c>
      <c r="C821" s="19">
        <f>Tableau!$G$17*COS(B821*PI()/180)+Tableau!$G$16</f>
        <v>19304.134495199676</v>
      </c>
      <c r="D821" s="19">
        <f>Tableau!$G$17*SIN(B821*PI()/180)+Tableau!$H$16</f>
        <v>12451.340343707852</v>
      </c>
      <c r="F821" s="26">
        <v>818</v>
      </c>
      <c r="G821" s="27">
        <f>Tableau!$G$26*COS(F821*PI()/180)+Tableau!$G$25</f>
        <v>-20487.105853360226</v>
      </c>
      <c r="H821" s="27">
        <f>Tableau!$G$26*SIN(F821*PI()/180)+Tableau!$H$25</f>
        <v>13465.938240595497</v>
      </c>
      <c r="J821" s="34">
        <v>818</v>
      </c>
      <c r="K821" s="35">
        <f>Tableau!$G$36*COS(J821*PI()/180)+Tableau!$G$35</f>
        <v>-5695.8655048003257</v>
      </c>
      <c r="L821" s="35">
        <f>Tableau!$G$36*SIN(J821*PI()/180)+Tableau!$H$35</f>
        <v>-10048.659656292148</v>
      </c>
      <c r="N821" s="98">
        <v>817</v>
      </c>
      <c r="O821" s="99">
        <v>408.5</v>
      </c>
      <c r="P821" s="101">
        <f>P820+R820*Tableau!$G$2+((1/2)*T820)*Tableau!$G$2^2</f>
        <v>-27778327.454988904</v>
      </c>
      <c r="Q821" s="101">
        <f>Q820+S820*Tableau!$G$2+((1/2)*U820)*Tableau!$G$2^2</f>
        <v>13644907.561334791</v>
      </c>
      <c r="R821" s="101">
        <f>R820+T820*Tableau!$G$2</f>
        <v>-68697.91361343085</v>
      </c>
      <c r="S821" s="101">
        <f>S820+U820*Tableau!$G$2</f>
        <v>33800.585992077329</v>
      </c>
      <c r="T821" s="101">
        <f t="shared" si="24"/>
        <v>1.1493244983533371E-3</v>
      </c>
      <c r="U821" s="101">
        <f t="shared" si="25"/>
        <v>-5.6455781612499477E-4</v>
      </c>
      <c r="V821" s="101">
        <f>((Tableau!$G$16-P821)/(AC821^2+Tableau!$G$21^2)^(3/2))*Tableau!$G$20</f>
        <v>4.9031547757303641E-4</v>
      </c>
      <c r="W821" s="101">
        <f>((Tableau!$H$16-Q821)/(AC821^2+Tableau!$G$21^2)^(3/2))*Tableau!$G$20</f>
        <v>-2.4054080275588561E-4</v>
      </c>
      <c r="X821" s="101">
        <f>((Tableau!$G$25-P821)/(AD821^2+Tableau!$G$30^2)^(3/2))*Tableau!$G$29</f>
        <v>1.6853982620635671E-4</v>
      </c>
      <c r="Y821" s="101">
        <f>((Tableau!$H$25-Q821)/(AD821^2+Tableau!$G$30^2)^(3/2))*Tableau!$G$29</f>
        <v>-8.2786866552152046E-5</v>
      </c>
      <c r="Z821" s="101">
        <f>((Tableau!$G$35-P821)/(AE821^2+Tableau!$G$40^2)^(3/2))*Tableau!$G$39</f>
        <v>4.9046919457394387E-4</v>
      </c>
      <c r="AA821" s="102">
        <f>((Tableau!$H$35-Q821)/(AE821^2+Tableau!$G$40^2)^(3/2))*Tableau!$G$39</f>
        <v>-2.4123014681695716E-4</v>
      </c>
      <c r="AC821" s="113">
        <f>SQRT((Tableau!$G$16-P821)^2+(Tableau!$H$16-Q821)^2)</f>
        <v>30963299.150586993</v>
      </c>
      <c r="AD821" s="114">
        <f>SQRT((Tableau!$G$25-P821)^2+(Tableau!$H$25-Q821)^2)</f>
        <v>30926290.551964607</v>
      </c>
      <c r="AE821" s="115">
        <f>SQRT((Tableau!$G$35-P821)^2+(Tableau!$H$35-Q821)^2)</f>
        <v>30950780.159896646</v>
      </c>
    </row>
    <row r="822" spans="2:31" x14ac:dyDescent="0.25">
      <c r="B822" s="20">
        <v>819</v>
      </c>
      <c r="C822" s="21">
        <f>Tableau!$G$17*COS(B822*PI()/180)+Tableau!$G$16</f>
        <v>19217.827674798846</v>
      </c>
      <c r="D822" s="21">
        <f>Tableau!$G$17*SIN(B822*PI()/180)+Tableau!$H$16</f>
        <v>12438.441702975688</v>
      </c>
      <c r="F822" s="28">
        <v>819</v>
      </c>
      <c r="G822" s="29">
        <f>Tableau!$G$26*COS(F822*PI()/180)+Tableau!$G$25</f>
        <v>-20547.52062764081</v>
      </c>
      <c r="H822" s="29">
        <f>Tableau!$G$26*SIN(F822*PI()/180)+Tableau!$H$25</f>
        <v>13456.909192082981</v>
      </c>
      <c r="J822" s="36">
        <v>819</v>
      </c>
      <c r="K822" s="37">
        <f>Tableau!$G$36*COS(J822*PI()/180)+Tableau!$G$35</f>
        <v>-5782.1723252011561</v>
      </c>
      <c r="L822" s="37">
        <f>Tableau!$G$36*SIN(J822*PI()/180)+Tableau!$H$35</f>
        <v>-10061.558297024312</v>
      </c>
      <c r="N822" s="92">
        <v>818</v>
      </c>
      <c r="O822" s="93">
        <v>409</v>
      </c>
      <c r="P822" s="96">
        <f>P821+R821*Tableau!$G$2+((1/2)*T821)*Tableau!$G$2^2</f>
        <v>-27812676.411651954</v>
      </c>
      <c r="Q822" s="96">
        <f>Q821+S821*Tableau!$G$2+((1/2)*U821)*Tableau!$G$2^2</f>
        <v>13661807.854260258</v>
      </c>
      <c r="R822" s="96">
        <f>R821+T821*Tableau!$G$2</f>
        <v>-68697.913038768602</v>
      </c>
      <c r="S822" s="96">
        <f>S821+U821*Tableau!$G$2</f>
        <v>33800.585709798419</v>
      </c>
      <c r="T822" s="96">
        <f t="shared" si="24"/>
        <v>1.1464863882886729E-3</v>
      </c>
      <c r="U822" s="96">
        <f t="shared" si="25"/>
        <v>-5.6316485797751402E-4</v>
      </c>
      <c r="V822" s="96">
        <f>((Tableau!$G$16-P822)/(AC822^2+Tableau!$G$21^2)^(3/2))*Tableau!$G$20</f>
        <v>4.8910497802760646E-4</v>
      </c>
      <c r="W822" s="96">
        <f>((Tableau!$H$16-Q822)/(AC822^2+Tableau!$G$21^2)^(3/2))*Tableau!$G$20</f>
        <v>-2.3994781688491435E-4</v>
      </c>
      <c r="X822" s="96">
        <f>((Tableau!$G$25-P822)/(AD822^2+Tableau!$G$30^2)^(3/2))*Tableau!$G$29</f>
        <v>1.6812328550615678E-4</v>
      </c>
      <c r="Y822" s="96">
        <f>((Tableau!$H$25-Q822)/(AD822^2+Tableau!$G$30^2)^(3/2))*Tableau!$G$29</f>
        <v>-8.2582431269366481E-5</v>
      </c>
      <c r="Z822" s="96">
        <f>((Tableau!$G$35-P822)/(AE822^2+Tableau!$G$40^2)^(3/2))*Tableau!$G$39</f>
        <v>4.8925812475490976E-4</v>
      </c>
      <c r="AA822" s="97">
        <f>((Tableau!$H$35-Q822)/(AE822^2+Tableau!$G$40^2)^(3/2))*Tableau!$G$39</f>
        <v>-2.4063460982323324E-4</v>
      </c>
      <c r="AC822" s="110">
        <f>SQRT((Tableau!$G$16-P822)^2+(Tableau!$H$16-Q822)^2)</f>
        <v>31001580.592199497</v>
      </c>
      <c r="AD822" s="111">
        <f>SQRT((Tableau!$G$25-P822)^2+(Tableau!$H$25-Q822)^2)</f>
        <v>30964572.010806754</v>
      </c>
      <c r="AE822" s="112">
        <f>SQRT((Tableau!$G$35-P822)^2+(Tableau!$H$35-Q822)^2)</f>
        <v>30989061.626604632</v>
      </c>
    </row>
    <row r="823" spans="2:31" x14ac:dyDescent="0.25">
      <c r="B823" s="18">
        <v>820</v>
      </c>
      <c r="C823" s="19">
        <f>Tableau!$G$17*COS(B823*PI()/180)+Tableau!$G$16</f>
        <v>19131.759111665353</v>
      </c>
      <c r="D823" s="19">
        <f>Tableau!$G$17*SIN(B823*PI()/180)+Tableau!$H$16</f>
        <v>12424.038765061041</v>
      </c>
      <c r="F823" s="26">
        <v>820</v>
      </c>
      <c r="G823" s="27">
        <f>Tableau!$G$26*COS(F823*PI()/180)+Tableau!$G$25</f>
        <v>-20607.768621834253</v>
      </c>
      <c r="H823" s="27">
        <f>Tableau!$G$26*SIN(F823*PI()/180)+Tableau!$H$25</f>
        <v>13446.827135542728</v>
      </c>
      <c r="J823" s="34">
        <v>820</v>
      </c>
      <c r="K823" s="35">
        <f>Tableau!$G$36*COS(J823*PI()/180)+Tableau!$G$35</f>
        <v>-5868.2408883346479</v>
      </c>
      <c r="L823" s="35">
        <f>Tableau!$G$36*SIN(J823*PI()/180)+Tableau!$H$35</f>
        <v>-10075.961234938959</v>
      </c>
      <c r="N823" s="98">
        <v>819</v>
      </c>
      <c r="O823" s="99">
        <v>409.5</v>
      </c>
      <c r="P823" s="101">
        <f>P822+R822*Tableau!$G$2+((1/2)*T822)*Tableau!$G$2^2</f>
        <v>-27847025.368028026</v>
      </c>
      <c r="Q823" s="101">
        <f>Q822+S822*Tableau!$G$2+((1/2)*U822)*Tableau!$G$2^2</f>
        <v>13678708.147044763</v>
      </c>
      <c r="R823" s="101">
        <f>R822+T822*Tableau!$G$2</f>
        <v>-68697.912465525413</v>
      </c>
      <c r="S823" s="101">
        <f>S822+U822*Tableau!$G$2</f>
        <v>33800.585428215993</v>
      </c>
      <c r="T823" s="101">
        <f t="shared" si="24"/>
        <v>1.1436587778056876E-3</v>
      </c>
      <c r="U823" s="101">
        <f t="shared" si="25"/>
        <v>-5.6177704884626239E-4</v>
      </c>
      <c r="V823" s="101">
        <f>((Tableau!$G$16-P823)/(AC823^2+Tableau!$G$21^2)^(3/2))*Tableau!$G$20</f>
        <v>4.8789895571571952E-4</v>
      </c>
      <c r="W823" s="101">
        <f>((Tableau!$H$16-Q823)/(AC823^2+Tableau!$G$21^2)^(3/2))*Tableau!$G$20</f>
        <v>-2.3935702107509807E-4</v>
      </c>
      <c r="X823" s="101">
        <f>((Tableau!$G$25-P823)/(AD823^2+Tableau!$G$30^2)^(3/2))*Tableau!$G$29</f>
        <v>1.6770828710317584E-4</v>
      </c>
      <c r="Y823" s="101">
        <f>((Tableau!$H$25-Q823)/(AD823^2+Tableau!$G$30^2)^(3/2))*Tableau!$G$29</f>
        <v>-8.2378752307744437E-5</v>
      </c>
      <c r="Z823" s="101">
        <f>((Tableau!$G$35-P823)/(AE823^2+Tableau!$G$40^2)^(3/2))*Tableau!$G$39</f>
        <v>4.8805153498679226E-4</v>
      </c>
      <c r="AA823" s="102">
        <f>((Tableau!$H$35-Q823)/(AE823^2+Tableau!$G$40^2)^(3/2))*Tableau!$G$39</f>
        <v>-2.4004127546341987E-4</v>
      </c>
      <c r="AC823" s="113">
        <f>SQRT((Tableau!$G$16-P823)^2+(Tableau!$H$16-Q823)^2)</f>
        <v>31039862.033555184</v>
      </c>
      <c r="AD823" s="114">
        <f>SQRT((Tableau!$G$25-P823)^2+(Tableau!$H$25-Q823)^2)</f>
        <v>31002853.469349608</v>
      </c>
      <c r="AE823" s="115">
        <f>SQRT((Tableau!$G$35-P823)^2+(Tableau!$H$35-Q823)^2)</f>
        <v>31027343.0929939</v>
      </c>
    </row>
    <row r="824" spans="2:31" x14ac:dyDescent="0.25">
      <c r="B824" s="20">
        <v>821</v>
      </c>
      <c r="C824" s="21">
        <f>Tableau!$G$17*COS(B824*PI()/180)+Tableau!$G$16</f>
        <v>19045.955023117283</v>
      </c>
      <c r="D824" s="21">
        <f>Tableau!$G$17*SIN(B824*PI()/180)+Tableau!$H$16</f>
        <v>12408.135917238322</v>
      </c>
      <c r="F824" s="28">
        <v>821</v>
      </c>
      <c r="G824" s="29">
        <f>Tableau!$G$26*COS(F824*PI()/180)+Tableau!$G$25</f>
        <v>-20667.831483817899</v>
      </c>
      <c r="H824" s="29">
        <f>Tableau!$G$26*SIN(F824*PI()/180)+Tableau!$H$25</f>
        <v>13435.695142066825</v>
      </c>
      <c r="J824" s="36">
        <v>821</v>
      </c>
      <c r="K824" s="37">
        <f>Tableau!$G$36*COS(J824*PI()/180)+Tableau!$G$35</f>
        <v>-5954.0449768827148</v>
      </c>
      <c r="L824" s="37">
        <f>Tableau!$G$36*SIN(J824*PI()/180)+Tableau!$H$35</f>
        <v>-10091.864082761678</v>
      </c>
      <c r="N824" s="92">
        <v>820</v>
      </c>
      <c r="O824" s="93">
        <v>410</v>
      </c>
      <c r="P824" s="96">
        <f>P823+R823*Tableau!$G$2+((1/2)*T823)*Tableau!$G$2^2</f>
        <v>-27881374.324117832</v>
      </c>
      <c r="Q824" s="96">
        <f>Q823+S823*Tableau!$G$2+((1/2)*U823)*Tableau!$G$2^2</f>
        <v>13695608.439688649</v>
      </c>
      <c r="R824" s="96">
        <f>R823+T823*Tableau!$G$2</f>
        <v>-68697.911893696029</v>
      </c>
      <c r="S824" s="96">
        <f>S823+U823*Tableau!$G$2</f>
        <v>33800.585147327467</v>
      </c>
      <c r="T824" s="96">
        <f t="shared" si="24"/>
        <v>1.1408416151772087E-3</v>
      </c>
      <c r="U824" s="96">
        <f t="shared" si="25"/>
        <v>-5.6039436338492683E-4</v>
      </c>
      <c r="V824" s="96">
        <f>((Tableau!$G$16-P824)/(AC824^2+Tableau!$G$21^2)^(3/2))*Tableau!$G$20</f>
        <v>4.8669738858482926E-4</v>
      </c>
      <c r="W824" s="96">
        <f>((Tableau!$H$16-Q824)/(AC824^2+Tableau!$G$21^2)^(3/2))*Tableau!$G$20</f>
        <v>-2.3876840455503478E-4</v>
      </c>
      <c r="X824" s="96">
        <f>((Tableau!$G$25-P824)/(AD824^2+Tableau!$G$30^2)^(3/2))*Tableau!$G$29</f>
        <v>1.6729482339271037E-4</v>
      </c>
      <c r="Y824" s="96">
        <f>((Tableau!$H$25-Q824)/(AD824^2+Tableau!$G$30^2)^(3/2))*Tableau!$G$29</f>
        <v>-8.2175825941134447E-5</v>
      </c>
      <c r="Z824" s="96">
        <f>((Tableau!$G$35-P824)/(AE824^2+Tableau!$G$40^2)^(3/2))*Tableau!$G$39</f>
        <v>4.8684940319966905E-4</v>
      </c>
      <c r="AA824" s="97">
        <f>((Tableau!$H$35-Q824)/(AE824^2+Tableau!$G$40^2)^(3/2))*Tableau!$G$39</f>
        <v>-2.3945013288875761E-4</v>
      </c>
      <c r="AC824" s="110">
        <f>SQRT((Tableau!$G$16-P824)^2+(Tableau!$H$16-Q824)^2)</f>
        <v>31078143.474654619</v>
      </c>
      <c r="AD824" s="111">
        <f>SQRT((Tableau!$G$25-P824)^2+(Tableau!$H$25-Q824)^2)</f>
        <v>31041134.927593894</v>
      </c>
      <c r="AE824" s="112">
        <f>SQRT((Tableau!$G$35-P824)^2+(Tableau!$H$35-Q824)^2)</f>
        <v>31065624.559065241</v>
      </c>
    </row>
    <row r="825" spans="2:31" x14ac:dyDescent="0.25">
      <c r="B825" s="18">
        <v>822</v>
      </c>
      <c r="C825" s="19">
        <f>Tableau!$G$17*COS(B825*PI()/180)+Tableau!$G$16</f>
        <v>18960.441545911199</v>
      </c>
      <c r="D825" s="19">
        <f>Tableau!$G$17*SIN(B825*PI()/180)+Tableau!$H$16</f>
        <v>12390.738003669027</v>
      </c>
      <c r="F825" s="26">
        <v>822</v>
      </c>
      <c r="G825" s="27">
        <f>Tableau!$G$26*COS(F825*PI()/180)+Tableau!$G$25</f>
        <v>-20727.690917862161</v>
      </c>
      <c r="H825" s="27">
        <f>Tableau!$G$26*SIN(F825*PI()/180)+Tableau!$H$25</f>
        <v>13423.516602568319</v>
      </c>
      <c r="J825" s="34">
        <v>822</v>
      </c>
      <c r="K825" s="35">
        <f>Tableau!$G$36*COS(J825*PI()/180)+Tableau!$G$35</f>
        <v>-6039.5584540887994</v>
      </c>
      <c r="L825" s="35">
        <f>Tableau!$G$36*SIN(J825*PI()/180)+Tableau!$H$35</f>
        <v>-10109.261996330973</v>
      </c>
      <c r="N825" s="98">
        <v>821</v>
      </c>
      <c r="O825" s="99">
        <v>410.5</v>
      </c>
      <c r="P825" s="101">
        <f>P824+R824*Tableau!$G$2+((1/2)*T824)*Tableau!$G$2^2</f>
        <v>-27915723.279922076</v>
      </c>
      <c r="Q825" s="101">
        <f>Q824+S824*Tableau!$G$2+((1/2)*U824)*Tableau!$G$2^2</f>
        <v>13712508.732192265</v>
      </c>
      <c r="R825" s="101">
        <f>R824+T824*Tableau!$G$2</f>
        <v>-68697.911323275228</v>
      </c>
      <c r="S825" s="101">
        <f>S824+U824*Tableau!$G$2</f>
        <v>33800.584867130288</v>
      </c>
      <c r="T825" s="101">
        <f t="shared" si="24"/>
        <v>1.1380348489942042E-3</v>
      </c>
      <c r="U825" s="101">
        <f t="shared" si="25"/>
        <v>-5.5901677640295589E-4</v>
      </c>
      <c r="V825" s="101">
        <f>((Tableau!$G$16-P825)/(AC825^2+Tableau!$G$21^2)^(3/2))*Tableau!$G$20</f>
        <v>4.8550025471798665E-4</v>
      </c>
      <c r="W825" s="101">
        <f>((Tableau!$H$16-Q825)/(AC825^2+Tableau!$G$21^2)^(3/2))*Tableau!$G$20</f>
        <v>-2.3818195661945774E-4</v>
      </c>
      <c r="X825" s="101">
        <f>((Tableau!$G$25-P825)/(AD825^2+Tableau!$G$30^2)^(3/2))*Tableau!$G$29</f>
        <v>1.6688288681687252E-4</v>
      </c>
      <c r="Y825" s="101">
        <f>((Tableau!$H$25-Q825)/(AD825^2+Tableau!$G$30^2)^(3/2))*Tableau!$G$29</f>
        <v>-8.1973648466304873E-5</v>
      </c>
      <c r="Z825" s="101">
        <f>((Tableau!$G$35-P825)/(AE825^2+Tableau!$G$40^2)^(3/2))*Tableau!$G$39</f>
        <v>4.8565170745934499E-4</v>
      </c>
      <c r="AA825" s="102">
        <f>((Tableau!$H$35-Q825)/(AE825^2+Tableau!$G$40^2)^(3/2))*Tableau!$G$39</f>
        <v>-2.388611713171933E-4</v>
      </c>
      <c r="AC825" s="113">
        <f>SQRT((Tableau!$G$16-P825)^2+(Tableau!$H$16-Q825)^2)</f>
        <v>31116424.91549835</v>
      </c>
      <c r="AD825" s="114">
        <f>SQRT((Tableau!$G$25-P825)^2+(Tableau!$H$25-Q825)^2)</f>
        <v>31079416.385540314</v>
      </c>
      <c r="AE825" s="115">
        <f>SQRT((Tableau!$G$35-P825)^2+(Tableau!$H$35-Q825)^2)</f>
        <v>31103906.024819437</v>
      </c>
    </row>
    <row r="826" spans="2:31" x14ac:dyDescent="0.25">
      <c r="B826" s="20">
        <v>823</v>
      </c>
      <c r="C826" s="21">
        <f>Tableau!$G$17*COS(B826*PI()/180)+Tableau!$G$16</f>
        <v>18875.244728280679</v>
      </c>
      <c r="D826" s="21">
        <f>Tableau!$G$17*SIN(B826*PI()/180)+Tableau!$H$16</f>
        <v>12371.850323926177</v>
      </c>
      <c r="F826" s="28">
        <v>823</v>
      </c>
      <c r="G826" s="29">
        <f>Tableau!$G$26*COS(F826*PI()/180)+Tableau!$G$25</f>
        <v>-20787.328690203525</v>
      </c>
      <c r="H826" s="29">
        <f>Tableau!$G$26*SIN(F826*PI()/180)+Tableau!$H$25</f>
        <v>13410.295226748323</v>
      </c>
      <c r="J826" s="36">
        <v>823</v>
      </c>
      <c r="K826" s="37">
        <f>Tableau!$G$36*COS(J826*PI()/180)+Tableau!$G$35</f>
        <v>-6124.755271719323</v>
      </c>
      <c r="L826" s="37">
        <f>Tableau!$G$36*SIN(J826*PI()/180)+Tableau!$H$35</f>
        <v>-10128.149676073823</v>
      </c>
      <c r="N826" s="92">
        <v>822</v>
      </c>
      <c r="O826" s="93">
        <v>411</v>
      </c>
      <c r="P826" s="96">
        <f>P825+R825*Tableau!$G$2+((1/2)*T825)*Tableau!$G$2^2</f>
        <v>-27950072.235441457</v>
      </c>
      <c r="Q826" s="96">
        <f>Q825+S825*Tableau!$G$2+((1/2)*U825)*Tableau!$G$2^2</f>
        <v>13729409.024555953</v>
      </c>
      <c r="R826" s="96">
        <f>R825+T825*Tableau!$G$2</f>
        <v>-68697.910754257799</v>
      </c>
      <c r="S826" s="96">
        <f>S825+U825*Tableau!$G$2</f>
        <v>33800.584587621903</v>
      </c>
      <c r="T826" s="96">
        <f t="shared" si="24"/>
        <v>1.135238428163463E-3</v>
      </c>
      <c r="U826" s="96">
        <f t="shared" si="25"/>
        <v>-5.576442628644245E-4</v>
      </c>
      <c r="V826" s="96">
        <f>((Tableau!$G$16-P826)/(AC826^2+Tableau!$G$21^2)^(3/2))*Tableau!$G$20</f>
        <v>4.8430753233286427E-4</v>
      </c>
      <c r="W826" s="96">
        <f>((Tableau!$H$16-Q826)/(AC826^2+Tableau!$G$21^2)^(3/2))*Tableau!$G$20</f>
        <v>-2.3759766662875999E-4</v>
      </c>
      <c r="X826" s="96">
        <f>((Tableau!$G$25-P826)/(AD826^2+Tableau!$G$30^2)^(3/2))*Tableau!$G$29</f>
        <v>1.6647246986423685E-4</v>
      </c>
      <c r="Y826" s="96">
        <f>((Tableau!$H$25-Q826)/(AD826^2+Tableau!$G$30^2)^(3/2))*Tableau!$G$29</f>
        <v>-8.1772216202771007E-5</v>
      </c>
      <c r="Z826" s="96">
        <f>((Tableau!$G$35-P826)/(AE826^2+Tableau!$G$40^2)^(3/2))*Tableau!$G$39</f>
        <v>4.8445842596636196E-4</v>
      </c>
      <c r="AA826" s="97">
        <f>((Tableau!$H$35-Q826)/(AE826^2+Tableau!$G$40^2)^(3/2))*Tableau!$G$39</f>
        <v>-2.3827438003289349E-4</v>
      </c>
      <c r="AC826" s="110">
        <f>SQRT((Tableau!$G$16-P826)^2+(Tableau!$H$16-Q826)^2)</f>
        <v>31154706.356086928</v>
      </c>
      <c r="AD826" s="111">
        <f>SQRT((Tableau!$G$25-P826)^2+(Tableau!$H$25-Q826)^2)</f>
        <v>31117697.843189575</v>
      </c>
      <c r="AE826" s="112">
        <f>SQRT((Tableau!$G$35-P826)^2+(Tableau!$H$35-Q826)^2)</f>
        <v>31142187.490257267</v>
      </c>
    </row>
    <row r="827" spans="2:31" x14ac:dyDescent="0.25">
      <c r="B827" s="18">
        <v>824</v>
      </c>
      <c r="C827" s="19">
        <f>Tableau!$G$17*COS(B827*PI()/180)+Tableau!$G$16</f>
        <v>18790.390522001668</v>
      </c>
      <c r="D827" s="19">
        <f>Tableau!$G$17*SIN(B827*PI()/180)+Tableau!$H$16</f>
        <v>12351.478631379985</v>
      </c>
      <c r="F827" s="26">
        <v>824</v>
      </c>
      <c r="G827" s="27">
        <f>Tableau!$G$26*COS(F827*PI()/180)+Tableau!$G$25</f>
        <v>-20846.726634598832</v>
      </c>
      <c r="H827" s="27">
        <f>Tableau!$G$26*SIN(F827*PI()/180)+Tableau!$H$25</f>
        <v>13396.035041965988</v>
      </c>
      <c r="J827" s="34">
        <v>824</v>
      </c>
      <c r="K827" s="35">
        <f>Tableau!$G$36*COS(J827*PI()/180)+Tableau!$G$35</f>
        <v>-6209.6094779983314</v>
      </c>
      <c r="L827" s="35">
        <f>Tableau!$G$36*SIN(J827*PI()/180)+Tableau!$H$35</f>
        <v>-10148.521368620015</v>
      </c>
      <c r="N827" s="98">
        <v>823</v>
      </c>
      <c r="O827" s="99">
        <v>411.5</v>
      </c>
      <c r="P827" s="101">
        <f>P826+R826*Tableau!$G$2+((1/2)*T826)*Tableau!$G$2^2</f>
        <v>-27984421.190676682</v>
      </c>
      <c r="Q827" s="101">
        <f>Q826+S826*Tableau!$G$2+((1/2)*U826)*Tableau!$G$2^2</f>
        <v>13746309.316780059</v>
      </c>
      <c r="R827" s="101">
        <f>R826+T826*Tableau!$G$2</f>
        <v>-68697.91018663859</v>
      </c>
      <c r="S827" s="101">
        <f>S826+U826*Tableau!$G$2</f>
        <v>33800.584308799771</v>
      </c>
      <c r="T827" s="101">
        <f t="shared" si="24"/>
        <v>1.1324523019052388E-3</v>
      </c>
      <c r="U827" s="101">
        <f t="shared" si="25"/>
        <v>-5.5627679788688056E-4</v>
      </c>
      <c r="V827" s="101">
        <f>((Tableau!$G$16-P827)/(AC827^2+Tableau!$G$21^2)^(3/2))*Tableau!$G$20</f>
        <v>4.8311919978072951E-4</v>
      </c>
      <c r="W827" s="101">
        <f>((Tableau!$H$16-Q827)/(AC827^2+Tableau!$G$21^2)^(3/2))*Tableau!$G$20</f>
        <v>-2.3701552400849418E-4</v>
      </c>
      <c r="X827" s="101">
        <f>((Tableau!$G$25-P827)/(AD827^2+Tableau!$G$30^2)^(3/2))*Tableau!$G$29</f>
        <v>1.6606356506950701E-4</v>
      </c>
      <c r="Y827" s="101">
        <f>((Tableau!$H$25-Q827)/(AD827^2+Tableau!$G$30^2)^(3/2))*Tableau!$G$29</f>
        <v>-8.1571525492631975E-5</v>
      </c>
      <c r="Z827" s="101">
        <f>((Tableau!$G$35-P827)/(AE827^2+Tableau!$G$40^2)^(3/2))*Tableau!$G$39</f>
        <v>4.8326953705500223E-4</v>
      </c>
      <c r="AA827" s="102">
        <f>((Tableau!$H$35-Q827)/(AE827^2+Tableau!$G$40^2)^(3/2))*Tableau!$G$39</f>
        <v>-2.3768974838575448E-4</v>
      </c>
      <c r="AC827" s="113">
        <f>SQRT((Tableau!$G$16-P827)^2+(Tableau!$H$16-Q827)^2)</f>
        <v>31192987.796420906</v>
      </c>
      <c r="AD827" s="114">
        <f>SQRT((Tableau!$G$25-P827)^2+(Tableau!$H$25-Q827)^2)</f>
        <v>31155979.300542384</v>
      </c>
      <c r="AE827" s="115">
        <f>SQRT((Tableau!$G$35-P827)^2+(Tableau!$H$35-Q827)^2)</f>
        <v>31180468.955379505</v>
      </c>
    </row>
    <row r="828" spans="2:31" x14ac:dyDescent="0.25">
      <c r="B828" s="20">
        <v>825</v>
      </c>
      <c r="C828" s="21">
        <f>Tableau!$G$17*COS(B828*PI()/180)+Tableau!$G$16</f>
        <v>18705.904774487393</v>
      </c>
      <c r="D828" s="21">
        <f>Tableau!$G$17*SIN(B828*PI()/180)+Tableau!$H$16</f>
        <v>12329.629131445341</v>
      </c>
      <c r="F828" s="28">
        <v>825</v>
      </c>
      <c r="G828" s="29">
        <f>Tableau!$G$26*COS(F828*PI()/180)+Tableau!$G$25</f>
        <v>-20905.866657858827</v>
      </c>
      <c r="H828" s="29">
        <f>Tableau!$G$26*SIN(F828*PI()/180)+Tableau!$H$25</f>
        <v>13380.740392011738</v>
      </c>
      <c r="J828" s="36">
        <v>825</v>
      </c>
      <c r="K828" s="37">
        <f>Tableau!$G$36*COS(J828*PI()/180)+Tableau!$G$35</f>
        <v>-6294.0952255126085</v>
      </c>
      <c r="L828" s="37">
        <f>Tableau!$G$36*SIN(J828*PI()/180)+Tableau!$H$35</f>
        <v>-10170.370868554659</v>
      </c>
      <c r="N828" s="92">
        <v>824</v>
      </c>
      <c r="O828" s="93">
        <v>412</v>
      </c>
      <c r="P828" s="96">
        <f>P827+R827*Tableau!$G$2+((1/2)*T827)*Tableau!$G$2^2</f>
        <v>-28018770.145628445</v>
      </c>
      <c r="Q828" s="96">
        <f>Q827+S827*Tableau!$G$2+((1/2)*U827)*Tableau!$G$2^2</f>
        <v>13763209.608864924</v>
      </c>
      <c r="R828" s="96">
        <f>R827+T827*Tableau!$G$2</f>
        <v>-68697.909620412436</v>
      </c>
      <c r="S828" s="96">
        <f>S827+U827*Tableau!$G$2</f>
        <v>33800.584030661375</v>
      </c>
      <c r="T828" s="96">
        <f t="shared" si="24"/>
        <v>1.1296764197509977E-3</v>
      </c>
      <c r="U828" s="96">
        <f t="shared" si="25"/>
        <v>-5.5491435674024552E-4</v>
      </c>
      <c r="V828" s="96">
        <f>((Tableau!$G$16-P828)/(AC828^2+Tableau!$G$21^2)^(3/2))*Tableau!$G$20</f>
        <v>4.8193523554550851E-4</v>
      </c>
      <c r="W828" s="96">
        <f>((Tableau!$H$16-Q828)/(AC828^2+Tableau!$G$21^2)^(3/2))*Tableau!$G$20</f>
        <v>-2.3643551824891731E-4</v>
      </c>
      <c r="X828" s="96">
        <f>((Tableau!$G$25-P828)/(AD828^2+Tableau!$G$30^2)^(3/2))*Tableau!$G$29</f>
        <v>1.6565616501317221E-4</v>
      </c>
      <c r="Y828" s="96">
        <f>((Tableau!$H$25-Q828)/(AD828^2+Tableau!$G$30^2)^(3/2))*Tableau!$G$29</f>
        <v>-8.1371572700402839E-5</v>
      </c>
      <c r="Z828" s="96">
        <f>((Tableau!$G$35-P828)/(AE828^2+Tableau!$G$40^2)^(3/2))*Tableau!$G$39</f>
        <v>4.8208501919231694E-4</v>
      </c>
      <c r="AA828" s="97">
        <f>((Tableau!$H$35-Q828)/(AE828^2+Tableau!$G$40^2)^(3/2))*Tableau!$G$39</f>
        <v>-2.3710726579092534E-4</v>
      </c>
      <c r="AC828" s="110">
        <f>SQRT((Tableau!$G$16-P828)^2+(Tableau!$H$16-Q828)^2)</f>
        <v>31231269.236500841</v>
      </c>
      <c r="AD828" s="111">
        <f>SQRT((Tableau!$G$25-P828)^2+(Tableau!$H$25-Q828)^2)</f>
        <v>31194260.757599451</v>
      </c>
      <c r="AE828" s="112">
        <f>SQRT((Tableau!$G$35-P828)^2+(Tableau!$H$35-Q828)^2)</f>
        <v>31218750.420186926</v>
      </c>
    </row>
    <row r="829" spans="2:31" x14ac:dyDescent="0.25">
      <c r="B829" s="18">
        <v>826</v>
      </c>
      <c r="C829" s="19">
        <f>Tableau!$G$17*COS(B829*PI()/180)+Tableau!$G$16</f>
        <v>18621.813220915006</v>
      </c>
      <c r="D829" s="19">
        <f>Tableau!$G$17*SIN(B829*PI()/180)+Tableau!$H$16</f>
        <v>12306.308479691594</v>
      </c>
      <c r="F829" s="26">
        <v>826</v>
      </c>
      <c r="G829" s="27">
        <f>Tableau!$G$26*COS(F829*PI()/180)+Tableau!$G$25</f>
        <v>-20964.730745359499</v>
      </c>
      <c r="H829" s="27">
        <f>Tableau!$G$26*SIN(F829*PI()/180)+Tableau!$H$25</f>
        <v>13364.415935784116</v>
      </c>
      <c r="J829" s="34">
        <v>826</v>
      </c>
      <c r="K829" s="35">
        <f>Tableau!$G$36*COS(J829*PI()/180)+Tableau!$G$35</f>
        <v>-6378.1867790849956</v>
      </c>
      <c r="L829" s="35">
        <f>Tableau!$G$36*SIN(J829*PI()/180)+Tableau!$H$35</f>
        <v>-10193.691520308406</v>
      </c>
      <c r="N829" s="98">
        <v>825</v>
      </c>
      <c r="O829" s="99">
        <v>412.5</v>
      </c>
      <c r="P829" s="101">
        <f>P828+R828*Tableau!$G$2+((1/2)*T828)*Tableau!$G$2^2</f>
        <v>-28053119.10029744</v>
      </c>
      <c r="Q829" s="101">
        <f>Q828+S828*Tableau!$G$2+((1/2)*U828)*Tableau!$G$2^2</f>
        <v>13780109.90081089</v>
      </c>
      <c r="R829" s="101">
        <f>R828+T828*Tableau!$G$2</f>
        <v>-68697.90905557423</v>
      </c>
      <c r="S829" s="101">
        <f>S828+U828*Tableau!$G$2</f>
        <v>33800.583753204199</v>
      </c>
      <c r="T829" s="101">
        <f t="shared" si="24"/>
        <v>1.126910731541088E-3</v>
      </c>
      <c r="U829" s="101">
        <f t="shared" si="25"/>
        <v>-5.5355691484567119E-4</v>
      </c>
      <c r="V829" s="101">
        <f>((Tableau!$G$16-P829)/(AC829^2+Tableau!$G$21^2)^(3/2))*Tableau!$G$20</f>
        <v>4.8075561824277943E-4</v>
      </c>
      <c r="W829" s="101">
        <f>((Tableau!$H$16-Q829)/(AC829^2+Tableau!$G$21^2)^(3/2))*Tableau!$G$20</f>
        <v>-2.3585763890449961E-4</v>
      </c>
      <c r="X829" s="101">
        <f>((Tableau!$G$25-P829)/(AD829^2+Tableau!$G$30^2)^(3/2))*Tableau!$G$29</f>
        <v>1.6525026232117604E-4</v>
      </c>
      <c r="Y829" s="101">
        <f>((Tableau!$H$25-Q829)/(AD829^2+Tableau!$G$30^2)^(3/2))*Tableau!$G$29</f>
        <v>-8.1172354212852437E-5</v>
      </c>
      <c r="Z829" s="101">
        <f>((Tableau!$G$35-P829)/(AE829^2+Tableau!$G$40^2)^(3/2))*Tableau!$G$39</f>
        <v>4.8090485097713244E-4</v>
      </c>
      <c r="AA829" s="102">
        <f>((Tableau!$H$35-Q829)/(AE829^2+Tableau!$G$40^2)^(3/2))*Tableau!$G$39</f>
        <v>-2.3652692172831914E-4</v>
      </c>
      <c r="AC829" s="113">
        <f>SQRT((Tableau!$G$16-P829)^2+(Tableau!$H$16-Q829)^2)</f>
        <v>31269550.67632727</v>
      </c>
      <c r="AD829" s="114">
        <f>SQRT((Tableau!$G$25-P829)^2+(Tableau!$H$25-Q829)^2)</f>
        <v>31232542.21436147</v>
      </c>
      <c r="AE829" s="115">
        <f>SQRT((Tableau!$G$35-P829)^2+(Tableau!$H$35-Q829)^2)</f>
        <v>31257031.884680297</v>
      </c>
    </row>
    <row r="830" spans="2:31" x14ac:dyDescent="0.25">
      <c r="B830" s="20">
        <v>827</v>
      </c>
      <c r="C830" s="21">
        <f>Tableau!$G$17*COS(B830*PI()/180)+Tableau!$G$16</f>
        <v>18538.141476386321</v>
      </c>
      <c r="D830" s="21">
        <f>Tableau!$G$17*SIN(B830*PI()/180)+Tableau!$H$16</f>
        <v>12281.523779815179</v>
      </c>
      <c r="F830" s="28">
        <v>827</v>
      </c>
      <c r="G830" s="29">
        <f>Tableau!$G$26*COS(F830*PI()/180)+Tableau!$G$25</f>
        <v>-21023.300966529576</v>
      </c>
      <c r="H830" s="29">
        <f>Tableau!$G$26*SIN(F830*PI()/180)+Tableau!$H$25</f>
        <v>13347.066645870626</v>
      </c>
      <c r="J830" s="36">
        <v>827</v>
      </c>
      <c r="K830" s="37">
        <f>Tableau!$G$36*COS(J830*PI()/180)+Tableau!$G$35</f>
        <v>-6461.8585236136778</v>
      </c>
      <c r="L830" s="37">
        <f>Tableau!$G$36*SIN(J830*PI()/180)+Tableau!$H$35</f>
        <v>-10218.476220184821</v>
      </c>
      <c r="N830" s="92">
        <v>826</v>
      </c>
      <c r="O830" s="93">
        <v>413</v>
      </c>
      <c r="P830" s="96">
        <f>P829+R829*Tableau!$G$2+((1/2)*T829)*Tableau!$G$2^2</f>
        <v>-28087468.054684363</v>
      </c>
      <c r="Q830" s="96">
        <f>Q829+S829*Tableau!$G$2+((1/2)*U829)*Tableau!$G$2^2</f>
        <v>13797010.192618297</v>
      </c>
      <c r="R830" s="96">
        <f>R829+T829*Tableau!$G$2</f>
        <v>-68697.908492118862</v>
      </c>
      <c r="S830" s="96">
        <f>S829+U829*Tableau!$G$2</f>
        <v>33800.583476425738</v>
      </c>
      <c r="T830" s="96">
        <f t="shared" si="24"/>
        <v>1.1241551874224733E-3</v>
      </c>
      <c r="U830" s="96">
        <f t="shared" si="25"/>
        <v>-5.5220444777443335E-4</v>
      </c>
      <c r="V830" s="96">
        <f>((Tableau!$G$16-P830)/(AC830^2+Tableau!$G$21^2)^(3/2))*Tableau!$G$20</f>
        <v>4.7958032661880309E-4</v>
      </c>
      <c r="W830" s="96">
        <f>((Tableau!$H$16-Q830)/(AC830^2+Tableau!$G$21^2)^(3/2))*Tableau!$G$20</f>
        <v>-2.3528187559345289E-4</v>
      </c>
      <c r="X830" s="96">
        <f>((Tableau!$G$25-P830)/(AD830^2+Tableau!$G$30^2)^(3/2))*Tableau!$G$29</f>
        <v>1.6484584966456659E-4</v>
      </c>
      <c r="Y830" s="96">
        <f>((Tableau!$H$25-Q830)/(AD830^2+Tableau!$G$30^2)^(3/2))*Tableau!$G$29</f>
        <v>-8.0973866438832274E-5</v>
      </c>
      <c r="Z830" s="96">
        <f>((Tableau!$G$35-P830)/(AE830^2+Tableau!$G$40^2)^(3/2))*Tableau!$G$39</f>
        <v>4.7972901113910372E-4</v>
      </c>
      <c r="AA830" s="97">
        <f>((Tableau!$H$35-Q830)/(AE830^2+Tableau!$G$40^2)^(3/2))*Tableau!$G$39</f>
        <v>-2.3594870574214822E-4</v>
      </c>
      <c r="AC830" s="110">
        <f>SQRT((Tableau!$G$16-P830)^2+(Tableau!$H$16-Q830)^2)</f>
        <v>31307832.11590074</v>
      </c>
      <c r="AD830" s="111">
        <f>SQRT((Tableau!$G$25-P830)^2+(Tableau!$H$25-Q830)^2)</f>
        <v>31270823.67082914</v>
      </c>
      <c r="AE830" s="112">
        <f>SQRT((Tableau!$G$35-P830)^2+(Tableau!$H$35-Q830)^2)</f>
        <v>31295313.348860394</v>
      </c>
    </row>
    <row r="831" spans="2:31" x14ac:dyDescent="0.25">
      <c r="B831" s="18">
        <v>828</v>
      </c>
      <c r="C831" s="19">
        <f>Tableau!$G$17*COS(B831*PI()/180)+Tableau!$G$16</f>
        <v>18454.915028125273</v>
      </c>
      <c r="D831" s="19">
        <f>Tableau!$G$17*SIN(B831*PI()/180)+Tableau!$H$16</f>
        <v>12255.282581475771</v>
      </c>
      <c r="F831" s="26">
        <v>828</v>
      </c>
      <c r="G831" s="27">
        <f>Tableau!$G$26*COS(F831*PI()/180)+Tableau!$G$25</f>
        <v>-21081.559480312309</v>
      </c>
      <c r="H831" s="27">
        <f>Tableau!$G$26*SIN(F831*PI()/180)+Tableau!$H$25</f>
        <v>13328.697807033041</v>
      </c>
      <c r="J831" s="34">
        <v>828</v>
      </c>
      <c r="K831" s="35">
        <f>Tableau!$G$36*COS(J831*PI()/180)+Tableau!$G$35</f>
        <v>-6545.0849718747259</v>
      </c>
      <c r="L831" s="35">
        <f>Tableau!$G$36*SIN(J831*PI()/180)+Tableau!$H$35</f>
        <v>-10244.717418524229</v>
      </c>
      <c r="N831" s="98">
        <v>827</v>
      </c>
      <c r="O831" s="99">
        <v>413.5</v>
      </c>
      <c r="P831" s="101">
        <f>P830+R830*Tableau!$G$2+((1/2)*T830)*Tableau!$G$2^2</f>
        <v>-28121817.008789904</v>
      </c>
      <c r="Q831" s="101">
        <f>Q830+S830*Tableau!$G$2+((1/2)*U830)*Tableau!$G$2^2</f>
        <v>13813910.484287484</v>
      </c>
      <c r="R831" s="101">
        <f>R830+T830*Tableau!$G$2</f>
        <v>-68697.90793004127</v>
      </c>
      <c r="S831" s="101">
        <f>S830+U830*Tableau!$G$2</f>
        <v>33800.583200323512</v>
      </c>
      <c r="T831" s="101">
        <f t="shared" si="24"/>
        <v>1.1214097378465322E-3</v>
      </c>
      <c r="U831" s="101">
        <f t="shared" si="25"/>
        <v>-5.5085693124685368E-4</v>
      </c>
      <c r="V831" s="101">
        <f>((Tableau!$G$16-P831)/(AC831^2+Tableau!$G$21^2)^(3/2))*Tableau!$G$20</f>
        <v>4.784093395496003E-4</v>
      </c>
      <c r="W831" s="101">
        <f>((Tableau!$H$16-Q831)/(AC831^2+Tableau!$G$21^2)^(3/2))*Tableau!$G$20</f>
        <v>-2.3470821799728104E-4</v>
      </c>
      <c r="X831" s="101">
        <f>((Tableau!$G$25-P831)/(AD831^2+Tableau!$G$30^2)^(3/2))*Tableau!$G$29</f>
        <v>1.6444291975919166E-4</v>
      </c>
      <c r="Y831" s="101">
        <f>((Tableau!$H$25-Q831)/(AD831^2+Tableau!$G$30^2)^(3/2))*Tableau!$G$29</f>
        <v>-8.0776105809127465E-5</v>
      </c>
      <c r="Z831" s="101">
        <f>((Tableau!$G$35-P831)/(AE831^2+Tableau!$G$40^2)^(3/2))*Tableau!$G$39</f>
        <v>4.785574785377402E-4</v>
      </c>
      <c r="AA831" s="102">
        <f>((Tableau!$H$35-Q831)/(AE831^2+Tableau!$G$40^2)^(3/2))*Tableau!$G$39</f>
        <v>-2.3537260744044516E-4</v>
      </c>
      <c r="AC831" s="113">
        <f>SQRT((Tableau!$G$16-P831)^2+(Tableau!$H$16-Q831)^2)</f>
        <v>31346113.555221803</v>
      </c>
      <c r="AD831" s="114">
        <f>SQRT((Tableau!$G$25-P831)^2+(Tableau!$H$25-Q831)^2)</f>
        <v>31309105.127003159</v>
      </c>
      <c r="AE831" s="115">
        <f>SQRT((Tableau!$G$35-P831)^2+(Tableau!$H$35-Q831)^2)</f>
        <v>31333594.812727977</v>
      </c>
    </row>
    <row r="832" spans="2:31" x14ac:dyDescent="0.25">
      <c r="B832" s="20">
        <v>829</v>
      </c>
      <c r="C832" s="21">
        <f>Tableau!$G$17*COS(B832*PI()/180)+Tableau!$G$16</f>
        <v>18372.159227714215</v>
      </c>
      <c r="D832" s="21">
        <f>Tableau!$G$17*SIN(B832*PI()/180)+Tableau!$H$16</f>
        <v>12227.592877996583</v>
      </c>
      <c r="F832" s="28">
        <v>829</v>
      </c>
      <c r="G832" s="29">
        <f>Tableau!$G$26*COS(F832*PI()/180)+Tableau!$G$25</f>
        <v>-21139.48854060005</v>
      </c>
      <c r="H832" s="29">
        <f>Tableau!$G$26*SIN(F832*PI()/180)+Tableau!$H$25</f>
        <v>13309.315014597609</v>
      </c>
      <c r="J832" s="36">
        <v>829</v>
      </c>
      <c r="K832" s="37">
        <f>Tableau!$G$36*COS(J832*PI()/180)+Tableau!$G$35</f>
        <v>-6627.8407722857837</v>
      </c>
      <c r="L832" s="37">
        <f>Tableau!$G$36*SIN(J832*PI()/180)+Tableau!$H$35</f>
        <v>-10272.407122003417</v>
      </c>
      <c r="N832" s="92">
        <v>828</v>
      </c>
      <c r="O832" s="93">
        <v>414</v>
      </c>
      <c r="P832" s="96">
        <f>P831+R831*Tableau!$G$2+((1/2)*T831)*Tableau!$G$2^2</f>
        <v>-28156165.962614749</v>
      </c>
      <c r="Q832" s="96">
        <f>Q831+S831*Tableau!$G$2+((1/2)*U831)*Tableau!$G$2^2</f>
        <v>13830810.775818789</v>
      </c>
      <c r="R832" s="96">
        <f>R831+T831*Tableau!$G$2</f>
        <v>-68697.907369336404</v>
      </c>
      <c r="S832" s="96">
        <f>S831+U831*Tableau!$G$2</f>
        <v>33800.582924895047</v>
      </c>
      <c r="T832" s="96">
        <f t="shared" si="24"/>
        <v>1.1186743335667557E-3</v>
      </c>
      <c r="U832" s="96">
        <f t="shared" si="25"/>
        <v>-5.495143411311746E-4</v>
      </c>
      <c r="V832" s="96">
        <f>((Tableau!$G$16-P832)/(AC832^2+Tableau!$G$21^2)^(3/2))*Tableau!$G$20</f>
        <v>4.7724263603996392E-4</v>
      </c>
      <c r="W832" s="96">
        <f>((Tableau!$H$16-Q832)/(AC832^2+Tableau!$G$21^2)^(3/2))*Tableau!$G$20</f>
        <v>-2.3413665586029893E-4</v>
      </c>
      <c r="X832" s="96">
        <f>((Tableau!$G$25-P832)/(AD832^2+Tableau!$G$30^2)^(3/2))*Tableau!$G$29</f>
        <v>1.6404146536534483E-4</v>
      </c>
      <c r="Y832" s="96">
        <f>((Tableau!$H$25-Q832)/(AD832^2+Tableau!$G$30^2)^(3/2))*Tableau!$G$29</f>
        <v>-8.0579068776283566E-5</v>
      </c>
      <c r="Z832" s="96">
        <f>((Tableau!$G$35-P832)/(AE832^2+Tableau!$G$40^2)^(3/2))*Tableau!$G$39</f>
        <v>4.7739023216144687E-4</v>
      </c>
      <c r="AA832" s="97">
        <f>((Tableau!$H$35-Q832)/(AE832^2+Tableau!$G$40^2)^(3/2))*Tableau!$G$39</f>
        <v>-2.3479861649459207E-4</v>
      </c>
      <c r="AC832" s="110">
        <f>SQRT((Tableau!$G$16-P832)^2+(Tableau!$H$16-Q832)^2)</f>
        <v>31384394.994290996</v>
      </c>
      <c r="AD832" s="111">
        <f>SQRT((Tableau!$G$25-P832)^2+(Tableau!$H$25-Q832)^2)</f>
        <v>31347386.582884219</v>
      </c>
      <c r="AE832" s="112">
        <f>SQRT((Tableau!$G$35-P832)^2+(Tableau!$H$35-Q832)^2)</f>
        <v>31371876.276283808</v>
      </c>
    </row>
    <row r="833" spans="2:31" x14ac:dyDescent="0.25">
      <c r="B833" s="18">
        <v>830</v>
      </c>
      <c r="C833" s="19">
        <f>Tableau!$G$17*COS(B833*PI()/180)+Tableau!$G$16</f>
        <v>18289.899283371662</v>
      </c>
      <c r="D833" s="19">
        <f>Tableau!$G$17*SIN(B833*PI()/180)+Tableau!$H$16</f>
        <v>12198.463103929544</v>
      </c>
      <c r="F833" s="26">
        <v>830</v>
      </c>
      <c r="G833" s="27">
        <f>Tableau!$G$26*COS(F833*PI()/180)+Tableau!$G$25</f>
        <v>-21197.070501639839</v>
      </c>
      <c r="H833" s="27">
        <f>Tableau!$G$26*SIN(F833*PI()/180)+Tableau!$H$25</f>
        <v>13288.924172750681</v>
      </c>
      <c r="J833" s="34">
        <v>830</v>
      </c>
      <c r="K833" s="35">
        <f>Tableau!$G$36*COS(J833*PI()/180)+Tableau!$G$35</f>
        <v>-6710.1007166283389</v>
      </c>
      <c r="L833" s="35">
        <f>Tableau!$G$36*SIN(J833*PI()/180)+Tableau!$H$35</f>
        <v>-10301.536896070456</v>
      </c>
      <c r="N833" s="98">
        <v>829</v>
      </c>
      <c r="O833" s="99">
        <v>414.5</v>
      </c>
      <c r="P833" s="101">
        <f>P832+R832*Tableau!$G$2+((1/2)*T832)*Tableau!$G$2^2</f>
        <v>-28190514.916159585</v>
      </c>
      <c r="Q833" s="101">
        <f>Q832+S832*Tableau!$G$2+((1/2)*U832)*Tableau!$G$2^2</f>
        <v>13847711.067212548</v>
      </c>
      <c r="R833" s="101">
        <f>R832+T832*Tableau!$G$2</f>
        <v>-68697.906809999244</v>
      </c>
      <c r="S833" s="101">
        <f>S832+U832*Tableau!$G$2</f>
        <v>33800.582650137876</v>
      </c>
      <c r="T833" s="101">
        <f t="shared" si="24"/>
        <v>1.1159489256366275E-3</v>
      </c>
      <c r="U833" s="101">
        <f t="shared" si="25"/>
        <v>-5.4817665344252117E-4</v>
      </c>
      <c r="V833" s="101">
        <f>((Tableau!$G$16-P833)/(AC833^2+Tableau!$G$21^2)^(3/2))*Tableau!$G$20</f>
        <v>4.7608019522254059E-4</v>
      </c>
      <c r="W833" s="101">
        <f>((Tableau!$H$16-Q833)/(AC833^2+Tableau!$G$21^2)^(3/2))*Tableau!$G$20</f>
        <v>-2.3356717898918492E-4</v>
      </c>
      <c r="X833" s="101">
        <f>((Tableau!$G$25-P833)/(AD833^2+Tableau!$G$30^2)^(3/2))*Tableau!$G$29</f>
        <v>1.6364147928745409E-4</v>
      </c>
      <c r="Y833" s="101">
        <f>((Tableau!$H$25-Q833)/(AD833^2+Tableau!$G$30^2)^(3/2))*Tableau!$G$29</f>
        <v>-8.0382751814454229E-5</v>
      </c>
      <c r="Z833" s="101">
        <f>((Tableau!$G$35-P833)/(AE833^2+Tableau!$G$40^2)^(3/2))*Tableau!$G$39</f>
        <v>4.7622725112663291E-4</v>
      </c>
      <c r="AA833" s="102">
        <f>((Tableau!$H$35-Q833)/(AE833^2+Tableau!$G$40^2)^(3/2))*Tableau!$G$39</f>
        <v>-2.3422672263888206E-4</v>
      </c>
      <c r="AC833" s="113">
        <f>SQRT((Tableau!$G$16-P833)^2+(Tableau!$H$16-Q833)^2)</f>
        <v>31422676.433108866</v>
      </c>
      <c r="AD833" s="114">
        <f>SQRT((Tableau!$G$25-P833)^2+(Tableau!$H$25-Q833)^2)</f>
        <v>31385668.03847301</v>
      </c>
      <c r="AE833" s="115">
        <f>SQRT((Tableau!$G$35-P833)^2+(Tableau!$H$35-Q833)^2)</f>
        <v>31410157.739528652</v>
      </c>
    </row>
    <row r="834" spans="2:31" x14ac:dyDescent="0.25">
      <c r="B834" s="20">
        <v>831</v>
      </c>
      <c r="C834" s="21">
        <f>Tableau!$G$17*COS(B834*PI()/180)+Tableau!$G$16</f>
        <v>18208.160252273501</v>
      </c>
      <c r="D834" s="21">
        <f>Tableau!$G$17*SIN(B834*PI()/180)+Tableau!$H$16</f>
        <v>12167.90213248601</v>
      </c>
      <c r="F834" s="28">
        <v>831</v>
      </c>
      <c r="G834" s="29">
        <f>Tableau!$G$26*COS(F834*PI()/180)+Tableau!$G$25</f>
        <v>-21254.287823408551</v>
      </c>
      <c r="H834" s="29">
        <f>Tableau!$G$26*SIN(F834*PI()/180)+Tableau!$H$25</f>
        <v>13267.531492740207</v>
      </c>
      <c r="J834" s="36">
        <v>831</v>
      </c>
      <c r="K834" s="37">
        <f>Tableau!$G$36*COS(J834*PI()/180)+Tableau!$G$35</f>
        <v>-6791.8397477265007</v>
      </c>
      <c r="L834" s="37">
        <f>Tableau!$G$36*SIN(J834*PI()/180)+Tableau!$H$35</f>
        <v>-10332.09786751399</v>
      </c>
      <c r="N834" s="92">
        <v>830</v>
      </c>
      <c r="O834" s="93">
        <v>415</v>
      </c>
      <c r="P834" s="96">
        <f>P833+R833*Tableau!$G$2+((1/2)*T833)*Tableau!$G$2^2</f>
        <v>-28224863.869425092</v>
      </c>
      <c r="Q834" s="96">
        <f>Q833+S833*Tableau!$G$2+((1/2)*U833)*Tableau!$G$2^2</f>
        <v>13864611.358469093</v>
      </c>
      <c r="R834" s="96">
        <f>R833+T833*Tableau!$G$2</f>
        <v>-68697.906252024783</v>
      </c>
      <c r="S834" s="96">
        <f>S833+U833*Tableau!$G$2</f>
        <v>33800.582376049548</v>
      </c>
      <c r="T834" s="96">
        <f t="shared" si="24"/>
        <v>1.1132334654073569E-3</v>
      </c>
      <c r="U834" s="96">
        <f t="shared" si="25"/>
        <v>-5.4684384434179221E-4</v>
      </c>
      <c r="V834" s="96">
        <f>((Tableau!$G$16-P834)/(AC834^2+Tableau!$G$21^2)^(3/2))*Tableau!$G$20</f>
        <v>4.749219963568957E-4</v>
      </c>
      <c r="W834" s="96">
        <f>((Tableau!$H$16-Q834)/(AC834^2+Tableau!$G$21^2)^(3/2))*Tableau!$G$20</f>
        <v>-2.3299977725252564E-4</v>
      </c>
      <c r="X834" s="96">
        <f>((Tableau!$G$25-P834)/(AD834^2+Tableau!$G$30^2)^(3/2))*Tableau!$G$29</f>
        <v>1.6324295437376363E-4</v>
      </c>
      <c r="Y834" s="96">
        <f>((Tableau!$H$25-Q834)/(AD834^2+Tableau!$G$30^2)^(3/2))*Tableau!$G$29</f>
        <v>-8.0187151419245547E-5</v>
      </c>
      <c r="Z834" s="96">
        <f>((Tableau!$G$35-P834)/(AE834^2+Tableau!$G$40^2)^(3/2))*Tableau!$G$39</f>
        <v>4.7506851467669757E-4</v>
      </c>
      <c r="AA834" s="97">
        <f>((Tableau!$H$35-Q834)/(AE834^2+Tableau!$G$40^2)^(3/2))*Tableau!$G$39</f>
        <v>-2.3365691567002109E-4</v>
      </c>
      <c r="AC834" s="110">
        <f>SQRT((Tableau!$G$16-P834)^2+(Tableau!$H$16-Q834)^2)</f>
        <v>31460957.871675938</v>
      </c>
      <c r="AD834" s="111">
        <f>SQRT((Tableau!$G$25-P834)^2+(Tableau!$H$25-Q834)^2)</f>
        <v>31423949.493770223</v>
      </c>
      <c r="AE834" s="112">
        <f>SQRT((Tableau!$G$35-P834)^2+(Tableau!$H$35-Q834)^2)</f>
        <v>31448439.202463262</v>
      </c>
    </row>
    <row r="835" spans="2:31" x14ac:dyDescent="0.25">
      <c r="B835" s="18">
        <v>832</v>
      </c>
      <c r="C835" s="19">
        <f>Tableau!$G$17*COS(B835*PI()/180)+Tableau!$G$16</f>
        <v>18126.967032920438</v>
      </c>
      <c r="D835" s="19">
        <f>Tableau!$G$17*SIN(B835*PI()/180)+Tableau!$H$16</f>
        <v>12135.919272833937</v>
      </c>
      <c r="F835" s="26">
        <v>832</v>
      </c>
      <c r="G835" s="27">
        <f>Tableau!$G$26*COS(F835*PI()/180)+Tableau!$G$25</f>
        <v>-21311.123076955693</v>
      </c>
      <c r="H835" s="27">
        <f>Tableau!$G$26*SIN(F835*PI()/180)+Tableau!$H$25</f>
        <v>13245.143490983755</v>
      </c>
      <c r="J835" s="34">
        <v>832</v>
      </c>
      <c r="K835" s="35">
        <f>Tableau!$G$36*COS(J835*PI()/180)+Tableau!$G$35</f>
        <v>-6873.0329670795618</v>
      </c>
      <c r="L835" s="35">
        <f>Tableau!$G$36*SIN(J835*PI()/180)+Tableau!$H$35</f>
        <v>-10364.080727166063</v>
      </c>
      <c r="N835" s="98">
        <v>831</v>
      </c>
      <c r="O835" s="99">
        <v>415.5</v>
      </c>
      <c r="P835" s="101">
        <f>P834+R834*Tableau!$G$2+((1/2)*T834)*Tableau!$G$2^2</f>
        <v>-28259212.822411951</v>
      </c>
      <c r="Q835" s="101">
        <f>Q834+S834*Tableau!$G$2+((1/2)*U834)*Tableau!$G$2^2</f>
        <v>13881511.649588762</v>
      </c>
      <c r="R835" s="101">
        <f>R834+T834*Tableau!$G$2</f>
        <v>-68697.905695408044</v>
      </c>
      <c r="S835" s="101">
        <f>S834+U834*Tableau!$G$2</f>
        <v>33800.582102627624</v>
      </c>
      <c r="T835" s="101">
        <f t="shared" si="24"/>
        <v>1.1105279045257634E-3</v>
      </c>
      <c r="U835" s="101">
        <f t="shared" si="25"/>
        <v>-5.4551589013462638E-4</v>
      </c>
      <c r="V835" s="101">
        <f>((Tableau!$G$16-P835)/(AC835^2+Tableau!$G$21^2)^(3/2))*Tableau!$G$20</f>
        <v>4.7376801882857879E-4</v>
      </c>
      <c r="W835" s="101">
        <f>((Tableau!$H$16-Q835)/(AC835^2+Tableau!$G$21^2)^(3/2))*Tableau!$G$20</f>
        <v>-2.3243444058036088E-4</v>
      </c>
      <c r="X835" s="101">
        <f>((Tableau!$G$25-P835)/(AD835^2+Tableau!$G$30^2)^(3/2))*Tableau!$G$29</f>
        <v>1.6284588351600168E-4</v>
      </c>
      <c r="Y835" s="101">
        <f>((Tableau!$H$25-Q835)/(AD835^2+Tableau!$G$30^2)^(3/2))*Tableau!$G$29</f>
        <v>-7.9992264107553633E-5</v>
      </c>
      <c r="Z835" s="101">
        <f>((Tableau!$G$35-P835)/(AE835^2+Tableau!$G$40^2)^(3/2))*Tableau!$G$39</f>
        <v>4.7391400218118305E-4</v>
      </c>
      <c r="AA835" s="102">
        <f>((Tableau!$H$35-Q835)/(AE835^2+Tableau!$G$40^2)^(3/2))*Tableau!$G$39</f>
        <v>-2.3308918544671191E-4</v>
      </c>
      <c r="AC835" s="113">
        <f>SQRT((Tableau!$G$16-P835)^2+(Tableau!$H$16-Q835)^2)</f>
        <v>31499239.30999276</v>
      </c>
      <c r="AD835" s="114">
        <f>SQRT((Tableau!$G$25-P835)^2+(Tableau!$H$25-Q835)^2)</f>
        <v>31462230.948776539</v>
      </c>
      <c r="AE835" s="115">
        <f>SQRT((Tableau!$G$35-P835)^2+(Tableau!$H$35-Q835)^2)</f>
        <v>31486720.665088385</v>
      </c>
    </row>
    <row r="836" spans="2:31" x14ac:dyDescent="0.25">
      <c r="B836" s="20">
        <v>833</v>
      </c>
      <c r="C836" s="21">
        <f>Tableau!$G$17*COS(B836*PI()/180)+Tableau!$G$16</f>
        <v>18046.344357553633</v>
      </c>
      <c r="D836" s="21">
        <f>Tableau!$G$17*SIN(B836*PI()/180)+Tableau!$H$16</f>
        <v>12102.524267262203</v>
      </c>
      <c r="F836" s="28">
        <v>833</v>
      </c>
      <c r="G836" s="29">
        <f>Tableau!$G$26*COS(F836*PI()/180)+Tableau!$G$25</f>
        <v>-21367.558949712457</v>
      </c>
      <c r="H836" s="29">
        <f>Tableau!$G$26*SIN(F836*PI()/180)+Tableau!$H$25</f>
        <v>13221.766987083542</v>
      </c>
      <c r="J836" s="36">
        <v>833</v>
      </c>
      <c r="K836" s="37">
        <f>Tableau!$G$36*COS(J836*PI()/180)+Tableau!$G$35</f>
        <v>-6953.6556424463661</v>
      </c>
      <c r="L836" s="37">
        <f>Tableau!$G$36*SIN(J836*PI()/180)+Tableau!$H$35</f>
        <v>-10397.475732737797</v>
      </c>
      <c r="N836" s="92">
        <v>832</v>
      </c>
      <c r="O836" s="93">
        <v>416</v>
      </c>
      <c r="P836" s="96">
        <f>P835+R835*Tableau!$G$2+((1/2)*T835)*Tableau!$G$2^2</f>
        <v>-28293561.775120839</v>
      </c>
      <c r="Q836" s="96">
        <f>Q835+S835*Tableau!$G$2+((1/2)*U835)*Tableau!$G$2^2</f>
        <v>13898411.940571886</v>
      </c>
      <c r="R836" s="96">
        <f>R835+T835*Tableau!$G$2</f>
        <v>-68697.905140144096</v>
      </c>
      <c r="S836" s="96">
        <f>S835+U835*Tableau!$G$2</f>
        <v>33800.581829869676</v>
      </c>
      <c r="T836" s="96">
        <f t="shared" ref="T836:T899" si="26">V836+X836+Z836</f>
        <v>1.1078321949320661E-3</v>
      </c>
      <c r="U836" s="96">
        <f t="shared" ref="U836:U899" si="27">W836+Y836+AA836</f>
        <v>-5.4419276727031899E-4</v>
      </c>
      <c r="V836" s="96">
        <f>((Tableau!$G$16-P836)/(AC836^2+Tableau!$G$21^2)^(3/2))*Tableau!$G$20</f>
        <v>4.7261824214820715E-4</v>
      </c>
      <c r="W836" s="96">
        <f>((Tableau!$H$16-Q836)/(AC836^2+Tableau!$G$21^2)^(3/2))*Tableau!$G$20</f>
        <v>-2.3187115896373679E-4</v>
      </c>
      <c r="X836" s="96">
        <f>((Tableau!$G$25-P836)/(AD836^2+Tableau!$G$30^2)^(3/2))*Tableau!$G$29</f>
        <v>1.6245025964906645E-4</v>
      </c>
      <c r="Y836" s="96">
        <f>((Tableau!$H$25-Q836)/(AD836^2+Tableau!$G$30^2)^(3/2))*Tableau!$G$29</f>
        <v>-7.979808641741089E-5</v>
      </c>
      <c r="Z836" s="96">
        <f>((Tableau!$G$35-P836)/(AE836^2+Tableau!$G$40^2)^(3/2))*Tableau!$G$39</f>
        <v>4.7276369313479252E-4</v>
      </c>
      <c r="AA836" s="97">
        <f>((Tableau!$H$35-Q836)/(AE836^2+Tableau!$G$40^2)^(3/2))*Tableau!$G$39</f>
        <v>-2.3252352188917128E-4</v>
      </c>
      <c r="AC836" s="110">
        <f>SQRT((Tableau!$G$16-P836)^2+(Tableau!$H$16-Q836)^2)</f>
        <v>31537520.748059869</v>
      </c>
      <c r="AD836" s="111">
        <f>SQRT((Tableau!$G$25-P836)^2+(Tableau!$H$25-Q836)^2)</f>
        <v>31500512.403492644</v>
      </c>
      <c r="AE836" s="112">
        <f>SQRT((Tableau!$G$35-P836)^2+(Tableau!$H$35-Q836)^2)</f>
        <v>31525002.127404787</v>
      </c>
    </row>
    <row r="837" spans="2:31" x14ac:dyDescent="0.25">
      <c r="B837" s="18">
        <v>834</v>
      </c>
      <c r="C837" s="19">
        <f>Tableau!$G$17*COS(B837*PI()/180)+Tableau!$G$16</f>
        <v>17966.316784620998</v>
      </c>
      <c r="D837" s="19">
        <f>Tableau!$G$17*SIN(B837*PI()/180)+Tableau!$H$16</f>
        <v>12067.727288213006</v>
      </c>
      <c r="F837" s="26">
        <v>834</v>
      </c>
      <c r="G837" s="27">
        <f>Tableau!$G$26*COS(F837*PI()/180)+Tableau!$G$25</f>
        <v>-21423.578250765302</v>
      </c>
      <c r="H837" s="27">
        <f>Tableau!$G$26*SIN(F837*PI()/180)+Tableau!$H$25</f>
        <v>13197.409101749103</v>
      </c>
      <c r="J837" s="34">
        <v>834</v>
      </c>
      <c r="K837" s="35">
        <f>Tableau!$G$36*COS(J837*PI()/180)+Tableau!$G$35</f>
        <v>-7033.683215379001</v>
      </c>
      <c r="L837" s="35">
        <f>Tableau!$G$36*SIN(J837*PI()/180)+Tableau!$H$35</f>
        <v>-10432.272711786994</v>
      </c>
      <c r="N837" s="98">
        <v>833</v>
      </c>
      <c r="O837" s="99">
        <v>416.5</v>
      </c>
      <c r="P837" s="101">
        <f>P836+R836*Tableau!$G$2+((1/2)*T836)*Tableau!$G$2^2</f>
        <v>-28327910.727552433</v>
      </c>
      <c r="Q837" s="101">
        <f>Q836+S836*Tableau!$G$2+((1/2)*U836)*Tableau!$G$2^2</f>
        <v>13915312.231418796</v>
      </c>
      <c r="R837" s="101">
        <f>R836+T836*Tableau!$G$2</f>
        <v>-68697.904586228004</v>
      </c>
      <c r="S837" s="101">
        <f>S836+U836*Tableau!$G$2</f>
        <v>33800.581557773294</v>
      </c>
      <c r="T837" s="101">
        <f t="shared" si="26"/>
        <v>1.1051462888578216E-3</v>
      </c>
      <c r="U837" s="101">
        <f t="shared" si="27"/>
        <v>-5.4287445234081448E-4</v>
      </c>
      <c r="V837" s="101">
        <f>((Tableau!$G$16-P837)/(AC837^2+Tableau!$G$21^2)^(3/2))*Tableau!$G$20</f>
        <v>4.7147264595056909E-4</v>
      </c>
      <c r="W837" s="101">
        <f>((Tableau!$H$16-Q837)/(AC837^2+Tableau!$G$21^2)^(3/2))*Tableau!$G$20</f>
        <v>-2.3130992245426954E-4</v>
      </c>
      <c r="X837" s="101">
        <f>((Tableau!$G$25-P837)/(AD837^2+Tableau!$G$30^2)^(3/2))*Tableau!$G$29</f>
        <v>1.6205607575072226E-4</v>
      </c>
      <c r="Y837" s="101">
        <f>((Tableau!$H$25-Q837)/(AD837^2+Tableau!$G$30^2)^(3/2))*Tableau!$G$29</f>
        <v>-7.9604614907837341E-5</v>
      </c>
      <c r="Z837" s="101">
        <f>((Tableau!$G$35-P837)/(AE837^2+Tableau!$G$40^2)^(3/2))*Tableau!$G$39</f>
        <v>4.716175671565302E-4</v>
      </c>
      <c r="AA837" s="102">
        <f>((Tableau!$H$35-Q837)/(AE837^2+Tableau!$G$40^2)^(3/2))*Tableau!$G$39</f>
        <v>-2.3195991497870761E-4</v>
      </c>
      <c r="AC837" s="113">
        <f>SQRT((Tableau!$G$16-P837)^2+(Tableau!$H$16-Q837)^2)</f>
        <v>31575802.185877789</v>
      </c>
      <c r="AD837" s="114">
        <f>SQRT((Tableau!$G$25-P837)^2+(Tableau!$H$25-Q837)^2)</f>
        <v>31538793.857919224</v>
      </c>
      <c r="AE837" s="115">
        <f>SQRT((Tableau!$G$35-P837)^2+(Tableau!$H$35-Q837)^2)</f>
        <v>31563283.589413203</v>
      </c>
    </row>
    <row r="838" spans="2:31" x14ac:dyDescent="0.25">
      <c r="B838" s="20">
        <v>835</v>
      </c>
      <c r="C838" s="21">
        <f>Tableau!$G$17*COS(B838*PI()/180)+Tableau!$G$16</f>
        <v>17886.908691296507</v>
      </c>
      <c r="D838" s="21">
        <f>Tableau!$G$17*SIN(B838*PI()/180)+Tableau!$H$16</f>
        <v>12031.538935183253</v>
      </c>
      <c r="F838" s="28">
        <v>835</v>
      </c>
      <c r="G838" s="29">
        <f>Tableau!$G$26*COS(F838*PI()/180)+Tableau!$G$25</f>
        <v>-21479.163916092446</v>
      </c>
      <c r="H838" s="29">
        <f>Tableau!$G$26*SIN(F838*PI()/180)+Tableau!$H$25</f>
        <v>13172.077254628277</v>
      </c>
      <c r="J838" s="36">
        <v>835</v>
      </c>
      <c r="K838" s="37">
        <f>Tableau!$G$36*COS(J838*PI()/180)+Tableau!$G$35</f>
        <v>-7113.0913087034924</v>
      </c>
      <c r="L838" s="37">
        <f>Tableau!$G$36*SIN(J838*PI()/180)+Tableau!$H$35</f>
        <v>-10468.461064816747</v>
      </c>
      <c r="N838" s="92">
        <v>834</v>
      </c>
      <c r="O838" s="93">
        <v>417</v>
      </c>
      <c r="P838" s="96">
        <f>P837+R837*Tableau!$G$2+((1/2)*T837)*Tableau!$G$2^2</f>
        <v>-28362259.679707401</v>
      </c>
      <c r="Q838" s="96">
        <f>Q837+S837*Tableau!$G$2+((1/2)*U837)*Tableau!$G$2^2</f>
        <v>13932212.522129823</v>
      </c>
      <c r="R838" s="96">
        <f>R837+T837*Tableau!$G$2</f>
        <v>-68697.904033654864</v>
      </c>
      <c r="S838" s="96">
        <f>S837+U837*Tableau!$G$2</f>
        <v>33800.58128633607</v>
      </c>
      <c r="T838" s="96">
        <f t="shared" si="26"/>
        <v>1.1024701388237588E-3</v>
      </c>
      <c r="U838" s="96">
        <f t="shared" si="27"/>
        <v>-5.4156092207964675E-4</v>
      </c>
      <c r="V838" s="96">
        <f>((Tableau!$G$16-P838)/(AC838^2+Tableau!$G$21^2)^(3/2))*Tableau!$G$20</f>
        <v>4.7033120999371479E-4</v>
      </c>
      <c r="W838" s="96">
        <f>((Tableau!$H$16-Q838)/(AC838^2+Tableau!$G$21^2)^(3/2))*Tableau!$G$20</f>
        <v>-2.3075072116370224E-4</v>
      </c>
      <c r="X838" s="96">
        <f>((Tableau!$G$25-P838)/(AD838^2+Tableau!$G$30^2)^(3/2))*Tableau!$G$29</f>
        <v>1.6166332484127626E-4</v>
      </c>
      <c r="Y838" s="96">
        <f>((Tableau!$H$25-Q838)/(AD838^2+Tableau!$G$30^2)^(3/2))*Tableau!$G$29</f>
        <v>-7.941184615868262E-5</v>
      </c>
      <c r="Z838" s="96">
        <f>((Tableau!$G$35-P838)/(AE838^2+Tableau!$G$40^2)^(3/2))*Tableau!$G$39</f>
        <v>4.7047560398876773E-4</v>
      </c>
      <c r="AA838" s="97">
        <f>((Tableau!$H$35-Q838)/(AE838^2+Tableau!$G$40^2)^(3/2))*Tableau!$G$39</f>
        <v>-2.3139835475726193E-4</v>
      </c>
      <c r="AC838" s="110">
        <f>SQRT((Tableau!$G$16-P838)^2+(Tableau!$H$16-Q838)^2)</f>
        <v>31614083.623447057</v>
      </c>
      <c r="AD838" s="111">
        <f>SQRT((Tableau!$G$25-P838)^2+(Tableau!$H$25-Q838)^2)</f>
        <v>31577075.312056944</v>
      </c>
      <c r="AE838" s="112">
        <f>SQRT((Tableau!$G$35-P838)^2+(Tableau!$H$35-Q838)^2)</f>
        <v>31601565.051114384</v>
      </c>
    </row>
    <row r="839" spans="2:31" x14ac:dyDescent="0.25">
      <c r="B839" s="18">
        <v>836</v>
      </c>
      <c r="C839" s="19">
        <f>Tableau!$G$17*COS(B839*PI()/180)+Tableau!$G$16</f>
        <v>17808.144266054616</v>
      </c>
      <c r="D839" s="19">
        <f>Tableau!$G$17*SIN(B839*PI()/180)+Tableau!$H$16</f>
        <v>11993.970231495836</v>
      </c>
      <c r="F839" s="26">
        <v>836</v>
      </c>
      <c r="G839" s="27">
        <f>Tableau!$G$26*COS(F839*PI()/180)+Tableau!$G$25</f>
        <v>-21534.299013761771</v>
      </c>
      <c r="H839" s="27">
        <f>Tableau!$G$26*SIN(F839*PI()/180)+Tableau!$H$25</f>
        <v>13145.779162047085</v>
      </c>
      <c r="J839" s="34">
        <v>836</v>
      </c>
      <c r="K839" s="35">
        <f>Tableau!$G$36*COS(J839*PI()/180)+Tableau!$G$35</f>
        <v>-7191.8557339453855</v>
      </c>
      <c r="L839" s="35">
        <f>Tableau!$G$36*SIN(J839*PI()/180)+Tableau!$H$35</f>
        <v>-10506.029768504164</v>
      </c>
      <c r="N839" s="98">
        <v>835</v>
      </c>
      <c r="O839" s="99">
        <v>417.5</v>
      </c>
      <c r="P839" s="101">
        <f>P838+R838*Tableau!$G$2+((1/2)*T838)*Tableau!$G$2^2</f>
        <v>-28396608.631586418</v>
      </c>
      <c r="Q839" s="101">
        <f>Q838+S838*Tableau!$G$2+((1/2)*U838)*Tableau!$G$2^2</f>
        <v>13949112.812705295</v>
      </c>
      <c r="R839" s="101">
        <f>R838+T838*Tableau!$G$2</f>
        <v>-68697.903482419788</v>
      </c>
      <c r="S839" s="101">
        <f>S838+U838*Tableau!$G$2</f>
        <v>33800.58101555561</v>
      </c>
      <c r="T839" s="101">
        <f t="shared" si="26"/>
        <v>1.0998036976376815E-3</v>
      </c>
      <c r="U839" s="101">
        <f t="shared" si="27"/>
        <v>-5.4025215336091269E-4</v>
      </c>
      <c r="V839" s="101">
        <f>((Tableau!$G$16-P839)/(AC839^2+Tableau!$G$21^2)^(3/2))*Tableau!$G$20</f>
        <v>4.6919391415805467E-4</v>
      </c>
      <c r="W839" s="101">
        <f>((Tableau!$H$16-Q839)/(AC839^2+Tableau!$G$21^2)^(3/2))*Tableau!$G$20</f>
        <v>-2.301935452634659E-4</v>
      </c>
      <c r="X839" s="101">
        <f>((Tableau!$G$25-P839)/(AD839^2+Tableau!$G$30^2)^(3/2))*Tableau!$G$29</f>
        <v>1.6127199998327511E-4</v>
      </c>
      <c r="Y839" s="101">
        <f>((Tableau!$H$25-Q839)/(AD839^2+Tableau!$G$30^2)^(3/2))*Tableau!$G$29</f>
        <v>-7.9219776770477396E-5</v>
      </c>
      <c r="Z839" s="101">
        <f>((Tableau!$G$35-P839)/(AE839^2+Tableau!$G$40^2)^(3/2))*Tableau!$G$39</f>
        <v>4.6933778349635163E-4</v>
      </c>
      <c r="AA839" s="102">
        <f>((Tableau!$H$35-Q839)/(AE839^2+Tableau!$G$40^2)^(3/2))*Tableau!$G$39</f>
        <v>-2.3083883132696948E-4</v>
      </c>
      <c r="AC839" s="113">
        <f>SQRT((Tableau!$G$16-P839)^2+(Tableau!$H$16-Q839)^2)</f>
        <v>31652365.060768213</v>
      </c>
      <c r="AD839" s="114">
        <f>SQRT((Tableau!$G$25-P839)^2+(Tableau!$H$25-Q839)^2)</f>
        <v>31615356.765906498</v>
      </c>
      <c r="AE839" s="115">
        <f>SQRT((Tableau!$G$35-P839)^2+(Tableau!$H$35-Q839)^2)</f>
        <v>31639846.512509074</v>
      </c>
    </row>
    <row r="840" spans="2:31" x14ac:dyDescent="0.25">
      <c r="B840" s="20">
        <v>837</v>
      </c>
      <c r="C840" s="21">
        <f>Tableau!$G$17*COS(B840*PI()/180)+Tableau!$G$16</f>
        <v>17730.047501302266</v>
      </c>
      <c r="D840" s="21">
        <f>Tableau!$G$17*SIN(B840*PI()/180)+Tableau!$H$16</f>
        <v>11955.032620941838</v>
      </c>
      <c r="F840" s="28">
        <v>837</v>
      </c>
      <c r="G840" s="29">
        <f>Tableau!$G$26*COS(F840*PI()/180)+Tableau!$G$25</f>
        <v>-21588.966749088417</v>
      </c>
      <c r="H840" s="29">
        <f>Tableau!$G$26*SIN(F840*PI()/180)+Tableau!$H$25</f>
        <v>13118.522834659287</v>
      </c>
      <c r="J840" s="36">
        <v>837</v>
      </c>
      <c r="K840" s="37">
        <f>Tableau!$G$36*COS(J840*PI()/180)+Tableau!$G$35</f>
        <v>-7269.9524986977358</v>
      </c>
      <c r="L840" s="37">
        <f>Tableau!$G$36*SIN(J840*PI()/180)+Tableau!$H$35</f>
        <v>-10544.967379058162</v>
      </c>
      <c r="N840" s="92">
        <v>836</v>
      </c>
      <c r="O840" s="93">
        <v>418</v>
      </c>
      <c r="P840" s="96">
        <f>P839+R839*Tableau!$G$2+((1/2)*T839)*Tableau!$G$2^2</f>
        <v>-28430957.583190154</v>
      </c>
      <c r="Q840" s="96">
        <f>Q839+S839*Tableau!$G$2+((1/2)*U839)*Tableau!$G$2^2</f>
        <v>13966013.103145542</v>
      </c>
      <c r="R840" s="96">
        <f>R839+T839*Tableau!$G$2</f>
        <v>-68697.902932517944</v>
      </c>
      <c r="S840" s="96">
        <f>S839+U839*Tableau!$G$2</f>
        <v>33800.580745429535</v>
      </c>
      <c r="T840" s="96">
        <f t="shared" si="26"/>
        <v>1.0971469183924064E-3</v>
      </c>
      <c r="U840" s="96">
        <f t="shared" si="27"/>
        <v>-5.389481231982639E-4</v>
      </c>
      <c r="V840" s="96">
        <f>((Tableau!$G$16-P840)/(AC840^2+Tableau!$G$21^2)^(3/2))*Tableau!$G$20</f>
        <v>4.6806073844548029E-4</v>
      </c>
      <c r="W840" s="96">
        <f>((Tableau!$H$16-Q840)/(AC840^2+Tableau!$G$21^2)^(3/2))*Tableau!$G$20</f>
        <v>-2.2963838498425097E-4</v>
      </c>
      <c r="X840" s="96">
        <f>((Tableau!$G$25-P840)/(AD840^2+Tableau!$G$30^2)^(3/2))*Tableau!$G$29</f>
        <v>1.6088209428119569E-4</v>
      </c>
      <c r="Y840" s="96">
        <f>((Tableau!$H$25-Q840)/(AD840^2+Tableau!$G$30^2)^(3/2))*Tableau!$G$29</f>
        <v>-7.9028403364282191E-5</v>
      </c>
      <c r="Z840" s="96">
        <f>((Tableau!$G$35-P840)/(AE840^2+Tableau!$G$40^2)^(3/2))*Tableau!$G$39</f>
        <v>4.6820408566573043E-4</v>
      </c>
      <c r="AA840" s="97">
        <f>((Tableau!$H$35-Q840)/(AE840^2+Tableau!$G$40^2)^(3/2))*Tableau!$G$39</f>
        <v>-2.3028133484973075E-4</v>
      </c>
      <c r="AC840" s="110">
        <f>SQRT((Tableau!$G$16-P840)^2+(Tableau!$H$16-Q840)^2)</f>
        <v>31690646.497841775</v>
      </c>
      <c r="AD840" s="111">
        <f>SQRT((Tableau!$G$25-P840)^2+(Tableau!$H$25-Q840)^2)</f>
        <v>31653638.219468553</v>
      </c>
      <c r="AE840" s="112">
        <f>SQRT((Tableau!$G$35-P840)^2+(Tableau!$H$35-Q840)^2)</f>
        <v>31678127.973598018</v>
      </c>
    </row>
    <row r="841" spans="2:31" x14ac:dyDescent="0.25">
      <c r="B841" s="18">
        <v>838</v>
      </c>
      <c r="C841" s="19">
        <f>Tableau!$G$17*COS(B841*PI()/180)+Tableau!$G$16</f>
        <v>17652.642186070549</v>
      </c>
      <c r="D841" s="19">
        <f>Tableau!$G$17*SIN(B841*PI()/180)+Tableau!$H$16</f>
        <v>11914.737964294636</v>
      </c>
      <c r="F841" s="26">
        <v>838</v>
      </c>
      <c r="G841" s="27">
        <f>Tableau!$G$26*COS(F841*PI()/180)+Tableau!$G$25</f>
        <v>-21643.150469750617</v>
      </c>
      <c r="H841" s="27">
        <f>Tableau!$G$26*SIN(F841*PI()/180)+Tableau!$H$25</f>
        <v>13090.316575006245</v>
      </c>
      <c r="J841" s="34">
        <v>838</v>
      </c>
      <c r="K841" s="35">
        <f>Tableau!$G$36*COS(J841*PI()/180)+Tableau!$G$35</f>
        <v>-7347.3578139294505</v>
      </c>
      <c r="L841" s="35">
        <f>Tableau!$G$36*SIN(J841*PI()/180)+Tableau!$H$35</f>
        <v>-10585.262035705364</v>
      </c>
      <c r="N841" s="98">
        <v>837</v>
      </c>
      <c r="O841" s="99">
        <v>418.5</v>
      </c>
      <c r="P841" s="101">
        <f>P840+R840*Tableau!$G$2+((1/2)*T840)*Tableau!$G$2^2</f>
        <v>-28465306.53451927</v>
      </c>
      <c r="Q841" s="101">
        <f>Q840+S840*Tableau!$G$2+((1/2)*U840)*Tableau!$G$2^2</f>
        <v>13982913.393450888</v>
      </c>
      <c r="R841" s="101">
        <f>R840+T840*Tableau!$G$2</f>
        <v>-68697.902383944485</v>
      </c>
      <c r="S841" s="101">
        <f>S840+U840*Tableau!$G$2</f>
        <v>33800.580475955474</v>
      </c>
      <c r="T841" s="101">
        <f t="shared" si="26"/>
        <v>1.0944997544636856E-3</v>
      </c>
      <c r="U841" s="101">
        <f t="shared" si="27"/>
        <v>-5.3764880874388962E-4</v>
      </c>
      <c r="V841" s="101">
        <f>((Tableau!$G$16-P841)/(AC841^2+Tableau!$G$21^2)^(3/2))*Tableau!$G$20</f>
        <v>4.6693166297848669E-4</v>
      </c>
      <c r="W841" s="101">
        <f>((Tableau!$H$16-Q841)/(AC841^2+Tableau!$G$21^2)^(3/2))*Tableau!$G$20</f>
        <v>-2.2908523061558015E-4</v>
      </c>
      <c r="X841" s="101">
        <f>((Tableau!$G$25-P841)/(AD841^2+Tableau!$G$30^2)^(3/2))*Tableau!$G$29</f>
        <v>1.6049360088114321E-4</v>
      </c>
      <c r="Y841" s="101">
        <f>((Tableau!$H$25-Q841)/(AD841^2+Tableau!$G$30^2)^(3/2))*Tableau!$G$29</f>
        <v>-7.8837722581539651E-5</v>
      </c>
      <c r="Z841" s="101">
        <f>((Tableau!$G$35-P841)/(AE841^2+Tableau!$G$40^2)^(3/2))*Tableau!$G$39</f>
        <v>4.670744906040558E-4</v>
      </c>
      <c r="AA841" s="102">
        <f>((Tableau!$H$35-Q841)/(AE841^2+Tableau!$G$40^2)^(3/2))*Tableau!$G$39</f>
        <v>-2.2972585554676981E-4</v>
      </c>
      <c r="AC841" s="113">
        <f>SQRT((Tableau!$G$16-P841)^2+(Tableau!$H$16-Q841)^2)</f>
        <v>31728927.934668273</v>
      </c>
      <c r="AD841" s="114">
        <f>SQRT((Tableau!$G$25-P841)^2+(Tableau!$H$25-Q841)^2)</f>
        <v>31691919.672743775</v>
      </c>
      <c r="AE841" s="115">
        <f>SQRT((Tableau!$G$35-P841)^2+(Tableau!$H$35-Q841)^2)</f>
        <v>31716409.434381943</v>
      </c>
    </row>
    <row r="842" spans="2:31" x14ac:dyDescent="0.25">
      <c r="B842" s="20">
        <v>839</v>
      </c>
      <c r="C842" s="21">
        <f>Tableau!$G$17*COS(B842*PI()/180)+Tableau!$G$16</f>
        <v>17575.951898768322</v>
      </c>
      <c r="D842" s="21">
        <f>Tableau!$G$17*SIN(B842*PI()/180)+Tableau!$H$16</f>
        <v>11873.098535696983</v>
      </c>
      <c r="F842" s="28">
        <v>839</v>
      </c>
      <c r="G842" s="29">
        <f>Tableau!$G$26*COS(F842*PI()/180)+Tableau!$G$25</f>
        <v>-21696.833670862175</v>
      </c>
      <c r="H842" s="29">
        <f>Tableau!$G$26*SIN(F842*PI()/180)+Tableau!$H$25</f>
        <v>13061.16897498789</v>
      </c>
      <c r="J842" s="36">
        <v>839</v>
      </c>
      <c r="K842" s="37">
        <f>Tableau!$G$36*COS(J842*PI()/180)+Tableau!$G$35</f>
        <v>-7424.0481012316768</v>
      </c>
      <c r="L842" s="37">
        <f>Tableau!$G$36*SIN(J842*PI()/180)+Tableau!$H$35</f>
        <v>-10626.901464303017</v>
      </c>
      <c r="N842" s="92">
        <v>838</v>
      </c>
      <c r="O842" s="93">
        <v>419</v>
      </c>
      <c r="P842" s="96">
        <f>P841+R841*Tableau!$G$2+((1/2)*T841)*Tableau!$G$2^2</f>
        <v>-28499655.485574432</v>
      </c>
      <c r="Q842" s="96">
        <f>Q841+S841*Tableau!$G$2+((1/2)*U841)*Tableau!$G$2^2</f>
        <v>13999813.68362166</v>
      </c>
      <c r="R842" s="96">
        <f>R841+T841*Tableau!$G$2</f>
        <v>-68697.901836694611</v>
      </c>
      <c r="S842" s="96">
        <f>S841+U841*Tableau!$G$2</f>
        <v>33800.580207131068</v>
      </c>
      <c r="T842" s="96">
        <f t="shared" si="26"/>
        <v>1.0918621595081665E-3</v>
      </c>
      <c r="U842" s="96">
        <f t="shared" si="27"/>
        <v>-5.3635418728751921E-4</v>
      </c>
      <c r="V842" s="96">
        <f>((Tableau!$G$16-P842)/(AC842^2+Tableau!$G$21^2)^(3/2))*Tableau!$G$20</f>
        <v>4.6580666799929117E-4</v>
      </c>
      <c r="W842" s="96">
        <f>((Tableau!$H$16-Q842)/(AC842^2+Tableau!$G$21^2)^(3/2))*Tableau!$G$20</f>
        <v>-2.2853407250537886E-4</v>
      </c>
      <c r="X842" s="96">
        <f>((Tableau!$G$25-P842)/(AD842^2+Tableau!$G$30^2)^(3/2))*Tableau!$G$29</f>
        <v>1.6010651297055135E-4</v>
      </c>
      <c r="Y842" s="96">
        <f>((Tableau!$H$25-Q842)/(AD842^2+Tableau!$G$30^2)^(3/2))*Tableau!$G$29</f>
        <v>-7.8647731083927833E-5</v>
      </c>
      <c r="Z842" s="96">
        <f>((Tableau!$G$35-P842)/(AE842^2+Tableau!$G$40^2)^(3/2))*Tableau!$G$39</f>
        <v>4.6594897853832404E-4</v>
      </c>
      <c r="AA842" s="97">
        <f>((Tableau!$H$35-Q842)/(AE842^2+Tableau!$G$40^2)^(3/2))*Tableau!$G$39</f>
        <v>-2.2917238369821251E-4</v>
      </c>
      <c r="AC842" s="110">
        <f>SQRT((Tableau!$G$16-P842)^2+(Tableau!$H$16-Q842)^2)</f>
        <v>31767209.371248238</v>
      </c>
      <c r="AD842" s="111">
        <f>SQRT((Tableau!$G$25-P842)^2+(Tableau!$H$25-Q842)^2)</f>
        <v>31730201.125732843</v>
      </c>
      <c r="AE842" s="112">
        <f>SQRT((Tableau!$G$35-P842)^2+(Tableau!$H$35-Q842)^2)</f>
        <v>31754690.894861594</v>
      </c>
    </row>
    <row r="843" spans="2:31" x14ac:dyDescent="0.25">
      <c r="B843" s="18">
        <v>840</v>
      </c>
      <c r="C843" s="19">
        <f>Tableau!$G$17*COS(B843*PI()/180)+Tableau!$G$16</f>
        <v>17499.999999999996</v>
      </c>
      <c r="D843" s="19">
        <f>Tableau!$G$17*SIN(B843*PI()/180)+Tableau!$H$16</f>
        <v>11830.127018922192</v>
      </c>
      <c r="F843" s="26">
        <v>840</v>
      </c>
      <c r="G843" s="27">
        <f>Tableau!$G$26*COS(F843*PI()/180)+Tableau!$G$25</f>
        <v>-21750.000000000004</v>
      </c>
      <c r="H843" s="27">
        <f>Tableau!$G$26*SIN(F843*PI()/180)+Tableau!$H$25</f>
        <v>13031.088913245534</v>
      </c>
      <c r="J843" s="34">
        <v>840</v>
      </c>
      <c r="K843" s="35">
        <f>Tableau!$G$36*COS(J843*PI()/180)+Tableau!$G$35</f>
        <v>-7500.0000000000027</v>
      </c>
      <c r="L843" s="35">
        <f>Tableau!$G$36*SIN(J843*PI()/180)+Tableau!$H$35</f>
        <v>-10669.872981077808</v>
      </c>
      <c r="N843" s="98">
        <v>839</v>
      </c>
      <c r="O843" s="99">
        <v>419.5</v>
      </c>
      <c r="P843" s="101">
        <f>P842+R842*Tableau!$G$2+((1/2)*T842)*Tableau!$G$2^2</f>
        <v>-28534004.436356295</v>
      </c>
      <c r="Q843" s="101">
        <f>Q842+S842*Tableau!$G$2+((1/2)*U842)*Tableau!$G$2^2</f>
        <v>14016713.973658182</v>
      </c>
      <c r="R843" s="101">
        <f>R842+T842*Tableau!$G$2</f>
        <v>-68697.901290763533</v>
      </c>
      <c r="S843" s="101">
        <f>S842+U842*Tableau!$G$2</f>
        <v>33800.579938953975</v>
      </c>
      <c r="T843" s="101">
        <f t="shared" si="26"/>
        <v>1.089234087461382E-3</v>
      </c>
      <c r="U843" s="101">
        <f t="shared" si="27"/>
        <v>-5.3506423625543863E-4</v>
      </c>
      <c r="V843" s="101">
        <f>((Tableau!$G$16-P843)/(AC843^2+Tableau!$G$21^2)^(3/2))*Tableau!$G$20</f>
        <v>4.6468573386899183E-4</v>
      </c>
      <c r="W843" s="101">
        <f>((Tableau!$H$16-Q843)/(AC843^2+Tableau!$G$21^2)^(3/2))*Tableau!$G$20</f>
        <v>-2.2798490105956562E-4</v>
      </c>
      <c r="X843" s="101">
        <f>((Tableau!$G$25-P843)/(AD843^2+Tableau!$G$30^2)^(3/2))*Tableau!$G$29</f>
        <v>1.5972082377787916E-4</v>
      </c>
      <c r="Y843" s="101">
        <f>((Tableau!$H$25-Q843)/(AD843^2+Tableau!$G$30^2)^(3/2))*Tableau!$G$29</f>
        <v>-7.8458425553211959E-5</v>
      </c>
      <c r="Z843" s="101">
        <f>((Tableau!$G$35-P843)/(AE843^2+Tableau!$G$40^2)^(3/2))*Tableau!$G$39</f>
        <v>4.6482752981451091E-4</v>
      </c>
      <c r="AA843" s="102">
        <f>((Tableau!$H$35-Q843)/(AE843^2+Tableau!$G$40^2)^(3/2))*Tableau!$G$39</f>
        <v>-2.2862090964266104E-4</v>
      </c>
      <c r="AC843" s="113">
        <f>SQRT((Tableau!$G$16-P843)^2+(Tableau!$H$16-Q843)^2)</f>
        <v>31805490.807582181</v>
      </c>
      <c r="AD843" s="114">
        <f>SQRT((Tableau!$G$25-P843)^2+(Tableau!$H$25-Q843)^2)</f>
        <v>31768482.578436412</v>
      </c>
      <c r="AE843" s="115">
        <f>SQRT((Tableau!$G$35-P843)^2+(Tableau!$H$35-Q843)^2)</f>
        <v>31792972.3550377</v>
      </c>
    </row>
    <row r="844" spans="2:31" x14ac:dyDescent="0.25">
      <c r="B844" s="20">
        <v>841</v>
      </c>
      <c r="C844" s="21">
        <f>Tableau!$G$17*COS(B844*PI()/180)+Tableau!$G$16</f>
        <v>17424.809625449732</v>
      </c>
      <c r="D844" s="21">
        <f>Tableau!$G$17*SIN(B844*PI()/180)+Tableau!$H$16</f>
        <v>11785.836503510563</v>
      </c>
      <c r="F844" s="28">
        <v>841</v>
      </c>
      <c r="G844" s="29">
        <f>Tableau!$G$26*COS(F844*PI()/180)+Tableau!$G$25</f>
        <v>-21802.633262185187</v>
      </c>
      <c r="H844" s="29">
        <f>Tableau!$G$26*SIN(F844*PI()/180)+Tableau!$H$25</f>
        <v>13000.085552457394</v>
      </c>
      <c r="J844" s="36">
        <v>841</v>
      </c>
      <c r="K844" s="37">
        <f>Tableau!$G$36*COS(J844*PI()/180)+Tableau!$G$35</f>
        <v>-7575.1903745502696</v>
      </c>
      <c r="L844" s="37">
        <f>Tableau!$G$36*SIN(J844*PI()/180)+Tableau!$H$35</f>
        <v>-10714.163496489437</v>
      </c>
      <c r="N844" s="92">
        <v>840</v>
      </c>
      <c r="O844" s="93">
        <v>420</v>
      </c>
      <c r="P844" s="96">
        <f>P843+R843*Tableau!$G$2+((1/2)*T843)*Tableau!$G$2^2</f>
        <v>-28568353.386865523</v>
      </c>
      <c r="Q844" s="96">
        <f>Q843+S843*Tableau!$G$2+((1/2)*U843)*Tableau!$G$2^2</f>
        <v>14033614.263560776</v>
      </c>
      <c r="R844" s="96">
        <f>R843+T843*Tableau!$G$2</f>
        <v>-68697.900746146493</v>
      </c>
      <c r="S844" s="96">
        <f>S843+U843*Tableau!$G$2</f>
        <v>33800.57967142186</v>
      </c>
      <c r="T844" s="96">
        <f t="shared" si="26"/>
        <v>1.0866154925357153E-3</v>
      </c>
      <c r="U844" s="96">
        <f t="shared" si="27"/>
        <v>-5.3377893320949465E-4</v>
      </c>
      <c r="V844" s="96">
        <f>((Tableau!$G$16-P844)/(AC844^2+Tableau!$G$21^2)^(3/2))*Tableau!$G$20</f>
        <v>4.6356884106668378E-4</v>
      </c>
      <c r="W844" s="96">
        <f>((Tableau!$H$16-Q844)/(AC844^2+Tableau!$G$21^2)^(3/2))*Tableau!$G$20</f>
        <v>-2.274377067416211E-4</v>
      </c>
      <c r="X844" s="96">
        <f>((Tableau!$G$25-P844)/(AD844^2+Tableau!$G$30^2)^(3/2))*Tableau!$G$29</f>
        <v>1.5933652657231851E-4</v>
      </c>
      <c r="Y844" s="96">
        <f>((Tableau!$H$25-Q844)/(AD844^2+Tableau!$G$30^2)^(3/2))*Tableau!$G$29</f>
        <v>-7.8269802691101242E-5</v>
      </c>
      <c r="Z844" s="96">
        <f>((Tableau!$G$35-P844)/(AE844^2+Tableau!$G$40^2)^(3/2))*Tableau!$G$39</f>
        <v>4.6371012489671303E-4</v>
      </c>
      <c r="AA844" s="97">
        <f>((Tableau!$H$35-Q844)/(AE844^2+Tableau!$G$40^2)^(3/2))*Tableau!$G$39</f>
        <v>-2.2807142377677229E-4</v>
      </c>
      <c r="AC844" s="110">
        <f>SQRT((Tableau!$G$16-P844)^2+(Tableau!$H$16-Q844)^2)</f>
        <v>31843772.243670635</v>
      </c>
      <c r="AD844" s="111">
        <f>SQRT((Tableau!$G$25-P844)^2+(Tableau!$H$25-Q844)^2)</f>
        <v>31806764.030855156</v>
      </c>
      <c r="AE844" s="112">
        <f>SQRT((Tableau!$G$35-P844)^2+(Tableau!$H$35-Q844)^2)</f>
        <v>31831253.814910989</v>
      </c>
    </row>
    <row r="845" spans="2:31" x14ac:dyDescent="0.25">
      <c r="B845" s="18">
        <v>842</v>
      </c>
      <c r="C845" s="19">
        <f>Tableau!$G$17*COS(B845*PI()/180)+Tableau!$G$16</f>
        <v>17350.40367883398</v>
      </c>
      <c r="D845" s="19">
        <f>Tableau!$G$17*SIN(B845*PI()/180)+Tableau!$H$16</f>
        <v>11740.240480782133</v>
      </c>
      <c r="F845" s="26">
        <v>842</v>
      </c>
      <c r="G845" s="27">
        <f>Tableau!$G$26*COS(F845*PI()/180)+Tableau!$G$25</f>
        <v>-21854.717424816212</v>
      </c>
      <c r="H845" s="27">
        <f>Tableau!$G$26*SIN(F845*PI()/180)+Tableau!$H$25</f>
        <v>12968.168336547495</v>
      </c>
      <c r="J845" s="34">
        <v>842</v>
      </c>
      <c r="K845" s="35">
        <f>Tableau!$G$36*COS(J845*PI()/180)+Tableau!$G$35</f>
        <v>-7649.5963211660182</v>
      </c>
      <c r="L845" s="35">
        <f>Tableau!$G$36*SIN(J845*PI()/180)+Tableau!$H$35</f>
        <v>-10759.759519217867</v>
      </c>
      <c r="N845" s="98">
        <v>841</v>
      </c>
      <c r="O845" s="99">
        <v>420.5</v>
      </c>
      <c r="P845" s="101">
        <f>P844+R844*Tableau!$G$2+((1/2)*T844)*Tableau!$G$2^2</f>
        <v>-28602702.337102767</v>
      </c>
      <c r="Q845" s="101">
        <f>Q844+S844*Tableau!$G$2+((1/2)*U844)*Tableau!$G$2^2</f>
        <v>14050514.553329764</v>
      </c>
      <c r="R845" s="101">
        <f>R844+T844*Tableau!$G$2</f>
        <v>-68697.900202838748</v>
      </c>
      <c r="S845" s="101">
        <f>S844+U844*Tableau!$G$2</f>
        <v>33800.579404532393</v>
      </c>
      <c r="T845" s="101">
        <f t="shared" si="26"/>
        <v>1.0840063292183863E-3</v>
      </c>
      <c r="U845" s="101">
        <f t="shared" si="27"/>
        <v>-5.3249825584610966E-4</v>
      </c>
      <c r="V845" s="101">
        <f>((Tableau!$G$16-P845)/(AC845^2+Tableau!$G$21^2)^(3/2))*Tableau!$G$20</f>
        <v>4.6245597018860764E-4</v>
      </c>
      <c r="W845" s="101">
        <f>((Tableau!$H$16-Q845)/(AC845^2+Tableau!$G$21^2)^(3/2))*Tableau!$G$20</f>
        <v>-2.2689248007217385E-4</v>
      </c>
      <c r="X845" s="101">
        <f>((Tableau!$G$25-P845)/(AD845^2+Tableau!$G$30^2)^(3/2))*Tableau!$G$29</f>
        <v>1.5895361466350231E-4</v>
      </c>
      <c r="Y845" s="101">
        <f>((Tableau!$H$25-Q845)/(AD845^2+Tableau!$G$30^2)^(3/2))*Tableau!$G$29</f>
        <v>-7.8081859219106183E-5</v>
      </c>
      <c r="Z845" s="101">
        <f>((Tableau!$G$35-P845)/(AE845^2+Tableau!$G$40^2)^(3/2))*Tableau!$G$39</f>
        <v>4.6259674436627631E-4</v>
      </c>
      <c r="AA845" s="102">
        <f>((Tableau!$H$35-Q845)/(AE845^2+Tableau!$G$40^2)^(3/2))*Tableau!$G$39</f>
        <v>-2.2752391655482968E-4</v>
      </c>
      <c r="AC845" s="113">
        <f>SQRT((Tableau!$G$16-P845)^2+(Tableau!$H$16-Q845)^2)</f>
        <v>31882053.679514118</v>
      </c>
      <c r="AD845" s="114">
        <f>SQRT((Tableau!$G$25-P845)^2+(Tableau!$H$25-Q845)^2)</f>
        <v>31845045.482989736</v>
      </c>
      <c r="AE845" s="115">
        <f>SQRT((Tableau!$G$35-P845)^2+(Tableau!$H$35-Q845)^2)</f>
        <v>31869535.274482187</v>
      </c>
    </row>
    <row r="846" spans="2:31" x14ac:dyDescent="0.25">
      <c r="B846" s="20">
        <v>843</v>
      </c>
      <c r="C846" s="21">
        <f>Tableau!$G$17*COS(B846*PI()/180)+Tableau!$G$16</f>
        <v>17276.80482492486</v>
      </c>
      <c r="D846" s="21">
        <f>Tableau!$G$17*SIN(B846*PI()/180)+Tableau!$H$16</f>
        <v>11693.352839727118</v>
      </c>
      <c r="F846" s="28">
        <v>843</v>
      </c>
      <c r="G846" s="29">
        <f>Tableau!$G$26*COS(F846*PI()/180)+Tableau!$G$25</f>
        <v>-21906.236622552598</v>
      </c>
      <c r="H846" s="29">
        <f>Tableau!$G$26*SIN(F846*PI()/180)+Tableau!$H$25</f>
        <v>12935.346987808982</v>
      </c>
      <c r="J846" s="36">
        <v>843</v>
      </c>
      <c r="K846" s="37">
        <f>Tableau!$G$36*COS(J846*PI()/180)+Tableau!$G$35</f>
        <v>-7723.1951750751396</v>
      </c>
      <c r="L846" s="37">
        <f>Tableau!$G$36*SIN(J846*PI()/180)+Tableau!$H$35</f>
        <v>-10806.647160272882</v>
      </c>
      <c r="N846" s="92">
        <v>842</v>
      </c>
      <c r="O846" s="93">
        <v>421</v>
      </c>
      <c r="P846" s="96">
        <f>P845+R845*Tableau!$G$2+((1/2)*T845)*Tableau!$G$2^2</f>
        <v>-28637051.287068687</v>
      </c>
      <c r="Q846" s="96">
        <f>Q845+S845*Tableau!$G$2+((1/2)*U845)*Tableau!$G$2^2</f>
        <v>14067414.842965469</v>
      </c>
      <c r="R846" s="96">
        <f>R845+T845*Tableau!$G$2</f>
        <v>-68697.899660835581</v>
      </c>
      <c r="S846" s="96">
        <f>S845+U845*Tableau!$G$2</f>
        <v>33800.579138283261</v>
      </c>
      <c r="T846" s="96">
        <f t="shared" si="26"/>
        <v>1.0814065522695348E-3</v>
      </c>
      <c r="U846" s="96">
        <f t="shared" si="27"/>
        <v>-5.3122218199534406E-4</v>
      </c>
      <c r="V846" s="96">
        <f>((Tableau!$G$16-P846)/(AC846^2+Tableau!$G$21^2)^(3/2))*Tableau!$G$20</f>
        <v>4.6134710194734577E-4</v>
      </c>
      <c r="W846" s="96">
        <f>((Tableau!$H$16-Q846)/(AC846^2+Tableau!$G$21^2)^(3/2))*Tableau!$G$20</f>
        <v>-2.2634921162860823E-4</v>
      </c>
      <c r="X846" s="96">
        <f>((Tableau!$G$25-P846)/(AD846^2+Tableau!$G$30^2)^(3/2))*Tableau!$G$29</f>
        <v>1.5857208140120506E-4</v>
      </c>
      <c r="Y846" s="96">
        <f>((Tableau!$H$25-Q846)/(AD846^2+Tableau!$G$30^2)^(3/2))*Tableau!$G$29</f>
        <v>-7.7894591878392025E-5</v>
      </c>
      <c r="Z846" s="96">
        <f>((Tableau!$G$35-P846)/(AE846^2+Tableau!$G$40^2)^(3/2))*Tableau!$G$39</f>
        <v>4.6148736892098416E-4</v>
      </c>
      <c r="AA846" s="97">
        <f>((Tableau!$H$35-Q846)/(AE846^2+Tableau!$G$40^2)^(3/2))*Tableau!$G$39</f>
        <v>-2.2697837848834382E-4</v>
      </c>
      <c r="AC846" s="110">
        <f>SQRT((Tableau!$G$16-P846)^2+(Tableau!$H$16-Q846)^2)</f>
        <v>31920335.11511315</v>
      </c>
      <c r="AD846" s="111">
        <f>SQRT((Tableau!$G$25-P846)^2+(Tableau!$H$25-Q846)^2)</f>
        <v>31883326.93484081</v>
      </c>
      <c r="AE846" s="112">
        <f>SQRT((Tableau!$G$35-P846)^2+(Tableau!$H$35-Q846)^2)</f>
        <v>31907816.733752023</v>
      </c>
    </row>
    <row r="847" spans="2:31" x14ac:dyDescent="0.25">
      <c r="B847" s="18">
        <v>844</v>
      </c>
      <c r="C847" s="19">
        <f>Tableau!$G$17*COS(B847*PI()/180)+Tableau!$G$16</f>
        <v>17204.035482646268</v>
      </c>
      <c r="D847" s="19">
        <f>Tableau!$G$17*SIN(B847*PI()/180)+Tableau!$H$16</f>
        <v>11645.187862775208</v>
      </c>
      <c r="F847" s="26">
        <v>844</v>
      </c>
      <c r="G847" s="27">
        <f>Tableau!$G$26*COS(F847*PI()/180)+Tableau!$G$25</f>
        <v>-21957.175162147614</v>
      </c>
      <c r="H847" s="27">
        <f>Tableau!$G$26*SIN(F847*PI()/180)+Tableau!$H$25</f>
        <v>12901.631503942646</v>
      </c>
      <c r="J847" s="34">
        <v>844</v>
      </c>
      <c r="K847" s="35">
        <f>Tableau!$G$36*COS(J847*PI()/180)+Tableau!$G$35</f>
        <v>-7795.9645173537338</v>
      </c>
      <c r="L847" s="35">
        <f>Tableau!$G$36*SIN(J847*PI()/180)+Tableau!$H$35</f>
        <v>-10854.812137224792</v>
      </c>
      <c r="N847" s="98">
        <v>843</v>
      </c>
      <c r="O847" s="99">
        <v>421.5</v>
      </c>
      <c r="P847" s="101">
        <f>P846+R846*Tableau!$G$2+((1/2)*T846)*Tableau!$G$2^2</f>
        <v>-28671400.236763928</v>
      </c>
      <c r="Q847" s="101">
        <f>Q846+S846*Tableau!$G$2+((1/2)*U846)*Tableau!$G$2^2</f>
        <v>14084315.132468207</v>
      </c>
      <c r="R847" s="101">
        <f>R846+T846*Tableau!$G$2</f>
        <v>-68697.899120132308</v>
      </c>
      <c r="S847" s="101">
        <f>S846+U846*Tableau!$G$2</f>
        <v>33800.578872672173</v>
      </c>
      <c r="T847" s="101">
        <f t="shared" si="26"/>
        <v>1.0788161167202008E-3</v>
      </c>
      <c r="U847" s="101">
        <f t="shared" si="27"/>
        <v>-5.2995068961990746E-4</v>
      </c>
      <c r="V847" s="101">
        <f>((Tableau!$G$16-P847)/(AC847^2+Tableau!$G$21^2)^(3/2))*Tableau!$G$20</f>
        <v>4.6024221717094364E-4</v>
      </c>
      <c r="W847" s="101">
        <f>((Tableau!$H$16-Q847)/(AC847^2+Tableau!$G$21^2)^(3/2))*Tableau!$G$20</f>
        <v>-2.2580789204463688E-4</v>
      </c>
      <c r="X847" s="101">
        <f>((Tableau!$G$25-P847)/(AD847^2+Tableau!$G$30^2)^(3/2))*Tableau!$G$29</f>
        <v>1.5819192017506482E-4</v>
      </c>
      <c r="Y847" s="101">
        <f>((Tableau!$H$25-Q847)/(AD847^2+Tableau!$G$30^2)^(3/2))*Tableau!$G$29</f>
        <v>-7.7707997429642765E-5</v>
      </c>
      <c r="Z847" s="101">
        <f>((Tableau!$G$35-P847)/(AE847^2+Tableau!$G$40^2)^(3/2))*Tableau!$G$39</f>
        <v>4.6038197937419242E-4</v>
      </c>
      <c r="AA847" s="102">
        <f>((Tableau!$H$35-Q847)/(AE847^2+Tableau!$G$40^2)^(3/2))*Tableau!$G$39</f>
        <v>-2.2643480014562781E-4</v>
      </c>
      <c r="AC847" s="113">
        <f>SQRT((Tableau!$G$16-P847)^2+(Tableau!$H$16-Q847)^2)</f>
        <v>31958616.550468251</v>
      </c>
      <c r="AD847" s="114">
        <f>SQRT((Tableau!$G$25-P847)^2+(Tableau!$H$25-Q847)^2)</f>
        <v>31921608.386409037</v>
      </c>
      <c r="AE847" s="115">
        <f>SQRT((Tableau!$G$35-P847)^2+(Tableau!$H$35-Q847)^2)</f>
        <v>31946098.192721222</v>
      </c>
    </row>
    <row r="848" spans="2:31" x14ac:dyDescent="0.25">
      <c r="B848" s="20">
        <v>845</v>
      </c>
      <c r="C848" s="21">
        <f>Tableau!$G$17*COS(B848*PI()/180)+Tableau!$G$16</f>
        <v>17132.117818244777</v>
      </c>
      <c r="D848" s="21">
        <f>Tableau!$G$17*SIN(B848*PI()/180)+Tableau!$H$16</f>
        <v>11595.760221444962</v>
      </c>
      <c r="F848" s="28">
        <v>845</v>
      </c>
      <c r="G848" s="29">
        <f>Tableau!$G$26*COS(F848*PI()/180)+Tableau!$G$25</f>
        <v>-22007.517527228658</v>
      </c>
      <c r="H848" s="29">
        <f>Tableau!$G$26*SIN(F848*PI()/180)+Tableau!$H$25</f>
        <v>12867.032155011473</v>
      </c>
      <c r="J848" s="36">
        <v>845</v>
      </c>
      <c r="K848" s="37">
        <f>Tableau!$G$36*COS(J848*PI()/180)+Tableau!$G$35</f>
        <v>-7867.8821817552252</v>
      </c>
      <c r="L848" s="37">
        <f>Tableau!$G$36*SIN(J848*PI()/180)+Tableau!$H$35</f>
        <v>-10904.239778555038</v>
      </c>
      <c r="N848" s="92">
        <v>844</v>
      </c>
      <c r="O848" s="93">
        <v>422</v>
      </c>
      <c r="P848" s="96">
        <f>P847+R847*Tableau!$G$2+((1/2)*T847)*Tableau!$G$2^2</f>
        <v>-28705749.186189141</v>
      </c>
      <c r="Q848" s="96">
        <f>Q847+S847*Tableau!$G$2+((1/2)*U847)*Tableau!$G$2^2</f>
        <v>14101215.4218383</v>
      </c>
      <c r="R848" s="96">
        <f>R847+T847*Tableau!$G$2</f>
        <v>-68697.898580724242</v>
      </c>
      <c r="S848" s="96">
        <f>S847+U847*Tableau!$G$2</f>
        <v>33800.578607696829</v>
      </c>
      <c r="T848" s="96">
        <f t="shared" si="26"/>
        <v>1.0762349778704278E-3</v>
      </c>
      <c r="U848" s="96">
        <f t="shared" si="27"/>
        <v>-5.2868375681423157E-4</v>
      </c>
      <c r="V848" s="96">
        <f>((Tableau!$G$16-P848)/(AC848^2+Tableau!$G$21^2)^(3/2))*Tableau!$G$20</f>
        <v>4.5914129680210268E-4</v>
      </c>
      <c r="W848" s="96">
        <f>((Tableau!$H$16-Q848)/(AC848^2+Tableau!$G$21^2)^(3/2))*Tableau!$G$20</f>
        <v>-2.2526851200990722E-4</v>
      </c>
      <c r="X848" s="96">
        <f>((Tableau!$G$25-P848)/(AD848^2+Tableau!$G$30^2)^(3/2))*Tableau!$G$29</f>
        <v>1.5781312441428844E-4</v>
      </c>
      <c r="Y848" s="96">
        <f>((Tableau!$H$25-Q848)/(AD848^2+Tableau!$G$30^2)^(3/2))*Tableau!$G$29</f>
        <v>-7.7522072652916948E-5</v>
      </c>
      <c r="Z848" s="96">
        <f>((Tableau!$G$35-P848)/(AE848^2+Tableau!$G$40^2)^(3/2))*Tableau!$G$39</f>
        <v>4.5928055665403662E-4</v>
      </c>
      <c r="AA848" s="97">
        <f>((Tableau!$H$35-Q848)/(AE848^2+Tableau!$G$40^2)^(3/2))*Tableau!$G$39</f>
        <v>-2.2589317215140746E-4</v>
      </c>
      <c r="AC848" s="110">
        <f>SQRT((Tableau!$G$16-P848)^2+(Tableau!$H$16-Q848)^2)</f>
        <v>31996897.985579927</v>
      </c>
      <c r="AD848" s="111">
        <f>SQRT((Tableau!$G$25-P848)^2+(Tableau!$H$25-Q848)^2)</f>
        <v>31959889.83769507</v>
      </c>
      <c r="AE848" s="112">
        <f>SQRT((Tableau!$G$35-P848)^2+(Tableau!$H$35-Q848)^2)</f>
        <v>31984379.651390493</v>
      </c>
    </row>
    <row r="849" spans="2:31" x14ac:dyDescent="0.25">
      <c r="B849" s="18">
        <v>846</v>
      </c>
      <c r="C849" s="19">
        <f>Tableau!$G$17*COS(B849*PI()/180)+Tableau!$G$16</f>
        <v>17061.073738537638</v>
      </c>
      <c r="D849" s="19">
        <f>Tableau!$G$17*SIN(B849*PI()/180)+Tableau!$H$16</f>
        <v>11545.084971874739</v>
      </c>
      <c r="F849" s="26">
        <v>846</v>
      </c>
      <c r="G849" s="27">
        <f>Tableau!$G$26*COS(F849*PI()/180)+Tableau!$G$25</f>
        <v>-22057.248383023652</v>
      </c>
      <c r="H849" s="27">
        <f>Tableau!$G$26*SIN(F849*PI()/180)+Tableau!$H$25</f>
        <v>12831.559480312317</v>
      </c>
      <c r="J849" s="34">
        <v>846</v>
      </c>
      <c r="K849" s="35">
        <f>Tableau!$G$36*COS(J849*PI()/180)+Tableau!$G$35</f>
        <v>-7938.926261462364</v>
      </c>
      <c r="L849" s="35">
        <f>Tableau!$G$36*SIN(J849*PI()/180)+Tableau!$H$35</f>
        <v>-10954.915028125261</v>
      </c>
      <c r="N849" s="98">
        <v>845</v>
      </c>
      <c r="O849" s="99">
        <v>422.5</v>
      </c>
      <c r="P849" s="101">
        <f>P848+R848*Tableau!$G$2+((1/2)*T848)*Tableau!$G$2^2</f>
        <v>-28740098.135344975</v>
      </c>
      <c r="Q849" s="101">
        <f>Q848+S848*Tableau!$G$2+((1/2)*U848)*Tableau!$G$2^2</f>
        <v>14118115.711076064</v>
      </c>
      <c r="R849" s="101">
        <f>R848+T848*Tableau!$G$2</f>
        <v>-68697.898042606757</v>
      </c>
      <c r="S849" s="101">
        <f>S848+U848*Tableau!$G$2</f>
        <v>33800.578343354951</v>
      </c>
      <c r="T849" s="101">
        <f t="shared" si="26"/>
        <v>1.0736630912872725E-3</v>
      </c>
      <c r="U849" s="101">
        <f t="shared" si="27"/>
        <v>-5.2742136180349594E-4</v>
      </c>
      <c r="V849" s="101">
        <f>((Tableau!$G$16-P849)/(AC849^2+Tableau!$G$21^2)^(3/2))*Tableau!$G$20</f>
        <v>4.5804432189733844E-4</v>
      </c>
      <c r="W849" s="101">
        <f>((Tableau!$H$16-Q849)/(AC849^2+Tableau!$G$21^2)^(3/2))*Tableau!$G$20</f>
        <v>-2.2473106226959122E-4</v>
      </c>
      <c r="X849" s="101">
        <f>((Tableau!$G$25-P849)/(AD849^2+Tableau!$G$30^2)^(3/2))*Tableau!$G$29</f>
        <v>1.5743568758737328E-4</v>
      </c>
      <c r="Y849" s="101">
        <f>((Tableau!$H$25-Q849)/(AD849^2+Tableau!$G$30^2)^(3/2))*Tableau!$G$29</f>
        <v>-7.7336814347511441E-5</v>
      </c>
      <c r="Z849" s="101">
        <f>((Tableau!$G$35-P849)/(AE849^2+Tableau!$G$40^2)^(3/2))*Tableau!$G$39</f>
        <v>4.581830818025609E-4</v>
      </c>
      <c r="AA849" s="102">
        <f>((Tableau!$H$35-Q849)/(AE849^2+Tableau!$G$40^2)^(3/2))*Tableau!$G$39</f>
        <v>-2.2535348518639336E-4</v>
      </c>
      <c r="AC849" s="113">
        <f>SQRT((Tableau!$G$16-P849)^2+(Tableau!$H$16-Q849)^2)</f>
        <v>32035179.420448702</v>
      </c>
      <c r="AD849" s="114">
        <f>SQRT((Tableau!$G$25-P849)^2+(Tableau!$H$25-Q849)^2)</f>
        <v>31998171.288699564</v>
      </c>
      <c r="AE849" s="115">
        <f>SQRT((Tableau!$G$35-P849)^2+(Tableau!$H$35-Q849)^2)</f>
        <v>32022661.10976056</v>
      </c>
    </row>
    <row r="850" spans="2:31" x14ac:dyDescent="0.25">
      <c r="B850" s="20">
        <v>847</v>
      </c>
      <c r="C850" s="21">
        <f>Tableau!$G$17*COS(B850*PI()/180)+Tableau!$G$16</f>
        <v>16990.924884239757</v>
      </c>
      <c r="D850" s="21">
        <f>Tableau!$G$17*SIN(B850*PI()/180)+Tableau!$H$16</f>
        <v>11493.177550236464</v>
      </c>
      <c r="F850" s="28">
        <v>847</v>
      </c>
      <c r="G850" s="29">
        <f>Tableau!$G$26*COS(F850*PI()/180)+Tableau!$G$25</f>
        <v>-22106.35258103217</v>
      </c>
      <c r="H850" s="29">
        <f>Tableau!$G$26*SIN(F850*PI()/180)+Tableau!$H$25</f>
        <v>12795.224285165525</v>
      </c>
      <c r="J850" s="36">
        <v>847</v>
      </c>
      <c r="K850" s="37">
        <f>Tableau!$G$36*COS(J850*PI()/180)+Tableau!$G$35</f>
        <v>-8009.0751157602417</v>
      </c>
      <c r="L850" s="37">
        <f>Tableau!$G$36*SIN(J850*PI()/180)+Tableau!$H$35</f>
        <v>-11006.822449763536</v>
      </c>
      <c r="N850" s="92">
        <v>846</v>
      </c>
      <c r="O850" s="93">
        <v>423</v>
      </c>
      <c r="P850" s="96">
        <f>P849+R849*Tableau!$G$2+((1/2)*T849)*Tableau!$G$2^2</f>
        <v>-28774447.08423207</v>
      </c>
      <c r="Q850" s="96">
        <f>Q849+S849*Tableau!$G$2+((1/2)*U849)*Tableau!$G$2^2</f>
        <v>14135016.000181813</v>
      </c>
      <c r="R850" s="96">
        <f>R849+T849*Tableau!$G$2</f>
        <v>-68697.89750577521</v>
      </c>
      <c r="S850" s="96">
        <f>S849+U849*Tableau!$G$2</f>
        <v>33800.57807964427</v>
      </c>
      <c r="T850" s="96">
        <f t="shared" si="26"/>
        <v>1.071100412802963E-3</v>
      </c>
      <c r="U850" s="96">
        <f t="shared" si="27"/>
        <v>-5.2616348294272646E-4</v>
      </c>
      <c r="V850" s="96">
        <f>((Tableau!$G$16-P850)/(AC850^2+Tableau!$G$21^2)^(3/2))*Tableau!$G$20</f>
        <v>4.5695127362620815E-4</v>
      </c>
      <c r="W850" s="96">
        <f>((Tableau!$H$16-Q850)/(AC850^2+Tableau!$G$21^2)^(3/2))*Tableau!$G$20</f>
        <v>-2.2419553362400951E-4</v>
      </c>
      <c r="X850" s="96">
        <f>((Tableau!$G$25-P850)/(AD850^2+Tableau!$G$30^2)^(3/2))*Tableau!$G$29</f>
        <v>1.5705960320182025E-4</v>
      </c>
      <c r="Y850" s="96">
        <f>((Tableau!$H$25-Q850)/(AD850^2+Tableau!$G$30^2)^(3/2))*Tableau!$G$29</f>
        <v>-7.7152219331821147E-5</v>
      </c>
      <c r="Z850" s="96">
        <f>((Tableau!$G$35-P850)/(AE850^2+Tableau!$G$40^2)^(3/2))*Tableau!$G$39</f>
        <v>4.5708953597493456E-4</v>
      </c>
      <c r="AA850" s="97">
        <f>((Tableau!$H$35-Q850)/(AE850^2+Tableau!$G$40^2)^(3/2))*Tableau!$G$39</f>
        <v>-2.2481572998689584E-4</v>
      </c>
      <c r="AC850" s="110">
        <f>SQRT((Tableau!$G$16-P850)^2+(Tableau!$H$16-Q850)^2)</f>
        <v>32073460.855075087</v>
      </c>
      <c r="AD850" s="111">
        <f>SQRT((Tableau!$G$25-P850)^2+(Tableau!$H$25-Q850)^2)</f>
        <v>32036452.739423171</v>
      </c>
      <c r="AE850" s="112">
        <f>SQRT((Tableau!$G$35-P850)^2+(Tableau!$H$35-Q850)^2)</f>
        <v>32060942.567832135</v>
      </c>
    </row>
    <row r="851" spans="2:31" x14ac:dyDescent="0.25">
      <c r="B851" s="18">
        <v>848</v>
      </c>
      <c r="C851" s="19">
        <f>Tableau!$G$17*COS(B851*PI()/180)+Tableau!$G$16</f>
        <v>16921.692623371713</v>
      </c>
      <c r="D851" s="19">
        <f>Tableau!$G$17*SIN(B851*PI()/180)+Tableau!$H$16</f>
        <v>11440.053768033613</v>
      </c>
      <c r="F851" s="26">
        <v>848</v>
      </c>
      <c r="G851" s="27">
        <f>Tableau!$G$26*COS(F851*PI()/180)+Tableau!$G$25</f>
        <v>-22154.8151636398</v>
      </c>
      <c r="H851" s="27">
        <f>Tableau!$G$26*SIN(F851*PI()/180)+Tableau!$H$25</f>
        <v>12758.037637623529</v>
      </c>
      <c r="J851" s="34">
        <v>848</v>
      </c>
      <c r="K851" s="35">
        <f>Tableau!$G$36*COS(J851*PI()/180)+Tableau!$G$35</f>
        <v>-8078.3073766282878</v>
      </c>
      <c r="L851" s="35">
        <f>Tableau!$G$36*SIN(J851*PI()/180)+Tableau!$H$35</f>
        <v>-11059.946231966387</v>
      </c>
      <c r="N851" s="98">
        <v>847</v>
      </c>
      <c r="O851" s="99">
        <v>423.5</v>
      </c>
      <c r="P851" s="101">
        <f>P850+R850*Tableau!$G$2+((1/2)*T850)*Tableau!$G$2^2</f>
        <v>-28808796.03285107</v>
      </c>
      <c r="Q851" s="101">
        <f>Q850+S850*Tableau!$G$2+((1/2)*U850)*Tableau!$G$2^2</f>
        <v>14151916.289155865</v>
      </c>
      <c r="R851" s="101">
        <f>R850+T850*Tableau!$G$2</f>
        <v>-68697.896970225003</v>
      </c>
      <c r="S851" s="101">
        <f>S850+U850*Tableau!$G$2</f>
        <v>33800.577816562531</v>
      </c>
      <c r="T851" s="101">
        <f t="shared" si="26"/>
        <v>1.0685468985129644E-3</v>
      </c>
      <c r="U851" s="101">
        <f t="shared" si="27"/>
        <v>-5.2491009871584969E-4</v>
      </c>
      <c r="V851" s="101">
        <f>((Tableau!$G$16-P851)/(AC851^2+Tableau!$G$21^2)^(3/2))*Tableau!$G$20</f>
        <v>4.5586213327045627E-4</v>
      </c>
      <c r="W851" s="101">
        <f>((Tableau!$H$16-Q851)/(AC851^2+Tableau!$G$21^2)^(3/2))*Tableau!$G$20</f>
        <v>-2.2366191692821478E-4</v>
      </c>
      <c r="X851" s="101">
        <f>((Tableau!$G$25-P851)/(AD851^2+Tableau!$G$30^2)^(3/2))*Tableau!$G$29</f>
        <v>1.5668486480386224E-4</v>
      </c>
      <c r="Y851" s="101">
        <f>((Tableau!$H$25-Q851)/(AD851^2+Tableau!$G$30^2)^(3/2))*Tableau!$G$29</f>
        <v>-7.6968284443206076E-5</v>
      </c>
      <c r="Z851" s="101">
        <f>((Tableau!$G$35-P851)/(AE851^2+Tableau!$G$40^2)^(3/2))*Tableau!$G$39</f>
        <v>4.559999004386458E-4</v>
      </c>
      <c r="AA851" s="102">
        <f>((Tableau!$H$35-Q851)/(AE851^2+Tableau!$G$40^2)^(3/2))*Tableau!$G$39</f>
        <v>-2.242798973444288E-4</v>
      </c>
      <c r="AC851" s="113">
        <f>SQRT((Tableau!$G$16-P851)^2+(Tableau!$H$16-Q851)^2)</f>
        <v>32111742.28945959</v>
      </c>
      <c r="AD851" s="114">
        <f>SQRT((Tableau!$G$25-P851)^2+(Tableau!$H$25-Q851)^2)</f>
        <v>32074734.189866539</v>
      </c>
      <c r="AE851" s="115">
        <f>SQRT((Tableau!$G$35-P851)^2+(Tableau!$H$35-Q851)^2)</f>
        <v>32099224.025605928</v>
      </c>
    </row>
    <row r="852" spans="2:31" x14ac:dyDescent="0.25">
      <c r="B852" s="20">
        <v>849</v>
      </c>
      <c r="C852" s="21">
        <f>Tableau!$G$17*COS(B852*PI()/180)+Tableau!$G$16</f>
        <v>16853.398044750815</v>
      </c>
      <c r="D852" s="21">
        <f>Tableau!$G$17*SIN(B852*PI()/180)+Tableau!$H$16</f>
        <v>11385.729807284855</v>
      </c>
      <c r="F852" s="28">
        <v>849</v>
      </c>
      <c r="G852" s="29">
        <f>Tableau!$G$26*COS(F852*PI()/180)+Tableau!$G$25</f>
        <v>-22202.62136867443</v>
      </c>
      <c r="H852" s="29">
        <f>Tableau!$G$26*SIN(F852*PI()/180)+Tableau!$H$25</f>
        <v>12720.010865099399</v>
      </c>
      <c r="J852" s="36">
        <v>849</v>
      </c>
      <c r="K852" s="37">
        <f>Tableau!$G$36*COS(J852*PI()/180)+Tableau!$G$35</f>
        <v>-8146.6019552491862</v>
      </c>
      <c r="L852" s="37">
        <f>Tableau!$G$36*SIN(J852*PI()/180)+Tableau!$H$35</f>
        <v>-11114.270192715145</v>
      </c>
      <c r="N852" s="92">
        <v>848</v>
      </c>
      <c r="O852" s="93">
        <v>424</v>
      </c>
      <c r="P852" s="96">
        <f>P851+R851*Tableau!$G$2+((1/2)*T851)*Tableau!$G$2^2</f>
        <v>-28843144.981202617</v>
      </c>
      <c r="Q852" s="96">
        <f>Q851+S851*Tableau!$G$2+((1/2)*U851)*Tableau!$G$2^2</f>
        <v>14168816.577998532</v>
      </c>
      <c r="R852" s="96">
        <f>R851+T851*Tableau!$G$2</f>
        <v>-68697.896435951552</v>
      </c>
      <c r="S852" s="96">
        <f>S851+U851*Tableau!$G$2</f>
        <v>33800.577554107484</v>
      </c>
      <c r="T852" s="96">
        <f t="shared" si="26"/>
        <v>1.0660025047740859E-3</v>
      </c>
      <c r="U852" s="96">
        <f t="shared" si="27"/>
        <v>-5.236611877347658E-4</v>
      </c>
      <c r="V852" s="96">
        <f>((Tableau!$G$16-P852)/(AC852^2+Tableau!$G$21^2)^(3/2))*Tableau!$G$20</f>
        <v>4.5477688222323441E-4</v>
      </c>
      <c r="W852" s="96">
        <f>((Tableau!$H$16-Q852)/(AC852^2+Tableau!$G$21^2)^(3/2))*Tableau!$G$20</f>
        <v>-2.2313020309161177E-4</v>
      </c>
      <c r="X852" s="96">
        <f>((Tableau!$G$25-P852)/(AD852^2+Tableau!$G$30^2)^(3/2))*Tableau!$G$29</f>
        <v>1.563114659781759E-4</v>
      </c>
      <c r="Y852" s="96">
        <f>((Tableau!$H$25-Q852)/(AD852^2+Tableau!$G$30^2)^(3/2))*Tableau!$G$29</f>
        <v>-7.6785006537850303E-5</v>
      </c>
      <c r="Z852" s="96">
        <f>((Tableau!$G$35-P852)/(AE852^2+Tableau!$G$40^2)^(3/2))*Tableau!$G$39</f>
        <v>4.5491415657267567E-4</v>
      </c>
      <c r="AA852" s="97">
        <f>((Tableau!$H$35-Q852)/(AE852^2+Tableau!$G$40^2)^(3/2))*Tableau!$G$39</f>
        <v>-2.2374597810530377E-4</v>
      </c>
      <c r="AC852" s="110">
        <f>SQRT((Tableau!$G$16-P852)^2+(Tableau!$H$16-Q852)^2)</f>
        <v>32150023.723602723</v>
      </c>
      <c r="AD852" s="111">
        <f>SQRT((Tableau!$G$25-P852)^2+(Tableau!$H$25-Q852)^2)</f>
        <v>32113015.640030317</v>
      </c>
      <c r="AE852" s="112">
        <f>SQRT((Tableau!$G$35-P852)^2+(Tableau!$H$35-Q852)^2)</f>
        <v>32137505.483082656</v>
      </c>
    </row>
    <row r="853" spans="2:31" x14ac:dyDescent="0.25">
      <c r="B853" s="18">
        <v>850</v>
      </c>
      <c r="C853" s="19">
        <f>Tableau!$G$17*COS(B853*PI()/180)+Tableau!$G$16</f>
        <v>16786.06195156731</v>
      </c>
      <c r="D853" s="19">
        <f>Tableau!$G$17*SIN(B853*PI()/180)+Tableau!$H$16</f>
        <v>11330.222215594895</v>
      </c>
      <c r="F853" s="26">
        <v>850</v>
      </c>
      <c r="G853" s="27">
        <f>Tableau!$G$26*COS(F853*PI()/180)+Tableau!$G$25</f>
        <v>-22249.756633902885</v>
      </c>
      <c r="H853" s="27">
        <f>Tableau!$G$26*SIN(F853*PI()/180)+Tableau!$H$25</f>
        <v>12681.155550916426</v>
      </c>
      <c r="J853" s="34">
        <v>850</v>
      </c>
      <c r="K853" s="35">
        <f>Tableau!$G$36*COS(J853*PI()/180)+Tableau!$G$35</f>
        <v>-8213.9380484326903</v>
      </c>
      <c r="L853" s="35">
        <f>Tableau!$G$36*SIN(J853*PI()/180)+Tableau!$H$35</f>
        <v>-11169.777784405105</v>
      </c>
      <c r="N853" s="98">
        <v>849</v>
      </c>
      <c r="O853" s="99">
        <v>424.5</v>
      </c>
      <c r="P853" s="101">
        <f>P852+R852*Tableau!$G$2+((1/2)*T852)*Tableau!$G$2^2</f>
        <v>-28877493.929287344</v>
      </c>
      <c r="Q853" s="101">
        <f>Q852+S852*Tableau!$G$2+((1/2)*U852)*Tableau!$G$2^2</f>
        <v>14185716.866710128</v>
      </c>
      <c r="R853" s="101">
        <f>R852+T852*Tableau!$G$2</f>
        <v>-68697.895902950302</v>
      </c>
      <c r="S853" s="101">
        <f>S852+U852*Tableau!$G$2</f>
        <v>33800.577292276888</v>
      </c>
      <c r="T853" s="101">
        <f t="shared" si="26"/>
        <v>1.0634671882026471E-3</v>
      </c>
      <c r="U853" s="101">
        <f t="shared" si="27"/>
        <v>-5.2241672873845233E-4</v>
      </c>
      <c r="V853" s="101">
        <f>((Tableau!$G$16-P853)/(AC853^2+Tableau!$G$21^2)^(3/2))*Tableau!$G$20</f>
        <v>4.5369550198829831E-4</v>
      </c>
      <c r="W853" s="101">
        <f>((Tableau!$H$16-Q853)/(AC853^2+Tableau!$G$21^2)^(3/2))*Tableau!$G$20</f>
        <v>-2.2260038307756629E-4</v>
      </c>
      <c r="X853" s="101">
        <f>((Tableau!$G$25-P853)/(AD853^2+Tableau!$G$30^2)^(3/2))*Tableau!$G$29</f>
        <v>1.5593940034761878E-4</v>
      </c>
      <c r="Y853" s="101">
        <f>((Tableau!$H$25-Q853)/(AD853^2+Tableau!$G$30^2)^(3/2))*Tableau!$G$29</f>
        <v>-7.6602382490633482E-5</v>
      </c>
      <c r="Z853" s="101">
        <f>((Tableau!$G$35-P853)/(AE853^2+Tableau!$G$40^2)^(3/2))*Tableau!$G$39</f>
        <v>4.5383228586672991E-4</v>
      </c>
      <c r="AA853" s="102">
        <f>((Tableau!$H$35-Q853)/(AE853^2+Tableau!$G$40^2)^(3/2))*Tableau!$G$39</f>
        <v>-2.232139631702525E-4</v>
      </c>
      <c r="AC853" s="113">
        <f>SQRT((Tableau!$G$16-P853)^2+(Tableau!$H$16-Q853)^2)</f>
        <v>32188305.157504991</v>
      </c>
      <c r="AD853" s="114">
        <f>SQRT((Tableau!$G$25-P853)^2+(Tableau!$H$25-Q853)^2)</f>
        <v>32151297.089915141</v>
      </c>
      <c r="AE853" s="115">
        <f>SQRT((Tableau!$G$35-P853)^2+(Tableau!$H$35-Q853)^2)</f>
        <v>32175786.940263014</v>
      </c>
    </row>
    <row r="854" spans="2:31" x14ac:dyDescent="0.25">
      <c r="B854" s="20">
        <v>851</v>
      </c>
      <c r="C854" s="21">
        <f>Tableau!$G$17*COS(B854*PI()/180)+Tableau!$G$16</f>
        <v>16719.704855047465</v>
      </c>
      <c r="D854" s="21">
        <f>Tableau!$G$17*SIN(B854*PI()/180)+Tableau!$H$16</f>
        <v>11273.547901113863</v>
      </c>
      <c r="F854" s="28">
        <v>851</v>
      </c>
      <c r="G854" s="29">
        <f>Tableau!$G$26*COS(F854*PI()/180)+Tableau!$G$25</f>
        <v>-22296.206601466773</v>
      </c>
      <c r="H854" s="29">
        <f>Tableau!$G$26*SIN(F854*PI()/180)+Tableau!$H$25</f>
        <v>12641.483530779704</v>
      </c>
      <c r="J854" s="36">
        <v>851</v>
      </c>
      <c r="K854" s="37">
        <f>Tableau!$G$36*COS(J854*PI()/180)+Tableau!$G$35</f>
        <v>-8280.2951449525335</v>
      </c>
      <c r="L854" s="37">
        <f>Tableau!$G$36*SIN(J854*PI()/180)+Tableau!$H$35</f>
        <v>-11226.452098886137</v>
      </c>
      <c r="N854" s="92">
        <v>850</v>
      </c>
      <c r="O854" s="93">
        <v>425</v>
      </c>
      <c r="P854" s="96">
        <f>P853+R853*Tableau!$G$2+((1/2)*T853)*Tableau!$G$2^2</f>
        <v>-28911842.877105884</v>
      </c>
      <c r="Q854" s="96">
        <f>Q853+S853*Tableau!$G$2+((1/2)*U853)*Tableau!$G$2^2</f>
        <v>14202617.155290965</v>
      </c>
      <c r="R854" s="96">
        <f>R853+T853*Tableau!$G$2</f>
        <v>-68697.895371216713</v>
      </c>
      <c r="S854" s="96">
        <f>S853+U853*Tableau!$G$2</f>
        <v>33800.577031068526</v>
      </c>
      <c r="T854" s="96">
        <f t="shared" si="26"/>
        <v>1.0609409056726222E-3</v>
      </c>
      <c r="U854" s="96">
        <f t="shared" si="27"/>
        <v>-5.2117670059205522E-4</v>
      </c>
      <c r="V854" s="96">
        <f>((Tableau!$G$16-P854)/(AC854^2+Tableau!$G$21^2)^(3/2))*Tableau!$G$20</f>
        <v>4.5261797417924399E-4</v>
      </c>
      <c r="W854" s="96">
        <f>((Tableau!$H$16-Q854)/(AC854^2+Tableau!$G$21^2)^(3/2))*Tableau!$G$20</f>
        <v>-2.2207244790303288E-4</v>
      </c>
      <c r="X854" s="96">
        <f>((Tableau!$G$25-P854)/(AD854^2+Tableau!$G$30^2)^(3/2))*Tableau!$G$29</f>
        <v>1.5556866157295218E-4</v>
      </c>
      <c r="Y854" s="96">
        <f>((Tableau!$H$25-Q854)/(AD854^2+Tableau!$G$30^2)^(3/2))*Tableau!$G$29</f>
        <v>-7.6420409194995084E-5</v>
      </c>
      <c r="Z854" s="96">
        <f>((Tableau!$G$35-P854)/(AE854^2+Tableau!$G$40^2)^(3/2))*Tableau!$G$39</f>
        <v>4.52754269920426E-4</v>
      </c>
      <c r="AA854" s="97">
        <f>((Tableau!$H$35-Q854)/(AE854^2+Tableau!$G$40^2)^(3/2))*Tableau!$G$39</f>
        <v>-2.2268384349402728E-4</v>
      </c>
      <c r="AC854" s="110">
        <f>SQRT((Tableau!$G$16-P854)^2+(Tableau!$H$16-Q854)^2)</f>
        <v>32226586.591166902</v>
      </c>
      <c r="AD854" s="111">
        <f>SQRT((Tableau!$G$25-P854)^2+(Tableau!$H$25-Q854)^2)</f>
        <v>32189578.539521661</v>
      </c>
      <c r="AE854" s="112">
        <f>SQRT((Tableau!$G$35-P854)^2+(Tableau!$H$35-Q854)^2)</f>
        <v>32214068.397147715</v>
      </c>
    </row>
    <row r="855" spans="2:31" x14ac:dyDescent="0.25">
      <c r="B855" s="18">
        <v>852</v>
      </c>
      <c r="C855" s="19">
        <f>Tableau!$G$17*COS(B855*PI()/180)+Tableau!$G$16</f>
        <v>16654.346968205708</v>
      </c>
      <c r="D855" s="19">
        <f>Tableau!$G$17*SIN(B855*PI()/180)+Tableau!$H$16</f>
        <v>11215.724127386971</v>
      </c>
      <c r="F855" s="26">
        <v>852</v>
      </c>
      <c r="G855" s="27">
        <f>Tableau!$G$26*COS(F855*PI()/180)+Tableau!$G$25</f>
        <v>-22341.957122256004</v>
      </c>
      <c r="H855" s="27">
        <f>Tableau!$G$26*SIN(F855*PI()/180)+Tableau!$H$25</f>
        <v>12601.00688917088</v>
      </c>
      <c r="J855" s="34">
        <v>852</v>
      </c>
      <c r="K855" s="35">
        <f>Tableau!$G$36*COS(J855*PI()/180)+Tableau!$G$35</f>
        <v>-8345.6530317942907</v>
      </c>
      <c r="L855" s="35">
        <f>Tableau!$G$36*SIN(J855*PI()/180)+Tableau!$H$35</f>
        <v>-11284.275872613029</v>
      </c>
      <c r="N855" s="98">
        <v>851</v>
      </c>
      <c r="O855" s="99">
        <v>425.5</v>
      </c>
      <c r="P855" s="101">
        <f>P854+R854*Tableau!$G$2+((1/2)*T854)*Tableau!$G$2^2</f>
        <v>-28946191.824658874</v>
      </c>
      <c r="Q855" s="101">
        <f>Q854+S854*Tableau!$G$2+((1/2)*U854)*Tableau!$G$2^2</f>
        <v>14219517.443741351</v>
      </c>
      <c r="R855" s="101">
        <f>R854+T854*Tableau!$G$2</f>
        <v>-68697.894840746259</v>
      </c>
      <c r="S855" s="101">
        <f>S854+U854*Tableau!$G$2</f>
        <v>33800.576770480176</v>
      </c>
      <c r="T855" s="101">
        <f t="shared" si="26"/>
        <v>1.0584236143137823E-3</v>
      </c>
      <c r="U855" s="101">
        <f t="shared" si="27"/>
        <v>-5.1994108228598044E-4</v>
      </c>
      <c r="V855" s="101">
        <f>((Tableau!$G$16-P855)/(AC855^2+Tableau!$G$21^2)^(3/2))*Tableau!$G$20</f>
        <v>4.5154428051869417E-4</v>
      </c>
      <c r="W855" s="101">
        <f>((Tableau!$H$16-Q855)/(AC855^2+Tableau!$G$21^2)^(3/2))*Tableau!$G$20</f>
        <v>-2.2154638863815834E-4</v>
      </c>
      <c r="X855" s="101">
        <f>((Tableau!$G$25-P855)/(AD855^2+Tableau!$G$30^2)^(3/2))*Tableau!$G$29</f>
        <v>1.5519924335256471E-4</v>
      </c>
      <c r="Y855" s="101">
        <f>((Tableau!$H$25-Q855)/(AD855^2+Tableau!$G$30^2)^(3/2))*Tableau!$G$29</f>
        <v>-7.6239083562799204E-5</v>
      </c>
      <c r="Z855" s="101">
        <f>((Tableau!$G$35-P855)/(AE855^2+Tableau!$G$40^2)^(3/2))*Tableau!$G$39</f>
        <v>4.5168009044252346E-4</v>
      </c>
      <c r="AA855" s="102">
        <f>((Tableau!$H$35-Q855)/(AE855^2+Tableau!$G$40^2)^(3/2))*Tableau!$G$39</f>
        <v>-2.2215561008502295E-4</v>
      </c>
      <c r="AC855" s="113">
        <f>SQRT((Tableau!$G$16-P855)^2+(Tableau!$H$16-Q855)^2)</f>
        <v>32264868.024588961</v>
      </c>
      <c r="AD855" s="114">
        <f>SQRT((Tableau!$G$25-P855)^2+(Tableau!$H$25-Q855)^2)</f>
        <v>32227859.988850512</v>
      </c>
      <c r="AE855" s="115">
        <f>SQRT((Tableau!$G$35-P855)^2+(Tableau!$H$35-Q855)^2)</f>
        <v>32252349.853737455</v>
      </c>
    </row>
    <row r="856" spans="2:31" x14ac:dyDescent="0.25">
      <c r="B856" s="20">
        <v>853</v>
      </c>
      <c r="C856" s="21">
        <f>Tableau!$G$17*COS(B856*PI()/180)+Tableau!$G$16</f>
        <v>16590.008199687512</v>
      </c>
      <c r="D856" s="21">
        <f>Tableau!$G$17*SIN(B856*PI()/180)+Tableau!$H$16</f>
        <v>11156.768508095856</v>
      </c>
      <c r="F856" s="28">
        <v>853</v>
      </c>
      <c r="G856" s="29">
        <f>Tableau!$G$26*COS(F856*PI()/180)+Tableau!$G$25</f>
        <v>-22386.994260218744</v>
      </c>
      <c r="H856" s="29">
        <f>Tableau!$G$26*SIN(F856*PI()/180)+Tableau!$H$25</f>
        <v>12559.7379556671</v>
      </c>
      <c r="J856" s="36">
        <v>853</v>
      </c>
      <c r="K856" s="37">
        <f>Tableau!$G$36*COS(J856*PI()/180)+Tableau!$G$35</f>
        <v>-8409.9918003124876</v>
      </c>
      <c r="L856" s="37">
        <f>Tableau!$G$36*SIN(J856*PI()/180)+Tableau!$H$35</f>
        <v>-11343.231491904144</v>
      </c>
      <c r="N856" s="92">
        <v>852</v>
      </c>
      <c r="O856" s="93">
        <v>426</v>
      </c>
      <c r="P856" s="96">
        <f>P855+R855*Tableau!$G$2+((1/2)*T855)*Tableau!$G$2^2</f>
        <v>-28980540.771946944</v>
      </c>
      <c r="Q856" s="96">
        <f>Q855+S855*Tableau!$G$2+((1/2)*U855)*Tableau!$G$2^2</f>
        <v>14236417.732061598</v>
      </c>
      <c r="R856" s="96">
        <f>R855+T855*Tableau!$G$2</f>
        <v>-68697.894311534459</v>
      </c>
      <c r="S856" s="96">
        <f>S855+U855*Tableau!$G$2</f>
        <v>33800.576510509636</v>
      </c>
      <c r="T856" s="96">
        <f t="shared" si="26"/>
        <v>1.0559152715099002E-3</v>
      </c>
      <c r="U856" s="96">
        <f t="shared" si="27"/>
        <v>-5.1870985293501538E-4</v>
      </c>
      <c r="V856" s="96">
        <f>((Tableau!$G$16-P856)/(AC856^2+Tableau!$G$21^2)^(3/2))*Tableau!$G$20</f>
        <v>4.5047440283752963E-4</v>
      </c>
      <c r="W856" s="96">
        <f>((Tableau!$H$16-Q856)/(AC856^2+Tableau!$G$21^2)^(3/2))*Tableau!$G$20</f>
        <v>-2.2102219640590746E-4</v>
      </c>
      <c r="X856" s="96">
        <f>((Tableau!$G$25-P856)/(AD856^2+Tableau!$G$30^2)^(3/2))*Tableau!$G$29</f>
        <v>1.5483113942222129E-4</v>
      </c>
      <c r="Y856" s="96">
        <f>((Tableau!$H$25-Q856)/(AD856^2+Tableau!$G$30^2)^(3/2))*Tableau!$G$29</f>
        <v>-7.6058402524211888E-5</v>
      </c>
      <c r="Z856" s="96">
        <f>((Tableau!$G$35-P856)/(AE856^2+Tableau!$G$40^2)^(3/2))*Tableau!$G$39</f>
        <v>4.5060972925014918E-4</v>
      </c>
      <c r="AA856" s="97">
        <f>((Tableau!$H$35-Q856)/(AE856^2+Tableau!$G$40^2)^(3/2))*Tableau!$G$39</f>
        <v>-2.2162925400489607E-4</v>
      </c>
      <c r="AC856" s="110">
        <f>SQRT((Tableau!$G$16-P856)^2+(Tableau!$H$16-Q856)^2)</f>
        <v>32303149.45777167</v>
      </c>
      <c r="AD856" s="111">
        <f>SQRT((Tableau!$G$25-P856)^2+(Tableau!$H$25-Q856)^2)</f>
        <v>32266141.437902331</v>
      </c>
      <c r="AE856" s="112">
        <f>SQRT((Tableau!$G$35-P856)^2+(Tableau!$H$35-Q856)^2)</f>
        <v>32290631.310032938</v>
      </c>
    </row>
    <row r="857" spans="2:31" x14ac:dyDescent="0.25">
      <c r="B857" s="18">
        <v>854</v>
      </c>
      <c r="C857" s="19">
        <f>Tableau!$G$17*COS(B857*PI()/180)+Tableau!$G$16</f>
        <v>16526.708147705009</v>
      </c>
      <c r="D857" s="19">
        <f>Tableau!$G$17*SIN(B857*PI()/180)+Tableau!$H$16</f>
        <v>11096.69900169325</v>
      </c>
      <c r="F857" s="26">
        <v>854</v>
      </c>
      <c r="G857" s="27">
        <f>Tableau!$G$26*COS(F857*PI()/180)+Tableau!$G$25</f>
        <v>-22431.304296606493</v>
      </c>
      <c r="H857" s="27">
        <f>Tableau!$G$26*SIN(F857*PI()/180)+Tableau!$H$25</f>
        <v>12517.689301185275</v>
      </c>
      <c r="J857" s="34">
        <v>854</v>
      </c>
      <c r="K857" s="35">
        <f>Tableau!$G$36*COS(J857*PI()/180)+Tableau!$G$35</f>
        <v>-8473.2918522949913</v>
      </c>
      <c r="L857" s="35">
        <f>Tableau!$G$36*SIN(J857*PI()/180)+Tableau!$H$35</f>
        <v>-11403.30099830675</v>
      </c>
      <c r="N857" s="98">
        <v>853</v>
      </c>
      <c r="O857" s="99">
        <v>426.5</v>
      </c>
      <c r="P857" s="101">
        <f>P856+R856*Tableau!$G$2+((1/2)*T856)*Tableau!$G$2^2</f>
        <v>-29014889.71897072</v>
      </c>
      <c r="Q857" s="101">
        <f>Q856+S856*Tableau!$G$2+((1/2)*U856)*Tableau!$G$2^2</f>
        <v>14253318.020252015</v>
      </c>
      <c r="R857" s="101">
        <f>R856+T856*Tableau!$G$2</f>
        <v>-68697.89378357683</v>
      </c>
      <c r="S857" s="101">
        <f>S856+U856*Tableau!$G$2</f>
        <v>33800.576251154707</v>
      </c>
      <c r="T857" s="101">
        <f t="shared" si="26"/>
        <v>1.0534158348969446E-3</v>
      </c>
      <c r="U857" s="101">
        <f t="shared" si="27"/>
        <v>-5.1748299177744564E-4</v>
      </c>
      <c r="V857" s="101">
        <f>((Tableau!$G$16-P857)/(AC857^2+Tableau!$G$21^2)^(3/2))*Tableau!$G$20</f>
        <v>4.494083230741462E-4</v>
      </c>
      <c r="W857" s="101">
        <f>((Tableau!$H$16-Q857)/(AC857^2+Tableau!$G$21^2)^(3/2))*Tableau!$G$20</f>
        <v>-2.2049986238170107E-4</v>
      </c>
      <c r="X857" s="101">
        <f>((Tableau!$G$25-P857)/(AD857^2+Tableau!$G$30^2)^(3/2))*Tableau!$G$29</f>
        <v>1.5446434355477782E-4</v>
      </c>
      <c r="Y857" s="101">
        <f>((Tableau!$H$25-Q857)/(AD857^2+Tableau!$G$30^2)^(3/2))*Tableau!$G$29</f>
        <v>-7.5878363027561294E-5</v>
      </c>
      <c r="Z857" s="101">
        <f>((Tableau!$G$35-P857)/(AE857^2+Tableau!$G$40^2)^(3/2))*Tableau!$G$39</f>
        <v>4.4954316826802056E-4</v>
      </c>
      <c r="AA857" s="102">
        <f>((Tableau!$H$35-Q857)/(AE857^2+Tableau!$G$40^2)^(3/2))*Tableau!$G$39</f>
        <v>-2.2110476636818326E-4</v>
      </c>
      <c r="AC857" s="113">
        <f>SQRT((Tableau!$G$16-P857)^2+(Tableau!$H$16-Q857)^2)</f>
        <v>32341430.890715532</v>
      </c>
      <c r="AD857" s="114">
        <f>SQRT((Tableau!$G$25-P857)^2+(Tableau!$H$25-Q857)^2)</f>
        <v>32304422.886677757</v>
      </c>
      <c r="AE857" s="115">
        <f>SQRT((Tableau!$G$35-P857)^2+(Tableau!$H$35-Q857)^2)</f>
        <v>32328912.766034856</v>
      </c>
    </row>
    <row r="858" spans="2:31" x14ac:dyDescent="0.25">
      <c r="B858" s="20">
        <v>855</v>
      </c>
      <c r="C858" s="21">
        <f>Tableau!$G$17*COS(B858*PI()/180)+Tableau!$G$16</f>
        <v>16464.466094067262</v>
      </c>
      <c r="D858" s="21">
        <f>Tableau!$G$17*SIN(B858*PI()/180)+Tableau!$H$16</f>
        <v>11035.533905932736</v>
      </c>
      <c r="F858" s="28">
        <v>855</v>
      </c>
      <c r="G858" s="29">
        <f>Tableau!$G$26*COS(F858*PI()/180)+Tableau!$G$25</f>
        <v>-22474.873734152916</v>
      </c>
      <c r="H858" s="29">
        <f>Tableau!$G$26*SIN(F858*PI()/180)+Tableau!$H$25</f>
        <v>12474.873734152916</v>
      </c>
      <c r="J858" s="36">
        <v>855</v>
      </c>
      <c r="K858" s="37">
        <f>Tableau!$G$36*COS(J858*PI()/180)+Tableau!$G$35</f>
        <v>-8535.533905932738</v>
      </c>
      <c r="L858" s="37">
        <f>Tableau!$G$36*SIN(J858*PI()/180)+Tableau!$H$35</f>
        <v>-11464.466094067264</v>
      </c>
      <c r="N858" s="92">
        <v>854</v>
      </c>
      <c r="O858" s="93">
        <v>427</v>
      </c>
      <c r="P858" s="96">
        <f>P857+R857*Tableau!$G$2+((1/2)*T857)*Tableau!$G$2^2</f>
        <v>-29049238.66573083</v>
      </c>
      <c r="Q858" s="96">
        <f>Q857+S857*Tableau!$G$2+((1/2)*U857)*Tableau!$G$2^2</f>
        <v>14270218.308312906</v>
      </c>
      <c r="R858" s="96">
        <f>R857+T857*Tableau!$G$2</f>
        <v>-68697.89325686892</v>
      </c>
      <c r="S858" s="96">
        <f>S857+U857*Tableau!$G$2</f>
        <v>33800.575992413214</v>
      </c>
      <c r="T858" s="96">
        <f t="shared" si="26"/>
        <v>1.0509252623612845E-3</v>
      </c>
      <c r="U858" s="96">
        <f t="shared" si="27"/>
        <v>-5.1626047817417533E-4</v>
      </c>
      <c r="V858" s="96">
        <f>((Tableau!$G$16-P858)/(AC858^2+Tableau!$G$21^2)^(3/2))*Tableau!$G$20</f>
        <v>4.4834602327366573E-4</v>
      </c>
      <c r="W858" s="96">
        <f>((Tableau!$H$16-Q858)/(AC858^2+Tableau!$G$21^2)^(3/2))*Tableau!$G$20</f>
        <v>-2.1997937779303137E-4</v>
      </c>
      <c r="X858" s="96">
        <f>((Tableau!$G$25-P858)/(AD858^2+Tableau!$G$30^2)^(3/2))*Tableau!$G$29</f>
        <v>1.5409884955992976E-4</v>
      </c>
      <c r="Y858" s="96">
        <f>((Tableau!$H$25-Q858)/(AD858^2+Tableau!$G$30^2)^(3/2))*Tableau!$G$29</f>
        <v>-7.5698962039214858E-5</v>
      </c>
      <c r="Z858" s="96">
        <f>((Tableau!$G$35-P858)/(AE858^2+Tableau!$G$40^2)^(3/2))*Tableau!$G$39</f>
        <v>4.4848038952768887E-4</v>
      </c>
      <c r="AA858" s="97">
        <f>((Tableau!$H$35-Q858)/(AE858^2+Tableau!$G$40^2)^(3/2))*Tableau!$G$39</f>
        <v>-2.2058213834192912E-4</v>
      </c>
      <c r="AC858" s="110">
        <f>SQRT((Tableau!$G$16-P858)^2+(Tableau!$H$16-Q858)^2)</f>
        <v>32379712.323421042</v>
      </c>
      <c r="AD858" s="111">
        <f>SQRT((Tableau!$G$25-P858)^2+(Tableau!$H$25-Q858)^2)</f>
        <v>32342704.335177425</v>
      </c>
      <c r="AE858" s="112">
        <f>SQRT((Tableau!$G$35-P858)^2+(Tableau!$H$35-Q858)^2)</f>
        <v>32367194.221743904</v>
      </c>
    </row>
    <row r="859" spans="2:31" x14ac:dyDescent="0.25">
      <c r="B859" s="18">
        <v>856</v>
      </c>
      <c r="C859" s="19">
        <f>Tableau!$G$17*COS(B859*PI()/180)+Tableau!$G$16</f>
        <v>16403.300998306746</v>
      </c>
      <c r="D859" s="19">
        <f>Tableau!$G$17*SIN(B859*PI()/180)+Tableau!$H$16</f>
        <v>10973.291852294989</v>
      </c>
      <c r="F859" s="26">
        <v>856</v>
      </c>
      <c r="G859" s="27">
        <f>Tableau!$G$26*COS(F859*PI()/180)+Tableau!$G$25</f>
        <v>-22517.689301185277</v>
      </c>
      <c r="H859" s="27">
        <f>Tableau!$G$26*SIN(F859*PI()/180)+Tableau!$H$25</f>
        <v>12431.304296606493</v>
      </c>
      <c r="J859" s="34">
        <v>856</v>
      </c>
      <c r="K859" s="35">
        <f>Tableau!$G$36*COS(J859*PI()/180)+Tableau!$G$35</f>
        <v>-8596.6990016932541</v>
      </c>
      <c r="L859" s="35">
        <f>Tableau!$G$36*SIN(J859*PI()/180)+Tableau!$H$35</f>
        <v>-11526.708147705011</v>
      </c>
      <c r="N859" s="98">
        <v>855</v>
      </c>
      <c r="O859" s="99">
        <v>427.5</v>
      </c>
      <c r="P859" s="101">
        <f>P858+R858*Tableau!$G$2+((1/2)*T858)*Tableau!$G$2^2</f>
        <v>-29083587.612227898</v>
      </c>
      <c r="Q859" s="101">
        <f>Q858+S858*Tableau!$G$2+((1/2)*U858)*Tableau!$G$2^2</f>
        <v>14287118.596244579</v>
      </c>
      <c r="R859" s="101">
        <f>R858+T858*Tableau!$G$2</f>
        <v>-68697.892731406289</v>
      </c>
      <c r="S859" s="101">
        <f>S858+U858*Tableau!$G$2</f>
        <v>33800.575734282975</v>
      </c>
      <c r="T859" s="101">
        <f t="shared" si="26"/>
        <v>1.0484435120379086E-3</v>
      </c>
      <c r="U859" s="101">
        <f t="shared" si="27"/>
        <v>-5.150422916078575E-4</v>
      </c>
      <c r="V859" s="101">
        <f>((Tableau!$G$16-P859)/(AC859^2+Tableau!$G$21^2)^(3/2))*Tableau!$G$20</f>
        <v>4.4728748558717929E-4</v>
      </c>
      <c r="W859" s="101">
        <f>((Tableau!$H$16-Q859)/(AC859^2+Tableau!$G$21^2)^(3/2))*Tableau!$G$20</f>
        <v>-2.1946073391909324E-4</v>
      </c>
      <c r="X859" s="101">
        <f>((Tableau!$G$25-P859)/(AD859^2+Tableau!$G$30^2)^(3/2))*Tableau!$G$29</f>
        <v>1.5373465128395183E-4</v>
      </c>
      <c r="Y859" s="101">
        <f>((Tableau!$H$25-Q859)/(AD859^2+Tableau!$G$30^2)^(3/2))*Tableau!$G$29</f>
        <v>-7.5520196543451878E-5</v>
      </c>
      <c r="Z859" s="101">
        <f>((Tableau!$G$35-P859)/(AE859^2+Tableau!$G$40^2)^(3/2))*Tableau!$G$39</f>
        <v>4.4742137516677751E-4</v>
      </c>
      <c r="AA859" s="102">
        <f>((Tableau!$H$35-Q859)/(AE859^2+Tableau!$G$40^2)^(3/2))*Tableau!$G$39</f>
        <v>-2.2006136114531241E-4</v>
      </c>
      <c r="AC859" s="113">
        <f>SQRT((Tableau!$G$16-P859)^2+(Tableau!$H$16-Q859)^2)</f>
        <v>32417993.755888704</v>
      </c>
      <c r="AD859" s="114">
        <f>SQRT((Tableau!$G$25-P859)^2+(Tableau!$H$25-Q859)^2)</f>
        <v>32380985.783401955</v>
      </c>
      <c r="AE859" s="115">
        <f>SQRT((Tableau!$G$35-P859)^2+(Tableau!$H$35-Q859)^2)</f>
        <v>32405475.677160777</v>
      </c>
    </row>
    <row r="860" spans="2:31" x14ac:dyDescent="0.25">
      <c r="B860" s="20">
        <v>857</v>
      </c>
      <c r="C860" s="21">
        <f>Tableau!$G$17*COS(B860*PI()/180)+Tableau!$G$16</f>
        <v>16343.231491904153</v>
      </c>
      <c r="D860" s="21">
        <f>Tableau!$G$17*SIN(B860*PI()/180)+Tableau!$H$16</f>
        <v>10909.991800312499</v>
      </c>
      <c r="F860" s="28">
        <v>857</v>
      </c>
      <c r="G860" s="29">
        <f>Tableau!$G$26*COS(F860*PI()/180)+Tableau!$G$25</f>
        <v>-22559.737955667093</v>
      </c>
      <c r="H860" s="29">
        <f>Tableau!$G$26*SIN(F860*PI()/180)+Tableau!$H$25</f>
        <v>12386.994260218749</v>
      </c>
      <c r="J860" s="36">
        <v>857</v>
      </c>
      <c r="K860" s="37">
        <f>Tableau!$G$36*COS(J860*PI()/180)+Tableau!$G$35</f>
        <v>-8656.7685080958472</v>
      </c>
      <c r="L860" s="37">
        <f>Tableau!$G$36*SIN(J860*PI()/180)+Tableau!$H$35</f>
        <v>-11590.008199687501</v>
      </c>
      <c r="N860" s="92">
        <v>856</v>
      </c>
      <c r="O860" s="93">
        <v>428</v>
      </c>
      <c r="P860" s="96">
        <f>P859+R859*Tableau!$G$2+((1/2)*T859)*Tableau!$G$2^2</f>
        <v>-29117936.558462545</v>
      </c>
      <c r="Q860" s="96">
        <f>Q859+S859*Tableau!$G$2+((1/2)*U859)*Tableau!$G$2^2</f>
        <v>14304018.884047341</v>
      </c>
      <c r="R860" s="96">
        <f>R859+T859*Tableau!$G$2</f>
        <v>-68697.89220718453</v>
      </c>
      <c r="S860" s="96">
        <f>S859+U859*Tableau!$G$2</f>
        <v>33800.575476761827</v>
      </c>
      <c r="T860" s="96">
        <f t="shared" si="26"/>
        <v>1.0459705423086863E-3</v>
      </c>
      <c r="U860" s="96">
        <f t="shared" si="27"/>
        <v>-5.1382841168204178E-4</v>
      </c>
      <c r="V860" s="96">
        <f>((Tableau!$G$16-P860)/(AC860^2+Tableau!$G$21^2)^(3/2))*Tableau!$G$20</f>
        <v>4.4623269227102091E-4</v>
      </c>
      <c r="W860" s="96">
        <f>((Tableau!$H$16-Q860)/(AC860^2+Tableau!$G$21^2)^(3/2))*Tableau!$G$20</f>
        <v>-2.1894392209043071E-4</v>
      </c>
      <c r="X860" s="96">
        <f>((Tableau!$G$25-P860)/(AD860^2+Tableau!$G$30^2)^(3/2))*Tableau!$G$29</f>
        <v>1.5337174260942867E-4</v>
      </c>
      <c r="Y860" s="96">
        <f>((Tableau!$H$25-Q860)/(AD860^2+Tableau!$G$30^2)^(3/2))*Tableau!$G$29</f>
        <v>-7.53420635423317E-5</v>
      </c>
      <c r="Z860" s="96">
        <f>((Tableau!$G$35-P860)/(AE860^2+Tableau!$G$40^2)^(3/2))*Tableau!$G$39</f>
        <v>4.4636610742823673E-4</v>
      </c>
      <c r="AA860" s="97">
        <f>((Tableau!$H$35-Q860)/(AE860^2+Tableau!$G$40^2)^(3/2))*Tableau!$G$39</f>
        <v>-2.1954242604927939E-4</v>
      </c>
      <c r="AC860" s="110">
        <f>SQRT((Tableau!$G$16-P860)^2+(Tableau!$H$16-Q860)^2)</f>
        <v>32456275.18811902</v>
      </c>
      <c r="AD860" s="111">
        <f>SQRT((Tableau!$G$25-P860)^2+(Tableau!$H$25-Q860)^2)</f>
        <v>32419267.231351994</v>
      </c>
      <c r="AE860" s="112">
        <f>SQRT((Tableau!$G$35-P860)^2+(Tableau!$H$35-Q860)^2)</f>
        <v>32443757.132286165</v>
      </c>
    </row>
    <row r="861" spans="2:31" x14ac:dyDescent="0.25">
      <c r="B861" s="18">
        <v>858</v>
      </c>
      <c r="C861" s="19">
        <f>Tableau!$G$17*COS(B861*PI()/180)+Tableau!$G$16</f>
        <v>16284.275872613027</v>
      </c>
      <c r="D861" s="19">
        <f>Tableau!$G$17*SIN(B861*PI()/180)+Tableau!$H$16</f>
        <v>10845.653031794289</v>
      </c>
      <c r="F861" s="26">
        <v>858</v>
      </c>
      <c r="G861" s="27">
        <f>Tableau!$G$26*COS(F861*PI()/180)+Tableau!$G$25</f>
        <v>-22601.00688917088</v>
      </c>
      <c r="H861" s="27">
        <f>Tableau!$G$26*SIN(F861*PI()/180)+Tableau!$H$25</f>
        <v>12341.957122256003</v>
      </c>
      <c r="J861" s="34">
        <v>858</v>
      </c>
      <c r="K861" s="35">
        <f>Tableau!$G$36*COS(J861*PI()/180)+Tableau!$G$35</f>
        <v>-8715.7241273869731</v>
      </c>
      <c r="L861" s="35">
        <f>Tableau!$G$36*SIN(J861*PI()/180)+Tableau!$H$35</f>
        <v>-11654.346968205711</v>
      </c>
      <c r="N861" s="98">
        <v>857</v>
      </c>
      <c r="O861" s="99">
        <v>428.5</v>
      </c>
      <c r="P861" s="101">
        <f>P860+R860*Tableau!$G$2+((1/2)*T860)*Tableau!$G$2^2</f>
        <v>-29152285.50443539</v>
      </c>
      <c r="Q861" s="101">
        <f>Q860+S860*Tableau!$G$2+((1/2)*U860)*Tableau!$G$2^2</f>
        <v>14320919.171721494</v>
      </c>
      <c r="R861" s="101">
        <f>R860+T860*Tableau!$G$2</f>
        <v>-68697.891684199261</v>
      </c>
      <c r="S861" s="101">
        <f>S860+U860*Tableau!$G$2</f>
        <v>33800.575219847618</v>
      </c>
      <c r="T861" s="101">
        <f t="shared" si="26"/>
        <v>1.0435063118006064E-3</v>
      </c>
      <c r="U861" s="101">
        <f t="shared" si="27"/>
        <v>-5.1261881812031331E-4</v>
      </c>
      <c r="V861" s="101">
        <f>((Tableau!$G$16-P861)/(AC861^2+Tableau!$G$21^2)^(3/2))*Tableau!$G$20</f>
        <v>4.4518162568600285E-4</v>
      </c>
      <c r="W861" s="101">
        <f>((Tableau!$H$16-Q861)/(AC861^2+Tableau!$G$21^2)^(3/2))*Tableau!$G$20</f>
        <v>-2.1842893368856402E-4</v>
      </c>
      <c r="X861" s="101">
        <f>((Tableau!$G$25-P861)/(AD861^2+Tableau!$G$30^2)^(3/2))*Tableau!$G$29</f>
        <v>1.5301011745501262E-4</v>
      </c>
      <c r="Y861" s="101">
        <f>((Tableau!$H$25-Q861)/(AD861^2+Tableau!$G$30^2)^(3/2))*Tableau!$G$29</f>
        <v>-7.516456005557524E-5</v>
      </c>
      <c r="Z861" s="101">
        <f>((Tableau!$G$35-P861)/(AE861^2+Tableau!$G$40^2)^(3/2))*Tableau!$G$39</f>
        <v>4.4531456865959097E-4</v>
      </c>
      <c r="AA861" s="102">
        <f>((Tableau!$H$35-Q861)/(AE861^2+Tableau!$G$40^2)^(3/2))*Tableau!$G$39</f>
        <v>-2.1902532437617406E-4</v>
      </c>
      <c r="AC861" s="113">
        <f>SQRT((Tableau!$G$16-P861)^2+(Tableau!$H$16-Q861)^2)</f>
        <v>32494556.620112479</v>
      </c>
      <c r="AD861" s="114">
        <f>SQRT((Tableau!$G$25-P861)^2+(Tableau!$H$25-Q861)^2)</f>
        <v>32457548.679028153</v>
      </c>
      <c r="AE861" s="115">
        <f>SQRT((Tableau!$G$35-P861)^2+(Tableau!$H$35-Q861)^2)</f>
        <v>32482038.587120749</v>
      </c>
    </row>
    <row r="862" spans="2:31" x14ac:dyDescent="0.25">
      <c r="B862" s="20">
        <v>859</v>
      </c>
      <c r="C862" s="21">
        <f>Tableau!$G$17*COS(B862*PI()/180)+Tableau!$G$16</f>
        <v>16226.452098886142</v>
      </c>
      <c r="D862" s="21">
        <f>Tableau!$G$17*SIN(B862*PI()/180)+Tableau!$H$16</f>
        <v>10780.295144952539</v>
      </c>
      <c r="F862" s="28">
        <v>859</v>
      </c>
      <c r="G862" s="29">
        <f>Tableau!$G$26*COS(F862*PI()/180)+Tableau!$G$25</f>
        <v>-22641.4835307797</v>
      </c>
      <c r="H862" s="29">
        <f>Tableau!$G$26*SIN(F862*PI()/180)+Tableau!$H$25</f>
        <v>12296.206601466776</v>
      </c>
      <c r="J862" s="36">
        <v>859</v>
      </c>
      <c r="K862" s="37">
        <f>Tableau!$G$36*COS(J862*PI()/180)+Tableau!$G$35</f>
        <v>-8773.5479011138577</v>
      </c>
      <c r="L862" s="37">
        <f>Tableau!$G$36*SIN(J862*PI()/180)+Tableau!$H$35</f>
        <v>-11719.704855047461</v>
      </c>
      <c r="N862" s="92">
        <v>858</v>
      </c>
      <c r="O862" s="93">
        <v>429</v>
      </c>
      <c r="P862" s="96">
        <f>P861+R861*Tableau!$G$2+((1/2)*T861)*Tableau!$G$2^2</f>
        <v>-29186634.450147051</v>
      </c>
      <c r="Q862" s="96">
        <f>Q861+S861*Tableau!$G$2+((1/2)*U861)*Tableau!$G$2^2</f>
        <v>14337819.459267341</v>
      </c>
      <c r="R862" s="96">
        <f>R861+T861*Tableau!$G$2</f>
        <v>-68697.891162446103</v>
      </c>
      <c r="S862" s="96">
        <f>S861+U861*Tableau!$G$2</f>
        <v>33800.574963538209</v>
      </c>
      <c r="T862" s="96">
        <f t="shared" si="26"/>
        <v>1.041050779384049E-3</v>
      </c>
      <c r="U862" s="96">
        <f t="shared" si="27"/>
        <v>-5.1141349076544679E-4</v>
      </c>
      <c r="V862" s="96">
        <f>((Tableau!$G$16-P862)/(AC862^2+Tableau!$G$21^2)^(3/2))*Tableau!$G$20</f>
        <v>4.4413426829667584E-4</v>
      </c>
      <c r="W862" s="96">
        <f>((Tableau!$H$16-Q862)/(AC862^2+Tableau!$G$21^2)^(3/2))*Tableau!$G$20</f>
        <v>-2.179157601456292E-4</v>
      </c>
      <c r="X862" s="96">
        <f>((Tableau!$G$25-P862)/(AD862^2+Tableau!$G$30^2)^(3/2))*Tableau!$G$29</f>
        <v>1.5264976977515311E-4</v>
      </c>
      <c r="Y862" s="96">
        <f>((Tableau!$H$25-Q862)/(AD862^2+Tableau!$G$30^2)^(3/2))*Tableau!$G$29</f>
        <v>-7.4987683120432541E-5</v>
      </c>
      <c r="Z862" s="96">
        <f>((Tableau!$G$35-P862)/(AE862^2+Tableau!$G$40^2)^(3/2))*Tableau!$G$39</f>
        <v>4.4426674131222012E-4</v>
      </c>
      <c r="AA862" s="97">
        <f>((Tableau!$H$35-Q862)/(AE862^2+Tableau!$G$40^2)^(3/2))*Tableau!$G$39</f>
        <v>-2.1851004749938503E-4</v>
      </c>
      <c r="AC862" s="110">
        <f>SQRT((Tableau!$G$16-P862)^2+(Tableau!$H$16-Q862)^2)</f>
        <v>32532838.051869571</v>
      </c>
      <c r="AD862" s="111">
        <f>SQRT((Tableau!$G$25-P862)^2+(Tableau!$H$25-Q862)^2)</f>
        <v>32495830.126431063</v>
      </c>
      <c r="AE862" s="112">
        <f>SQRT((Tableau!$G$35-P862)^2+(Tableau!$H$35-Q862)^2)</f>
        <v>32520320.041665219</v>
      </c>
    </row>
    <row r="863" spans="2:31" x14ac:dyDescent="0.25">
      <c r="B863" s="18">
        <v>860</v>
      </c>
      <c r="C863" s="19">
        <f>Tableau!$G$17*COS(B863*PI()/180)+Tableau!$G$16</f>
        <v>16169.777784405114</v>
      </c>
      <c r="D863" s="19">
        <f>Tableau!$G$17*SIN(B863*PI()/180)+Tableau!$H$16</f>
        <v>10713.938048432703</v>
      </c>
      <c r="F863" s="26">
        <v>860</v>
      </c>
      <c r="G863" s="27">
        <f>Tableau!$G$26*COS(F863*PI()/180)+Tableau!$G$25</f>
        <v>-22681.155550916421</v>
      </c>
      <c r="H863" s="27">
        <f>Tableau!$G$26*SIN(F863*PI()/180)+Tableau!$H$25</f>
        <v>12249.756633902893</v>
      </c>
      <c r="J863" s="34">
        <v>860</v>
      </c>
      <c r="K863" s="35">
        <f>Tableau!$G$36*COS(J863*PI()/180)+Tableau!$G$35</f>
        <v>-8830.2222155948857</v>
      </c>
      <c r="L863" s="35">
        <f>Tableau!$G$36*SIN(J863*PI()/180)+Tableau!$H$35</f>
        <v>-11786.061951567297</v>
      </c>
      <c r="N863" s="98">
        <v>859</v>
      </c>
      <c r="O863" s="99">
        <v>429.5</v>
      </c>
      <c r="P863" s="101">
        <f>P862+R862*Tableau!$G$2+((1/2)*T862)*Tableau!$G$2^2</f>
        <v>-29220983.395598143</v>
      </c>
      <c r="Q863" s="101">
        <f>Q862+S862*Tableau!$G$2+((1/2)*U862)*Tableau!$G$2^2</f>
        <v>14354719.746685185</v>
      </c>
      <c r="R863" s="101">
        <f>R862+T862*Tableau!$G$2</f>
        <v>-68697.89064192072</v>
      </c>
      <c r="S863" s="101">
        <f>S862+U862*Tableau!$G$2</f>
        <v>33800.574707831467</v>
      </c>
      <c r="T863" s="101">
        <f t="shared" si="26"/>
        <v>1.038603904171073E-3</v>
      </c>
      <c r="U863" s="101">
        <f t="shared" si="27"/>
        <v>-5.1021240957856867E-4</v>
      </c>
      <c r="V863" s="101">
        <f>((Tableau!$G$16-P863)/(AC863^2+Tableau!$G$21^2)^(3/2))*Tableau!$G$20</f>
        <v>4.4309060267062601E-4</v>
      </c>
      <c r="W863" s="101">
        <f>((Tableau!$H$16-Q863)/(AC863^2+Tableau!$G$21^2)^(3/2))*Tableau!$G$20</f>
        <v>-2.174043929440358E-4</v>
      </c>
      <c r="X863" s="101">
        <f>((Tableau!$G$25-P863)/(AD863^2+Tableau!$G$30^2)^(3/2))*Tableau!$G$29</f>
        <v>1.5229069355985705E-4</v>
      </c>
      <c r="Y863" s="101">
        <f>((Tableau!$H$25-Q863)/(AD863^2+Tableau!$G$30^2)^(3/2))*Tableau!$G$29</f>
        <v>-7.4811429791565617E-5</v>
      </c>
      <c r="Z863" s="101">
        <f>((Tableau!$G$35-P863)/(AE863^2+Tableau!$G$40^2)^(3/2))*Tableau!$G$39</f>
        <v>4.4322260794058991E-4</v>
      </c>
      <c r="AA863" s="102">
        <f>((Tableau!$H$35-Q863)/(AE863^2+Tableau!$G$40^2)^(3/2))*Tableau!$G$39</f>
        <v>-2.1799658684296726E-4</v>
      </c>
      <c r="AC863" s="113">
        <f>SQRT((Tableau!$G$16-P863)^2+(Tableau!$H$16-Q863)^2)</f>
        <v>32571119.483390797</v>
      </c>
      <c r="AD863" s="114">
        <f>SQRT((Tableau!$G$25-P863)^2+(Tableau!$H$25-Q863)^2)</f>
        <v>32534111.573561348</v>
      </c>
      <c r="AE863" s="115">
        <f>SQRT((Tableau!$G$35-P863)^2+(Tableau!$H$35-Q863)^2)</f>
        <v>32558601.495920252</v>
      </c>
    </row>
    <row r="864" spans="2:31" x14ac:dyDescent="0.25">
      <c r="B864" s="20">
        <v>861</v>
      </c>
      <c r="C864" s="21">
        <f>Tableau!$G$17*COS(B864*PI()/180)+Tableau!$G$16</f>
        <v>16114.270192715148</v>
      </c>
      <c r="D864" s="21">
        <f>Tableau!$G$17*SIN(B864*PI()/180)+Tableau!$H$16</f>
        <v>10646.601955249191</v>
      </c>
      <c r="F864" s="28">
        <v>861</v>
      </c>
      <c r="G864" s="29">
        <f>Tableau!$G$26*COS(F864*PI()/180)+Tableau!$G$25</f>
        <v>-22720.010865099397</v>
      </c>
      <c r="H864" s="29">
        <f>Tableau!$G$26*SIN(F864*PI()/180)+Tableau!$H$25</f>
        <v>12202.621368674434</v>
      </c>
      <c r="J864" s="36">
        <v>861</v>
      </c>
      <c r="K864" s="37">
        <f>Tableau!$G$36*COS(J864*PI()/180)+Tableau!$G$35</f>
        <v>-8885.7298072848516</v>
      </c>
      <c r="L864" s="37">
        <f>Tableau!$G$36*SIN(J864*PI()/180)+Tableau!$H$35</f>
        <v>-11853.398044750809</v>
      </c>
      <c r="N864" s="92">
        <v>860</v>
      </c>
      <c r="O864" s="93">
        <v>430</v>
      </c>
      <c r="P864" s="96">
        <f>P863+R863*Tableau!$G$2+((1/2)*T863)*Tableau!$G$2^2</f>
        <v>-29255332.340789277</v>
      </c>
      <c r="Q864" s="96">
        <f>Q863+S863*Tableau!$G$2+((1/2)*U863)*Tableau!$G$2^2</f>
        <v>14371620.033975324</v>
      </c>
      <c r="R864" s="96">
        <f>R863+T863*Tableau!$G$2</f>
        <v>-68697.890122618774</v>
      </c>
      <c r="S864" s="96">
        <f>S863+U863*Tableau!$G$2</f>
        <v>33800.574452725261</v>
      </c>
      <c r="T864" s="96">
        <f t="shared" si="26"/>
        <v>1.0361656455137233E-3</v>
      </c>
      <c r="U864" s="96">
        <f t="shared" si="27"/>
        <v>-5.09015554638329E-4</v>
      </c>
      <c r="V864" s="96">
        <f>((Tableau!$G$16-P864)/(AC864^2+Tableau!$G$21^2)^(3/2))*Tableau!$G$20</f>
        <v>4.4205061147771496E-4</v>
      </c>
      <c r="W864" s="96">
        <f>((Tableau!$H$16-Q864)/(AC864^2+Tableau!$G$21^2)^(3/2))*Tableau!$G$20</f>
        <v>-2.1689482361609625E-4</v>
      </c>
      <c r="X864" s="96">
        <f>((Tableau!$G$25-P864)/(AD864^2+Tableau!$G$30^2)^(3/2))*Tableau!$G$29</f>
        <v>1.5193288283443196E-4</v>
      </c>
      <c r="Y864" s="96">
        <f>((Tableau!$H$25-Q864)/(AD864^2+Tableau!$G$30^2)^(3/2))*Tableau!$G$29</f>
        <v>-7.463579714092264E-5</v>
      </c>
      <c r="Z864" s="96">
        <f>((Tableau!$G$35-P864)/(AE864^2+Tableau!$G$40^2)^(3/2))*Tableau!$G$39</f>
        <v>4.4218215120157633E-4</v>
      </c>
      <c r="AA864" s="97">
        <f>((Tableau!$H$35-Q864)/(AE864^2+Tableau!$G$40^2)^(3/2))*Tableau!$G$39</f>
        <v>-2.1748493388131011E-4</v>
      </c>
      <c r="AC864" s="110">
        <f>SQRT((Tableau!$G$16-P864)^2+(Tableau!$H$16-Q864)^2)</f>
        <v>32609400.914676644</v>
      </c>
      <c r="AD864" s="111">
        <f>SQRT((Tableau!$G$25-P864)^2+(Tableau!$H$25-Q864)^2)</f>
        <v>32572393.02041962</v>
      </c>
      <c r="AE864" s="112">
        <f>SQRT((Tableau!$G$35-P864)^2+(Tableau!$H$35-Q864)^2)</f>
        <v>32596882.949886531</v>
      </c>
    </row>
    <row r="865" spans="2:31" x14ac:dyDescent="0.25">
      <c r="B865" s="18">
        <v>862</v>
      </c>
      <c r="C865" s="19">
        <f>Tableau!$G$17*COS(B865*PI()/180)+Tableau!$G$16</f>
        <v>16059.946231966391</v>
      </c>
      <c r="D865" s="19">
        <f>Tableau!$G$17*SIN(B865*PI()/180)+Tableau!$H$16</f>
        <v>10578.307376628292</v>
      </c>
      <c r="F865" s="26">
        <v>862</v>
      </c>
      <c r="G865" s="27">
        <f>Tableau!$G$26*COS(F865*PI()/180)+Tableau!$G$25</f>
        <v>-22758.037637623525</v>
      </c>
      <c r="H865" s="27">
        <f>Tableau!$G$26*SIN(F865*PI()/180)+Tableau!$H$25</f>
        <v>12154.815163639803</v>
      </c>
      <c r="J865" s="34">
        <v>862</v>
      </c>
      <c r="K865" s="35">
        <f>Tableau!$G$36*COS(J865*PI()/180)+Tableau!$G$35</f>
        <v>-8940.0537680336092</v>
      </c>
      <c r="L865" s="35">
        <f>Tableau!$G$36*SIN(J865*PI()/180)+Tableau!$H$35</f>
        <v>-11921.692623371708</v>
      </c>
      <c r="N865" s="98">
        <v>861</v>
      </c>
      <c r="O865" s="99">
        <v>430.5</v>
      </c>
      <c r="P865" s="101">
        <f>P864+R864*Tableau!$G$2+((1/2)*T864)*Tableau!$G$2^2</f>
        <v>-29289681.285721067</v>
      </c>
      <c r="Q865" s="101">
        <f>Q864+S864*Tableau!$G$2+((1/2)*U864)*Tableau!$G$2^2</f>
        <v>14388520.32113806</v>
      </c>
      <c r="R865" s="101">
        <f>R864+T864*Tableau!$G$2</f>
        <v>-68697.889604535958</v>
      </c>
      <c r="S865" s="101">
        <f>S864+U864*Tableau!$G$2</f>
        <v>33800.57419821748</v>
      </c>
      <c r="T865" s="101">
        <f t="shared" si="26"/>
        <v>1.0337359630023068E-3</v>
      </c>
      <c r="U865" s="101">
        <f t="shared" si="27"/>
        <v>-5.0782290614005752E-4</v>
      </c>
      <c r="V865" s="101">
        <f>((Tableau!$G$16-P865)/(AC865^2+Tableau!$G$21^2)^(3/2))*Tableau!$G$20</f>
        <v>4.4101427748938151E-4</v>
      </c>
      <c r="W865" s="101">
        <f>((Tableau!$H$16-Q865)/(AC865^2+Tableau!$G$21^2)^(3/2))*Tableau!$G$20</f>
        <v>-2.1638704374368585E-4</v>
      </c>
      <c r="X865" s="101">
        <f>((Tableau!$G$25-P865)/(AD865^2+Tableau!$G$30^2)^(3/2))*Tableau!$G$29</f>
        <v>1.5157633165923729E-4</v>
      </c>
      <c r="Y865" s="101">
        <f>((Tableau!$H$25-Q865)/(AD865^2+Tableau!$G$30^2)^(3/2))*Tableau!$G$29</f>
        <v>-7.4460782257616378E-5</v>
      </c>
      <c r="Z865" s="101">
        <f>((Tableau!$G$35-P865)/(AE865^2+Tableau!$G$40^2)^(3/2))*Tableau!$G$39</f>
        <v>4.411453538536881E-4</v>
      </c>
      <c r="AA865" s="102">
        <f>((Tableau!$H$35-Q865)/(AE865^2+Tableau!$G$40^2)^(3/2))*Tableau!$G$39</f>
        <v>-2.1697508013875528E-4</v>
      </c>
      <c r="AC865" s="113">
        <f>SQRT((Tableau!$G$16-P865)^2+(Tableau!$H$16-Q865)^2)</f>
        <v>32647682.3457276</v>
      </c>
      <c r="AD865" s="114">
        <f>SQRT((Tableau!$G$25-P865)^2+(Tableau!$H$25-Q865)^2)</f>
        <v>32610674.467006508</v>
      </c>
      <c r="AE865" s="115">
        <f>SQRT((Tableau!$G$35-P865)^2+(Tableau!$H$35-Q865)^2)</f>
        <v>32635164.403564736</v>
      </c>
    </row>
    <row r="866" spans="2:31" x14ac:dyDescent="0.25">
      <c r="B866" s="20">
        <v>863</v>
      </c>
      <c r="C866" s="21">
        <f>Tableau!$G$17*COS(B866*PI()/180)+Tableau!$G$16</f>
        <v>16006.82244976354</v>
      </c>
      <c r="D866" s="21">
        <f>Tableau!$G$17*SIN(B866*PI()/180)+Tableau!$H$16</f>
        <v>10509.075115760246</v>
      </c>
      <c r="F866" s="28">
        <v>863</v>
      </c>
      <c r="G866" s="29">
        <f>Tableau!$G$26*COS(F866*PI()/180)+Tableau!$G$25</f>
        <v>-22795.224285165521</v>
      </c>
      <c r="H866" s="29">
        <f>Tableau!$G$26*SIN(F866*PI()/180)+Tableau!$H$25</f>
        <v>12106.352581032173</v>
      </c>
      <c r="J866" s="36">
        <v>863</v>
      </c>
      <c r="K866" s="37">
        <f>Tableau!$G$36*COS(J866*PI()/180)+Tableau!$G$35</f>
        <v>-8993.1775502364599</v>
      </c>
      <c r="L866" s="37">
        <f>Tableau!$G$36*SIN(J866*PI()/180)+Tableau!$H$35</f>
        <v>-11990.924884239754</v>
      </c>
      <c r="N866" s="92">
        <v>862</v>
      </c>
      <c r="O866" s="93">
        <v>431</v>
      </c>
      <c r="P866" s="96">
        <f>P865+R865*Tableau!$G$2+((1/2)*T865)*Tableau!$G$2^2</f>
        <v>-29324030.230394121</v>
      </c>
      <c r="Q866" s="96">
        <f>Q865+S865*Tableau!$G$2+((1/2)*U865)*Tableau!$G$2^2</f>
        <v>14405420.608173691</v>
      </c>
      <c r="R866" s="96">
        <f>R865+T865*Tableau!$G$2</f>
        <v>-68697.88908766798</v>
      </c>
      <c r="S866" s="96">
        <f>S865+U865*Tableau!$G$2</f>
        <v>33800.57394430603</v>
      </c>
      <c r="T866" s="96">
        <f t="shared" si="26"/>
        <v>1.0313148164637779E-3</v>
      </c>
      <c r="U866" s="96">
        <f t="shared" si="27"/>
        <v>-5.0663444439497346E-4</v>
      </c>
      <c r="V866" s="96">
        <f>((Tableau!$G$16-P866)/(AC866^2+Tableau!$G$21^2)^(3/2))*Tableau!$G$20</f>
        <v>4.3998158357792382E-4</v>
      </c>
      <c r="W866" s="96">
        <f>((Tableau!$H$16-Q866)/(AC866^2+Tableau!$G$21^2)^(3/2))*Tableau!$G$20</f>
        <v>-2.1588104495789297E-4</v>
      </c>
      <c r="X866" s="96">
        <f>((Tableau!$G$25-P866)/(AD866^2+Tableau!$G$30^2)^(3/2))*Tableau!$G$29</f>
        <v>1.5122103412943977E-4</v>
      </c>
      <c r="Y866" s="96">
        <f>((Tableau!$H$25-Q866)/(AD866^2+Tableau!$G$30^2)^(3/2))*Tableau!$G$29</f>
        <v>-7.428638224780444E-5</v>
      </c>
      <c r="Z866" s="96">
        <f>((Tableau!$G$35-P866)/(AE866^2+Tableau!$G$40^2)^(3/2))*Tableau!$G$39</f>
        <v>4.401121987564141E-4</v>
      </c>
      <c r="AA866" s="97">
        <f>((Tableau!$H$35-Q866)/(AE866^2+Tableau!$G$40^2)^(3/2))*Tableau!$G$39</f>
        <v>-2.1646701718927607E-4</v>
      </c>
      <c r="AC866" s="110">
        <f>SQRT((Tableau!$G$16-P866)^2+(Tableau!$H$16-Q866)^2)</f>
        <v>32685963.776544157</v>
      </c>
      <c r="AD866" s="111">
        <f>SQRT((Tableau!$G$25-P866)^2+(Tableau!$H$25-Q866)^2)</f>
        <v>32648955.913322624</v>
      </c>
      <c r="AE866" s="112">
        <f>SQRT((Tableau!$G$35-P866)^2+(Tableau!$H$35-Q866)^2)</f>
        <v>32673445.856955536</v>
      </c>
    </row>
    <row r="867" spans="2:31" x14ac:dyDescent="0.25">
      <c r="B867" s="18">
        <v>864</v>
      </c>
      <c r="C867" s="19">
        <f>Tableau!$G$17*COS(B867*PI()/180)+Tableau!$G$16</f>
        <v>15954.915028125264</v>
      </c>
      <c r="D867" s="19">
        <f>Tableau!$G$17*SIN(B867*PI()/180)+Tableau!$H$16</f>
        <v>10438.926261462368</v>
      </c>
      <c r="F867" s="26">
        <v>864</v>
      </c>
      <c r="G867" s="27">
        <f>Tableau!$G$26*COS(F867*PI()/180)+Tableau!$G$25</f>
        <v>-22831.559480312317</v>
      </c>
      <c r="H867" s="27">
        <f>Tableau!$G$26*SIN(F867*PI()/180)+Tableau!$H$25</f>
        <v>12057.248383023658</v>
      </c>
      <c r="J867" s="34">
        <v>864</v>
      </c>
      <c r="K867" s="35">
        <f>Tableau!$G$36*COS(J867*PI()/180)+Tableau!$G$35</f>
        <v>-9045.0849718747359</v>
      </c>
      <c r="L867" s="35">
        <f>Tableau!$G$36*SIN(J867*PI()/180)+Tableau!$H$35</f>
        <v>-12061.073738537632</v>
      </c>
      <c r="N867" s="98">
        <v>863</v>
      </c>
      <c r="O867" s="99">
        <v>431.5</v>
      </c>
      <c r="P867" s="101">
        <f>P866+R866*Tableau!$G$2+((1/2)*T866)*Tableau!$G$2^2</f>
        <v>-29358379.174809042</v>
      </c>
      <c r="Q867" s="101">
        <f>Q866+S866*Tableau!$G$2+((1/2)*U866)*Tableau!$G$2^2</f>
        <v>14422320.895082515</v>
      </c>
      <c r="R867" s="101">
        <f>R866+T866*Tableau!$G$2</f>
        <v>-68697.888572010575</v>
      </c>
      <c r="S867" s="101">
        <f>S866+U866*Tableau!$G$2</f>
        <v>33800.573690988807</v>
      </c>
      <c r="T867" s="101">
        <f t="shared" si="26"/>
        <v>1.0289021659600148E-3</v>
      </c>
      <c r="U867" s="101">
        <f t="shared" si="27"/>
        <v>-5.0545014982934333E-4</v>
      </c>
      <c r="V867" s="101">
        <f>((Tableau!$G$16-P867)/(AC867^2+Tableau!$G$21^2)^(3/2))*Tableau!$G$20</f>
        <v>4.3895251271578107E-4</v>
      </c>
      <c r="W867" s="101">
        <f>((Tableau!$H$16-Q867)/(AC867^2+Tableau!$G$21^2)^(3/2))*Tableau!$G$20</f>
        <v>-2.1537681893866911E-4</v>
      </c>
      <c r="X867" s="101">
        <f>((Tableau!$G$25-P867)/(AD867^2+Tableau!$G$30^2)^(3/2))*Tableau!$G$29</f>
        <v>1.5086698437476986E-4</v>
      </c>
      <c r="Y867" s="101">
        <f>((Tableau!$H$25-Q867)/(AD867^2+Tableau!$G$30^2)^(3/2))*Tableau!$G$29</f>
        <v>-7.4112594234570063E-5</v>
      </c>
      <c r="Z867" s="101">
        <f>((Tableau!$G$35-P867)/(AE867^2+Tableau!$G$40^2)^(3/2))*Tableau!$G$39</f>
        <v>4.3908266886946376E-4</v>
      </c>
      <c r="AA867" s="102">
        <f>((Tableau!$H$35-Q867)/(AE867^2+Tableau!$G$40^2)^(3/2))*Tableau!$G$39</f>
        <v>-2.1596073665610413E-4</v>
      </c>
      <c r="AC867" s="113">
        <f>SQRT((Tableau!$G$16-P867)^2+(Tableau!$H$16-Q867)^2)</f>
        <v>32724245.207126796</v>
      </c>
      <c r="AD867" s="114">
        <f>SQRT((Tableau!$G$25-P867)^2+(Tableau!$H$25-Q867)^2)</f>
        <v>32687237.359368581</v>
      </c>
      <c r="AE867" s="115">
        <f>SQRT((Tableau!$G$35-P867)^2+(Tableau!$H$35-Q867)^2)</f>
        <v>32711727.310059603</v>
      </c>
    </row>
    <row r="868" spans="2:31" x14ac:dyDescent="0.25">
      <c r="B868" s="20">
        <v>865</v>
      </c>
      <c r="C868" s="21">
        <f>Tableau!$G$17*COS(B868*PI()/180)+Tableau!$G$16</f>
        <v>15904.239778555042</v>
      </c>
      <c r="D868" s="21">
        <f>Tableau!$G$17*SIN(B868*PI()/180)+Tableau!$H$16</f>
        <v>10367.882181755231</v>
      </c>
      <c r="F868" s="28">
        <v>865</v>
      </c>
      <c r="G868" s="29">
        <f>Tableau!$G$26*COS(F868*PI()/180)+Tableau!$G$25</f>
        <v>-22867.032155011471</v>
      </c>
      <c r="H868" s="29">
        <f>Tableau!$G$26*SIN(F868*PI()/180)+Tableau!$H$25</f>
        <v>12007.517527228661</v>
      </c>
      <c r="J868" s="36">
        <v>865</v>
      </c>
      <c r="K868" s="37">
        <f>Tableau!$G$36*COS(J868*PI()/180)+Tableau!$G$35</f>
        <v>-9095.760221444958</v>
      </c>
      <c r="L868" s="37">
        <f>Tableau!$G$36*SIN(J868*PI()/180)+Tableau!$H$35</f>
        <v>-12132.117818244769</v>
      </c>
      <c r="N868" s="92">
        <v>864</v>
      </c>
      <c r="O868" s="93">
        <v>432</v>
      </c>
      <c r="P868" s="96">
        <f>P867+R867*Tableau!$G$2+((1/2)*T867)*Tableau!$G$2^2</f>
        <v>-29392728.118966434</v>
      </c>
      <c r="Q868" s="96">
        <f>Q867+S867*Tableau!$G$2+((1/2)*U867)*Tableau!$G$2^2</f>
        <v>14439221.181864828</v>
      </c>
      <c r="R868" s="96">
        <f>R867+T867*Tableau!$G$2</f>
        <v>-68697.888057559496</v>
      </c>
      <c r="S868" s="96">
        <f>S867+U867*Tableau!$G$2</f>
        <v>33800.573438263731</v>
      </c>
      <c r="T868" s="96">
        <f t="shared" si="26"/>
        <v>1.0264979717862154E-3</v>
      </c>
      <c r="U868" s="96">
        <f t="shared" si="27"/>
        <v>-5.0427000298369383E-4</v>
      </c>
      <c r="V868" s="96">
        <f>((Tableau!$G$16-P868)/(AC868^2+Tableau!$G$21^2)^(3/2))*Tableau!$G$20</f>
        <v>4.3792704797485766E-4</v>
      </c>
      <c r="W868" s="96">
        <f>((Tableau!$H$16-Q868)/(AC868^2+Tableau!$G$21^2)^(3/2))*Tableau!$G$20</f>
        <v>-2.1487435741449933E-4</v>
      </c>
      <c r="X868" s="96">
        <f>((Tableau!$G$25-P868)/(AD868^2+Tableau!$G$30^2)^(3/2))*Tableau!$G$29</f>
        <v>1.5051417655927634E-4</v>
      </c>
      <c r="Y868" s="96">
        <f>((Tableau!$H$25-Q868)/(AD868^2+Tableau!$G$30^2)^(3/2))*Tableau!$G$29</f>
        <v>-7.3939415357802119E-5</v>
      </c>
      <c r="Z868" s="96">
        <f>((Tableau!$G$35-P868)/(AE868^2+Tableau!$G$40^2)^(3/2))*Tableau!$G$39</f>
        <v>4.3805674725208143E-4</v>
      </c>
      <c r="AA868" s="97">
        <f>((Tableau!$H$35-Q868)/(AE868^2+Tableau!$G$40^2)^(3/2))*Tableau!$G$39</f>
        <v>-2.1545623021139242E-4</v>
      </c>
      <c r="AC868" s="110">
        <f>SQRT((Tableau!$G$16-P868)^2+(Tableau!$H$16-Q868)^2)</f>
        <v>32762526.637476005</v>
      </c>
      <c r="AD868" s="111">
        <f>SQRT((Tableau!$G$25-P868)^2+(Tableau!$H$25-Q868)^2)</f>
        <v>32725518.805144984</v>
      </c>
      <c r="AE868" s="112">
        <f>SQRT((Tableau!$G$35-P868)^2+(Tableau!$H$35-Q868)^2)</f>
        <v>32750008.76287761</v>
      </c>
    </row>
    <row r="869" spans="2:31" x14ac:dyDescent="0.25">
      <c r="B869" s="18">
        <v>866</v>
      </c>
      <c r="C869" s="19">
        <f>Tableau!$G$17*COS(B869*PI()/180)+Tableau!$G$16</f>
        <v>15854.812137224788</v>
      </c>
      <c r="D869" s="19">
        <f>Tableau!$G$17*SIN(B869*PI()/180)+Tableau!$H$16</f>
        <v>10295.96451735373</v>
      </c>
      <c r="F869" s="26">
        <v>866</v>
      </c>
      <c r="G869" s="27">
        <f>Tableau!$G$26*COS(F869*PI()/180)+Tableau!$G$25</f>
        <v>-22901.631503942648</v>
      </c>
      <c r="H869" s="27">
        <f>Tableau!$G$26*SIN(F869*PI()/180)+Tableau!$H$25</f>
        <v>11957.175162147611</v>
      </c>
      <c r="J869" s="34">
        <v>866</v>
      </c>
      <c r="K869" s="35">
        <f>Tableau!$G$36*COS(J869*PI()/180)+Tableau!$G$35</f>
        <v>-9145.1878627752121</v>
      </c>
      <c r="L869" s="35">
        <f>Tableau!$G$36*SIN(J869*PI()/180)+Tableau!$H$35</f>
        <v>-12204.03548264627</v>
      </c>
      <c r="N869" s="98">
        <v>865</v>
      </c>
      <c r="O869" s="99">
        <v>432.5</v>
      </c>
      <c r="P869" s="101">
        <f>P868+R868*Tableau!$G$2+((1/2)*T868)*Tableau!$G$2^2</f>
        <v>-29427077.0628669</v>
      </c>
      <c r="Q869" s="101">
        <f>Q868+S868*Tableau!$G$2+((1/2)*U868)*Tableau!$G$2^2</f>
        <v>14456121.468520926</v>
      </c>
      <c r="R869" s="101">
        <f>R868+T868*Tableau!$G$2</f>
        <v>-68697.887544310506</v>
      </c>
      <c r="S869" s="101">
        <f>S868+U868*Tableau!$G$2</f>
        <v>33800.573186128728</v>
      </c>
      <c r="T869" s="101">
        <f t="shared" si="26"/>
        <v>1.0241021944692346E-3</v>
      </c>
      <c r="U869" s="101">
        <f t="shared" si="27"/>
        <v>-5.0309398451200017E-4</v>
      </c>
      <c r="V869" s="101">
        <f>((Tableau!$G$16-P869)/(AC869^2+Tableau!$G$21^2)^(3/2))*Tableau!$G$20</f>
        <v>4.3690517252578757E-4</v>
      </c>
      <c r="W869" s="101">
        <f>((Tableau!$H$16-Q869)/(AC869^2+Tableau!$G$21^2)^(3/2))*Tableau!$G$20</f>
        <v>-2.1437365216204403E-4</v>
      </c>
      <c r="X869" s="101">
        <f>((Tableau!$G$25-P869)/(AD869^2+Tableau!$G$30^2)^(3/2))*Tableau!$G$29</f>
        <v>1.5016260488108754E-4</v>
      </c>
      <c r="Y869" s="101">
        <f>((Tableau!$H$25-Q869)/(AD869^2+Tableau!$G$30^2)^(3/2))*Tableau!$G$29</f>
        <v>-7.3766842774078197E-5</v>
      </c>
      <c r="Z869" s="101">
        <f>((Tableau!$G$35-P869)/(AE869^2+Tableau!$G$40^2)^(3/2))*Tableau!$G$39</f>
        <v>4.3703441706235946E-4</v>
      </c>
      <c r="AA869" s="102">
        <f>((Tableau!$H$35-Q869)/(AE869^2+Tableau!$G$40^2)^(3/2))*Tableau!$G$39</f>
        <v>-2.1495348957587795E-4</v>
      </c>
      <c r="AC869" s="113">
        <f>SQRT((Tableau!$G$16-P869)^2+(Tableau!$H$16-Q869)^2)</f>
        <v>32800808.067592263</v>
      </c>
      <c r="AD869" s="114">
        <f>SQRT((Tableau!$G$25-P869)^2+(Tableau!$H$25-Q869)^2)</f>
        <v>32763800.250652455</v>
      </c>
      <c r="AE869" s="115">
        <f>SQRT((Tableau!$G$35-P869)^2+(Tableau!$H$35-Q869)^2)</f>
        <v>32788290.215410221</v>
      </c>
    </row>
    <row r="870" spans="2:31" x14ac:dyDescent="0.25">
      <c r="B870" s="20">
        <v>867</v>
      </c>
      <c r="C870" s="21">
        <f>Tableau!$G$17*COS(B870*PI()/180)+Tableau!$G$16</f>
        <v>15806.647160272882</v>
      </c>
      <c r="D870" s="21">
        <f>Tableau!$G$17*SIN(B870*PI()/180)+Tableau!$H$16</f>
        <v>10223.195175075136</v>
      </c>
      <c r="F870" s="28">
        <v>867</v>
      </c>
      <c r="G870" s="29">
        <f>Tableau!$G$26*COS(F870*PI()/180)+Tableau!$G$25</f>
        <v>-22935.346987808982</v>
      </c>
      <c r="H870" s="29">
        <f>Tableau!$G$26*SIN(F870*PI()/180)+Tableau!$H$25</f>
        <v>11906.236622552595</v>
      </c>
      <c r="J870" s="36">
        <v>867</v>
      </c>
      <c r="K870" s="37">
        <f>Tableau!$G$36*COS(J870*PI()/180)+Tableau!$G$35</f>
        <v>-9193.3528397271184</v>
      </c>
      <c r="L870" s="37">
        <f>Tableau!$G$36*SIN(J870*PI()/180)+Tableau!$H$35</f>
        <v>-12276.804824924864</v>
      </c>
      <c r="N870" s="92">
        <v>866</v>
      </c>
      <c r="O870" s="93">
        <v>433</v>
      </c>
      <c r="P870" s="96">
        <f>P869+R869*Tableau!$G$2+((1/2)*T869)*Tableau!$G$2^2</f>
        <v>-29461426.006511044</v>
      </c>
      <c r="Q870" s="96">
        <f>Q869+S869*Tableau!$G$2+((1/2)*U869)*Tableau!$G$2^2</f>
        <v>14473021.755051104</v>
      </c>
      <c r="R870" s="96">
        <f>R869+T869*Tableau!$G$2</f>
        <v>-68697.887032259416</v>
      </c>
      <c r="S870" s="96">
        <f>S869+U869*Tableau!$G$2</f>
        <v>33800.572934581738</v>
      </c>
      <c r="T870" s="96">
        <f t="shared" si="26"/>
        <v>1.0217147947660062E-3</v>
      </c>
      <c r="U870" s="96">
        <f t="shared" si="27"/>
        <v>-5.0192207518091284E-4</v>
      </c>
      <c r="V870" s="96">
        <f>((Tableau!$G$16-P870)/(AC870^2+Tableau!$G$21^2)^(3/2))*Tableau!$G$20</f>
        <v>4.3588686963728435E-4</v>
      </c>
      <c r="W870" s="96">
        <f>((Tableau!$H$16-Q870)/(AC870^2+Tableau!$G$21^2)^(3/2))*Tableau!$G$20</f>
        <v>-2.1387469500582212E-4</v>
      </c>
      <c r="X870" s="96">
        <f>((Tableau!$G$25-P870)/(AD870^2+Tableau!$G$30^2)^(3/2))*Tableau!$G$29</f>
        <v>1.4981226357217077E-4</v>
      </c>
      <c r="Y870" s="96">
        <f>((Tableau!$H$25-Q870)/(AD870^2+Tableau!$G$30^2)^(3/2))*Tableau!$G$29</f>
        <v>-7.3594873656546942E-5</v>
      </c>
      <c r="Z870" s="96">
        <f>((Tableau!$G$35-P870)/(AE870^2+Tableau!$G$40^2)^(3/2))*Tableau!$G$39</f>
        <v>4.3601566155655107E-4</v>
      </c>
      <c r="AA870" s="97">
        <f>((Tableau!$H$35-Q870)/(AE870^2+Tableau!$G$40^2)^(3/2))*Tableau!$G$39</f>
        <v>-2.1445250651854373E-4</v>
      </c>
      <c r="AC870" s="110">
        <f>SQRT((Tableau!$G$16-P870)^2+(Tableau!$H$16-Q870)^2)</f>
        <v>32839089.49747606</v>
      </c>
      <c r="AD870" s="111">
        <f>SQRT((Tableau!$G$25-P870)^2+(Tableau!$H$25-Q870)^2)</f>
        <v>32802081.695891593</v>
      </c>
      <c r="AE870" s="112">
        <f>SQRT((Tableau!$G$35-P870)^2+(Tableau!$H$35-Q870)^2)</f>
        <v>32826571.667658113</v>
      </c>
    </row>
    <row r="871" spans="2:31" x14ac:dyDescent="0.25">
      <c r="B871" s="18">
        <v>868</v>
      </c>
      <c r="C871" s="19">
        <f>Tableau!$G$17*COS(B871*PI()/180)+Tableau!$G$16</f>
        <v>15759.759519217874</v>
      </c>
      <c r="D871" s="19">
        <f>Tableau!$G$17*SIN(B871*PI()/180)+Tableau!$H$16</f>
        <v>10149.596321166031</v>
      </c>
      <c r="F871" s="26">
        <v>868</v>
      </c>
      <c r="G871" s="27">
        <f>Tableau!$G$26*COS(F871*PI()/180)+Tableau!$G$25</f>
        <v>-22968.168336547489</v>
      </c>
      <c r="H871" s="27">
        <f>Tableau!$G$26*SIN(F871*PI()/180)+Tableau!$H$25</f>
        <v>11854.717424816221</v>
      </c>
      <c r="J871" s="34">
        <v>868</v>
      </c>
      <c r="K871" s="35">
        <f>Tableau!$G$36*COS(J871*PI()/180)+Tableau!$G$35</f>
        <v>-9240.2404807821258</v>
      </c>
      <c r="L871" s="35">
        <f>Tableau!$G$36*SIN(J871*PI()/180)+Tableau!$H$35</f>
        <v>-12350.403678833969</v>
      </c>
      <c r="N871" s="98">
        <v>867</v>
      </c>
      <c r="O871" s="99">
        <v>433.5</v>
      </c>
      <c r="P871" s="101">
        <f>P870+R870*Tableau!$G$2+((1/2)*T870)*Tableau!$G$2^2</f>
        <v>-29495774.949899461</v>
      </c>
      <c r="Q871" s="101">
        <f>Q870+S870*Tableau!$G$2+((1/2)*U870)*Tableau!$G$2^2</f>
        <v>14489922.041455656</v>
      </c>
      <c r="R871" s="101">
        <f>R870+T870*Tableau!$G$2</f>
        <v>-68697.886521402019</v>
      </c>
      <c r="S871" s="101">
        <f>S870+U870*Tableau!$G$2</f>
        <v>33800.572683620703</v>
      </c>
      <c r="T871" s="101">
        <f t="shared" si="26"/>
        <v>1.0193357336618825E-3</v>
      </c>
      <c r="U871" s="101">
        <f t="shared" si="27"/>
        <v>-5.0075425586894535E-4</v>
      </c>
      <c r="V871" s="101">
        <f>((Tableau!$G$16-P871)/(AC871^2+Tableau!$G$21^2)^(3/2))*Tableau!$G$20</f>
        <v>4.3487212267543176E-4</v>
      </c>
      <c r="W871" s="101">
        <f>((Tableau!$H$16-Q871)/(AC871^2+Tableau!$G$21^2)^(3/2))*Tableau!$G$20</f>
        <v>-2.1337747781786546E-4</v>
      </c>
      <c r="X871" s="101">
        <f>((Tableau!$G$25-P871)/(AD871^2+Tableau!$G$30^2)^(3/2))*Tableau!$G$29</f>
        <v>1.4946314689810028E-4</v>
      </c>
      <c r="Y871" s="101">
        <f>((Tableau!$H$25-Q871)/(AD871^2+Tableau!$G$30^2)^(3/2))*Tableau!$G$29</f>
        <v>-7.3423505194814521E-5</v>
      </c>
      <c r="Z871" s="101">
        <f>((Tableau!$G$35-P871)/(AE871^2+Tableau!$G$40^2)^(3/2))*Tableau!$G$39</f>
        <v>4.3500046408835043E-4</v>
      </c>
      <c r="AA871" s="102">
        <f>((Tableau!$H$35-Q871)/(AE871^2+Tableau!$G$40^2)^(3/2))*Tableau!$G$39</f>
        <v>-2.1395327285626532E-4</v>
      </c>
      <c r="AC871" s="113">
        <f>SQRT((Tableau!$G$16-P871)^2+(Tableau!$H$16-Q871)^2)</f>
        <v>32877370.927127872</v>
      </c>
      <c r="AD871" s="114">
        <f>SQRT((Tableau!$G$25-P871)^2+(Tableau!$H$25-Q871)^2)</f>
        <v>32840363.140863013</v>
      </c>
      <c r="AE871" s="115">
        <f>SQRT((Tableau!$G$35-P871)^2+(Tableau!$H$35-Q871)^2)</f>
        <v>32864853.119621936</v>
      </c>
    </row>
    <row r="872" spans="2:31" x14ac:dyDescent="0.25">
      <c r="B872" s="20">
        <v>869</v>
      </c>
      <c r="C872" s="21">
        <f>Tableau!$G$17*COS(B872*PI()/180)+Tableau!$G$16</f>
        <v>15714.163496489437</v>
      </c>
      <c r="D872" s="21">
        <f>Tableau!$G$17*SIN(B872*PI()/180)+Tableau!$H$16</f>
        <v>10075.190374550266</v>
      </c>
      <c r="F872" s="28">
        <v>869</v>
      </c>
      <c r="G872" s="29">
        <f>Tableau!$G$26*COS(F872*PI()/180)+Tableau!$G$25</f>
        <v>-23000.085552457396</v>
      </c>
      <c r="H872" s="29">
        <f>Tableau!$G$26*SIN(F872*PI()/180)+Tableau!$H$25</f>
        <v>11802.633262185187</v>
      </c>
      <c r="J872" s="36">
        <v>869</v>
      </c>
      <c r="K872" s="37">
        <f>Tableau!$G$36*COS(J872*PI()/180)+Tableau!$G$35</f>
        <v>-9285.8365035105635</v>
      </c>
      <c r="L872" s="37">
        <f>Tableau!$G$36*SIN(J872*PI()/180)+Tableau!$H$35</f>
        <v>-12424.809625449734</v>
      </c>
      <c r="N872" s="92">
        <v>868</v>
      </c>
      <c r="O872" s="93">
        <v>434</v>
      </c>
      <c r="P872" s="96">
        <f>P871+R871*Tableau!$G$2+((1/2)*T871)*Tableau!$G$2^2</f>
        <v>-29530123.893032745</v>
      </c>
      <c r="Q872" s="96">
        <f>Q871+S871*Tableau!$G$2+((1/2)*U871)*Tableau!$G$2^2</f>
        <v>14506822.327734873</v>
      </c>
      <c r="R872" s="96">
        <f>R871+T871*Tableau!$G$2</f>
        <v>-68697.886011734154</v>
      </c>
      <c r="S872" s="96">
        <f>S871+U871*Tableau!$G$2</f>
        <v>33800.572433243578</v>
      </c>
      <c r="T872" s="96">
        <f t="shared" si="26"/>
        <v>1.016964972369075E-3</v>
      </c>
      <c r="U872" s="96">
        <f t="shared" si="27"/>
        <v>-4.995905075657112E-4</v>
      </c>
      <c r="V872" s="96">
        <f>((Tableau!$G$16-P872)/(AC872^2+Tableau!$G$21^2)^(3/2))*Tableau!$G$20</f>
        <v>4.3386091510300997E-4</v>
      </c>
      <c r="W872" s="96">
        <f>((Tableau!$H$16-Q872)/(AC872^2+Tableau!$G$21^2)^(3/2))*Tableau!$G$20</f>
        <v>-2.1288199251739043E-4</v>
      </c>
      <c r="X872" s="96">
        <f>((Tableau!$G$25-P872)/(AD872^2+Tableau!$G$30^2)^(3/2))*Tableau!$G$29</f>
        <v>1.4911524915781825E-4</v>
      </c>
      <c r="Y872" s="96">
        <f>((Tableau!$H$25-Q872)/(AD872^2+Tableau!$G$30^2)^(3/2))*Tableau!$G$29</f>
        <v>-7.3252734594827604E-5</v>
      </c>
      <c r="Z872" s="96">
        <f>((Tableau!$G$35-P872)/(AE872^2+Tableau!$G$40^2)^(3/2))*Tableau!$G$39</f>
        <v>4.3398880810824672E-4</v>
      </c>
      <c r="AA872" s="97">
        <f>((Tableau!$H$35-Q872)/(AE872^2+Tableau!$G$40^2)^(3/2))*Tableau!$G$39</f>
        <v>-2.1345578045349313E-4</v>
      </c>
      <c r="AC872" s="110">
        <f>SQRT((Tableau!$G$16-P872)^2+(Tableau!$H$16-Q872)^2)</f>
        <v>32915652.356548179</v>
      </c>
      <c r="AD872" s="111">
        <f>SQRT((Tableau!$G$25-P872)^2+(Tableau!$H$25-Q872)^2)</f>
        <v>32878644.58556731</v>
      </c>
      <c r="AE872" s="112">
        <f>SQRT((Tableau!$G$35-P872)^2+(Tableau!$H$35-Q872)^2)</f>
        <v>32903134.571302351</v>
      </c>
    </row>
    <row r="873" spans="2:31" x14ac:dyDescent="0.25">
      <c r="B873" s="18">
        <v>870</v>
      </c>
      <c r="C873" s="19">
        <f>Tableau!$G$17*COS(B873*PI()/180)+Tableau!$G$16</f>
        <v>15669.872981077806</v>
      </c>
      <c r="D873" s="19">
        <f>Tableau!$G$17*SIN(B873*PI()/180)+Tableau!$H$16</f>
        <v>10000</v>
      </c>
      <c r="F873" s="26">
        <v>870</v>
      </c>
      <c r="G873" s="27">
        <f>Tableau!$G$26*COS(F873*PI()/180)+Tableau!$G$25</f>
        <v>-23031.088913245534</v>
      </c>
      <c r="H873" s="27">
        <f>Tableau!$G$26*SIN(F873*PI()/180)+Tableau!$H$25</f>
        <v>11750</v>
      </c>
      <c r="J873" s="34">
        <v>870</v>
      </c>
      <c r="K873" s="35">
        <f>Tableau!$G$36*COS(J873*PI()/180)+Tableau!$G$35</f>
        <v>-9330.1270189221941</v>
      </c>
      <c r="L873" s="35">
        <f>Tableau!$G$36*SIN(J873*PI()/180)+Tableau!$H$35</f>
        <v>-12500</v>
      </c>
      <c r="N873" s="98">
        <v>869</v>
      </c>
      <c r="O873" s="99">
        <v>434.5</v>
      </c>
      <c r="P873" s="101">
        <f>P872+R872*Tableau!$G$2+((1/2)*T872)*Tableau!$G$2^2</f>
        <v>-29564472.83591149</v>
      </c>
      <c r="Q873" s="101">
        <f>Q872+S872*Tableau!$G$2+((1/2)*U872)*Tableau!$G$2^2</f>
        <v>14523722.613889046</v>
      </c>
      <c r="R873" s="101">
        <f>R872+T872*Tableau!$G$2</f>
        <v>-68697.885503251673</v>
      </c>
      <c r="S873" s="101">
        <f>S872+U872*Tableau!$G$2</f>
        <v>33800.572183448327</v>
      </c>
      <c r="T873" s="101">
        <f t="shared" si="26"/>
        <v>1.0146024723250721E-3</v>
      </c>
      <c r="U873" s="101">
        <f t="shared" si="27"/>
        <v>-4.9843081137114975E-4</v>
      </c>
      <c r="V873" s="101">
        <f>((Tableau!$G$16-P873)/(AC873^2+Tableau!$G$21^2)^(3/2))*Tableau!$G$20</f>
        <v>4.3285323047882149E-4</v>
      </c>
      <c r="W873" s="101">
        <f>((Tableau!$H$16-Q873)/(AC873^2+Tableau!$G$21^2)^(3/2))*Tableau!$G$20</f>
        <v>-2.1238823107046941E-4</v>
      </c>
      <c r="X873" s="101">
        <f>((Tableau!$G$25-P873)/(AD873^2+Tableau!$G$30^2)^(3/2))*Tableau!$G$29</f>
        <v>1.4876856468340523E-4</v>
      </c>
      <c r="Y873" s="101">
        <f>((Tableau!$H$25-Q873)/(AD873^2+Tableau!$G$30^2)^(3/2))*Tableau!$G$29</f>
        <v>-7.3082559078761086E-5</v>
      </c>
      <c r="Z873" s="101">
        <f>((Tableau!$G$35-P873)/(AE873^2+Tableau!$G$40^2)^(3/2))*Tableau!$G$39</f>
        <v>4.3298067716284556E-4</v>
      </c>
      <c r="AA873" s="102">
        <f>((Tableau!$H$35-Q873)/(AE873^2+Tableau!$G$40^2)^(3/2))*Tableau!$G$39</f>
        <v>-2.1296002122191924E-4</v>
      </c>
      <c r="AC873" s="113">
        <f>SQRT((Tableau!$G$16-P873)^2+(Tableau!$H$16-Q873)^2)</f>
        <v>32953933.785737455</v>
      </c>
      <c r="AD873" s="114">
        <f>SQRT((Tableau!$G$25-P873)^2+(Tableau!$H$25-Q873)^2)</f>
        <v>32916926.030005082</v>
      </c>
      <c r="AE873" s="115">
        <f>SQRT((Tableau!$G$35-P873)^2+(Tableau!$H$35-Q873)^2)</f>
        <v>32941416.022700027</v>
      </c>
    </row>
    <row r="874" spans="2:31" x14ac:dyDescent="0.25">
      <c r="B874" s="20">
        <v>871</v>
      </c>
      <c r="C874" s="21">
        <f>Tableau!$G$17*COS(B874*PI()/180)+Tableau!$G$16</f>
        <v>15626.901464303024</v>
      </c>
      <c r="D874" s="21">
        <f>Tableau!$G$17*SIN(B874*PI()/180)+Tableau!$H$16</f>
        <v>9924.0481012316905</v>
      </c>
      <c r="F874" s="28">
        <v>871</v>
      </c>
      <c r="G874" s="29">
        <f>Tableau!$G$26*COS(F874*PI()/180)+Tableau!$G$25</f>
        <v>-23061.168974987882</v>
      </c>
      <c r="H874" s="29">
        <f>Tableau!$G$26*SIN(F874*PI()/180)+Tableau!$H$25</f>
        <v>11696.833670862183</v>
      </c>
      <c r="J874" s="36">
        <v>871</v>
      </c>
      <c r="K874" s="37">
        <f>Tableau!$G$36*COS(J874*PI()/180)+Tableau!$G$35</f>
        <v>-9373.0985356969759</v>
      </c>
      <c r="L874" s="37">
        <f>Tableau!$G$36*SIN(J874*PI()/180)+Tableau!$H$35</f>
        <v>-12575.95189876831</v>
      </c>
      <c r="N874" s="92">
        <v>870</v>
      </c>
      <c r="O874" s="93">
        <v>435</v>
      </c>
      <c r="P874" s="96">
        <f>P873+R873*Tableau!$G$2+((1/2)*T873)*Tableau!$G$2^2</f>
        <v>-29598821.778536294</v>
      </c>
      <c r="Q874" s="96">
        <f>Q873+S873*Tableau!$G$2+((1/2)*U873)*Tableau!$G$2^2</f>
        <v>14540622.899918467</v>
      </c>
      <c r="R874" s="96">
        <f>R873+T873*Tableau!$G$2</f>
        <v>-68697.884995950444</v>
      </c>
      <c r="S874" s="96">
        <f>S873+U873*Tableau!$G$2</f>
        <v>33800.571934232918</v>
      </c>
      <c r="T874" s="96">
        <f t="shared" si="26"/>
        <v>1.0122481951910459E-3</v>
      </c>
      <c r="U874" s="96">
        <f t="shared" si="27"/>
        <v>-4.9727514849474573E-4</v>
      </c>
      <c r="V874" s="96">
        <f>((Tableau!$G$16-P874)/(AC874^2+Tableau!$G$21^2)^(3/2))*Tableau!$G$20</f>
        <v>4.3184905245702748E-4</v>
      </c>
      <c r="W874" s="96">
        <f>((Tableau!$H$16-Q874)/(AC874^2+Tableau!$G$21^2)^(3/2))*Tableau!$G$20</f>
        <v>-2.1189618548970757E-4</v>
      </c>
      <c r="X874" s="96">
        <f>((Tableau!$G$25-P874)/(AD874^2+Tableau!$G$30^2)^(3/2))*Tableau!$G$29</f>
        <v>1.4842308783984351E-4</v>
      </c>
      <c r="Y874" s="96">
        <f>((Tableau!$H$25-Q874)/(AD874^2+Tableau!$G$30^2)^(3/2))*Tableau!$G$29</f>
        <v>-7.2912975884902316E-5</v>
      </c>
      <c r="Z874" s="96">
        <f>((Tableau!$G$35-P874)/(AE874^2+Tableau!$G$40^2)^(3/2))*Tableau!$G$39</f>
        <v>4.3197605489417497E-4</v>
      </c>
      <c r="AA874" s="97">
        <f>((Tableau!$H$35-Q874)/(AE874^2+Tableau!$G$40^2)^(3/2))*Tableau!$G$39</f>
        <v>-2.1246598712013591E-4</v>
      </c>
      <c r="AC874" s="110">
        <f>SQRT((Tableau!$G$16-P874)^2+(Tableau!$H$16-Q874)^2)</f>
        <v>32992215.214696184</v>
      </c>
      <c r="AD874" s="111">
        <f>SQRT((Tableau!$G$25-P874)^2+(Tableau!$H$25-Q874)^2)</f>
        <v>32955207.474176947</v>
      </c>
      <c r="AE874" s="112">
        <f>SQRT((Tableau!$G$35-P874)^2+(Tableau!$H$35-Q874)^2)</f>
        <v>32979697.473815612</v>
      </c>
    </row>
    <row r="875" spans="2:31" x14ac:dyDescent="0.25">
      <c r="B875" s="18">
        <v>872</v>
      </c>
      <c r="C875" s="19">
        <f>Tableau!$G$17*COS(B875*PI()/180)+Tableau!$G$16</f>
        <v>15585.262035705371</v>
      </c>
      <c r="D875" s="19">
        <f>Tableau!$G$17*SIN(B875*PI()/180)+Tableau!$H$16</f>
        <v>9847.3578139294641</v>
      </c>
      <c r="F875" s="26">
        <v>872</v>
      </c>
      <c r="G875" s="27">
        <f>Tableau!$G$26*COS(F875*PI()/180)+Tableau!$G$25</f>
        <v>-23090.31657500624</v>
      </c>
      <c r="H875" s="27">
        <f>Tableau!$G$26*SIN(F875*PI()/180)+Tableau!$H$25</f>
        <v>11643.150469750624</v>
      </c>
      <c r="J875" s="34">
        <v>872</v>
      </c>
      <c r="K875" s="35">
        <f>Tableau!$G$36*COS(J875*PI()/180)+Tableau!$G$35</f>
        <v>-9414.7379642946289</v>
      </c>
      <c r="L875" s="35">
        <f>Tableau!$G$36*SIN(J875*PI()/180)+Tableau!$H$35</f>
        <v>-12652.642186070536</v>
      </c>
      <c r="N875" s="98">
        <v>871</v>
      </c>
      <c r="O875" s="99">
        <v>435.5</v>
      </c>
      <c r="P875" s="101">
        <f>P874+R874*Tableau!$G$2+((1/2)*T874)*Tableau!$G$2^2</f>
        <v>-29633170.72090774</v>
      </c>
      <c r="Q875" s="101">
        <f>Q874+S874*Tableau!$G$2+((1/2)*U874)*Tableau!$G$2^2</f>
        <v>14557523.185823424</v>
      </c>
      <c r="R875" s="101">
        <f>R874+T874*Tableau!$G$2</f>
        <v>-68697.884489826349</v>
      </c>
      <c r="S875" s="101">
        <f>S874+U874*Tableau!$G$2</f>
        <v>33800.571685595343</v>
      </c>
      <c r="T875" s="101">
        <f t="shared" si="26"/>
        <v>1.0099021028503355E-3</v>
      </c>
      <c r="U875" s="101">
        <f t="shared" si="27"/>
        <v>-4.9612350025478877E-4</v>
      </c>
      <c r="V875" s="101">
        <f>((Tableau!$G$16-P875)/(AC875^2+Tableau!$G$21^2)^(3/2))*Tableau!$G$20</f>
        <v>4.3084836478648038E-4</v>
      </c>
      <c r="W875" s="101">
        <f>((Tableau!$H$16-Q875)/(AC875^2+Tableau!$G$21^2)^(3/2))*Tableau!$G$20</f>
        <v>-2.1140584783391745E-4</v>
      </c>
      <c r="X875" s="101">
        <f>((Tableau!$G$25-P875)/(AD875^2+Tableau!$G$30^2)^(3/2))*Tableau!$G$29</f>
        <v>1.480788130247985E-4</v>
      </c>
      <c r="Y875" s="101">
        <f>((Tableau!$H$25-Q875)/(AD875^2+Tableau!$G$30^2)^(3/2))*Tableau!$G$29</f>
        <v>-7.2743982267544068E-5</v>
      </c>
      <c r="Z875" s="101">
        <f>((Tableau!$G$35-P875)/(AE875^2+Tableau!$G$40^2)^(3/2))*Tableau!$G$39</f>
        <v>4.3097492503905673E-4</v>
      </c>
      <c r="AA875" s="102">
        <f>((Tableau!$H$35-Q875)/(AE875^2+Tableau!$G$40^2)^(3/2))*Tableau!$G$39</f>
        <v>-2.1197367015332729E-4</v>
      </c>
      <c r="AC875" s="113">
        <f>SQRT((Tableau!$G$16-P875)^2+(Tableau!$H$16-Q875)^2)</f>
        <v>33030496.643424835</v>
      </c>
      <c r="AD875" s="114">
        <f>SQRT((Tableau!$G$25-P875)^2+(Tableau!$H$25-Q875)^2)</f>
        <v>32993488.918083485</v>
      </c>
      <c r="AE875" s="115">
        <f>SQRT((Tableau!$G$35-P875)^2+(Tableau!$H$35-Q875)^2)</f>
        <v>33017978.924649764</v>
      </c>
    </row>
    <row r="876" spans="2:31" x14ac:dyDescent="0.25">
      <c r="B876" s="20">
        <v>873</v>
      </c>
      <c r="C876" s="21">
        <f>Tableau!$G$17*COS(B876*PI()/180)+Tableau!$G$16</f>
        <v>15544.96737905816</v>
      </c>
      <c r="D876" s="21">
        <f>Tableau!$G$17*SIN(B876*PI()/180)+Tableau!$H$16</f>
        <v>9769.9524986977322</v>
      </c>
      <c r="F876" s="28">
        <v>873</v>
      </c>
      <c r="G876" s="29">
        <f>Tableau!$G$26*COS(F876*PI()/180)+Tableau!$G$25</f>
        <v>-23118.522834659288</v>
      </c>
      <c r="H876" s="29">
        <f>Tableau!$G$26*SIN(F876*PI()/180)+Tableau!$H$25</f>
        <v>11588.966749088413</v>
      </c>
      <c r="J876" s="36">
        <v>873</v>
      </c>
      <c r="K876" s="37">
        <f>Tableau!$G$36*COS(J876*PI()/180)+Tableau!$G$35</f>
        <v>-9455.0326209418399</v>
      </c>
      <c r="L876" s="37">
        <f>Tableau!$G$36*SIN(J876*PI()/180)+Tableau!$H$35</f>
        <v>-12730.047501302268</v>
      </c>
      <c r="N876" s="92">
        <v>872</v>
      </c>
      <c r="O876" s="93">
        <v>436</v>
      </c>
      <c r="P876" s="96">
        <f>P875+R875*Tableau!$G$2+((1/2)*T875)*Tableau!$G$2^2</f>
        <v>-29667519.663026415</v>
      </c>
      <c r="Q876" s="96">
        <f>Q875+S875*Tableau!$G$2+((1/2)*U875)*Tableau!$G$2^2</f>
        <v>14574423.471604206</v>
      </c>
      <c r="R876" s="96">
        <f>R875+T875*Tableau!$G$2</f>
        <v>-68697.883984875298</v>
      </c>
      <c r="S876" s="96">
        <f>S875+U875*Tableau!$G$2</f>
        <v>33800.571437533596</v>
      </c>
      <c r="T876" s="96">
        <f t="shared" si="26"/>
        <v>1.0075641574068749E-3</v>
      </c>
      <c r="U876" s="96">
        <f t="shared" si="27"/>
        <v>-4.94975848077602E-4</v>
      </c>
      <c r="V876" s="96">
        <f>((Tableau!$G$16-P876)/(AC876^2+Tableau!$G$21^2)^(3/2))*Tableau!$G$20</f>
        <v>4.2985115131007057E-4</v>
      </c>
      <c r="W876" s="96">
        <f>((Tableau!$H$16-Q876)/(AC876^2+Tableau!$G$21^2)^(3/2))*Tableau!$G$20</f>
        <v>-2.1091721020780066E-4</v>
      </c>
      <c r="X876" s="96">
        <f>((Tableau!$G$25-P876)/(AD876^2+Tableau!$G$30^2)^(3/2))*Tableau!$G$29</f>
        <v>1.4773573466837935E-4</v>
      </c>
      <c r="Y876" s="96">
        <f>((Tableau!$H$25-Q876)/(AD876^2+Tableau!$G$30^2)^(3/2))*Tableau!$G$29</f>
        <v>-7.2575575496867435E-5</v>
      </c>
      <c r="Z876" s="96">
        <f>((Tableau!$G$35-P876)/(AE876^2+Tableau!$G$40^2)^(3/2))*Tableau!$G$39</f>
        <v>4.2997727142842494E-4</v>
      </c>
      <c r="AA876" s="97">
        <f>((Tableau!$H$35-Q876)/(AE876^2+Tableau!$G$40^2)^(3/2))*Tableau!$G$39</f>
        <v>-2.1148306237293396E-4</v>
      </c>
      <c r="AC876" s="110">
        <f>SQRT((Tableau!$G$16-P876)^2+(Tableau!$H$16-Q876)^2)</f>
        <v>33068778.071923878</v>
      </c>
      <c r="AD876" s="111">
        <f>SQRT((Tableau!$G$25-P876)^2+(Tableau!$H$25-Q876)^2)</f>
        <v>33031770.361725289</v>
      </c>
      <c r="AE876" s="112">
        <f>SQRT((Tableau!$G$35-P876)^2+(Tableau!$H$35-Q876)^2)</f>
        <v>33056260.375203129</v>
      </c>
    </row>
    <row r="877" spans="2:31" x14ac:dyDescent="0.25">
      <c r="B877" s="18">
        <v>874</v>
      </c>
      <c r="C877" s="19">
        <f>Tableau!$G$17*COS(B877*PI()/180)+Tableau!$G$16</f>
        <v>15506.029768504166</v>
      </c>
      <c r="D877" s="19">
        <f>Tableau!$G$17*SIN(B877*PI()/180)+Tableau!$H$16</f>
        <v>9691.855733945391</v>
      </c>
      <c r="F877" s="26">
        <v>874</v>
      </c>
      <c r="G877" s="27">
        <f>Tableau!$G$26*COS(F877*PI()/180)+Tableau!$G$25</f>
        <v>-23145.779162047082</v>
      </c>
      <c r="H877" s="27">
        <f>Tableau!$G$26*SIN(F877*PI()/180)+Tableau!$H$25</f>
        <v>11534.299013761774</v>
      </c>
      <c r="J877" s="34">
        <v>874</v>
      </c>
      <c r="K877" s="35">
        <f>Tableau!$G$36*COS(J877*PI()/180)+Tableau!$G$35</f>
        <v>-9493.970231495834</v>
      </c>
      <c r="L877" s="35">
        <f>Tableau!$G$36*SIN(J877*PI()/180)+Tableau!$H$35</f>
        <v>-12808.144266054609</v>
      </c>
      <c r="N877" s="98">
        <v>873</v>
      </c>
      <c r="O877" s="99">
        <v>436.5</v>
      </c>
      <c r="P877" s="101">
        <f>P876+R876*Tableau!$G$2+((1/2)*T876)*Tableau!$G$2^2</f>
        <v>-29701868.60489291</v>
      </c>
      <c r="Q877" s="101">
        <f>Q876+S876*Tableau!$G$2+((1/2)*U876)*Tableau!$G$2^2</f>
        <v>14591323.757261101</v>
      </c>
      <c r="R877" s="101">
        <f>R876+T876*Tableau!$G$2</f>
        <v>-68697.883481093217</v>
      </c>
      <c r="S877" s="101">
        <f>S876+U876*Tableau!$G$2</f>
        <v>33800.571190045674</v>
      </c>
      <c r="T877" s="101">
        <f t="shared" si="26"/>
        <v>1.0052343211836619E-3</v>
      </c>
      <c r="U877" s="101">
        <f t="shared" si="27"/>
        <v>-4.9383217349679455E-4</v>
      </c>
      <c r="V877" s="101">
        <f>((Tableau!$G$16-P877)/(AC877^2+Tableau!$G$21^2)^(3/2))*Tableau!$G$20</f>
        <v>4.2885739596405987E-4</v>
      </c>
      <c r="W877" s="101">
        <f>((Tableau!$H$16-Q877)/(AC877^2+Tableau!$G$21^2)^(3/2))*Tableau!$G$20</f>
        <v>-2.1043026476162308E-4</v>
      </c>
      <c r="X877" s="101">
        <f>((Tableau!$G$25-P877)/(AD877^2+Tableau!$G$30^2)^(3/2))*Tableau!$G$29</f>
        <v>1.4739384723292152E-4</v>
      </c>
      <c r="Y877" s="101">
        <f>((Tableau!$H$25-Q877)/(AD877^2+Tableau!$G$30^2)^(3/2))*Tableau!$G$29</f>
        <v>-7.2407752858835427E-5</v>
      </c>
      <c r="Z877" s="101">
        <f>((Tableau!$G$35-P877)/(AE877^2+Tableau!$G$40^2)^(3/2))*Tableau!$G$39</f>
        <v>4.2898307798668056E-4</v>
      </c>
      <c r="AA877" s="102">
        <f>((Tableau!$H$35-Q877)/(AE877^2+Tableau!$G$40^2)^(3/2))*Tableau!$G$39</f>
        <v>-2.10994155876336E-4</v>
      </c>
      <c r="AC877" s="113">
        <f>SQRT((Tableau!$G$16-P877)^2+(Tableau!$H$16-Q877)^2)</f>
        <v>33107059.500193793</v>
      </c>
      <c r="AD877" s="114">
        <f>SQRT((Tableau!$G$25-P877)^2+(Tableau!$H$25-Q877)^2)</f>
        <v>33070051.805102974</v>
      </c>
      <c r="AE877" s="115">
        <f>SQRT((Tableau!$G$35-P877)^2+(Tableau!$H$35-Q877)^2)</f>
        <v>33094541.82547636</v>
      </c>
    </row>
    <row r="878" spans="2:31" x14ac:dyDescent="0.25">
      <c r="B878" s="20">
        <v>875</v>
      </c>
      <c r="C878" s="21">
        <f>Tableau!$G$17*COS(B878*PI()/180)+Tableau!$G$16</f>
        <v>15468.461064816755</v>
      </c>
      <c r="D878" s="21">
        <f>Tableau!$G$17*SIN(B878*PI()/180)+Tableau!$H$16</f>
        <v>9613.091308703506</v>
      </c>
      <c r="F878" s="28">
        <v>875</v>
      </c>
      <c r="G878" s="29">
        <f>Tableau!$G$26*COS(F878*PI()/180)+Tableau!$G$25</f>
        <v>-23172.077254628271</v>
      </c>
      <c r="H878" s="29">
        <f>Tableau!$G$26*SIN(F878*PI()/180)+Tableau!$H$25</f>
        <v>11479.163916092453</v>
      </c>
      <c r="J878" s="36">
        <v>875</v>
      </c>
      <c r="K878" s="37">
        <f>Tableau!$G$36*COS(J878*PI()/180)+Tableau!$G$35</f>
        <v>-9531.5389351832455</v>
      </c>
      <c r="L878" s="37">
        <f>Tableau!$G$36*SIN(J878*PI()/180)+Tableau!$H$35</f>
        <v>-12886.908691296494</v>
      </c>
      <c r="N878" s="92">
        <v>874</v>
      </c>
      <c r="O878" s="93">
        <v>437</v>
      </c>
      <c r="P878" s="96">
        <f>P877+R877*Tableau!$G$2+((1/2)*T877)*Tableau!$G$2^2</f>
        <v>-29736217.546507802</v>
      </c>
      <c r="Q878" s="96">
        <f>Q877+S877*Tableau!$G$2+((1/2)*U877)*Tableau!$G$2^2</f>
        <v>14608224.042794393</v>
      </c>
      <c r="R878" s="96">
        <f>R877+T877*Tableau!$G$2</f>
        <v>-68697.88297847606</v>
      </c>
      <c r="S878" s="96">
        <f>S877+U877*Tableau!$G$2</f>
        <v>33800.570943129584</v>
      </c>
      <c r="T878" s="96">
        <f t="shared" si="26"/>
        <v>1.0029125567212584E-3</v>
      </c>
      <c r="U878" s="96">
        <f t="shared" si="27"/>
        <v>-4.9269245815252599E-4</v>
      </c>
      <c r="V878" s="96">
        <f>((Tableau!$G$16-P878)/(AC878^2+Tableau!$G$21^2)^(3/2))*Tableau!$G$20</f>
        <v>4.2786708277745916E-4</v>
      </c>
      <c r="W878" s="96">
        <f>((Tableau!$H$16-Q878)/(AC878^2+Tableau!$G$21^2)^(3/2))*Tableau!$G$20</f>
        <v>-2.0994500369091155E-4</v>
      </c>
      <c r="X878" s="96">
        <f>((Tableau!$G$25-P878)/(AD878^2+Tableau!$G$30^2)^(3/2))*Tableau!$G$29</f>
        <v>1.4705314521276452E-4</v>
      </c>
      <c r="Y878" s="96">
        <f>((Tableau!$H$25-Q878)/(AD878^2+Tableau!$G$30^2)^(3/2))*Tableau!$G$29</f>
        <v>-7.2240511655084186E-5</v>
      </c>
      <c r="Z878" s="96">
        <f>((Tableau!$G$35-P878)/(AE878^2+Tableau!$G$40^2)^(3/2))*Tableau!$G$39</f>
        <v>4.2799232873103461E-4</v>
      </c>
      <c r="AA878" s="97">
        <f>((Tableau!$H$35-Q878)/(AE878^2+Tableau!$G$40^2)^(3/2))*Tableau!$G$39</f>
        <v>-2.1050694280653028E-4</v>
      </c>
      <c r="AC878" s="110">
        <f>SQRT((Tableau!$G$16-P878)^2+(Tableau!$H$16-Q878)^2)</f>
        <v>33145340.928235043</v>
      </c>
      <c r="AD878" s="111">
        <f>SQRT((Tableau!$G$25-P878)^2+(Tableau!$H$25-Q878)^2)</f>
        <v>33108333.248217106</v>
      </c>
      <c r="AE878" s="112">
        <f>SQRT((Tableau!$G$35-P878)^2+(Tableau!$H$35-Q878)^2)</f>
        <v>33132823.275470104</v>
      </c>
    </row>
    <row r="879" spans="2:31" x14ac:dyDescent="0.25">
      <c r="B879" s="18">
        <v>876</v>
      </c>
      <c r="C879" s="19">
        <f>Tableau!$G$17*COS(B879*PI()/180)+Tableau!$G$16</f>
        <v>15432.272711786994</v>
      </c>
      <c r="D879" s="19">
        <f>Tableau!$G$17*SIN(B879*PI()/180)+Tableau!$H$16</f>
        <v>9533.6832153789983</v>
      </c>
      <c r="F879" s="26">
        <v>876</v>
      </c>
      <c r="G879" s="27">
        <f>Tableau!$G$26*COS(F879*PI()/180)+Tableau!$G$25</f>
        <v>-23197.409101749105</v>
      </c>
      <c r="H879" s="27">
        <f>Tableau!$G$26*SIN(F879*PI()/180)+Tableau!$H$25</f>
        <v>11423.578250765298</v>
      </c>
      <c r="J879" s="34">
        <v>876</v>
      </c>
      <c r="K879" s="35">
        <f>Tableau!$G$36*COS(J879*PI()/180)+Tableau!$G$35</f>
        <v>-9567.7272882130055</v>
      </c>
      <c r="L879" s="35">
        <f>Tableau!$G$36*SIN(J879*PI()/180)+Tableau!$H$35</f>
        <v>-12966.316784621002</v>
      </c>
      <c r="N879" s="98">
        <v>875</v>
      </c>
      <c r="O879" s="99">
        <v>437.5</v>
      </c>
      <c r="P879" s="101">
        <f>P878+R878*Tableau!$G$2+((1/2)*T878)*Tableau!$G$2^2</f>
        <v>-29770566.487871677</v>
      </c>
      <c r="Q879" s="101">
        <f>Q878+S878*Tableau!$G$2+((1/2)*U878)*Tableau!$G$2^2</f>
        <v>14625124.328204371</v>
      </c>
      <c r="R879" s="101">
        <f>R878+T878*Tableau!$G$2</f>
        <v>-68697.882477019783</v>
      </c>
      <c r="S879" s="101">
        <f>S878+U878*Tableau!$G$2</f>
        <v>33800.570696783354</v>
      </c>
      <c r="T879" s="101">
        <f t="shared" si="26"/>
        <v>1.0005988267762778E-3</v>
      </c>
      <c r="U879" s="101">
        <f t="shared" si="27"/>
        <v>-4.9155668379076802E-4</v>
      </c>
      <c r="V879" s="101">
        <f>((Tableau!$G$16-P879)/(AC879^2+Tableau!$G$21^2)^(3/2))*Tableau!$G$20</f>
        <v>4.2688019587136858E-4</v>
      </c>
      <c r="W879" s="101">
        <f>((Tableau!$H$16-Q879)/(AC879^2+Tableau!$G$21^2)^(3/2))*Tableau!$G$20</f>
        <v>-2.0946141923613236E-4</v>
      </c>
      <c r="X879" s="101">
        <f>((Tableau!$G$25-P879)/(AD879^2+Tableau!$G$30^2)^(3/2))*Tableau!$G$29</f>
        <v>1.4671362313402417E-4</v>
      </c>
      <c r="Y879" s="101">
        <f>((Tableau!$H$25-Q879)/(AD879^2+Tableau!$G$30^2)^(3/2))*Tableau!$G$29</f>
        <v>-7.2073849202811626E-5</v>
      </c>
      <c r="Z879" s="101">
        <f>((Tableau!$G$35-P879)/(AE879^2+Tableau!$G$40^2)^(3/2))*Tableau!$G$39</f>
        <v>4.2700500777088511E-4</v>
      </c>
      <c r="AA879" s="102">
        <f>((Tableau!$H$35-Q879)/(AE879^2+Tableau!$G$40^2)^(3/2))*Tableau!$G$39</f>
        <v>-2.1002141535182405E-4</v>
      </c>
      <c r="AC879" s="113">
        <f>SQRT((Tableau!$G$16-P879)^2+(Tableau!$H$16-Q879)^2)</f>
        <v>33183622.3560481</v>
      </c>
      <c r="AD879" s="114">
        <f>SQRT((Tableau!$G$25-P879)^2+(Tableau!$H$25-Q879)^2)</f>
        <v>33146614.691068295</v>
      </c>
      <c r="AE879" s="115">
        <f>SQRT((Tableau!$G$35-P879)^2+(Tableau!$H$35-Q879)^2)</f>
        <v>33171104.725185003</v>
      </c>
    </row>
    <row r="880" spans="2:31" x14ac:dyDescent="0.25">
      <c r="B880" s="20">
        <v>877</v>
      </c>
      <c r="C880" s="21">
        <f>Tableau!$G$17*COS(B880*PI()/180)+Tableau!$G$16</f>
        <v>15397.475732737799</v>
      </c>
      <c r="D880" s="21">
        <f>Tableau!$G$17*SIN(B880*PI()/180)+Tableau!$H$16</f>
        <v>9453.6556424463706</v>
      </c>
      <c r="F880" s="28">
        <v>877</v>
      </c>
      <c r="G880" s="29">
        <f>Tableau!$G$26*COS(F880*PI()/180)+Tableau!$G$25</f>
        <v>-23221.766987083542</v>
      </c>
      <c r="H880" s="29">
        <f>Tableau!$G$26*SIN(F880*PI()/180)+Tableau!$H$25</f>
        <v>11367.55894971246</v>
      </c>
      <c r="J880" s="36">
        <v>877</v>
      </c>
      <c r="K880" s="37">
        <f>Tableau!$G$36*COS(J880*PI()/180)+Tableau!$G$35</f>
        <v>-9602.5242672622007</v>
      </c>
      <c r="L880" s="37">
        <f>Tableau!$G$36*SIN(J880*PI()/180)+Tableau!$H$35</f>
        <v>-13046.344357553629</v>
      </c>
      <c r="N880" s="92">
        <v>876</v>
      </c>
      <c r="O880" s="93">
        <v>438</v>
      </c>
      <c r="P880" s="96">
        <f>P879+R879*Tableau!$G$2+((1/2)*T879)*Tableau!$G$2^2</f>
        <v>-29804915.428985111</v>
      </c>
      <c r="Q880" s="96">
        <f>Q879+S879*Tableau!$G$2+((1/2)*U879)*Tableau!$G$2^2</f>
        <v>14642024.613491317</v>
      </c>
      <c r="R880" s="96">
        <f>R879+T879*Tableau!$G$2</f>
        <v>-68697.881976720368</v>
      </c>
      <c r="S880" s="96">
        <f>S879+U879*Tableau!$G$2</f>
        <v>33800.570451005013</v>
      </c>
      <c r="T880" s="96">
        <f t="shared" si="26"/>
        <v>9.9829309431989318E-4</v>
      </c>
      <c r="U880" s="96">
        <f t="shared" si="27"/>
        <v>-4.904248322625726E-4</v>
      </c>
      <c r="V880" s="96">
        <f>((Tableau!$G$16-P880)/(AC880^2+Tableau!$G$21^2)^(3/2))*Tableau!$G$20</f>
        <v>4.2589671945834976E-4</v>
      </c>
      <c r="W880" s="96">
        <f>((Tableau!$H$16-Q880)/(AC880^2+Tableau!$G$21^2)^(3/2))*Tableau!$G$20</f>
        <v>-2.0897950368238536E-4</v>
      </c>
      <c r="X880" s="96">
        <f>((Tableau!$G$25-P880)/(AD880^2+Tableau!$G$30^2)^(3/2))*Tableau!$G$29</f>
        <v>1.4637527555437692E-4</v>
      </c>
      <c r="Y880" s="96">
        <f>((Tableau!$H$25-Q880)/(AD880^2+Tableau!$G$30^2)^(3/2))*Tableau!$G$29</f>
        <v>-7.1907762834671761E-5</v>
      </c>
      <c r="Z880" s="96">
        <f>((Tableau!$G$35-P880)/(AE880^2+Tableau!$G$40^2)^(3/2))*Tableau!$G$39</f>
        <v>4.2602109930716645E-4</v>
      </c>
      <c r="AA880" s="97">
        <f>((Tableau!$H$35-Q880)/(AE880^2+Tableau!$G$40^2)^(3/2))*Tableau!$G$39</f>
        <v>-2.0953756574551544E-4</v>
      </c>
      <c r="AC880" s="110">
        <f>SQRT((Tableau!$G$16-P880)^2+(Tableau!$H$16-Q880)^2)</f>
        <v>33221903.78363343</v>
      </c>
      <c r="AD880" s="111">
        <f>SQRT((Tableau!$G$25-P880)^2+(Tableau!$H$25-Q880)^2)</f>
        <v>33184896.133657116</v>
      </c>
      <c r="AE880" s="112">
        <f>SQRT((Tableau!$G$35-P880)^2+(Tableau!$H$35-Q880)^2)</f>
        <v>33209386.174621705</v>
      </c>
    </row>
    <row r="881" spans="2:31" x14ac:dyDescent="0.25">
      <c r="B881" s="18">
        <v>878</v>
      </c>
      <c r="C881" s="19">
        <f>Tableau!$G$17*COS(B881*PI()/180)+Tableau!$G$16</f>
        <v>15364.080727166067</v>
      </c>
      <c r="D881" s="19">
        <f>Tableau!$G$17*SIN(B881*PI()/180)+Tableau!$H$16</f>
        <v>9373.0329670795672</v>
      </c>
      <c r="F881" s="26">
        <v>878</v>
      </c>
      <c r="G881" s="27">
        <f>Tableau!$G$26*COS(F881*PI()/180)+Tableau!$G$25</f>
        <v>-23245.143490983755</v>
      </c>
      <c r="H881" s="27">
        <f>Tableau!$G$26*SIN(F881*PI()/180)+Tableau!$H$25</f>
        <v>11311.123076955697</v>
      </c>
      <c r="J881" s="34">
        <v>878</v>
      </c>
      <c r="K881" s="35">
        <f>Tableau!$G$36*COS(J881*PI()/180)+Tableau!$G$35</f>
        <v>-9635.9192728339331</v>
      </c>
      <c r="L881" s="35">
        <f>Tableau!$G$36*SIN(J881*PI()/180)+Tableau!$H$35</f>
        <v>-13126.967032920433</v>
      </c>
      <c r="N881" s="98">
        <v>877</v>
      </c>
      <c r="O881" s="99">
        <v>438.5</v>
      </c>
      <c r="P881" s="101">
        <f>P880+R880*Tableau!$G$2+((1/2)*T880)*Tableau!$G$2^2</f>
        <v>-29839264.369848687</v>
      </c>
      <c r="Q881" s="101">
        <f>Q880+S880*Tableau!$G$2+((1/2)*U880)*Tableau!$G$2^2</f>
        <v>14658924.898655517</v>
      </c>
      <c r="R881" s="101">
        <f>R880+T880*Tableau!$G$2</f>
        <v>-68697.881477573814</v>
      </c>
      <c r="S881" s="101">
        <f>S880+U880*Tableau!$G$2</f>
        <v>33800.570205792596</v>
      </c>
      <c r="T881" s="101">
        <f t="shared" si="26"/>
        <v>9.9599532253632226E-4</v>
      </c>
      <c r="U881" s="101">
        <f t="shared" si="27"/>
        <v>-4.892968855233316E-4</v>
      </c>
      <c r="V881" s="101">
        <f>((Tableau!$G$16-P881)/(AC881^2+Tableau!$G$21^2)^(3/2))*Tableau!$G$20</f>
        <v>4.2491663784177539E-4</v>
      </c>
      <c r="W881" s="101">
        <f>((Tableau!$H$16-Q881)/(AC881^2+Tableau!$G$21^2)^(3/2))*Tableau!$G$20</f>
        <v>-2.084992493590868E-4</v>
      </c>
      <c r="X881" s="101">
        <f>((Tableau!$G$25-P881)/(AD881^2+Tableau!$G$30^2)^(3/2))*Tableau!$G$29</f>
        <v>1.4603809706283851E-4</v>
      </c>
      <c r="Y881" s="101">
        <f>((Tableau!$H$25-Q881)/(AD881^2+Tableau!$G$30^2)^(3/2))*Tableau!$G$29</f>
        <v>-7.1742249898666476E-5</v>
      </c>
      <c r="Z881" s="101">
        <f>((Tableau!$G$35-P881)/(AE881^2+Tableau!$G$40^2)^(3/2))*Tableau!$G$39</f>
        <v>4.2504058763170844E-4</v>
      </c>
      <c r="AA881" s="102">
        <f>((Tableau!$H$35-Q881)/(AE881^2+Tableau!$G$40^2)^(3/2))*Tableau!$G$39</f>
        <v>-2.0905538626557834E-4</v>
      </c>
      <c r="AC881" s="113">
        <f>SQRT((Tableau!$G$16-P881)^2+(Tableau!$H$16-Q881)^2)</f>
        <v>33260185.210991509</v>
      </c>
      <c r="AD881" s="114">
        <f>SQRT((Tableau!$G$25-P881)^2+(Tableau!$H$25-Q881)^2)</f>
        <v>33223177.575984165</v>
      </c>
      <c r="AE881" s="115">
        <f>SQRT((Tableau!$G$35-P881)^2+(Tableau!$H$35-Q881)^2)</f>
        <v>33247667.623780847</v>
      </c>
    </row>
    <row r="882" spans="2:31" x14ac:dyDescent="0.25">
      <c r="B882" s="20">
        <v>879</v>
      </c>
      <c r="C882" s="21">
        <f>Tableau!$G$17*COS(B882*PI()/180)+Tableau!$G$16</f>
        <v>15332.097867513992</v>
      </c>
      <c r="D882" s="21">
        <f>Tableau!$G$17*SIN(B882*PI()/180)+Tableau!$H$16</f>
        <v>9291.8397477265062</v>
      </c>
      <c r="F882" s="28">
        <v>879</v>
      </c>
      <c r="G882" s="29">
        <f>Tableau!$G$26*COS(F882*PI()/180)+Tableau!$G$25</f>
        <v>-23267.531492740207</v>
      </c>
      <c r="H882" s="29">
        <f>Tableau!$G$26*SIN(F882*PI()/180)+Tableau!$H$25</f>
        <v>11254.287823408555</v>
      </c>
      <c r="J882" s="36">
        <v>879</v>
      </c>
      <c r="K882" s="37">
        <f>Tableau!$G$36*COS(J882*PI()/180)+Tableau!$G$35</f>
        <v>-9667.9021324860078</v>
      </c>
      <c r="L882" s="37">
        <f>Tableau!$G$36*SIN(J882*PI()/180)+Tableau!$H$35</f>
        <v>-13208.160252273494</v>
      </c>
      <c r="N882" s="92">
        <v>878</v>
      </c>
      <c r="O882" s="93">
        <v>439</v>
      </c>
      <c r="P882" s="96">
        <f>P881+R881*Tableau!$G$2+((1/2)*T881)*Tableau!$G$2^2</f>
        <v>-29873613.310462974</v>
      </c>
      <c r="Q882" s="96">
        <f>Q881+S881*Tableau!$G$2+((1/2)*U881)*Tableau!$G$2^2</f>
        <v>14675825.183697252</v>
      </c>
      <c r="R882" s="96">
        <f>R881+T881*Tableau!$G$2</f>
        <v>-68697.880979576148</v>
      </c>
      <c r="S882" s="96">
        <f>S881+U881*Tableau!$G$2</f>
        <v>33800.569961144152</v>
      </c>
      <c r="T882" s="96">
        <f t="shared" si="26"/>
        <v>9.9370547482142599E-4</v>
      </c>
      <c r="U882" s="96">
        <f t="shared" si="27"/>
        <v>-4.8817282563209073E-4</v>
      </c>
      <c r="V882" s="96">
        <f>((Tableau!$G$16-P882)/(AC882^2+Tableau!$G$21^2)^(3/2))*Tableau!$G$20</f>
        <v>4.2393993541523238E-4</v>
      </c>
      <c r="W882" s="96">
        <f>((Tableau!$H$16-Q882)/(AC882^2+Tableau!$G$21^2)^(3/2))*Tableau!$G$20</f>
        <v>-2.0802064863967868E-4</v>
      </c>
      <c r="X882" s="96">
        <f>((Tableau!$G$25-P882)/(AD882^2+Tableau!$G$30^2)^(3/2))*Tableau!$G$29</f>
        <v>1.4570208227955244E-4</v>
      </c>
      <c r="Y882" s="96">
        <f>((Tableau!$H$25-Q882)/(AD882^2+Tableau!$G$30^2)^(3/2))*Tableau!$G$29</f>
        <v>-7.1577307758042056E-5</v>
      </c>
      <c r="Z882" s="96">
        <f>((Tableau!$G$35-P882)/(AE882^2+Tableau!$G$40^2)^(3/2))*Tableau!$G$39</f>
        <v>4.240634571266412E-4</v>
      </c>
      <c r="AA882" s="97">
        <f>((Tableau!$H$35-Q882)/(AE882^2+Tableau!$G$40^2)^(3/2))*Tableau!$G$39</f>
        <v>-2.0857486923437006E-4</v>
      </c>
      <c r="AC882" s="110">
        <f>SQRT((Tableau!$G$16-P882)^2+(Tableau!$H$16-Q882)^2)</f>
        <v>33298466.638122786</v>
      </c>
      <c r="AD882" s="111">
        <f>SQRT((Tableau!$G$25-P882)^2+(Tableau!$H$25-Q882)^2)</f>
        <v>33261459.018050011</v>
      </c>
      <c r="AE882" s="112">
        <f>SQRT((Tableau!$G$35-P882)^2+(Tableau!$H$35-Q882)^2)</f>
        <v>33285949.072663069</v>
      </c>
    </row>
    <row r="883" spans="2:31" x14ac:dyDescent="0.25">
      <c r="B883" s="18">
        <v>880</v>
      </c>
      <c r="C883" s="19">
        <f>Tableau!$G$17*COS(B883*PI()/180)+Tableau!$G$16</f>
        <v>15301.536896070458</v>
      </c>
      <c r="D883" s="19">
        <f>Tableau!$G$17*SIN(B883*PI()/180)+Tableau!$H$16</f>
        <v>9210.1007166283453</v>
      </c>
      <c r="F883" s="26">
        <v>880</v>
      </c>
      <c r="G883" s="27">
        <f>Tableau!$G$26*COS(F883*PI()/180)+Tableau!$G$25</f>
        <v>-23288.924172750678</v>
      </c>
      <c r="H883" s="27">
        <f>Tableau!$G$26*SIN(F883*PI()/180)+Tableau!$H$25</f>
        <v>11197.070501639841</v>
      </c>
      <c r="J883" s="34">
        <v>880</v>
      </c>
      <c r="K883" s="35">
        <f>Tableau!$G$36*COS(J883*PI()/180)+Tableau!$G$35</f>
        <v>-9698.4631039295418</v>
      </c>
      <c r="L883" s="35">
        <f>Tableau!$G$36*SIN(J883*PI()/180)+Tableau!$H$35</f>
        <v>-13289.899283371655</v>
      </c>
      <c r="N883" s="98">
        <v>879</v>
      </c>
      <c r="O883" s="99">
        <v>439.5</v>
      </c>
      <c r="P883" s="101">
        <f>P882+R882*Tableau!$G$2+((1/2)*T882)*Tableau!$G$2^2</f>
        <v>-29907962.250828549</v>
      </c>
      <c r="Q883" s="101">
        <f>Q882+S882*Tableau!$G$2+((1/2)*U882)*Tableau!$G$2^2</f>
        <v>14692725.468616802</v>
      </c>
      <c r="R883" s="101">
        <f>R882+T882*Tableau!$G$2</f>
        <v>-68697.880482723413</v>
      </c>
      <c r="S883" s="101">
        <f>S882+U882*Tableau!$G$2</f>
        <v>33800.56971705774</v>
      </c>
      <c r="T883" s="101">
        <f t="shared" si="26"/>
        <v>9.914235147811879E-4</v>
      </c>
      <c r="U883" s="101">
        <f t="shared" si="27"/>
        <v>-4.8705263475080527E-4</v>
      </c>
      <c r="V883" s="101">
        <f>((Tableau!$G$16-P883)/(AC883^2+Tableau!$G$21^2)^(3/2))*Tableau!$G$20</f>
        <v>4.2296659666188677E-4</v>
      </c>
      <c r="W883" s="101">
        <f>((Tableau!$H$16-Q883)/(AC883^2+Tableau!$G$21^2)^(3/2))*Tableau!$G$20</f>
        <v>-2.0754369394131904E-4</v>
      </c>
      <c r="X883" s="101">
        <f>((Tableau!$G$25-P883)/(AD883^2+Tableau!$G$30^2)^(3/2))*Tableau!$G$29</f>
        <v>1.4536722585557109E-4</v>
      </c>
      <c r="Y883" s="101">
        <f>((Tableau!$H$25-Q883)/(AD883^2+Tableau!$G$30^2)^(3/2))*Tableau!$G$29</f>
        <v>-7.1412933791181952E-5</v>
      </c>
      <c r="Z883" s="101">
        <f>((Tableau!$G$35-P883)/(AE883^2+Tableau!$G$40^2)^(3/2))*Tableau!$G$39</f>
        <v>4.2308969226372998E-4</v>
      </c>
      <c r="AA883" s="102">
        <f>((Tableau!$H$35-Q883)/(AE883^2+Tableau!$G$40^2)^(3/2))*Tableau!$G$39</f>
        <v>-2.0809600701830432E-4</v>
      </c>
      <c r="AC883" s="113">
        <f>SQRT((Tableau!$G$16-P883)^2+(Tableau!$H$16-Q883)^2)</f>
        <v>33336748.065027732</v>
      </c>
      <c r="AD883" s="114">
        <f>SQRT((Tableau!$G$25-P883)^2+(Tableau!$H$25-Q883)^2)</f>
        <v>33299740.459855251</v>
      </c>
      <c r="AE883" s="115">
        <f>SQRT((Tableau!$G$35-P883)^2+(Tableau!$H$35-Q883)^2)</f>
        <v>33324230.521269005</v>
      </c>
    </row>
    <row r="884" spans="2:31" x14ac:dyDescent="0.25">
      <c r="B884" s="20">
        <v>881</v>
      </c>
      <c r="C884" s="21">
        <f>Tableau!$G$17*COS(B884*PI()/180)+Tableau!$G$16</f>
        <v>15272.407122003415</v>
      </c>
      <c r="D884" s="21">
        <f>Tableau!$G$17*SIN(B884*PI()/180)+Tableau!$H$16</f>
        <v>9127.840772285781</v>
      </c>
      <c r="F884" s="28">
        <v>881</v>
      </c>
      <c r="G884" s="29">
        <f>Tableau!$G$26*COS(F884*PI()/180)+Tableau!$G$25</f>
        <v>-23309.315014597611</v>
      </c>
      <c r="H884" s="29">
        <f>Tableau!$G$26*SIN(F884*PI()/180)+Tableau!$H$25</f>
        <v>11139.488540600047</v>
      </c>
      <c r="J884" s="36">
        <v>881</v>
      </c>
      <c r="K884" s="37">
        <f>Tableau!$G$36*COS(J884*PI()/180)+Tableau!$G$35</f>
        <v>-9727.5928779965852</v>
      </c>
      <c r="L884" s="37">
        <f>Tableau!$G$36*SIN(J884*PI()/180)+Tableau!$H$35</f>
        <v>-13372.159227714219</v>
      </c>
      <c r="N884" s="92">
        <v>880</v>
      </c>
      <c r="O884" s="93">
        <v>440</v>
      </c>
      <c r="P884" s="96">
        <f>P883+R883*Tableau!$G$2+((1/2)*T883)*Tableau!$G$2^2</f>
        <v>-29942311.190945983</v>
      </c>
      <c r="Q884" s="96">
        <f>Q883+S883*Tableau!$G$2+((1/2)*U883)*Tableau!$G$2^2</f>
        <v>14709625.753414448</v>
      </c>
      <c r="R884" s="96">
        <f>R883+T883*Tableau!$G$2</f>
        <v>-68697.879987011649</v>
      </c>
      <c r="S884" s="96">
        <f>S883+U883*Tableau!$G$2</f>
        <v>33800.569473531425</v>
      </c>
      <c r="T884" s="96">
        <f t="shared" si="26"/>
        <v>9.8914940623030193E-4</v>
      </c>
      <c r="U884" s="96">
        <f t="shared" si="27"/>
        <v>-4.8593629514364907E-4</v>
      </c>
      <c r="V884" s="96">
        <f>((Tableau!$G$16-P884)/(AC884^2+Tableau!$G$21^2)^(3/2))*Tableau!$G$20</f>
        <v>4.2199660615385687E-4</v>
      </c>
      <c r="W884" s="96">
        <f>((Tableau!$H$16-Q884)/(AC884^2+Tableau!$G$21^2)^(3/2))*Tableau!$G$20</f>
        <v>-2.0706837772457666E-4</v>
      </c>
      <c r="X884" s="96">
        <f>((Tableau!$G$25-P884)/(AD884^2+Tableau!$G$30^2)^(3/2))*Tableau!$G$29</f>
        <v>1.4503352247264634E-4</v>
      </c>
      <c r="Y884" s="96">
        <f>((Tableau!$H$25-Q884)/(AD884^2+Tableau!$G$30^2)^(3/2))*Tableau!$G$29</f>
        <v>-7.1249125391504385E-5</v>
      </c>
      <c r="Z884" s="96">
        <f>((Tableau!$G$35-P884)/(AE884^2+Tableau!$G$40^2)^(3/2))*Tableau!$G$39</f>
        <v>4.2211927760379877E-4</v>
      </c>
      <c r="AA884" s="97">
        <f>((Tableau!$H$35-Q884)/(AE884^2+Tableau!$G$40^2)^(3/2))*Tableau!$G$39</f>
        <v>-2.0761879202756798E-4</v>
      </c>
      <c r="AC884" s="110">
        <f>SQRT((Tableau!$G$16-P884)^2+(Tableau!$H$16-Q884)^2)</f>
        <v>33375029.491706807</v>
      </c>
      <c r="AD884" s="111">
        <f>SQRT((Tableau!$G$25-P884)^2+(Tableau!$H$25-Q884)^2)</f>
        <v>33338021.901400458</v>
      </c>
      <c r="AE884" s="112">
        <f>SQRT((Tableau!$G$35-P884)^2+(Tableau!$H$35-Q884)^2)</f>
        <v>33362511.969599284</v>
      </c>
    </row>
    <row r="885" spans="2:31" x14ac:dyDescent="0.25">
      <c r="B885" s="18">
        <v>882</v>
      </c>
      <c r="C885" s="19">
        <f>Tableau!$G$17*COS(B885*PI()/180)+Tableau!$G$16</f>
        <v>15244.717418524233</v>
      </c>
      <c r="D885" s="19">
        <f>Tableau!$G$17*SIN(B885*PI()/180)+Tableau!$H$16</f>
        <v>9045.0849718747395</v>
      </c>
      <c r="F885" s="26">
        <v>882</v>
      </c>
      <c r="G885" s="27">
        <f>Tableau!$G$26*COS(F885*PI()/180)+Tableau!$G$25</f>
        <v>-23328.697807033037</v>
      </c>
      <c r="H885" s="27">
        <f>Tableau!$G$26*SIN(F885*PI()/180)+Tableau!$H$25</f>
        <v>11081.559480312319</v>
      </c>
      <c r="J885" s="34">
        <v>882</v>
      </c>
      <c r="K885" s="35">
        <f>Tableau!$G$36*COS(J885*PI()/180)+Tableau!$G$35</f>
        <v>-9755.2825814757671</v>
      </c>
      <c r="L885" s="35">
        <f>Tableau!$G$36*SIN(J885*PI()/180)+Tableau!$H$35</f>
        <v>-13454.915028125261</v>
      </c>
      <c r="N885" s="98">
        <v>881</v>
      </c>
      <c r="O885" s="99">
        <v>440.5</v>
      </c>
      <c r="P885" s="101">
        <f>P884+R884*Tableau!$G$2+((1/2)*T884)*Tableau!$G$2^2</f>
        <v>-29976660.130815845</v>
      </c>
      <c r="Q885" s="101">
        <f>Q884+S884*Tableau!$G$2+((1/2)*U884)*Tableau!$G$2^2</f>
        <v>14726526.038090471</v>
      </c>
      <c r="R885" s="101">
        <f>R884+T884*Tableau!$G$2</f>
        <v>-68697.879492436943</v>
      </c>
      <c r="S885" s="101">
        <f>S884+U884*Tableau!$G$2</f>
        <v>33800.569230563277</v>
      </c>
      <c r="T885" s="101">
        <f t="shared" si="26"/>
        <v>9.8688311319072896E-4</v>
      </c>
      <c r="U885" s="101">
        <f t="shared" si="27"/>
        <v>-4.848237891763078E-4</v>
      </c>
      <c r="V885" s="101">
        <f>((Tableau!$G$16-P885)/(AC885^2+Tableau!$G$21^2)^(3/2))*Tableau!$G$20</f>
        <v>4.2102994855162062E-4</v>
      </c>
      <c r="W885" s="101">
        <f>((Tableau!$H$16-Q885)/(AC885^2+Tableau!$G$21^2)^(3/2))*Tableau!$G$20</f>
        <v>-2.0659469249314209E-4</v>
      </c>
      <c r="X885" s="101">
        <f>((Tableau!$G$25-P885)/(AD885^2+Tableau!$G$30^2)^(3/2))*Tableau!$G$29</f>
        <v>1.4470096684301363E-4</v>
      </c>
      <c r="Y885" s="101">
        <f>((Tableau!$H$25-Q885)/(AD885^2+Tableau!$G$30^2)^(3/2))*Tableau!$G$29</f>
        <v>-7.1085879967356728E-5</v>
      </c>
      <c r="Z885" s="101">
        <f>((Tableau!$G$35-P885)/(AE885^2+Tableau!$G$40^2)^(3/2))*Tableau!$G$39</f>
        <v>4.2115219779609477E-4</v>
      </c>
      <c r="AA885" s="102">
        <f>((Tableau!$H$35-Q885)/(AE885^2+Tableau!$G$40^2)^(3/2))*Tableau!$G$39</f>
        <v>-2.07143216715809E-4</v>
      </c>
      <c r="AC885" s="113">
        <f>SQRT((Tableau!$G$16-P885)^2+(Tableau!$H$16-Q885)^2)</f>
        <v>33413310.918160476</v>
      </c>
      <c r="AD885" s="114">
        <f>SQRT((Tableau!$G$25-P885)^2+(Tableau!$H$25-Q885)^2)</f>
        <v>33376303.342686206</v>
      </c>
      <c r="AE885" s="115">
        <f>SQRT((Tableau!$G$35-P885)^2+(Tableau!$H$35-Q885)^2)</f>
        <v>33400793.417654552</v>
      </c>
    </row>
    <row r="886" spans="2:31" x14ac:dyDescent="0.25">
      <c r="B886" s="20">
        <v>883</v>
      </c>
      <c r="C886" s="21">
        <f>Tableau!$G$17*COS(B886*PI()/180)+Tableau!$G$16</f>
        <v>15218.476220184824</v>
      </c>
      <c r="D886" s="21">
        <f>Tableau!$G$17*SIN(B886*PI()/180)+Tableau!$H$16</f>
        <v>8961.8585236136914</v>
      </c>
      <c r="F886" s="28">
        <v>883</v>
      </c>
      <c r="G886" s="29">
        <f>Tableau!$G$26*COS(F886*PI()/180)+Tableau!$G$25</f>
        <v>-23347.066645870622</v>
      </c>
      <c r="H886" s="29">
        <f>Tableau!$G$26*SIN(F886*PI()/180)+Tableau!$H$25</f>
        <v>11023.300966529585</v>
      </c>
      <c r="J886" s="36">
        <v>883</v>
      </c>
      <c r="K886" s="37">
        <f>Tableau!$G$36*COS(J886*PI()/180)+Tableau!$G$35</f>
        <v>-9781.5237798151757</v>
      </c>
      <c r="L886" s="37">
        <f>Tableau!$G$36*SIN(J886*PI()/180)+Tableau!$H$35</f>
        <v>-13538.141476386309</v>
      </c>
      <c r="N886" s="92">
        <v>882</v>
      </c>
      <c r="O886" s="93">
        <v>441</v>
      </c>
      <c r="P886" s="96">
        <f>P885+R885*Tableau!$G$2+((1/2)*T885)*Tableau!$G$2^2</f>
        <v>-30011009.070438705</v>
      </c>
      <c r="Q886" s="96">
        <f>Q885+S885*Tableau!$G$2+((1/2)*U885)*Tableau!$G$2^2</f>
        <v>14743426.32264515</v>
      </c>
      <c r="R886" s="96">
        <f>R885+T885*Tableau!$G$2</f>
        <v>-68697.87899899538</v>
      </c>
      <c r="S886" s="96">
        <f>S885+U885*Tableau!$G$2</f>
        <v>33800.568988151383</v>
      </c>
      <c r="T886" s="96">
        <f t="shared" si="26"/>
        <v>9.8462459989026043E-4</v>
      </c>
      <c r="U886" s="96">
        <f t="shared" si="27"/>
        <v>-4.8371509931527672E-4</v>
      </c>
      <c r="V886" s="96">
        <f>((Tableau!$G$16-P886)/(AC886^2+Tableau!$G$21^2)^(3/2))*Tableau!$G$20</f>
        <v>4.2006660860340067E-4</v>
      </c>
      <c r="W886" s="96">
        <f>((Tableau!$H$16-Q886)/(AC886^2+Tableau!$G$21^2)^(3/2))*Tableau!$G$20</f>
        <v>-2.0612263079352802E-4</v>
      </c>
      <c r="X886" s="96">
        <f>((Tableau!$G$25-P886)/(AD886^2+Tableau!$G$30^2)^(3/2))*Tableau!$G$29</f>
        <v>1.4436955370918908E-4</v>
      </c>
      <c r="Y886" s="96">
        <f>((Tableau!$H$25-Q886)/(AD886^2+Tableau!$G$30^2)^(3/2))*Tableau!$G$29</f>
        <v>-7.0923194941916137E-5</v>
      </c>
      <c r="Z886" s="96">
        <f>((Tableau!$G$35-P886)/(AE886^2+Tableau!$G$40^2)^(3/2))*Tableau!$G$39</f>
        <v>4.201884375776706E-4</v>
      </c>
      <c r="AA886" s="97">
        <f>((Tableau!$H$35-Q886)/(AE886^2+Tableau!$G$40^2)^(3/2))*Tableau!$G$39</f>
        <v>-2.0666927357983252E-4</v>
      </c>
      <c r="AC886" s="110">
        <f>SQRT((Tableau!$G$16-P886)^2+(Tableau!$H$16-Q886)^2)</f>
        <v>33451592.344389196</v>
      </c>
      <c r="AD886" s="111">
        <f>SQRT((Tableau!$G$25-P886)^2+(Tableau!$H$25-Q886)^2)</f>
        <v>33414584.78371308</v>
      </c>
      <c r="AE886" s="112">
        <f>SQRT((Tableau!$G$35-P886)^2+(Tableau!$H$35-Q886)^2)</f>
        <v>33439074.865435425</v>
      </c>
    </row>
    <row r="887" spans="2:31" x14ac:dyDescent="0.25">
      <c r="B887" s="18">
        <v>884</v>
      </c>
      <c r="C887" s="19">
        <f>Tableau!$G$17*COS(B887*PI()/180)+Tableau!$G$16</f>
        <v>15193.691520308405</v>
      </c>
      <c r="D887" s="19">
        <f>Tableau!$G$17*SIN(B887*PI()/180)+Tableau!$H$16</f>
        <v>8878.1867790849919</v>
      </c>
      <c r="F887" s="26">
        <v>884</v>
      </c>
      <c r="G887" s="27">
        <f>Tableau!$G$26*COS(F887*PI()/180)+Tableau!$G$25</f>
        <v>-23364.415935784116</v>
      </c>
      <c r="H887" s="27">
        <f>Tableau!$G$26*SIN(F887*PI()/180)+Tableau!$H$25</f>
        <v>10964.730745359495</v>
      </c>
      <c r="J887" s="34">
        <v>884</v>
      </c>
      <c r="K887" s="35">
        <f>Tableau!$G$36*COS(J887*PI()/180)+Tableau!$G$35</f>
        <v>-9806.3084796915955</v>
      </c>
      <c r="L887" s="35">
        <f>Tableau!$G$36*SIN(J887*PI()/180)+Tableau!$H$35</f>
        <v>-13621.813220915008</v>
      </c>
      <c r="N887" s="98">
        <v>883</v>
      </c>
      <c r="O887" s="99">
        <v>441.5</v>
      </c>
      <c r="P887" s="101">
        <f>P886+R886*Tableau!$G$2+((1/2)*T886)*Tableau!$G$2^2</f>
        <v>-30045358.009815123</v>
      </c>
      <c r="Q887" s="101">
        <f>Q886+S886*Tableau!$G$2+((1/2)*U886)*Tableau!$G$2^2</f>
        <v>14760326.607078761</v>
      </c>
      <c r="R887" s="101">
        <f>R886+T886*Tableau!$G$2</f>
        <v>-68697.878506683075</v>
      </c>
      <c r="S887" s="101">
        <f>S886+U886*Tableau!$G$2</f>
        <v>33800.568746293829</v>
      </c>
      <c r="T887" s="101">
        <f t="shared" si="26"/>
        <v>9.8237383076112844E-4</v>
      </c>
      <c r="U887" s="101">
        <f t="shared" si="27"/>
        <v>-4.8261020812717984E-4</v>
      </c>
      <c r="V887" s="101">
        <f>((Tableau!$G$16-P887)/(AC887^2+Tableau!$G$21^2)^(3/2))*Tableau!$G$20</f>
        <v>4.1910657114454809E-4</v>
      </c>
      <c r="W887" s="101">
        <f>((Tableau!$H$16-Q887)/(AC887^2+Tableau!$G$21^2)^(3/2))*Tableau!$G$20</f>
        <v>-2.0565218521476897E-4</v>
      </c>
      <c r="X887" s="101">
        <f>((Tableau!$G$25-P887)/(AD887^2+Tableau!$G$30^2)^(3/2))*Tableau!$G$29</f>
        <v>1.4403927784375359E-4</v>
      </c>
      <c r="Y887" s="101">
        <f>((Tableau!$H$25-Q887)/(AD887^2+Tableau!$G$30^2)^(3/2))*Tableau!$G$29</f>
        <v>-7.0761067753083914E-5</v>
      </c>
      <c r="Z887" s="101">
        <f>((Tableau!$G$35-P887)/(AE887^2+Tableau!$G$40^2)^(3/2))*Tableau!$G$39</f>
        <v>4.1922798177282682E-4</v>
      </c>
      <c r="AA887" s="102">
        <f>((Tableau!$H$35-Q887)/(AE887^2+Tableau!$G$40^2)^(3/2))*Tableau!$G$39</f>
        <v>-2.0619695515932697E-4</v>
      </c>
      <c r="AC887" s="113">
        <f>SQRT((Tableau!$G$16-P887)^2+(Tableau!$H$16-Q887)^2)</f>
        <v>33489873.770393424</v>
      </c>
      <c r="AD887" s="114">
        <f>SQRT((Tableau!$G$25-P887)^2+(Tableau!$H$25-Q887)^2)</f>
        <v>33452866.224481642</v>
      </c>
      <c r="AE887" s="115">
        <f>SQRT((Tableau!$G$35-P887)^2+(Tableau!$H$35-Q887)^2)</f>
        <v>33477356.312942531</v>
      </c>
    </row>
    <row r="888" spans="2:31" x14ac:dyDescent="0.25">
      <c r="B888" s="20">
        <v>885</v>
      </c>
      <c r="C888" s="21">
        <f>Tableau!$G$17*COS(B888*PI()/180)+Tableau!$G$16</f>
        <v>15170.370868554659</v>
      </c>
      <c r="D888" s="21">
        <f>Tableau!$G$17*SIN(B888*PI()/180)+Tableau!$H$16</f>
        <v>8794.0952255126049</v>
      </c>
      <c r="F888" s="28">
        <v>885</v>
      </c>
      <c r="G888" s="29">
        <f>Tableau!$G$26*COS(F888*PI()/180)+Tableau!$G$25</f>
        <v>-23380.740392011739</v>
      </c>
      <c r="H888" s="29">
        <f>Tableau!$G$26*SIN(F888*PI()/180)+Tableau!$H$25</f>
        <v>10905.866657858824</v>
      </c>
      <c r="J888" s="36">
        <v>885</v>
      </c>
      <c r="K888" s="37">
        <f>Tableau!$G$36*COS(J888*PI()/180)+Tableau!$G$35</f>
        <v>-9829.629131445341</v>
      </c>
      <c r="L888" s="37">
        <f>Tableau!$G$36*SIN(J888*PI()/180)+Tableau!$H$35</f>
        <v>-13705.904774487395</v>
      </c>
      <c r="N888" s="92">
        <v>884</v>
      </c>
      <c r="O888" s="93">
        <v>442</v>
      </c>
      <c r="P888" s="96">
        <f>P887+R887*Tableau!$G$2+((1/2)*T887)*Tableau!$G$2^2</f>
        <v>-30079706.948945668</v>
      </c>
      <c r="Q888" s="96">
        <f>Q887+S887*Tableau!$G$2+((1/2)*U887)*Tableau!$G$2^2</f>
        <v>14777226.891391583</v>
      </c>
      <c r="R888" s="96">
        <f>R887+T887*Tableau!$G$2</f>
        <v>-68697.878015496157</v>
      </c>
      <c r="S888" s="96">
        <f>S887+U887*Tableau!$G$2</f>
        <v>33800.568504988725</v>
      </c>
      <c r="T888" s="96">
        <f t="shared" si="26"/>
        <v>9.8013077043860621E-4</v>
      </c>
      <c r="U888" s="96">
        <f t="shared" si="27"/>
        <v>-4.8150909827808508E-4</v>
      </c>
      <c r="V888" s="96">
        <f>((Tableau!$G$16-P888)/(AC888^2+Tableau!$G$21^2)^(3/2))*Tableau!$G$20</f>
        <v>4.1814982109698455E-4</v>
      </c>
      <c r="W888" s="96">
        <f>((Tableau!$H$16-Q888)/(AC888^2+Tableau!$G$21^2)^(3/2))*Tableau!$G$20</f>
        <v>-2.0518334838814912E-4</v>
      </c>
      <c r="X888" s="96">
        <f>((Tableau!$G$25-P888)/(AD888^2+Tableau!$G$30^2)^(3/2))*Tableau!$G$29</f>
        <v>1.4371013404915182E-4</v>
      </c>
      <c r="Y888" s="96">
        <f>((Tableau!$H$25-Q888)/(AD888^2+Tableau!$G$30^2)^(3/2))*Tableau!$G$29</f>
        <v>-7.0599495853387192E-5</v>
      </c>
      <c r="Z888" s="96">
        <f>((Tableau!$G$35-P888)/(AE888^2+Tableau!$G$40^2)^(3/2))*Tableau!$G$39</f>
        <v>4.1827081529246992E-4</v>
      </c>
      <c r="AA888" s="97">
        <f>((Tableau!$H$35-Q888)/(AE888^2+Tableau!$G$40^2)^(3/2))*Tableau!$G$39</f>
        <v>-2.0572625403654876E-4</v>
      </c>
      <c r="AC888" s="110">
        <f>SQRT((Tableau!$G$16-P888)^2+(Tableau!$H$16-Q888)^2)</f>
        <v>33528155.196173616</v>
      </c>
      <c r="AD888" s="111">
        <f>SQRT((Tableau!$G$25-P888)^2+(Tableau!$H$25-Q888)^2)</f>
        <v>33491147.664992481</v>
      </c>
      <c r="AE888" s="112">
        <f>SQRT((Tableau!$G$35-P888)^2+(Tableau!$H$35-Q888)^2)</f>
        <v>33515637.760176506</v>
      </c>
    </row>
    <row r="889" spans="2:31" x14ac:dyDescent="0.25">
      <c r="B889" s="18">
        <v>886</v>
      </c>
      <c r="C889" s="19">
        <f>Tableau!$G$17*COS(B889*PI()/180)+Tableau!$G$16</f>
        <v>15148.521368620019</v>
      </c>
      <c r="D889" s="19">
        <f>Tableau!$G$17*SIN(B889*PI()/180)+Tableau!$H$16</f>
        <v>8709.609477998345</v>
      </c>
      <c r="F889" s="26">
        <v>886</v>
      </c>
      <c r="G889" s="27">
        <f>Tableau!$G$26*COS(F889*PI()/180)+Tableau!$G$25</f>
        <v>-23396.035041965988</v>
      </c>
      <c r="H889" s="27">
        <f>Tableau!$G$26*SIN(F889*PI()/180)+Tableau!$H$25</f>
        <v>10846.726634598841</v>
      </c>
      <c r="J889" s="34">
        <v>886</v>
      </c>
      <c r="K889" s="35">
        <f>Tableau!$G$36*COS(J889*PI()/180)+Tableau!$G$35</f>
        <v>-9851.4786313799814</v>
      </c>
      <c r="L889" s="35">
        <f>Tableau!$G$36*SIN(J889*PI()/180)+Tableau!$H$35</f>
        <v>-13790.390522001655</v>
      </c>
      <c r="N889" s="98">
        <v>885</v>
      </c>
      <c r="O889" s="99">
        <v>442.5</v>
      </c>
      <c r="P889" s="101">
        <f>P888+R888*Tableau!$G$2+((1/2)*T888)*Tableau!$G$2^2</f>
        <v>-30114055.887830898</v>
      </c>
      <c r="Q889" s="101">
        <f>Q888+S888*Tableau!$G$2+((1/2)*U888)*Tableau!$G$2^2</f>
        <v>14794127.175583888</v>
      </c>
      <c r="R889" s="101">
        <f>R888+T888*Tableau!$G$2</f>
        <v>-68697.877525430769</v>
      </c>
      <c r="S889" s="101">
        <f>S888+U888*Tableau!$G$2</f>
        <v>33800.568264234178</v>
      </c>
      <c r="T889" s="101">
        <f t="shared" si="26"/>
        <v>9.778953837595839E-4</v>
      </c>
      <c r="U889" s="101">
        <f t="shared" si="27"/>
        <v>-4.8041175253280748E-4</v>
      </c>
      <c r="V889" s="101">
        <f>((Tableau!$G$16-P889)/(AC889^2+Tableau!$G$21^2)^(3/2))*Tableau!$G$20</f>
        <v>4.1719634346856115E-4</v>
      </c>
      <c r="W889" s="101">
        <f>((Tableau!$H$16-Q889)/(AC889^2+Tableau!$G$21^2)^(3/2))*Tableau!$G$20</f>
        <v>-2.0471611298689029E-4</v>
      </c>
      <c r="X889" s="101">
        <f>((Tableau!$G$25-P889)/(AD889^2+Tableau!$G$30^2)^(3/2))*Tableau!$G$29</f>
        <v>1.4338211715749196E-4</v>
      </c>
      <c r="Y889" s="101">
        <f>((Tableau!$H$25-Q889)/(AD889^2+Tableau!$G$30^2)^(3/2))*Tableau!$G$29</f>
        <v>-7.0438476709880858E-5</v>
      </c>
      <c r="Z889" s="101">
        <f>((Tableau!$G$35-P889)/(AE889^2+Tableau!$G$40^2)^(3/2))*Tableau!$G$39</f>
        <v>4.1731692313353087E-4</v>
      </c>
      <c r="AA889" s="102">
        <f>((Tableau!$H$35-Q889)/(AE889^2+Tableau!$G$40^2)^(3/2))*Tableau!$G$39</f>
        <v>-2.0525716283603632E-4</v>
      </c>
      <c r="AC889" s="113">
        <f>SQRT((Tableau!$G$16-P889)^2+(Tableau!$H$16-Q889)^2)</f>
        <v>33566436.621730223</v>
      </c>
      <c r="AD889" s="114">
        <f>SQRT((Tableau!$G$25-P889)^2+(Tableau!$H$25-Q889)^2)</f>
        <v>33529429.105246149</v>
      </c>
      <c r="AE889" s="115">
        <f>SQRT((Tableau!$G$35-P889)^2+(Tableau!$H$35-Q889)^2)</f>
        <v>33553919.207137961</v>
      </c>
    </row>
    <row r="890" spans="2:31" x14ac:dyDescent="0.25">
      <c r="B890" s="20">
        <v>887</v>
      </c>
      <c r="C890" s="21">
        <f>Tableau!$G$17*COS(B890*PI()/180)+Tableau!$G$16</f>
        <v>15128.149676073823</v>
      </c>
      <c r="D890" s="21">
        <f>Tableau!$G$17*SIN(B890*PI()/180)+Tableau!$H$16</f>
        <v>8624.7552717193194</v>
      </c>
      <c r="F890" s="28">
        <v>887</v>
      </c>
      <c r="G890" s="29">
        <f>Tableau!$G$26*COS(F890*PI()/180)+Tableau!$G$25</f>
        <v>-23410.295226748323</v>
      </c>
      <c r="H890" s="29">
        <f>Tableau!$G$26*SIN(F890*PI()/180)+Tableau!$H$25</f>
        <v>10787.328690203523</v>
      </c>
      <c r="J890" s="36">
        <v>887</v>
      </c>
      <c r="K890" s="37">
        <f>Tableau!$G$36*COS(J890*PI()/180)+Tableau!$G$35</f>
        <v>-9871.8503239261772</v>
      </c>
      <c r="L890" s="37">
        <f>Tableau!$G$36*SIN(J890*PI()/180)+Tableau!$H$35</f>
        <v>-13875.244728280681</v>
      </c>
      <c r="N890" s="92">
        <v>886</v>
      </c>
      <c r="O890" s="93">
        <v>443</v>
      </c>
      <c r="P890" s="96">
        <f>P889+R889*Tableau!$G$2+((1/2)*T889)*Tableau!$G$2^2</f>
        <v>-30148404.826471377</v>
      </c>
      <c r="Q890" s="96">
        <f>Q889+S889*Tableau!$G$2+((1/2)*U889)*Tableau!$G$2^2</f>
        <v>14811027.459655954</v>
      </c>
      <c r="R890" s="96">
        <f>R889+T889*Tableau!$G$2</f>
        <v>-68697.877036483071</v>
      </c>
      <c r="S890" s="96">
        <f>S889+U889*Tableau!$G$2</f>
        <v>33800.568024028304</v>
      </c>
      <c r="T890" s="96">
        <f t="shared" si="26"/>
        <v>9.7566763576123928E-4</v>
      </c>
      <c r="U890" s="96">
        <f t="shared" si="27"/>
        <v>-4.7931815375425836E-4</v>
      </c>
      <c r="V890" s="96">
        <f>((Tableau!$G$16-P890)/(AC890^2+Tableau!$G$21^2)^(3/2))*Tableau!$G$20</f>
        <v>4.1624612335251608E-4</v>
      </c>
      <c r="W890" s="96">
        <f>((Tableau!$H$16-Q890)/(AC890^2+Tableau!$G$21^2)^(3/2))*Tableau!$G$20</f>
        <v>-2.042504717258872E-4</v>
      </c>
      <c r="X890" s="96">
        <f>((Tableau!$G$25-P890)/(AD890^2+Tableau!$G$30^2)^(3/2))*Tableau!$G$29</f>
        <v>1.4305522203033122E-4</v>
      </c>
      <c r="Y890" s="96">
        <f>((Tableau!$H$25-Q890)/(AD890^2+Tableau!$G$30^2)^(3/2))*Tableau!$G$29</f>
        <v>-7.0278007804042657E-5</v>
      </c>
      <c r="Z890" s="96">
        <f>((Tableau!$G$35-P890)/(AE890^2+Tableau!$G$40^2)^(3/2))*Tableau!$G$39</f>
        <v>4.1636629037839195E-4</v>
      </c>
      <c r="AA890" s="97">
        <f>((Tableau!$H$35-Q890)/(AE890^2+Tableau!$G$40^2)^(3/2))*Tableau!$G$39</f>
        <v>-2.0478967422432847E-4</v>
      </c>
      <c r="AC890" s="110">
        <f>SQRT((Tableau!$G$16-P890)^2+(Tableau!$H$16-Q890)^2)</f>
        <v>33604718.047063708</v>
      </c>
      <c r="AD890" s="111">
        <f>SQRT((Tableau!$G$25-P890)^2+(Tableau!$H$25-Q890)^2)</f>
        <v>33567710.545243226</v>
      </c>
      <c r="AE890" s="112">
        <f>SQRT((Tableau!$G$35-P890)^2+(Tableau!$H$35-Q890)^2)</f>
        <v>33592200.653827526</v>
      </c>
    </row>
    <row r="891" spans="2:31" x14ac:dyDescent="0.25">
      <c r="B891" s="18">
        <v>888</v>
      </c>
      <c r="C891" s="19">
        <f>Tableau!$G$17*COS(B891*PI()/180)+Tableau!$G$16</f>
        <v>15109.261996330972</v>
      </c>
      <c r="D891" s="19">
        <f>Tableau!$G$17*SIN(B891*PI()/180)+Tableau!$H$16</f>
        <v>8539.5584540887976</v>
      </c>
      <c r="F891" s="26">
        <v>888</v>
      </c>
      <c r="G891" s="27">
        <f>Tableau!$G$26*COS(F891*PI()/180)+Tableau!$G$25</f>
        <v>-23423.516602568321</v>
      </c>
      <c r="H891" s="27">
        <f>Tableau!$G$26*SIN(F891*PI()/180)+Tableau!$H$25</f>
        <v>10727.690917862157</v>
      </c>
      <c r="J891" s="34">
        <v>888</v>
      </c>
      <c r="K891" s="35">
        <f>Tableau!$G$36*COS(J891*PI()/180)+Tableau!$G$35</f>
        <v>-9890.7380036690283</v>
      </c>
      <c r="L891" s="35">
        <f>Tableau!$G$36*SIN(J891*PI()/180)+Tableau!$H$35</f>
        <v>-13960.441545911202</v>
      </c>
      <c r="N891" s="98">
        <v>887</v>
      </c>
      <c r="O891" s="99">
        <v>443.5</v>
      </c>
      <c r="P891" s="101">
        <f>P890+R890*Tableau!$G$2+((1/2)*T890)*Tableau!$G$2^2</f>
        <v>-30182753.76486766</v>
      </c>
      <c r="Q891" s="101">
        <f>Q890+S890*Tableau!$G$2+((1/2)*U890)*Tableau!$G$2^2</f>
        <v>14827927.743608054</v>
      </c>
      <c r="R891" s="101">
        <f>R890+T890*Tableau!$G$2</f>
        <v>-68697.876548649248</v>
      </c>
      <c r="S891" s="101">
        <f>S890+U890*Tableau!$G$2</f>
        <v>33800.567784369225</v>
      </c>
      <c r="T891" s="101">
        <f t="shared" si="26"/>
        <v>9.7344749167963657E-4</v>
      </c>
      <c r="U891" s="101">
        <f t="shared" si="27"/>
        <v>-4.7822828490276016E-4</v>
      </c>
      <c r="V891" s="101">
        <f>((Tableau!$G$16-P891)/(AC891^2+Tableau!$G$21^2)^(3/2))*Tableau!$G$20</f>
        <v>4.1529914592685409E-4</v>
      </c>
      <c r="W891" s="101">
        <f>((Tableau!$H$16-Q891)/(AC891^2+Tableau!$G$21^2)^(3/2))*Tableau!$G$20</f>
        <v>-2.0378641736140538E-4</v>
      </c>
      <c r="X891" s="101">
        <f>((Tableau!$G$25-P891)/(AD891^2+Tableau!$G$30^2)^(3/2))*Tableau!$G$29</f>
        <v>1.4272944355848662E-4</v>
      </c>
      <c r="Y891" s="101">
        <f>((Tableau!$H$25-Q891)/(AD891^2+Tableau!$G$30^2)^(3/2))*Tableau!$G$29</f>
        <v>-7.011808663168053E-5</v>
      </c>
      <c r="Z891" s="101">
        <f>((Tableau!$G$35-P891)/(AE891^2+Tableau!$G$40^2)^(3/2))*Tableau!$G$39</f>
        <v>4.1541890219429597E-4</v>
      </c>
      <c r="AA891" s="102">
        <f>((Tableau!$H$35-Q891)/(AE891^2+Tableau!$G$40^2)^(3/2))*Tableau!$G$39</f>
        <v>-2.0432378090967423E-4</v>
      </c>
      <c r="AC891" s="113">
        <f>SQRT((Tableau!$G$16-P891)^2+(Tableau!$H$16-Q891)^2)</f>
        <v>33642999.472174518</v>
      </c>
      <c r="AD891" s="114">
        <f>SQRT((Tableau!$G$25-P891)^2+(Tableau!$H$25-Q891)^2)</f>
        <v>33605991.984984279</v>
      </c>
      <c r="AE891" s="115">
        <f>SQRT((Tableau!$G$35-P891)^2+(Tableau!$H$35-Q891)^2)</f>
        <v>33630482.100245811</v>
      </c>
    </row>
    <row r="892" spans="2:31" x14ac:dyDescent="0.25">
      <c r="B892" s="20">
        <v>889</v>
      </c>
      <c r="C892" s="21">
        <f>Tableau!$G$17*COS(B892*PI()/180)+Tableau!$G$16</f>
        <v>15091.86408276168</v>
      </c>
      <c r="D892" s="21">
        <f>Tableau!$G$17*SIN(B892*PI()/180)+Tableau!$H$16</f>
        <v>8454.0449768827293</v>
      </c>
      <c r="F892" s="28">
        <v>889</v>
      </c>
      <c r="G892" s="29">
        <f>Tableau!$G$26*COS(F892*PI()/180)+Tableau!$G$25</f>
        <v>-23435.695142066823</v>
      </c>
      <c r="H892" s="29">
        <f>Tableau!$G$26*SIN(F892*PI()/180)+Tableau!$H$25</f>
        <v>10667.83148381791</v>
      </c>
      <c r="J892" s="36">
        <v>889</v>
      </c>
      <c r="K892" s="37">
        <f>Tableau!$G$36*COS(J892*PI()/180)+Tableau!$G$35</f>
        <v>-9908.13591723832</v>
      </c>
      <c r="L892" s="37">
        <f>Tableau!$G$36*SIN(J892*PI()/180)+Tableau!$H$35</f>
        <v>-14045.955023117271</v>
      </c>
      <c r="N892" s="92">
        <v>888</v>
      </c>
      <c r="O892" s="93">
        <v>444</v>
      </c>
      <c r="P892" s="96">
        <f>P891+R891*Tableau!$G$2+((1/2)*T891)*Tableau!$G$2^2</f>
        <v>-30217102.703020304</v>
      </c>
      <c r="Q892" s="96">
        <f>Q891+S891*Tableau!$G$2+((1/2)*U891)*Tableau!$G$2^2</f>
        <v>14844828.02744046</v>
      </c>
      <c r="R892" s="96">
        <f>R891+T891*Tableau!$G$2</f>
        <v>-68697.876061925504</v>
      </c>
      <c r="S892" s="96">
        <f>S891+U891*Tableau!$G$2</f>
        <v>33800.567545255086</v>
      </c>
      <c r="T892" s="96">
        <f t="shared" si="26"/>
        <v>9.7123491694837993E-4</v>
      </c>
      <c r="U892" s="96">
        <f t="shared" si="27"/>
        <v>-4.7714212903538633E-4</v>
      </c>
      <c r="V892" s="96">
        <f>((Tableau!$G$16-P892)/(AC892^2+Tableau!$G$21^2)^(3/2))*Tableau!$G$20</f>
        <v>4.1435539645380049E-4</v>
      </c>
      <c r="W892" s="96">
        <f>((Tableau!$H$16-Q892)/(AC892^2+Tableau!$G$21^2)^(3/2))*Tableau!$G$20</f>
        <v>-2.0332394269081467E-4</v>
      </c>
      <c r="X892" s="96">
        <f>((Tableau!$G$25-P892)/(AD892^2+Tableau!$G$30^2)^(3/2))*Tableau!$G$29</f>
        <v>1.4240477666182483E-4</v>
      </c>
      <c r="Y892" s="96">
        <f>((Tableau!$H$25-Q892)/(AD892^2+Tableau!$G$30^2)^(3/2))*Tableau!$G$29</f>
        <v>-6.9958710702829836E-5</v>
      </c>
      <c r="Z892" s="96">
        <f>((Tableau!$G$35-P892)/(AE892^2+Tableau!$G$40^2)^(3/2))*Tableau!$G$39</f>
        <v>4.1447474383275452E-4</v>
      </c>
      <c r="AA892" s="97">
        <f>((Tableau!$H$35-Q892)/(AE892^2+Tableau!$G$40^2)^(3/2))*Tableau!$G$39</f>
        <v>-2.0385947564174184E-4</v>
      </c>
      <c r="AC892" s="110">
        <f>SQRT((Tableau!$G$16-P892)^2+(Tableau!$H$16-Q892)^2)</f>
        <v>33681280.897063106</v>
      </c>
      <c r="AD892" s="111">
        <f>SQRT((Tableau!$G$25-P892)^2+(Tableau!$H$25-Q892)^2)</f>
        <v>33644273.424469866</v>
      </c>
      <c r="AE892" s="112">
        <f>SQRT((Tableau!$G$35-P892)^2+(Tableau!$H$35-Q892)^2)</f>
        <v>33668763.546393439</v>
      </c>
    </row>
    <row r="893" spans="2:31" x14ac:dyDescent="0.25">
      <c r="B893" s="18">
        <v>890</v>
      </c>
      <c r="C893" s="19">
        <f>Tableau!$G$17*COS(B893*PI()/180)+Tableau!$G$16</f>
        <v>15075.961234938961</v>
      </c>
      <c r="D893" s="19">
        <f>Tableau!$G$17*SIN(B893*PI()/180)+Tableau!$H$16</f>
        <v>8368.2408883346616</v>
      </c>
      <c r="F893" s="26">
        <v>890</v>
      </c>
      <c r="G893" s="27">
        <f>Tableau!$G$26*COS(F893*PI()/180)+Tableau!$G$25</f>
        <v>-23446.827135542728</v>
      </c>
      <c r="H893" s="27">
        <f>Tableau!$G$26*SIN(F893*PI()/180)+Tableau!$H$25</f>
        <v>10607.768621834264</v>
      </c>
      <c r="J893" s="34">
        <v>890</v>
      </c>
      <c r="K893" s="35">
        <f>Tableau!$G$36*COS(J893*PI()/180)+Tableau!$G$35</f>
        <v>-9924.0387650610392</v>
      </c>
      <c r="L893" s="35">
        <f>Tableau!$G$36*SIN(J893*PI()/180)+Tableau!$H$35</f>
        <v>-14131.759111665338</v>
      </c>
      <c r="N893" s="98">
        <v>889</v>
      </c>
      <c r="O893" s="99">
        <v>444.5</v>
      </c>
      <c r="P893" s="101">
        <f>P892+R892*Tableau!$G$2+((1/2)*T892)*Tableau!$G$2^2</f>
        <v>-30251451.640929863</v>
      </c>
      <c r="Q893" s="101">
        <f>Q892+S892*Tableau!$G$2+((1/2)*U892)*Tableau!$G$2^2</f>
        <v>14861728.311153445</v>
      </c>
      <c r="R893" s="101">
        <f>R892+T892*Tableau!$G$2</f>
        <v>-68697.875576308041</v>
      </c>
      <c r="S893" s="101">
        <f>S892+U892*Tableau!$G$2</f>
        <v>33800.567306684025</v>
      </c>
      <c r="T893" s="101">
        <f t="shared" si="26"/>
        <v>9.6902987719727255E-4</v>
      </c>
      <c r="U893" s="101">
        <f t="shared" si="27"/>
        <v>-4.7605966930530658E-4</v>
      </c>
      <c r="V893" s="101">
        <f>((Tableau!$G$16-P893)/(AC893^2+Tableau!$G$21^2)^(3/2))*Tableau!$G$20</f>
        <v>4.1341486027920461E-4</v>
      </c>
      <c r="W893" s="101">
        <f>((Tableau!$H$16-Q893)/(AC893^2+Tableau!$G$21^2)^(3/2))*Tableau!$G$20</f>
        <v>-2.0286304055229881E-4</v>
      </c>
      <c r="X893" s="101">
        <f>((Tableau!$G$25-P893)/(AD893^2+Tableau!$G$30^2)^(3/2))*Tableau!$G$29</f>
        <v>1.4208121628907477E-4</v>
      </c>
      <c r="Y893" s="101">
        <f>((Tableau!$H$25-Q893)/(AD893^2+Tableau!$G$30^2)^(3/2))*Tableau!$G$29</f>
        <v>-6.9799877541661557E-5</v>
      </c>
      <c r="Z893" s="101">
        <f>((Tableau!$G$35-P893)/(AE893^2+Tableau!$G$40^2)^(3/2))*Tableau!$G$39</f>
        <v>4.1353380062899312E-4</v>
      </c>
      <c r="AA893" s="102">
        <f>((Tableau!$H$35-Q893)/(AE893^2+Tableau!$G$40^2)^(3/2))*Tableau!$G$39</f>
        <v>-2.0339675121134622E-4</v>
      </c>
      <c r="AC893" s="113">
        <f>SQRT((Tableau!$G$16-P893)^2+(Tableau!$H$16-Q893)^2)</f>
        <v>33719562.321729913</v>
      </c>
      <c r="AD893" s="114">
        <f>SQRT((Tableau!$G$25-P893)^2+(Tableau!$H$25-Q893)^2)</f>
        <v>33682554.863700554</v>
      </c>
      <c r="AE893" s="115">
        <f>SQRT((Tableau!$G$35-P893)^2+(Tableau!$H$35-Q893)^2)</f>
        <v>33707044.992271028</v>
      </c>
    </row>
    <row r="894" spans="2:31" x14ac:dyDescent="0.25">
      <c r="B894" s="20">
        <v>891</v>
      </c>
      <c r="C894" s="21">
        <f>Tableau!$G$17*COS(B894*PI()/180)+Tableau!$G$16</f>
        <v>15061.558297024312</v>
      </c>
      <c r="D894" s="21">
        <f>Tableau!$G$17*SIN(B894*PI()/180)+Tableau!$H$16</f>
        <v>8282.1723252011525</v>
      </c>
      <c r="F894" s="28">
        <v>891</v>
      </c>
      <c r="G894" s="29">
        <f>Tableau!$G$26*COS(F894*PI()/180)+Tableau!$G$25</f>
        <v>-23456.909192082981</v>
      </c>
      <c r="H894" s="29">
        <f>Tableau!$G$26*SIN(F894*PI()/180)+Tableau!$H$25</f>
        <v>10547.520627640806</v>
      </c>
      <c r="J894" s="36">
        <v>891</v>
      </c>
      <c r="K894" s="37">
        <f>Tableau!$G$36*COS(J894*PI()/180)+Tableau!$G$35</f>
        <v>-9938.4417029756878</v>
      </c>
      <c r="L894" s="37">
        <f>Tableau!$G$36*SIN(J894*PI()/180)+Tableau!$H$35</f>
        <v>-14217.827674798848</v>
      </c>
      <c r="N894" s="92">
        <v>890</v>
      </c>
      <c r="O894" s="93">
        <v>445</v>
      </c>
      <c r="P894" s="96">
        <f>P893+R893*Tableau!$G$2+((1/2)*T893)*Tableau!$G$2^2</f>
        <v>-30285800.57859689</v>
      </c>
      <c r="Q894" s="96">
        <f>Q893+S893*Tableau!$G$2+((1/2)*U893)*Tableau!$G$2^2</f>
        <v>14878628.594747279</v>
      </c>
      <c r="R894" s="96">
        <f>R893+T893*Tableau!$G$2</f>
        <v>-68697.875091793103</v>
      </c>
      <c r="S894" s="96">
        <f>S893+U893*Tableau!$G$2</f>
        <v>33800.567068654193</v>
      </c>
      <c r="T894" s="96">
        <f t="shared" si="26"/>
        <v>9.6683233825096721E-4</v>
      </c>
      <c r="U894" s="96">
        <f t="shared" si="27"/>
        <v>-4.7498088896112499E-4</v>
      </c>
      <c r="V894" s="96">
        <f>((Tableau!$G$16-P894)/(AC894^2+Tableau!$G$21^2)^(3/2))*Tableau!$G$20</f>
        <v>4.1247752283198096E-4</v>
      </c>
      <c r="W894" s="96">
        <f>((Tableau!$H$16-Q894)/(AC894^2+Tableau!$G$21^2)^(3/2))*Tableau!$G$20</f>
        <v>-2.024037038245828E-4</v>
      </c>
      <c r="X894" s="96">
        <f>((Tableau!$G$25-P894)/(AD894^2+Tableau!$G$30^2)^(3/2))*Tableau!$G$29</f>
        <v>1.4175875741762124E-4</v>
      </c>
      <c r="Y894" s="96">
        <f>((Tableau!$H$25-Q894)/(AD894^2+Tableau!$G$30^2)^(3/2))*Tableau!$G$29</f>
        <v>-6.9641584686381389E-5</v>
      </c>
      <c r="Z894" s="96">
        <f>((Tableau!$G$35-P894)/(AE894^2+Tableau!$G$40^2)^(3/2))*Tableau!$G$39</f>
        <v>4.1259605800136499E-4</v>
      </c>
      <c r="AA894" s="97">
        <f>((Tableau!$H$35-Q894)/(AE894^2+Tableau!$G$40^2)^(3/2))*Tableau!$G$39</f>
        <v>-2.0293560045016079E-4</v>
      </c>
      <c r="AC894" s="110">
        <f>SQRT((Tableau!$G$16-P894)^2+(Tableau!$H$16-Q894)^2)</f>
        <v>33757843.746175401</v>
      </c>
      <c r="AD894" s="111">
        <f>SQRT((Tableau!$G$25-P894)^2+(Tableau!$H$25-Q894)^2)</f>
        <v>33720836.302676901</v>
      </c>
      <c r="AE894" s="112">
        <f>SQRT((Tableau!$G$35-P894)^2+(Tableau!$H$35-Q894)^2)</f>
        <v>33745326.437879182</v>
      </c>
    </row>
    <row r="895" spans="2:31" x14ac:dyDescent="0.25">
      <c r="B895" s="18">
        <v>892</v>
      </c>
      <c r="C895" s="19">
        <f>Tableau!$G$17*COS(B895*PI()/180)+Tableau!$G$16</f>
        <v>15048.659656292148</v>
      </c>
      <c r="D895" s="19">
        <f>Tableau!$G$17*SIN(B895*PI()/180)+Tableau!$H$16</f>
        <v>8195.8655048003311</v>
      </c>
      <c r="F895" s="26">
        <v>892</v>
      </c>
      <c r="G895" s="27">
        <f>Tableau!$G$26*COS(F895*PI()/180)+Tableau!$G$25</f>
        <v>-23465.938240595497</v>
      </c>
      <c r="H895" s="27">
        <f>Tableau!$G$26*SIN(F895*PI()/180)+Tableau!$H$25</f>
        <v>10487.105853360232</v>
      </c>
      <c r="J895" s="34">
        <v>892</v>
      </c>
      <c r="K895" s="35">
        <f>Tableau!$G$36*COS(J895*PI()/180)+Tableau!$G$35</f>
        <v>-9951.3403437078523</v>
      </c>
      <c r="L895" s="35">
        <f>Tableau!$G$36*SIN(J895*PI()/180)+Tableau!$H$35</f>
        <v>-14304.134495199669</v>
      </c>
      <c r="N895" s="98">
        <v>891</v>
      </c>
      <c r="O895" s="99">
        <v>445.5</v>
      </c>
      <c r="P895" s="101">
        <f>P894+R894*Tableau!$G$2+((1/2)*T894)*Tableau!$G$2^2</f>
        <v>-30320149.51602193</v>
      </c>
      <c r="Q895" s="101">
        <f>Q894+S894*Tableau!$G$2+((1/2)*U894)*Tableau!$G$2^2</f>
        <v>14895528.878222235</v>
      </c>
      <c r="R895" s="101">
        <f>R894+T894*Tableau!$G$2</f>
        <v>-68697.874608376937</v>
      </c>
      <c r="S895" s="101">
        <f>S894+U894*Tableau!$G$2</f>
        <v>33800.566831163749</v>
      </c>
      <c r="T895" s="101">
        <f t="shared" si="26"/>
        <v>9.6464226612766964E-4</v>
      </c>
      <c r="U895" s="101">
        <f t="shared" si="27"/>
        <v>-4.7390577134624648E-4</v>
      </c>
      <c r="V895" s="101">
        <f>((Tableau!$G$16-P895)/(AC895^2+Tableau!$G$21^2)^(3/2))*Tableau!$G$20</f>
        <v>4.1154336962354195E-4</v>
      </c>
      <c r="W895" s="101">
        <f>((Tableau!$H$16-Q895)/(AC895^2+Tableau!$G$21^2)^(3/2))*Tableau!$G$20</f>
        <v>-2.0194592542665673E-4</v>
      </c>
      <c r="X895" s="101">
        <f>((Tableau!$G$25-P895)/(AD895^2+Tableau!$G$30^2)^(3/2))*Tableau!$G$29</f>
        <v>1.4143739505331754E-4</v>
      </c>
      <c r="Y895" s="101">
        <f>((Tableau!$H$25-Q895)/(AD895^2+Tableau!$G$30^2)^(3/2))*Tableau!$G$29</f>
        <v>-6.9483829689137989E-5</v>
      </c>
      <c r="Z895" s="101">
        <f>((Tableau!$G$35-P895)/(AE895^2+Tableau!$G$40^2)^(3/2))*Tableau!$G$39</f>
        <v>4.1166150145081014E-4</v>
      </c>
      <c r="AA895" s="102">
        <f>((Tableau!$H$35-Q895)/(AE895^2+Tableau!$G$40^2)^(3/2))*Tableau!$G$39</f>
        <v>-2.0247601623045179E-4</v>
      </c>
      <c r="AC895" s="113">
        <f>SQRT((Tableau!$G$16-P895)^2+(Tableau!$H$16-Q895)^2)</f>
        <v>33796125.170400009</v>
      </c>
      <c r="AD895" s="114">
        <f>SQRT((Tableau!$G$25-P895)^2+(Tableau!$H$25-Q895)^2)</f>
        <v>33759117.741399467</v>
      </c>
      <c r="AE895" s="115">
        <f>SQRT((Tableau!$G$35-P895)^2+(Tableau!$H$35-Q895)^2)</f>
        <v>33783607.883218512</v>
      </c>
    </row>
    <row r="896" spans="2:31" x14ac:dyDescent="0.25">
      <c r="B896" s="20">
        <v>893</v>
      </c>
      <c r="C896" s="21">
        <f>Tableau!$G$17*COS(B896*PI()/180)+Tableau!$G$16</f>
        <v>15037.26924179339</v>
      </c>
      <c r="D896" s="21">
        <f>Tableau!$G$17*SIN(B896*PI()/180)+Tableau!$H$16</f>
        <v>8109.3467170257463</v>
      </c>
      <c r="F896" s="28">
        <v>893</v>
      </c>
      <c r="G896" s="29">
        <f>Tableau!$G$26*COS(F896*PI()/180)+Tableau!$G$25</f>
        <v>-23473.911530744626</v>
      </c>
      <c r="H896" s="29">
        <f>Tableau!$G$26*SIN(F896*PI()/180)+Tableau!$H$25</f>
        <v>10426.542701918022</v>
      </c>
      <c r="J896" s="36">
        <v>893</v>
      </c>
      <c r="K896" s="37">
        <f>Tableau!$G$36*COS(J896*PI()/180)+Tableau!$G$35</f>
        <v>-9962.7307582066096</v>
      </c>
      <c r="L896" s="37">
        <f>Tableau!$G$36*SIN(J896*PI()/180)+Tableau!$H$35</f>
        <v>-14390.653282974254</v>
      </c>
      <c r="N896" s="92">
        <v>892</v>
      </c>
      <c r="O896" s="93">
        <v>446</v>
      </c>
      <c r="P896" s="96">
        <f>P895+R895*Tableau!$G$2+((1/2)*T895)*Tableau!$G$2^2</f>
        <v>-30354498.453205537</v>
      </c>
      <c r="Q896" s="96">
        <f>Q895+S895*Tableau!$G$2+((1/2)*U895)*Tableau!$G$2^2</f>
        <v>14912429.161578579</v>
      </c>
      <c r="R896" s="96">
        <f>R895+T895*Tableau!$G$2</f>
        <v>-68697.874126055802</v>
      </c>
      <c r="S896" s="96">
        <f>S895+U895*Tableau!$G$2</f>
        <v>33800.566594210861</v>
      </c>
      <c r="T896" s="96">
        <f t="shared" si="26"/>
        <v>9.6245962703779293E-4</v>
      </c>
      <c r="U896" s="96">
        <f t="shared" si="27"/>
        <v>-4.7283429989821747E-4</v>
      </c>
      <c r="V896" s="96">
        <f>((Tableau!$G$16-P896)/(AC896^2+Tableau!$G$21^2)^(3/2))*Tableau!$G$20</f>
        <v>4.1061238624724771E-4</v>
      </c>
      <c r="W896" s="96">
        <f>((Tableau!$H$16-Q896)/(AC896^2+Tableau!$G$21^2)^(3/2))*Tableau!$G$20</f>
        <v>-2.014896983175071E-4</v>
      </c>
      <c r="X896" s="96">
        <f>((Tableau!$G$25-P896)/(AD896^2+Tableau!$G$30^2)^(3/2))*Tableau!$G$29</f>
        <v>1.4111712423028511E-4</v>
      </c>
      <c r="Y896" s="96">
        <f>((Tableau!$H$25-Q896)/(AD896^2+Tableau!$G$30^2)^(3/2))*Tableau!$G$29</f>
        <v>-6.9326610115924924E-5</v>
      </c>
      <c r="Z896" s="96">
        <f>((Tableau!$G$35-P896)/(AE896^2+Tableau!$G$40^2)^(3/2))*Tableau!$G$39</f>
        <v>4.1073011656026008E-4</v>
      </c>
      <c r="AA896" s="97">
        <f>((Tableau!$H$35-Q896)/(AE896^2+Tableau!$G$40^2)^(3/2))*Tableau!$G$39</f>
        <v>-2.0201799146478543E-4</v>
      </c>
      <c r="AC896" s="110">
        <f>SQRT((Tableau!$G$16-P896)^2+(Tableau!$H$16-Q896)^2)</f>
        <v>33834406.594404183</v>
      </c>
      <c r="AD896" s="111">
        <f>SQRT((Tableau!$G$25-P896)^2+(Tableau!$H$25-Q896)^2)</f>
        <v>33797399.17986881</v>
      </c>
      <c r="AE896" s="112">
        <f>SQRT((Tableau!$G$35-P896)^2+(Tableau!$H$35-Q896)^2)</f>
        <v>33821889.328289628</v>
      </c>
    </row>
    <row r="897" spans="2:31" x14ac:dyDescent="0.25">
      <c r="B897" s="18">
        <v>894</v>
      </c>
      <c r="C897" s="19">
        <f>Tableau!$G$17*COS(B897*PI()/180)+Tableau!$G$16</f>
        <v>15027.390523158634</v>
      </c>
      <c r="D897" s="19">
        <f>Tableau!$G$17*SIN(B897*PI()/180)+Tableau!$H$16</f>
        <v>8022.6423163382733</v>
      </c>
      <c r="F897" s="26">
        <v>894</v>
      </c>
      <c r="G897" s="27">
        <f>Tableau!$G$26*COS(F897*PI()/180)+Tableau!$G$25</f>
        <v>-23480.826633788958</v>
      </c>
      <c r="H897" s="27">
        <f>Tableau!$G$26*SIN(F897*PI()/180)+Tableau!$H$25</f>
        <v>10365.849621436791</v>
      </c>
      <c r="J897" s="34">
        <v>894</v>
      </c>
      <c r="K897" s="35">
        <f>Tableau!$G$36*COS(J897*PI()/180)+Tableau!$G$35</f>
        <v>-9972.6094768413659</v>
      </c>
      <c r="L897" s="35">
        <f>Tableau!$G$36*SIN(J897*PI()/180)+Tableau!$H$35</f>
        <v>-14477.357683661727</v>
      </c>
      <c r="N897" s="98">
        <v>893</v>
      </c>
      <c r="O897" s="99">
        <v>446.5</v>
      </c>
      <c r="P897" s="101">
        <f>P896+R896*Tableau!$G$2+((1/2)*T896)*Tableau!$G$2^2</f>
        <v>-30388847.390148256</v>
      </c>
      <c r="Q897" s="101">
        <f>Q896+S896*Tableau!$G$2+((1/2)*U896)*Tableau!$G$2^2</f>
        <v>14929329.44481658</v>
      </c>
      <c r="R897" s="101">
        <f>R896+T896*Tableau!$G$2</f>
        <v>-68697.873644825988</v>
      </c>
      <c r="S897" s="101">
        <f>S896+U896*Tableau!$G$2</f>
        <v>33800.566357793708</v>
      </c>
      <c r="T897" s="101">
        <f t="shared" si="26"/>
        <v>9.6028438738267785E-4</v>
      </c>
      <c r="U897" s="101">
        <f t="shared" si="27"/>
        <v>-4.7176645814809995E-4</v>
      </c>
      <c r="V897" s="101">
        <f>((Tableau!$G$16-P897)/(AC897^2+Tableau!$G$21^2)^(3/2))*Tableau!$G$20</f>
        <v>4.0968455837783231E-4</v>
      </c>
      <c r="W897" s="101">
        <f>((Tableau!$H$16-Q897)/(AC897^2+Tableau!$G$21^2)^(3/2))*Tableau!$G$20</f>
        <v>-2.0103501549583759E-4</v>
      </c>
      <c r="X897" s="101">
        <f>((Tableau!$G$25-P897)/(AD897^2+Tableau!$G$30^2)^(3/2))*Tableau!$G$29</f>
        <v>1.4079794001072886E-4</v>
      </c>
      <c r="Y897" s="101">
        <f>((Tableau!$H$25-Q897)/(AD897^2+Tableau!$G$30^2)^(3/2))*Tableau!$G$29</f>
        <v>-6.9169923546490288E-5</v>
      </c>
      <c r="Z897" s="101">
        <f>((Tableau!$G$35-P897)/(AE897^2+Tableau!$G$40^2)^(3/2))*Tableau!$G$39</f>
        <v>4.0980188899411666E-4</v>
      </c>
      <c r="AA897" s="102">
        <f>((Tableau!$H$35-Q897)/(AE897^2+Tableau!$G$40^2)^(3/2))*Tableau!$G$39</f>
        <v>-2.0156151910577212E-4</v>
      </c>
      <c r="AC897" s="113">
        <f>SQRT((Tableau!$G$16-P897)^2+(Tableau!$H$16-Q897)^2)</f>
        <v>33872688.018188365</v>
      </c>
      <c r="AD897" s="114">
        <f>SQRT((Tableau!$G$25-P897)^2+(Tableau!$H$25-Q897)^2)</f>
        <v>33835680.618085481</v>
      </c>
      <c r="AE897" s="115">
        <f>SQRT((Tableau!$G$35-P897)^2+(Tableau!$H$35-Q897)^2)</f>
        <v>33860170.773093142</v>
      </c>
    </row>
    <row r="898" spans="2:31" x14ac:dyDescent="0.25">
      <c r="B898" s="20">
        <v>895</v>
      </c>
      <c r="C898" s="21">
        <f>Tableau!$G$17*COS(B898*PI()/180)+Tableau!$G$16</f>
        <v>15019.026509541272</v>
      </c>
      <c r="D898" s="21">
        <f>Tableau!$G$17*SIN(B898*PI()/180)+Tableau!$H$16</f>
        <v>7935.7787137382929</v>
      </c>
      <c r="F898" s="28">
        <v>895</v>
      </c>
      <c r="G898" s="29">
        <f>Tableau!$G$26*COS(F898*PI()/180)+Tableau!$G$25</f>
        <v>-23486.681443321108</v>
      </c>
      <c r="H898" s="29">
        <f>Tableau!$G$26*SIN(F898*PI()/180)+Tableau!$H$25</f>
        <v>10305.045099616806</v>
      </c>
      <c r="J898" s="36">
        <v>895</v>
      </c>
      <c r="K898" s="37">
        <f>Tableau!$G$36*COS(J898*PI()/180)+Tableau!$G$35</f>
        <v>-9980.9734904587276</v>
      </c>
      <c r="L898" s="37">
        <f>Tableau!$G$36*SIN(J898*PI()/180)+Tableau!$H$35</f>
        <v>-14564.221286261707</v>
      </c>
      <c r="N898" s="92">
        <v>894</v>
      </c>
      <c r="O898" s="93">
        <v>447</v>
      </c>
      <c r="P898" s="96">
        <f>P897+R897*Tableau!$G$2+((1/2)*T897)*Tableau!$G$2^2</f>
        <v>-30423196.326850634</v>
      </c>
      <c r="Q898" s="96">
        <f>Q897+S897*Tableau!$G$2+((1/2)*U897)*Tableau!$G$2^2</f>
        <v>14946229.727936506</v>
      </c>
      <c r="R898" s="96">
        <f>R897+T897*Tableau!$G$2</f>
        <v>-68697.873164683799</v>
      </c>
      <c r="S898" s="96">
        <f>S897+U897*Tableau!$G$2</f>
        <v>33800.56612191048</v>
      </c>
      <c r="T898" s="96">
        <f t="shared" si="26"/>
        <v>9.5811651375328683E-4</v>
      </c>
      <c r="U898" s="96">
        <f t="shared" si="27"/>
        <v>-4.707022297198326E-4</v>
      </c>
      <c r="V898" s="96">
        <f>((Tableau!$G$16-P898)/(AC898^2+Tableau!$G$21^2)^(3/2))*Tableau!$G$20</f>
        <v>4.0875987177086981E-4</v>
      </c>
      <c r="W898" s="96">
        <f>((Tableau!$H$16-Q898)/(AC898^2+Tableau!$G$21^2)^(3/2))*Tableau!$G$20</f>
        <v>-2.0058186999980868E-4</v>
      </c>
      <c r="X898" s="96">
        <f>((Tableau!$G$25-P898)/(AD898^2+Tableau!$G$30^2)^(3/2))*Tableau!$G$29</f>
        <v>1.4047983748474569E-4</v>
      </c>
      <c r="Y898" s="96">
        <f>((Tableau!$H$25-Q898)/(AD898^2+Tableau!$G$30^2)^(3/2))*Tableau!$G$29</f>
        <v>-6.9013767574242988E-5</v>
      </c>
      <c r="Z898" s="96">
        <f>((Tableau!$G$35-P898)/(AE898^2+Tableau!$G$40^2)^(3/2))*Tableau!$G$39</f>
        <v>4.088768044976713E-4</v>
      </c>
      <c r="AA898" s="97">
        <f>((Tableau!$H$35-Q898)/(AE898^2+Tableau!$G$40^2)^(3/2))*Tableau!$G$39</f>
        <v>-2.0110659214578094E-4</v>
      </c>
      <c r="AC898" s="110">
        <f>SQRT((Tableau!$G$16-P898)^2+(Tableau!$H$16-Q898)^2)</f>
        <v>33910969.441753</v>
      </c>
      <c r="AD898" s="111">
        <f>SQRT((Tableau!$G$25-P898)^2+(Tableau!$H$25-Q898)^2)</f>
        <v>33873962.05605004</v>
      </c>
      <c r="AE898" s="112">
        <f>SQRT((Tableau!$G$35-P898)^2+(Tableau!$H$35-Q898)^2)</f>
        <v>33898452.217629649</v>
      </c>
    </row>
    <row r="899" spans="2:31" x14ac:dyDescent="0.25">
      <c r="B899" s="18">
        <v>896</v>
      </c>
      <c r="C899" s="19">
        <f>Tableau!$G$17*COS(B899*PI()/180)+Tableau!$G$16</f>
        <v>15012.179748700877</v>
      </c>
      <c r="D899" s="19">
        <f>Tableau!$G$17*SIN(B899*PI()/180)+Tableau!$H$16</f>
        <v>7848.7823687206255</v>
      </c>
      <c r="F899" s="26">
        <v>896</v>
      </c>
      <c r="G899" s="27">
        <f>Tableau!$G$26*COS(F899*PI()/180)+Tableau!$G$25</f>
        <v>-23491.474175909385</v>
      </c>
      <c r="H899" s="27">
        <f>Tableau!$G$26*SIN(F899*PI()/180)+Tableau!$H$25</f>
        <v>10244.147658104437</v>
      </c>
      <c r="J899" s="34">
        <v>896</v>
      </c>
      <c r="K899" s="35">
        <f>Tableau!$G$36*COS(J899*PI()/180)+Tableau!$G$35</f>
        <v>-9987.8202512991229</v>
      </c>
      <c r="L899" s="35">
        <f>Tableau!$G$36*SIN(J899*PI()/180)+Tableau!$H$35</f>
        <v>-14651.217631279374</v>
      </c>
      <c r="N899" s="98">
        <v>895</v>
      </c>
      <c r="O899" s="99">
        <v>447.5</v>
      </c>
      <c r="P899" s="101">
        <f>P898+R898*Tableau!$G$2+((1/2)*T898)*Tableau!$G$2^2</f>
        <v>-30457545.263313212</v>
      </c>
      <c r="Q899" s="101">
        <f>Q898+S898*Tableau!$G$2+((1/2)*U898)*Tableau!$G$2^2</f>
        <v>14963130.010938624</v>
      </c>
      <c r="R899" s="101">
        <f>R898+T898*Tableau!$G$2</f>
        <v>-68697.872685625538</v>
      </c>
      <c r="S899" s="101">
        <f>S898+U898*Tableau!$G$2</f>
        <v>33800.565886559365</v>
      </c>
      <c r="T899" s="101">
        <f t="shared" si="26"/>
        <v>9.5595597292893152E-4</v>
      </c>
      <c r="U899" s="101">
        <f t="shared" si="27"/>
        <v>-4.6964159832960735E-4</v>
      </c>
      <c r="V899" s="101">
        <f>((Tableau!$G$16-P899)/(AC899^2+Tableau!$G$21^2)^(3/2))*Tableau!$G$20</f>
        <v>4.0783831226221548E-4</v>
      </c>
      <c r="W899" s="101">
        <f>((Tableau!$H$16-Q899)/(AC899^2+Tableau!$G$21^2)^(3/2))*Tableau!$G$20</f>
        <v>-2.0013025490676521E-4</v>
      </c>
      <c r="X899" s="101">
        <f>((Tableau!$G$25-P899)/(AD899^2+Tableau!$G$30^2)^(3/2))*Tableau!$G$29</f>
        <v>1.401628117701245E-4</v>
      </c>
      <c r="Y899" s="101">
        <f>((Tableau!$H$25-Q899)/(AD899^2+Tableau!$G$30^2)^(3/2))*Tableau!$G$29</f>
        <v>-6.8858139806154931E-5</v>
      </c>
      <c r="Z899" s="101">
        <f>((Tableau!$G$35-P899)/(AE899^2+Tableau!$G$40^2)^(3/2))*Tableau!$G$39</f>
        <v>4.0795484889659162E-4</v>
      </c>
      <c r="AA899" s="102">
        <f>((Tableau!$H$35-Q899)/(AE899^2+Tableau!$G$40^2)^(3/2))*Tableau!$G$39</f>
        <v>-2.0065320361668722E-4</v>
      </c>
      <c r="AC899" s="113">
        <f>SQRT((Tableau!$G$16-P899)^2+(Tableau!$H$16-Q899)^2)</f>
        <v>33949250.865098536</v>
      </c>
      <c r="AD899" s="114">
        <f>SQRT((Tableau!$G$25-P899)^2+(Tableau!$H$25-Q899)^2)</f>
        <v>33912243.493763044</v>
      </c>
      <c r="AE899" s="115">
        <f>SQRT((Tableau!$G$35-P899)^2+(Tableau!$H$35-Q899)^2)</f>
        <v>33936733.661899753</v>
      </c>
    </row>
    <row r="900" spans="2:31" x14ac:dyDescent="0.25">
      <c r="B900" s="20">
        <v>897</v>
      </c>
      <c r="C900" s="21">
        <f>Tableau!$G$17*COS(B900*PI()/180)+Tableau!$G$16</f>
        <v>15006.85232622713</v>
      </c>
      <c r="D900" s="21">
        <f>Tableau!$G$17*SIN(B900*PI()/180)+Tableau!$H$16</f>
        <v>7761.6797812147233</v>
      </c>
      <c r="F900" s="28">
        <v>897</v>
      </c>
      <c r="G900" s="29">
        <f>Tableau!$G$26*COS(F900*PI()/180)+Tableau!$G$25</f>
        <v>-23495.203371641008</v>
      </c>
      <c r="H900" s="29">
        <f>Tableau!$G$26*SIN(F900*PI()/180)+Tableau!$H$25</f>
        <v>10183.175846850307</v>
      </c>
      <c r="J900" s="36">
        <v>897</v>
      </c>
      <c r="K900" s="37">
        <f>Tableau!$G$36*COS(J900*PI()/180)+Tableau!$G$35</f>
        <v>-9993.1476737728699</v>
      </c>
      <c r="L900" s="37">
        <f>Tableau!$G$36*SIN(J900*PI()/180)+Tableau!$H$35</f>
        <v>-14738.320218785277</v>
      </c>
      <c r="N900" s="92">
        <v>896</v>
      </c>
      <c r="O900" s="93">
        <v>448</v>
      </c>
      <c r="P900" s="96">
        <f>P899+R899*Tableau!$G$2+((1/2)*T899)*Tableau!$G$2^2</f>
        <v>-30491894.199536528</v>
      </c>
      <c r="Q900" s="96">
        <f>Q899+S899*Tableau!$G$2+((1/2)*U899)*Tableau!$G$2^2</f>
        <v>14980030.293823199</v>
      </c>
      <c r="R900" s="96">
        <f>R899+T899*Tableau!$G$2</f>
        <v>-68697.872207647553</v>
      </c>
      <c r="S900" s="96">
        <f>S899+U899*Tableau!$G$2</f>
        <v>33800.565651738565</v>
      </c>
      <c r="T900" s="96">
        <f t="shared" ref="T900:T963" si="28">V900+X900+Z900</f>
        <v>9.538027318759842E-4</v>
      </c>
      <c r="U900" s="96">
        <f t="shared" ref="U900:U963" si="29">W900+Y900+AA900</f>
        <v>-4.6858454778523912E-4</v>
      </c>
      <c r="V900" s="96">
        <f>((Tableau!$G$16-P900)/(AC900^2+Tableau!$G$21^2)^(3/2))*Tableau!$G$20</f>
        <v>4.0691986576747361E-4</v>
      </c>
      <c r="W900" s="96">
        <f>((Tableau!$H$16-Q900)/(AC900^2+Tableau!$G$21^2)^(3/2))*Tableau!$G$20</f>
        <v>-1.9968016333297704E-4</v>
      </c>
      <c r="X900" s="96">
        <f>((Tableau!$G$25-P900)/(AD900^2+Tableau!$G$30^2)^(3/2))*Tableau!$G$29</f>
        <v>1.3984685801217669E-4</v>
      </c>
      <c r="Y900" s="96">
        <f>((Tableau!$H$25-Q900)/(AD900^2+Tableau!$G$30^2)^(3/2))*Tableau!$G$29</f>
        <v>-6.8703037862678022E-5</v>
      </c>
      <c r="Z900" s="96">
        <f>((Tableau!$G$35-P900)/(AE900^2+Tableau!$G$40^2)^(3/2))*Tableau!$G$39</f>
        <v>4.0703600809633388E-4</v>
      </c>
      <c r="AA900" s="97">
        <f>((Tableau!$H$35-Q900)/(AE900^2+Tableau!$G$40^2)^(3/2))*Tableau!$G$39</f>
        <v>-2.0020134658958405E-4</v>
      </c>
      <c r="AC900" s="110">
        <f>SQRT((Tableau!$G$16-P900)^2+(Tableau!$H$16-Q900)^2)</f>
        <v>33987532.288225405</v>
      </c>
      <c r="AD900" s="111">
        <f>SQRT((Tableau!$G$25-P900)^2+(Tableau!$H$25-Q900)^2)</f>
        <v>33950524.931225032</v>
      </c>
      <c r="AE900" s="112">
        <f>SQRT((Tableau!$G$35-P900)^2+(Tableau!$H$35-Q900)^2)</f>
        <v>33975015.105904065</v>
      </c>
    </row>
    <row r="901" spans="2:31" x14ac:dyDescent="0.25">
      <c r="B901" s="18">
        <v>898</v>
      </c>
      <c r="C901" s="19">
        <f>Tableau!$G$17*COS(B901*PI()/180)+Tableau!$G$16</f>
        <v>15003.045864904521</v>
      </c>
      <c r="D901" s="19">
        <f>Tableau!$G$17*SIN(B901*PI()/180)+Tableau!$H$16</f>
        <v>7674.4974835125058</v>
      </c>
      <c r="F901" s="26">
        <v>898</v>
      </c>
      <c r="G901" s="27">
        <f>Tableau!$G$26*COS(F901*PI()/180)+Tableau!$G$25</f>
        <v>-23497.867894566836</v>
      </c>
      <c r="H901" s="27">
        <f>Tableau!$G$26*SIN(F901*PI()/180)+Tableau!$H$25</f>
        <v>10122.148238458754</v>
      </c>
      <c r="J901" s="34">
        <v>898</v>
      </c>
      <c r="K901" s="35">
        <f>Tableau!$G$36*COS(J901*PI()/180)+Tableau!$G$35</f>
        <v>-9996.9541350954787</v>
      </c>
      <c r="L901" s="35">
        <f>Tableau!$G$36*SIN(J901*PI()/180)+Tableau!$H$35</f>
        <v>-14825.502516487493</v>
      </c>
      <c r="N901" s="98">
        <v>897</v>
      </c>
      <c r="O901" s="99">
        <v>448.5</v>
      </c>
      <c r="P901" s="101">
        <f>P900+R900*Tableau!$G$2+((1/2)*T900)*Tableau!$G$2^2</f>
        <v>-30526243.135521129</v>
      </c>
      <c r="Q901" s="101">
        <f>Q900+S900*Tableau!$G$2+((1/2)*U900)*Tableau!$G$2^2</f>
        <v>14996930.576590495</v>
      </c>
      <c r="R901" s="101">
        <f>R900+T900*Tableau!$G$2</f>
        <v>-68697.871730746192</v>
      </c>
      <c r="S901" s="101">
        <f>S900+U900*Tableau!$G$2</f>
        <v>33800.565417446291</v>
      </c>
      <c r="T901" s="101">
        <f t="shared" si="28"/>
        <v>9.5165675774663036E-4</v>
      </c>
      <c r="U901" s="101">
        <f t="shared" si="29"/>
        <v>-4.6753106198555496E-4</v>
      </c>
      <c r="V901" s="101">
        <f>((Tableau!$G$16-P901)/(AC901^2+Tableau!$G$21^2)^(3/2))*Tableau!$G$20</f>
        <v>4.0600451828144653E-4</v>
      </c>
      <c r="W901" s="101">
        <f>((Tableau!$H$16-Q901)/(AC901^2+Tableau!$G$21^2)^(3/2))*Tableau!$G$20</f>
        <v>-1.9923158843337033E-4</v>
      </c>
      <c r="X901" s="101">
        <f>((Tableau!$G$25-P901)/(AD901^2+Tableau!$G$30^2)^(3/2))*Tableau!$G$29</f>
        <v>1.395319713835398E-4</v>
      </c>
      <c r="Y901" s="101">
        <f>((Tableau!$H$25-Q901)/(AD901^2+Tableau!$G$30^2)^(3/2))*Tableau!$G$29</f>
        <v>-6.854845937764799E-5</v>
      </c>
      <c r="Z901" s="101">
        <f>((Tableau!$G$35-P901)/(AE901^2+Tableau!$G$40^2)^(3/2))*Tableau!$G$39</f>
        <v>4.0612026808164406E-4</v>
      </c>
      <c r="AA901" s="102">
        <f>((Tableau!$H$35-Q901)/(AE901^2+Tableau!$G$40^2)^(3/2))*Tableau!$G$39</f>
        <v>-1.9975101417453667E-4</v>
      </c>
      <c r="AC901" s="113">
        <f>SQRT((Tableau!$G$16-P901)^2+(Tableau!$H$16-Q901)^2)</f>
        <v>34025813.711134046</v>
      </c>
      <c r="AD901" s="114">
        <f>SQRT((Tableau!$G$25-P901)^2+(Tableau!$H$25-Q901)^2)</f>
        <v>33988806.368436553</v>
      </c>
      <c r="AE901" s="115">
        <f>SQRT((Tableau!$G$35-P901)^2+(Tableau!$H$35-Q901)^2)</f>
        <v>34013296.549643174</v>
      </c>
    </row>
    <row r="902" spans="2:31" x14ac:dyDescent="0.25">
      <c r="B902" s="20">
        <v>899</v>
      </c>
      <c r="C902" s="21">
        <f>Tableau!$G$17*COS(B902*PI()/180)+Tableau!$G$16</f>
        <v>15000.761524218044</v>
      </c>
      <c r="D902" s="21">
        <f>Tableau!$G$17*SIN(B902*PI()/180)+Tableau!$H$16</f>
        <v>7587.2620321864151</v>
      </c>
      <c r="F902" s="28">
        <v>899</v>
      </c>
      <c r="G902" s="29">
        <f>Tableau!$G$26*COS(F902*PI()/180)+Tableau!$G$25</f>
        <v>-23499.46693304737</v>
      </c>
      <c r="H902" s="29">
        <f>Tableau!$G$26*SIN(F902*PI()/180)+Tableau!$H$25</f>
        <v>10061.08342253049</v>
      </c>
      <c r="J902" s="36">
        <v>899</v>
      </c>
      <c r="K902" s="37">
        <f>Tableau!$G$36*COS(J902*PI()/180)+Tableau!$G$35</f>
        <v>-9999.2384757819564</v>
      </c>
      <c r="L902" s="37">
        <f>Tableau!$G$36*SIN(J902*PI()/180)+Tableau!$H$35</f>
        <v>-14912.737967813584</v>
      </c>
      <c r="N902" s="92">
        <v>898</v>
      </c>
      <c r="O902" s="93">
        <v>449</v>
      </c>
      <c r="P902" s="96">
        <f>P901+R901*Tableau!$G$2+((1/2)*T901)*Tableau!$G$2^2</f>
        <v>-30560592.071267545</v>
      </c>
      <c r="Q902" s="96">
        <f>Q901+S901*Tableau!$G$2+((1/2)*U901)*Tableau!$G$2^2</f>
        <v>15013830.859240778</v>
      </c>
      <c r="R902" s="96">
        <f>R901+T901*Tableau!$G$2</f>
        <v>-68697.871254917816</v>
      </c>
      <c r="S902" s="96">
        <f>S901+U901*Tableau!$G$2</f>
        <v>33800.565183680759</v>
      </c>
      <c r="T902" s="96">
        <f t="shared" si="28"/>
        <v>9.4951801787761204E-4</v>
      </c>
      <c r="U902" s="96">
        <f t="shared" si="29"/>
        <v>-4.6648112491977974E-4</v>
      </c>
      <c r="V902" s="96">
        <f>((Tableau!$G$16-P902)/(AC902^2+Tableau!$G$21^2)^(3/2))*Tableau!$G$20</f>
        <v>4.0509225587761919E-4</v>
      </c>
      <c r="W902" s="96">
        <f>((Tableau!$H$16-Q902)/(AC902^2+Tableau!$G$21^2)^(3/2))*Tableau!$G$20</f>
        <v>-1.9878452340127664E-4</v>
      </c>
      <c r="X902" s="96">
        <f>((Tableau!$G$25-P902)/(AD902^2+Tableau!$G$30^2)^(3/2))*Tableau!$G$29</f>
        <v>1.3921814708399178E-4</v>
      </c>
      <c r="Y902" s="96">
        <f>((Tableau!$H$25-Q902)/(AD902^2+Tableau!$G$30^2)^(3/2))*Tableau!$G$29</f>
        <v>-6.8394401998193627E-5</v>
      </c>
      <c r="Z902" s="96">
        <f>((Tableau!$G$35-P902)/(AE902^2+Tableau!$G$40^2)^(3/2))*Tableau!$G$39</f>
        <v>4.0520761491600102E-4</v>
      </c>
      <c r="AA902" s="97">
        <f>((Tableau!$H$35-Q902)/(AE902^2+Tableau!$G$40^2)^(3/2))*Tableau!$G$39</f>
        <v>-1.9930219952030948E-4</v>
      </c>
      <c r="AC902" s="110">
        <f>SQRT((Tableau!$G$16-P902)^2+(Tableau!$H$16-Q902)^2)</f>
        <v>34064095.133824907</v>
      </c>
      <c r="AD902" s="111">
        <f>SQRT((Tableau!$G$25-P902)^2+(Tableau!$H$25-Q902)^2)</f>
        <v>34027087.805398151</v>
      </c>
      <c r="AE902" s="112">
        <f>SQRT((Tableau!$G$35-P902)^2+(Tableau!$H$35-Q902)^2)</f>
        <v>34051577.993117675</v>
      </c>
    </row>
    <row r="903" spans="2:31" x14ac:dyDescent="0.25">
      <c r="B903" s="18">
        <v>900</v>
      </c>
      <c r="C903" s="19">
        <f>Tableau!$G$17*COS(B903*PI()/180)+Tableau!$G$16</f>
        <v>15000</v>
      </c>
      <c r="D903" s="19">
        <f>Tableau!$G$17*SIN(B903*PI()/180)+Tableau!$H$16</f>
        <v>7500.0000000000027</v>
      </c>
      <c r="F903" s="26">
        <v>900</v>
      </c>
      <c r="G903" s="27">
        <f>Tableau!$G$26*COS(F903*PI()/180)+Tableau!$G$25</f>
        <v>-23500</v>
      </c>
      <c r="H903" s="27">
        <f>Tableau!$G$26*SIN(F903*PI()/180)+Tableau!$H$25</f>
        <v>10000.000000000002</v>
      </c>
      <c r="J903" s="34">
        <v>900</v>
      </c>
      <c r="K903" s="35">
        <f>Tableau!$G$36*COS(J903*PI()/180)+Tableau!$G$35</f>
        <v>-10000</v>
      </c>
      <c r="L903" s="35">
        <f>Tableau!$G$36*SIN(J903*PI()/180)+Tableau!$H$35</f>
        <v>-14999.999999999996</v>
      </c>
      <c r="N903" s="98">
        <v>899</v>
      </c>
      <c r="O903" s="99">
        <v>449.5</v>
      </c>
      <c r="P903" s="101">
        <f>P902+R902*Tableau!$G$2+((1/2)*T902)*Tableau!$G$2^2</f>
        <v>-30594941.006776314</v>
      </c>
      <c r="Q903" s="101">
        <f>Q902+S902*Tableau!$G$2+((1/2)*U902)*Tableau!$G$2^2</f>
        <v>15030731.141774308</v>
      </c>
      <c r="R903" s="101">
        <f>R902+T902*Tableau!$G$2</f>
        <v>-68697.870780158803</v>
      </c>
      <c r="S903" s="101">
        <f>S902+U902*Tableau!$G$2</f>
        <v>33800.564950440195</v>
      </c>
      <c r="T903" s="101">
        <f t="shared" si="28"/>
        <v>9.473864797889895E-4</v>
      </c>
      <c r="U903" s="101">
        <f t="shared" si="29"/>
        <v>-4.6543472066692905E-4</v>
      </c>
      <c r="V903" s="101">
        <f>((Tableau!$G$16-P903)/(AC903^2+Tableau!$G$21^2)^(3/2))*Tableau!$G$20</f>
        <v>4.0418306470761298E-4</v>
      </c>
      <c r="W903" s="101">
        <f>((Tableau!$H$16-Q903)/(AC903^2+Tableau!$G$21^2)^(3/2))*Tableau!$G$20</f>
        <v>-1.9833896146816628E-4</v>
      </c>
      <c r="X903" s="101">
        <f>((Tableau!$G$25-P903)/(AD903^2+Tableau!$G$30^2)^(3/2))*Tableau!$G$29</f>
        <v>1.389053803402744E-4</v>
      </c>
      <c r="Y903" s="101">
        <f>((Tableau!$H$25-Q903)/(AD903^2+Tableau!$G$30^2)^(3/2))*Tableau!$G$29</f>
        <v>-6.8240863384650283E-5</v>
      </c>
      <c r="Z903" s="101">
        <f>((Tableau!$G$35-P903)/(AE903^2+Tableau!$G$40^2)^(3/2))*Tableau!$G$39</f>
        <v>4.0429803474110212E-4</v>
      </c>
      <c r="AA903" s="102">
        <f>((Tableau!$H$35-Q903)/(AE903^2+Tableau!$G$40^2)^(3/2))*Tableau!$G$39</f>
        <v>-1.988548958141125E-4</v>
      </c>
      <c r="AC903" s="113">
        <f>SQRT((Tableau!$G$16-P903)^2+(Tableau!$H$16-Q903)^2)</f>
        <v>34102376.556298405</v>
      </c>
      <c r="AD903" s="114">
        <f>SQRT((Tableau!$G$25-P903)^2+(Tableau!$H$25-Q903)^2)</f>
        <v>34065369.242110386</v>
      </c>
      <c r="AE903" s="115">
        <f>SQRT((Tableau!$G$35-P903)^2+(Tableau!$H$35-Q903)^2)</f>
        <v>34089859.436328165</v>
      </c>
    </row>
    <row r="904" spans="2:31" x14ac:dyDescent="0.25">
      <c r="B904" s="20">
        <v>901</v>
      </c>
      <c r="C904" s="21">
        <f>Tableau!$G$17*COS(B904*PI()/180)+Tableau!$G$16</f>
        <v>15000.761524218044</v>
      </c>
      <c r="D904" s="21">
        <f>Tableau!$G$17*SIN(B904*PI()/180)+Tableau!$H$16</f>
        <v>7412.7379678135912</v>
      </c>
      <c r="F904" s="28">
        <v>901</v>
      </c>
      <c r="G904" s="29">
        <f>Tableau!$G$26*COS(F904*PI()/180)+Tableau!$G$25</f>
        <v>-23499.46693304737</v>
      </c>
      <c r="H904" s="29">
        <f>Tableau!$G$26*SIN(F904*PI()/180)+Tableau!$H$25</f>
        <v>9938.9165774695139</v>
      </c>
      <c r="J904" s="36">
        <v>901</v>
      </c>
      <c r="K904" s="37">
        <f>Tableau!$G$36*COS(J904*PI()/180)+Tableau!$G$35</f>
        <v>-9999.2384757819564</v>
      </c>
      <c r="L904" s="37">
        <f>Tableau!$G$36*SIN(J904*PI()/180)+Tableau!$H$35</f>
        <v>-15087.262032186409</v>
      </c>
      <c r="N904" s="92">
        <v>900</v>
      </c>
      <c r="O904" s="93">
        <v>450</v>
      </c>
      <c r="P904" s="96">
        <f>P903+R903*Tableau!$G$2+((1/2)*T903)*Tableau!$G$2^2</f>
        <v>-30629289.942047972</v>
      </c>
      <c r="Q904" s="96">
        <f>Q903+S903*Tableau!$G$2+((1/2)*U903)*Tableau!$G$2^2</f>
        <v>15047631.424191348</v>
      </c>
      <c r="R904" s="96">
        <f>R903+T903*Tableau!$G$2</f>
        <v>-68697.870306465556</v>
      </c>
      <c r="S904" s="96">
        <f>S903+U903*Tableau!$G$2</f>
        <v>33800.564717722838</v>
      </c>
      <c r="T904" s="96">
        <f t="shared" si="28"/>
        <v>9.4526211118287897E-4</v>
      </c>
      <c r="U904" s="96">
        <f t="shared" si="29"/>
        <v>-4.6439183339519208E-4</v>
      </c>
      <c r="V904" s="96">
        <f>((Tableau!$G$16-P904)/(AC904^2+Tableau!$G$21^2)^(3/2))*Tableau!$G$20</f>
        <v>4.0327693100065823E-4</v>
      </c>
      <c r="W904" s="96">
        <f>((Tableau!$H$16-Q904)/(AC904^2+Tableau!$G$21^2)^(3/2))*Tableau!$G$20</f>
        <v>-1.9789489590339146E-4</v>
      </c>
      <c r="X904" s="96">
        <f>((Tableau!$G$25-P904)/(AD904^2+Tableau!$G$30^2)^(3/2))*Tableau!$G$29</f>
        <v>1.3859366640590307E-4</v>
      </c>
      <c r="Y904" s="96">
        <f>((Tableau!$H$25-Q904)/(AD904^2+Tableau!$G$30^2)^(3/2))*Tableau!$G$29</f>
        <v>-6.808784121046679E-5</v>
      </c>
      <c r="Z904" s="96">
        <f>((Tableau!$G$35-P904)/(AE904^2+Tableau!$G$40^2)^(3/2))*Tableau!$G$39</f>
        <v>4.0339151377631767E-4</v>
      </c>
      <c r="AA904" s="97">
        <f>((Tableau!$H$35-Q904)/(AE904^2+Tableau!$G$40^2)^(3/2))*Tableau!$G$39</f>
        <v>-1.9840909628133385E-4</v>
      </c>
      <c r="AC904" s="110">
        <f>SQRT((Tableau!$G$16-P904)^2+(Tableau!$H$16-Q904)^2)</f>
        <v>34140657.978554994</v>
      </c>
      <c r="AD904" s="111">
        <f>SQRT((Tableau!$G$25-P904)^2+(Tableau!$H$25-Q904)^2)</f>
        <v>34103650.678573787</v>
      </c>
      <c r="AE904" s="112">
        <f>SQRT((Tableau!$G$35-P904)^2+(Tableau!$H$35-Q904)^2)</f>
        <v>34128140.879275233</v>
      </c>
    </row>
    <row r="905" spans="2:31" x14ac:dyDescent="0.25">
      <c r="B905" s="18">
        <v>902</v>
      </c>
      <c r="C905" s="19">
        <f>Tableau!$G$17*COS(B905*PI()/180)+Tableau!$G$16</f>
        <v>15003.045864904521</v>
      </c>
      <c r="D905" s="19">
        <f>Tableau!$G$17*SIN(B905*PI()/180)+Tableau!$H$16</f>
        <v>7325.5025164874914</v>
      </c>
      <c r="F905" s="26">
        <v>902</v>
      </c>
      <c r="G905" s="27">
        <f>Tableau!$G$26*COS(F905*PI()/180)+Tableau!$G$25</f>
        <v>-23497.867894566836</v>
      </c>
      <c r="H905" s="27">
        <f>Tableau!$G$26*SIN(F905*PI()/180)+Tableau!$H$25</f>
        <v>9877.8517615412438</v>
      </c>
      <c r="J905" s="34">
        <v>902</v>
      </c>
      <c r="K905" s="35">
        <f>Tableau!$G$36*COS(J905*PI()/180)+Tableau!$G$35</f>
        <v>-9996.9541350954787</v>
      </c>
      <c r="L905" s="35">
        <f>Tableau!$G$36*SIN(J905*PI()/180)+Tableau!$H$35</f>
        <v>-15174.497483512509</v>
      </c>
      <c r="N905" s="98">
        <v>901</v>
      </c>
      <c r="O905" s="99">
        <v>450.5</v>
      </c>
      <c r="P905" s="101">
        <f>P904+R904*Tableau!$G$2+((1/2)*T904)*Tableau!$G$2^2</f>
        <v>-30663638.877083044</v>
      </c>
      <c r="Q905" s="101">
        <f>Q904+S904*Tableau!$G$2+((1/2)*U904)*Tableau!$G$2^2</f>
        <v>15064531.70649216</v>
      </c>
      <c r="R905" s="101">
        <f>R904+T904*Tableau!$G$2</f>
        <v>-68697.869833834498</v>
      </c>
      <c r="S905" s="101">
        <f>S904+U904*Tableau!$G$2</f>
        <v>33800.56448552692</v>
      </c>
      <c r="T905" s="101">
        <f t="shared" si="28"/>
        <v>9.4314487994228173E-4</v>
      </c>
      <c r="U905" s="101">
        <f t="shared" si="29"/>
        <v>-4.6335244736135845E-4</v>
      </c>
      <c r="V905" s="101">
        <f>((Tableau!$G$16-P905)/(AC905^2+Tableau!$G$21^2)^(3/2))*Tableau!$G$20</f>
        <v>4.0237384106309583E-4</v>
      </c>
      <c r="W905" s="101">
        <f>((Tableau!$H$16-Q905)/(AC905^2+Tableau!$G$21^2)^(3/2))*Tableau!$G$20</f>
        <v>-1.9745232001394325E-4</v>
      </c>
      <c r="X905" s="101">
        <f>((Tableau!$G$25-P905)/(AD905^2+Tableau!$G$30^2)^(3/2))*Tableau!$G$29</f>
        <v>1.3828300056099985E-4</v>
      </c>
      <c r="Y905" s="101">
        <f>((Tableau!$H$25-Q905)/(AD905^2+Tableau!$G$30^2)^(3/2))*Tableau!$G$29</f>
        <v>-6.793533316212379E-5</v>
      </c>
      <c r="Z905" s="101">
        <f>((Tableau!$G$35-P905)/(AE905^2+Tableau!$G$40^2)^(3/2))*Tableau!$G$39</f>
        <v>4.0248803831818613E-4</v>
      </c>
      <c r="AA905" s="102">
        <f>((Tableau!$H$35-Q905)/(AE905^2+Tableau!$G$40^2)^(3/2))*Tableau!$G$39</f>
        <v>-1.9796479418529141E-4</v>
      </c>
      <c r="AC905" s="113">
        <f>SQRT((Tableau!$G$16-P905)^2+(Tableau!$H$16-Q905)^2)</f>
        <v>34178939.400595099</v>
      </c>
      <c r="AD905" s="114">
        <f>SQRT((Tableau!$G$25-P905)^2+(Tableau!$H$25-Q905)^2)</f>
        <v>34141932.11478889</v>
      </c>
      <c r="AE905" s="115">
        <f>SQRT((Tableau!$G$35-P905)^2+(Tableau!$H$35-Q905)^2)</f>
        <v>34166422.321959466</v>
      </c>
    </row>
    <row r="906" spans="2:31" x14ac:dyDescent="0.25">
      <c r="B906" s="20">
        <v>903</v>
      </c>
      <c r="C906" s="21">
        <f>Tableau!$G$17*COS(B906*PI()/180)+Tableau!$G$16</f>
        <v>15006.85232622713</v>
      </c>
      <c r="D906" s="21">
        <f>Tableau!$G$17*SIN(B906*PI()/180)+Tableau!$H$16</f>
        <v>7238.3202187852821</v>
      </c>
      <c r="F906" s="28">
        <v>903</v>
      </c>
      <c r="G906" s="29">
        <f>Tableau!$G$26*COS(F906*PI()/180)+Tableau!$G$25</f>
        <v>-23495.203371641008</v>
      </c>
      <c r="H906" s="29">
        <f>Tableau!$G$26*SIN(F906*PI()/180)+Tableau!$H$25</f>
        <v>9816.8241531496969</v>
      </c>
      <c r="J906" s="36">
        <v>903</v>
      </c>
      <c r="K906" s="37">
        <f>Tableau!$G$36*COS(J906*PI()/180)+Tableau!$G$35</f>
        <v>-9993.1476737728699</v>
      </c>
      <c r="L906" s="37">
        <f>Tableau!$G$36*SIN(J906*PI()/180)+Tableau!$H$35</f>
        <v>-15261.679781214718</v>
      </c>
      <c r="N906" s="92">
        <v>902</v>
      </c>
      <c r="O906" s="93">
        <v>451</v>
      </c>
      <c r="P906" s="96">
        <f>P905+R905*Tableau!$G$2+((1/2)*T905)*Tableau!$G$2^2</f>
        <v>-30697987.811882067</v>
      </c>
      <c r="Q906" s="96">
        <f>Q905+S905*Tableau!$G$2+((1/2)*U905)*Tableau!$G$2^2</f>
        <v>15081431.988677004</v>
      </c>
      <c r="R906" s="96">
        <f>R905+T905*Tableau!$G$2</f>
        <v>-68697.869362262063</v>
      </c>
      <c r="S906" s="96">
        <f>S905+U905*Tableau!$G$2</f>
        <v>33800.564253850695</v>
      </c>
      <c r="T906" s="96">
        <f t="shared" si="28"/>
        <v>9.4103475412981804E-4</v>
      </c>
      <c r="U906" s="96">
        <f t="shared" si="29"/>
        <v>-4.6231654691019806E-4</v>
      </c>
      <c r="V906" s="96">
        <f>((Tableau!$G$16-P906)/(AC906^2+Tableau!$G$21^2)^(3/2))*Tableau!$G$20</f>
        <v>4.0147378127783416E-4</v>
      </c>
      <c r="W906" s="96">
        <f>((Tableau!$H$16-Q906)/(AC906^2+Tableau!$G$21^2)^(3/2))*Tableau!$G$20</f>
        <v>-1.9701122714418682E-4</v>
      </c>
      <c r="X906" s="96">
        <f>((Tableau!$G$25-P906)/(AD906^2+Tableau!$G$30^2)^(3/2))*Tableau!$G$29</f>
        <v>1.379733781121012E-4</v>
      </c>
      <c r="Y906" s="96">
        <f>((Tableau!$H$25-Q906)/(AD906^2+Tableau!$G$30^2)^(3/2))*Tableau!$G$29</f>
        <v>-6.778333693903952E-5</v>
      </c>
      <c r="Z906" s="96">
        <f>((Tableau!$G$35-P906)/(AE906^2+Tableau!$G$40^2)^(3/2))*Tableau!$G$39</f>
        <v>4.0158759473988268E-4</v>
      </c>
      <c r="AA906" s="97">
        <f>((Tableau!$H$35-Q906)/(AE906^2+Tableau!$G$40^2)^(3/2))*Tableau!$G$39</f>
        <v>-1.9752198282697173E-4</v>
      </c>
      <c r="AC906" s="110">
        <f>SQRT((Tableau!$G$16-P906)^2+(Tableau!$H$16-Q906)^2)</f>
        <v>34217220.822419152</v>
      </c>
      <c r="AD906" s="111">
        <f>SQRT((Tableau!$G$25-P906)^2+(Tableau!$H$25-Q906)^2)</f>
        <v>34180213.550756246</v>
      </c>
      <c r="AE906" s="112">
        <f>SQRT((Tableau!$G$35-P906)^2+(Tableau!$H$35-Q906)^2)</f>
        <v>34204703.764381461</v>
      </c>
    </row>
    <row r="907" spans="2:31" x14ac:dyDescent="0.25">
      <c r="B907" s="18">
        <v>904</v>
      </c>
      <c r="C907" s="19">
        <f>Tableau!$G$17*COS(B907*PI()/180)+Tableau!$G$16</f>
        <v>15012.179748700877</v>
      </c>
      <c r="D907" s="19">
        <f>Tableau!$G$17*SIN(B907*PI()/180)+Tableau!$H$16</f>
        <v>7151.2176312793808</v>
      </c>
      <c r="F907" s="26">
        <v>904</v>
      </c>
      <c r="G907" s="27">
        <f>Tableau!$G$26*COS(F907*PI()/180)+Tableau!$G$25</f>
        <v>-23491.474175909385</v>
      </c>
      <c r="H907" s="27">
        <f>Tableau!$G$26*SIN(F907*PI()/180)+Tableau!$H$25</f>
        <v>9755.8523418955665</v>
      </c>
      <c r="J907" s="34">
        <v>904</v>
      </c>
      <c r="K907" s="35">
        <f>Tableau!$G$36*COS(J907*PI()/180)+Tableau!$G$35</f>
        <v>-9987.8202512991229</v>
      </c>
      <c r="L907" s="35">
        <f>Tableau!$G$36*SIN(J907*PI()/180)+Tableau!$H$35</f>
        <v>-15348.78236872062</v>
      </c>
      <c r="N907" s="98">
        <v>903</v>
      </c>
      <c r="O907" s="99">
        <v>451.5</v>
      </c>
      <c r="P907" s="101">
        <f>P906+R906*Tableau!$G$2+((1/2)*T906)*Tableau!$G$2^2</f>
        <v>-30732336.74644557</v>
      </c>
      <c r="Q907" s="101">
        <f>Q906+S906*Tableau!$G$2+((1/2)*U906)*Tableau!$G$2^2</f>
        <v>15098332.27074614</v>
      </c>
      <c r="R907" s="101">
        <f>R906+T906*Tableau!$G$2</f>
        <v>-68697.868891744685</v>
      </c>
      <c r="S907" s="101">
        <f>S906+U906*Tableau!$G$2</f>
        <v>33800.564022692422</v>
      </c>
      <c r="T907" s="101">
        <f t="shared" si="28"/>
        <v>9.3893170198655444E-4</v>
      </c>
      <c r="U907" s="101">
        <f t="shared" si="29"/>
        <v>-4.6128411647388767E-4</v>
      </c>
      <c r="V907" s="101">
        <f>((Tableau!$G$16-P907)/(AC907^2+Tableau!$G$21^2)^(3/2))*Tableau!$G$20</f>
        <v>4.0057673810384398E-4</v>
      </c>
      <c r="W907" s="101">
        <f>((Tableau!$H$16-Q907)/(AC907^2+Tableau!$G$21^2)^(3/2))*Tableau!$G$20</f>
        <v>-1.9657161067561518E-4</v>
      </c>
      <c r="X907" s="101">
        <f>((Tableau!$G$25-P907)/(AD907^2+Tableau!$G$30^2)^(3/2))*Tableau!$G$29</f>
        <v>1.3766479439198838E-4</v>
      </c>
      <c r="Y907" s="101">
        <f>((Tableau!$H$25-Q907)/(AD907^2+Tableau!$G$30^2)^(3/2))*Tableau!$G$29</f>
        <v>-6.763185025348691E-5</v>
      </c>
      <c r="Z907" s="101">
        <f>((Tableau!$G$35-P907)/(AE907^2+Tableau!$G$40^2)^(3/2))*Tableau!$G$39</f>
        <v>4.0069016949072217E-4</v>
      </c>
      <c r="AA907" s="102">
        <f>((Tableau!$H$35-Q907)/(AE907^2+Tableau!$G$40^2)^(3/2))*Tableau!$G$39</f>
        <v>-1.9708065554478556E-4</v>
      </c>
      <c r="AC907" s="113">
        <f>SQRT((Tableau!$G$16-P907)^2+(Tableau!$H$16-Q907)^2)</f>
        <v>34255502.244027592</v>
      </c>
      <c r="AD907" s="114">
        <f>SQRT((Tableau!$G$25-P907)^2+(Tableau!$H$25-Q907)^2)</f>
        <v>34218494.986476399</v>
      </c>
      <c r="AE907" s="115">
        <f>SQRT((Tableau!$G$35-P907)^2+(Tableau!$H$35-Q907)^2)</f>
        <v>34242985.206541806</v>
      </c>
    </row>
    <row r="908" spans="2:31" x14ac:dyDescent="0.25">
      <c r="B908" s="20">
        <v>905</v>
      </c>
      <c r="C908" s="21">
        <f>Tableau!$G$17*COS(B908*PI()/180)+Tableau!$G$16</f>
        <v>15019.026509541272</v>
      </c>
      <c r="D908" s="21">
        <f>Tableau!$G$17*SIN(B908*PI()/180)+Tableau!$H$16</f>
        <v>7064.2212862617216</v>
      </c>
      <c r="F908" s="28">
        <v>905</v>
      </c>
      <c r="G908" s="29">
        <f>Tableau!$G$26*COS(F908*PI()/180)+Tableau!$G$25</f>
        <v>-23486.681443321111</v>
      </c>
      <c r="H908" s="29">
        <f>Tableau!$G$26*SIN(F908*PI()/180)+Tableau!$H$25</f>
        <v>9694.9549003832053</v>
      </c>
      <c r="J908" s="36">
        <v>905</v>
      </c>
      <c r="K908" s="37">
        <f>Tableau!$G$36*COS(J908*PI()/180)+Tableau!$G$35</f>
        <v>-9980.9734904587276</v>
      </c>
      <c r="L908" s="37">
        <f>Tableau!$G$36*SIN(J908*PI()/180)+Tableau!$H$35</f>
        <v>-15435.778713738278</v>
      </c>
      <c r="N908" s="92">
        <v>904</v>
      </c>
      <c r="O908" s="93">
        <v>452</v>
      </c>
      <c r="P908" s="96">
        <f>P907+R907*Tableau!$G$2+((1/2)*T907)*Tableau!$G$2^2</f>
        <v>-30766685.680774078</v>
      </c>
      <c r="Q908" s="96">
        <f>Q907+S907*Tableau!$G$2+((1/2)*U907)*Tableau!$G$2^2</f>
        <v>15115232.552699827</v>
      </c>
      <c r="R908" s="96">
        <f>R907+T907*Tableau!$G$2</f>
        <v>-68697.868422278829</v>
      </c>
      <c r="S908" s="96">
        <f>S907+U907*Tableau!$G$2</f>
        <v>33800.563792050365</v>
      </c>
      <c r="T908" s="96">
        <f t="shared" si="28"/>
        <v>9.3683569193079544E-4</v>
      </c>
      <c r="U908" s="96">
        <f t="shared" si="29"/>
        <v>-4.6025514057141938E-4</v>
      </c>
      <c r="V908" s="96">
        <f>((Tableau!$G$16-P908)/(AC908^2+Tableau!$G$21^2)^(3/2))*Tableau!$G$20</f>
        <v>3.9968269807565739E-4</v>
      </c>
      <c r="W908" s="96">
        <f>((Tableau!$H$16-Q908)/(AC908^2+Tableau!$G$21^2)^(3/2))*Tableau!$G$20</f>
        <v>-1.9613346402660525E-4</v>
      </c>
      <c r="X908" s="96">
        <f>((Tableau!$G$25-P908)/(AD908^2+Tableau!$G$30^2)^(3/2))*Tableau!$G$29</f>
        <v>1.3735724475950965E-4</v>
      </c>
      <c r="Y908" s="96">
        <f>((Tableau!$H$25-Q908)/(AD908^2+Tableau!$G$30^2)^(3/2))*Tableau!$G$29</f>
        <v>-6.7480870830506607E-5</v>
      </c>
      <c r="Z908" s="96">
        <f>((Tableau!$G$35-P908)/(AE908^2+Tableau!$G$40^2)^(3/2))*Tableau!$G$39</f>
        <v>3.997957490956284E-4</v>
      </c>
      <c r="AA908" s="97">
        <f>((Tableau!$H$35-Q908)/(AE908^2+Tableau!$G$40^2)^(3/2))*Tableau!$G$39</f>
        <v>-1.9664080571430749E-4</v>
      </c>
      <c r="AC908" s="110">
        <f>SQRT((Tableau!$G$16-P908)^2+(Tableau!$H$16-Q908)^2)</f>
        <v>34293783.665420845</v>
      </c>
      <c r="AD908" s="111">
        <f>SQRT((Tableau!$G$25-P908)^2+(Tableau!$H$25-Q908)^2)</f>
        <v>34256776.421949863</v>
      </c>
      <c r="AE908" s="112">
        <f>SQRT((Tableau!$G$35-P908)^2+(Tableau!$H$35-Q908)^2)</f>
        <v>34281266.648441076</v>
      </c>
    </row>
    <row r="909" spans="2:31" x14ac:dyDescent="0.25">
      <c r="B909" s="18">
        <v>906</v>
      </c>
      <c r="C909" s="19">
        <f>Tableau!$G$17*COS(B909*PI()/180)+Tableau!$G$16</f>
        <v>15027.390523158632</v>
      </c>
      <c r="D909" s="19">
        <f>Tableau!$G$17*SIN(B909*PI()/180)+Tableau!$H$16</f>
        <v>6977.3576836617331</v>
      </c>
      <c r="F909" s="26">
        <v>906</v>
      </c>
      <c r="G909" s="27">
        <f>Tableau!$G$26*COS(F909*PI()/180)+Tableau!$G$25</f>
        <v>-23480.826633788958</v>
      </c>
      <c r="H909" s="27">
        <f>Tableau!$G$26*SIN(F909*PI()/180)+Tableau!$H$25</f>
        <v>9634.1503785632121</v>
      </c>
      <c r="J909" s="34">
        <v>906</v>
      </c>
      <c r="K909" s="35">
        <f>Tableau!$G$36*COS(J909*PI()/180)+Tableau!$G$35</f>
        <v>-9972.6094768413677</v>
      </c>
      <c r="L909" s="35">
        <f>Tableau!$G$36*SIN(J909*PI()/180)+Tableau!$H$35</f>
        <v>-15522.642316338268</v>
      </c>
      <c r="N909" s="98">
        <v>905</v>
      </c>
      <c r="O909" s="99">
        <v>452.5</v>
      </c>
      <c r="P909" s="101">
        <f>P908+R908*Tableau!$G$2+((1/2)*T908)*Tableau!$G$2^2</f>
        <v>-30801034.614868112</v>
      </c>
      <c r="Q909" s="101">
        <f>Q908+S908*Tableau!$G$2+((1/2)*U908)*Tableau!$G$2^2</f>
        <v>15132132.83453832</v>
      </c>
      <c r="R909" s="101">
        <f>R908+T908*Tableau!$G$2</f>
        <v>-68697.867953860987</v>
      </c>
      <c r="S909" s="101">
        <f>S908+U908*Tableau!$G$2</f>
        <v>33800.563561922798</v>
      </c>
      <c r="T909" s="101">
        <f t="shared" si="28"/>
        <v>9.3474669255691261E-4</v>
      </c>
      <c r="U909" s="101">
        <f t="shared" si="29"/>
        <v>-4.5922960380802714E-4</v>
      </c>
      <c r="V909" s="101">
        <f>((Tableau!$G$16-P909)/(AC909^2+Tableau!$G$21^2)^(3/2))*Tableau!$G$20</f>
        <v>3.9879164780285868E-4</v>
      </c>
      <c r="W909" s="101">
        <f>((Tableau!$H$16-Q909)/(AC909^2+Tableau!$G$21^2)^(3/2))*Tableau!$G$20</f>
        <v>-1.9569678065216916E-4</v>
      </c>
      <c r="X909" s="101">
        <f>((Tableau!$G$25-P909)/(AD909^2+Tableau!$G$30^2)^(3/2))*Tableau!$G$29</f>
        <v>1.3705072459940549E-4</v>
      </c>
      <c r="Y909" s="101">
        <f>((Tableau!$H$25-Q909)/(AD909^2+Tableau!$G$30^2)^(3/2))*Tableau!$G$29</f>
        <v>-6.7330396407821289E-5</v>
      </c>
      <c r="Z909" s="101">
        <f>((Tableau!$G$35-P909)/(AE909^2+Tableau!$G$40^2)^(3/2))*Tableau!$G$39</f>
        <v>3.9890432015464856E-4</v>
      </c>
      <c r="AA909" s="102">
        <f>((Tableau!$H$35-Q909)/(AE909^2+Tableau!$G$40^2)^(3/2))*Tableau!$G$39</f>
        <v>-1.962024267480367E-4</v>
      </c>
      <c r="AC909" s="113">
        <f>SQRT((Tableau!$G$16-P909)^2+(Tableau!$H$16-Q909)^2)</f>
        <v>34332065.086599335</v>
      </c>
      <c r="AD909" s="114">
        <f>SQRT((Tableau!$G$25-P909)^2+(Tableau!$H$25-Q909)^2)</f>
        <v>34295057.85717719</v>
      </c>
      <c r="AE909" s="115">
        <f>SQRT((Tableau!$G$35-P909)^2+(Tableau!$H$35-Q909)^2)</f>
        <v>34319548.090079859</v>
      </c>
    </row>
    <row r="910" spans="2:31" x14ac:dyDescent="0.25">
      <c r="B910" s="20">
        <v>907</v>
      </c>
      <c r="C910" s="21">
        <f>Tableau!$G$17*COS(B910*PI()/180)+Tableau!$G$16</f>
        <v>15037.269241793389</v>
      </c>
      <c r="D910" s="21">
        <f>Tableau!$G$17*SIN(B910*PI()/180)+Tableau!$H$16</f>
        <v>6890.6532829742682</v>
      </c>
      <c r="F910" s="28">
        <v>907</v>
      </c>
      <c r="G910" s="29">
        <f>Tableau!$G$26*COS(F910*PI()/180)+Tableau!$G$25</f>
        <v>-23473.911530744626</v>
      </c>
      <c r="H910" s="29">
        <f>Tableau!$G$26*SIN(F910*PI()/180)+Tableau!$H$25</f>
        <v>9573.4572980819885</v>
      </c>
      <c r="J910" s="36">
        <v>907</v>
      </c>
      <c r="K910" s="37">
        <f>Tableau!$G$36*COS(J910*PI()/180)+Tableau!$G$35</f>
        <v>-9962.7307582066114</v>
      </c>
      <c r="L910" s="37">
        <f>Tableau!$G$36*SIN(J910*PI()/180)+Tableau!$H$35</f>
        <v>-15609.346717025732</v>
      </c>
      <c r="N910" s="92">
        <v>906</v>
      </c>
      <c r="O910" s="93">
        <v>453</v>
      </c>
      <c r="P910" s="96">
        <f>P909+R909*Tableau!$G$2+((1/2)*T909)*Tableau!$G$2^2</f>
        <v>-30835383.548728198</v>
      </c>
      <c r="Q910" s="96">
        <f>Q909+S909*Tableau!$G$2+((1/2)*U909)*Tableau!$G$2^2</f>
        <v>15149033.116261879</v>
      </c>
      <c r="R910" s="96">
        <f>R909+T909*Tableau!$G$2</f>
        <v>-68697.867486487638</v>
      </c>
      <c r="S910" s="96">
        <f>S909+U909*Tableau!$G$2</f>
        <v>33800.563332307996</v>
      </c>
      <c r="T910" s="96">
        <f t="shared" si="28"/>
        <v>9.3266467263414623E-4</v>
      </c>
      <c r="U910" s="96">
        <f t="shared" si="29"/>
        <v>-4.582074908746006E-4</v>
      </c>
      <c r="V910" s="96">
        <f>((Tableau!$G$16-P910)/(AC910^2+Tableau!$G$21^2)^(3/2))*Tableau!$G$20</f>
        <v>3.9790357396957029E-4</v>
      </c>
      <c r="W910" s="96">
        <f>((Tableau!$H$16-Q910)/(AC910^2+Tableau!$G$21^2)^(3/2))*Tableau!$G$20</f>
        <v>-1.9526155404370402E-4</v>
      </c>
      <c r="X910" s="96">
        <f>((Tableau!$G$25-P910)/(AD910^2+Tableau!$G$30^2)^(3/2))*Tableau!$G$29</f>
        <v>1.3674522932213536E-4</v>
      </c>
      <c r="Y910" s="96">
        <f>((Tableau!$H$25-Q910)/(AD910^2+Tableau!$G$30^2)^(3/2))*Tableau!$G$29</f>
        <v>-6.7180424735750941E-5</v>
      </c>
      <c r="Z910" s="96">
        <f>((Tableau!$G$35-P910)/(AE910^2+Tableau!$G$40^2)^(3/2))*Tableau!$G$39</f>
        <v>3.9801586934244053E-4</v>
      </c>
      <c r="AA910" s="97">
        <f>((Tableau!$H$35-Q910)/(AE910^2+Tableau!$G$40^2)^(3/2))*Tableau!$G$39</f>
        <v>-1.9576551209514565E-4</v>
      </c>
      <c r="AC910" s="110">
        <f>SQRT((Tableau!$G$16-P910)^2+(Tableau!$H$16-Q910)^2)</f>
        <v>34370346.507563494</v>
      </c>
      <c r="AD910" s="111">
        <f>SQRT((Tableau!$G$25-P910)^2+(Tableau!$H$25-Q910)^2)</f>
        <v>34333339.292158902</v>
      </c>
      <c r="AE910" s="112">
        <f>SQRT((Tableau!$G$35-P910)^2+(Tableau!$H$35-Q910)^2)</f>
        <v>34357829.531458728</v>
      </c>
    </row>
    <row r="911" spans="2:31" x14ac:dyDescent="0.25">
      <c r="B911" s="18">
        <v>908</v>
      </c>
      <c r="C911" s="19">
        <f>Tableau!$G$17*COS(B911*PI()/180)+Tableau!$G$16</f>
        <v>15048.659656292148</v>
      </c>
      <c r="D911" s="19">
        <f>Tableau!$G$17*SIN(B911*PI()/180)+Tableau!$H$16</f>
        <v>6804.1344951996834</v>
      </c>
      <c r="F911" s="26">
        <v>908</v>
      </c>
      <c r="G911" s="27">
        <f>Tableau!$G$26*COS(F911*PI()/180)+Tableau!$G$25</f>
        <v>-23465.938240595497</v>
      </c>
      <c r="H911" s="27">
        <f>Tableau!$G$26*SIN(F911*PI()/180)+Tableau!$H$25</f>
        <v>9512.8941466397791</v>
      </c>
      <c r="J911" s="34">
        <v>908</v>
      </c>
      <c r="K911" s="35">
        <f>Tableau!$G$36*COS(J911*PI()/180)+Tableau!$G$35</f>
        <v>-9951.3403437078523</v>
      </c>
      <c r="L911" s="35">
        <f>Tableau!$G$36*SIN(J911*PI()/180)+Tableau!$H$35</f>
        <v>-15695.865504800317</v>
      </c>
      <c r="N911" s="98">
        <v>907</v>
      </c>
      <c r="O911" s="99">
        <v>453.5</v>
      </c>
      <c r="P911" s="101">
        <f>P910+R910*Tableau!$G$2+((1/2)*T910)*Tableau!$G$2^2</f>
        <v>-30869732.482354857</v>
      </c>
      <c r="Q911" s="101">
        <f>Q910+S910*Tableau!$G$2+((1/2)*U910)*Tableau!$G$2^2</f>
        <v>15165933.397870757</v>
      </c>
      <c r="R911" s="101">
        <f>R910+T910*Tableau!$G$2</f>
        <v>-68697.867020155303</v>
      </c>
      <c r="S911" s="101">
        <f>S910+U910*Tableau!$G$2</f>
        <v>33800.563103204251</v>
      </c>
      <c r="T911" s="101">
        <f t="shared" si="28"/>
        <v>9.3058960110545806E-4</v>
      </c>
      <c r="U911" s="101">
        <f t="shared" si="29"/>
        <v>-4.5718878654712358E-4</v>
      </c>
      <c r="V911" s="101">
        <f>((Tableau!$G$16-P911)/(AC911^2+Tableau!$G$21^2)^(3/2))*Tableau!$G$20</f>
        <v>3.9701846333397732E-4</v>
      </c>
      <c r="W911" s="101">
        <f>((Tableau!$H$16-Q911)/(AC911^2+Tableau!$G$21^2)^(3/2))*Tableau!$G$20</f>
        <v>-1.9482777772875993E-4</v>
      </c>
      <c r="X911" s="101">
        <f>((Tableau!$G$25-P911)/(AD911^2+Tableau!$G$30^2)^(3/2))*Tableau!$G$29</f>
        <v>1.364407543637091E-4</v>
      </c>
      <c r="Y911" s="101">
        <f>((Tableau!$H$25-Q911)/(AD911^2+Tableau!$G$30^2)^(3/2))*Tableau!$G$29</f>
        <v>-6.7030953577130358E-5</v>
      </c>
      <c r="Z911" s="101">
        <f>((Tableau!$G$35-P911)/(AE911^2+Tableau!$G$40^2)^(3/2))*Tableau!$G$39</f>
        <v>3.9713038340777172E-4</v>
      </c>
      <c r="AA911" s="102">
        <f>((Tableau!$H$35-Q911)/(AE911^2+Tableau!$G$40^2)^(3/2))*Tableau!$G$39</f>
        <v>-1.9533005524123326E-4</v>
      </c>
      <c r="AC911" s="113">
        <f>SQRT((Tableau!$G$16-P911)^2+(Tableau!$H$16-Q911)^2)</f>
        <v>34408627.92831374</v>
      </c>
      <c r="AD911" s="114">
        <f>SQRT((Tableau!$G$25-P911)^2+(Tableau!$H$25-Q911)^2)</f>
        <v>34371620.726895534</v>
      </c>
      <c r="AE911" s="115">
        <f>SQRT((Tableau!$G$35-P911)^2+(Tableau!$H$35-Q911)^2)</f>
        <v>34396110.972578265</v>
      </c>
    </row>
    <row r="912" spans="2:31" x14ac:dyDescent="0.25">
      <c r="B912" s="20">
        <v>909</v>
      </c>
      <c r="C912" s="21">
        <f>Tableau!$G$17*COS(B912*PI()/180)+Tableau!$G$16</f>
        <v>15061.558297024312</v>
      </c>
      <c r="D912" s="21">
        <f>Tableau!$G$17*SIN(B912*PI()/180)+Tableau!$H$16</f>
        <v>6717.8276747988439</v>
      </c>
      <c r="F912" s="28">
        <v>909</v>
      </c>
      <c r="G912" s="29">
        <f>Tableau!$G$26*COS(F912*PI()/180)+Tableau!$G$25</f>
        <v>-23456.909192082981</v>
      </c>
      <c r="H912" s="29">
        <f>Tableau!$G$26*SIN(F912*PI()/180)+Tableau!$H$25</f>
        <v>9452.4793723591902</v>
      </c>
      <c r="J912" s="36">
        <v>909</v>
      </c>
      <c r="K912" s="37">
        <f>Tableau!$G$36*COS(J912*PI()/180)+Tableau!$G$35</f>
        <v>-9938.4417029756878</v>
      </c>
      <c r="L912" s="37">
        <f>Tableau!$G$36*SIN(J912*PI()/180)+Tableau!$H$35</f>
        <v>-15782.172325201156</v>
      </c>
      <c r="N912" s="92">
        <v>908</v>
      </c>
      <c r="O912" s="93">
        <v>454</v>
      </c>
      <c r="P912" s="96">
        <f>P911+R911*Tableau!$G$2+((1/2)*T911)*Tableau!$G$2^2</f>
        <v>-30904081.415748611</v>
      </c>
      <c r="Q912" s="96">
        <f>Q911+S911*Tableau!$G$2+((1/2)*U911)*Tableau!$G$2^2</f>
        <v>15182833.67936521</v>
      </c>
      <c r="R912" s="96">
        <f>R911+T911*Tableau!$G$2</f>
        <v>-68697.866554860506</v>
      </c>
      <c r="S912" s="96">
        <f>S911+U911*Tableau!$G$2</f>
        <v>33800.562874609859</v>
      </c>
      <c r="T912" s="96">
        <f t="shared" si="28"/>
        <v>9.2852144708635196E-4</v>
      </c>
      <c r="U912" s="96">
        <f t="shared" si="29"/>
        <v>-4.5617347568609624E-4</v>
      </c>
      <c r="V912" s="96">
        <f>((Tableau!$G$16-P912)/(AC912^2+Tableau!$G$21^2)^(3/2))*Tableau!$G$20</f>
        <v>3.9613630272780875E-4</v>
      </c>
      <c r="W912" s="96">
        <f>((Tableau!$H$16-Q912)/(AC912^2+Tableau!$G$21^2)^(3/2))*Tableau!$G$20</f>
        <v>-1.9439544527078729E-4</v>
      </c>
      <c r="X912" s="96">
        <f>((Tableau!$G$25-P912)/(AD912^2+Tableau!$G$30^2)^(3/2))*Tableau!$G$29</f>
        <v>1.3613729518551147E-4</v>
      </c>
      <c r="Y912" s="96">
        <f>((Tableau!$H$25-Q912)/(AD912^2+Tableau!$G$30^2)^(3/2))*Tableau!$G$29</f>
        <v>-6.6881980707223274E-5</v>
      </c>
      <c r="Z912" s="96">
        <f>((Tableau!$G$35-P912)/(AE912^2+Tableau!$G$40^2)^(3/2))*Tableau!$G$39</f>
        <v>3.9624784917303171E-4</v>
      </c>
      <c r="AA912" s="97">
        <f>((Tableau!$H$35-Q912)/(AE912^2+Tableau!$G$40^2)^(3/2))*Tableau!$G$39</f>
        <v>-1.9489604970808567E-4</v>
      </c>
      <c r="AC912" s="110">
        <f>SQRT((Tableau!$G$16-P912)^2+(Tableau!$H$16-Q912)^2)</f>
        <v>34446909.348850511</v>
      </c>
      <c r="AD912" s="111">
        <f>SQRT((Tableau!$G$25-P912)^2+(Tableau!$H$25-Q912)^2)</f>
        <v>34409902.161387615</v>
      </c>
      <c r="AE912" s="112">
        <f>SQRT((Tableau!$G$35-P912)^2+(Tableau!$H$35-Q912)^2)</f>
        <v>34434392.41343905</v>
      </c>
    </row>
    <row r="913" spans="2:31" x14ac:dyDescent="0.25">
      <c r="B913" s="18">
        <v>910</v>
      </c>
      <c r="C913" s="19">
        <f>Tableau!$G$17*COS(B913*PI()/180)+Tableau!$G$16</f>
        <v>15075.961234938959</v>
      </c>
      <c r="D913" s="19">
        <f>Tableau!$G$17*SIN(B913*PI()/180)+Tableau!$H$16</f>
        <v>6631.7591116653521</v>
      </c>
      <c r="F913" s="26">
        <v>910</v>
      </c>
      <c r="G913" s="27">
        <f>Tableau!$G$26*COS(F913*PI()/180)+Tableau!$G$25</f>
        <v>-23446.827135542728</v>
      </c>
      <c r="H913" s="27">
        <f>Tableau!$G$26*SIN(F913*PI()/180)+Tableau!$H$25</f>
        <v>9392.2313781657467</v>
      </c>
      <c r="J913" s="34">
        <v>910</v>
      </c>
      <c r="K913" s="35">
        <f>Tableau!$G$36*COS(J913*PI()/180)+Tableau!$G$35</f>
        <v>-9924.038765061041</v>
      </c>
      <c r="L913" s="35">
        <f>Tableau!$G$36*SIN(J913*PI()/180)+Tableau!$H$35</f>
        <v>-15868.240888334647</v>
      </c>
      <c r="N913" s="98">
        <v>909</v>
      </c>
      <c r="O913" s="99">
        <v>454.5</v>
      </c>
      <c r="P913" s="101">
        <f>P912+R912*Tableau!$G$2+((1/2)*T912)*Tableau!$G$2^2</f>
        <v>-30938430.348909978</v>
      </c>
      <c r="Q913" s="101">
        <f>Q912+S912*Tableau!$G$2+((1/2)*U912)*Tableau!$G$2^2</f>
        <v>15199733.960745495</v>
      </c>
      <c r="R913" s="101">
        <f>R912+T912*Tableau!$G$2</f>
        <v>-68697.866090599782</v>
      </c>
      <c r="S913" s="101">
        <f>S912+U912*Tableau!$G$2</f>
        <v>33800.562646523118</v>
      </c>
      <c r="T913" s="101">
        <f t="shared" si="28"/>
        <v>9.264601798637472E-4</v>
      </c>
      <c r="U913" s="101">
        <f t="shared" si="29"/>
        <v>-4.551615432359845E-4</v>
      </c>
      <c r="V913" s="101">
        <f>((Tableau!$G$16-P913)/(AC913^2+Tableau!$G$21^2)^(3/2))*Tableau!$G$20</f>
        <v>3.9525707905587734E-4</v>
      </c>
      <c r="W913" s="101">
        <f>((Tableau!$H$16-Q913)/(AC913^2+Tableau!$G$21^2)^(3/2))*Tableau!$G$20</f>
        <v>-1.939645502689122E-4</v>
      </c>
      <c r="X913" s="101">
        <f>((Tableau!$G$25-P913)/(AD913^2+Tableau!$G$30^2)^(3/2))*Tableau!$G$29</f>
        <v>1.3583484727413306E-4</v>
      </c>
      <c r="Y913" s="101">
        <f>((Tableau!$H$25-Q913)/(AD913^2+Tableau!$G$30^2)^(3/2))*Tableau!$G$29</f>
        <v>-6.6733503913639575E-5</v>
      </c>
      <c r="Z913" s="101">
        <f>((Tableau!$G$35-P913)/(AE913^2+Tableau!$G$40^2)^(3/2))*Tableau!$G$39</f>
        <v>3.9536825353373681E-4</v>
      </c>
      <c r="AA913" s="102">
        <f>((Tableau!$H$35-Q913)/(AE913^2+Tableau!$G$40^2)^(3/2))*Tableau!$G$39</f>
        <v>-1.9446348905343276E-4</v>
      </c>
      <c r="AC913" s="113">
        <f>SQRT((Tableau!$G$16-P913)^2+(Tableau!$H$16-Q913)^2)</f>
        <v>34485190.769174226</v>
      </c>
      <c r="AD913" s="114">
        <f>SQRT((Tableau!$G$25-P913)^2+(Tableau!$H$25-Q913)^2)</f>
        <v>34448183.595635675</v>
      </c>
      <c r="AE913" s="115">
        <f>SQRT((Tableau!$G$35-P913)^2+(Tableau!$H$35-Q913)^2)</f>
        <v>34472673.854041658</v>
      </c>
    </row>
    <row r="914" spans="2:31" x14ac:dyDescent="0.25">
      <c r="B914" s="20">
        <v>911</v>
      </c>
      <c r="C914" s="21">
        <f>Tableau!$G$17*COS(B914*PI()/180)+Tableau!$G$16</f>
        <v>15091.86408276168</v>
      </c>
      <c r="D914" s="21">
        <f>Tableau!$G$17*SIN(B914*PI()/180)+Tableau!$H$16</f>
        <v>6545.9550231172761</v>
      </c>
      <c r="F914" s="28">
        <v>911</v>
      </c>
      <c r="G914" s="29">
        <f>Tableau!$G$26*COS(F914*PI()/180)+Tableau!$G$25</f>
        <v>-23435.695142066823</v>
      </c>
      <c r="H914" s="29">
        <f>Tableau!$G$26*SIN(F914*PI()/180)+Tableau!$H$25</f>
        <v>9332.1685161820933</v>
      </c>
      <c r="J914" s="36">
        <v>911</v>
      </c>
      <c r="K914" s="37">
        <f>Tableau!$G$36*COS(J914*PI()/180)+Tableau!$G$35</f>
        <v>-9908.13591723832</v>
      </c>
      <c r="L914" s="37">
        <f>Tableau!$G$36*SIN(J914*PI()/180)+Tableau!$H$35</f>
        <v>-15954.044976882724</v>
      </c>
      <c r="N914" s="92">
        <v>910</v>
      </c>
      <c r="O914" s="93">
        <v>455</v>
      </c>
      <c r="P914" s="96">
        <f>P913+R913*Tableau!$G$2+((1/2)*T913)*Tableau!$G$2^2</f>
        <v>-30972779.281839471</v>
      </c>
      <c r="Q914" s="96">
        <f>Q913+S913*Tableau!$G$2+((1/2)*U913)*Tableau!$G$2^2</f>
        <v>15216634.242011862</v>
      </c>
      <c r="R914" s="96">
        <f>R913+T913*Tableau!$G$2</f>
        <v>-68697.865627369698</v>
      </c>
      <c r="S914" s="96">
        <f>S913+U913*Tableau!$G$2</f>
        <v>33800.562418942347</v>
      </c>
      <c r="T914" s="96">
        <f t="shared" si="28"/>
        <v>9.244057688948266E-4</v>
      </c>
      <c r="U914" s="96">
        <f t="shared" si="29"/>
        <v>-4.5415297422465558E-4</v>
      </c>
      <c r="V914" s="96">
        <f>((Tableau!$G$16-P914)/(AC914^2+Tableau!$G$21^2)^(3/2))*Tableau!$G$20</f>
        <v>3.9438077929556038E-4</v>
      </c>
      <c r="W914" s="96">
        <f>((Tableau!$H$16-Q914)/(AC914^2+Tableau!$G$21^2)^(3/2))*Tableau!$G$20</f>
        <v>-1.9353508635768361E-4</v>
      </c>
      <c r="X914" s="96">
        <f>((Tableau!$G$25-P914)/(AD914^2+Tableau!$G$30^2)^(3/2))*Tableau!$G$29</f>
        <v>1.3553340614120985E-4</v>
      </c>
      <c r="Y914" s="96">
        <f>((Tableau!$H$25-Q914)/(AD914^2+Tableau!$G$30^2)^(3/2))*Tableau!$G$29</f>
        <v>-6.658552099625673E-5</v>
      </c>
      <c r="Z914" s="96">
        <f>((Tableau!$G$35-P914)/(AE914^2+Tableau!$G$40^2)^(3/2))*Tableau!$G$39</f>
        <v>3.9449158345805635E-4</v>
      </c>
      <c r="AA914" s="97">
        <f>((Tableau!$H$35-Q914)/(AE914^2+Tableau!$G$40^2)^(3/2))*Tableau!$G$39</f>
        <v>-1.9403236687071527E-4</v>
      </c>
      <c r="AC914" s="110">
        <f>SQRT((Tableau!$G$16-P914)^2+(Tableau!$H$16-Q914)^2)</f>
        <v>34523472.189285301</v>
      </c>
      <c r="AD914" s="111">
        <f>SQRT((Tableau!$G$25-P914)^2+(Tableau!$H$25-Q914)^2)</f>
        <v>34486465.029640228</v>
      </c>
      <c r="AE914" s="112">
        <f>SQRT((Tableau!$G$35-P914)^2+(Tableau!$H$35-Q914)^2)</f>
        <v>34510955.294386655</v>
      </c>
    </row>
    <row r="915" spans="2:31" x14ac:dyDescent="0.25">
      <c r="B915" s="18">
        <v>912</v>
      </c>
      <c r="C915" s="19">
        <f>Tableau!$G$17*COS(B915*PI()/180)+Tableau!$G$16</f>
        <v>15109.26199633097</v>
      </c>
      <c r="D915" s="19">
        <f>Tableau!$G$17*SIN(B915*PI()/180)+Tableau!$H$16</f>
        <v>6460.4415459112097</v>
      </c>
      <c r="F915" s="26">
        <v>912</v>
      </c>
      <c r="G915" s="27">
        <f>Tableau!$G$26*COS(F915*PI()/180)+Tableau!$G$25</f>
        <v>-23423.516602568321</v>
      </c>
      <c r="H915" s="27">
        <f>Tableau!$G$26*SIN(F915*PI()/180)+Tableau!$H$25</f>
        <v>9272.3090821378464</v>
      </c>
      <c r="J915" s="34">
        <v>912</v>
      </c>
      <c r="K915" s="35">
        <f>Tableau!$G$36*COS(J915*PI()/180)+Tableau!$G$35</f>
        <v>-9890.7380036690301</v>
      </c>
      <c r="L915" s="35">
        <f>Tableau!$G$36*SIN(J915*PI()/180)+Tableau!$H$35</f>
        <v>-16039.55845408879</v>
      </c>
      <c r="N915" s="98">
        <v>911</v>
      </c>
      <c r="O915" s="99">
        <v>455.5</v>
      </c>
      <c r="P915" s="101">
        <f>P914+R914*Tableau!$G$2+((1/2)*T914)*Tableau!$G$2^2</f>
        <v>-31007128.214537606</v>
      </c>
      <c r="Q915" s="101">
        <f>Q914+S914*Tableau!$G$2+((1/2)*U914)*Tableau!$G$2^2</f>
        <v>15233534.523164563</v>
      </c>
      <c r="R915" s="101">
        <f>R914+T914*Tableau!$G$2</f>
        <v>-68697.865165166819</v>
      </c>
      <c r="S915" s="101">
        <f>S914+U914*Tableau!$G$2</f>
        <v>33800.562191865858</v>
      </c>
      <c r="T915" s="101">
        <f t="shared" si="28"/>
        <v>9.2235818380590872E-4</v>
      </c>
      <c r="U915" s="101">
        <f t="shared" si="29"/>
        <v>-4.5314775376282613E-4</v>
      </c>
      <c r="V915" s="101">
        <f>((Tableau!$G$16-P915)/(AC915^2+Tableau!$G$21^2)^(3/2))*Tableau!$G$20</f>
        <v>3.9350739049634866E-4</v>
      </c>
      <c r="W915" s="101">
        <f>((Tableau!$H$16-Q915)/(AC915^2+Tableau!$G$21^2)^(3/2))*Tableau!$G$20</f>
        <v>-1.9310704720685329E-4</v>
      </c>
      <c r="X915" s="101">
        <f>((Tableau!$G$25-P915)/(AD915^2+Tableau!$G$30^2)^(3/2))*Tableau!$G$29</f>
        <v>1.3523296732324716E-4</v>
      </c>
      <c r="Y915" s="101">
        <f>((Tableau!$H$25-Q915)/(AD915^2+Tableau!$G$30^2)^(3/2))*Tableau!$G$29</f>
        <v>-6.6438029767133707E-5</v>
      </c>
      <c r="Z915" s="101">
        <f>((Tableau!$G$35-P915)/(AE915^2+Tableau!$G$40^2)^(3/2))*Tableau!$G$39</f>
        <v>3.9361782598631301E-4</v>
      </c>
      <c r="AA915" s="102">
        <f>((Tableau!$H$35-Q915)/(AE915^2+Tableau!$G$40^2)^(3/2))*Tableau!$G$39</f>
        <v>-1.9360267678883916E-4</v>
      </c>
      <c r="AC915" s="113">
        <f>SQRT((Tableau!$G$16-P915)^2+(Tableau!$H$16-Q915)^2)</f>
        <v>34561753.609184161</v>
      </c>
      <c r="AD915" s="114">
        <f>SQRT((Tableau!$G$25-P915)^2+(Tableau!$H$25-Q915)^2)</f>
        <v>34524746.463401809</v>
      </c>
      <c r="AE915" s="115">
        <f>SQRT((Tableau!$G$35-P915)^2+(Tableau!$H$35-Q915)^2)</f>
        <v>34549236.734474614</v>
      </c>
    </row>
    <row r="916" spans="2:31" x14ac:dyDescent="0.25">
      <c r="B916" s="20">
        <v>913</v>
      </c>
      <c r="C916" s="21">
        <f>Tableau!$G$17*COS(B916*PI()/180)+Tableau!$G$16</f>
        <v>15128.149676073823</v>
      </c>
      <c r="D916" s="21">
        <f>Tableau!$G$17*SIN(B916*PI()/180)+Tableau!$H$16</f>
        <v>6375.2447282806779</v>
      </c>
      <c r="F916" s="28">
        <v>913</v>
      </c>
      <c r="G916" s="29">
        <f>Tableau!$G$26*COS(F916*PI()/180)+Tableau!$G$25</f>
        <v>-23410.295226748323</v>
      </c>
      <c r="H916" s="29">
        <f>Tableau!$G$26*SIN(F916*PI()/180)+Tableau!$H$25</f>
        <v>9212.6713097964748</v>
      </c>
      <c r="J916" s="36">
        <v>913</v>
      </c>
      <c r="K916" s="37">
        <f>Tableau!$G$36*COS(J916*PI()/180)+Tableau!$G$35</f>
        <v>-9871.8503239261772</v>
      </c>
      <c r="L916" s="37">
        <f>Tableau!$G$36*SIN(J916*PI()/180)+Tableau!$H$35</f>
        <v>-16124.755271719323</v>
      </c>
      <c r="N916" s="92">
        <v>912</v>
      </c>
      <c r="O916" s="93">
        <v>456</v>
      </c>
      <c r="P916" s="96">
        <f>P915+R915*Tableau!$G$2+((1/2)*T915)*Tableau!$G$2^2</f>
        <v>-31041477.147004895</v>
      </c>
      <c r="Q916" s="96">
        <f>Q915+S915*Tableau!$G$2+((1/2)*U915)*Tableau!$G$2^2</f>
        <v>15250434.804203853</v>
      </c>
      <c r="R916" s="96">
        <f>R915+T915*Tableau!$G$2</f>
        <v>-68697.864703987725</v>
      </c>
      <c r="S916" s="96">
        <f>S915+U915*Tableau!$G$2</f>
        <v>33800.561965291978</v>
      </c>
      <c r="T916" s="96">
        <f t="shared" si="28"/>
        <v>9.2031739439131727E-4</v>
      </c>
      <c r="U916" s="96">
        <f t="shared" si="29"/>
        <v>-4.5214586704350886E-4</v>
      </c>
      <c r="V916" s="96">
        <f>((Tableau!$G$16-P916)/(AC916^2+Tableau!$G$21^2)^(3/2))*Tableau!$G$20</f>
        <v>3.9263689977934562E-4</v>
      </c>
      <c r="W916" s="96">
        <f>((Tableau!$H$16-Q916)/(AC916^2+Tableau!$G$21^2)^(3/2))*Tableau!$G$20</f>
        <v>-1.9268042652113168E-4</v>
      </c>
      <c r="X916" s="96">
        <f>((Tableau!$G$25-P916)/(AD916^2+Tableau!$G$30^2)^(3/2))*Tableau!$G$29</f>
        <v>1.3493352638145923E-4</v>
      </c>
      <c r="Y916" s="96">
        <f>((Tableau!$H$25-Q916)/(AD916^2+Tableau!$G$30^2)^(3/2))*Tableau!$G$29</f>
        <v>-6.6291028050432439E-5</v>
      </c>
      <c r="Z916" s="96">
        <f>((Tableau!$G$35-P916)/(AE916^2+Tableau!$G$40^2)^(3/2))*Tableau!$G$39</f>
        <v>3.9274696823051245E-4</v>
      </c>
      <c r="AA916" s="97">
        <f>((Tableau!$H$35-Q916)/(AE916^2+Tableau!$G$40^2)^(3/2))*Tableau!$G$39</f>
        <v>-1.9317441247194473E-4</v>
      </c>
      <c r="AC916" s="110">
        <f>SQRT((Tableau!$G$16-P916)^2+(Tableau!$H$16-Q916)^2)</f>
        <v>34600035.028871238</v>
      </c>
      <c r="AD916" s="111">
        <f>SQRT((Tableau!$G$25-P916)^2+(Tableau!$H$25-Q916)^2)</f>
        <v>34563027.896920934</v>
      </c>
      <c r="AE916" s="112">
        <f>SQRT((Tableau!$G$35-P916)^2+(Tableau!$H$35-Q916)^2)</f>
        <v>34587518.17430611</v>
      </c>
    </row>
    <row r="917" spans="2:31" x14ac:dyDescent="0.25">
      <c r="B917" s="18">
        <v>914</v>
      </c>
      <c r="C917" s="19">
        <f>Tableau!$G$17*COS(B917*PI()/180)+Tableau!$G$16</f>
        <v>15148.521368620019</v>
      </c>
      <c r="D917" s="19">
        <f>Tableau!$G$17*SIN(B917*PI()/180)+Tableau!$H$16</f>
        <v>6290.3905220016604</v>
      </c>
      <c r="F917" s="26">
        <v>914</v>
      </c>
      <c r="G917" s="27">
        <f>Tableau!$G$26*COS(F917*PI()/180)+Tableau!$G$25</f>
        <v>-23396.035041965988</v>
      </c>
      <c r="H917" s="27">
        <f>Tableau!$G$26*SIN(F917*PI()/180)+Tableau!$H$25</f>
        <v>9153.2733654011627</v>
      </c>
      <c r="J917" s="34">
        <v>914</v>
      </c>
      <c r="K917" s="35">
        <f>Tableau!$G$36*COS(J917*PI()/180)+Tableau!$G$35</f>
        <v>-9851.4786313799814</v>
      </c>
      <c r="L917" s="35">
        <f>Tableau!$G$36*SIN(J917*PI()/180)+Tableau!$H$35</f>
        <v>-16209.60947799834</v>
      </c>
      <c r="N917" s="98">
        <v>913</v>
      </c>
      <c r="O917" s="99">
        <v>456.5</v>
      </c>
      <c r="P917" s="101">
        <f>P916+R916*Tableau!$G$2+((1/2)*T916)*Tableau!$G$2^2</f>
        <v>-31075826.079241849</v>
      </c>
      <c r="Q917" s="101">
        <f>Q916+S916*Tableau!$G$2+((1/2)*U916)*Tableau!$G$2^2</f>
        <v>15267335.08512998</v>
      </c>
      <c r="R917" s="101">
        <f>R916+T916*Tableau!$G$2</f>
        <v>-68697.864243829026</v>
      </c>
      <c r="S917" s="101">
        <f>S916+U916*Tableau!$G$2</f>
        <v>33800.561739219047</v>
      </c>
      <c r="T917" s="101">
        <f t="shared" si="28"/>
        <v>9.1828337061227805E-4</v>
      </c>
      <c r="U917" s="101">
        <f t="shared" si="29"/>
        <v>-4.5114729934147245E-4</v>
      </c>
      <c r="V917" s="101">
        <f>((Tableau!$G$16-P917)/(AC917^2+Tableau!$G$21^2)^(3/2))*Tableau!$G$20</f>
        <v>3.9176929433680394E-4</v>
      </c>
      <c r="W917" s="101">
        <f>((Tableau!$H$16-Q917)/(AC917^2+Tableau!$G$21^2)^(3/2))*Tableau!$G$20</f>
        <v>-1.9225521803996185E-4</v>
      </c>
      <c r="X917" s="101">
        <f>((Tableau!$G$25-P917)/(AD917^2+Tableau!$G$30^2)^(3/2))*Tableau!$G$29</f>
        <v>1.3463507890160837E-4</v>
      </c>
      <c r="Y917" s="101">
        <f>((Tableau!$H$25-Q917)/(AD917^2+Tableau!$G$30^2)^(3/2))*Tableau!$G$29</f>
        <v>-6.6144513682338984E-5</v>
      </c>
      <c r="Z917" s="101">
        <f>((Tableau!$G$35-P917)/(AE917^2+Tableau!$G$40^2)^(3/2))*Tableau!$G$39</f>
        <v>3.9187899737386581E-4</v>
      </c>
      <c r="AA917" s="102">
        <f>((Tableau!$H$35-Q917)/(AE917^2+Tableau!$G$40^2)^(3/2))*Tableau!$G$39</f>
        <v>-1.9274756761917161E-4</v>
      </c>
      <c r="AC917" s="113">
        <f>SQRT((Tableau!$G$16-P917)^2+(Tableau!$H$16-Q917)^2)</f>
        <v>34638316.448346928</v>
      </c>
      <c r="AD917" s="114">
        <f>SQRT((Tableau!$G$25-P917)^2+(Tableau!$H$25-Q917)^2)</f>
        <v>34601309.330198132</v>
      </c>
      <c r="AE917" s="115">
        <f>SQRT((Tableau!$G$35-P917)^2+(Tableau!$H$35-Q917)^2)</f>
        <v>34625799.6138817</v>
      </c>
    </row>
    <row r="918" spans="2:31" x14ac:dyDescent="0.25">
      <c r="B918" s="20">
        <v>915</v>
      </c>
      <c r="C918" s="21">
        <f>Tableau!$G$17*COS(B918*PI()/180)+Tableau!$G$16</f>
        <v>15170.370868554657</v>
      </c>
      <c r="D918" s="21">
        <f>Tableau!$G$17*SIN(B918*PI()/180)+Tableau!$H$16</f>
        <v>6205.9047744874006</v>
      </c>
      <c r="F918" s="28">
        <v>915</v>
      </c>
      <c r="G918" s="29">
        <f>Tableau!$G$26*COS(F918*PI()/180)+Tableau!$G$25</f>
        <v>-23380.740392011739</v>
      </c>
      <c r="H918" s="29">
        <f>Tableau!$G$26*SIN(F918*PI()/180)+Tableau!$H$25</f>
        <v>9094.13334214118</v>
      </c>
      <c r="J918" s="36">
        <v>915</v>
      </c>
      <c r="K918" s="37">
        <f>Tableau!$G$36*COS(J918*PI()/180)+Tableau!$G$35</f>
        <v>-9829.6291314453429</v>
      </c>
      <c r="L918" s="37">
        <f>Tableau!$G$36*SIN(J918*PI()/180)+Tableau!$H$35</f>
        <v>-16294.095225512599</v>
      </c>
      <c r="N918" s="92">
        <v>914</v>
      </c>
      <c r="O918" s="93">
        <v>457</v>
      </c>
      <c r="P918" s="96">
        <f>P917+R917*Tableau!$G$2+((1/2)*T917)*Tableau!$G$2^2</f>
        <v>-31110175.01124898</v>
      </c>
      <c r="Q918" s="96">
        <f>Q917+S917*Tableau!$G$2+((1/2)*U917)*Tableau!$G$2^2</f>
        <v>15284235.365943195</v>
      </c>
      <c r="R918" s="96">
        <f>R917+T917*Tableau!$G$2</f>
        <v>-68697.863784687346</v>
      </c>
      <c r="S918" s="96">
        <f>S917+U917*Tableau!$G$2</f>
        <v>33800.5615136454</v>
      </c>
      <c r="T918" s="96">
        <f t="shared" si="28"/>
        <v>9.1625608259580309E-4</v>
      </c>
      <c r="U918" s="96">
        <f t="shared" si="29"/>
        <v>-4.501520360126957E-4</v>
      </c>
      <c r="V918" s="96">
        <f>((Tableau!$G$16-P918)/(AC918^2+Tableau!$G$21^2)^(3/2))*Tableau!$G$20</f>
        <v>3.909045614316507E-4</v>
      </c>
      <c r="W918" s="96">
        <f>((Tableau!$H$16-Q918)/(AC918^2+Tableau!$G$21^2)^(3/2))*Tableau!$G$20</f>
        <v>-1.9183141553728834E-4</v>
      </c>
      <c r="X918" s="96">
        <f>((Tableau!$G$25-P918)/(AD918^2+Tableau!$G$30^2)^(3/2))*Tableau!$G$29</f>
        <v>1.3433762049383253E-4</v>
      </c>
      <c r="Y918" s="96">
        <f>((Tableau!$H$25-Q918)/(AD918^2+Tableau!$G$30^2)^(3/2))*Tableau!$G$29</f>
        <v>-6.5998484510979312E-5</v>
      </c>
      <c r="Z918" s="96">
        <f>((Tableau!$G$35-P918)/(AE918^2+Tableau!$G$40^2)^(3/2))*Tableau!$G$39</f>
        <v>3.9101390067031985E-4</v>
      </c>
      <c r="AA918" s="97">
        <f>((Tableau!$H$35-Q918)/(AE918^2+Tableau!$G$40^2)^(3/2))*Tableau!$G$39</f>
        <v>-1.9232213596442806E-4</v>
      </c>
      <c r="AC918" s="110">
        <f>SQRT((Tableau!$G$16-P918)^2+(Tableau!$H$16-Q918)^2)</f>
        <v>34676597.867611669</v>
      </c>
      <c r="AD918" s="111">
        <f>SQRT((Tableau!$G$25-P918)^2+(Tableau!$H$25-Q918)^2)</f>
        <v>34639590.763233915</v>
      </c>
      <c r="AE918" s="112">
        <f>SQRT((Tableau!$G$35-P918)^2+(Tableau!$H$35-Q918)^2)</f>
        <v>34664081.053201959</v>
      </c>
    </row>
    <row r="919" spans="2:31" x14ac:dyDescent="0.25">
      <c r="B919" s="18">
        <v>916</v>
      </c>
      <c r="C919" s="19">
        <f>Tableau!$G$17*COS(B919*PI()/180)+Tableau!$G$16</f>
        <v>15193.691520308403</v>
      </c>
      <c r="D919" s="19">
        <f>Tableau!$G$17*SIN(B919*PI()/180)+Tableau!$H$16</f>
        <v>6121.8132209150135</v>
      </c>
      <c r="F919" s="26">
        <v>916</v>
      </c>
      <c r="G919" s="27">
        <f>Tableau!$G$26*COS(F919*PI()/180)+Tableau!$G$25</f>
        <v>-23364.41593578412</v>
      </c>
      <c r="H919" s="27">
        <f>Tableau!$G$26*SIN(F919*PI()/180)+Tableau!$H$25</f>
        <v>9035.2692546405087</v>
      </c>
      <c r="J919" s="34">
        <v>916</v>
      </c>
      <c r="K919" s="35">
        <f>Tableau!$G$36*COS(J919*PI()/180)+Tableau!$G$35</f>
        <v>-9806.3084796915973</v>
      </c>
      <c r="L919" s="35">
        <f>Tableau!$G$36*SIN(J919*PI()/180)+Tableau!$H$35</f>
        <v>-16378.186779084986</v>
      </c>
      <c r="N919" s="98">
        <v>915</v>
      </c>
      <c r="O919" s="99">
        <v>457.5</v>
      </c>
      <c r="P919" s="101">
        <f>P918+R918*Tableau!$G$2+((1/2)*T918)*Tableau!$G$2^2</f>
        <v>-31144523.943026792</v>
      </c>
      <c r="Q919" s="101">
        <f>Q918+S918*Tableau!$G$2+((1/2)*U918)*Tableau!$G$2^2</f>
        <v>15301135.646643749</v>
      </c>
      <c r="R919" s="101">
        <f>R918+T918*Tableau!$G$2</f>
        <v>-68697.863326559309</v>
      </c>
      <c r="S919" s="101">
        <f>S918+U918*Tableau!$G$2</f>
        <v>33800.561288569384</v>
      </c>
      <c r="T919" s="101">
        <f t="shared" si="28"/>
        <v>9.1423550063360717E-4</v>
      </c>
      <c r="U919" s="101">
        <f t="shared" si="29"/>
        <v>-4.4916006249383708E-4</v>
      </c>
      <c r="V919" s="101">
        <f>((Tableau!$G$16-P919)/(AC919^2+Tableau!$G$21^2)^(3/2))*Tableau!$G$20</f>
        <v>3.9004268839701669E-4</v>
      </c>
      <c r="W919" s="101">
        <f>((Tableau!$H$16-Q919)/(AC919^2+Tableau!$G$21^2)^(3/2))*Tableau!$G$20</f>
        <v>-1.9140901282132725E-4</v>
      </c>
      <c r="X919" s="101">
        <f>((Tableau!$G$25-P919)/(AD919^2+Tableau!$G$30^2)^(3/2))*Tableau!$G$29</f>
        <v>1.3404114679249895E-4</v>
      </c>
      <c r="Y919" s="101">
        <f>((Tableau!$H$25-Q919)/(AD919^2+Tableau!$G$30^2)^(3/2))*Tableau!$G$29</f>
        <v>-6.5852938396347558E-5</v>
      </c>
      <c r="Z919" s="101">
        <f>((Tableau!$G$35-P919)/(AE919^2+Tableau!$G$40^2)^(3/2))*Tableau!$G$39</f>
        <v>3.9015166544409147E-4</v>
      </c>
      <c r="AA919" s="102">
        <f>((Tableau!$H$35-Q919)/(AE919^2+Tableau!$G$40^2)^(3/2))*Tableau!$G$39</f>
        <v>-1.918981112761623E-4</v>
      </c>
      <c r="AC919" s="113">
        <f>SQRT((Tableau!$G$16-P919)^2+(Tableau!$H$16-Q919)^2)</f>
        <v>34714879.286665864</v>
      </c>
      <c r="AD919" s="114">
        <f>SQRT((Tableau!$G$25-P919)^2+(Tableau!$H$25-Q919)^2)</f>
        <v>34677872.196028799</v>
      </c>
      <c r="AE919" s="115">
        <f>SQRT((Tableau!$G$35-P919)^2+(Tableau!$H$35-Q919)^2)</f>
        <v>34702362.492267445</v>
      </c>
    </row>
    <row r="920" spans="2:31" x14ac:dyDescent="0.25">
      <c r="B920" s="20">
        <v>917</v>
      </c>
      <c r="C920" s="21">
        <f>Tableau!$G$17*COS(B920*PI()/180)+Tableau!$G$16</f>
        <v>15218.476220184821</v>
      </c>
      <c r="D920" s="21">
        <f>Tableau!$G$17*SIN(B920*PI()/180)+Tableau!$H$16</f>
        <v>6038.1414763863222</v>
      </c>
      <c r="F920" s="28">
        <v>917</v>
      </c>
      <c r="G920" s="29">
        <f>Tableau!$G$26*COS(F920*PI()/180)+Tableau!$G$25</f>
        <v>-23347.066645870626</v>
      </c>
      <c r="H920" s="29">
        <f>Tableau!$G$26*SIN(F920*PI()/180)+Tableau!$H$25</f>
        <v>8976.699033470426</v>
      </c>
      <c r="J920" s="36">
        <v>917</v>
      </c>
      <c r="K920" s="37">
        <f>Tableau!$G$36*COS(J920*PI()/180)+Tableau!$G$35</f>
        <v>-9781.5237798151793</v>
      </c>
      <c r="L920" s="37">
        <f>Tableau!$G$36*SIN(J920*PI()/180)+Tableau!$H$35</f>
        <v>-16461.858523613679</v>
      </c>
      <c r="N920" s="92">
        <v>916</v>
      </c>
      <c r="O920" s="93">
        <v>458</v>
      </c>
      <c r="P920" s="96">
        <f>P919+R919*Tableau!$G$2+((1/2)*T919)*Tableau!$G$2^2</f>
        <v>-31178872.87457579</v>
      </c>
      <c r="Q920" s="96">
        <f>Q919+S919*Tableau!$G$2+((1/2)*U919)*Tableau!$G$2^2</f>
        <v>15318035.927231887</v>
      </c>
      <c r="R920" s="96">
        <f>R919+T919*Tableau!$G$2</f>
        <v>-68697.862869441553</v>
      </c>
      <c r="S920" s="96">
        <f>S919+U919*Tableau!$G$2</f>
        <v>33800.561063989357</v>
      </c>
      <c r="T920" s="96">
        <f t="shared" si="28"/>
        <v>9.1222159518100686E-4</v>
      </c>
      <c r="U920" s="96">
        <f t="shared" si="29"/>
        <v>-4.4817136430169545E-4</v>
      </c>
      <c r="V920" s="96">
        <f>((Tableau!$G$16-P920)/(AC920^2+Tableau!$G$21^2)^(3/2))*Tableau!$G$20</f>
        <v>3.8918366263578579E-4</v>
      </c>
      <c r="W920" s="96">
        <f>((Tableau!$H$16-Q920)/(AC920^2+Tableau!$G$21^2)^(3/2))*Tableau!$G$20</f>
        <v>-1.909880037343468E-4</v>
      </c>
      <c r="X920" s="96">
        <f>((Tableau!$G$25-P920)/(AD920^2+Tableau!$G$30^2)^(3/2))*Tableau!$G$29</f>
        <v>1.3374565345602388E-4</v>
      </c>
      <c r="Y920" s="96">
        <f>((Tableau!$H$25-Q920)/(AD920^2+Tableau!$G$30^2)^(3/2))*Tableau!$G$29</f>
        <v>-6.5707873210217756E-5</v>
      </c>
      <c r="Z920" s="96">
        <f>((Tableau!$G$35-P920)/(AE920^2+Tableau!$G$40^2)^(3/2))*Tableau!$G$39</f>
        <v>3.8929227908919719E-4</v>
      </c>
      <c r="AA920" s="97">
        <f>((Tableau!$H$35-Q920)/(AE920^2+Tableau!$G$40^2)^(3/2))*Tableau!$G$39</f>
        <v>-1.9147548735713092E-4</v>
      </c>
      <c r="AC920" s="110">
        <f>SQRT((Tableau!$G$16-P920)^2+(Tableau!$H$16-Q920)^2)</f>
        <v>34753160.705509931</v>
      </c>
      <c r="AD920" s="111">
        <f>SQRT((Tableau!$G$25-P920)^2+(Tableau!$H$25-Q920)^2)</f>
        <v>34716153.628583297</v>
      </c>
      <c r="AE920" s="112">
        <f>SQRT((Tableau!$G$35-P920)^2+(Tableau!$H$35-Q920)^2)</f>
        <v>34740643.93107871</v>
      </c>
    </row>
    <row r="921" spans="2:31" x14ac:dyDescent="0.25">
      <c r="B921" s="18">
        <v>918</v>
      </c>
      <c r="C921" s="19">
        <f>Tableau!$G$17*COS(B921*PI()/180)+Tableau!$G$16</f>
        <v>15244.717418524229</v>
      </c>
      <c r="D921" s="19">
        <f>Tableau!$G$17*SIN(B921*PI()/180)+Tableau!$H$16</f>
        <v>5954.9150281252741</v>
      </c>
      <c r="F921" s="26">
        <v>918</v>
      </c>
      <c r="G921" s="27">
        <f>Tableau!$G$26*COS(F921*PI()/180)+Tableau!$G$25</f>
        <v>-23328.697807033041</v>
      </c>
      <c r="H921" s="27">
        <f>Tableau!$G$26*SIN(F921*PI()/180)+Tableau!$H$25</f>
        <v>8918.4405196876924</v>
      </c>
      <c r="J921" s="34">
        <v>918</v>
      </c>
      <c r="K921" s="35">
        <f>Tableau!$G$36*COS(J921*PI()/180)+Tableau!$G$35</f>
        <v>-9755.2825814757707</v>
      </c>
      <c r="L921" s="35">
        <f>Tableau!$G$36*SIN(J921*PI()/180)+Tableau!$H$35</f>
        <v>-16545.084971874727</v>
      </c>
      <c r="N921" s="98">
        <v>917</v>
      </c>
      <c r="O921" s="99">
        <v>458.5</v>
      </c>
      <c r="P921" s="101">
        <f>P920+R920*Tableau!$G$2+((1/2)*T920)*Tableau!$G$2^2</f>
        <v>-31213221.805896483</v>
      </c>
      <c r="Q921" s="101">
        <f>Q920+S920*Tableau!$G$2+((1/2)*U920)*Tableau!$G$2^2</f>
        <v>15334936.207707861</v>
      </c>
      <c r="R921" s="101">
        <f>R920+T920*Tableau!$G$2</f>
        <v>-68697.86241333076</v>
      </c>
      <c r="S921" s="101">
        <f>S920+U920*Tableau!$G$2</f>
        <v>33800.560839903672</v>
      </c>
      <c r="T921" s="101">
        <f t="shared" si="28"/>
        <v>9.1021433685584108E-4</v>
      </c>
      <c r="U921" s="101">
        <f t="shared" si="29"/>
        <v>-4.4718592703268218E-4</v>
      </c>
      <c r="V921" s="101">
        <f>((Tableau!$G$16-P921)/(AC921^2+Tableau!$G$21^2)^(3/2))*Tableau!$G$20</f>
        <v>3.8832747162011617E-4</v>
      </c>
      <c r="W921" s="101">
        <f>((Tableau!$H$16-Q921)/(AC921^2+Tableau!$G$21^2)^(3/2))*Tableau!$G$20</f>
        <v>-1.9056838215243397E-4</v>
      </c>
      <c r="X921" s="101">
        <f>((Tableau!$G$25-P921)/(AD921^2+Tableau!$G$30^2)^(3/2))*Tableau!$G$29</f>
        <v>1.3345113616673415E-4</v>
      </c>
      <c r="Y921" s="101">
        <f>((Tableau!$H$25-Q921)/(AD921^2+Tableau!$G$30^2)^(3/2))*Tableau!$G$29</f>
        <v>-6.556328683607614E-5</v>
      </c>
      <c r="Z921" s="101">
        <f>((Tableau!$G$35-P921)/(AE921^2+Tableau!$G$40^2)^(3/2))*Tableau!$G$39</f>
        <v>3.8843572906899074E-4</v>
      </c>
      <c r="AA921" s="102">
        <f>((Tableau!$H$35-Q921)/(AE921^2+Tableau!$G$40^2)^(3/2))*Tableau!$G$39</f>
        <v>-1.9105425804417201E-4</v>
      </c>
      <c r="AC921" s="113">
        <f>SQRT((Tableau!$G$16-P921)^2+(Tableau!$H$16-Q921)^2)</f>
        <v>34791442.124144286</v>
      </c>
      <c r="AD921" s="114">
        <f>SQRT((Tableau!$G$25-P921)^2+(Tableau!$H$25-Q921)^2)</f>
        <v>34754435.060897931</v>
      </c>
      <c r="AE921" s="115">
        <f>SQRT((Tableau!$G$35-P921)^2+(Tableau!$H$35-Q921)^2)</f>
        <v>34778925.369636327</v>
      </c>
    </row>
    <row r="922" spans="2:31" x14ac:dyDescent="0.25">
      <c r="B922" s="20">
        <v>919</v>
      </c>
      <c r="C922" s="21">
        <f>Tableau!$G$17*COS(B922*PI()/180)+Tableau!$G$16</f>
        <v>15272.407122003417</v>
      </c>
      <c r="D922" s="21">
        <f>Tableau!$G$17*SIN(B922*PI()/180)+Tableau!$H$16</f>
        <v>5872.1592277142163</v>
      </c>
      <c r="F922" s="28">
        <v>919</v>
      </c>
      <c r="G922" s="29">
        <f>Tableau!$G$26*COS(F922*PI()/180)+Tableau!$G$25</f>
        <v>-23309.315014597611</v>
      </c>
      <c r="H922" s="29">
        <f>Tableau!$G$26*SIN(F922*PI()/180)+Tableau!$H$25</f>
        <v>8860.5114593999515</v>
      </c>
      <c r="J922" s="36">
        <v>919</v>
      </c>
      <c r="K922" s="37">
        <f>Tableau!$G$36*COS(J922*PI()/180)+Tableau!$G$35</f>
        <v>-9727.5928779965834</v>
      </c>
      <c r="L922" s="37">
        <f>Tableau!$G$36*SIN(J922*PI()/180)+Tableau!$H$35</f>
        <v>-16627.840772285785</v>
      </c>
      <c r="N922" s="92">
        <v>918</v>
      </c>
      <c r="O922" s="93">
        <v>459</v>
      </c>
      <c r="P922" s="96">
        <f>P921+R921*Tableau!$G$2+((1/2)*T921)*Tableau!$G$2^2</f>
        <v>-31247570.736989371</v>
      </c>
      <c r="Q922" s="96">
        <f>Q921+S921*Tableau!$G$2+((1/2)*U921)*Tableau!$G$2^2</f>
        <v>15351836.488071915</v>
      </c>
      <c r="R922" s="96">
        <f>R921+T921*Tableau!$G$2</f>
        <v>-68697.861958223599</v>
      </c>
      <c r="S922" s="96">
        <f>S921+U921*Tableau!$G$2</f>
        <v>33800.560616310708</v>
      </c>
      <c r="T922" s="96">
        <f t="shared" si="28"/>
        <v>9.0821369643741571E-4</v>
      </c>
      <c r="U922" s="96">
        <f t="shared" si="29"/>
        <v>-4.4620373636230387E-4</v>
      </c>
      <c r="V922" s="96">
        <f>((Tableau!$G$16-P922)/(AC922^2+Tableau!$G$21^2)^(3/2))*Tableau!$G$20</f>
        <v>3.8747410289099912E-4</v>
      </c>
      <c r="W922" s="96">
        <f>((Tableau!$H$16-Q922)/(AC922^2+Tableau!$G$21^2)^(3/2))*Tableau!$G$20</f>
        <v>-1.9015014198527915E-4</v>
      </c>
      <c r="X922" s="96">
        <f>((Tableau!$G$25-P922)/(AD922^2+Tableau!$G$30^2)^(3/2))*Tableau!$G$29</f>
        <v>1.3315759063069478E-4</v>
      </c>
      <c r="Y922" s="96">
        <f>((Tableau!$H$25-Q922)/(AD922^2+Tableau!$G$30^2)^(3/2))*Tableau!$G$29</f>
        <v>-6.5419177169036784E-5</v>
      </c>
      <c r="Z922" s="96">
        <f>((Tableau!$G$35-P922)/(AE922^2+Tableau!$G$40^2)^(3/2))*Tableau!$G$39</f>
        <v>3.8758200291572179E-4</v>
      </c>
      <c r="AA922" s="97">
        <f>((Tableau!$H$35-Q922)/(AE922^2+Tableau!$G$40^2)^(3/2))*Tableau!$G$39</f>
        <v>-1.9063441720798798E-4</v>
      </c>
      <c r="AC922" s="110">
        <f>SQRT((Tableau!$G$16-P922)^2+(Tableau!$H$16-Q922)^2)</f>
        <v>34829723.542569347</v>
      </c>
      <c r="AD922" s="111">
        <f>SQRT((Tableau!$G$25-P922)^2+(Tableau!$H$25-Q922)^2)</f>
        <v>34792716.492973208</v>
      </c>
      <c r="AE922" s="112">
        <f>SQRT((Tableau!$G$35-P922)^2+(Tableau!$H$35-Q922)^2)</f>
        <v>34817206.807940856</v>
      </c>
    </row>
    <row r="923" spans="2:31" x14ac:dyDescent="0.25">
      <c r="B923" s="18">
        <v>920</v>
      </c>
      <c r="C923" s="19">
        <f>Tableau!$G$17*COS(B923*PI()/180)+Tableau!$G$16</f>
        <v>15301.536896070456</v>
      </c>
      <c r="D923" s="19">
        <f>Tableau!$G$17*SIN(B923*PI()/180)+Tableau!$H$16</f>
        <v>5789.8992833716611</v>
      </c>
      <c r="F923" s="26">
        <v>920</v>
      </c>
      <c r="G923" s="27">
        <f>Tableau!$G$26*COS(F923*PI()/180)+Tableau!$G$25</f>
        <v>-23288.924172750681</v>
      </c>
      <c r="H923" s="27">
        <f>Tableau!$G$26*SIN(F923*PI()/180)+Tableau!$H$25</f>
        <v>8802.9294983601631</v>
      </c>
      <c r="J923" s="34">
        <v>920</v>
      </c>
      <c r="K923" s="35">
        <f>Tableau!$G$36*COS(J923*PI()/180)+Tableau!$G$35</f>
        <v>-9698.4631039295436</v>
      </c>
      <c r="L923" s="35">
        <f>Tableau!$G$36*SIN(J923*PI()/180)+Tableau!$H$35</f>
        <v>-16710.100716628338</v>
      </c>
      <c r="N923" s="98">
        <v>919</v>
      </c>
      <c r="O923" s="99">
        <v>459.5</v>
      </c>
      <c r="P923" s="101">
        <f>P922+R922*Tableau!$G$2+((1/2)*T922)*Tableau!$G$2^2</f>
        <v>-31281919.667854954</v>
      </c>
      <c r="Q923" s="101">
        <f>Q922+S922*Tableau!$G$2+((1/2)*U922)*Tableau!$G$2^2</f>
        <v>15368736.768324295</v>
      </c>
      <c r="R923" s="101">
        <f>R922+T922*Tableau!$G$2</f>
        <v>-68697.86150411675</v>
      </c>
      <c r="S923" s="101">
        <f>S922+U922*Tableau!$G$2</f>
        <v>33800.560393208842</v>
      </c>
      <c r="T923" s="101">
        <f t="shared" si="28"/>
        <v>9.0621964486540586E-4</v>
      </c>
      <c r="U923" s="101">
        <f t="shared" si="29"/>
        <v>-4.4522477804462626E-4</v>
      </c>
      <c r="V923" s="101">
        <f>((Tableau!$G$16-P923)/(AC923^2+Tableau!$G$21^2)^(3/2))*Tableau!$G$20</f>
        <v>3.8662354405778477E-4</v>
      </c>
      <c r="W923" s="101">
        <f>((Tableau!$H$16-Q923)/(AC923^2+Tableau!$G$21^2)^(3/2))*Tableau!$G$20</f>
        <v>-1.897332771759451E-4</v>
      </c>
      <c r="X923" s="101">
        <f>((Tableau!$G$25-P923)/(AD923^2+Tableau!$G$30^2)^(3/2))*Tableau!$G$29</f>
        <v>1.3286501257756049E-4</v>
      </c>
      <c r="Y923" s="101">
        <f>((Tableau!$H$25-Q923)/(AD923^2+Tableau!$G$30^2)^(3/2))*Tableau!$G$29</f>
        <v>-6.5275542115768835E-5</v>
      </c>
      <c r="Z923" s="101">
        <f>((Tableau!$G$35-P923)/(AE923^2+Tableau!$G$40^2)^(3/2))*Tableau!$G$39</f>
        <v>3.8673108823006059E-4</v>
      </c>
      <c r="AA923" s="102">
        <f>((Tableau!$H$35-Q923)/(AE923^2+Tableau!$G$40^2)^(3/2))*Tableau!$G$39</f>
        <v>-1.9021595875291233E-4</v>
      </c>
      <c r="AC923" s="113">
        <f>SQRT((Tableau!$G$16-P923)^2+(Tableau!$H$16-Q923)^2)</f>
        <v>34868004.960785508</v>
      </c>
      <c r="AD923" s="114">
        <f>SQRT((Tableau!$G$25-P923)^2+(Tableau!$H$25-Q923)^2)</f>
        <v>34830997.924809635</v>
      </c>
      <c r="AE923" s="115">
        <f>SQRT((Tableau!$G$35-P923)^2+(Tableau!$H$35-Q923)^2)</f>
        <v>34855488.245992839</v>
      </c>
    </row>
    <row r="924" spans="2:31" x14ac:dyDescent="0.25">
      <c r="B924" s="20">
        <v>921</v>
      </c>
      <c r="C924" s="21">
        <f>Tableau!$G$17*COS(B924*PI()/180)+Tableau!$G$16</f>
        <v>15332.097867513994</v>
      </c>
      <c r="D924" s="21">
        <f>Tableau!$G$17*SIN(B924*PI()/180)+Tableau!$H$16</f>
        <v>5708.160252273492</v>
      </c>
      <c r="F924" s="28">
        <v>921</v>
      </c>
      <c r="G924" s="29">
        <f>Tableau!$G$26*COS(F924*PI()/180)+Tableau!$G$25</f>
        <v>-23267.531492740203</v>
      </c>
      <c r="H924" s="29">
        <f>Tableau!$G$26*SIN(F924*PI()/180)+Tableau!$H$25</f>
        <v>8745.7121765914453</v>
      </c>
      <c r="J924" s="36">
        <v>921</v>
      </c>
      <c r="K924" s="37">
        <f>Tableau!$G$36*COS(J924*PI()/180)+Tableau!$G$35</f>
        <v>-9667.9021324860059</v>
      </c>
      <c r="L924" s="37">
        <f>Tableau!$G$36*SIN(J924*PI()/180)+Tableau!$H$35</f>
        <v>-16791.83974772651</v>
      </c>
      <c r="N924" s="92">
        <v>920</v>
      </c>
      <c r="O924" s="93">
        <v>460</v>
      </c>
      <c r="P924" s="96">
        <f>P923+R923*Tableau!$G$2+((1/2)*T923)*Tableau!$G$2^2</f>
        <v>-31316268.598493733</v>
      </c>
      <c r="Q924" s="96">
        <f>Q923+S923*Tableau!$G$2+((1/2)*U923)*Tableau!$G$2^2</f>
        <v>15385637.048465246</v>
      </c>
      <c r="R924" s="96">
        <f>R923+T923*Tableau!$G$2</f>
        <v>-68697.861051006927</v>
      </c>
      <c r="S924" s="96">
        <f>S923+U923*Tableau!$G$2</f>
        <v>33800.560170596451</v>
      </c>
      <c r="T924" s="96">
        <f t="shared" si="28"/>
        <v>9.0423215323884635E-4</v>
      </c>
      <c r="U924" s="96">
        <f t="shared" si="29"/>
        <v>-4.442490379117785E-4</v>
      </c>
      <c r="V924" s="96">
        <f>((Tableau!$G$16-P924)/(AC924^2+Tableau!$G$21^2)^(3/2))*Tableau!$G$20</f>
        <v>3.8577578279776626E-4</v>
      </c>
      <c r="W924" s="96">
        <f>((Tableau!$H$16-Q924)/(AC924^2+Tableau!$G$21^2)^(3/2))*Tableau!$G$20</f>
        <v>-1.8931778170066407E-4</v>
      </c>
      <c r="X924" s="96">
        <f>((Tableau!$G$25-P924)/(AD924^2+Tableau!$G$30^2)^(3/2))*Tableau!$G$29</f>
        <v>1.3257339776041706E-4</v>
      </c>
      <c r="Y924" s="96">
        <f>((Tableau!$H$25-Q924)/(AD924^2+Tableau!$G$30^2)^(3/2))*Tableau!$G$29</f>
        <v>-6.5132379594418967E-5</v>
      </c>
      <c r="Z924" s="96">
        <f>((Tableau!$G$35-P924)/(AE924^2+Tableau!$G$40^2)^(3/2))*Tableau!$G$39</f>
        <v>3.8588297268066311E-4</v>
      </c>
      <c r="AA924" s="97">
        <f>((Tableau!$H$35-Q924)/(AE924^2+Tableau!$G$40^2)^(3/2))*Tableau!$G$39</f>
        <v>-1.8979887661669547E-4</v>
      </c>
      <c r="AC924" s="110">
        <f>SQRT((Tableau!$G$16-P924)^2+(Tableau!$H$16-Q924)^2)</f>
        <v>34906286.378793202</v>
      </c>
      <c r="AD924" s="111">
        <f>SQRT((Tableau!$G$25-P924)^2+(Tableau!$H$25-Q924)^2)</f>
        <v>34869279.356407724</v>
      </c>
      <c r="AE924" s="112">
        <f>SQRT((Tableau!$G$35-P924)^2+(Tableau!$H$35-Q924)^2)</f>
        <v>34893769.683792837</v>
      </c>
    </row>
    <row r="925" spans="2:31" x14ac:dyDescent="0.25">
      <c r="B925" s="18">
        <v>922</v>
      </c>
      <c r="C925" s="19">
        <f>Tableau!$G$17*COS(B925*PI()/180)+Tableau!$G$16</f>
        <v>15364.080727166063</v>
      </c>
      <c r="D925" s="19">
        <f>Tableau!$G$17*SIN(B925*PI()/180)+Tableau!$H$16</f>
        <v>5626.9670329204382</v>
      </c>
      <c r="F925" s="26">
        <v>922</v>
      </c>
      <c r="G925" s="27">
        <f>Tableau!$G$26*COS(F925*PI()/180)+Tableau!$G$25</f>
        <v>-23245.143490983755</v>
      </c>
      <c r="H925" s="27">
        <f>Tableau!$G$26*SIN(F925*PI()/180)+Tableau!$H$25</f>
        <v>8688.8769230443067</v>
      </c>
      <c r="J925" s="34">
        <v>922</v>
      </c>
      <c r="K925" s="35">
        <f>Tableau!$G$36*COS(J925*PI()/180)+Tableau!$G$35</f>
        <v>-9635.9192728339367</v>
      </c>
      <c r="L925" s="35">
        <f>Tableau!$G$36*SIN(J925*PI()/180)+Tableau!$H$35</f>
        <v>-16873.032967079562</v>
      </c>
      <c r="N925" s="98">
        <v>921</v>
      </c>
      <c r="O925" s="99">
        <v>460.5</v>
      </c>
      <c r="P925" s="101">
        <f>P924+R924*Tableau!$G$2+((1/2)*T924)*Tableau!$G$2^2</f>
        <v>-31350617.528906208</v>
      </c>
      <c r="Q925" s="101">
        <f>Q924+S924*Tableau!$G$2+((1/2)*U924)*Tableau!$G$2^2</f>
        <v>15402537.328495013</v>
      </c>
      <c r="R925" s="101">
        <f>R924+T924*Tableau!$G$2</f>
        <v>-68697.860598890853</v>
      </c>
      <c r="S925" s="101">
        <f>S924+U924*Tableau!$G$2</f>
        <v>33800.559948471935</v>
      </c>
      <c r="T925" s="101">
        <f t="shared" si="28"/>
        <v>9.0225119281504905E-4</v>
      </c>
      <c r="U925" s="101">
        <f t="shared" si="29"/>
        <v>-4.4327650187342416E-4</v>
      </c>
      <c r="V925" s="101">
        <f>((Tableau!$G$16-P925)/(AC925^2+Tableau!$G$21^2)^(3/2))*Tableau!$G$20</f>
        <v>3.8493080685570358E-4</v>
      </c>
      <c r="W925" s="101">
        <f>((Tableau!$H$16-Q925)/(AC925^2+Tableau!$G$21^2)^(3/2))*Tableau!$G$20</f>
        <v>-1.889036495686058E-4</v>
      </c>
      <c r="X925" s="101">
        <f>((Tableau!$G$25-P925)/(AD925^2+Tableau!$G$30^2)^(3/2))*Tableau!$G$29</f>
        <v>1.322827419556265E-4</v>
      </c>
      <c r="Y925" s="101">
        <f>((Tableau!$H$25-Q925)/(AD925^2+Tableau!$G$30^2)^(3/2))*Tableau!$G$29</f>
        <v>-6.4989687534535459E-5</v>
      </c>
      <c r="Z925" s="101">
        <f>((Tableau!$G$35-P925)/(AE925^2+Tableau!$G$40^2)^(3/2))*Tableau!$G$39</f>
        <v>3.8503764400371908E-4</v>
      </c>
      <c r="AA925" s="102">
        <f>((Tableau!$H$35-Q925)/(AE925^2+Tableau!$G$40^2)^(3/2))*Tableau!$G$39</f>
        <v>-1.8938316477028292E-4</v>
      </c>
      <c r="AC925" s="113">
        <f>SQRT((Tableau!$G$16-P925)^2+(Tableau!$H$16-Q925)^2)</f>
        <v>34944567.796592824</v>
      </c>
      <c r="AD925" s="114">
        <f>SQRT((Tableau!$G$25-P925)^2+(Tableau!$H$25-Q925)^2)</f>
        <v>34907560.787767991</v>
      </c>
      <c r="AE925" s="115">
        <f>SQRT((Tableau!$G$35-P925)^2+(Tableau!$H$35-Q925)^2)</f>
        <v>34932051.121341407</v>
      </c>
    </row>
    <row r="926" spans="2:31" x14ac:dyDescent="0.25">
      <c r="B926" s="20">
        <v>923</v>
      </c>
      <c r="C926" s="21">
        <f>Tableau!$G$17*COS(B926*PI()/180)+Tableau!$G$16</f>
        <v>15397.475732737797</v>
      </c>
      <c r="D926" s="21">
        <f>Tableau!$G$17*SIN(B926*PI()/180)+Tableau!$H$16</f>
        <v>5546.3443575536348</v>
      </c>
      <c r="F926" s="28">
        <v>923</v>
      </c>
      <c r="G926" s="29">
        <f>Tableau!$G$26*COS(F926*PI()/180)+Tableau!$G$25</f>
        <v>-23221.766987083542</v>
      </c>
      <c r="H926" s="29">
        <f>Tableau!$G$26*SIN(F926*PI()/180)+Tableau!$H$25</f>
        <v>8632.4410502875435</v>
      </c>
      <c r="J926" s="36">
        <v>923</v>
      </c>
      <c r="K926" s="37">
        <f>Tableau!$G$36*COS(J926*PI()/180)+Tableau!$G$35</f>
        <v>-9602.5242672622026</v>
      </c>
      <c r="L926" s="37">
        <f>Tableau!$G$36*SIN(J926*PI()/180)+Tableau!$H$35</f>
        <v>-16953.655642446367</v>
      </c>
      <c r="N926" s="92">
        <v>922</v>
      </c>
      <c r="O926" s="93">
        <v>461</v>
      </c>
      <c r="P926" s="96">
        <f>P925+R925*Tableau!$G$2+((1/2)*T925)*Tableau!$G$2^2</f>
        <v>-31384966.45909287</v>
      </c>
      <c r="Q926" s="96">
        <f>Q925+S925*Tableau!$G$2+((1/2)*U925)*Tableau!$G$2^2</f>
        <v>15419437.608413838</v>
      </c>
      <c r="R926" s="96">
        <f>R925+T925*Tableau!$G$2</f>
        <v>-68697.860147765256</v>
      </c>
      <c r="S926" s="96">
        <f>S925+U925*Tableau!$G$2</f>
        <v>33800.559726833686</v>
      </c>
      <c r="T926" s="96">
        <f t="shared" si="28"/>
        <v>9.0027673500858469E-4</v>
      </c>
      <c r="U926" s="96">
        <f t="shared" si="29"/>
        <v>-4.4230715591626283E-4</v>
      </c>
      <c r="V926" s="96">
        <f>((Tableau!$G$16-P926)/(AC926^2+Tableau!$G$21^2)^(3/2))*Tableau!$G$20</f>
        <v>3.8408860404339987E-4</v>
      </c>
      <c r="W926" s="96">
        <f>((Tableau!$H$16-Q926)/(AC926^2+Tableau!$G$21^2)^(3/2))*Tableau!$G$20</f>
        <v>-1.8849087482167084E-4</v>
      </c>
      <c r="X926" s="96">
        <f>((Tableau!$G$25-P926)/(AD926^2+Tableau!$G$30^2)^(3/2))*Tableau!$G$29</f>
        <v>1.3199304096267892E-4</v>
      </c>
      <c r="Y926" s="96">
        <f>((Tableau!$H$25-Q926)/(AD926^2+Tableau!$G$30^2)^(3/2))*Tableau!$G$29</f>
        <v>-6.4847463876995895E-5</v>
      </c>
      <c r="Z926" s="96">
        <f>((Tableau!$G$35-P926)/(AE926^2+Tableau!$G$40^2)^(3/2))*Tableau!$G$39</f>
        <v>3.8419509000250593E-4</v>
      </c>
      <c r="AA926" s="97">
        <f>((Tableau!$H$35-Q926)/(AE926^2+Tableau!$G$40^2)^(3/2))*Tableau!$G$39</f>
        <v>-1.8896881721759611E-4</v>
      </c>
      <c r="AC926" s="110">
        <f>SQRT((Tableau!$G$16-P926)^2+(Tableau!$H$16-Q926)^2)</f>
        <v>34982849.214184783</v>
      </c>
      <c r="AD926" s="111">
        <f>SQRT((Tableau!$G$25-P926)^2+(Tableau!$H$25-Q926)^2)</f>
        <v>34945842.218890928</v>
      </c>
      <c r="AE926" s="112">
        <f>SQRT((Tableau!$G$35-P926)^2+(Tableau!$H$35-Q926)^2)</f>
        <v>34970332.558639087</v>
      </c>
    </row>
    <row r="927" spans="2:31" x14ac:dyDescent="0.25">
      <c r="B927" s="18">
        <v>924</v>
      </c>
      <c r="C927" s="19">
        <f>Tableau!$G$17*COS(B927*PI()/180)+Tableau!$G$16</f>
        <v>15432.272711786998</v>
      </c>
      <c r="D927" s="19">
        <f>Tableau!$G$17*SIN(B927*PI()/180)+Tableau!$H$16</f>
        <v>5466.3167846209908</v>
      </c>
      <c r="F927" s="26">
        <v>924</v>
      </c>
      <c r="G927" s="27">
        <f>Tableau!$G$26*COS(F927*PI()/180)+Tableau!$G$25</f>
        <v>-23197.409101749101</v>
      </c>
      <c r="H927" s="27">
        <f>Tableau!$G$26*SIN(F927*PI()/180)+Tableau!$H$25</f>
        <v>8576.4217492346943</v>
      </c>
      <c r="J927" s="34">
        <v>924</v>
      </c>
      <c r="K927" s="35">
        <f>Tableau!$G$36*COS(J927*PI()/180)+Tableau!$G$35</f>
        <v>-9567.7272882130019</v>
      </c>
      <c r="L927" s="35">
        <f>Tableau!$G$36*SIN(J927*PI()/180)+Tableau!$H$35</f>
        <v>-17033.683215379009</v>
      </c>
      <c r="N927" s="98">
        <v>923</v>
      </c>
      <c r="O927" s="99">
        <v>461.5</v>
      </c>
      <c r="P927" s="101">
        <f>P926+R926*Tableau!$G$2+((1/2)*T926)*Tableau!$G$2^2</f>
        <v>-31419315.38905422</v>
      </c>
      <c r="Q927" s="101">
        <f>Q926+S926*Tableau!$G$2+((1/2)*U926)*Tableau!$G$2^2</f>
        <v>15436337.888221966</v>
      </c>
      <c r="R927" s="101">
        <f>R926+T926*Tableau!$G$2</f>
        <v>-68697.859697626889</v>
      </c>
      <c r="S927" s="101">
        <f>S926+U926*Tableau!$G$2</f>
        <v>33800.55950568011</v>
      </c>
      <c r="T927" s="101">
        <f t="shared" si="28"/>
        <v>8.9830875139021991E-4</v>
      </c>
      <c r="U927" s="101">
        <f t="shared" si="29"/>
        <v>-4.4134098610350942E-4</v>
      </c>
      <c r="V927" s="101">
        <f>((Tableau!$G$16-P927)/(AC927^2+Tableau!$G$21^2)^(3/2))*Tableau!$G$20</f>
        <v>3.8324916223923285E-4</v>
      </c>
      <c r="W927" s="101">
        <f>((Tableau!$H$16-Q927)/(AC927^2+Tableau!$G$21^2)^(3/2))*Tableau!$G$20</f>
        <v>-1.8807945153426206E-4</v>
      </c>
      <c r="X927" s="101">
        <f>((Tableau!$G$25-P927)/(AD927^2+Tableau!$G$30^2)^(3/2))*Tableau!$G$29</f>
        <v>1.3170429060403168E-4</v>
      </c>
      <c r="Y927" s="101">
        <f>((Tableau!$H$25-Q927)/(AD927^2+Tableau!$G$30^2)^(3/2))*Tableau!$G$29</f>
        <v>-6.4705706573928176E-5</v>
      </c>
      <c r="Z927" s="101">
        <f>((Tableau!$G$35-P927)/(AE927^2+Tableau!$G$40^2)^(3/2))*Tableau!$G$39</f>
        <v>3.8335529854695543E-4</v>
      </c>
      <c r="AA927" s="102">
        <f>((Tableau!$H$35-Q927)/(AE927^2+Tableau!$G$40^2)^(3/2))*Tableau!$G$39</f>
        <v>-1.8855582799531917E-4</v>
      </c>
      <c r="AC927" s="113">
        <f>SQRT((Tableau!$G$16-P927)^2+(Tableau!$H$16-Q927)^2)</f>
        <v>35021130.631569497</v>
      </c>
      <c r="AD927" s="114">
        <f>SQRT((Tableau!$G$25-P927)^2+(Tableau!$H$25-Q927)^2)</f>
        <v>34984123.649777047</v>
      </c>
      <c r="AE927" s="115">
        <f>SQRT((Tableau!$G$35-P927)^2+(Tableau!$H$35-Q927)^2)</f>
        <v>35008613.995686442</v>
      </c>
    </row>
    <row r="928" spans="2:31" x14ac:dyDescent="0.25">
      <c r="B928" s="20">
        <v>925</v>
      </c>
      <c r="C928" s="21">
        <f>Tableau!$G$17*COS(B928*PI()/180)+Tableau!$G$16</f>
        <v>15468.461064816751</v>
      </c>
      <c r="D928" s="21">
        <f>Tableau!$G$17*SIN(B928*PI()/180)+Tableau!$H$16</f>
        <v>5386.9086912964995</v>
      </c>
      <c r="F928" s="28">
        <v>925</v>
      </c>
      <c r="G928" s="29">
        <f>Tableau!$G$26*COS(F928*PI()/180)+Tableau!$G$25</f>
        <v>-23172.077254628275</v>
      </c>
      <c r="H928" s="29">
        <f>Tableau!$G$26*SIN(F928*PI()/180)+Tableau!$H$25</f>
        <v>8520.8360839075503</v>
      </c>
      <c r="J928" s="36">
        <v>925</v>
      </c>
      <c r="K928" s="37">
        <f>Tableau!$G$36*COS(J928*PI()/180)+Tableau!$G$35</f>
        <v>-9531.5389351832491</v>
      </c>
      <c r="L928" s="37">
        <f>Tableau!$G$36*SIN(J928*PI()/180)+Tableau!$H$35</f>
        <v>-17113.091308703501</v>
      </c>
      <c r="N928" s="92">
        <v>924</v>
      </c>
      <c r="O928" s="93">
        <v>462</v>
      </c>
      <c r="P928" s="96">
        <f>P927+R927*Tableau!$G$2+((1/2)*T927)*Tableau!$G$2^2</f>
        <v>-31453664.318790745</v>
      </c>
      <c r="Q928" s="96">
        <f>Q927+S927*Tableau!$G$2+((1/2)*U927)*Tableau!$G$2^2</f>
        <v>15453238.167919638</v>
      </c>
      <c r="R928" s="96">
        <f>R927+T927*Tableau!$G$2</f>
        <v>-68697.859248472509</v>
      </c>
      <c r="S928" s="96">
        <f>S927+U927*Tableau!$G$2</f>
        <v>33800.559285009615</v>
      </c>
      <c r="T928" s="96">
        <f t="shared" si="28"/>
        <v>8.9634721368594137E-4</v>
      </c>
      <c r="U928" s="96">
        <f t="shared" si="29"/>
        <v>-4.4037797857441664E-4</v>
      </c>
      <c r="V928" s="96">
        <f>((Tableau!$G$16-P928)/(AC928^2+Tableau!$G$21^2)^(3/2))*Tableau!$G$20</f>
        <v>3.8241246938775826E-4</v>
      </c>
      <c r="W928" s="96">
        <f>((Tableau!$H$16-Q928)/(AC928^2+Tableau!$G$21^2)^(3/2))*Tableau!$G$20</f>
        <v>-1.8766937381309144E-4</v>
      </c>
      <c r="X928" s="96">
        <f>((Tableau!$G$25-P928)/(AD928^2+Tableau!$G$30^2)^(3/2))*Tableau!$G$29</f>
        <v>1.3141648672496979E-4</v>
      </c>
      <c r="Y928" s="96">
        <f>((Tableau!$H$25-Q928)/(AD928^2+Tableau!$G$30^2)^(3/2))*Tableau!$G$29</f>
        <v>-6.4564413588642433E-5</v>
      </c>
      <c r="Z928" s="96">
        <f>((Tableau!$G$35-P928)/(AE928^2+Tableau!$G$40^2)^(3/2))*Tableau!$G$39</f>
        <v>3.8251825757321329E-4</v>
      </c>
      <c r="AA928" s="97">
        <f>((Tableau!$H$35-Q928)/(AE928^2+Tableau!$G$40^2)^(3/2))*Tableau!$G$39</f>
        <v>-1.8814419117268275E-4</v>
      </c>
      <c r="AC928" s="110">
        <f>SQRT((Tableau!$G$16-P928)^2+(Tableau!$H$16-Q928)^2)</f>
        <v>35059412.048747353</v>
      </c>
      <c r="AD928" s="111">
        <f>SQRT((Tableau!$G$25-P928)^2+(Tableau!$H$25-Q928)^2)</f>
        <v>35022405.080426849</v>
      </c>
      <c r="AE928" s="112">
        <f>SQRT((Tableau!$G$35-P928)^2+(Tableau!$H$35-Q928)^2)</f>
        <v>35046895.432484001</v>
      </c>
    </row>
    <row r="929" spans="2:31" x14ac:dyDescent="0.25">
      <c r="B929" s="18">
        <v>926</v>
      </c>
      <c r="C929" s="19">
        <f>Tableau!$G$17*COS(B929*PI()/180)+Tableau!$G$16</f>
        <v>15506.029768504164</v>
      </c>
      <c r="D929" s="19">
        <f>Tableau!$G$17*SIN(B929*PI()/180)+Tableau!$H$16</f>
        <v>5308.1442660546145</v>
      </c>
      <c r="F929" s="26">
        <v>926</v>
      </c>
      <c r="G929" s="27">
        <f>Tableau!$G$26*COS(F929*PI()/180)+Tableau!$G$25</f>
        <v>-23145.779162047085</v>
      </c>
      <c r="H929" s="27">
        <f>Tableau!$G$26*SIN(F929*PI()/180)+Tableau!$H$25</f>
        <v>8465.7009862382311</v>
      </c>
      <c r="J929" s="34">
        <v>926</v>
      </c>
      <c r="K929" s="35">
        <f>Tableau!$G$36*COS(J929*PI()/180)+Tableau!$G$35</f>
        <v>-9493.9702314958358</v>
      </c>
      <c r="L929" s="35">
        <f>Tableau!$G$36*SIN(J929*PI()/180)+Tableau!$H$35</f>
        <v>-17191.855733945384</v>
      </c>
      <c r="N929" s="98">
        <v>925</v>
      </c>
      <c r="O929" s="99">
        <v>462.5</v>
      </c>
      <c r="P929" s="101">
        <f>P928+R928*Tableau!$G$2+((1/2)*T928)*Tableau!$G$2^2</f>
        <v>-31488013.24830294</v>
      </c>
      <c r="Q929" s="101">
        <f>Q928+S928*Tableau!$G$2+((1/2)*U928)*Tableau!$G$2^2</f>
        <v>15470138.447507096</v>
      </c>
      <c r="R929" s="101">
        <f>R928+T928*Tableau!$G$2</f>
        <v>-68697.858800298898</v>
      </c>
      <c r="S929" s="101">
        <f>S928+U928*Tableau!$G$2</f>
        <v>33800.559064820627</v>
      </c>
      <c r="T929" s="101">
        <f t="shared" si="28"/>
        <v>8.9439209377590722E-4</v>
      </c>
      <c r="U929" s="101">
        <f t="shared" si="29"/>
        <v>-4.3941811954376168E-4</v>
      </c>
      <c r="V929" s="101">
        <f>((Tableau!$G$16-P929)/(AC929^2+Tableau!$G$21^2)^(3/2))*Tableau!$G$20</f>
        <v>3.8157851349925336E-4</v>
      </c>
      <c r="W929" s="101">
        <f>((Tableau!$H$16-Q929)/(AC929^2+Tableau!$G$21^2)^(3/2))*Tableau!$G$20</f>
        <v>-1.8726063579695723E-4</v>
      </c>
      <c r="X929" s="101">
        <f>((Tableau!$G$25-P929)/(AD929^2+Tableau!$G$30^2)^(3/2))*Tableau!$G$29</f>
        <v>1.3112962519344742E-4</v>
      </c>
      <c r="Y929" s="101">
        <f>((Tableau!$H$25-Q929)/(AD929^2+Tableau!$G$30^2)^(3/2))*Tableau!$G$29</f>
        <v>-6.4423582895553239E-5</v>
      </c>
      <c r="Z929" s="101">
        <f>((Tableau!$G$35-P929)/(AE929^2+Tableau!$G$40^2)^(3/2))*Tableau!$G$39</f>
        <v>3.8168395508320649E-4</v>
      </c>
      <c r="AA929" s="102">
        <f>((Tableau!$H$35-Q929)/(AE929^2+Tableau!$G$40^2)^(3/2))*Tableau!$G$39</f>
        <v>-1.8773390085125122E-4</v>
      </c>
      <c r="AC929" s="113">
        <f>SQRT((Tableau!$G$16-P929)^2+(Tableau!$H$16-Q929)^2)</f>
        <v>35097693.465718776</v>
      </c>
      <c r="AD929" s="114">
        <f>SQRT((Tableau!$G$25-P929)^2+(Tableau!$H$25-Q929)^2)</f>
        <v>35060686.510840833</v>
      </c>
      <c r="AE929" s="115">
        <f>SQRT((Tableau!$G$35-P929)^2+(Tableau!$H$35-Q929)^2)</f>
        <v>35085176.869032323</v>
      </c>
    </row>
    <row r="930" spans="2:31" x14ac:dyDescent="0.25">
      <c r="B930" s="20">
        <v>927</v>
      </c>
      <c r="C930" s="21">
        <f>Tableau!$G$17*COS(B930*PI()/180)+Tableau!$G$16</f>
        <v>15544.967379058158</v>
      </c>
      <c r="D930" s="21">
        <f>Tableau!$G$17*SIN(B930*PI()/180)+Tableau!$H$16</f>
        <v>5230.0475013022733</v>
      </c>
      <c r="F930" s="28">
        <v>927</v>
      </c>
      <c r="G930" s="29">
        <f>Tableau!$G$26*COS(F930*PI()/180)+Tableau!$G$25</f>
        <v>-23118.522834659288</v>
      </c>
      <c r="H930" s="29">
        <f>Tableau!$G$26*SIN(F930*PI()/180)+Tableau!$H$25</f>
        <v>8411.0332509115906</v>
      </c>
      <c r="J930" s="36">
        <v>927</v>
      </c>
      <c r="K930" s="37">
        <f>Tableau!$G$36*COS(J930*PI()/180)+Tableau!$G$35</f>
        <v>-9455.0326209418417</v>
      </c>
      <c r="L930" s="37">
        <f>Tableau!$G$36*SIN(J930*PI()/180)+Tableau!$H$35</f>
        <v>-17269.952498697727</v>
      </c>
      <c r="N930" s="92">
        <v>926</v>
      </c>
      <c r="O930" s="93">
        <v>463</v>
      </c>
      <c r="P930" s="96">
        <f>P929+R929*Tableau!$G$2+((1/2)*T929)*Tableau!$G$2^2</f>
        <v>-31522362.17759129</v>
      </c>
      <c r="Q930" s="96">
        <f>Q929+S929*Tableau!$G$2+((1/2)*U929)*Tableau!$G$2^2</f>
        <v>15487038.726984579</v>
      </c>
      <c r="R930" s="96">
        <f>R929+T929*Tableau!$G$2</f>
        <v>-68697.858353102856</v>
      </c>
      <c r="S930" s="96">
        <f>S929+U929*Tableau!$G$2</f>
        <v>33800.558845111569</v>
      </c>
      <c r="T930" s="96">
        <f t="shared" si="28"/>
        <v>8.9244336369343597E-4</v>
      </c>
      <c r="U930" s="96">
        <f t="shared" si="29"/>
        <v>-4.3846139530135118E-4</v>
      </c>
      <c r="V930" s="96">
        <f>((Tableau!$G$16-P930)/(AC930^2+Tableau!$G$21^2)^(3/2))*Tableau!$G$20</f>
        <v>3.8074728264928545E-4</v>
      </c>
      <c r="W930" s="96">
        <f>((Tableau!$H$16-Q930)/(AC930^2+Tableau!$G$21^2)^(3/2))*Tableau!$G$20</f>
        <v>-1.8685323165653389E-4</v>
      </c>
      <c r="X930" s="96">
        <f>((Tableau!$G$25-P930)/(AD930^2+Tableau!$G$30^2)^(3/2))*Tableau!$G$29</f>
        <v>1.3084370189994659E-4</v>
      </c>
      <c r="Y930" s="96">
        <f>((Tableau!$H$25-Q930)/(AD930^2+Tableau!$G$30^2)^(3/2))*Tableau!$G$29</f>
        <v>-6.4283212480110554E-5</v>
      </c>
      <c r="Z930" s="96">
        <f>((Tableau!$G$35-P930)/(AE930^2+Tableau!$G$40^2)^(3/2))*Tableau!$G$39</f>
        <v>3.8085237914420393E-4</v>
      </c>
      <c r="AA930" s="97">
        <f>((Tableau!$H$35-Q930)/(AE930^2+Tableau!$G$40^2)^(3/2))*Tableau!$G$39</f>
        <v>-1.8732495116470673E-4</v>
      </c>
      <c r="AC930" s="110">
        <f>SQRT((Tableau!$G$16-P930)^2+(Tableau!$H$16-Q930)^2)</f>
        <v>35135974.882484145</v>
      </c>
      <c r="AD930" s="111">
        <f>SQRT((Tableau!$G$25-P930)^2+(Tableau!$H$25-Q930)^2)</f>
        <v>35098967.941019505</v>
      </c>
      <c r="AE930" s="112">
        <f>SQRT((Tableau!$G$35-P930)^2+(Tableau!$H$35-Q930)^2)</f>
        <v>35123458.305331945</v>
      </c>
    </row>
    <row r="931" spans="2:31" x14ac:dyDescent="0.25">
      <c r="B931" s="18">
        <v>928</v>
      </c>
      <c r="C931" s="19">
        <f>Tableau!$G$17*COS(B931*PI()/180)+Tableau!$G$16</f>
        <v>15585.262035705367</v>
      </c>
      <c r="D931" s="19">
        <f>Tableau!$G$17*SIN(B931*PI()/180)+Tableau!$H$16</f>
        <v>5152.6421860705414</v>
      </c>
      <c r="F931" s="26">
        <v>928</v>
      </c>
      <c r="G931" s="27">
        <f>Tableau!$G$26*COS(F931*PI()/180)+Tableau!$G$25</f>
        <v>-23090.316575006244</v>
      </c>
      <c r="H931" s="27">
        <f>Tableau!$G$26*SIN(F931*PI()/180)+Tableau!$H$25</f>
        <v>8356.8495302493793</v>
      </c>
      <c r="J931" s="34">
        <v>928</v>
      </c>
      <c r="K931" s="35">
        <f>Tableau!$G$36*COS(J931*PI()/180)+Tableau!$G$35</f>
        <v>-9414.7379642946325</v>
      </c>
      <c r="L931" s="35">
        <f>Tableau!$G$36*SIN(J931*PI()/180)+Tableau!$H$35</f>
        <v>-17347.357813929459</v>
      </c>
      <c r="N931" s="98">
        <v>927</v>
      </c>
      <c r="O931" s="99">
        <v>463.5</v>
      </c>
      <c r="P931" s="101">
        <f>P930+R930*Tableau!$G$2+((1/2)*T930)*Tableau!$G$2^2</f>
        <v>-31556711.106656287</v>
      </c>
      <c r="Q931" s="101">
        <f>Q930+S930*Tableau!$G$2+((1/2)*U930)*Tableau!$G$2^2</f>
        <v>15503939.006352326</v>
      </c>
      <c r="R931" s="101">
        <f>R930+T930*Tableau!$G$2</f>
        <v>-68697.857906881181</v>
      </c>
      <c r="S931" s="101">
        <f>S930+U930*Tableau!$G$2</f>
        <v>33800.558625880869</v>
      </c>
      <c r="T931" s="101">
        <f t="shared" si="28"/>
        <v>8.9050099562402671E-4</v>
      </c>
      <c r="U931" s="101">
        <f t="shared" si="29"/>
        <v>-4.3750779221154177E-4</v>
      </c>
      <c r="V931" s="101">
        <f>((Tableau!$G$16-P931)/(AC931^2+Tableau!$G$21^2)^(3/2))*Tableau!$G$20</f>
        <v>3.7991876497829423E-4</v>
      </c>
      <c r="W931" s="101">
        <f>((Tableau!$H$16-Q931)/(AC931^2+Tableau!$G$21^2)^(3/2))*Tableau!$G$20</f>
        <v>-1.8644715559416812E-4</v>
      </c>
      <c r="X931" s="101">
        <f>((Tableau!$G$25-P931)/(AD931^2+Tableau!$G$30^2)^(3/2))*Tableau!$G$29</f>
        <v>1.3055871275732426E-4</v>
      </c>
      <c r="Y931" s="101">
        <f>((Tableau!$H$25-Q931)/(AD931^2+Tableau!$G$30^2)^(3/2))*Tableau!$G$29</f>
        <v>-6.4143300338724904E-5</v>
      </c>
      <c r="Z931" s="101">
        <f>((Tableau!$G$35-P931)/(AE931^2+Tableau!$G$40^2)^(3/2))*Tableau!$G$39</f>
        <v>3.8002351788840821E-4</v>
      </c>
      <c r="AA931" s="102">
        <f>((Tableau!$H$35-Q931)/(AE931^2+Tableau!$G$40^2)^(3/2))*Tableau!$G$39</f>
        <v>-1.8691733627864874E-4</v>
      </c>
      <c r="AC931" s="113">
        <f>SQRT((Tableau!$G$16-P931)^2+(Tableau!$H$16-Q931)^2)</f>
        <v>35174256.299043886</v>
      </c>
      <c r="AD931" s="114">
        <f>SQRT((Tableau!$G$25-P931)^2+(Tableau!$H$25-Q931)^2)</f>
        <v>35137249.370963342</v>
      </c>
      <c r="AE931" s="115">
        <f>SQRT((Tableau!$G$35-P931)^2+(Tableau!$H$35-Q931)^2)</f>
        <v>35161739.741383411</v>
      </c>
    </row>
    <row r="932" spans="2:31" x14ac:dyDescent="0.25">
      <c r="B932" s="20">
        <v>929</v>
      </c>
      <c r="C932" s="21">
        <f>Tableau!$G$17*COS(B932*PI()/180)+Tableau!$G$16</f>
        <v>15626.90146430302</v>
      </c>
      <c r="D932" s="21">
        <f>Tableau!$G$17*SIN(B932*PI()/180)+Tableau!$H$16</f>
        <v>5075.951898768315</v>
      </c>
      <c r="F932" s="28">
        <v>929</v>
      </c>
      <c r="G932" s="29">
        <f>Tableau!$G$26*COS(F932*PI()/180)+Tableau!$G$25</f>
        <v>-23061.168974987886</v>
      </c>
      <c r="H932" s="29">
        <f>Tableau!$G$26*SIN(F932*PI()/180)+Tableau!$H$25</f>
        <v>8303.1663291378209</v>
      </c>
      <c r="J932" s="36">
        <v>929</v>
      </c>
      <c r="K932" s="37">
        <f>Tableau!$G$36*COS(J932*PI()/180)+Tableau!$G$35</f>
        <v>-9373.0985356969795</v>
      </c>
      <c r="L932" s="37">
        <f>Tableau!$G$36*SIN(J932*PI()/180)+Tableau!$H$35</f>
        <v>-17424.048101231685</v>
      </c>
      <c r="N932" s="92">
        <v>928</v>
      </c>
      <c r="O932" s="93">
        <v>464</v>
      </c>
      <c r="P932" s="96">
        <f>P931+R931*Tableau!$G$2+((1/2)*T931)*Tableau!$G$2^2</f>
        <v>-31591060.035498414</v>
      </c>
      <c r="Q932" s="96">
        <f>Q931+S931*Tableau!$G$2+((1/2)*U931)*Tableau!$G$2^2</f>
        <v>15520839.285610577</v>
      </c>
      <c r="R932" s="96">
        <f>R931+T931*Tableau!$G$2</f>
        <v>-68697.857461630687</v>
      </c>
      <c r="S932" s="96">
        <f>S931+U931*Tableau!$G$2</f>
        <v>33800.55840712697</v>
      </c>
      <c r="T932" s="96">
        <f t="shared" si="28"/>
        <v>8.8856496190437419E-4</v>
      </c>
      <c r="U932" s="96">
        <f t="shared" si="29"/>
        <v>-4.3655729671275784E-4</v>
      </c>
      <c r="V932" s="96">
        <f>((Tableau!$G$16-P932)/(AC932^2+Tableau!$G$21^2)^(3/2))*Tableau!$G$20</f>
        <v>3.7909294869117746E-4</v>
      </c>
      <c r="W932" s="96">
        <f>((Tableau!$H$16-Q932)/(AC932^2+Tableau!$G$21^2)^(3/2))*Tableau!$G$20</f>
        <v>-1.8604240184367713E-4</v>
      </c>
      <c r="X932" s="96">
        <f>((Tableau!$G$25-P932)/(AD932^2+Tableau!$G$30^2)^(3/2))*Tableau!$G$29</f>
        <v>1.30274653700668E-4</v>
      </c>
      <c r="Y932" s="96">
        <f>((Tableau!$H$25-Q932)/(AD932^2+Tableau!$G$30^2)^(3/2))*Tableau!$G$29</f>
        <v>-6.4003844478696624E-5</v>
      </c>
      <c r="Z932" s="96">
        <f>((Tableau!$G$35-P932)/(AE932^2+Tableau!$G$40^2)^(3/2))*Tableau!$G$39</f>
        <v>3.791973595125287E-4</v>
      </c>
      <c r="AA932" s="97">
        <f>((Tableau!$H$35-Q932)/(AE932^2+Tableau!$G$40^2)^(3/2))*Tableau!$G$39</f>
        <v>-1.8651105039038408E-4</v>
      </c>
      <c r="AC932" s="110">
        <f>SQRT((Tableau!$G$16-P932)^2+(Tableau!$H$16-Q932)^2)</f>
        <v>35212537.715398379</v>
      </c>
      <c r="AD932" s="111">
        <f>SQRT((Tableau!$G$25-P932)^2+(Tableau!$H$25-Q932)^2)</f>
        <v>35175530.800672866</v>
      </c>
      <c r="AE932" s="112">
        <f>SQRT((Tableau!$G$35-P932)^2+(Tableau!$H$35-Q932)^2)</f>
        <v>35200021.177187249</v>
      </c>
    </row>
    <row r="933" spans="2:31" x14ac:dyDescent="0.25">
      <c r="B933" s="18">
        <v>930</v>
      </c>
      <c r="C933" s="19">
        <f>Tableau!$G$17*COS(B933*PI()/180)+Tableau!$G$16</f>
        <v>15669.872981077804</v>
      </c>
      <c r="D933" s="19">
        <f>Tableau!$G$17*SIN(B933*PI()/180)+Tableau!$H$16</f>
        <v>5000.0000000000055</v>
      </c>
      <c r="F933" s="26">
        <v>930</v>
      </c>
      <c r="G933" s="27">
        <f>Tableau!$G$26*COS(F933*PI()/180)+Tableau!$G$25</f>
        <v>-23031.088913245538</v>
      </c>
      <c r="H933" s="27">
        <f>Tableau!$G$26*SIN(F933*PI()/180)+Tableau!$H$25</f>
        <v>8250.0000000000036</v>
      </c>
      <c r="J933" s="34">
        <v>930</v>
      </c>
      <c r="K933" s="35">
        <f>Tableau!$G$36*COS(J933*PI()/180)+Tableau!$G$35</f>
        <v>-9330.1270189221959</v>
      </c>
      <c r="L933" s="35">
        <f>Tableau!$G$36*SIN(J933*PI()/180)+Tableau!$H$35</f>
        <v>-17499.999999999993</v>
      </c>
      <c r="N933" s="98">
        <v>929</v>
      </c>
      <c r="O933" s="99">
        <v>464.5</v>
      </c>
      <c r="P933" s="101">
        <f>P932+R932*Tableau!$G$2+((1/2)*T932)*Tableau!$G$2^2</f>
        <v>-31625408.96411816</v>
      </c>
      <c r="Q933" s="101">
        <f>Q932+S932*Tableau!$G$2+((1/2)*U932)*Tableau!$G$2^2</f>
        <v>15537739.564759571</v>
      </c>
      <c r="R933" s="101">
        <f>R932+T932*Tableau!$G$2</f>
        <v>-68697.8570173482</v>
      </c>
      <c r="S933" s="101">
        <f>S932+U932*Tableau!$G$2</f>
        <v>33800.558188848321</v>
      </c>
      <c r="T933" s="101">
        <f t="shared" si="28"/>
        <v>8.8663523502133029E-4</v>
      </c>
      <c r="U933" s="101">
        <f t="shared" si="29"/>
        <v>-4.3560989531698309E-4</v>
      </c>
      <c r="V933" s="101">
        <f>((Tableau!$G$16-P933)/(AC933^2+Tableau!$G$21^2)^(3/2))*Tableau!$G$20</f>
        <v>3.7826982205684076E-4</v>
      </c>
      <c r="W933" s="101">
        <f>((Tableau!$H$16-Q933)/(AC933^2+Tableau!$G$21^2)^(3/2))*Tableau!$G$20</f>
        <v>-1.8563896467012887E-4</v>
      </c>
      <c r="X933" s="101">
        <f>((Tableau!$G$25-P933)/(AD933^2+Tableau!$G$30^2)^(3/2))*Tableau!$G$29</f>
        <v>1.2999152068715421E-4</v>
      </c>
      <c r="Y933" s="101">
        <f>((Tableau!$H$25-Q933)/(AD933^2+Tableau!$G$30^2)^(3/2))*Tableau!$G$29</f>
        <v>-6.3864842918146534E-5</v>
      </c>
      <c r="Z933" s="101">
        <f>((Tableau!$G$35-P933)/(AE933^2+Tableau!$G$40^2)^(3/2))*Tableau!$G$39</f>
        <v>3.7837389227733534E-4</v>
      </c>
      <c r="AA933" s="102">
        <f>((Tableau!$H$35-Q933)/(AE933^2+Tableau!$G$40^2)^(3/2))*Tableau!$G$39</f>
        <v>-1.8610608772870769E-4</v>
      </c>
      <c r="AC933" s="113">
        <f>SQRT((Tableau!$G$16-P933)^2+(Tableau!$H$16-Q933)^2)</f>
        <v>35250819.13154804</v>
      </c>
      <c r="AD933" s="114">
        <f>SQRT((Tableau!$G$25-P933)^2+(Tableau!$H$25-Q933)^2)</f>
        <v>35213812.230148561</v>
      </c>
      <c r="AE933" s="115">
        <f>SQRT((Tableau!$G$35-P933)^2+(Tableau!$H$35-Q933)^2)</f>
        <v>35238302.612744018</v>
      </c>
    </row>
    <row r="934" spans="2:31" x14ac:dyDescent="0.25">
      <c r="B934" s="20">
        <v>931</v>
      </c>
      <c r="C934" s="21">
        <f>Tableau!$G$17*COS(B934*PI()/180)+Tableau!$G$16</f>
        <v>15714.163496489442</v>
      </c>
      <c r="D934" s="21">
        <f>Tableau!$G$17*SIN(B934*PI()/180)+Tableau!$H$16</f>
        <v>4924.8096254497232</v>
      </c>
      <c r="F934" s="28">
        <v>931</v>
      </c>
      <c r="G934" s="29">
        <f>Tableau!$G$26*COS(F934*PI()/180)+Tableau!$G$25</f>
        <v>-23000.085552457393</v>
      </c>
      <c r="H934" s="29">
        <f>Tableau!$G$26*SIN(F934*PI()/180)+Tableau!$H$25</f>
        <v>8197.3667378148057</v>
      </c>
      <c r="J934" s="36">
        <v>931</v>
      </c>
      <c r="K934" s="37">
        <f>Tableau!$G$36*COS(J934*PI()/180)+Tableau!$G$35</f>
        <v>-9285.836503510558</v>
      </c>
      <c r="L934" s="37">
        <f>Tableau!$G$36*SIN(J934*PI()/180)+Tableau!$H$35</f>
        <v>-17575.190374550275</v>
      </c>
      <c r="N934" s="92">
        <v>930</v>
      </c>
      <c r="O934" s="93">
        <v>465</v>
      </c>
      <c r="P934" s="96">
        <f>P933+R933*Tableau!$G$2+((1/2)*T933)*Tableau!$G$2^2</f>
        <v>-31659757.892516002</v>
      </c>
      <c r="Q934" s="96">
        <f>Q933+S933*Tableau!$G$2+((1/2)*U933)*Tableau!$G$2^2</f>
        <v>15554639.843799544</v>
      </c>
      <c r="R934" s="96">
        <f>R933+T933*Tableau!$G$2</f>
        <v>-68697.856574030578</v>
      </c>
      <c r="S934" s="96">
        <f>S933+U933*Tableau!$G$2</f>
        <v>33800.557971043374</v>
      </c>
      <c r="T934" s="96">
        <f t="shared" si="28"/>
        <v>8.8471178761099784E-4</v>
      </c>
      <c r="U934" s="96">
        <f t="shared" si="29"/>
        <v>-4.3466557460931715E-4</v>
      </c>
      <c r="V934" s="96">
        <f>((Tableau!$G$16-P934)/(AC934^2+Tableau!$G$21^2)^(3/2))*Tableau!$G$20</f>
        <v>3.7744937340781674E-4</v>
      </c>
      <c r="W934" s="96">
        <f>((Tableau!$H$16-Q934)/(AC934^2+Tableau!$G$21^2)^(3/2))*Tableau!$G$20</f>
        <v>-1.852368383696566E-4</v>
      </c>
      <c r="X934" s="96">
        <f>((Tableau!$G$25-P934)/(AD934^2+Tableau!$G$30^2)^(3/2))*Tableau!$G$29</f>
        <v>1.2970930969590004E-4</v>
      </c>
      <c r="Y934" s="96">
        <f>((Tableau!$H$25-Q934)/(AD934^2+Tableau!$G$30^2)^(3/2))*Tableau!$G$29</f>
        <v>-6.3726293685943463E-5</v>
      </c>
      <c r="Z934" s="96">
        <f>((Tableau!$G$35-P934)/(AE934^2+Tableau!$G$40^2)^(3/2))*Tableau!$G$39</f>
        <v>3.7755310450728107E-4</v>
      </c>
      <c r="AA934" s="97">
        <f>((Tableau!$H$35-Q934)/(AE934^2+Tableau!$G$40^2)^(3/2))*Tableau!$G$39</f>
        <v>-1.8570244255371711E-4</v>
      </c>
      <c r="AC934" s="110">
        <f>SQRT((Tableau!$G$16-P934)^2+(Tableau!$H$16-Q934)^2)</f>
        <v>35289100.547493264</v>
      </c>
      <c r="AD934" s="111">
        <f>SQRT((Tableau!$G$25-P934)^2+(Tableau!$H$25-Q934)^2)</f>
        <v>35252093.659390911</v>
      </c>
      <c r="AE934" s="112">
        <f>SQRT((Tableau!$G$35-P934)^2+(Tableau!$H$35-Q934)^2)</f>
        <v>35276584.048054233</v>
      </c>
    </row>
    <row r="935" spans="2:31" x14ac:dyDescent="0.25">
      <c r="B935" s="18">
        <v>932</v>
      </c>
      <c r="C935" s="19">
        <f>Tableau!$G$17*COS(B935*PI()/180)+Tableau!$G$16</f>
        <v>15759.759519217871</v>
      </c>
      <c r="D935" s="19">
        <f>Tableau!$G$17*SIN(B935*PI()/180)+Tableau!$H$16</f>
        <v>4850.4036788339745</v>
      </c>
      <c r="F935" s="26">
        <v>932</v>
      </c>
      <c r="G935" s="27">
        <f>Tableau!$G$26*COS(F935*PI()/180)+Tableau!$G$25</f>
        <v>-22968.168336547489</v>
      </c>
      <c r="H935" s="27">
        <f>Tableau!$G$26*SIN(F935*PI()/180)+Tableau!$H$25</f>
        <v>8145.2825751837818</v>
      </c>
      <c r="J935" s="34">
        <v>932</v>
      </c>
      <c r="K935" s="35">
        <f>Tableau!$G$36*COS(J935*PI()/180)+Tableau!$G$35</f>
        <v>-9240.2404807821295</v>
      </c>
      <c r="L935" s="35">
        <f>Tableau!$G$36*SIN(J935*PI()/180)+Tableau!$H$35</f>
        <v>-17649.596321166027</v>
      </c>
      <c r="N935" s="98">
        <v>931</v>
      </c>
      <c r="O935" s="99">
        <v>465.5</v>
      </c>
      <c r="P935" s="101">
        <f>P934+R934*Tableau!$G$2+((1/2)*T934)*Tableau!$G$2^2</f>
        <v>-31694106.820692427</v>
      </c>
      <c r="Q935" s="101">
        <f>Q934+S934*Tableau!$G$2+((1/2)*U934)*Tableau!$G$2^2</f>
        <v>15571540.122730732</v>
      </c>
      <c r="R935" s="101">
        <f>R934+T934*Tableau!$G$2</f>
        <v>-68697.856131674678</v>
      </c>
      <c r="S935" s="101">
        <f>S934+U934*Tableau!$G$2</f>
        <v>33800.557753710586</v>
      </c>
      <c r="T935" s="101">
        <f t="shared" si="28"/>
        <v>8.8279459245770649E-4</v>
      </c>
      <c r="U935" s="101">
        <f t="shared" si="29"/>
        <v>-4.3372432124747396E-4</v>
      </c>
      <c r="V935" s="101">
        <f>((Tableau!$G$16-P935)/(AC935^2+Tableau!$G$21^2)^(3/2))*Tableau!$G$20</f>
        <v>3.7663159113982079E-4</v>
      </c>
      <c r="W935" s="101">
        <f>((Tableau!$H$16-Q935)/(AC935^2+Tableau!$G$21^2)^(3/2))*Tableau!$G$20</f>
        <v>-1.8483601726924188E-4</v>
      </c>
      <c r="X935" s="101">
        <f>((Tableau!$G$25-P935)/(AD935^2+Tableau!$G$30^2)^(3/2))*Tableau!$G$29</f>
        <v>1.2942801672782413E-4</v>
      </c>
      <c r="Y935" s="101">
        <f>((Tableau!$H$25-Q935)/(AD935^2+Tableau!$G$30^2)^(3/2))*Tableau!$G$29</f>
        <v>-6.3588194821635985E-5</v>
      </c>
      <c r="Z935" s="101">
        <f>((Tableau!$G$35-P935)/(AE935^2+Tableau!$G$40^2)^(3/2))*Tableau!$G$39</f>
        <v>3.7673498459006165E-4</v>
      </c>
      <c r="AA935" s="102">
        <f>((Tableau!$H$35-Q935)/(AE935^2+Tableau!$G$40^2)^(3/2))*Tableau!$G$39</f>
        <v>-1.8530010915659609E-4</v>
      </c>
      <c r="AC935" s="113">
        <f>SQRT((Tableau!$G$16-P935)^2+(Tableau!$H$16-Q935)^2)</f>
        <v>35327381.963234439</v>
      </c>
      <c r="AD935" s="114">
        <f>SQRT((Tableau!$G$25-P935)^2+(Tableau!$H$25-Q935)^2)</f>
        <v>35290375.088400424</v>
      </c>
      <c r="AE935" s="115">
        <f>SQRT((Tableau!$G$35-P935)^2+(Tableau!$H$35-Q935)^2)</f>
        <v>35314865.483118437</v>
      </c>
    </row>
    <row r="936" spans="2:31" x14ac:dyDescent="0.25">
      <c r="B936" s="20">
        <v>933</v>
      </c>
      <c r="C936" s="21">
        <f>Tableau!$G$17*COS(B936*PI()/180)+Tableau!$G$16</f>
        <v>15806.647160272878</v>
      </c>
      <c r="D936" s="21">
        <f>Tableau!$G$17*SIN(B936*PI()/180)+Tableau!$H$16</f>
        <v>4776.8048249248686</v>
      </c>
      <c r="F936" s="28">
        <v>933</v>
      </c>
      <c r="G936" s="29">
        <f>Tableau!$G$26*COS(F936*PI()/180)+Tableau!$G$25</f>
        <v>-22935.346987808985</v>
      </c>
      <c r="H936" s="29">
        <f>Tableau!$G$26*SIN(F936*PI()/180)+Tableau!$H$25</f>
        <v>8093.7633774474079</v>
      </c>
      <c r="J936" s="36">
        <v>933</v>
      </c>
      <c r="K936" s="37">
        <f>Tableau!$G$36*COS(J936*PI()/180)+Tableau!$G$35</f>
        <v>-9193.352839727122</v>
      </c>
      <c r="L936" s="37">
        <f>Tableau!$G$36*SIN(J936*PI()/180)+Tableau!$H$35</f>
        <v>-17723.195175075132</v>
      </c>
      <c r="N936" s="92">
        <v>932</v>
      </c>
      <c r="O936" s="93">
        <v>466</v>
      </c>
      <c r="P936" s="96">
        <f>P935+R935*Tableau!$G$2+((1/2)*T935)*Tableau!$G$2^2</f>
        <v>-31728455.748647913</v>
      </c>
      <c r="Q936" s="96">
        <f>Q935+S935*Tableau!$G$2+((1/2)*U935)*Tableau!$G$2^2</f>
        <v>15588440.401553372</v>
      </c>
      <c r="R936" s="96">
        <f>R935+T935*Tableau!$G$2</f>
        <v>-68697.855690277385</v>
      </c>
      <c r="S936" s="96">
        <f>S935+U935*Tableau!$G$2</f>
        <v>33800.557536848428</v>
      </c>
      <c r="T936" s="96">
        <f t="shared" si="28"/>
        <v>8.8088362249307505E-4</v>
      </c>
      <c r="U936" s="96">
        <f t="shared" si="29"/>
        <v>-4.3278612196132266E-4</v>
      </c>
      <c r="V936" s="96">
        <f>((Tableau!$G$16-P936)/(AC936^2+Tableau!$G$21^2)^(3/2))*Tableau!$G$20</f>
        <v>3.7581646371137047E-4</v>
      </c>
      <c r="W936" s="96">
        <f>((Tableau!$H$16-Q936)/(AC936^2+Tableau!$G$21^2)^(3/2))*Tableau!$G$20</f>
        <v>-1.8443649572652939E-4</v>
      </c>
      <c r="X936" s="96">
        <f>((Tableau!$G$25-P936)/(AD936^2+Tableau!$G$30^2)^(3/2))*Tableau!$G$29</f>
        <v>1.2914763780549841E-4</v>
      </c>
      <c r="Y936" s="96">
        <f>((Tableau!$H$25-Q936)/(AD936^2+Tableau!$G$30^2)^(3/2))*Tableau!$G$29</f>
        <v>-6.3450544375380017E-5</v>
      </c>
      <c r="Z936" s="96">
        <f>((Tableau!$G$35-P936)/(AE936^2+Tableau!$G$40^2)^(3/2))*Tableau!$G$39</f>
        <v>3.7591952097620614E-4</v>
      </c>
      <c r="AA936" s="97">
        <f>((Tableau!$H$35-Q936)/(AE936^2+Tableau!$G$40^2)^(3/2))*Tableau!$G$39</f>
        <v>-1.8489908185941327E-4</v>
      </c>
      <c r="AC936" s="110">
        <f>SQRT((Tableau!$G$16-P936)^2+(Tableau!$H$16-Q936)^2)</f>
        <v>35365663.378771976</v>
      </c>
      <c r="AD936" s="111">
        <f>SQRT((Tableau!$G$25-P936)^2+(Tableau!$H$25-Q936)^2)</f>
        <v>35328656.517177574</v>
      </c>
      <c r="AE936" s="112">
        <f>SQRT((Tableau!$G$35-P936)^2+(Tableau!$H$35-Q936)^2)</f>
        <v>35353146.917937174</v>
      </c>
    </row>
    <row r="937" spans="2:31" x14ac:dyDescent="0.25">
      <c r="B937" s="18">
        <v>934</v>
      </c>
      <c r="C937" s="19">
        <f>Tableau!$G$17*COS(B937*PI()/180)+Tableau!$G$16</f>
        <v>15854.812137224786</v>
      </c>
      <c r="D937" s="19">
        <f>Tableau!$G$17*SIN(B937*PI()/180)+Tableau!$H$16</f>
        <v>4704.0354826462744</v>
      </c>
      <c r="F937" s="26">
        <v>934</v>
      </c>
      <c r="G937" s="27">
        <f>Tableau!$G$26*COS(F937*PI()/180)+Tableau!$G$25</f>
        <v>-22901.631503942648</v>
      </c>
      <c r="H937" s="27">
        <f>Tableau!$G$26*SIN(F937*PI()/180)+Tableau!$H$25</f>
        <v>8042.8248378523922</v>
      </c>
      <c r="J937" s="34">
        <v>934</v>
      </c>
      <c r="K937" s="35">
        <f>Tableau!$G$36*COS(J937*PI()/180)+Tableau!$G$35</f>
        <v>-9145.1878627752139</v>
      </c>
      <c r="L937" s="35">
        <f>Tableau!$G$36*SIN(J937*PI()/180)+Tableau!$H$35</f>
        <v>-17795.964517353725</v>
      </c>
      <c r="N937" s="98">
        <v>933</v>
      </c>
      <c r="O937" s="99">
        <v>466.5</v>
      </c>
      <c r="P937" s="101">
        <f>P936+R936*Tableau!$G$2+((1/2)*T936)*Tableau!$G$2^2</f>
        <v>-31762804.67638294</v>
      </c>
      <c r="Q937" s="101">
        <f>Q936+S936*Tableau!$G$2+((1/2)*U936)*Tableau!$G$2^2</f>
        <v>15605340.680267697</v>
      </c>
      <c r="R937" s="101">
        <f>R936+T936*Tableau!$G$2</f>
        <v>-68697.855249835571</v>
      </c>
      <c r="S937" s="101">
        <f>S936+U936*Tableau!$G$2</f>
        <v>33800.557320455366</v>
      </c>
      <c r="T937" s="101">
        <f t="shared" si="28"/>
        <v>8.7897885079505115E-4</v>
      </c>
      <c r="U937" s="101">
        <f t="shared" si="29"/>
        <v>-4.318509635524182E-4</v>
      </c>
      <c r="V937" s="101">
        <f>((Tableau!$G$16-P937)/(AC937^2+Tableau!$G$21^2)^(3/2))*Tableau!$G$20</f>
        <v>3.7500397964334946E-4</v>
      </c>
      <c r="W937" s="101">
        <f>((Tableau!$H$16-Q937)/(AC937^2+Tableau!$G$21^2)^(3/2))*Tableau!$G$20</f>
        <v>-1.8403826812961408E-4</v>
      </c>
      <c r="X937" s="101">
        <f>((Tableau!$G$25-P937)/(AD937^2+Tableau!$G$30^2)^(3/2))*Tableau!$G$29</f>
        <v>1.2886816897301906E-4</v>
      </c>
      <c r="Y937" s="101">
        <f>((Tableau!$H$25-Q937)/(AD937^2+Tableau!$G$30^2)^(3/2))*Tableau!$G$29</f>
        <v>-6.3313340407875521E-5</v>
      </c>
      <c r="Z937" s="101">
        <f>((Tableau!$G$35-P937)/(AE937^2+Tableau!$G$40^2)^(3/2))*Tableau!$G$39</f>
        <v>3.7510670217868265E-4</v>
      </c>
      <c r="AA937" s="102">
        <f>((Tableau!$H$35-Q937)/(AE937^2+Tableau!$G$40^2)^(3/2))*Tableau!$G$39</f>
        <v>-1.8449935501492864E-4</v>
      </c>
      <c r="AC937" s="113">
        <f>SQRT((Tableau!$G$16-P937)^2+(Tableau!$H$16-Q937)^2)</f>
        <v>35403944.794106252</v>
      </c>
      <c r="AD937" s="114">
        <f>SQRT((Tableau!$G$25-P937)^2+(Tableau!$H$25-Q937)^2)</f>
        <v>35366937.945722856</v>
      </c>
      <c r="AE937" s="115">
        <f>SQRT((Tableau!$G$35-P937)^2+(Tableau!$H$35-Q937)^2)</f>
        <v>35391428.352510951</v>
      </c>
    </row>
    <row r="938" spans="2:31" x14ac:dyDescent="0.25">
      <c r="B938" s="20">
        <v>935</v>
      </c>
      <c r="C938" s="21">
        <f>Tableau!$G$17*COS(B938*PI()/180)+Tableau!$G$16</f>
        <v>15904.239778555042</v>
      </c>
      <c r="D938" s="21">
        <f>Tableau!$G$17*SIN(B938*PI()/180)+Tableau!$H$16</f>
        <v>4632.1178182447675</v>
      </c>
      <c r="F938" s="28">
        <v>935</v>
      </c>
      <c r="G938" s="29">
        <f>Tableau!$G$26*COS(F938*PI()/180)+Tableau!$G$25</f>
        <v>-22867.032155011471</v>
      </c>
      <c r="H938" s="29">
        <f>Tableau!$G$26*SIN(F938*PI()/180)+Tableau!$H$25</f>
        <v>7992.4824727713376</v>
      </c>
      <c r="J938" s="36">
        <v>935</v>
      </c>
      <c r="K938" s="37">
        <f>Tableau!$G$36*COS(J938*PI()/180)+Tableau!$G$35</f>
        <v>-9095.760221444958</v>
      </c>
      <c r="L938" s="37">
        <f>Tableau!$G$36*SIN(J938*PI()/180)+Tableau!$H$35</f>
        <v>-17867.882181755231</v>
      </c>
      <c r="N938" s="92">
        <v>934</v>
      </c>
      <c r="O938" s="93">
        <v>467</v>
      </c>
      <c r="P938" s="96">
        <f>P937+R937*Tableau!$G$2+((1/2)*T937)*Tableau!$G$2^2</f>
        <v>-31797153.603897985</v>
      </c>
      <c r="Q938" s="96">
        <f>Q937+S937*Tableau!$G$2+((1/2)*U937)*Tableau!$G$2^2</f>
        <v>15622240.958873944</v>
      </c>
      <c r="R938" s="96">
        <f>R937+T937*Tableau!$G$2</f>
        <v>-68697.854810346151</v>
      </c>
      <c r="S938" s="96">
        <f>S937+U937*Tableau!$G$2</f>
        <v>33800.557104529886</v>
      </c>
      <c r="T938" s="96">
        <f t="shared" si="28"/>
        <v>8.7708025058696299E-4</v>
      </c>
      <c r="U938" s="96">
        <f t="shared" si="29"/>
        <v>-4.3091883289353612E-4</v>
      </c>
      <c r="V938" s="96">
        <f>((Tableau!$G$16-P938)/(AC938^2+Tableau!$G$21^2)^(3/2))*Tableau!$G$20</f>
        <v>3.7419412751862788E-4</v>
      </c>
      <c r="W938" s="96">
        <f>((Tableau!$H$16-Q938)/(AC938^2+Tableau!$G$21^2)^(3/2))*Tableau!$G$20</f>
        <v>-1.8364132889685605E-4</v>
      </c>
      <c r="X938" s="96">
        <f>((Tableau!$G$25-P938)/(AD938^2+Tableau!$G$30^2)^(3/2))*Tableau!$G$29</f>
        <v>1.2858960629585602E-4</v>
      </c>
      <c r="Y938" s="96">
        <f>((Tableau!$H$25-Q938)/(AD938^2+Tableau!$G$30^2)^(3/2))*Tableau!$G$29</f>
        <v>-6.3176580990292883E-5</v>
      </c>
      <c r="Z938" s="96">
        <f>((Tableau!$G$35-P938)/(AE938^2+Tableau!$G$40^2)^(3/2))*Tableau!$G$39</f>
        <v>3.7429651677247901E-4</v>
      </c>
      <c r="AA938" s="97">
        <f>((Tableau!$H$35-Q938)/(AE938^2+Tableau!$G$40^2)^(3/2))*Tableau!$G$39</f>
        <v>-1.8410092300638714E-4</v>
      </c>
      <c r="AC938" s="110">
        <f>SQRT((Tableau!$G$16-P938)^2+(Tableau!$H$16-Q938)^2)</f>
        <v>35442226.209237672</v>
      </c>
      <c r="AD938" s="111">
        <f>SQRT((Tableau!$G$25-P938)^2+(Tableau!$H$25-Q938)^2)</f>
        <v>35405219.374036759</v>
      </c>
      <c r="AE938" s="112">
        <f>SQRT((Tableau!$G$35-P938)^2+(Tableau!$H$35-Q938)^2)</f>
        <v>35429709.78684032</v>
      </c>
    </row>
    <row r="939" spans="2:31" x14ac:dyDescent="0.25">
      <c r="B939" s="18">
        <v>936</v>
      </c>
      <c r="C939" s="19">
        <f>Tableau!$G$17*COS(B939*PI()/180)+Tableau!$G$16</f>
        <v>15954.915028125261</v>
      </c>
      <c r="D939" s="19">
        <f>Tableau!$G$17*SIN(B939*PI()/180)+Tableau!$H$16</f>
        <v>4561.0737385376369</v>
      </c>
      <c r="F939" s="26">
        <v>936</v>
      </c>
      <c r="G939" s="27">
        <f>Tableau!$G$26*COS(F939*PI()/180)+Tableau!$G$25</f>
        <v>-22831.559480312317</v>
      </c>
      <c r="H939" s="27">
        <f>Tableau!$G$26*SIN(F939*PI()/180)+Tableau!$H$25</f>
        <v>7942.7516169763458</v>
      </c>
      <c r="J939" s="34">
        <v>936</v>
      </c>
      <c r="K939" s="35">
        <f>Tableau!$G$36*COS(J939*PI()/180)+Tableau!$G$35</f>
        <v>-9045.0849718747395</v>
      </c>
      <c r="L939" s="35">
        <f>Tableau!$G$36*SIN(J939*PI()/180)+Tableau!$H$35</f>
        <v>-17938.926261462362</v>
      </c>
      <c r="N939" s="98">
        <v>935</v>
      </c>
      <c r="O939" s="99">
        <v>467.5</v>
      </c>
      <c r="P939" s="101">
        <f>P938+R938*Tableau!$G$2+((1/2)*T938)*Tableau!$G$2^2</f>
        <v>-31831502.531193525</v>
      </c>
      <c r="Q939" s="101">
        <f>Q938+S938*Tableau!$G$2+((1/2)*U938)*Tableau!$G$2^2</f>
        <v>15639141.237372346</v>
      </c>
      <c r="R939" s="101">
        <f>R938+T938*Tableau!$G$2</f>
        <v>-68697.854371806025</v>
      </c>
      <c r="S939" s="101">
        <f>S938+U938*Tableau!$G$2</f>
        <v>33800.556889070467</v>
      </c>
      <c r="T939" s="101">
        <f t="shared" si="28"/>
        <v>8.751877952365779E-4</v>
      </c>
      <c r="U939" s="101">
        <f t="shared" si="29"/>
        <v>-4.2998971692821241E-4</v>
      </c>
      <c r="V939" s="101">
        <f>((Tableau!$G$16-P939)/(AC939^2+Tableau!$G$21^2)^(3/2))*Tableau!$G$20</f>
        <v>3.7338689598163976E-4</v>
      </c>
      <c r="W939" s="101">
        <f>((Tableau!$H$16-Q939)/(AC939^2+Tableau!$G$21^2)^(3/2))*Tableau!$G$20</f>
        <v>-1.8324567247667454E-4</v>
      </c>
      <c r="X939" s="101">
        <f>((Tableau!$G$25-P939)/(AD939^2+Tableau!$G$30^2)^(3/2))*Tableau!$G$29</f>
        <v>1.2831194586071916E-4</v>
      </c>
      <c r="Y939" s="101">
        <f>((Tableau!$H$25-Q939)/(AD939^2+Tableau!$G$30^2)^(3/2))*Tableau!$G$29</f>
        <v>-6.3040264204207441E-5</v>
      </c>
      <c r="Z939" s="101">
        <f>((Tableau!$G$35-P939)/(AE939^2+Tableau!$G$40^2)^(3/2))*Tableau!$G$39</f>
        <v>3.7348895339421899E-4</v>
      </c>
      <c r="AA939" s="102">
        <f>((Tableau!$H$35-Q939)/(AE939^2+Tableau!$G$40^2)^(3/2))*Tableau!$G$39</f>
        <v>-1.8370378024733044E-4</v>
      </c>
      <c r="AC939" s="113">
        <f>SQRT((Tableau!$G$16-P939)^2+(Tableau!$H$16-Q939)^2)</f>
        <v>35480507.624166645</v>
      </c>
      <c r="AD939" s="114">
        <f>SQRT((Tableau!$G$25-P939)^2+(Tableau!$H$25-Q939)^2)</f>
        <v>35443500.802119769</v>
      </c>
      <c r="AE939" s="115">
        <f>SQRT((Tableau!$G$35-P939)^2+(Tableau!$H$35-Q939)^2)</f>
        <v>35467991.220925793</v>
      </c>
    </row>
    <row r="940" spans="2:31" x14ac:dyDescent="0.25">
      <c r="B940" s="20">
        <v>937</v>
      </c>
      <c r="C940" s="21">
        <f>Tableau!$G$17*COS(B940*PI()/180)+Tableau!$G$16</f>
        <v>16006.822449763531</v>
      </c>
      <c r="D940" s="21">
        <f>Tableau!$G$17*SIN(B940*PI()/180)+Tableau!$H$16</f>
        <v>4490.9248842397647</v>
      </c>
      <c r="F940" s="28">
        <v>937</v>
      </c>
      <c r="G940" s="29">
        <f>Tableau!$G$26*COS(F940*PI()/180)+Tableau!$G$25</f>
        <v>-22795.224285165528</v>
      </c>
      <c r="H940" s="29">
        <f>Tableau!$G$26*SIN(F940*PI()/180)+Tableau!$H$25</f>
        <v>7893.6474189678356</v>
      </c>
      <c r="J940" s="36">
        <v>937</v>
      </c>
      <c r="K940" s="37">
        <f>Tableau!$G$36*COS(J940*PI()/180)+Tableau!$G$35</f>
        <v>-8993.177550236469</v>
      </c>
      <c r="L940" s="37">
        <f>Tableau!$G$36*SIN(J940*PI()/180)+Tableau!$H$35</f>
        <v>-18009.075115760235</v>
      </c>
      <c r="N940" s="92">
        <v>936</v>
      </c>
      <c r="O940" s="93">
        <v>468</v>
      </c>
      <c r="P940" s="96">
        <f>P939+R939*Tableau!$G$2+((1/2)*T939)*Tableau!$G$2^2</f>
        <v>-31865851.458270032</v>
      </c>
      <c r="Q940" s="96">
        <f>Q939+S939*Tableau!$G$2+((1/2)*U939)*Tableau!$G$2^2</f>
        <v>15656041.515763134</v>
      </c>
      <c r="R940" s="96">
        <f>R939+T939*Tableau!$G$2</f>
        <v>-68697.853934212122</v>
      </c>
      <c r="S940" s="96">
        <f>S939+U939*Tableau!$G$2</f>
        <v>33800.556674075611</v>
      </c>
      <c r="T940" s="96">
        <f t="shared" si="28"/>
        <v>8.7330145825516119E-4</v>
      </c>
      <c r="U940" s="96">
        <f t="shared" si="29"/>
        <v>-4.2906360267028253E-4</v>
      </c>
      <c r="V940" s="96">
        <f>((Tableau!$G$16-P940)/(AC940^2+Tableau!$G$21^2)^(3/2))*Tableau!$G$20</f>
        <v>3.7258227373800074E-4</v>
      </c>
      <c r="W940" s="96">
        <f>((Tableau!$H$16-Q940)/(AC940^2+Tableau!$G$21^2)^(3/2))*Tableau!$G$20</f>
        <v>-1.828512933473615E-4</v>
      </c>
      <c r="X940" s="96">
        <f>((Tableau!$G$25-P940)/(AD940^2+Tableau!$G$30^2)^(3/2))*Tableau!$G$29</f>
        <v>1.2803518377541985E-4</v>
      </c>
      <c r="Y940" s="96">
        <f>((Tableau!$H$25-Q940)/(AD940^2+Tableau!$G$30^2)^(3/2))*Tableau!$G$29</f>
        <v>-6.2904388141531698E-5</v>
      </c>
      <c r="Z940" s="96">
        <f>((Tableau!$G$35-P940)/(AE940^2+Tableau!$G$40^2)^(3/2))*Tableau!$G$39</f>
        <v>3.7268400074174062E-4</v>
      </c>
      <c r="AA940" s="97">
        <f>((Tableau!$H$35-Q940)/(AE940^2+Tableau!$G$40^2)^(3/2))*Tableau!$G$39</f>
        <v>-1.8330792118138932E-4</v>
      </c>
      <c r="AC940" s="110">
        <f>SQRT((Tableau!$G$16-P940)^2+(Tableau!$H$16-Q940)^2)</f>
        <v>35518789.038893536</v>
      </c>
      <c r="AD940" s="111">
        <f>SQRT((Tableau!$G$25-P940)^2+(Tableau!$H$25-Q940)^2)</f>
        <v>35481782.22997237</v>
      </c>
      <c r="AE940" s="112">
        <f>SQRT((Tableau!$G$35-P940)^2+(Tableau!$H$35-Q940)^2)</f>
        <v>35506272.654767908</v>
      </c>
    </row>
    <row r="941" spans="2:31" x14ac:dyDescent="0.25">
      <c r="B941" s="18">
        <v>938</v>
      </c>
      <c r="C941" s="19">
        <f>Tableau!$G$17*COS(B941*PI()/180)+Tableau!$G$16</f>
        <v>16059.946231966382</v>
      </c>
      <c r="D941" s="19">
        <f>Tableau!$G$17*SIN(B941*PI()/180)+Tableau!$H$16</f>
        <v>4421.6926233717195</v>
      </c>
      <c r="F941" s="26">
        <v>938</v>
      </c>
      <c r="G941" s="27">
        <f>Tableau!$G$26*COS(F941*PI()/180)+Tableau!$G$25</f>
        <v>-22758.037637623533</v>
      </c>
      <c r="H941" s="27">
        <f>Tableau!$G$26*SIN(F941*PI()/180)+Tableau!$H$25</f>
        <v>7845.1848363602039</v>
      </c>
      <c r="J941" s="34">
        <v>938</v>
      </c>
      <c r="K941" s="35">
        <f>Tableau!$G$36*COS(J941*PI()/180)+Tableau!$G$35</f>
        <v>-8940.0537680336183</v>
      </c>
      <c r="L941" s="35">
        <f>Tableau!$G$36*SIN(J941*PI()/180)+Tableau!$H$35</f>
        <v>-18078.30737662828</v>
      </c>
      <c r="N941" s="98">
        <v>937</v>
      </c>
      <c r="O941" s="99">
        <v>468.5</v>
      </c>
      <c r="P941" s="101">
        <f>P940+R940*Tableau!$G$2+((1/2)*T940)*Tableau!$G$2^2</f>
        <v>-31900200.385127977</v>
      </c>
      <c r="Q941" s="101">
        <f>Q940+S940*Tableau!$G$2+((1/2)*U940)*Tableau!$G$2^2</f>
        <v>15672941.794046538</v>
      </c>
      <c r="R941" s="101">
        <f>R940+T940*Tableau!$G$2</f>
        <v>-68697.853497561387</v>
      </c>
      <c r="S941" s="101">
        <f>S940+U940*Tableau!$G$2</f>
        <v>33800.556459543812</v>
      </c>
      <c r="T941" s="101">
        <f t="shared" si="28"/>
        <v>8.7142121329656622E-4</v>
      </c>
      <c r="U941" s="101">
        <f t="shared" si="29"/>
        <v>-4.2814047720343587E-4</v>
      </c>
      <c r="V941" s="101">
        <f>((Tableau!$G$16-P941)/(AC941^2+Tableau!$G$21^2)^(3/2))*Tableau!$G$20</f>
        <v>3.7178024955411006E-4</v>
      </c>
      <c r="W941" s="101">
        <f>((Tableau!$H$16-Q941)/(AC941^2+Tableau!$G$21^2)^(3/2))*Tableau!$G$20</f>
        <v>-1.8245818601688758E-4</v>
      </c>
      <c r="X941" s="101">
        <f>((Tableau!$G$25-P941)/(AD941^2+Tableau!$G$30^2)^(3/2))*Tableau!$G$29</f>
        <v>1.2775931616873485E-4</v>
      </c>
      <c r="Y941" s="101">
        <f>((Tableau!$H$25-Q941)/(AD941^2+Tableau!$G$30^2)^(3/2))*Tableau!$G$29</f>
        <v>-6.276895090444864E-5</v>
      </c>
      <c r="Z941" s="101">
        <f>((Tableau!$G$35-P941)/(AE941^2+Tableau!$G$40^2)^(3/2))*Tableau!$G$39</f>
        <v>3.7188164757372133E-4</v>
      </c>
      <c r="AA941" s="102">
        <f>((Tableau!$H$35-Q941)/(AE941^2+Tableau!$G$40^2)^(3/2))*Tableau!$G$39</f>
        <v>-1.8291334028209961E-4</v>
      </c>
      <c r="AC941" s="113">
        <f>SQRT((Tableau!$G$16-P941)^2+(Tableau!$H$16-Q941)^2)</f>
        <v>35557070.453418747</v>
      </c>
      <c r="AD941" s="114">
        <f>SQRT((Tableau!$G$25-P941)^2+(Tableau!$H$25-Q941)^2)</f>
        <v>35520063.657595038</v>
      </c>
      <c r="AE941" s="115">
        <f>SQRT((Tableau!$G$35-P941)^2+(Tableau!$H$35-Q941)^2)</f>
        <v>35544554.088367179</v>
      </c>
    </row>
    <row r="942" spans="2:31" x14ac:dyDescent="0.25">
      <c r="B942" s="20">
        <v>939</v>
      </c>
      <c r="C942" s="21">
        <f>Tableau!$G$17*COS(B942*PI()/180)+Tableau!$G$16</f>
        <v>16114.270192715145</v>
      </c>
      <c r="D942" s="21">
        <f>Tableau!$G$17*SIN(B942*PI()/180)+Tableau!$H$16</f>
        <v>4353.3980447508147</v>
      </c>
      <c r="F942" s="28">
        <v>939</v>
      </c>
      <c r="G942" s="29">
        <f>Tableau!$G$26*COS(F942*PI()/180)+Tableau!$G$25</f>
        <v>-22720.010865099401</v>
      </c>
      <c r="H942" s="29">
        <f>Tableau!$G$26*SIN(F942*PI()/180)+Tableau!$H$25</f>
        <v>7797.3786313255696</v>
      </c>
      <c r="J942" s="36">
        <v>939</v>
      </c>
      <c r="K942" s="37">
        <f>Tableau!$G$36*COS(J942*PI()/180)+Tableau!$G$35</f>
        <v>-8885.7298072848553</v>
      </c>
      <c r="L942" s="37">
        <f>Tableau!$G$36*SIN(J942*PI()/180)+Tableau!$H$35</f>
        <v>-18146.601955249185</v>
      </c>
      <c r="N942" s="92">
        <v>938</v>
      </c>
      <c r="O942" s="93">
        <v>469</v>
      </c>
      <c r="P942" s="96">
        <f>P941+R941*Tableau!$G$2+((1/2)*T941)*Tableau!$G$2^2</f>
        <v>-31934549.311767831</v>
      </c>
      <c r="Q942" s="96">
        <f>Q941+S941*Tableau!$G$2+((1/2)*U941)*Tableau!$G$2^2</f>
        <v>15689842.072222792</v>
      </c>
      <c r="R942" s="96">
        <f>R941+T941*Tableau!$G$2</f>
        <v>-68697.853061850779</v>
      </c>
      <c r="S942" s="96">
        <f>S941+U941*Tableau!$G$2</f>
        <v>33800.55624547357</v>
      </c>
      <c r="T942" s="96">
        <f t="shared" si="28"/>
        <v>8.6954703415630639E-4</v>
      </c>
      <c r="U942" s="96">
        <f t="shared" si="29"/>
        <v>-4.272203276807615E-4</v>
      </c>
      <c r="V942" s="96">
        <f>((Tableau!$G$16-P942)/(AC942^2+Tableau!$G$21^2)^(3/2))*Tableau!$G$20</f>
        <v>3.7098081225675001E-4</v>
      </c>
      <c r="W942" s="96">
        <f>((Tableau!$H$16-Q942)/(AC942^2+Tableau!$G$21^2)^(3/2))*Tableau!$G$20</f>
        <v>-1.8206634502270663E-4</v>
      </c>
      <c r="X942" s="96">
        <f>((Tableau!$G$25-P942)/(AD942^2+Tableau!$G$30^2)^(3/2))*Tableau!$G$29</f>
        <v>1.2748433919027396E-4</v>
      </c>
      <c r="Y942" s="96">
        <f>((Tableau!$H$25-Q942)/(AD942^2+Tableau!$G$30^2)^(3/2))*Tableau!$G$29</f>
        <v>-6.2633950605347038E-5</v>
      </c>
      <c r="Z942" s="96">
        <f>((Tableau!$G$35-P942)/(AE942^2+Tableau!$G$40^2)^(3/2))*Tableau!$G$39</f>
        <v>3.710818827092824E-4</v>
      </c>
      <c r="AA942" s="97">
        <f>((Tableau!$H$35-Q942)/(AE942^2+Tableau!$G$40^2)^(3/2))*Tableau!$G$39</f>
        <v>-1.8252003205270788E-4</v>
      </c>
      <c r="AC942" s="110">
        <f>SQRT((Tableau!$G$16-P942)^2+(Tableau!$H$16-Q942)^2)</f>
        <v>35595351.867742665</v>
      </c>
      <c r="AD942" s="111">
        <f>SQRT((Tableau!$G$25-P942)^2+(Tableau!$H$25-Q942)^2)</f>
        <v>35558345.084988259</v>
      </c>
      <c r="AE942" s="112">
        <f>SQRT((Tableau!$G$35-P942)^2+(Tableau!$H$35-Q942)^2)</f>
        <v>35582835.521724135</v>
      </c>
    </row>
    <row r="943" spans="2:31" x14ac:dyDescent="0.25">
      <c r="B943" s="18">
        <v>940</v>
      </c>
      <c r="C943" s="19">
        <f>Tableau!$G$17*COS(B943*PI()/180)+Tableau!$G$16</f>
        <v>16169.777784405105</v>
      </c>
      <c r="D943" s="19">
        <f>Tableau!$G$17*SIN(B943*PI()/180)+Tableau!$H$16</f>
        <v>4286.0619515673088</v>
      </c>
      <c r="F943" s="26">
        <v>940</v>
      </c>
      <c r="G943" s="27">
        <f>Tableau!$G$26*COS(F943*PI()/180)+Tableau!$G$25</f>
        <v>-22681.155550916425</v>
      </c>
      <c r="H943" s="27">
        <f>Tableau!$G$26*SIN(F943*PI()/180)+Tableau!$H$25</f>
        <v>7750.2433660971164</v>
      </c>
      <c r="J943" s="34">
        <v>940</v>
      </c>
      <c r="K943" s="35">
        <f>Tableau!$G$36*COS(J943*PI()/180)+Tableau!$G$35</f>
        <v>-8830.2222155948948</v>
      </c>
      <c r="L943" s="35">
        <f>Tableau!$G$36*SIN(J943*PI()/180)+Tableau!$H$35</f>
        <v>-18213.93804843269</v>
      </c>
      <c r="N943" s="98">
        <v>939</v>
      </c>
      <c r="O943" s="99">
        <v>469.5</v>
      </c>
      <c r="P943" s="101">
        <f>P942+R942*Tableau!$G$2+((1/2)*T942)*Tableau!$G$2^2</f>
        <v>-31968898.238190062</v>
      </c>
      <c r="Q943" s="101">
        <f>Q942+S942*Tableau!$G$2+((1/2)*U942)*Tableau!$G$2^2</f>
        <v>15706742.350292126</v>
      </c>
      <c r="R943" s="101">
        <f>R942+T942*Tableau!$G$2</f>
        <v>-68697.852627077256</v>
      </c>
      <c r="S943" s="101">
        <f>S942+U942*Tableau!$G$2</f>
        <v>33800.556031863409</v>
      </c>
      <c r="T943" s="101">
        <f t="shared" si="28"/>
        <v>8.676788947706304E-4</v>
      </c>
      <c r="U943" s="101">
        <f t="shared" si="29"/>
        <v>-4.2630314132429596E-4</v>
      </c>
      <c r="V943" s="101">
        <f>((Tableau!$G$16-P943)/(AC943^2+Tableau!$G$21^2)^(3/2))*Tableau!$G$20</f>
        <v>3.7018395073271158E-4</v>
      </c>
      <c r="W943" s="101">
        <f>((Tableau!$H$16-Q943)/(AC943^2+Tableau!$G$21^2)^(3/2))*Tableau!$G$20</f>
        <v>-1.8167576493157339E-4</v>
      </c>
      <c r="X943" s="101">
        <f>((Tableau!$G$25-P943)/(AD943^2+Tableau!$G$30^2)^(3/2))*Tableau!$G$29</f>
        <v>1.2721024901034134E-4</v>
      </c>
      <c r="Y943" s="101">
        <f>((Tableau!$H$25-Q943)/(AD943^2+Tableau!$G$30^2)^(3/2))*Tableau!$G$29</f>
        <v>-6.2499385366753468E-5</v>
      </c>
      <c r="Z943" s="101">
        <f>((Tableau!$G$35-P943)/(AE943^2+Tableau!$G$40^2)^(3/2))*Tableau!$G$39</f>
        <v>3.7028469502757756E-4</v>
      </c>
      <c r="AA943" s="102">
        <f>((Tableau!$H$35-Q943)/(AE943^2+Tableau!$G$40^2)^(3/2))*Tableau!$G$39</f>
        <v>-1.8212799102596913E-4</v>
      </c>
      <c r="AC943" s="113">
        <f>SQRT((Tableau!$G$16-P943)^2+(Tableau!$H$16-Q943)^2)</f>
        <v>35633633.281865671</v>
      </c>
      <c r="AD943" s="114">
        <f>SQRT((Tableau!$G$25-P943)^2+(Tableau!$H$25-Q943)^2)</f>
        <v>35596626.5121525</v>
      </c>
      <c r="AE943" s="115">
        <f>SQRT((Tableau!$G$35-P943)^2+(Tableau!$H$35-Q943)^2)</f>
        <v>35621116.954839282</v>
      </c>
    </row>
    <row r="944" spans="2:31" x14ac:dyDescent="0.25">
      <c r="B944" s="20">
        <v>941</v>
      </c>
      <c r="C944" s="21">
        <f>Tableau!$G$17*COS(B944*PI()/180)+Tableau!$G$16</f>
        <v>16226.452098886131</v>
      </c>
      <c r="D944" s="21">
        <f>Tableau!$G$17*SIN(B944*PI()/180)+Tableau!$H$16</f>
        <v>4219.7048550474728</v>
      </c>
      <c r="F944" s="28">
        <v>941</v>
      </c>
      <c r="G944" s="29">
        <f>Tableau!$G$26*COS(F944*PI()/180)+Tableau!$G$25</f>
        <v>-22641.483530779708</v>
      </c>
      <c r="H944" s="29">
        <f>Tableau!$G$26*SIN(F944*PI()/180)+Tableau!$H$25</f>
        <v>7703.7933985332311</v>
      </c>
      <c r="J944" s="36">
        <v>941</v>
      </c>
      <c r="K944" s="37">
        <f>Tableau!$G$36*COS(J944*PI()/180)+Tableau!$G$35</f>
        <v>-8773.5479011138686</v>
      </c>
      <c r="L944" s="37">
        <f>Tableau!$G$36*SIN(J944*PI()/180)+Tableau!$H$35</f>
        <v>-18280.295144952528</v>
      </c>
      <c r="N944" s="92">
        <v>940</v>
      </c>
      <c r="O944" s="93">
        <v>470</v>
      </c>
      <c r="P944" s="96">
        <f>P943+R943*Tableau!$G$2+((1/2)*T943)*Tableau!$G$2^2</f>
        <v>-32003247.164395142</v>
      </c>
      <c r="Q944" s="96">
        <f>Q943+S943*Tableau!$G$2+((1/2)*U943)*Tableau!$G$2^2</f>
        <v>15723642.628254769</v>
      </c>
      <c r="R944" s="96">
        <f>R943+T943*Tableau!$G$2</f>
        <v>-68697.852193237806</v>
      </c>
      <c r="S944" s="96">
        <f>S943+U943*Tableau!$G$2</f>
        <v>33800.555818711837</v>
      </c>
      <c r="T944" s="96">
        <f t="shared" si="28"/>
        <v>8.6581676921562885E-4</v>
      </c>
      <c r="U944" s="96">
        <f t="shared" si="29"/>
        <v>-4.2538890542458466E-4</v>
      </c>
      <c r="V944" s="96">
        <f>((Tableau!$G$16-P944)/(AC944^2+Tableau!$G$21^2)^(3/2))*Tableau!$G$20</f>
        <v>3.6938965392838662E-4</v>
      </c>
      <c r="W944" s="96">
        <f>((Tableau!$H$16-Q944)/(AC944^2+Tableau!$G$21^2)^(3/2))*Tableau!$G$20</f>
        <v>-1.8128644033934421E-4</v>
      </c>
      <c r="X944" s="96">
        <f>((Tableau!$G$25-P944)/(AD944^2+Tableau!$G$30^2)^(3/2))*Tableau!$G$29</f>
        <v>1.2693704181980248E-4</v>
      </c>
      <c r="Y944" s="96">
        <f>((Tableau!$H$25-Q944)/(AD944^2+Tableau!$G$30^2)^(3/2))*Tableau!$G$29</f>
        <v>-6.2365253321267287E-5</v>
      </c>
      <c r="Z944" s="96">
        <f>((Tableau!$G$35-P944)/(AE944^2+Tableau!$G$40^2)^(3/2))*Tableau!$G$39</f>
        <v>3.6949007346743969E-4</v>
      </c>
      <c r="AA944" s="97">
        <f>((Tableau!$H$35-Q944)/(AE944^2+Tableau!$G$40^2)^(3/2))*Tableau!$G$39</f>
        <v>-1.8173721176397315E-4</v>
      </c>
      <c r="AC944" s="110">
        <f>SQRT((Tableau!$G$16-P944)^2+(Tableau!$H$16-Q944)^2)</f>
        <v>35671914.695788175</v>
      </c>
      <c r="AD944" s="111">
        <f>SQRT((Tableau!$G$25-P944)^2+(Tableau!$H$25-Q944)^2)</f>
        <v>35634907.939088255</v>
      </c>
      <c r="AE944" s="112">
        <f>SQRT((Tableau!$G$35-P944)^2+(Tableau!$H$35-Q944)^2)</f>
        <v>35659398.387713164</v>
      </c>
    </row>
    <row r="945" spans="2:31" x14ac:dyDescent="0.25">
      <c r="B945" s="18">
        <v>942</v>
      </c>
      <c r="C945" s="19">
        <f>Tableau!$G$17*COS(B945*PI()/180)+Tableau!$G$16</f>
        <v>16284.275872613029</v>
      </c>
      <c r="D945" s="19">
        <f>Tableau!$G$17*SIN(B945*PI()/180)+Tableau!$H$16</f>
        <v>4154.3469682057093</v>
      </c>
      <c r="F945" s="26">
        <v>942</v>
      </c>
      <c r="G945" s="27">
        <f>Tableau!$G$26*COS(F945*PI()/180)+Tableau!$G$25</f>
        <v>-22601.00688917088</v>
      </c>
      <c r="H945" s="27">
        <f>Tableau!$G$26*SIN(F945*PI()/180)+Tableau!$H$25</f>
        <v>7658.0428777439965</v>
      </c>
      <c r="J945" s="34">
        <v>942</v>
      </c>
      <c r="K945" s="35">
        <f>Tableau!$G$36*COS(J945*PI()/180)+Tableau!$G$35</f>
        <v>-8715.7241273869713</v>
      </c>
      <c r="L945" s="35">
        <f>Tableau!$G$36*SIN(J945*PI()/180)+Tableau!$H$35</f>
        <v>-18345.653031794289</v>
      </c>
      <c r="N945" s="98">
        <v>941</v>
      </c>
      <c r="O945" s="99">
        <v>470.5</v>
      </c>
      <c r="P945" s="101">
        <f>P944+R944*Tableau!$G$2+((1/2)*T944)*Tableau!$G$2^2</f>
        <v>-32037596.090383533</v>
      </c>
      <c r="Q945" s="101">
        <f>Q944+S944*Tableau!$G$2+((1/2)*U944)*Tableau!$G$2^2</f>
        <v>15740542.906110952</v>
      </c>
      <c r="R945" s="101">
        <f>R944+T944*Tableau!$G$2</f>
        <v>-68697.851760329417</v>
      </c>
      <c r="S945" s="101">
        <f>S944+U944*Tableau!$G$2</f>
        <v>33800.555606017384</v>
      </c>
      <c r="T945" s="101">
        <f t="shared" si="28"/>
        <v>8.6396063170633198E-4</v>
      </c>
      <c r="U945" s="101">
        <f t="shared" si="29"/>
        <v>-4.2447760734024156E-4</v>
      </c>
      <c r="V945" s="101">
        <f>((Tableau!$G$16-P945)/(AC945^2+Tableau!$G$21^2)^(3/2))*Tableau!$G$20</f>
        <v>3.6859791084940623E-4</v>
      </c>
      <c r="W945" s="101">
        <f>((Tableau!$H$16-Q945)/(AC945^2+Tableau!$G$21^2)^(3/2))*Tableau!$G$20</f>
        <v>-1.8089836587080124E-4</v>
      </c>
      <c r="X945" s="101">
        <f>((Tableau!$G$25-P945)/(AD945^2+Tableau!$G$30^2)^(3/2))*Tableau!$G$29</f>
        <v>1.2666471382995082E-4</v>
      </c>
      <c r="Y945" s="101">
        <f>((Tableau!$H$25-Q945)/(AD945^2+Tableau!$G$30^2)^(3/2))*Tableau!$G$29</f>
        <v>-6.2231552611495227E-5</v>
      </c>
      <c r="Z945" s="101">
        <f>((Tableau!$G$35-P945)/(AE945^2+Tableau!$G$40^2)^(3/2))*Tableau!$G$39</f>
        <v>3.6869800702697496E-4</v>
      </c>
      <c r="AA945" s="102">
        <f>((Tableau!$H$35-Q945)/(AE945^2+Tableau!$G$40^2)^(3/2))*Tableau!$G$39</f>
        <v>-1.8134768885794508E-4</v>
      </c>
      <c r="AC945" s="113">
        <f>SQRT((Tableau!$G$16-P945)^2+(Tableau!$H$16-Q945)^2)</f>
        <v>35710196.109510541</v>
      </c>
      <c r="AD945" s="114">
        <f>SQRT((Tableau!$G$25-P945)^2+(Tableau!$H$25-Q945)^2)</f>
        <v>35673189.365795992</v>
      </c>
      <c r="AE945" s="115">
        <f>SQRT((Tableau!$G$35-P945)^2+(Tableau!$H$35-Q945)^2)</f>
        <v>35697679.820346273</v>
      </c>
    </row>
    <row r="946" spans="2:31" x14ac:dyDescent="0.25">
      <c r="B946" s="20">
        <v>943</v>
      </c>
      <c r="C946" s="21">
        <f>Tableau!$G$17*COS(B946*PI()/180)+Tableau!$G$16</f>
        <v>16343.231491904144</v>
      </c>
      <c r="D946" s="21">
        <f>Tableau!$G$17*SIN(B946*PI()/180)+Tableau!$H$16</f>
        <v>4090.0081996875115</v>
      </c>
      <c r="F946" s="28">
        <v>943</v>
      </c>
      <c r="G946" s="29">
        <f>Tableau!$G$26*COS(F946*PI()/180)+Tableau!$G$25</f>
        <v>-22559.7379556671</v>
      </c>
      <c r="H946" s="29">
        <f>Tableau!$G$26*SIN(F946*PI()/180)+Tableau!$H$25</f>
        <v>7613.0057397812579</v>
      </c>
      <c r="J946" s="36">
        <v>943</v>
      </c>
      <c r="K946" s="37">
        <f>Tableau!$G$36*COS(J946*PI()/180)+Tableau!$G$35</f>
        <v>-8656.7685080958563</v>
      </c>
      <c r="L946" s="37">
        <f>Tableau!$G$36*SIN(J946*PI()/180)+Tableau!$H$35</f>
        <v>-18409.991800312488</v>
      </c>
      <c r="N946" s="92">
        <v>942</v>
      </c>
      <c r="O946" s="93">
        <v>471</v>
      </c>
      <c r="P946" s="96">
        <f>P945+R945*Tableau!$G$2+((1/2)*T945)*Tableau!$G$2^2</f>
        <v>-32071945.016155701</v>
      </c>
      <c r="Q946" s="96">
        <f>Q945+S945*Tableau!$G$2+((1/2)*U945)*Tableau!$G$2^2</f>
        <v>15757443.183860902</v>
      </c>
      <c r="R946" s="96">
        <f>R945+T945*Tableau!$G$2</f>
        <v>-68697.851328349105</v>
      </c>
      <c r="S946" s="96">
        <f>S945+U945*Tableau!$G$2</f>
        <v>33800.555393778581</v>
      </c>
      <c r="T946" s="96">
        <f t="shared" si="28"/>
        <v>8.6211045659582606E-4</v>
      </c>
      <c r="U946" s="96">
        <f t="shared" si="29"/>
        <v>-4.2356923449751564E-4</v>
      </c>
      <c r="V946" s="96">
        <f>((Tableau!$G$16-P946)/(AC946^2+Tableau!$G$21^2)^(3/2))*Tableau!$G$20</f>
        <v>3.6780871056025697E-4</v>
      </c>
      <c r="W946" s="96">
        <f>((Tableau!$H$16-Q946)/(AC946^2+Tableau!$G$21^2)^(3/2))*Tableau!$G$20</f>
        <v>-1.8051153617946485E-4</v>
      </c>
      <c r="X946" s="96">
        <f>((Tableau!$G$25-P946)/(AD946^2+Tableau!$G$30^2)^(3/2))*Tableau!$G$29</f>
        <v>1.2639326127238584E-4</v>
      </c>
      <c r="Y946" s="96">
        <f>((Tableau!$H$25-Q946)/(AD946^2+Tableau!$G$30^2)^(3/2))*Tableau!$G$29</f>
        <v>-6.209828138999182E-5</v>
      </c>
      <c r="Z946" s="96">
        <f>((Tableau!$G$35-P946)/(AE946^2+Tableau!$G$40^2)^(3/2))*Tableau!$G$39</f>
        <v>3.6790848476318328E-4</v>
      </c>
      <c r="AA946" s="97">
        <f>((Tableau!$H$35-Q946)/(AE946^2+Tableau!$G$40^2)^(3/2))*Tableau!$G$39</f>
        <v>-1.8095941692805899E-4</v>
      </c>
      <c r="AC946" s="110">
        <f>SQRT((Tableau!$G$16-P946)^2+(Tableau!$H$16-Q946)^2)</f>
        <v>35748477.523033164</v>
      </c>
      <c r="AD946" s="111">
        <f>SQRT((Tableau!$G$25-P946)^2+(Tableau!$H$25-Q946)^2)</f>
        <v>35711470.792276189</v>
      </c>
      <c r="AE946" s="112">
        <f>SQRT((Tableau!$G$35-P946)^2+(Tableau!$H$35-Q946)^2)</f>
        <v>35735961.252739139</v>
      </c>
    </row>
    <row r="947" spans="2:31" x14ac:dyDescent="0.25">
      <c r="B947" s="18">
        <v>944</v>
      </c>
      <c r="C947" s="19">
        <f>Tableau!$G$17*COS(B947*PI()/180)+Tableau!$G$16</f>
        <v>16403.300998306739</v>
      </c>
      <c r="D947" s="19">
        <f>Tableau!$G$17*SIN(B947*PI()/180)+Tableau!$H$16</f>
        <v>4026.7081477050215</v>
      </c>
      <c r="F947" s="26">
        <v>944</v>
      </c>
      <c r="G947" s="27">
        <f>Tableau!$G$26*COS(F947*PI()/180)+Tableau!$G$25</f>
        <v>-22517.689301185284</v>
      </c>
      <c r="H947" s="27">
        <f>Tableau!$G$26*SIN(F947*PI()/180)+Tableau!$H$25</f>
        <v>7568.695703393515</v>
      </c>
      <c r="J947" s="34">
        <v>944</v>
      </c>
      <c r="K947" s="35">
        <f>Tableau!$G$36*COS(J947*PI()/180)+Tableau!$G$35</f>
        <v>-8596.6990016932632</v>
      </c>
      <c r="L947" s="35">
        <f>Tableau!$G$36*SIN(J947*PI()/180)+Tableau!$H$35</f>
        <v>-18473.291852294977</v>
      </c>
      <c r="N947" s="98">
        <v>943</v>
      </c>
      <c r="O947" s="99">
        <v>471.5</v>
      </c>
      <c r="P947" s="101">
        <f>P946+R946*Tableau!$G$2+((1/2)*T946)*Tableau!$G$2^2</f>
        <v>-32106293.941712111</v>
      </c>
      <c r="Q947" s="101">
        <f>Q946+S946*Tableau!$G$2+((1/2)*U946)*Tableau!$G$2^2</f>
        <v>15774343.461504845</v>
      </c>
      <c r="R947" s="101">
        <f>R946+T946*Tableau!$G$2</f>
        <v>-68697.850897293873</v>
      </c>
      <c r="S947" s="101">
        <f>S946+U946*Tableau!$G$2</f>
        <v>33800.555181993965</v>
      </c>
      <c r="T947" s="101">
        <f t="shared" si="28"/>
        <v>8.6026621837434437E-4</v>
      </c>
      <c r="U947" s="101">
        <f t="shared" si="29"/>
        <v>-4.2266377438984629E-4</v>
      </c>
      <c r="V947" s="101">
        <f>((Tableau!$G$16-P947)/(AC947^2+Tableau!$G$21^2)^(3/2))*Tableau!$G$20</f>
        <v>3.6702204218388036E-4</v>
      </c>
      <c r="W947" s="101">
        <f>((Tableau!$H$16-Q947)/(AC947^2+Tableau!$G$21^2)^(3/2))*Tableau!$G$20</f>
        <v>-1.8012594594739843E-4</v>
      </c>
      <c r="X947" s="101">
        <f>((Tableau!$G$25-P947)/(AD947^2+Tableau!$G$30^2)^(3/2))*Tableau!$G$29</f>
        <v>1.2612268039886954E-4</v>
      </c>
      <c r="Y947" s="101">
        <f>((Tableau!$H$25-Q947)/(AD947^2+Tableau!$G$30^2)^(3/2))*Tableau!$G$29</f>
        <v>-6.1965437819189059E-5</v>
      </c>
      <c r="Z947" s="101">
        <f>((Tableau!$G$35-P947)/(AE947^2+Tableau!$G$40^2)^(3/2))*Tableau!$G$39</f>
        <v>3.671214957915945E-4</v>
      </c>
      <c r="AA947" s="102">
        <f>((Tableau!$H$35-Q947)/(AE947^2+Tableau!$G$40^2)^(3/2))*Tableau!$G$39</f>
        <v>-1.8057239062325883E-4</v>
      </c>
      <c r="AC947" s="113">
        <f>SQRT((Tableau!$G$16-P947)^2+(Tableau!$H$16-Q947)^2)</f>
        <v>35786758.936356425</v>
      </c>
      <c r="AD947" s="114">
        <f>SQRT((Tableau!$G$25-P947)^2+(Tableau!$H$25-Q947)^2)</f>
        <v>35749752.218529321</v>
      </c>
      <c r="AE947" s="115">
        <f>SQRT((Tableau!$G$35-P947)^2+(Tableau!$H$35-Q947)^2)</f>
        <v>35774242.684892274</v>
      </c>
    </row>
    <row r="948" spans="2:31" x14ac:dyDescent="0.25">
      <c r="B948" s="20">
        <v>945</v>
      </c>
      <c r="C948" s="21">
        <f>Tableau!$G$17*COS(B948*PI()/180)+Tableau!$G$16</f>
        <v>16464.466094067251</v>
      </c>
      <c r="D948" s="21">
        <f>Tableau!$G$17*SIN(B948*PI()/180)+Tableau!$H$16</f>
        <v>3964.4660940672743</v>
      </c>
      <c r="F948" s="28">
        <v>945</v>
      </c>
      <c r="G948" s="29">
        <f>Tableau!$G$26*COS(F948*PI()/180)+Tableau!$G$25</f>
        <v>-22474.873734152923</v>
      </c>
      <c r="H948" s="29">
        <f>Tableau!$G$26*SIN(F948*PI()/180)+Tableau!$H$25</f>
        <v>7525.1262658470914</v>
      </c>
      <c r="J948" s="36">
        <v>945</v>
      </c>
      <c r="K948" s="37">
        <f>Tableau!$G$36*COS(J948*PI()/180)+Tableau!$G$35</f>
        <v>-8535.5339059327489</v>
      </c>
      <c r="L948" s="37">
        <f>Tableau!$G$36*SIN(J948*PI()/180)+Tableau!$H$35</f>
        <v>-18535.533905932727</v>
      </c>
      <c r="N948" s="92">
        <v>944</v>
      </c>
      <c r="O948" s="93">
        <v>472</v>
      </c>
      <c r="P948" s="96">
        <f>P947+R947*Tableau!$G$2+((1/2)*T947)*Tableau!$G$2^2</f>
        <v>-32140642.867053226</v>
      </c>
      <c r="Q948" s="96">
        <f>Q947+S947*Tableau!$G$2+((1/2)*U947)*Tableau!$G$2^2</f>
        <v>15791243.73904301</v>
      </c>
      <c r="R948" s="96">
        <f>R947+T947*Tableau!$G$2</f>
        <v>-68697.850467160766</v>
      </c>
      <c r="S948" s="96">
        <f>S947+U947*Tableau!$G$2</f>
        <v>33800.55497066208</v>
      </c>
      <c r="T948" s="96">
        <f t="shared" si="28"/>
        <v>8.5842789166840918E-4</v>
      </c>
      <c r="U948" s="96">
        <f t="shared" si="29"/>
        <v>-4.2176121457744326E-4</v>
      </c>
      <c r="V948" s="96">
        <f>((Tableau!$G$16-P948)/(AC948^2+Tableau!$G$21^2)^(3/2))*Tableau!$G$20</f>
        <v>3.6623789490133034E-4</v>
      </c>
      <c r="W948" s="96">
        <f>((Tableau!$H$16-Q948)/(AC948^2+Tableau!$G$21^2)^(3/2))*Tableau!$G$20</f>
        <v>-1.7974158988504145E-4</v>
      </c>
      <c r="X948" s="96">
        <f>((Tableau!$G$25-P948)/(AD948^2+Tableau!$G$30^2)^(3/2))*Tableau!$G$29</f>
        <v>1.2585296748120556E-4</v>
      </c>
      <c r="Y948" s="96">
        <f>((Tableau!$H$25-Q948)/(AD948^2+Tableau!$G$30^2)^(3/2))*Tableau!$G$29</f>
        <v>-6.1833020071337281E-5</v>
      </c>
      <c r="Z948" s="96">
        <f>((Tableau!$G$35-P948)/(AE948^2+Tableau!$G$40^2)^(3/2))*Tableau!$G$39</f>
        <v>3.6633702928587331E-4</v>
      </c>
      <c r="AA948" s="97">
        <f>((Tableau!$H$35-Q948)/(AE948^2+Tableau!$G$40^2)^(3/2))*Tableau!$G$39</f>
        <v>-1.8018660462106452E-4</v>
      </c>
      <c r="AC948" s="110">
        <f>SQRT((Tableau!$G$16-P948)^2+(Tableau!$H$16-Q948)^2)</f>
        <v>35825040.349480711</v>
      </c>
      <c r="AD948" s="111">
        <f>SQRT((Tableau!$G$25-P948)^2+(Tableau!$H$25-Q948)^2)</f>
        <v>35788033.644555852</v>
      </c>
      <c r="AE948" s="112">
        <f>SQRT((Tableau!$G$35-P948)^2+(Tableau!$H$35-Q948)^2)</f>
        <v>35812524.116806194</v>
      </c>
    </row>
    <row r="949" spans="2:31" x14ac:dyDescent="0.25">
      <c r="B949" s="18">
        <v>946</v>
      </c>
      <c r="C949" s="19">
        <f>Tableau!$G$17*COS(B949*PI()/180)+Tableau!$G$16</f>
        <v>16526.708147705009</v>
      </c>
      <c r="D949" s="19">
        <f>Tableau!$G$17*SIN(B949*PI()/180)+Tableau!$H$16</f>
        <v>3903.3009983067473</v>
      </c>
      <c r="F949" s="26">
        <v>946</v>
      </c>
      <c r="G949" s="27">
        <f>Tableau!$G$26*COS(F949*PI()/180)+Tableau!$G$25</f>
        <v>-22431.304296606493</v>
      </c>
      <c r="H949" s="27">
        <f>Tableau!$G$26*SIN(F949*PI()/180)+Tableau!$H$25</f>
        <v>7482.3106988147229</v>
      </c>
      <c r="J949" s="34">
        <v>946</v>
      </c>
      <c r="K949" s="35">
        <f>Tableau!$G$36*COS(J949*PI()/180)+Tableau!$G$35</f>
        <v>-8473.2918522949894</v>
      </c>
      <c r="L949" s="35">
        <f>Tableau!$G$36*SIN(J949*PI()/180)+Tableau!$H$35</f>
        <v>-18596.699001693254</v>
      </c>
      <c r="N949" s="98">
        <v>945</v>
      </c>
      <c r="O949" s="99">
        <v>472.5</v>
      </c>
      <c r="P949" s="101">
        <f>P948+R948*Tableau!$G$2+((1/2)*T948)*Tableau!$G$2^2</f>
        <v>-32174991.792179503</v>
      </c>
      <c r="Q949" s="101">
        <f>Q948+S948*Tableau!$G$2+((1/2)*U948)*Tableau!$G$2^2</f>
        <v>15808144.016475622</v>
      </c>
      <c r="R949" s="101">
        <f>R948+T948*Tableau!$G$2</f>
        <v>-68697.850037946817</v>
      </c>
      <c r="S949" s="101">
        <f>S948+U948*Tableau!$G$2</f>
        <v>33800.554759781473</v>
      </c>
      <c r="T949" s="101">
        <f t="shared" si="28"/>
        <v>8.565954512399531E-4</v>
      </c>
      <c r="U949" s="101">
        <f t="shared" si="29"/>
        <v>-4.208615426868562E-4</v>
      </c>
      <c r="V949" s="101">
        <f>((Tableau!$G$16-P949)/(AC949^2+Tableau!$G$21^2)^(3/2))*Tableau!$G$20</f>
        <v>3.6545625795138357E-4</v>
      </c>
      <c r="W949" s="101">
        <f>((Tableau!$H$16-Q949)/(AC949^2+Tableau!$G$21^2)^(3/2))*Tableau!$G$20</f>
        <v>-1.7935846273101931E-4</v>
      </c>
      <c r="X949" s="101">
        <f>((Tableau!$G$25-P949)/(AD949^2+Tableau!$G$30^2)^(3/2))*Tableau!$G$29</f>
        <v>1.2558411881110379E-4</v>
      </c>
      <c r="Y949" s="101">
        <f>((Tableau!$H$25-Q949)/(AD949^2+Tableau!$G$30^2)^(3/2))*Tableau!$G$29</f>
        <v>-6.1701026328438857E-5</v>
      </c>
      <c r="Z949" s="101">
        <f>((Tableau!$G$35-P949)/(AE949^2+Tableau!$G$40^2)^(3/2))*Tableau!$G$39</f>
        <v>3.6555507447746575E-4</v>
      </c>
      <c r="AA949" s="102">
        <f>((Tableau!$H$35-Q949)/(AE949^2+Tableau!$G$40^2)^(3/2))*Tableau!$G$39</f>
        <v>-1.79802053627398E-4</v>
      </c>
      <c r="AC949" s="113">
        <f>SQRT((Tableau!$G$16-P949)^2+(Tableau!$H$16-Q949)^2)</f>
        <v>35863321.762406401</v>
      </c>
      <c r="AD949" s="114">
        <f>SQRT((Tableau!$G$25-P949)^2+(Tableau!$H$25-Q949)^2)</f>
        <v>35826315.07035625</v>
      </c>
      <c r="AE949" s="115">
        <f>SQRT((Tableau!$G$35-P949)^2+(Tableau!$H$35-Q949)^2)</f>
        <v>35850805.548481397</v>
      </c>
    </row>
    <row r="950" spans="2:31" x14ac:dyDescent="0.25">
      <c r="B950" s="20">
        <v>947</v>
      </c>
      <c r="C950" s="21">
        <f>Tableau!$G$17*COS(B950*PI()/180)+Tableau!$G$16</f>
        <v>16590.008199687501</v>
      </c>
      <c r="D950" s="21">
        <f>Tableau!$G$17*SIN(B950*PI()/180)+Tableau!$H$16</f>
        <v>3843.2314919041542</v>
      </c>
      <c r="F950" s="28">
        <v>947</v>
      </c>
      <c r="G950" s="29">
        <f>Tableau!$G$26*COS(F950*PI()/180)+Tableau!$G$25</f>
        <v>-22386.994260218751</v>
      </c>
      <c r="H950" s="29">
        <f>Tableau!$G$26*SIN(F950*PI()/180)+Tableau!$H$25</f>
        <v>7440.2620443329079</v>
      </c>
      <c r="J950" s="36">
        <v>947</v>
      </c>
      <c r="K950" s="37">
        <f>Tableau!$G$36*COS(J950*PI()/180)+Tableau!$G$35</f>
        <v>-8409.9918003124985</v>
      </c>
      <c r="L950" s="37">
        <f>Tableau!$G$36*SIN(J950*PI()/180)+Tableau!$H$35</f>
        <v>-18656.768508095847</v>
      </c>
      <c r="N950" s="92">
        <v>946</v>
      </c>
      <c r="O950" s="93">
        <v>473</v>
      </c>
      <c r="P950" s="96">
        <f>P949+R949*Tableau!$G$2+((1/2)*T949)*Tableau!$G$2^2</f>
        <v>-32209340.7170914</v>
      </c>
      <c r="Q950" s="96">
        <f>Q949+S949*Tableau!$G$2+((1/2)*U949)*Tableau!$G$2^2</f>
        <v>15825044.293802904</v>
      </c>
      <c r="R950" s="96">
        <f>R949+T949*Tableau!$G$2</f>
        <v>-68697.849609649085</v>
      </c>
      <c r="S950" s="96">
        <f>S949+U949*Tableau!$G$2</f>
        <v>33800.554549350702</v>
      </c>
      <c r="T950" s="96">
        <f t="shared" si="28"/>
        <v>8.5476887198545162E-4</v>
      </c>
      <c r="U950" s="96">
        <f t="shared" si="29"/>
        <v>-4.1996474641055033E-4</v>
      </c>
      <c r="V950" s="96">
        <f>((Tableau!$G$16-P950)/(AC950^2+Tableau!$G$21^2)^(3/2))*Tableau!$G$20</f>
        <v>3.6467712063016801E-4</v>
      </c>
      <c r="W950" s="96">
        <f>((Tableau!$H$16-Q950)/(AC950^2+Tableau!$G$21^2)^(3/2))*Tableau!$G$20</f>
        <v>-1.7897655925196222E-4</v>
      </c>
      <c r="X950" s="96">
        <f>((Tableau!$G$25-P950)/(AD950^2+Tableau!$G$30^2)^(3/2))*Tableau!$G$29</f>
        <v>1.2531613070006396E-4</v>
      </c>
      <c r="Y950" s="96">
        <f>((Tableau!$H$25-Q950)/(AD950^2+Tableau!$G$30^2)^(3/2))*Tableau!$G$29</f>
        <v>-6.1569454782191215E-5</v>
      </c>
      <c r="Z950" s="96">
        <f>((Tableau!$G$35-P950)/(AE950^2+Tableau!$G$40^2)^(3/2))*Tableau!$G$39</f>
        <v>3.6477562065521956E-4</v>
      </c>
      <c r="AA950" s="97">
        <f>((Tableau!$H$35-Q950)/(AE950^2+Tableau!$G$40^2)^(3/2))*Tableau!$G$39</f>
        <v>-1.7941873237639692E-4</v>
      </c>
      <c r="AC950" s="110">
        <f>SQRT((Tableau!$G$16-P950)^2+(Tableau!$H$16-Q950)^2)</f>
        <v>35901603.175133869</v>
      </c>
      <c r="AD950" s="111">
        <f>SQRT((Tableau!$G$25-P950)^2+(Tableau!$H$25-Q950)^2)</f>
        <v>35864596.495931</v>
      </c>
      <c r="AE950" s="112">
        <f>SQRT((Tableau!$G$35-P950)^2+(Tableau!$H$35-Q950)^2)</f>
        <v>35889086.979918405</v>
      </c>
    </row>
    <row r="951" spans="2:31" x14ac:dyDescent="0.25">
      <c r="B951" s="18">
        <v>948</v>
      </c>
      <c r="C951" s="19">
        <f>Tableau!$G$17*COS(B951*PI()/180)+Tableau!$G$16</f>
        <v>16654.346968205711</v>
      </c>
      <c r="D951" s="19">
        <f>Tableau!$G$17*SIN(B951*PI()/180)+Tableau!$H$16</f>
        <v>3784.2758726130273</v>
      </c>
      <c r="F951" s="26">
        <v>948</v>
      </c>
      <c r="G951" s="27">
        <f>Tableau!$G$26*COS(F951*PI()/180)+Tableau!$G$25</f>
        <v>-22341.957122256001</v>
      </c>
      <c r="H951" s="27">
        <f>Tableau!$G$26*SIN(F951*PI()/180)+Tableau!$H$25</f>
        <v>7398.9931108291185</v>
      </c>
      <c r="J951" s="34">
        <v>948</v>
      </c>
      <c r="K951" s="35">
        <f>Tableau!$G$36*COS(J951*PI()/180)+Tableau!$G$35</f>
        <v>-8345.6530317942888</v>
      </c>
      <c r="L951" s="35">
        <f>Tableau!$G$36*SIN(J951*PI()/180)+Tableau!$H$35</f>
        <v>-18715.724127386973</v>
      </c>
      <c r="N951" s="98">
        <v>947</v>
      </c>
      <c r="O951" s="99">
        <v>473.5</v>
      </c>
      <c r="P951" s="101">
        <f>P950+R950*Tableau!$G$2+((1/2)*T950)*Tableau!$G$2^2</f>
        <v>-32243689.64178938</v>
      </c>
      <c r="Q951" s="101">
        <f>Q950+S950*Tableau!$G$2+((1/2)*U950)*Tableau!$G$2^2</f>
        <v>15841944.571025085</v>
      </c>
      <c r="R951" s="101">
        <f>R950+T950*Tableau!$G$2</f>
        <v>-68697.849182264647</v>
      </c>
      <c r="S951" s="101">
        <f>S950+U950*Tableau!$G$2</f>
        <v>33800.554339368326</v>
      </c>
      <c r="T951" s="101">
        <f t="shared" si="28"/>
        <v>8.5294812893505628E-4</v>
      </c>
      <c r="U951" s="101">
        <f t="shared" si="29"/>
        <v>-4.1907081350648192E-4</v>
      </c>
      <c r="V951" s="101">
        <f>((Tableau!$G$16-P951)/(AC951^2+Tableau!$G$21^2)^(3/2))*Tableau!$G$20</f>
        <v>3.6390047229080489E-4</v>
      </c>
      <c r="W951" s="101">
        <f>((Tableau!$H$16-Q951)/(AC951^2+Tableau!$G$21^2)^(3/2))*Tableau!$G$20</f>
        <v>-1.7859587424233055E-4</v>
      </c>
      <c r="X951" s="101">
        <f>((Tableau!$G$25-P951)/(AD951^2+Tableau!$G$30^2)^(3/2))*Tableau!$G$29</f>
        <v>1.2504899947923841E-4</v>
      </c>
      <c r="Y951" s="101">
        <f>((Tableau!$H$25-Q951)/(AD951^2+Tableau!$G$30^2)^(3/2))*Tableau!$G$29</f>
        <v>-6.1438303633919633E-5</v>
      </c>
      <c r="Z951" s="101">
        <f>((Tableau!$G$35-P951)/(AE951^2+Tableau!$G$40^2)^(3/2))*Tableau!$G$39</f>
        <v>3.6399865716501293E-4</v>
      </c>
      <c r="AA951" s="102">
        <f>((Tableau!$H$35-Q951)/(AE951^2+Tableau!$G$40^2)^(3/2))*Tableau!$G$39</f>
        <v>-1.7903663563023176E-4</v>
      </c>
      <c r="AC951" s="113">
        <f>SQRT((Tableau!$G$16-P951)^2+(Tableau!$H$16-Q951)^2)</f>
        <v>35939884.587663509</v>
      </c>
      <c r="AD951" s="114">
        <f>SQRT((Tableau!$G$25-P951)^2+(Tableau!$H$25-Q951)^2)</f>
        <v>35902877.921280555</v>
      </c>
      <c r="AE951" s="115">
        <f>SQRT((Tableau!$G$35-P951)^2+(Tableau!$H$35-Q951)^2)</f>
        <v>35927368.411117725</v>
      </c>
    </row>
    <row r="952" spans="2:31" x14ac:dyDescent="0.25">
      <c r="B952" s="20">
        <v>949</v>
      </c>
      <c r="C952" s="21">
        <f>Tableau!$G$17*COS(B952*PI()/180)+Tableau!$G$16</f>
        <v>16719.704855047461</v>
      </c>
      <c r="D952" s="21">
        <f>Tableau!$G$17*SIN(B952*PI()/180)+Tableau!$H$16</f>
        <v>3726.4520988861418</v>
      </c>
      <c r="F952" s="28">
        <v>949</v>
      </c>
      <c r="G952" s="29">
        <f>Tableau!$G$26*COS(F952*PI()/180)+Tableau!$G$25</f>
        <v>-22296.206601466776</v>
      </c>
      <c r="H952" s="29">
        <f>Tableau!$G$26*SIN(F952*PI()/180)+Tableau!$H$25</f>
        <v>7358.5164692202998</v>
      </c>
      <c r="J952" s="36">
        <v>949</v>
      </c>
      <c r="K952" s="37">
        <f>Tableau!$G$36*COS(J952*PI()/180)+Tableau!$G$35</f>
        <v>-8280.295144952539</v>
      </c>
      <c r="L952" s="37">
        <f>Tableau!$G$36*SIN(J952*PI()/180)+Tableau!$H$35</f>
        <v>-18773.54790111386</v>
      </c>
      <c r="N952" s="92">
        <v>948</v>
      </c>
      <c r="O952" s="93">
        <v>474</v>
      </c>
      <c r="P952" s="96">
        <f>P951+R951*Tableau!$G$2+((1/2)*T951)*Tableau!$G$2^2</f>
        <v>-32278038.566273894</v>
      </c>
      <c r="Q952" s="96">
        <f>Q951+S951*Tableau!$G$2+((1/2)*U951)*Tableau!$G$2^2</f>
        <v>15858844.848142385</v>
      </c>
      <c r="R952" s="96">
        <f>R951+T951*Tableau!$G$2</f>
        <v>-68697.848755790576</v>
      </c>
      <c r="S952" s="96">
        <f>S951+U951*Tableau!$G$2</f>
        <v>33800.554129832919</v>
      </c>
      <c r="T952" s="96">
        <f t="shared" si="28"/>
        <v>8.5113319725175877E-4</v>
      </c>
      <c r="U952" s="96">
        <f t="shared" si="29"/>
        <v>-4.1817973179768931E-4</v>
      </c>
      <c r="V952" s="96">
        <f>((Tableau!$G$16-P952)/(AC952^2+Tableau!$G$21^2)^(3/2))*Tableau!$G$20</f>
        <v>3.6312630234304146E-4</v>
      </c>
      <c r="W952" s="96">
        <f>((Tableau!$H$16-Q952)/(AC952^2+Tableau!$G$21^2)^(3/2))*Tableau!$G$20</f>
        <v>-1.7821640252423598E-4</v>
      </c>
      <c r="X952" s="96">
        <f>((Tableau!$G$25-P952)/(AD952^2+Tableau!$G$30^2)^(3/2))*Tableau!$G$29</f>
        <v>1.2478272149931197E-4</v>
      </c>
      <c r="Y952" s="96">
        <f>((Tableau!$H$25-Q952)/(AD952^2+Tableau!$G$30^2)^(3/2))*Tableau!$G$29</f>
        <v>-6.1307571094518492E-5</v>
      </c>
      <c r="Z952" s="96">
        <f>((Tableau!$G$35-P952)/(AE952^2+Tableau!$G$40^2)^(3/2))*Tableau!$G$39</f>
        <v>3.6322417340940537E-4</v>
      </c>
      <c r="AA952" s="97">
        <f>((Tableau!$H$35-Q952)/(AE952^2+Tableau!$G$40^2)^(3/2))*Tableau!$G$39</f>
        <v>-1.7865575817893484E-4</v>
      </c>
      <c r="AC952" s="110">
        <f>SQRT((Tableau!$G$16-P952)^2+(Tableau!$H$16-Q952)^2)</f>
        <v>35978165.999995694</v>
      </c>
      <c r="AD952" s="111">
        <f>SQRT((Tableau!$G$25-P952)^2+(Tableau!$H$25-Q952)^2)</f>
        <v>35941159.346405387</v>
      </c>
      <c r="AE952" s="112">
        <f>SQRT((Tableau!$G$35-P952)^2+(Tableau!$H$35-Q952)^2)</f>
        <v>35965649.842079856</v>
      </c>
    </row>
    <row r="953" spans="2:31" x14ac:dyDescent="0.25">
      <c r="B953" s="18">
        <v>950</v>
      </c>
      <c r="C953" s="19">
        <f>Tableau!$G$17*COS(B953*PI()/180)+Tableau!$G$16</f>
        <v>16786.061951567295</v>
      </c>
      <c r="D953" s="19">
        <f>Tableau!$G$17*SIN(B953*PI()/180)+Tableau!$H$16</f>
        <v>3669.7777844051147</v>
      </c>
      <c r="F953" s="26">
        <v>950</v>
      </c>
      <c r="G953" s="27">
        <f>Tableau!$G$26*COS(F953*PI()/180)+Tableau!$G$25</f>
        <v>-22249.756633902893</v>
      </c>
      <c r="H953" s="27">
        <f>Tableau!$G$26*SIN(F953*PI()/180)+Tableau!$H$25</f>
        <v>7318.8444490835809</v>
      </c>
      <c r="J953" s="34">
        <v>950</v>
      </c>
      <c r="K953" s="35">
        <f>Tableau!$G$36*COS(J953*PI()/180)+Tableau!$G$35</f>
        <v>-8213.938048432703</v>
      </c>
      <c r="L953" s="35">
        <f>Tableau!$G$36*SIN(J953*PI()/180)+Tableau!$H$35</f>
        <v>-18830.222215594884</v>
      </c>
      <c r="N953" s="98">
        <v>949</v>
      </c>
      <c r="O953" s="99">
        <v>474.5</v>
      </c>
      <c r="P953" s="101">
        <f>P952+R952*Tableau!$G$2+((1/2)*T952)*Tableau!$G$2^2</f>
        <v>-32312387.490545399</v>
      </c>
      <c r="Q953" s="101">
        <f>Q952+S952*Tableau!$G$2+((1/2)*U952)*Tableau!$G$2^2</f>
        <v>15875745.125155028</v>
      </c>
      <c r="R953" s="101">
        <f>R952+T952*Tableau!$G$2</f>
        <v>-68697.848330223977</v>
      </c>
      <c r="S953" s="101">
        <f>S952+U952*Tableau!$G$2</f>
        <v>33800.553920743056</v>
      </c>
      <c r="T953" s="101">
        <f t="shared" si="28"/>
        <v>8.4932405223052355E-4</v>
      </c>
      <c r="U953" s="101">
        <f t="shared" si="29"/>
        <v>-4.1729148917186716E-4</v>
      </c>
      <c r="V953" s="101">
        <f>((Tableau!$G$16-P953)/(AC953^2+Tableau!$G$21^2)^(3/2))*Tableau!$G$20</f>
        <v>3.6235460025289096E-4</v>
      </c>
      <c r="W953" s="101">
        <f>((Tableau!$H$16-Q953)/(AC953^2+Tableau!$G$21^2)^(3/2))*Tableau!$G$20</f>
        <v>-1.7783813894726536E-4</v>
      </c>
      <c r="X953" s="101">
        <f>((Tableau!$G$25-P953)/(AD953^2+Tableau!$G$30^2)^(3/2))*Tableau!$G$29</f>
        <v>1.2451729313037386E-4</v>
      </c>
      <c r="Y953" s="101">
        <f>((Tableau!$H$25-Q953)/(AD953^2+Tableau!$G$30^2)^(3/2))*Tableau!$G$29</f>
        <v>-6.1177255384388496E-5</v>
      </c>
      <c r="Z953" s="101">
        <f>((Tableau!$G$35-P953)/(AE953^2+Tableau!$G$40^2)^(3/2))*Tableau!$G$39</f>
        <v>3.6245215884725878E-4</v>
      </c>
      <c r="AA953" s="102">
        <f>((Tableau!$H$35-Q953)/(AE953^2+Tableau!$G$40^2)^(3/2))*Tableau!$G$39</f>
        <v>-1.7827609484021332E-4</v>
      </c>
      <c r="AC953" s="113">
        <f>SQRT((Tableau!$G$16-P953)^2+(Tableau!$H$16-Q953)^2)</f>
        <v>36016447.412130795</v>
      </c>
      <c r="AD953" s="114">
        <f>SQRT((Tableau!$G$25-P953)^2+(Tableau!$H$25-Q953)^2)</f>
        <v>35979440.771305956</v>
      </c>
      <c r="AE953" s="115">
        <f>SQRT((Tableau!$G$35-P953)^2+(Tableau!$H$35-Q953)^2)</f>
        <v>36003931.272805303</v>
      </c>
    </row>
    <row r="954" spans="2:31" x14ac:dyDescent="0.25">
      <c r="B954" s="20">
        <v>951</v>
      </c>
      <c r="C954" s="21">
        <f>Tableau!$G$17*COS(B954*PI()/180)+Tableau!$G$16</f>
        <v>16853.398044750815</v>
      </c>
      <c r="D954" s="21">
        <f>Tableau!$G$17*SIN(B954*PI()/180)+Tableau!$H$16</f>
        <v>3614.2701927151429</v>
      </c>
      <c r="F954" s="28">
        <v>951</v>
      </c>
      <c r="G954" s="29">
        <f>Tableau!$G$26*COS(F954*PI()/180)+Tableau!$G$25</f>
        <v>-22202.62136867443</v>
      </c>
      <c r="H954" s="29">
        <f>Tableau!$G$26*SIN(F954*PI()/180)+Tableau!$H$25</f>
        <v>7279.9891349005993</v>
      </c>
      <c r="J954" s="36">
        <v>951</v>
      </c>
      <c r="K954" s="37">
        <f>Tableau!$G$36*COS(J954*PI()/180)+Tableau!$G$35</f>
        <v>-8146.6019552491844</v>
      </c>
      <c r="L954" s="37">
        <f>Tableau!$G$36*SIN(J954*PI()/180)+Tableau!$H$35</f>
        <v>-18885.729807284857</v>
      </c>
      <c r="N954" s="92">
        <v>950</v>
      </c>
      <c r="O954" s="93">
        <v>475</v>
      </c>
      <c r="P954" s="96">
        <f>P953+R953*Tableau!$G$2+((1/2)*T953)*Tableau!$G$2^2</f>
        <v>-32346736.414604343</v>
      </c>
      <c r="Q954" s="96">
        <f>Q953+S953*Tableau!$G$2+((1/2)*U953)*Tableau!$G$2^2</f>
        <v>15892645.402063238</v>
      </c>
      <c r="R954" s="96">
        <f>R953+T953*Tableau!$G$2</f>
        <v>-68697.847905561954</v>
      </c>
      <c r="S954" s="96">
        <f>S953+U953*Tableau!$G$2</f>
        <v>33800.553712097309</v>
      </c>
      <c r="T954" s="96">
        <f t="shared" si="28"/>
        <v>8.4752066929746895E-4</v>
      </c>
      <c r="U954" s="96">
        <f t="shared" si="29"/>
        <v>-4.164060735809673E-4</v>
      </c>
      <c r="V954" s="96">
        <f>((Tableau!$G$16-P954)/(AC954^2+Tableau!$G$21^2)^(3/2))*Tableau!$G$20</f>
        <v>3.6158535554227557E-4</v>
      </c>
      <c r="W954" s="96">
        <f>((Tableau!$H$16-Q954)/(AC954^2+Tableau!$G$21^2)^(3/2))*Tableau!$G$20</f>
        <v>-1.7746107838830723E-4</v>
      </c>
      <c r="X954" s="96">
        <f>((Tableau!$G$25-P954)/(AD954^2+Tableau!$G$30^2)^(3/2))*Tableau!$G$29</f>
        <v>1.2425271076179736E-4</v>
      </c>
      <c r="Y954" s="96">
        <f>((Tableau!$H$25-Q954)/(AD954^2+Tableau!$G$30^2)^(3/2))*Tableau!$G$29</f>
        <v>-6.1047354733377845E-5</v>
      </c>
      <c r="Z954" s="96">
        <f>((Tableau!$G$35-P954)/(AE954^2+Tableau!$G$40^2)^(3/2))*Tableau!$G$39</f>
        <v>3.6168260299339599E-4</v>
      </c>
      <c r="AA954" s="97">
        <f>((Tableau!$H$35-Q954)/(AE954^2+Tableau!$G$40^2)^(3/2))*Tableau!$G$39</f>
        <v>-1.7789764045928223E-4</v>
      </c>
      <c r="AC954" s="110">
        <f>SQRT((Tableau!$G$16-P954)^2+(Tableau!$H$16-Q954)^2)</f>
        <v>36054728.824069194</v>
      </c>
      <c r="AD954" s="111">
        <f>SQRT((Tableau!$G$25-P954)^2+(Tableau!$H$25-Q954)^2)</f>
        <v>36017722.195982732</v>
      </c>
      <c r="AE954" s="112">
        <f>SQRT((Tableau!$G$35-P954)^2+(Tableau!$H$35-Q954)^2)</f>
        <v>36042212.703294568</v>
      </c>
    </row>
    <row r="955" spans="2:31" x14ac:dyDescent="0.25">
      <c r="B955" s="18">
        <v>952</v>
      </c>
      <c r="C955" s="19">
        <f>Tableau!$G$17*COS(B955*PI()/180)+Tableau!$G$16</f>
        <v>16921.692623371706</v>
      </c>
      <c r="D955" s="19">
        <f>Tableau!$G$17*SIN(B955*PI()/180)+Tableau!$H$16</f>
        <v>3559.9462319663912</v>
      </c>
      <c r="F955" s="26">
        <v>952</v>
      </c>
      <c r="G955" s="27">
        <f>Tableau!$G$26*COS(F955*PI()/180)+Tableau!$G$25</f>
        <v>-22154.815163639803</v>
      </c>
      <c r="H955" s="27">
        <f>Tableau!$G$26*SIN(F955*PI()/180)+Tableau!$H$25</f>
        <v>7241.9623623764737</v>
      </c>
      <c r="J955" s="34">
        <v>952</v>
      </c>
      <c r="K955" s="35">
        <f>Tableau!$G$36*COS(J955*PI()/180)+Tableau!$G$35</f>
        <v>-8078.3073766282923</v>
      </c>
      <c r="L955" s="35">
        <f>Tableau!$G$36*SIN(J955*PI()/180)+Tableau!$H$35</f>
        <v>-18940.053768033609</v>
      </c>
      <c r="N955" s="98">
        <v>951</v>
      </c>
      <c r="O955" s="99">
        <v>475.5</v>
      </c>
      <c r="P955" s="101">
        <f>P954+R954*Tableau!$G$2+((1/2)*T954)*Tableau!$G$2^2</f>
        <v>-32381085.338451184</v>
      </c>
      <c r="Q955" s="101">
        <f>Q954+S954*Tableau!$G$2+((1/2)*U954)*Tableau!$G$2^2</f>
        <v>15909545.678867234</v>
      </c>
      <c r="R955" s="101">
        <f>R954+T954*Tableau!$G$2</f>
        <v>-68697.847481801626</v>
      </c>
      <c r="S955" s="101">
        <f>S954+U954*Tableau!$G$2</f>
        <v>33800.553503894276</v>
      </c>
      <c r="T955" s="101">
        <f t="shared" si="28"/>
        <v>8.4572302400900295E-4</v>
      </c>
      <c r="U955" s="101">
        <f t="shared" si="29"/>
        <v>-4.1552347304077419E-4</v>
      </c>
      <c r="V955" s="101">
        <f>((Tableau!$G$16-P955)/(AC955^2+Tableau!$G$21^2)^(3/2))*Tableau!$G$20</f>
        <v>3.608185577886601E-4</v>
      </c>
      <c r="W955" s="101">
        <f>((Tableau!$H$16-Q955)/(AC955^2+Tableau!$G$21^2)^(3/2))*Tableau!$G$20</f>
        <v>-1.7708521575137277E-4</v>
      </c>
      <c r="X955" s="101">
        <f>((Tableau!$G$25-P955)/(AD955^2+Tableau!$G$30^2)^(3/2))*Tableau!$G$29</f>
        <v>1.2398897080211611E-4</v>
      </c>
      <c r="Y955" s="101">
        <f>((Tableau!$H$25-Q955)/(AD955^2+Tableau!$G$30^2)^(3/2))*Tableau!$G$29</f>
        <v>-6.0917867380721528E-5</v>
      </c>
      <c r="Z955" s="101">
        <f>((Tableau!$G$35-P955)/(AE955^2+Tableau!$G$40^2)^(3/2))*Tableau!$G$39</f>
        <v>3.6091549541822674E-4</v>
      </c>
      <c r="AA955" s="102">
        <f>((Tableau!$H$35-Q955)/(AE955^2+Tableau!$G$40^2)^(3/2))*Tableau!$G$39</f>
        <v>-1.7752038990867991E-4</v>
      </c>
      <c r="AC955" s="113">
        <f>SQRT((Tableau!$G$16-P955)^2+(Tableau!$H$16-Q955)^2)</f>
        <v>36093010.235811256</v>
      </c>
      <c r="AD955" s="114">
        <f>SQRT((Tableau!$G$25-P955)^2+(Tableau!$H$25-Q955)^2)</f>
        <v>36056003.620436169</v>
      </c>
      <c r="AE955" s="115">
        <f>SQRT((Tableau!$G$35-P955)^2+(Tableau!$H$35-Q955)^2)</f>
        <v>36080494.133548155</v>
      </c>
    </row>
    <row r="956" spans="2:31" x14ac:dyDescent="0.25">
      <c r="B956" s="20">
        <v>953</v>
      </c>
      <c r="C956" s="21">
        <f>Tableau!$G$17*COS(B956*PI()/180)+Tableau!$G$16</f>
        <v>16990.924884239754</v>
      </c>
      <c r="D956" s="21">
        <f>Tableau!$G$17*SIN(B956*PI()/180)+Tableau!$H$16</f>
        <v>3506.8224497635397</v>
      </c>
      <c r="F956" s="28">
        <v>953</v>
      </c>
      <c r="G956" s="29">
        <f>Tableau!$G$26*COS(F956*PI()/180)+Tableau!$G$25</f>
        <v>-22106.352581032173</v>
      </c>
      <c r="H956" s="29">
        <f>Tableau!$G$26*SIN(F956*PI()/180)+Tableau!$H$25</f>
        <v>7204.7757148344772</v>
      </c>
      <c r="J956" s="36">
        <v>953</v>
      </c>
      <c r="K956" s="37">
        <f>Tableau!$G$36*COS(J956*PI()/180)+Tableau!$G$35</f>
        <v>-8009.0751157602463</v>
      </c>
      <c r="L956" s="37">
        <f>Tableau!$G$36*SIN(J956*PI()/180)+Tableau!$H$35</f>
        <v>-18993.177550236462</v>
      </c>
      <c r="N956" s="92">
        <v>952</v>
      </c>
      <c r="O956" s="93">
        <v>476</v>
      </c>
      <c r="P956" s="96">
        <f>P955+R955*Tableau!$G$2+((1/2)*T955)*Tableau!$G$2^2</f>
        <v>-32415434.262086369</v>
      </c>
      <c r="Q956" s="96">
        <f>Q955+S955*Tableau!$G$2+((1/2)*U955)*Tableau!$G$2^2</f>
        <v>15926445.955567241</v>
      </c>
      <c r="R956" s="96">
        <f>R955+T955*Tableau!$G$2</f>
        <v>-68697.847058940111</v>
      </c>
      <c r="S956" s="96">
        <f>S955+U955*Tableau!$G$2</f>
        <v>33800.553296132537</v>
      </c>
      <c r="T956" s="96">
        <f t="shared" si="28"/>
        <v>8.439310920510324E-4</v>
      </c>
      <c r="U956" s="96">
        <f t="shared" si="29"/>
        <v>-4.1464367563051857E-4</v>
      </c>
      <c r="V956" s="96">
        <f>((Tableau!$G$16-P956)/(AC956^2+Tableau!$G$21^2)^(3/2))*Tableau!$G$20</f>
        <v>3.6005419662471402E-4</v>
      </c>
      <c r="W956" s="96">
        <f>((Tableau!$H$16-Q956)/(AC956^2+Tableau!$G$21^2)^(3/2))*Tableau!$G$20</f>
        <v>-1.7671054596743113E-4</v>
      </c>
      <c r="X956" s="96">
        <f>((Tableau!$G$25-P956)/(AD956^2+Tableau!$G$30^2)^(3/2))*Tableau!$G$29</f>
        <v>1.237260696789046E-4</v>
      </c>
      <c r="Y956" s="96">
        <f>((Tableau!$H$25-Q956)/(AD956^2+Tableau!$G$30^2)^(3/2))*Tableau!$G$29</f>
        <v>-6.0788791574983005E-5</v>
      </c>
      <c r="Z956" s="96">
        <f>((Tableau!$G$35-P956)/(AE956^2+Tableau!$G$40^2)^(3/2))*Tableau!$G$39</f>
        <v>3.601508257474137E-4</v>
      </c>
      <c r="AA956" s="97">
        <f>((Tableau!$H$35-Q956)/(AE956^2+Tableau!$G$40^2)^(3/2))*Tableau!$G$39</f>
        <v>-1.771443380881044E-4</v>
      </c>
      <c r="AC956" s="110">
        <f>SQRT((Tableau!$G$16-P956)^2+(Tableau!$H$16-Q956)^2)</f>
        <v>36131291.647357374</v>
      </c>
      <c r="AD956" s="111">
        <f>SQRT((Tableau!$G$25-P956)^2+(Tableau!$H$25-Q956)^2)</f>
        <v>36094285.04466673</v>
      </c>
      <c r="AE956" s="112">
        <f>SQRT((Tableau!$G$35-P956)^2+(Tableau!$H$35-Q956)^2)</f>
        <v>36118775.563566558</v>
      </c>
    </row>
    <row r="957" spans="2:31" x14ac:dyDescent="0.25">
      <c r="B957" s="18">
        <v>954</v>
      </c>
      <c r="C957" s="19">
        <f>Tableau!$G$17*COS(B957*PI()/180)+Tableau!$G$16</f>
        <v>17061.073738537638</v>
      </c>
      <c r="D957" s="19">
        <f>Tableau!$G$17*SIN(B957*PI()/180)+Tableau!$H$16</f>
        <v>3454.9150281252596</v>
      </c>
      <c r="F957" s="26">
        <v>954</v>
      </c>
      <c r="G957" s="27">
        <f>Tableau!$G$26*COS(F957*PI()/180)+Tableau!$G$25</f>
        <v>-22057.248383023652</v>
      </c>
      <c r="H957" s="27">
        <f>Tableau!$G$26*SIN(F957*PI()/180)+Tableau!$H$25</f>
        <v>7168.4405196876814</v>
      </c>
      <c r="J957" s="34">
        <v>954</v>
      </c>
      <c r="K957" s="35">
        <f>Tableau!$G$36*COS(J957*PI()/180)+Tableau!$G$35</f>
        <v>-7938.9262614623613</v>
      </c>
      <c r="L957" s="35">
        <f>Tableau!$G$36*SIN(J957*PI()/180)+Tableau!$H$35</f>
        <v>-19045.084971874741</v>
      </c>
      <c r="N957" s="98">
        <v>953</v>
      </c>
      <c r="O957" s="99">
        <v>476.5</v>
      </c>
      <c r="P957" s="101">
        <f>P956+R956*Tableau!$G$2+((1/2)*T956)*Tableau!$G$2^2</f>
        <v>-32449783.185510345</v>
      </c>
      <c r="Q957" s="101">
        <f>Q956+S956*Tableau!$G$2+((1/2)*U956)*Tableau!$G$2^2</f>
        <v>15943346.232163478</v>
      </c>
      <c r="R957" s="101">
        <f>R956+T956*Tableau!$G$2</f>
        <v>-68697.846636974558</v>
      </c>
      <c r="S957" s="101">
        <f>S956+U956*Tableau!$G$2</f>
        <v>33800.553088810702</v>
      </c>
      <c r="T957" s="101">
        <f t="shared" si="28"/>
        <v>8.4214484923810407E-4</v>
      </c>
      <c r="U957" s="101">
        <f t="shared" si="29"/>
        <v>-4.1376666949245636E-4</v>
      </c>
      <c r="V957" s="101">
        <f>((Tableau!$G$16-P957)/(AC957^2+Tableau!$G$21^2)^(3/2))*Tableau!$G$20</f>
        <v>3.592922617379547E-4</v>
      </c>
      <c r="W957" s="101">
        <f>((Tableau!$H$16-Q957)/(AC957^2+Tableau!$G$21^2)^(3/2))*Tableau!$G$20</f>
        <v>-1.7633706399423519E-4</v>
      </c>
      <c r="X957" s="101">
        <f>((Tableau!$G$25-P957)/(AD957^2+Tableau!$G$30^2)^(3/2))*Tableau!$G$29</f>
        <v>1.2346400383864627E-4</v>
      </c>
      <c r="Y957" s="101">
        <f>((Tableau!$H$25-Q957)/(AD957^2+Tableau!$G$30^2)^(3/2))*Tableau!$G$29</f>
        <v>-6.0660125573989539E-5</v>
      </c>
      <c r="Z957" s="101">
        <f>((Tableau!$G$35-P957)/(AE957^2+Tableau!$G$40^2)^(3/2))*Tableau!$G$39</f>
        <v>3.5938858366150317E-4</v>
      </c>
      <c r="AA957" s="102">
        <f>((Tableau!$H$35-Q957)/(AE957^2+Tableau!$G$40^2)^(3/2))*Tableau!$G$39</f>
        <v>-1.7676947992423158E-4</v>
      </c>
      <c r="AC957" s="113">
        <f>SQRT((Tableau!$G$16-P957)^2+(Tableau!$H$16-Q957)^2)</f>
        <v>36169573.058707915</v>
      </c>
      <c r="AD957" s="114">
        <f>SQRT((Tableau!$G$25-P957)^2+(Tableau!$H$25-Q957)^2)</f>
        <v>36132566.468674868</v>
      </c>
      <c r="AE957" s="115">
        <f>SQRT((Tableau!$G$35-P957)^2+(Tableau!$H$35-Q957)^2)</f>
        <v>36157056.99335029</v>
      </c>
    </row>
    <row r="958" spans="2:31" x14ac:dyDescent="0.25">
      <c r="B958" s="20">
        <v>955</v>
      </c>
      <c r="C958" s="21">
        <f>Tableau!$G$17*COS(B958*PI()/180)+Tableau!$G$16</f>
        <v>17132.117818244769</v>
      </c>
      <c r="D958" s="21">
        <f>Tableau!$G$17*SIN(B958*PI()/180)+Tableau!$H$16</f>
        <v>3404.2397785550411</v>
      </c>
      <c r="F958" s="28">
        <v>955</v>
      </c>
      <c r="G958" s="29">
        <f>Tableau!$G$26*COS(F958*PI()/180)+Tableau!$G$25</f>
        <v>-22007.517527228661</v>
      </c>
      <c r="H958" s="29">
        <f>Tableau!$G$26*SIN(F958*PI()/180)+Tableau!$H$25</f>
        <v>7132.9678449885287</v>
      </c>
      <c r="J958" s="36">
        <v>955</v>
      </c>
      <c r="K958" s="37">
        <f>Tableau!$G$36*COS(J958*PI()/180)+Tableau!$G$35</f>
        <v>-7867.8821817552307</v>
      </c>
      <c r="L958" s="37">
        <f>Tableau!$G$36*SIN(J958*PI()/180)+Tableau!$H$35</f>
        <v>-19095.760221444958</v>
      </c>
      <c r="N958" s="92">
        <v>954</v>
      </c>
      <c r="O958" s="93">
        <v>477</v>
      </c>
      <c r="P958" s="96">
        <f>P957+R957*Tableau!$G$2+((1/2)*T957)*Tableau!$G$2^2</f>
        <v>-32484132.108723562</v>
      </c>
      <c r="Q958" s="96">
        <f>Q957+S957*Tableau!$G$2+((1/2)*U957)*Tableau!$G$2^2</f>
        <v>15960246.508656163</v>
      </c>
      <c r="R958" s="96">
        <f>R957+T957*Tableau!$G$2</f>
        <v>-68697.846215902129</v>
      </c>
      <c r="S958" s="96">
        <f>S957+U957*Tableau!$G$2</f>
        <v>33800.552881927368</v>
      </c>
      <c r="T958" s="96">
        <f t="shared" si="28"/>
        <v>8.4036427151261959E-4</v>
      </c>
      <c r="U958" s="96">
        <f t="shared" si="29"/>
        <v>-4.1289244283148442E-4</v>
      </c>
      <c r="V958" s="96">
        <f>((Tableau!$G$16-P958)/(AC958^2+Tableau!$G$21^2)^(3/2))*Tableau!$G$20</f>
        <v>3.5853274287040078E-4</v>
      </c>
      <c r="W958" s="96">
        <f>((Tableau!$H$16-Q958)/(AC958^2+Tableau!$G$21^2)^(3/2))*Tableau!$G$20</f>
        <v>-1.7596476481615282E-4</v>
      </c>
      <c r="X958" s="96">
        <f>((Tableau!$G$25-P958)/(AD958^2+Tableau!$G$30^2)^(3/2))*Tableau!$G$29</f>
        <v>1.2320276974663017E-4</v>
      </c>
      <c r="Y958" s="96">
        <f>((Tableau!$H$25-Q958)/(AD958^2+Tableau!$G$30^2)^(3/2))*Tableau!$G$29</f>
        <v>-6.0531867644781536E-5</v>
      </c>
      <c r="Z958" s="96">
        <f>((Tableau!$G$35-P958)/(AE958^2+Tableau!$G$40^2)^(3/2))*Tableau!$G$39</f>
        <v>3.5862875889558862E-4</v>
      </c>
      <c r="AA958" s="97">
        <f>((Tableau!$H$35-Q958)/(AE958^2+Tableau!$G$40^2)^(3/2))*Tableau!$G$39</f>
        <v>-1.7639581037055005E-4</v>
      </c>
      <c r="AC958" s="110">
        <f>SQRT((Tableau!$G$16-P958)^2+(Tableau!$H$16-Q958)^2)</f>
        <v>36207854.469863243</v>
      </c>
      <c r="AD958" s="111">
        <f>SQRT((Tableau!$G$25-P958)^2+(Tableau!$H$25-Q958)^2)</f>
        <v>36170847.892461054</v>
      </c>
      <c r="AE958" s="112">
        <f>SQRT((Tableau!$G$35-P958)^2+(Tableau!$H$35-Q958)^2)</f>
        <v>36195338.422899827</v>
      </c>
    </row>
    <row r="959" spans="2:31" x14ac:dyDescent="0.25">
      <c r="B959" s="18">
        <v>956</v>
      </c>
      <c r="C959" s="19">
        <f>Tableau!$G$17*COS(B959*PI()/180)+Tableau!$G$16</f>
        <v>17204.035482646261</v>
      </c>
      <c r="D959" s="19">
        <f>Tableau!$G$17*SIN(B959*PI()/180)+Tableau!$H$16</f>
        <v>3354.8121372247942</v>
      </c>
      <c r="F959" s="26">
        <v>956</v>
      </c>
      <c r="G959" s="27">
        <f>Tableau!$G$26*COS(F959*PI()/180)+Tableau!$G$25</f>
        <v>-21957.175162147618</v>
      </c>
      <c r="H959" s="27">
        <f>Tableau!$G$26*SIN(F959*PI()/180)+Tableau!$H$25</f>
        <v>7098.3684960573564</v>
      </c>
      <c r="J959" s="34">
        <v>956</v>
      </c>
      <c r="K959" s="35">
        <f>Tableau!$G$36*COS(J959*PI()/180)+Tableau!$G$35</f>
        <v>-7795.9645173537383</v>
      </c>
      <c r="L959" s="35">
        <f>Tableau!$G$36*SIN(J959*PI()/180)+Tableau!$H$35</f>
        <v>-19145.187862775205</v>
      </c>
      <c r="N959" s="98">
        <v>955</v>
      </c>
      <c r="O959" s="99">
        <v>477.5</v>
      </c>
      <c r="P959" s="101">
        <f>P958+R958*Tableau!$G$2+((1/2)*T958)*Tableau!$G$2^2</f>
        <v>-32518481.031726468</v>
      </c>
      <c r="Q959" s="101">
        <f>Q958+S958*Tableau!$G$2+((1/2)*U958)*Tableau!$G$2^2</f>
        <v>15977146.785045514</v>
      </c>
      <c r="R959" s="101">
        <f>R958+T958*Tableau!$G$2</f>
        <v>-68697.845795719986</v>
      </c>
      <c r="S959" s="101">
        <f>S958+U958*Tableau!$G$2</f>
        <v>33800.552675481144</v>
      </c>
      <c r="T959" s="101">
        <f t="shared" si="28"/>
        <v>8.3858933494400162E-4</v>
      </c>
      <c r="U959" s="101">
        <f t="shared" si="29"/>
        <v>-4.1202098391473292E-4</v>
      </c>
      <c r="V959" s="101">
        <f>((Tableau!$G$16-P959)/(AC959^2+Tableau!$G$21^2)^(3/2))*Tableau!$G$20</f>
        <v>3.5777562981821571E-4</v>
      </c>
      <c r="W959" s="101">
        <f>((Tableau!$H$16-Q959)/(AC959^2+Tableau!$G$21^2)^(3/2))*Tableau!$G$20</f>
        <v>-1.7559364344399287E-4</v>
      </c>
      <c r="X959" s="101">
        <f>((Tableau!$G$25-P959)/(AD959^2+Tableau!$G$30^2)^(3/2))*Tableau!$G$29</f>
        <v>1.2294236388681694E-4</v>
      </c>
      <c r="Y959" s="101">
        <f>((Tableau!$H$25-Q959)/(AD959^2+Tableau!$G$30^2)^(3/2))*Tableau!$G$29</f>
        <v>-6.0404016063547051E-5</v>
      </c>
      <c r="Z959" s="101">
        <f>((Tableau!$G$35-P959)/(AE959^2+Tableau!$G$40^2)^(3/2))*Tableau!$G$39</f>
        <v>3.57871341238969E-4</v>
      </c>
      <c r="AA959" s="102">
        <f>((Tableau!$H$35-Q959)/(AE959^2+Tableau!$G$40^2)^(3/2))*Tableau!$G$39</f>
        <v>-1.7602332440719298E-4</v>
      </c>
      <c r="AC959" s="113">
        <f>SQRT((Tableau!$G$16-P959)^2+(Tableau!$H$16-Q959)^2)</f>
        <v>36246135.880823731</v>
      </c>
      <c r="AD959" s="114">
        <f>SQRT((Tableau!$G$25-P959)^2+(Tableau!$H$25-Q959)^2)</f>
        <v>36209129.316025734</v>
      </c>
      <c r="AE959" s="115">
        <f>SQRT((Tableau!$G$35-P959)^2+(Tableau!$H$35-Q959)^2)</f>
        <v>36233619.852215685</v>
      </c>
    </row>
    <row r="960" spans="2:31" x14ac:dyDescent="0.25">
      <c r="B960" s="20">
        <v>957</v>
      </c>
      <c r="C960" s="21">
        <f>Tableau!$G$17*COS(B960*PI()/180)+Tableau!$G$16</f>
        <v>17276.804824924871</v>
      </c>
      <c r="D960" s="21">
        <f>Tableau!$G$17*SIN(B960*PI()/180)+Tableau!$H$16</f>
        <v>3306.6471602728761</v>
      </c>
      <c r="F960" s="28">
        <v>957</v>
      </c>
      <c r="G960" s="29">
        <f>Tableau!$G$26*COS(F960*PI()/180)+Tableau!$G$25</f>
        <v>-21906.236622552591</v>
      </c>
      <c r="H960" s="29">
        <f>Tableau!$G$26*SIN(F960*PI()/180)+Tableau!$H$25</f>
        <v>7064.6530121910127</v>
      </c>
      <c r="J960" s="36">
        <v>957</v>
      </c>
      <c r="K960" s="37">
        <f>Tableau!$G$36*COS(J960*PI()/180)+Tableau!$G$35</f>
        <v>-7723.1951750751286</v>
      </c>
      <c r="L960" s="37">
        <f>Tableau!$G$36*SIN(J960*PI()/180)+Tableau!$H$35</f>
        <v>-19193.352839727122</v>
      </c>
      <c r="N960" s="92">
        <v>956</v>
      </c>
      <c r="O960" s="93">
        <v>478</v>
      </c>
      <c r="P960" s="96">
        <f>P959+R959*Tableau!$G$2+((1/2)*T959)*Tableau!$G$2^2</f>
        <v>-32552829.954519507</v>
      </c>
      <c r="Q960" s="96">
        <f>Q959+S959*Tableau!$G$2+((1/2)*U959)*Tableau!$G$2^2</f>
        <v>15994047.061331753</v>
      </c>
      <c r="R960" s="96">
        <f>R959+T959*Tableau!$G$2</f>
        <v>-68697.845376425321</v>
      </c>
      <c r="S960" s="96">
        <f>S959+U959*Tableau!$G$2</f>
        <v>33800.552469470655</v>
      </c>
      <c r="T960" s="96">
        <f t="shared" si="28"/>
        <v>8.3682001572790276E-4</v>
      </c>
      <c r="U960" s="96">
        <f t="shared" si="29"/>
        <v>-4.1115228107117726E-4</v>
      </c>
      <c r="V960" s="96">
        <f>((Tableau!$G$16-P960)/(AC960^2+Tableau!$G$21^2)^(3/2))*Tableau!$G$20</f>
        <v>3.5702091243138413E-4</v>
      </c>
      <c r="W960" s="96">
        <f>((Tableau!$H$16-Q960)/(AC960^2+Tableau!$G$21^2)^(3/2))*Tableau!$G$20</f>
        <v>-1.7522369491484728E-4</v>
      </c>
      <c r="X960" s="96">
        <f>((Tableau!$G$25-P960)/(AD960^2+Tableau!$G$30^2)^(3/2))*Tableau!$G$29</f>
        <v>1.2268278276173254E-4</v>
      </c>
      <c r="Y960" s="96">
        <f>((Tableau!$H$25-Q960)/(AD960^2+Tableau!$G$30^2)^(3/2))*Tableau!$G$29</f>
        <v>-6.0276569115569738E-5</v>
      </c>
      <c r="Z960" s="96">
        <f>((Tableau!$G$35-P960)/(AE960^2+Tableau!$G$40^2)^(3/2))*Tableau!$G$39</f>
        <v>3.5711632053478615E-4</v>
      </c>
      <c r="AA960" s="97">
        <f>((Tableau!$H$35-Q960)/(AE960^2+Tableau!$G$40^2)^(3/2))*Tableau!$G$39</f>
        <v>-1.7565201704076023E-4</v>
      </c>
      <c r="AC960" s="110">
        <f>SQRT((Tableau!$G$16-P960)^2+(Tableau!$H$16-Q960)^2)</f>
        <v>36284417.291589767</v>
      </c>
      <c r="AD960" s="111">
        <f>SQRT((Tableau!$G$25-P960)^2+(Tableau!$H$25-Q960)^2)</f>
        <v>36247410.73936937</v>
      </c>
      <c r="AE960" s="112">
        <f>SQRT((Tableau!$G$35-P960)^2+(Tableau!$H$35-Q960)^2)</f>
        <v>36271901.281298339</v>
      </c>
    </row>
    <row r="961" spans="2:31" x14ac:dyDescent="0.25">
      <c r="B961" s="18">
        <v>958</v>
      </c>
      <c r="C961" s="19">
        <f>Tableau!$G$17*COS(B961*PI()/180)+Tableau!$G$16</f>
        <v>17350.403678833976</v>
      </c>
      <c r="D961" s="19">
        <f>Tableau!$G$17*SIN(B961*PI()/180)+Tableau!$H$16</f>
        <v>3259.7595192178687</v>
      </c>
      <c r="F961" s="26">
        <v>958</v>
      </c>
      <c r="G961" s="27">
        <f>Tableau!$G$26*COS(F961*PI()/180)+Tableau!$G$25</f>
        <v>-21854.717424816215</v>
      </c>
      <c r="H961" s="27">
        <f>Tableau!$G$26*SIN(F961*PI()/180)+Tableau!$H$25</f>
        <v>7031.831663452509</v>
      </c>
      <c r="J961" s="34">
        <v>958</v>
      </c>
      <c r="K961" s="35">
        <f>Tableau!$G$36*COS(J961*PI()/180)+Tableau!$G$35</f>
        <v>-7649.5963211660237</v>
      </c>
      <c r="L961" s="35">
        <f>Tableau!$G$36*SIN(J961*PI()/180)+Tableau!$H$35</f>
        <v>-19240.240480782129</v>
      </c>
      <c r="N961" s="98">
        <v>957</v>
      </c>
      <c r="O961" s="99">
        <v>478.5</v>
      </c>
      <c r="P961" s="101">
        <f>P960+R960*Tableau!$G$2+((1/2)*T960)*Tableau!$G$2^2</f>
        <v>-32587178.877103116</v>
      </c>
      <c r="Q961" s="101">
        <f>Q960+S960*Tableau!$G$2+((1/2)*U960)*Tableau!$G$2^2</f>
        <v>16010947.337515093</v>
      </c>
      <c r="R961" s="101">
        <f>R960+T960*Tableau!$G$2</f>
        <v>-68697.84495801531</v>
      </c>
      <c r="S961" s="101">
        <f>S960+U960*Tableau!$G$2</f>
        <v>33800.552263894511</v>
      </c>
      <c r="T961" s="101">
        <f t="shared" si="28"/>
        <v>8.3505629018541176E-4</v>
      </c>
      <c r="U961" s="101">
        <f t="shared" si="29"/>
        <v>-4.1028632269124964E-4</v>
      </c>
      <c r="V961" s="101">
        <f>((Tableau!$G$16-P961)/(AC961^2+Tableau!$G$21^2)^(3/2))*Tableau!$G$20</f>
        <v>3.5626858061336427E-4</v>
      </c>
      <c r="W961" s="101">
        <f>((Tableau!$H$16-Q961)/(AC961^2+Tableau!$G$21^2)^(3/2))*Tableau!$G$20</f>
        <v>-1.7485491429192169E-4</v>
      </c>
      <c r="X961" s="101">
        <f>((Tableau!$G$25-P961)/(AD961^2+Tableau!$G$30^2)^(3/2))*Tableau!$G$29</f>
        <v>1.2242402289233887E-4</v>
      </c>
      <c r="Y961" s="101">
        <f>((Tableau!$H$25-Q961)/(AD961^2+Tableau!$G$30^2)^(3/2))*Tableau!$G$29</f>
        <v>-6.0149525095165452E-5</v>
      </c>
      <c r="Z961" s="101">
        <f>((Tableau!$G$35-P961)/(AE961^2+Tableau!$G$40^2)^(3/2))*Tableau!$G$39</f>
        <v>3.5636368667970859E-4</v>
      </c>
      <c r="AA961" s="102">
        <f>((Tableau!$H$35-Q961)/(AE961^2+Tableau!$G$40^2)^(3/2))*Tableau!$G$39</f>
        <v>-1.7528188330416254E-4</v>
      </c>
      <c r="AC961" s="113">
        <f>SQRT((Tableau!$G$16-P961)^2+(Tableau!$H$16-Q961)^2)</f>
        <v>36322698.702161692</v>
      </c>
      <c r="AD961" s="114">
        <f>SQRT((Tableau!$G$25-P961)^2+(Tableau!$H$25-Q961)^2)</f>
        <v>36285692.162492402</v>
      </c>
      <c r="AE961" s="115">
        <f>SQRT((Tableau!$G$35-P961)^2+(Tableau!$H$35-Q961)^2)</f>
        <v>36310182.710148282</v>
      </c>
    </row>
    <row r="962" spans="2:31" x14ac:dyDescent="0.25">
      <c r="B962" s="20">
        <v>959</v>
      </c>
      <c r="C962" s="21">
        <f>Tableau!$G$17*COS(B962*PI()/180)+Tableau!$G$16</f>
        <v>17424.809625449725</v>
      </c>
      <c r="D962" s="21">
        <f>Tableau!$G$17*SIN(B962*PI()/180)+Tableau!$H$16</f>
        <v>3214.1634964894401</v>
      </c>
      <c r="F962" s="28">
        <v>959</v>
      </c>
      <c r="G962" s="29">
        <f>Tableau!$G$26*COS(F962*PI()/180)+Tableau!$G$25</f>
        <v>-21802.633262185191</v>
      </c>
      <c r="H962" s="29">
        <f>Tableau!$G$26*SIN(F962*PI()/180)+Tableau!$H$25</f>
        <v>6999.9144475426083</v>
      </c>
      <c r="J962" s="36">
        <v>959</v>
      </c>
      <c r="K962" s="37">
        <f>Tableau!$G$36*COS(J962*PI()/180)+Tableau!$G$35</f>
        <v>-7575.1903745502741</v>
      </c>
      <c r="L962" s="37">
        <f>Tableau!$G$36*SIN(J962*PI()/180)+Tableau!$H$35</f>
        <v>-19285.83650351056</v>
      </c>
      <c r="N962" s="92">
        <v>958</v>
      </c>
      <c r="O962" s="93">
        <v>479</v>
      </c>
      <c r="P962" s="96">
        <f>P961+R961*Tableau!$G$2+((1/2)*T961)*Tableau!$G$2^2</f>
        <v>-32621527.799477741</v>
      </c>
      <c r="Q962" s="96">
        <f>Q961+S961*Tableau!$G$2+((1/2)*U961)*Tableau!$G$2^2</f>
        <v>16027847.613595754</v>
      </c>
      <c r="R962" s="96">
        <f>R961+T961*Tableau!$G$2</f>
        <v>-68697.84454048716</v>
      </c>
      <c r="S962" s="96">
        <f>S961+U961*Tableau!$G$2</f>
        <v>33800.552058751353</v>
      </c>
      <c r="T962" s="96">
        <f t="shared" si="28"/>
        <v>8.3329813476223555E-4</v>
      </c>
      <c r="U962" s="96">
        <f t="shared" si="29"/>
        <v>-4.0942309722643926E-4</v>
      </c>
      <c r="V962" s="96">
        <f>((Tableau!$G$16-P962)/(AC962^2+Tableau!$G$21^2)^(3/2))*Tableau!$G$20</f>
        <v>3.5551862432073891E-4</v>
      </c>
      <c r="W962" s="96">
        <f>((Tableau!$H$16-Q962)/(AC962^2+Tableau!$G$21^2)^(3/2))*Tableau!$G$20</f>
        <v>-1.7448729666436516E-4</v>
      </c>
      <c r="X962" s="96">
        <f>((Tableau!$G$25-P962)/(AD962^2+Tableau!$G$30^2)^(3/2))*Tableau!$G$29</f>
        <v>1.2216608081792797E-4</v>
      </c>
      <c r="Y962" s="96">
        <f>((Tableau!$H$25-Q962)/(AD962^2+Tableau!$G$30^2)^(3/2))*Tableau!$G$29</f>
        <v>-6.0022882305630516E-5</v>
      </c>
      <c r="Z962" s="96">
        <f>((Tableau!$G$35-P962)/(AE962^2+Tableau!$G$40^2)^(3/2))*Tableau!$G$39</f>
        <v>3.5561342962356861E-4</v>
      </c>
      <c r="AA962" s="97">
        <f>((Tableau!$H$35-Q962)/(AE962^2+Tableau!$G$40^2)^(3/2))*Tableau!$G$39</f>
        <v>-1.7491291825644356E-4</v>
      </c>
      <c r="AC962" s="110">
        <f>SQRT((Tableau!$G$16-P962)^2+(Tableau!$H$16-Q962)^2)</f>
        <v>36360980.112539887</v>
      </c>
      <c r="AD962" s="111">
        <f>SQRT((Tableau!$G$25-P962)^2+(Tableau!$H$25-Q962)^2)</f>
        <v>36323973.585395299</v>
      </c>
      <c r="AE962" s="112">
        <f>SQRT((Tableau!$G$35-P962)^2+(Tableau!$H$35-Q962)^2)</f>
        <v>36348464.138766021</v>
      </c>
    </row>
    <row r="963" spans="2:31" x14ac:dyDescent="0.25">
      <c r="B963" s="18">
        <v>960</v>
      </c>
      <c r="C963" s="19">
        <f>Tableau!$G$17*COS(B963*PI()/180)+Tableau!$G$16</f>
        <v>17499.999999999993</v>
      </c>
      <c r="D963" s="19">
        <f>Tableau!$G$17*SIN(B963*PI()/180)+Tableau!$H$16</f>
        <v>3169.8729810778113</v>
      </c>
      <c r="F963" s="26">
        <v>960</v>
      </c>
      <c r="G963" s="27">
        <f>Tableau!$G$26*COS(F963*PI()/180)+Tableau!$G$25</f>
        <v>-21750.000000000007</v>
      </c>
      <c r="H963" s="27">
        <f>Tableau!$G$26*SIN(F963*PI()/180)+Tableau!$H$25</f>
        <v>6968.9110867544678</v>
      </c>
      <c r="J963" s="34">
        <v>960</v>
      </c>
      <c r="K963" s="35">
        <f>Tableau!$G$36*COS(J963*PI()/180)+Tableau!$G$35</f>
        <v>-7500.0000000000073</v>
      </c>
      <c r="L963" s="35">
        <f>Tableau!$G$36*SIN(J963*PI()/180)+Tableau!$H$35</f>
        <v>-19330.12701892219</v>
      </c>
      <c r="N963" s="98">
        <v>959</v>
      </c>
      <c r="O963" s="99">
        <v>479.5</v>
      </c>
      <c r="P963" s="101">
        <f>P962+R962*Tableau!$G$2+((1/2)*T962)*Tableau!$G$2^2</f>
        <v>-32655876.72164382</v>
      </c>
      <c r="Q963" s="101">
        <f>Q962+S962*Tableau!$G$2+((1/2)*U962)*Tableau!$G$2^2</f>
        <v>16044747.889573952</v>
      </c>
      <c r="R963" s="101">
        <f>R962+T962*Tableau!$G$2</f>
        <v>-68697.844123838091</v>
      </c>
      <c r="S963" s="101">
        <f>S962+U962*Tableau!$G$2</f>
        <v>33800.551854039804</v>
      </c>
      <c r="T963" s="101">
        <f t="shared" si="28"/>
        <v>8.3154552602795161E-4</v>
      </c>
      <c r="U963" s="101">
        <f t="shared" si="29"/>
        <v>-4.0856259318892496E-4</v>
      </c>
      <c r="V963" s="101">
        <f>((Tableau!$G$16-P963)/(AC963^2+Tableau!$G$21^2)^(3/2))*Tableau!$G$20</f>
        <v>3.5477103356289826E-4</v>
      </c>
      <c r="W963" s="101">
        <f>((Tableau!$H$16-Q963)/(AC963^2+Tableau!$G$21^2)^(3/2))*Tableau!$G$20</f>
        <v>-1.7412083714711532E-4</v>
      </c>
      <c r="X963" s="101">
        <f>((Tableau!$G$25-P963)/(AD963^2+Tableau!$G$30^2)^(3/2))*Tableau!$G$29</f>
        <v>1.2190895309600063E-4</v>
      </c>
      <c r="Y963" s="101">
        <f>((Tableau!$H$25-Q963)/(AD963^2+Tableau!$G$30^2)^(3/2))*Tableau!$G$29</f>
        <v>-5.9896639059182197E-5</v>
      </c>
      <c r="Z963" s="101">
        <f>((Tableau!$G$35-P963)/(AE963^2+Tableau!$G$40^2)^(3/2))*Tableau!$G$39</f>
        <v>3.5486553936905278E-4</v>
      </c>
      <c r="AA963" s="102">
        <f>((Tableau!$H$35-Q963)/(AE963^2+Tableau!$G$40^2)^(3/2))*Tableau!$G$39</f>
        <v>-1.7454511698262746E-4</v>
      </c>
      <c r="AC963" s="113">
        <f>SQRT((Tableau!$G$16-P963)^2+(Tableau!$H$16-Q963)^2)</f>
        <v>36399261.522724725</v>
      </c>
      <c r="AD963" s="114">
        <f>SQRT((Tableau!$G$25-P963)^2+(Tableau!$H$25-Q963)^2)</f>
        <v>36362255.008078493</v>
      </c>
      <c r="AE963" s="115">
        <f>SQRT((Tableau!$G$35-P963)^2+(Tableau!$H$35-Q963)^2)</f>
        <v>36386745.567152023</v>
      </c>
    </row>
    <row r="964" spans="2:31" x14ac:dyDescent="0.25">
      <c r="B964" s="20">
        <v>961</v>
      </c>
      <c r="C964" s="21">
        <f>Tableau!$G$17*COS(B964*PI()/180)+Tableau!$G$16</f>
        <v>17575.951898768319</v>
      </c>
      <c r="D964" s="21">
        <f>Tableau!$G$17*SIN(B964*PI()/180)+Tableau!$H$16</f>
        <v>3126.9014643030196</v>
      </c>
      <c r="F964" s="28">
        <v>961</v>
      </c>
      <c r="G964" s="29">
        <f>Tableau!$G$26*COS(F964*PI()/180)+Tableau!$G$25</f>
        <v>-21696.833670862179</v>
      </c>
      <c r="H964" s="29">
        <f>Tableau!$G$26*SIN(F964*PI()/180)+Tableau!$H$25</f>
        <v>6938.831025012114</v>
      </c>
      <c r="J964" s="36">
        <v>961</v>
      </c>
      <c r="K964" s="37">
        <f>Tableau!$G$36*COS(J964*PI()/180)+Tableau!$G$35</f>
        <v>-7424.0481012316832</v>
      </c>
      <c r="L964" s="37">
        <f>Tableau!$G$36*SIN(J964*PI()/180)+Tableau!$H$35</f>
        <v>-19373.09853569698</v>
      </c>
      <c r="N964" s="92">
        <v>960</v>
      </c>
      <c r="O964" s="93">
        <v>480</v>
      </c>
      <c r="P964" s="96">
        <f>P963+R963*Tableau!$G$2+((1/2)*T963)*Tableau!$G$2^2</f>
        <v>-32690225.643601798</v>
      </c>
      <c r="Q964" s="96">
        <f>Q963+S963*Tableau!$G$2+((1/2)*U963)*Tableau!$G$2^2</f>
        <v>16061648.165449902</v>
      </c>
      <c r="R964" s="96">
        <f>R963+T963*Tableau!$G$2</f>
        <v>-68697.843708065324</v>
      </c>
      <c r="S964" s="96">
        <f>S963+U963*Tableau!$G$2</f>
        <v>33800.551649758505</v>
      </c>
      <c r="T964" s="96">
        <f t="shared" ref="T964:T1004" si="30">V964+X964+Z964</f>
        <v>8.2979844067519412E-4</v>
      </c>
      <c r="U964" s="96">
        <f t="shared" ref="U964:U1004" si="31">W964+Y964+AA964</f>
        <v>-4.0770479915117769E-4</v>
      </c>
      <c r="V964" s="96">
        <f>((Tableau!$G$16-P964)/(AC964^2+Tableau!$G$21^2)^(3/2))*Tableau!$G$20</f>
        <v>3.5402579840169518E-4</v>
      </c>
      <c r="W964" s="96">
        <f>((Tableau!$H$16-Q964)/(AC964^2+Tableau!$G$21^2)^(3/2))*Tableau!$G$20</f>
        <v>-1.737555308807304E-4</v>
      </c>
      <c r="X964" s="96">
        <f>((Tableau!$G$25-P964)/(AD964^2+Tableau!$G$30^2)^(3/2))*Tableau!$G$29</f>
        <v>1.2165263630214965E-4</v>
      </c>
      <c r="Y964" s="96">
        <f>((Tableau!$H$25-Q964)/(AD964^2+Tableau!$G$30^2)^(3/2))*Tableau!$G$29</f>
        <v>-5.9770793676901658E-5</v>
      </c>
      <c r="Z964" s="96">
        <f>((Tableau!$G$35-P964)/(AE964^2+Tableau!$G$40^2)^(3/2))*Tableau!$G$39</f>
        <v>3.5412000597134926E-4</v>
      </c>
      <c r="AA964" s="97">
        <f>((Tableau!$H$35-Q964)/(AE964^2+Tableau!$G$40^2)^(3/2))*Tableau!$G$39</f>
        <v>-1.741784745935456E-4</v>
      </c>
      <c r="AC964" s="110">
        <f>SQRT((Tableau!$G$16-P964)^2+(Tableau!$H$16-Q964)^2)</f>
        <v>36437542.932716563</v>
      </c>
      <c r="AD964" s="111">
        <f>SQRT((Tableau!$G$25-P964)^2+(Tableau!$H$25-Q964)^2)</f>
        <v>36400536.430542447</v>
      </c>
      <c r="AE964" s="112">
        <f>SQRT((Tableau!$G$35-P964)^2+(Tableau!$H$35-Q964)^2)</f>
        <v>36425026.99530679</v>
      </c>
    </row>
    <row r="965" spans="2:31" x14ac:dyDescent="0.25">
      <c r="B965" s="18">
        <v>962</v>
      </c>
      <c r="C965" s="19">
        <f>Tableau!$G$17*COS(B965*PI()/180)+Tableau!$G$16</f>
        <v>17652.642186070545</v>
      </c>
      <c r="D965" s="19">
        <f>Tableau!$G$17*SIN(B965*PI()/180)+Tableau!$H$16</f>
        <v>3085.2620357053665</v>
      </c>
      <c r="F965" s="26">
        <v>962</v>
      </c>
      <c r="G965" s="27">
        <f>Tableau!$G$26*COS(F965*PI()/180)+Tableau!$G$25</f>
        <v>-21643.150469750621</v>
      </c>
      <c r="H965" s="27">
        <f>Tableau!$G$26*SIN(F965*PI()/180)+Tableau!$H$25</f>
        <v>6909.6834249937565</v>
      </c>
      <c r="J965" s="34">
        <v>962</v>
      </c>
      <c r="K965" s="35">
        <f>Tableau!$G$36*COS(J965*PI()/180)+Tableau!$G$35</f>
        <v>-7347.3578139294559</v>
      </c>
      <c r="L965" s="35">
        <f>Tableau!$G$36*SIN(J965*PI()/180)+Tableau!$H$35</f>
        <v>-19414.737964294633</v>
      </c>
      <c r="N965" s="98">
        <v>961</v>
      </c>
      <c r="O965" s="99">
        <v>480.5</v>
      </c>
      <c r="P965" s="101">
        <f>P964+R964*Tableau!$G$2+((1/2)*T964)*Tableau!$G$2^2</f>
        <v>-32724574.565352108</v>
      </c>
      <c r="Q965" s="101">
        <f>Q964+S964*Tableau!$G$2+((1/2)*U964)*Tableau!$G$2^2</f>
        <v>16078548.441223817</v>
      </c>
      <c r="R965" s="101">
        <f>R964+T964*Tableau!$G$2</f>
        <v>-68697.843293166108</v>
      </c>
      <c r="S965" s="101">
        <f>S964+U964*Tableau!$G$2</f>
        <v>33800.551445906109</v>
      </c>
      <c r="T965" s="101">
        <f t="shared" si="30"/>
        <v>8.2805685551890071E-4</v>
      </c>
      <c r="U965" s="101">
        <f t="shared" si="31"/>
        <v>-4.0684970374559157E-4</v>
      </c>
      <c r="V965" s="101">
        <f>((Tableau!$G$16-P965)/(AC965^2+Tableau!$G$21^2)^(3/2))*Tableau!$G$20</f>
        <v>3.5328290895111691E-4</v>
      </c>
      <c r="W965" s="101">
        <f>((Tableau!$H$16-Q965)/(AC965^2+Tableau!$G$21^2)^(3/2))*Tableau!$G$20</f>
        <v>-1.7339137303122907E-4</v>
      </c>
      <c r="X965" s="101">
        <f>((Tableau!$G$25-P965)/(AD965^2+Tableau!$G$30^2)^(3/2))*Tableau!$G$29</f>
        <v>1.2139712702995404E-4</v>
      </c>
      <c r="Y965" s="101">
        <f>((Tableau!$H$25-Q965)/(AD965^2+Tableau!$G$30^2)^(3/2))*Tableau!$G$29</f>
        <v>-5.9645344488682117E-5</v>
      </c>
      <c r="Z965" s="101">
        <f>((Tableau!$G$35-P965)/(AE965^2+Tableau!$G$40^2)^(3/2))*Tableau!$G$39</f>
        <v>3.5337681953782972E-4</v>
      </c>
      <c r="AA965" s="102">
        <f>((Tableau!$H$35-Q965)/(AE965^2+Tableau!$G$40^2)^(3/2))*Tableau!$G$39</f>
        <v>-1.7381298622568041E-4</v>
      </c>
      <c r="AC965" s="113">
        <f>SQRT((Tableau!$G$16-P965)^2+(Tableau!$H$16-Q965)^2)</f>
        <v>36475824.342515782</v>
      </c>
      <c r="AD965" s="114">
        <f>SQRT((Tableau!$G$25-P965)^2+(Tableau!$H$25-Q965)^2)</f>
        <v>36438817.852787599</v>
      </c>
      <c r="AE965" s="115">
        <f>SQRT((Tableau!$G$35-P965)^2+(Tableau!$H$35-Q965)^2)</f>
        <v>36463308.423230797</v>
      </c>
    </row>
    <row r="966" spans="2:31" x14ac:dyDescent="0.25">
      <c r="B966" s="20">
        <v>963</v>
      </c>
      <c r="C966" s="21">
        <f>Tableau!$G$17*COS(B966*PI()/180)+Tableau!$G$16</f>
        <v>17730.047501302259</v>
      </c>
      <c r="D966" s="21">
        <f>Tableau!$G$17*SIN(B966*PI()/180)+Tableau!$H$16</f>
        <v>3044.9673790581646</v>
      </c>
      <c r="F966" s="28">
        <v>963</v>
      </c>
      <c r="G966" s="29">
        <f>Tableau!$G$26*COS(F966*PI()/180)+Tableau!$G$25</f>
        <v>-21588.96674908842</v>
      </c>
      <c r="H966" s="29">
        <f>Tableau!$G$26*SIN(F966*PI()/180)+Tableau!$H$25</f>
        <v>6881.4771653407151</v>
      </c>
      <c r="J966" s="36">
        <v>963</v>
      </c>
      <c r="K966" s="37">
        <f>Tableau!$G$36*COS(J966*PI()/180)+Tableau!$G$35</f>
        <v>-7269.9524986977412</v>
      </c>
      <c r="L966" s="37">
        <f>Tableau!$G$36*SIN(J966*PI()/180)+Tableau!$H$35</f>
        <v>-19455.032620941834</v>
      </c>
      <c r="N966" s="92">
        <v>962</v>
      </c>
      <c r="O966" s="93">
        <v>481</v>
      </c>
      <c r="P966" s="96">
        <f>P965+R965*Tableau!$G$2+((1/2)*T965)*Tableau!$G$2^2</f>
        <v>-32758923.486895185</v>
      </c>
      <c r="Q966" s="96">
        <f>Q965+S965*Tableau!$G$2+((1/2)*U965)*Tableau!$G$2^2</f>
        <v>16095448.716895914</v>
      </c>
      <c r="R966" s="96">
        <f>R965+T965*Tableau!$G$2</f>
        <v>-68697.842879137679</v>
      </c>
      <c r="S966" s="96">
        <f>S965+U965*Tableau!$G$2</f>
        <v>33800.551242481255</v>
      </c>
      <c r="T966" s="96">
        <f t="shared" si="30"/>
        <v>8.2632074749551098E-4</v>
      </c>
      <c r="U966" s="96">
        <f t="shared" si="31"/>
        <v>-4.059972956640918E-4</v>
      </c>
      <c r="V966" s="96">
        <f>((Tableau!$G$16-P966)/(AC966^2+Tableau!$G$21^2)^(3/2))*Tableau!$G$20</f>
        <v>3.5254235537695547E-4</v>
      </c>
      <c r="W966" s="96">
        <f>((Tableau!$H$16-Q966)/(AC966^2+Tableau!$G$21^2)^(3/2))*Tableau!$G$20</f>
        <v>-1.7302835878992972E-4</v>
      </c>
      <c r="X966" s="96">
        <f>((Tableau!$G$25-P966)/(AD966^2+Tableau!$G$30^2)^(3/2))*Tableau!$G$29</f>
        <v>1.2114242189085443E-4</v>
      </c>
      <c r="Y966" s="96">
        <f>((Tableau!$H$25-Q966)/(AD966^2+Tableau!$G$30^2)^(3/2))*Tableau!$G$29</f>
        <v>-5.9520289833167855E-5</v>
      </c>
      <c r="Z966" s="96">
        <f>((Tableau!$G$35-P966)/(AE966^2+Tableau!$G$40^2)^(3/2))*Tableau!$G$39</f>
        <v>3.5263597022770115E-4</v>
      </c>
      <c r="AA966" s="97">
        <f>((Tableau!$H$35-Q966)/(AE966^2+Tableau!$G$40^2)^(3/2))*Tableau!$G$39</f>
        <v>-1.7344864704099423E-4</v>
      </c>
      <c r="AC966" s="110">
        <f>SQRT((Tableau!$G$16-P966)^2+(Tableau!$H$16-Q966)^2)</f>
        <v>36514105.752122723</v>
      </c>
      <c r="AD966" s="111">
        <f>SQRT((Tableau!$G$25-P966)^2+(Tableau!$H$25-Q966)^2)</f>
        <v>36477099.274814405</v>
      </c>
      <c r="AE966" s="112">
        <f>SQRT((Tableau!$G$35-P966)^2+(Tableau!$H$35-Q966)^2)</f>
        <v>36501589.850924537</v>
      </c>
    </row>
    <row r="967" spans="2:31" x14ac:dyDescent="0.25">
      <c r="B967" s="18">
        <v>964</v>
      </c>
      <c r="C967" s="19">
        <f>Tableau!$G$17*COS(B967*PI()/180)+Tableau!$G$16</f>
        <v>17808.144266054616</v>
      </c>
      <c r="D967" s="19">
        <f>Tableau!$G$17*SIN(B967*PI()/180)+Tableau!$H$16</f>
        <v>3006.0297685041633</v>
      </c>
      <c r="F967" s="26">
        <v>964</v>
      </c>
      <c r="G967" s="27">
        <f>Tableau!$G$26*COS(F967*PI()/180)+Tableau!$G$25</f>
        <v>-21534.299013761767</v>
      </c>
      <c r="H967" s="27">
        <f>Tableau!$G$26*SIN(F967*PI()/180)+Tableau!$H$25</f>
        <v>6854.2208379529147</v>
      </c>
      <c r="J967" s="34">
        <v>964</v>
      </c>
      <c r="K967" s="35">
        <f>Tableau!$G$36*COS(J967*PI()/180)+Tableau!$G$35</f>
        <v>-7191.8557339453828</v>
      </c>
      <c r="L967" s="35">
        <f>Tableau!$G$36*SIN(J967*PI()/180)+Tableau!$H$35</f>
        <v>-19493.970231495838</v>
      </c>
      <c r="N967" s="98">
        <v>963</v>
      </c>
      <c r="O967" s="99">
        <v>481.5</v>
      </c>
      <c r="P967" s="101">
        <f>P966+R966*Tableau!$G$2+((1/2)*T966)*Tableau!$G$2^2</f>
        <v>-32793272.408231463</v>
      </c>
      <c r="Q967" s="101">
        <f>Q966+S966*Tableau!$G$2+((1/2)*U966)*Tableau!$G$2^2</f>
        <v>16112348.992466405</v>
      </c>
      <c r="R967" s="101">
        <f>R966+T966*Tableau!$G$2</f>
        <v>-68697.842465977301</v>
      </c>
      <c r="S967" s="101">
        <f>S966+U966*Tableau!$G$2</f>
        <v>33800.551039482605</v>
      </c>
      <c r="T967" s="101">
        <f t="shared" si="30"/>
        <v>8.2459009366226462E-4</v>
      </c>
      <c r="U967" s="101">
        <f t="shared" si="31"/>
        <v>-4.0514756365778984E-4</v>
      </c>
      <c r="V967" s="101">
        <f>((Tableau!$G$16-P967)/(AC967^2+Tableau!$G$21^2)^(3/2))*Tableau!$G$20</f>
        <v>3.5180412789649672E-4</v>
      </c>
      <c r="W967" s="101">
        <f>((Tableau!$H$16-Q967)/(AC967^2+Tableau!$G$21^2)^(3/2))*Tableau!$G$20</f>
        <v>-1.7266648337329864E-4</v>
      </c>
      <c r="X967" s="101">
        <f>((Tableau!$G$25-P967)/(AD967^2+Tableau!$G$30^2)^(3/2))*Tableau!$G$29</f>
        <v>1.2088851751405219E-4</v>
      </c>
      <c r="Y967" s="101">
        <f>((Tableau!$H$25-Q967)/(AD967^2+Tableau!$G$30^2)^(3/2))*Tableau!$G$29</f>
        <v>-5.9395628057704805E-5</v>
      </c>
      <c r="Z967" s="101">
        <f>((Tableau!$G$35-P967)/(AE967^2+Tableau!$G$40^2)^(3/2))*Tableau!$G$39</f>
        <v>3.5189744825171563E-4</v>
      </c>
      <c r="AA967" s="102">
        <f>((Tableau!$H$35-Q967)/(AE967^2+Tableau!$G$40^2)^(3/2))*Tableau!$G$39</f>
        <v>-1.7308545222678639E-4</v>
      </c>
      <c r="AC967" s="113">
        <f>SQRT((Tableau!$G$16-P967)^2+(Tableau!$H$16-Q967)^2)</f>
        <v>36552387.161537759</v>
      </c>
      <c r="AD967" s="114">
        <f>SQRT((Tableau!$G$25-P967)^2+(Tableau!$H$25-Q967)^2)</f>
        <v>36515380.696623303</v>
      </c>
      <c r="AE967" s="115">
        <f>SQRT((Tableau!$G$35-P967)^2+(Tableau!$H$35-Q967)^2)</f>
        <v>36539871.278388485</v>
      </c>
    </row>
    <row r="968" spans="2:31" x14ac:dyDescent="0.25">
      <c r="B968" s="20">
        <v>965</v>
      </c>
      <c r="C968" s="21">
        <f>Tableau!$G$17*COS(B968*PI()/180)+Tableau!$G$16</f>
        <v>17886.908691296503</v>
      </c>
      <c r="D968" s="21">
        <f>Tableau!$G$17*SIN(B968*PI()/180)+Tableau!$H$16</f>
        <v>2968.46106481675</v>
      </c>
      <c r="F968" s="28">
        <v>965</v>
      </c>
      <c r="G968" s="29">
        <f>Tableau!$G$26*COS(F968*PI()/180)+Tableau!$G$25</f>
        <v>-21479.16391609245</v>
      </c>
      <c r="H968" s="29">
        <f>Tableau!$G$26*SIN(F968*PI()/180)+Tableau!$H$25</f>
        <v>6827.9227453717249</v>
      </c>
      <c r="J968" s="36">
        <v>965</v>
      </c>
      <c r="K968" s="37">
        <f>Tableau!$G$36*COS(J968*PI()/180)+Tableau!$G$35</f>
        <v>-7113.0913087034978</v>
      </c>
      <c r="L968" s="37">
        <f>Tableau!$G$36*SIN(J968*PI()/180)+Tableau!$H$35</f>
        <v>-19531.538935183249</v>
      </c>
      <c r="N968" s="92">
        <v>964</v>
      </c>
      <c r="O968" s="93">
        <v>482</v>
      </c>
      <c r="P968" s="96">
        <f>P967+R967*Tableau!$G$2+((1/2)*T967)*Tableau!$G$2^2</f>
        <v>-32827621.329361375</v>
      </c>
      <c r="Q968" s="96">
        <f>Q967+S967*Tableau!$G$2+((1/2)*U967)*Tableau!$G$2^2</f>
        <v>16129249.267935503</v>
      </c>
      <c r="R968" s="96">
        <f>R967+T967*Tableau!$G$2</f>
        <v>-68697.842053682252</v>
      </c>
      <c r="S968" s="96">
        <f>S967+U967*Tableau!$G$2</f>
        <v>33800.55083690882</v>
      </c>
      <c r="T968" s="96">
        <f t="shared" si="30"/>
        <v>8.228648711963776E-4</v>
      </c>
      <c r="U968" s="96">
        <f t="shared" si="31"/>
        <v>-4.0430049653658156E-4</v>
      </c>
      <c r="V968" s="96">
        <f>((Tableau!$G$16-P968)/(AC968^2+Tableau!$G$21^2)^(3/2))*Tableau!$G$20</f>
        <v>3.5106821677817441E-4</v>
      </c>
      <c r="W968" s="96">
        <f>((Tableau!$H$16-Q968)/(AC968^2+Tableau!$G$21^2)^(3/2))*Tableau!$G$20</f>
        <v>-1.7230574202278147E-4</v>
      </c>
      <c r="X968" s="96">
        <f>((Tableau!$G$25-P968)/(AD968^2+Tableau!$G$30^2)^(3/2))*Tableau!$G$29</f>
        <v>1.2063541054638983E-4</v>
      </c>
      <c r="Y968" s="96">
        <f>((Tableau!$H$25-Q968)/(AD968^2+Tableau!$G$30^2)^(3/2))*Tableau!$G$29</f>
        <v>-5.9271357518282024E-5</v>
      </c>
      <c r="Z968" s="96">
        <f>((Tableau!$G$35-P968)/(AE968^2+Tableau!$G$40^2)^(3/2))*Tableau!$G$39</f>
        <v>3.5116124387181332E-4</v>
      </c>
      <c r="AA968" s="97">
        <f>((Tableau!$H$35-Q968)/(AE968^2+Tableau!$G$40^2)^(3/2))*Tableau!$G$39</f>
        <v>-1.7272339699551806E-4</v>
      </c>
      <c r="AC968" s="110">
        <f>SQRT((Tableau!$G$16-P968)^2+(Tableau!$H$16-Q968)^2)</f>
        <v>36590668.570761248</v>
      </c>
      <c r="AD968" s="111">
        <f>SQRT((Tableau!$G$25-P968)^2+(Tableau!$H$25-Q968)^2)</f>
        <v>36553662.118214734</v>
      </c>
      <c r="AE968" s="112">
        <f>SQRT((Tableau!$G$35-P968)^2+(Tableau!$H$35-Q968)^2)</f>
        <v>36578152.70562312</v>
      </c>
    </row>
    <row r="969" spans="2:31" x14ac:dyDescent="0.25">
      <c r="B969" s="18">
        <v>966</v>
      </c>
      <c r="C969" s="19">
        <f>Tableau!$G$17*COS(B969*PI()/180)+Tableau!$G$16</f>
        <v>17966.316784620994</v>
      </c>
      <c r="D969" s="19">
        <f>Tableau!$G$17*SIN(B969*PI()/180)+Tableau!$H$16</f>
        <v>2932.2727117869981</v>
      </c>
      <c r="F969" s="26">
        <v>966</v>
      </c>
      <c r="G969" s="27">
        <f>Tableau!$G$26*COS(F969*PI()/180)+Tableau!$G$25</f>
        <v>-21423.578250765306</v>
      </c>
      <c r="H969" s="27">
        <f>Tableau!$G$26*SIN(F969*PI()/180)+Tableau!$H$25</f>
        <v>6802.590898250899</v>
      </c>
      <c r="J969" s="34">
        <v>966</v>
      </c>
      <c r="K969" s="35">
        <f>Tableau!$G$36*COS(J969*PI()/180)+Tableau!$G$35</f>
        <v>-7033.6832153790074</v>
      </c>
      <c r="L969" s="35">
        <f>Tableau!$G$36*SIN(J969*PI()/180)+Tableau!$H$35</f>
        <v>-19567.727288213002</v>
      </c>
      <c r="N969" s="98">
        <v>965</v>
      </c>
      <c r="O969" s="99">
        <v>482.5</v>
      </c>
      <c r="P969" s="101">
        <f>P968+R968*Tableau!$G$2+((1/2)*T968)*Tableau!$G$2^2</f>
        <v>-32861970.250285357</v>
      </c>
      <c r="Q969" s="101">
        <f>Q968+S968*Tableau!$G$2+((1/2)*U968)*Tableau!$G$2^2</f>
        <v>16146149.543303421</v>
      </c>
      <c r="R969" s="101">
        <f>R968+T968*Tableau!$G$2</f>
        <v>-68697.841642249812</v>
      </c>
      <c r="S969" s="101">
        <f>S968+U968*Tableau!$G$2</f>
        <v>33800.550634758569</v>
      </c>
      <c r="T969" s="101">
        <f t="shared" si="30"/>
        <v>8.2114505739432314E-4</v>
      </c>
      <c r="U969" s="101">
        <f t="shared" si="31"/>
        <v>-4.0345608316879396E-4</v>
      </c>
      <c r="V969" s="101">
        <f>((Tableau!$G$16-P969)/(AC969^2+Tableau!$G$21^2)^(3/2))*Tableau!$G$20</f>
        <v>3.5033461234126927E-4</v>
      </c>
      <c r="W969" s="101">
        <f>((Tableau!$H$16-Q969)/(AC969^2+Tableau!$G$21^2)^(3/2))*Tableau!$G$20</f>
        <v>-1.7194613000465626E-4</v>
      </c>
      <c r="X969" s="101">
        <f>((Tableau!$G$25-P969)/(AD969^2+Tableau!$G$30^2)^(3/2))*Tableau!$G$29</f>
        <v>1.2038309765224471E-4</v>
      </c>
      <c r="Y969" s="101">
        <f>((Tableau!$H$25-Q969)/(AD969^2+Tableau!$G$30^2)^(3/2))*Tableau!$G$29</f>
        <v>-5.9147476579479617E-5</v>
      </c>
      <c r="Z969" s="101">
        <f>((Tableau!$G$35-P969)/(AE969^2+Tableau!$G$40^2)^(3/2))*Tableau!$G$39</f>
        <v>3.5042734740080923E-4</v>
      </c>
      <c r="AA969" s="102">
        <f>((Tableau!$H$35-Q969)/(AE969^2+Tableau!$G$40^2)^(3/2))*Tableau!$G$39</f>
        <v>-1.7236247658465809E-4</v>
      </c>
      <c r="AC969" s="113">
        <f>SQRT((Tableau!$G$16-P969)^2+(Tableau!$H$16-Q969)^2)</f>
        <v>36628949.979793563</v>
      </c>
      <c r="AD969" s="114">
        <f>SQRT((Tableau!$G$25-P969)^2+(Tableau!$H$25-Q969)^2)</f>
        <v>36591943.539589144</v>
      </c>
      <c r="AE969" s="115">
        <f>SQRT((Tableau!$G$35-P969)^2+(Tableau!$H$35-Q969)^2)</f>
        <v>36616434.13262894</v>
      </c>
    </row>
    <row r="970" spans="2:31" x14ac:dyDescent="0.25">
      <c r="B970" s="20">
        <v>967</v>
      </c>
      <c r="C970" s="21">
        <f>Tableau!$G$17*COS(B970*PI()/180)+Tableau!$G$16</f>
        <v>18046.344357553622</v>
      </c>
      <c r="D970" s="21">
        <f>Tableau!$G$17*SIN(B970*PI()/180)+Tableau!$H$16</f>
        <v>2897.4757327378029</v>
      </c>
      <c r="F970" s="28">
        <v>967</v>
      </c>
      <c r="G970" s="29">
        <f>Tableau!$G$26*COS(F970*PI()/180)+Tableau!$G$25</f>
        <v>-21367.558949712467</v>
      </c>
      <c r="H970" s="29">
        <f>Tableau!$G$26*SIN(F970*PI()/180)+Tableau!$H$25</f>
        <v>6778.233012916462</v>
      </c>
      <c r="J970" s="36">
        <v>967</v>
      </c>
      <c r="K970" s="37">
        <f>Tableau!$G$36*COS(J970*PI()/180)+Tableau!$G$35</f>
        <v>-6953.6556424463797</v>
      </c>
      <c r="L970" s="37">
        <f>Tableau!$G$36*SIN(J970*PI()/180)+Tableau!$H$35</f>
        <v>-19602.524267262197</v>
      </c>
      <c r="N970" s="92">
        <v>966</v>
      </c>
      <c r="O970" s="93">
        <v>483</v>
      </c>
      <c r="P970" s="96">
        <f>P969+R969*Tableau!$G$2+((1/2)*T969)*Tableau!$G$2^2</f>
        <v>-32896319.171003841</v>
      </c>
      <c r="Q970" s="96">
        <f>Q969+S969*Tableau!$G$2+((1/2)*U969)*Tableau!$G$2^2</f>
        <v>16163049.81857037</v>
      </c>
      <c r="R970" s="96">
        <f>R969+T969*Tableau!$G$2</f>
        <v>-68697.841231677288</v>
      </c>
      <c r="S970" s="96">
        <f>S969+U969*Tableau!$G$2</f>
        <v>33800.550433030527</v>
      </c>
      <c r="T970" s="96">
        <f t="shared" si="30"/>
        <v>8.1943062967107776E-4</v>
      </c>
      <c r="U970" s="96">
        <f t="shared" si="31"/>
        <v>-4.026143124808167E-4</v>
      </c>
      <c r="V970" s="96">
        <f>((Tableau!$G$16-P970)/(AC970^2+Tableau!$G$21^2)^(3/2))*Tableau!$G$20</f>
        <v>3.496033049555771E-4</v>
      </c>
      <c r="W970" s="96">
        <f>((Tableau!$H$16-Q970)/(AC970^2+Tableau!$G$21^2)^(3/2))*Tableau!$G$20</f>
        <v>-1.7158764260987171E-4</v>
      </c>
      <c r="X970" s="96">
        <f>((Tableau!$G$25-P970)/(AD970^2+Tableau!$G$30^2)^(3/2))*Tableau!$G$29</f>
        <v>1.2013157551341452E-4</v>
      </c>
      <c r="Y970" s="96">
        <f>((Tableau!$H$25-Q970)/(AD970^2+Tableau!$G$30^2)^(3/2))*Tableau!$G$29</f>
        <v>-5.9023983614412712E-5</v>
      </c>
      <c r="Z970" s="96">
        <f>((Tableau!$G$35-P970)/(AE970^2+Tableau!$G$40^2)^(3/2))*Tableau!$G$39</f>
        <v>3.4969574920208613E-4</v>
      </c>
      <c r="AA970" s="97">
        <f>((Tableau!$H$35-Q970)/(AE970^2+Tableau!$G$40^2)^(3/2))*Tableau!$G$39</f>
        <v>-1.7200268625653227E-4</v>
      </c>
      <c r="AC970" s="110">
        <f>SQRT((Tableau!$G$16-P970)^2+(Tableau!$H$16-Q970)^2)</f>
        <v>36667231.388635054</v>
      </c>
      <c r="AD970" s="111">
        <f>SQRT((Tableau!$G$25-P970)^2+(Tableau!$H$25-Q970)^2)</f>
        <v>36630224.960746981</v>
      </c>
      <c r="AE970" s="112">
        <f>SQRT((Tableau!$G$35-P970)^2+(Tableau!$H$35-Q970)^2)</f>
        <v>36654715.5594064</v>
      </c>
    </row>
    <row r="971" spans="2:31" x14ac:dyDescent="0.25">
      <c r="B971" s="18">
        <v>968</v>
      </c>
      <c r="C971" s="19">
        <f>Tableau!$G$17*COS(B971*PI()/180)+Tableau!$G$16</f>
        <v>18126.967032920442</v>
      </c>
      <c r="D971" s="19">
        <f>Tableau!$G$17*SIN(B971*PI()/180)+Tableau!$H$16</f>
        <v>2864.0807271660633</v>
      </c>
      <c r="F971" s="26">
        <v>968</v>
      </c>
      <c r="G971" s="27">
        <f>Tableau!$G$26*COS(F971*PI()/180)+Tableau!$G$25</f>
        <v>-21311.123076955693</v>
      </c>
      <c r="H971" s="27">
        <f>Tableau!$G$26*SIN(F971*PI()/180)+Tableau!$H$25</f>
        <v>6754.8565090162447</v>
      </c>
      <c r="J971" s="34">
        <v>968</v>
      </c>
      <c r="K971" s="35">
        <f>Tableau!$G$36*COS(J971*PI()/180)+Tableau!$G$35</f>
        <v>-6873.03296707956</v>
      </c>
      <c r="L971" s="35">
        <f>Tableau!$G$36*SIN(J971*PI()/180)+Tableau!$H$35</f>
        <v>-19635.919272833937</v>
      </c>
      <c r="N971" s="98">
        <v>967</v>
      </c>
      <c r="O971" s="99">
        <v>483.5</v>
      </c>
      <c r="P971" s="101">
        <f>P970+R970*Tableau!$G$2+((1/2)*T970)*Tableau!$G$2^2</f>
        <v>-32930668.091517247</v>
      </c>
      <c r="Q971" s="101">
        <f>Q970+S970*Tableau!$G$2+((1/2)*U970)*Tableau!$G$2^2</f>
        <v>16179950.093736559</v>
      </c>
      <c r="R971" s="101">
        <f>R970+T970*Tableau!$G$2</f>
        <v>-68697.840821961974</v>
      </c>
      <c r="S971" s="101">
        <f>S970+U970*Tableau!$G$2</f>
        <v>33800.55023172337</v>
      </c>
      <c r="T971" s="101">
        <f t="shared" si="30"/>
        <v>8.1772156555938382E-4</v>
      </c>
      <c r="U971" s="101">
        <f t="shared" si="31"/>
        <v>-4.0177517345674094E-4</v>
      </c>
      <c r="V971" s="101">
        <f>((Tableau!$G$16-P971)/(AC971^2+Tableau!$G$21^2)^(3/2))*Tableau!$G$20</f>
        <v>3.4887428504109695E-4</v>
      </c>
      <c r="W971" s="101">
        <f>((Tableau!$H$16-Q971)/(AC971^2+Tableau!$G$21^2)^(3/2))*Tableau!$G$20</f>
        <v>-1.7123027515389492E-4</v>
      </c>
      <c r="X971" s="101">
        <f>((Tableau!$G$25-P971)/(AD971^2+Tableau!$G$30^2)^(3/2))*Tableau!$G$29</f>
        <v>1.1988084082901229E-4</v>
      </c>
      <c r="Y971" s="101">
        <f>((Tableau!$H$25-Q971)/(AD971^2+Tableau!$G$30^2)^(3/2))*Tableau!$G$29</f>
        <v>-5.8900877004680027E-5</v>
      </c>
      <c r="Z971" s="101">
        <f>((Tableau!$G$35-P971)/(AE971^2+Tableau!$G$40^2)^(3/2))*Tableau!$G$39</f>
        <v>3.4896643968927461E-4</v>
      </c>
      <c r="AA971" s="102">
        <f>((Tableau!$H$35-Q971)/(AE971^2+Tableau!$G$40^2)^(3/2))*Tableau!$G$39</f>
        <v>-1.7164402129816599E-4</v>
      </c>
      <c r="AC971" s="113">
        <f>SQRT((Tableau!$G$16-P971)^2+(Tableau!$H$16-Q971)^2)</f>
        <v>36705512.797286086</v>
      </c>
      <c r="AD971" s="114">
        <f>SQRT((Tableau!$G$25-P971)^2+(Tableau!$H$25-Q971)^2)</f>
        <v>36668506.381688669</v>
      </c>
      <c r="AE971" s="115">
        <f>SQRT((Tableau!$G$35-P971)^2+(Tableau!$H$35-Q971)^2)</f>
        <v>36692996.985955983</v>
      </c>
    </row>
    <row r="972" spans="2:31" x14ac:dyDescent="0.25">
      <c r="B972" s="20">
        <v>969</v>
      </c>
      <c r="C972" s="21">
        <f>Tableau!$G$17*COS(B972*PI()/180)+Tableau!$G$16</f>
        <v>18208.160252273494</v>
      </c>
      <c r="D972" s="21">
        <f>Tableau!$G$17*SIN(B972*PI()/180)+Tableau!$H$16</f>
        <v>2832.0978675139932</v>
      </c>
      <c r="F972" s="28">
        <v>969</v>
      </c>
      <c r="G972" s="29">
        <f>Tableau!$G$26*COS(F972*PI()/180)+Tableau!$G$25</f>
        <v>-21254.287823408555</v>
      </c>
      <c r="H972" s="29">
        <f>Tableau!$G$26*SIN(F972*PI()/180)+Tableau!$H$25</f>
        <v>6732.4685072597949</v>
      </c>
      <c r="J972" s="36">
        <v>969</v>
      </c>
      <c r="K972" s="37">
        <f>Tableau!$G$36*COS(J972*PI()/180)+Tableau!$G$35</f>
        <v>-6791.8397477265062</v>
      </c>
      <c r="L972" s="37">
        <f>Tableau!$G$36*SIN(J972*PI()/180)+Tableau!$H$35</f>
        <v>-19667.902132486008</v>
      </c>
      <c r="N972" s="92">
        <v>968</v>
      </c>
      <c r="O972" s="93">
        <v>484</v>
      </c>
      <c r="P972" s="96">
        <f>P971+R971*Tableau!$G$2+((1/2)*T971)*Tableau!$G$2^2</f>
        <v>-32965017.011826012</v>
      </c>
      <c r="Q972" s="96">
        <f>Q971+S971*Tableau!$G$2+((1/2)*U971)*Tableau!$G$2^2</f>
        <v>16196850.368802199</v>
      </c>
      <c r="R972" s="96">
        <f>R971+T971*Tableau!$G$2</f>
        <v>-68697.840413101192</v>
      </c>
      <c r="S972" s="96">
        <f>S971+U971*Tableau!$G$2</f>
        <v>33800.55003083578</v>
      </c>
      <c r="T972" s="96">
        <f t="shared" si="30"/>
        <v>8.1601784270901026E-4</v>
      </c>
      <c r="U972" s="96">
        <f t="shared" si="31"/>
        <v>-4.0093865513799701E-4</v>
      </c>
      <c r="V972" s="96">
        <f>((Tableau!$G$16-P972)/(AC972^2+Tableau!$G$21^2)^(3/2))*Tableau!$G$20</f>
        <v>3.4814754306772419E-4</v>
      </c>
      <c r="W972" s="96">
        <f>((Tableau!$H$16-Q972)/(AC972^2+Tableau!$G$21^2)^(3/2))*Tableau!$G$20</f>
        <v>-1.7087402297656179E-4</v>
      </c>
      <c r="X972" s="96">
        <f>((Tableau!$G$25-P972)/(AD972^2+Tableau!$G$30^2)^(3/2))*Tableau!$G$29</f>
        <v>1.1963089031535961E-4</v>
      </c>
      <c r="Y972" s="96">
        <f>((Tableau!$H$25-Q972)/(AD972^2+Tableau!$G$30^2)^(3/2))*Tableau!$G$29</f>
        <v>-5.8778155140311593E-5</v>
      </c>
      <c r="Z972" s="96">
        <f>((Tableau!$G$35-P972)/(AE972^2+Tableau!$G$40^2)^(3/2))*Tableau!$G$39</f>
        <v>3.4823940932592642E-4</v>
      </c>
      <c r="AA972" s="97">
        <f>((Tableau!$H$35-Q972)/(AE972^2+Tableau!$G$40^2)^(3/2))*Tableau!$G$39</f>
        <v>-1.7128647702112362E-4</v>
      </c>
      <c r="AC972" s="110">
        <f>SQRT((Tableau!$G$16-P972)^2+(Tableau!$H$16-Q972)^2)</f>
        <v>36743794.205747008</v>
      </c>
      <c r="AD972" s="111">
        <f>SQRT((Tableau!$G$25-P972)^2+(Tableau!$H$25-Q972)^2)</f>
        <v>36706787.802414656</v>
      </c>
      <c r="AE972" s="112">
        <f>SQRT((Tableau!$G$35-P972)^2+(Tableau!$H$35-Q972)^2)</f>
        <v>36731278.412278168</v>
      </c>
    </row>
    <row r="973" spans="2:31" x14ac:dyDescent="0.25">
      <c r="B973" s="18">
        <v>970</v>
      </c>
      <c r="C973" s="19">
        <f>Tableau!$G$17*COS(B973*PI()/180)+Tableau!$G$16</f>
        <v>18289.899283371647</v>
      </c>
      <c r="D973" s="19">
        <f>Tableau!$G$17*SIN(B973*PI()/180)+Tableau!$H$16</f>
        <v>2801.5368960704618</v>
      </c>
      <c r="F973" s="26">
        <v>970</v>
      </c>
      <c r="G973" s="27">
        <f>Tableau!$G$26*COS(F973*PI()/180)+Tableau!$G$25</f>
        <v>-21197.070501639846</v>
      </c>
      <c r="H973" s="27">
        <f>Tableau!$G$26*SIN(F973*PI()/180)+Tableau!$H$25</f>
        <v>6711.0758272493231</v>
      </c>
      <c r="J973" s="34">
        <v>970</v>
      </c>
      <c r="K973" s="35">
        <f>Tableau!$G$36*COS(J973*PI()/180)+Tableau!$G$35</f>
        <v>-6710.1007166283534</v>
      </c>
      <c r="L973" s="35">
        <f>Tableau!$G$36*SIN(J973*PI()/180)+Tableau!$H$35</f>
        <v>-19698.463103929538</v>
      </c>
      <c r="N973" s="98">
        <v>969</v>
      </c>
      <c r="O973" s="99">
        <v>484.5</v>
      </c>
      <c r="P973" s="101">
        <f>P972+R972*Tableau!$G$2+((1/2)*T972)*Tableau!$G$2^2</f>
        <v>-32999365.931930561</v>
      </c>
      <c r="Q973" s="101">
        <f>Q972+S972*Tableau!$G$2+((1/2)*U972)*Tableau!$G$2^2</f>
        <v>16213750.643767498</v>
      </c>
      <c r="R973" s="101">
        <f>R972+T972*Tableau!$G$2</f>
        <v>-68697.840005092265</v>
      </c>
      <c r="S973" s="101">
        <f>S972+U972*Tableau!$G$2</f>
        <v>33800.54983036645</v>
      </c>
      <c r="T973" s="101">
        <f t="shared" si="30"/>
        <v>8.1431943888601659E-4</v>
      </c>
      <c r="U973" s="101">
        <f t="shared" si="31"/>
        <v>-4.0010474662299474E-4</v>
      </c>
      <c r="V973" s="101">
        <f>((Tableau!$G$16-P973)/(AC973^2+Tableau!$G$21^2)^(3/2))*Tableau!$G$20</f>
        <v>3.47423069554925E-4</v>
      </c>
      <c r="W973" s="101">
        <f>((Tableau!$H$16-Q973)/(AC973^2+Tableau!$G$21^2)^(3/2))*Tableau!$G$20</f>
        <v>-1.7051888144191832E-4</v>
      </c>
      <c r="X973" s="101">
        <f>((Tableau!$G$25-P973)/(AD973^2+Tableau!$G$30^2)^(3/2))*Tableau!$G$29</f>
        <v>1.193817207058734E-4</v>
      </c>
      <c r="Y973" s="101">
        <f>((Tableau!$H$25-Q973)/(AD973^2+Tableau!$G$30^2)^(3/2))*Tableau!$G$29</f>
        <v>-5.8655816419713362E-5</v>
      </c>
      <c r="Z973" s="101">
        <f>((Tableau!$G$35-P973)/(AE973^2+Tableau!$G$40^2)^(3/2))*Tableau!$G$39</f>
        <v>3.475146486252182E-4</v>
      </c>
      <c r="AA973" s="102">
        <f>((Tableau!$H$35-Q973)/(AE973^2+Tableau!$G$40^2)^(3/2))*Tableau!$G$39</f>
        <v>-1.7093004876136302E-4</v>
      </c>
      <c r="AC973" s="113">
        <f>SQRT((Tableau!$G$16-P973)^2+(Tableau!$H$16-Q973)^2)</f>
        <v>36782075.614018179</v>
      </c>
      <c r="AD973" s="114">
        <f>SQRT((Tableau!$G$25-P973)^2+(Tableau!$H$25-Q973)^2)</f>
        <v>36745069.22292538</v>
      </c>
      <c r="AE973" s="115">
        <f>SQRT((Tableau!$G$35-P973)^2+(Tableau!$H$35-Q973)^2)</f>
        <v>36769559.838373423</v>
      </c>
    </row>
    <row r="974" spans="2:31" x14ac:dyDescent="0.25">
      <c r="B974" s="20">
        <v>971</v>
      </c>
      <c r="C974" s="21">
        <f>Tableau!$G$17*COS(B974*PI()/180)+Tableau!$G$16</f>
        <v>18372.159227714219</v>
      </c>
      <c r="D974" s="21">
        <f>Tableau!$G$17*SIN(B974*PI()/180)+Tableau!$H$16</f>
        <v>2772.4071220034148</v>
      </c>
      <c r="F974" s="28">
        <v>971</v>
      </c>
      <c r="G974" s="29">
        <f>Tableau!$G$26*COS(F974*PI()/180)+Tableau!$G$25</f>
        <v>-21139.488540600047</v>
      </c>
      <c r="H974" s="29">
        <f>Tableau!$G$26*SIN(F974*PI()/180)+Tableau!$H$25</f>
        <v>6690.6849854023912</v>
      </c>
      <c r="J974" s="36">
        <v>971</v>
      </c>
      <c r="K974" s="37">
        <f>Tableau!$G$36*COS(J974*PI()/180)+Tableau!$G$35</f>
        <v>-6627.840772285781</v>
      </c>
      <c r="L974" s="37">
        <f>Tableau!$G$36*SIN(J974*PI()/180)+Tableau!$H$35</f>
        <v>-19727.592877996583</v>
      </c>
      <c r="N974" s="92">
        <v>970</v>
      </c>
      <c r="O974" s="93">
        <v>485</v>
      </c>
      <c r="P974" s="96">
        <f>P973+R973*Tableau!$G$2+((1/2)*T973)*Tableau!$G$2^2</f>
        <v>-33033714.851831317</v>
      </c>
      <c r="Q974" s="96">
        <f>Q973+S973*Tableau!$G$2+((1/2)*U973)*Tableau!$G$2^2</f>
        <v>16230650.918632668</v>
      </c>
      <c r="R974" s="96">
        <f>R973+T973*Tableau!$G$2</f>
        <v>-68697.839597932543</v>
      </c>
      <c r="S974" s="96">
        <f>S973+U973*Tableau!$G$2</f>
        <v>33800.549630314075</v>
      </c>
      <c r="T974" s="96">
        <f t="shared" si="30"/>
        <v>8.1262633197204588E-4</v>
      </c>
      <c r="U974" s="96">
        <f t="shared" si="31"/>
        <v>-3.9927343706677639E-4</v>
      </c>
      <c r="V974" s="96">
        <f>((Tableau!$G$16-P974)/(AC974^2+Tableau!$G$21^2)^(3/2))*Tableau!$G$20</f>
        <v>3.4670085507144618E-4</v>
      </c>
      <c r="W974" s="96">
        <f>((Tableau!$H$16-Q974)/(AC974^2+Tableau!$G$21^2)^(3/2))*Tableau!$G$20</f>
        <v>-1.7016484593807883E-4</v>
      </c>
      <c r="X974" s="96">
        <f>((Tableau!$G$25-P974)/(AD974^2+Tableau!$G$30^2)^(3/2))*Tableau!$G$29</f>
        <v>1.1913332875096334E-4</v>
      </c>
      <c r="Y974" s="96">
        <f>((Tableau!$H$25-Q974)/(AD974^2+Tableau!$G$30^2)^(3/2))*Tableau!$G$29</f>
        <v>-5.8533859249616883E-5</v>
      </c>
      <c r="Z974" s="96">
        <f>((Tableau!$G$35-P974)/(AE974^2+Tableau!$G$40^2)^(3/2))*Tableau!$G$39</f>
        <v>3.4679214814963634E-4</v>
      </c>
      <c r="AA974" s="97">
        <f>((Tableau!$H$35-Q974)/(AE974^2+Tableau!$G$40^2)^(3/2))*Tableau!$G$39</f>
        <v>-1.7057473187908067E-4</v>
      </c>
      <c r="AC974" s="110">
        <f>SQRT((Tableau!$G$16-P974)^2+(Tableau!$H$16-Q974)^2)</f>
        <v>36820357.022099964</v>
      </c>
      <c r="AD974" s="111">
        <f>SQRT((Tableau!$G$25-P974)^2+(Tableau!$H$25-Q974)^2)</f>
        <v>36783350.643221267</v>
      </c>
      <c r="AE974" s="112">
        <f>SQRT((Tableau!$G$35-P974)^2+(Tableau!$H$35-Q974)^2)</f>
        <v>36807841.264242232</v>
      </c>
    </row>
    <row r="975" spans="2:31" x14ac:dyDescent="0.25">
      <c r="B975" s="18">
        <v>972</v>
      </c>
      <c r="C975" s="19">
        <f>Tableau!$G$17*COS(B975*PI()/180)+Tableau!$G$16</f>
        <v>18454.915028125259</v>
      </c>
      <c r="D975" s="19">
        <f>Tableau!$G$17*SIN(B975*PI()/180)+Tableau!$H$16</f>
        <v>2744.7174185242329</v>
      </c>
      <c r="F975" s="26">
        <v>972</v>
      </c>
      <c r="G975" s="27">
        <f>Tableau!$G$26*COS(F975*PI()/180)+Tableau!$G$25</f>
        <v>-21081.559480312317</v>
      </c>
      <c r="H975" s="27">
        <f>Tableau!$G$26*SIN(F975*PI()/180)+Tableau!$H$25</f>
        <v>6671.302192966963</v>
      </c>
      <c r="J975" s="34">
        <v>972</v>
      </c>
      <c r="K975" s="35">
        <f>Tableau!$G$36*COS(J975*PI()/180)+Tableau!$G$35</f>
        <v>-6545.0849718747404</v>
      </c>
      <c r="L975" s="35">
        <f>Tableau!$G$36*SIN(J975*PI()/180)+Tableau!$H$35</f>
        <v>-19755.282581475767</v>
      </c>
      <c r="N975" s="98">
        <v>971</v>
      </c>
      <c r="O975" s="99">
        <v>485.5</v>
      </c>
      <c r="P975" s="101">
        <f>P974+R974*Tableau!$G$2+((1/2)*T974)*Tableau!$G$2^2</f>
        <v>-33068063.771528706</v>
      </c>
      <c r="Q975" s="101">
        <f>Q974+S974*Tableau!$G$2+((1/2)*U974)*Tableau!$G$2^2</f>
        <v>16247551.193397915</v>
      </c>
      <c r="R975" s="101">
        <f>R974+T974*Tableau!$G$2</f>
        <v>-68697.83919161938</v>
      </c>
      <c r="S975" s="101">
        <f>S974+U974*Tableau!$G$2</f>
        <v>33800.549430677354</v>
      </c>
      <c r="T975" s="101">
        <f t="shared" si="30"/>
        <v>8.1093849996357681E-4</v>
      </c>
      <c r="U975" s="101">
        <f t="shared" si="31"/>
        <v>-3.9844471568065121E-4</v>
      </c>
      <c r="V975" s="101">
        <f>((Tableau!$G$16-P975)/(AC975^2+Tableau!$G$21^2)^(3/2))*Tableau!$G$20</f>
        <v>3.4598089023498904E-4</v>
      </c>
      <c r="W975" s="101">
        <f>((Tableau!$H$16-Q975)/(AC975^2+Tableau!$G$21^2)^(3/2))*Tableau!$G$20</f>
        <v>-1.6981191187706701E-4</v>
      </c>
      <c r="X975" s="101">
        <f>((Tableau!$G$25-P975)/(AD975^2+Tableau!$G$30^2)^(3/2))*Tableau!$G$29</f>
        <v>1.1888571121792441E-4</v>
      </c>
      <c r="Y975" s="101">
        <f>((Tableau!$H$25-Q975)/(AD975^2+Tableau!$G$30^2)^(3/2))*Tableau!$G$29</f>
        <v>-5.8412282045026849E-5</v>
      </c>
      <c r="Z975" s="101">
        <f>((Tableau!$G$35-P975)/(AE975^2+Tableau!$G$40^2)^(3/2))*Tableau!$G$39</f>
        <v>3.4607189851066332E-4</v>
      </c>
      <c r="AA975" s="102">
        <f>((Tableau!$H$35-Q975)/(AE975^2+Tableau!$G$40^2)^(3/2))*Tableau!$G$39</f>
        <v>-1.7022052175855732E-4</v>
      </c>
      <c r="AC975" s="113">
        <f>SQRT((Tableau!$G$16-P975)^2+(Tableau!$H$16-Q975)^2)</f>
        <v>36858638.429992713</v>
      </c>
      <c r="AD975" s="114">
        <f>SQRT((Tableau!$G$25-P975)^2+(Tableau!$H$25-Q975)^2)</f>
        <v>36821632.063302763</v>
      </c>
      <c r="AE975" s="115">
        <f>SQRT((Tableau!$G$35-P975)^2+(Tableau!$H$35-Q975)^2)</f>
        <v>36846122.68988505</v>
      </c>
    </row>
    <row r="976" spans="2:31" x14ac:dyDescent="0.25">
      <c r="B976" s="20">
        <v>973</v>
      </c>
      <c r="C976" s="21">
        <f>Tableau!$G$17*COS(B976*PI()/180)+Tableau!$G$16</f>
        <v>18538.141476386307</v>
      </c>
      <c r="D976" s="21">
        <f>Tableau!$G$17*SIN(B976*PI()/180)+Tableau!$H$16</f>
        <v>2718.4762201848253</v>
      </c>
      <c r="F976" s="28">
        <v>973</v>
      </c>
      <c r="G976" s="29">
        <f>Tableau!$G$26*COS(F976*PI()/180)+Tableau!$G$25</f>
        <v>-21023.300966529583</v>
      </c>
      <c r="H976" s="29">
        <f>Tableau!$G$26*SIN(F976*PI()/180)+Tableau!$H$25</f>
        <v>6652.9333541293781</v>
      </c>
      <c r="J976" s="36">
        <v>973</v>
      </c>
      <c r="K976" s="37">
        <f>Tableau!$G$36*COS(J976*PI()/180)+Tableau!$G$35</f>
        <v>-6461.8585236136914</v>
      </c>
      <c r="L976" s="37">
        <f>Tableau!$G$36*SIN(J976*PI()/180)+Tableau!$H$35</f>
        <v>-19781.523779815176</v>
      </c>
      <c r="N976" s="92">
        <v>972</v>
      </c>
      <c r="O976" s="93">
        <v>486</v>
      </c>
      <c r="P976" s="96">
        <f>P975+R975*Tableau!$G$2+((1/2)*T975)*Tableau!$G$2^2</f>
        <v>-33102412.691023149</v>
      </c>
      <c r="Q976" s="96">
        <f>Q975+S975*Tableau!$G$2+((1/2)*U975)*Tableau!$G$2^2</f>
        <v>16264451.468063448</v>
      </c>
      <c r="R976" s="96">
        <f>R975+T975*Tableau!$G$2</f>
        <v>-68697.838786150125</v>
      </c>
      <c r="S976" s="96">
        <f>S975+U975*Tableau!$G$2</f>
        <v>33800.549231454999</v>
      </c>
      <c r="T976" s="96">
        <f t="shared" si="30"/>
        <v>8.0925592097123237E-4</v>
      </c>
      <c r="U976" s="96">
        <f t="shared" si="31"/>
        <v>-3.976185717318566E-4</v>
      </c>
      <c r="V976" s="96">
        <f>((Tableau!$G$16-P976)/(AC976^2+Tableau!$G$21^2)^(3/2))*Tableau!$G$20</f>
        <v>3.45263165711913E-4</v>
      </c>
      <c r="W976" s="96">
        <f>((Tableau!$H$16-Q976)/(AC976^2+Tableau!$G$21^2)^(3/2))*Tableau!$G$20</f>
        <v>-1.694600746946715E-4</v>
      </c>
      <c r="X976" s="96">
        <f>((Tableau!$G$25-P976)/(AD976^2+Tableau!$G$30^2)^(3/2))*Tableau!$G$29</f>
        <v>1.1863886489083133E-4</v>
      </c>
      <c r="Y976" s="96">
        <f>((Tableau!$H$25-Q976)/(AD976^2+Tableau!$G$30^2)^(3/2))*Tableau!$G$29</f>
        <v>-5.8291083229169218E-5</v>
      </c>
      <c r="Z976" s="96">
        <f>((Tableau!$G$35-P976)/(AE976^2+Tableau!$G$40^2)^(3/2))*Tableau!$G$39</f>
        <v>3.4535389036848804E-4</v>
      </c>
      <c r="AA976" s="97">
        <f>((Tableau!$H$35-Q976)/(AE976^2+Tableau!$G$40^2)^(3/2))*Tableau!$G$39</f>
        <v>-1.6986741380801591E-4</v>
      </c>
      <c r="AC976" s="110">
        <f>SQRT((Tableau!$G$16-P976)^2+(Tableau!$H$16-Q976)^2)</f>
        <v>36896919.837696776</v>
      </c>
      <c r="AD976" s="111">
        <f>SQRT((Tableau!$G$25-P976)^2+(Tableau!$H$25-Q976)^2)</f>
        <v>36859913.483170301</v>
      </c>
      <c r="AE976" s="112">
        <f>SQRT((Tableau!$G$35-P976)^2+(Tableau!$H$35-Q976)^2)</f>
        <v>36884404.115302354</v>
      </c>
    </row>
    <row r="977" spans="2:31" x14ac:dyDescent="0.25">
      <c r="B977" s="18">
        <v>974</v>
      </c>
      <c r="C977" s="19">
        <f>Tableau!$G$17*COS(B977*PI()/180)+Tableau!$G$16</f>
        <v>18621.813220914992</v>
      </c>
      <c r="D977" s="19">
        <f>Tableau!$G$17*SIN(B977*PI()/180)+Tableau!$H$16</f>
        <v>2693.6915203084091</v>
      </c>
      <c r="F977" s="26">
        <v>974</v>
      </c>
      <c r="G977" s="27">
        <f>Tableau!$G$26*COS(F977*PI()/180)+Tableau!$G$25</f>
        <v>-20964.730745359506</v>
      </c>
      <c r="H977" s="27">
        <f>Tableau!$G$26*SIN(F977*PI()/180)+Tableau!$H$25</f>
        <v>6635.5840642158864</v>
      </c>
      <c r="J977" s="34">
        <v>974</v>
      </c>
      <c r="K977" s="35">
        <f>Tableau!$G$36*COS(J977*PI()/180)+Tableau!$G$35</f>
        <v>-6378.1867790850092</v>
      </c>
      <c r="L977" s="35">
        <f>Tableau!$G$36*SIN(J977*PI()/180)+Tableau!$H$35</f>
        <v>-19806.30847969159</v>
      </c>
      <c r="N977" s="98">
        <v>973</v>
      </c>
      <c r="O977" s="99">
        <v>486.5</v>
      </c>
      <c r="P977" s="101">
        <f>P976+R976*Tableau!$G$2+((1/2)*T976)*Tableau!$G$2^2</f>
        <v>-33136761.610315066</v>
      </c>
      <c r="Q977" s="101">
        <f>Q976+S976*Tableau!$G$2+((1/2)*U976)*Tableau!$G$2^2</f>
        <v>16281351.742629472</v>
      </c>
      <c r="R977" s="101">
        <f>R976+T976*Tableau!$G$2</f>
        <v>-68697.83838152216</v>
      </c>
      <c r="S977" s="101">
        <f>S976+U976*Tableau!$G$2</f>
        <v>33800.549032645715</v>
      </c>
      <c r="T977" s="101">
        <f t="shared" si="30"/>
        <v>8.0757857321906129E-4</v>
      </c>
      <c r="U977" s="101">
        <f t="shared" si="31"/>
        <v>-3.9679499454320615E-4</v>
      </c>
      <c r="V977" s="101">
        <f>((Tableau!$G$16-P977)/(AC977^2+Tableau!$G$21^2)^(3/2))*Tableau!$G$20</f>
        <v>3.4454767221693897E-4</v>
      </c>
      <c r="W977" s="101">
        <f>((Tableau!$H$16-Q977)/(AC977^2+Tableau!$G$21^2)^(3/2))*Tableau!$G$20</f>
        <v>-1.6910932985030077E-4</v>
      </c>
      <c r="X977" s="101">
        <f>((Tableau!$G$25-P977)/(AD977^2+Tableau!$G$30^2)^(3/2))*Tableau!$G$29</f>
        <v>1.1839278657043772E-4</v>
      </c>
      <c r="Y977" s="101">
        <f>((Tableau!$H$25-Q977)/(AD977^2+Tableau!$G$30^2)^(3/2))*Tableau!$G$29</f>
        <v>-5.817026123344201E-5</v>
      </c>
      <c r="Z977" s="101">
        <f>((Tableau!$G$35-P977)/(AE977^2+Tableau!$G$40^2)^(3/2))*Tableau!$G$39</f>
        <v>3.4463811443168459E-4</v>
      </c>
      <c r="AA977" s="102">
        <f>((Tableau!$H$35-Q977)/(AE977^2+Tableau!$G$40^2)^(3/2))*Tableau!$G$39</f>
        <v>-1.6951540345946337E-4</v>
      </c>
      <c r="AC977" s="113">
        <f>SQRT((Tableau!$G$16-P977)^2+(Tableau!$H$16-Q977)^2)</f>
        <v>36935201.245212503</v>
      </c>
      <c r="AD977" s="114">
        <f>SQRT((Tableau!$G$25-P977)^2+(Tableau!$H$25-Q977)^2)</f>
        <v>36898194.902824298</v>
      </c>
      <c r="AE977" s="115">
        <f>SQRT((Tableau!$G$35-P977)^2+(Tableau!$H$35-Q977)^2)</f>
        <v>36922685.540494613</v>
      </c>
    </row>
    <row r="978" spans="2:31" x14ac:dyDescent="0.25">
      <c r="B978" s="20">
        <v>975</v>
      </c>
      <c r="C978" s="21">
        <f>Tableau!$G$17*COS(B978*PI()/180)+Tableau!$G$16</f>
        <v>18705.904774487393</v>
      </c>
      <c r="D978" s="21">
        <f>Tableau!$G$17*SIN(B978*PI()/180)+Tableau!$H$16</f>
        <v>2670.370868554659</v>
      </c>
      <c r="F978" s="28">
        <v>975</v>
      </c>
      <c r="G978" s="29">
        <f>Tableau!$G$26*COS(F978*PI()/180)+Tableau!$G$25</f>
        <v>-20905.866657858824</v>
      </c>
      <c r="H978" s="29">
        <f>Tableau!$G$26*SIN(F978*PI()/180)+Tableau!$H$25</f>
        <v>6619.2596079882615</v>
      </c>
      <c r="J978" s="36">
        <v>975</v>
      </c>
      <c r="K978" s="37">
        <f>Tableau!$G$36*COS(J978*PI()/180)+Tableau!$G$35</f>
        <v>-6294.0952255126058</v>
      </c>
      <c r="L978" s="37">
        <f>Tableau!$G$36*SIN(J978*PI()/180)+Tableau!$H$35</f>
        <v>-19829.629131445341</v>
      </c>
      <c r="N978" s="92">
        <v>974</v>
      </c>
      <c r="O978" s="93">
        <v>487</v>
      </c>
      <c r="P978" s="96">
        <f>P977+R977*Tableau!$G$2+((1/2)*T977)*Tableau!$G$2^2</f>
        <v>-33171110.529404879</v>
      </c>
      <c r="Q978" s="96">
        <f>Q977+S977*Tableau!$G$2+((1/2)*U977)*Tableau!$G$2^2</f>
        <v>16298252.017096197</v>
      </c>
      <c r="R978" s="96">
        <f>R977+T977*Tableau!$G$2</f>
        <v>-68697.837977732881</v>
      </c>
      <c r="S978" s="96">
        <f>S977+U977*Tableau!$G$2</f>
        <v>33800.54883424822</v>
      </c>
      <c r="T978" s="96">
        <f t="shared" si="30"/>
        <v>8.0590643504383007E-4</v>
      </c>
      <c r="U978" s="96">
        <f t="shared" si="31"/>
        <v>-3.9597397349274343E-4</v>
      </c>
      <c r="V978" s="96">
        <f>((Tableau!$G$16-P978)/(AC978^2+Tableau!$G$21^2)^(3/2))*Tableau!$G$20</f>
        <v>3.4383440051283937E-4</v>
      </c>
      <c r="W978" s="96">
        <f>((Tableau!$H$16-Q978)/(AC978^2+Tableau!$G$21^2)^(3/2))*Tableau!$G$20</f>
        <v>-1.687596728268324E-4</v>
      </c>
      <c r="X978" s="96">
        <f>((Tableau!$G$25-P978)/(AD978^2+Tableau!$G$30^2)^(3/2))*Tableau!$G$29</f>
        <v>1.1814747307406685E-4</v>
      </c>
      <c r="Y978" s="96">
        <f>((Tableau!$H$25-Q978)/(AD978^2+Tableau!$G$30^2)^(3/2))*Tableau!$G$29</f>
        <v>-5.804981449736172E-5</v>
      </c>
      <c r="Z978" s="96">
        <f>((Tableau!$G$35-P978)/(AE978^2+Tableau!$G$40^2)^(3/2))*Tableau!$G$39</f>
        <v>3.4392456145692388E-4</v>
      </c>
      <c r="AA978" s="97">
        <f>((Tableau!$H$35-Q978)/(AE978^2+Tableau!$G$40^2)^(3/2))*Tableau!$G$39</f>
        <v>-1.6916448616854929E-4</v>
      </c>
      <c r="AC978" s="110">
        <f>SQRT((Tableau!$G$16-P978)^2+(Tableau!$H$16-Q978)^2)</f>
        <v>36973482.652540259</v>
      </c>
      <c r="AD978" s="111">
        <f>SQRT((Tableau!$G$25-P978)^2+(Tableau!$H$25-Q978)^2)</f>
        <v>36936476.322265193</v>
      </c>
      <c r="AE978" s="112">
        <f>SQRT((Tableau!$G$35-P978)^2+(Tableau!$H$35-Q978)^2)</f>
        <v>36960966.965462282</v>
      </c>
    </row>
    <row r="979" spans="2:31" x14ac:dyDescent="0.25">
      <c r="B979" s="18">
        <v>976</v>
      </c>
      <c r="C979" s="19">
        <f>Tableau!$G$17*COS(B979*PI()/180)+Tableau!$G$16</f>
        <v>18790.390522001653</v>
      </c>
      <c r="D979" s="19">
        <f>Tableau!$G$17*SIN(B979*PI()/180)+Tableau!$H$16</f>
        <v>2648.5213686200195</v>
      </c>
      <c r="F979" s="26">
        <v>976</v>
      </c>
      <c r="G979" s="27">
        <f>Tableau!$G$26*COS(F979*PI()/180)+Tableau!$G$25</f>
        <v>-20846.726634598843</v>
      </c>
      <c r="H979" s="27">
        <f>Tableau!$G$26*SIN(F979*PI()/180)+Tableau!$H$25</f>
        <v>6603.9649580340138</v>
      </c>
      <c r="J979" s="34">
        <v>976</v>
      </c>
      <c r="K979" s="35">
        <f>Tableau!$G$36*COS(J979*PI()/180)+Tableau!$G$35</f>
        <v>-6209.6094779983459</v>
      </c>
      <c r="L979" s="35">
        <f>Tableau!$G$36*SIN(J979*PI()/180)+Tableau!$H$35</f>
        <v>-19851.478631379981</v>
      </c>
      <c r="N979" s="98">
        <v>975</v>
      </c>
      <c r="O979" s="99">
        <v>487.5</v>
      </c>
      <c r="P979" s="101">
        <f>P978+R978*Tableau!$G$2+((1/2)*T978)*Tableau!$G$2^2</f>
        <v>-33205459.448293004</v>
      </c>
      <c r="Q979" s="101">
        <f>Q978+S978*Tableau!$G$2+((1/2)*U978)*Tableau!$G$2^2</f>
        <v>16315152.291463826</v>
      </c>
      <c r="R979" s="101">
        <f>R978+T978*Tableau!$G$2</f>
        <v>-68697.837574779667</v>
      </c>
      <c r="S979" s="101">
        <f>S978+U978*Tableau!$G$2</f>
        <v>33800.548636261236</v>
      </c>
      <c r="T979" s="101">
        <f t="shared" si="30"/>
        <v>8.042394848943341E-4</v>
      </c>
      <c r="U979" s="101">
        <f t="shared" si="31"/>
        <v>-3.9515549801340401E-4</v>
      </c>
      <c r="V979" s="101">
        <f>((Tableau!$G$16-P979)/(AC979^2+Tableau!$G$21^2)^(3/2))*Tableau!$G$20</f>
        <v>3.431233414101479E-4</v>
      </c>
      <c r="W979" s="101">
        <f>((Tableau!$H$16-Q979)/(AC979^2+Tableau!$G$21^2)^(3/2))*Tableau!$G$20</f>
        <v>-1.6841109913047118E-4</v>
      </c>
      <c r="X979" s="101">
        <f>((Tableau!$G$25-P979)/(AD979^2+Tableau!$G$30^2)^(3/2))*Tableau!$G$29</f>
        <v>1.179029212355122E-4</v>
      </c>
      <c r="Y979" s="101">
        <f>((Tableau!$H$25-Q979)/(AD979^2+Tableau!$G$30^2)^(3/2))*Tableau!$G$29</f>
        <v>-5.7929741468514659E-5</v>
      </c>
      <c r="Z979" s="101">
        <f>((Tableau!$G$35-P979)/(AE979^2+Tableau!$G$40^2)^(3/2))*Tableau!$G$39</f>
        <v>3.4321322224867398E-4</v>
      </c>
      <c r="AA979" s="102">
        <f>((Tableau!$H$35-Q979)/(AE979^2+Tableau!$G$40^2)^(3/2))*Tableau!$G$39</f>
        <v>-1.6881465741441819E-4</v>
      </c>
      <c r="AC979" s="113">
        <f>SQRT((Tableau!$G$16-P979)^2+(Tableau!$H$16-Q979)^2)</f>
        <v>37011764.05968038</v>
      </c>
      <c r="AD979" s="114">
        <f>SQRT((Tableau!$G$25-P979)^2+(Tableau!$H$25-Q979)^2)</f>
        <v>36974757.741493419</v>
      </c>
      <c r="AE979" s="115">
        <f>SQRT((Tableau!$G$35-P979)^2+(Tableau!$H$35-Q979)^2)</f>
        <v>36999248.390205838</v>
      </c>
    </row>
    <row r="980" spans="2:31" x14ac:dyDescent="0.25">
      <c r="B980" s="20">
        <v>977</v>
      </c>
      <c r="C980" s="21">
        <f>Tableau!$G$17*COS(B980*PI()/180)+Tableau!$G$16</f>
        <v>18875.244728280664</v>
      </c>
      <c r="D980" s="21">
        <f>Tableau!$G$17*SIN(B980*PI()/180)+Tableau!$H$16</f>
        <v>2628.1496760738264</v>
      </c>
      <c r="F980" s="28">
        <v>977</v>
      </c>
      <c r="G980" s="29">
        <f>Tableau!$G$26*COS(F980*PI()/180)+Tableau!$G$25</f>
        <v>-20787.328690203536</v>
      </c>
      <c r="H980" s="29">
        <f>Tableau!$G$26*SIN(F980*PI()/180)+Tableau!$H$25</f>
        <v>6589.7047732516785</v>
      </c>
      <c r="J980" s="36">
        <v>977</v>
      </c>
      <c r="K980" s="37">
        <f>Tableau!$G$36*COS(J980*PI()/180)+Tableau!$G$35</f>
        <v>-6124.7552717193375</v>
      </c>
      <c r="L980" s="37">
        <f>Tableau!$G$36*SIN(J980*PI()/180)+Tableau!$H$35</f>
        <v>-19871.850323926174</v>
      </c>
      <c r="N980" s="92">
        <v>976</v>
      </c>
      <c r="O980" s="93">
        <v>488</v>
      </c>
      <c r="P980" s="96">
        <f>P979+R979*Tableau!$G$2+((1/2)*T979)*Tableau!$G$2^2</f>
        <v>-33239808.366979863</v>
      </c>
      <c r="Q980" s="96">
        <f>Q979+S979*Tableau!$G$2+((1/2)*U979)*Tableau!$G$2^2</f>
        <v>16332052.565732563</v>
      </c>
      <c r="R980" s="96">
        <f>R979+T979*Tableau!$G$2</f>
        <v>-68697.837172659929</v>
      </c>
      <c r="S980" s="96">
        <f>S979+U979*Tableau!$G$2</f>
        <v>33800.548438683487</v>
      </c>
      <c r="T980" s="96">
        <f t="shared" si="30"/>
        <v>8.0257770133067437E-4</v>
      </c>
      <c r="U980" s="96">
        <f t="shared" si="31"/>
        <v>-3.9433955759266194E-4</v>
      </c>
      <c r="V980" s="96">
        <f>((Tableau!$G$16-P980)/(AC980^2+Tableau!$G$21^2)^(3/2))*Tableau!$G$20</f>
        <v>3.4241448576684681E-4</v>
      </c>
      <c r="W980" s="96">
        <f>((Tableau!$H$16-Q980)/(AC980^2+Tableau!$G$21^2)^(3/2))*Tableau!$G$20</f>
        <v>-1.6806360429059652E-4</v>
      </c>
      <c r="X980" s="96">
        <f>((Tableau!$G$25-P980)/(AD980^2+Tableau!$G$30^2)^(3/2))*Tableau!$G$29</f>
        <v>1.1765912790493384E-4</v>
      </c>
      <c r="Y980" s="96">
        <f>((Tableau!$H$25-Q980)/(AD980^2+Tableau!$G$30^2)^(3/2))*Tableau!$G$29</f>
        <v>-5.7810040602506197E-5</v>
      </c>
      <c r="Z980" s="96">
        <f>((Tableau!$G$35-P980)/(AE980^2+Tableau!$G$40^2)^(3/2))*Tableau!$G$39</f>
        <v>3.4250408765889375E-4</v>
      </c>
      <c r="AA980" s="97">
        <f>((Tableau!$H$35-Q980)/(AE980^2+Tableau!$G$40^2)^(3/2))*Tableau!$G$39</f>
        <v>-1.6846591269955923E-4</v>
      </c>
      <c r="AC980" s="110">
        <f>SQRT((Tableau!$G$16-P980)^2+(Tableau!$H$16-Q980)^2)</f>
        <v>37050045.466633223</v>
      </c>
      <c r="AD980" s="111">
        <f>SQRT((Tableau!$G$25-P980)^2+(Tableau!$H$25-Q980)^2)</f>
        <v>37013039.1605094</v>
      </c>
      <c r="AE980" s="112">
        <f>SQRT((Tableau!$G$35-P980)^2+(Tableau!$H$35-Q980)^2)</f>
        <v>37037529.814725742</v>
      </c>
    </row>
    <row r="981" spans="2:31" x14ac:dyDescent="0.25">
      <c r="B981" s="18">
        <v>978</v>
      </c>
      <c r="C981" s="19">
        <f>Tableau!$G$17*COS(B981*PI()/180)+Tableau!$G$16</f>
        <v>18960.441545911202</v>
      </c>
      <c r="D981" s="19">
        <f>Tableau!$G$17*SIN(B981*PI()/180)+Tableau!$H$16</f>
        <v>2609.2619963309717</v>
      </c>
      <c r="F981" s="26">
        <v>978</v>
      </c>
      <c r="G981" s="27">
        <f>Tableau!$G$26*COS(F981*PI()/180)+Tableau!$G$25</f>
        <v>-20727.690917862157</v>
      </c>
      <c r="H981" s="27">
        <f>Tableau!$G$26*SIN(F981*PI()/180)+Tableau!$H$25</f>
        <v>6576.4833974316807</v>
      </c>
      <c r="J981" s="34">
        <v>978</v>
      </c>
      <c r="K981" s="35">
        <f>Tableau!$G$36*COS(J981*PI()/180)+Tableau!$G$35</f>
        <v>-6039.5584540887967</v>
      </c>
      <c r="L981" s="35">
        <f>Tableau!$G$36*SIN(J981*PI()/180)+Tableau!$H$35</f>
        <v>-19890.73800366903</v>
      </c>
      <c r="N981" s="98">
        <v>977</v>
      </c>
      <c r="O981" s="99">
        <v>488.5</v>
      </c>
      <c r="P981" s="101">
        <f>P980+R980*Tableau!$G$2+((1/2)*T980)*Tableau!$G$2^2</f>
        <v>-33274157.28546587</v>
      </c>
      <c r="Q981" s="101">
        <f>Q980+S980*Tableau!$G$2+((1/2)*U980)*Tableau!$G$2^2</f>
        <v>16348952.839902611</v>
      </c>
      <c r="R981" s="101">
        <f>R980+T980*Tableau!$G$2</f>
        <v>-68697.836771371076</v>
      </c>
      <c r="S981" s="101">
        <f>S980+U980*Tableau!$G$2</f>
        <v>33800.548241513708</v>
      </c>
      <c r="T981" s="101">
        <f t="shared" si="30"/>
        <v>8.0092106302362236E-4</v>
      </c>
      <c r="U981" s="101">
        <f t="shared" si="31"/>
        <v>-3.9352614177221842E-4</v>
      </c>
      <c r="V981" s="101">
        <f>((Tableau!$G$16-P981)/(AC981^2+Tableau!$G$21^2)^(3/2))*Tableau!$G$20</f>
        <v>3.4170782448810188E-4</v>
      </c>
      <c r="W981" s="101">
        <f>((Tableau!$H$16-Q981)/(AC981^2+Tableau!$G$21^2)^(3/2))*Tableau!$G$20</f>
        <v>-1.677171838596335E-4</v>
      </c>
      <c r="X981" s="101">
        <f>((Tableau!$G$25-P981)/(AD981^2+Tableau!$G$30^2)^(3/2))*Tableau!$G$29</f>
        <v>1.1741608994875939E-4</v>
      </c>
      <c r="Y981" s="101">
        <f>((Tableau!$H$25-Q981)/(AD981^2+Tableau!$G$30^2)^(3/2))*Tableau!$G$29</f>
        <v>-5.7690710362912337E-5</v>
      </c>
      <c r="Z981" s="101">
        <f>((Tableau!$G$35-P981)/(AE981^2+Tableau!$G$40^2)^(3/2))*Tableau!$G$39</f>
        <v>3.4179714858676108E-4</v>
      </c>
      <c r="AA981" s="102">
        <f>((Tableau!$H$35-Q981)/(AE981^2+Tableau!$G$40^2)^(3/2))*Tableau!$G$39</f>
        <v>-1.6811824754967258E-4</v>
      </c>
      <c r="AC981" s="113">
        <f>SQRT((Tableau!$G$16-P981)^2+(Tableau!$H$16-Q981)^2)</f>
        <v>37088326.873399146</v>
      </c>
      <c r="AD981" s="114">
        <f>SQRT((Tableau!$G$25-P981)^2+(Tableau!$H$25-Q981)^2)</f>
        <v>37051320.579313561</v>
      </c>
      <c r="AE981" s="115">
        <f>SQRT((Tableau!$G$35-P981)^2+(Tableau!$H$35-Q981)^2)</f>
        <v>37075811.239022449</v>
      </c>
    </row>
    <row r="982" spans="2:31" x14ac:dyDescent="0.25">
      <c r="B982" s="20">
        <v>979</v>
      </c>
      <c r="C982" s="21">
        <f>Tableau!$G$17*COS(B982*PI()/180)+Tableau!$G$16</f>
        <v>19045.955023117269</v>
      </c>
      <c r="D982" s="21">
        <f>Tableau!$G$17*SIN(B982*PI()/180)+Tableau!$H$16</f>
        <v>2591.8640827616809</v>
      </c>
      <c r="F982" s="28">
        <v>979</v>
      </c>
      <c r="G982" s="29">
        <f>Tableau!$G$26*COS(F982*PI()/180)+Tableau!$G$25</f>
        <v>-20667.83148381791</v>
      </c>
      <c r="H982" s="29">
        <f>Tableau!$G$26*SIN(F982*PI()/180)+Tableau!$H$25</f>
        <v>6564.3048579331771</v>
      </c>
      <c r="J982" s="36">
        <v>979</v>
      </c>
      <c r="K982" s="37">
        <f>Tableau!$G$36*COS(J982*PI()/180)+Tableau!$G$35</f>
        <v>-5954.0449768827293</v>
      </c>
      <c r="L982" s="37">
        <f>Tableau!$G$36*SIN(J982*PI()/180)+Tableau!$H$35</f>
        <v>-19908.13591723832</v>
      </c>
      <c r="N982" s="92">
        <v>978</v>
      </c>
      <c r="O982" s="93">
        <v>489</v>
      </c>
      <c r="P982" s="96">
        <f>P981+R981*Tableau!$G$2+((1/2)*T981)*Tableau!$G$2^2</f>
        <v>-33308506.203751441</v>
      </c>
      <c r="Q982" s="96">
        <f>Q981+S981*Tableau!$G$2+((1/2)*U981)*Tableau!$G$2^2</f>
        <v>16365853.113974178</v>
      </c>
      <c r="R982" s="96">
        <f>R981+T981*Tableau!$G$2</f>
        <v>-68697.836370910547</v>
      </c>
      <c r="S982" s="96">
        <f>S981+U981*Tableau!$G$2</f>
        <v>33800.548044750634</v>
      </c>
      <c r="T982" s="96">
        <f t="shared" si="30"/>
        <v>7.9926954875388198E-4</v>
      </c>
      <c r="U982" s="96">
        <f t="shared" si="31"/>
        <v>-3.9271524014764062E-4</v>
      </c>
      <c r="V982" s="96">
        <f>((Tableau!$G$16-P982)/(AC982^2+Tableau!$G$21^2)^(3/2))*Tableau!$G$20</f>
        <v>3.4100334852594691E-4</v>
      </c>
      <c r="W982" s="96">
        <f>((Tableau!$H$16-Q982)/(AC982^2+Tableau!$G$21^2)^(3/2))*Tableau!$G$20</f>
        <v>-1.6737183341289865E-4</v>
      </c>
      <c r="X982" s="96">
        <f>((Tableau!$G$25-P982)/(AD982^2+Tableau!$G$30^2)^(3/2))*Tableau!$G$29</f>
        <v>1.1717380424958116E-4</v>
      </c>
      <c r="Y982" s="96">
        <f>((Tableau!$H$25-Q982)/(AD982^2+Tableau!$G$30^2)^(3/2))*Tableau!$G$29</f>
        <v>-5.7571749221229275E-5</v>
      </c>
      <c r="Z982" s="96">
        <f>((Tableau!$G$35-P982)/(AE982^2+Tableau!$G$40^2)^(3/2))*Tableau!$G$39</f>
        <v>3.4109239597835387E-4</v>
      </c>
      <c r="AA982" s="97">
        <f>((Tableau!$H$35-Q982)/(AE982^2+Tableau!$G$40^2)^(3/2))*Tableau!$G$39</f>
        <v>-1.677716575135127E-4</v>
      </c>
      <c r="AC982" s="110">
        <f>SQRT((Tableau!$G$16-P982)^2+(Tableau!$H$16-Q982)^2)</f>
        <v>37126608.279978484</v>
      </c>
      <c r="AD982" s="111">
        <f>SQRT((Tableau!$G$25-P982)^2+(Tableau!$H$25-Q982)^2)</f>
        <v>37089601.997906327</v>
      </c>
      <c r="AE982" s="112">
        <f>SQRT((Tableau!$G$35-P982)^2+(Tableau!$H$35-Q982)^2)</f>
        <v>37114092.663096428</v>
      </c>
    </row>
    <row r="983" spans="2:31" x14ac:dyDescent="0.25">
      <c r="B983" s="18">
        <v>980</v>
      </c>
      <c r="C983" s="19">
        <f>Tableau!$G$17*COS(B983*PI()/180)+Tableau!$G$16</f>
        <v>19131.759111665338</v>
      </c>
      <c r="D983" s="19">
        <f>Tableau!$G$17*SIN(B983*PI()/180)+Tableau!$H$16</f>
        <v>2575.9612349389618</v>
      </c>
      <c r="F983" s="26">
        <v>980</v>
      </c>
      <c r="G983" s="27">
        <f>Tableau!$G$26*COS(F983*PI()/180)+Tableau!$G$25</f>
        <v>-20607.768621834264</v>
      </c>
      <c r="H983" s="27">
        <f>Tableau!$G$26*SIN(F983*PI()/180)+Tableau!$H$25</f>
        <v>6553.1728644572731</v>
      </c>
      <c r="J983" s="34">
        <v>980</v>
      </c>
      <c r="K983" s="35">
        <f>Tableau!$G$36*COS(J983*PI()/180)+Tableau!$G$35</f>
        <v>-5868.2408883346625</v>
      </c>
      <c r="L983" s="35">
        <f>Tableau!$G$36*SIN(J983*PI()/180)+Tableau!$H$35</f>
        <v>-19924.038765061039</v>
      </c>
      <c r="N983" s="98">
        <v>979</v>
      </c>
      <c r="O983" s="99">
        <v>489.5</v>
      </c>
      <c r="P983" s="101">
        <f>P982+R982*Tableau!$G$2+((1/2)*T982)*Tableau!$G$2^2</f>
        <v>-33342855.121836986</v>
      </c>
      <c r="Q983" s="101">
        <f>Q982+S982*Tableau!$G$2+((1/2)*U982)*Tableau!$G$2^2</f>
        <v>16382753.387947464</v>
      </c>
      <c r="R983" s="101">
        <f>R982+T982*Tableau!$G$2</f>
        <v>-68697.835971275766</v>
      </c>
      <c r="S983" s="101">
        <f>S982+U982*Tableau!$G$2</f>
        <v>33800.547848393013</v>
      </c>
      <c r="T983" s="101">
        <f t="shared" si="30"/>
        <v>7.9762313741143522E-4</v>
      </c>
      <c r="U983" s="101">
        <f t="shared" si="31"/>
        <v>-3.9190684236804112E-4</v>
      </c>
      <c r="V983" s="101">
        <f>((Tableau!$G$16-P983)/(AC983^2+Tableau!$G$21^2)^(3/2))*Tableau!$G$20</f>
        <v>3.4030104887899828E-4</v>
      </c>
      <c r="W983" s="101">
        <f>((Tableau!$H$16-Q983)/(AC983^2+Tableau!$G$21^2)^(3/2))*Tableau!$G$20</f>
        <v>-1.6702754854846084E-4</v>
      </c>
      <c r="X983" s="101">
        <f>((Tableau!$G$25-P983)/(AD983^2+Tableau!$G$30^2)^(3/2))*Tableau!$G$29</f>
        <v>1.1693226770605745E-4</v>
      </c>
      <c r="Y983" s="101">
        <f>((Tableau!$H$25-Q983)/(AD983^2+Tableau!$G$30^2)^(3/2))*Tableau!$G$29</f>
        <v>-5.7453155656825103E-5</v>
      </c>
      <c r="Z983" s="101">
        <f>((Tableau!$G$35-P983)/(AE983^2+Tableau!$G$40^2)^(3/2))*Tableau!$G$39</f>
        <v>3.4038982082637949E-4</v>
      </c>
      <c r="AA983" s="102">
        <f>((Tableau!$H$35-Q983)/(AE983^2+Tableau!$G$40^2)^(3/2))*Tableau!$G$39</f>
        <v>-1.6742613816275517E-4</v>
      </c>
      <c r="AC983" s="113">
        <f>SQRT((Tableau!$G$16-P983)^2+(Tableau!$H$16-Q983)^2)</f>
        <v>37164889.686371587</v>
      </c>
      <c r="AD983" s="114">
        <f>SQRT((Tableau!$G$25-P983)^2+(Tableau!$H$25-Q983)^2)</f>
        <v>37127883.416288123</v>
      </c>
      <c r="AE983" s="115">
        <f>SQRT((Tableau!$G$35-P983)^2+(Tableau!$H$35-Q983)^2)</f>
        <v>37152374.086948134</v>
      </c>
    </row>
    <row r="984" spans="2:31" x14ac:dyDescent="0.25">
      <c r="B984" s="20">
        <v>981</v>
      </c>
      <c r="C984" s="21">
        <f>Tableau!$G$17*COS(B984*PI()/180)+Tableau!$G$16</f>
        <v>19217.827674798846</v>
      </c>
      <c r="D984" s="21">
        <f>Tableau!$G$17*SIN(B984*PI()/180)+Tableau!$H$16</f>
        <v>2561.5582970243113</v>
      </c>
      <c r="F984" s="28">
        <v>981</v>
      </c>
      <c r="G984" s="29">
        <f>Tableau!$G$26*COS(F984*PI()/180)+Tableau!$G$25</f>
        <v>-20547.520627640806</v>
      </c>
      <c r="H984" s="29">
        <f>Tableau!$G$26*SIN(F984*PI()/180)+Tableau!$H$25</f>
        <v>6543.0908079170176</v>
      </c>
      <c r="J984" s="36">
        <v>981</v>
      </c>
      <c r="K984" s="37">
        <f>Tableau!$G$36*COS(J984*PI()/180)+Tableau!$G$35</f>
        <v>-5782.1723252011534</v>
      </c>
      <c r="L984" s="37">
        <f>Tableau!$G$36*SIN(J984*PI()/180)+Tableau!$H$35</f>
        <v>-19938.441702975688</v>
      </c>
      <c r="N984" s="92">
        <v>980</v>
      </c>
      <c r="O984" s="93">
        <v>490</v>
      </c>
      <c r="P984" s="96">
        <f>P983+R983*Tableau!$G$2+((1/2)*T983)*Tableau!$G$2^2</f>
        <v>-33377204.039722919</v>
      </c>
      <c r="Q984" s="96">
        <f>Q983+S983*Tableau!$G$2+((1/2)*U983)*Tableau!$G$2^2</f>
        <v>16399653.661822673</v>
      </c>
      <c r="R984" s="96">
        <f>R983+T983*Tableau!$G$2</f>
        <v>-68697.835572464202</v>
      </c>
      <c r="S984" s="96">
        <f>S983+U983*Tableau!$G$2</f>
        <v>33800.547652439593</v>
      </c>
      <c r="T984" s="96">
        <f t="shared" si="30"/>
        <v>7.9598180799486814E-4</v>
      </c>
      <c r="U984" s="96">
        <f t="shared" si="31"/>
        <v>-3.9110093813574782E-4</v>
      </c>
      <c r="V984" s="96">
        <f>((Tableau!$G$16-P984)/(AC984^2+Tableau!$G$21^2)^(3/2))*Tableau!$G$20</f>
        <v>3.396009165921865E-4</v>
      </c>
      <c r="W984" s="96">
        <f>((Tableau!$H$16-Q984)/(AC984^2+Tableau!$G$21^2)^(3/2))*Tableau!$G$20</f>
        <v>-1.6668432488701026E-4</v>
      </c>
      <c r="X984" s="96">
        <f>((Tableau!$G$25-P984)/(AD984^2+Tableau!$G$30^2)^(3/2))*Tableau!$G$29</f>
        <v>1.1669147723280938E-4</v>
      </c>
      <c r="Y984" s="96">
        <f>((Tableau!$H$25-Q984)/(AD984^2+Tableau!$G$30^2)^(3/2))*Tableau!$G$29</f>
        <v>-5.7334928156889301E-5</v>
      </c>
      <c r="Z984" s="96">
        <f>((Tableau!$G$35-P984)/(AE984^2+Tableau!$G$40^2)^(3/2))*Tableau!$G$39</f>
        <v>3.3968941416987218E-4</v>
      </c>
      <c r="AA984" s="97">
        <f>((Tableau!$H$35-Q984)/(AE984^2+Tableau!$G$40^2)^(3/2))*Tableau!$G$39</f>
        <v>-1.6708168509184826E-4</v>
      </c>
      <c r="AC984" s="110">
        <f>SQRT((Tableau!$G$16-P984)^2+(Tableau!$H$16-Q984)^2)</f>
        <v>37203171.092578806</v>
      </c>
      <c r="AD984" s="111">
        <f>SQRT((Tableau!$G$25-P984)^2+(Tableau!$H$25-Q984)^2)</f>
        <v>37166164.834459372</v>
      </c>
      <c r="AE984" s="112">
        <f>SQRT((Tableau!$G$35-P984)^2+(Tableau!$H$35-Q984)^2)</f>
        <v>37190655.510578021</v>
      </c>
    </row>
    <row r="985" spans="2:31" x14ac:dyDescent="0.25">
      <c r="B985" s="18">
        <v>982</v>
      </c>
      <c r="C985" s="19">
        <f>Tableau!$G$17*COS(B985*PI()/180)+Tableau!$G$16</f>
        <v>19304.134495199669</v>
      </c>
      <c r="D985" s="19">
        <f>Tableau!$G$17*SIN(B985*PI()/180)+Tableau!$H$16</f>
        <v>2548.6596562921495</v>
      </c>
      <c r="F985" s="26">
        <v>982</v>
      </c>
      <c r="G985" s="27">
        <f>Tableau!$G$26*COS(F985*PI()/180)+Tableau!$G$25</f>
        <v>-20487.105853360234</v>
      </c>
      <c r="H985" s="27">
        <f>Tableau!$G$26*SIN(F985*PI()/180)+Tableau!$H$25</f>
        <v>6534.0617594045043</v>
      </c>
      <c r="J985" s="34">
        <v>982</v>
      </c>
      <c r="K985" s="35">
        <f>Tableau!$G$36*COS(J985*PI()/180)+Tableau!$G$35</f>
        <v>-5695.8655048003311</v>
      </c>
      <c r="L985" s="35">
        <f>Tableau!$G$36*SIN(J985*PI()/180)+Tableau!$H$35</f>
        <v>-19951.340343707852</v>
      </c>
      <c r="N985" s="98">
        <v>981</v>
      </c>
      <c r="O985" s="99">
        <v>490.5</v>
      </c>
      <c r="P985" s="101">
        <f>P984+R984*Tableau!$G$2+((1/2)*T984)*Tableau!$G$2^2</f>
        <v>-33411552.957409654</v>
      </c>
      <c r="Q985" s="101">
        <f>Q984+S984*Tableau!$G$2+((1/2)*U984)*Tableau!$G$2^2</f>
        <v>16416553.935600005</v>
      </c>
      <c r="R985" s="101">
        <f>R984+T984*Tableau!$G$2</f>
        <v>-68697.835174473294</v>
      </c>
      <c r="S985" s="101">
        <f>S984+U984*Tableau!$G$2</f>
        <v>33800.547456889122</v>
      </c>
      <c r="T985" s="101">
        <f t="shared" si="30"/>
        <v>7.9434553961069436E-4</v>
      </c>
      <c r="U985" s="101">
        <f t="shared" si="31"/>
        <v>-3.9029751720597299E-4</v>
      </c>
      <c r="V985" s="101">
        <f>((Tableau!$G$16-P985)/(AC985^2+Tableau!$G$21^2)^(3/2))*Tableau!$G$20</f>
        <v>3.389029427564316E-4</v>
      </c>
      <c r="W985" s="101">
        <f>((Tableau!$H$16-Q985)/(AC985^2+Tableau!$G$21^2)^(3/2))*Tableau!$G$20</f>
        <v>-1.6634215807170003E-4</v>
      </c>
      <c r="X985" s="101">
        <f>((Tableau!$G$25-P985)/(AD985^2+Tableau!$G$30^2)^(3/2))*Tableau!$G$29</f>
        <v>1.1645142976032947E-4</v>
      </c>
      <c r="Y985" s="101">
        <f>((Tableau!$H$25-Q985)/(AD985^2+Tableau!$G$30^2)^(3/2))*Tableau!$G$29</f>
        <v>-5.7217065216387986E-5</v>
      </c>
      <c r="Z985" s="101">
        <f>((Tableau!$G$35-P985)/(AE985^2+Tableau!$G$40^2)^(3/2))*Tableau!$G$39</f>
        <v>3.3899116709393333E-4</v>
      </c>
      <c r="AA985" s="102">
        <f>((Tableau!$H$35-Q985)/(AE985^2+Tableau!$G$40^2)^(3/2))*Tableau!$G$39</f>
        <v>-1.6673829391788495E-4</v>
      </c>
      <c r="AC985" s="113">
        <f>SQRT((Tableau!$G$16-P985)^2+(Tableau!$H$16-Q985)^2)</f>
        <v>37241452.498600483</v>
      </c>
      <c r="AD985" s="114">
        <f>SQRT((Tableau!$G$25-P985)^2+(Tableau!$H$25-Q985)^2)</f>
        <v>37204446.252420492</v>
      </c>
      <c r="AE985" s="115">
        <f>SQRT((Tableau!$G$35-P985)^2+(Tableau!$H$35-Q985)^2)</f>
        <v>37228936.933986552</v>
      </c>
    </row>
    <row r="986" spans="2:31" x14ac:dyDescent="0.25">
      <c r="B986" s="20">
        <v>983</v>
      </c>
      <c r="C986" s="21">
        <f>Tableau!$G$17*COS(B986*PI()/180)+Tableau!$G$16</f>
        <v>19390.653282974272</v>
      </c>
      <c r="D986" s="21">
        <f>Tableau!$G$17*SIN(B986*PI()/180)+Tableau!$H$16</f>
        <v>2537.2692417933886</v>
      </c>
      <c r="F986" s="28">
        <v>983</v>
      </c>
      <c r="G986" s="29">
        <f>Tableau!$G$26*COS(F986*PI()/180)+Tableau!$G$25</f>
        <v>-20426.54270191801</v>
      </c>
      <c r="H986" s="29">
        <f>Tableau!$G$26*SIN(F986*PI()/180)+Tableau!$H$25</f>
        <v>6526.0884692553718</v>
      </c>
      <c r="J986" s="36">
        <v>983</v>
      </c>
      <c r="K986" s="37">
        <f>Tableau!$G$36*COS(J986*PI()/180)+Tableau!$G$35</f>
        <v>-5609.34671702573</v>
      </c>
      <c r="L986" s="37">
        <f>Tableau!$G$36*SIN(J986*PI()/180)+Tableau!$H$35</f>
        <v>-19962.730758206613</v>
      </c>
      <c r="N986" s="92">
        <v>982</v>
      </c>
      <c r="O986" s="93">
        <v>491</v>
      </c>
      <c r="P986" s="96">
        <f>P985+R985*Tableau!$G$2+((1/2)*T985)*Tableau!$G$2^2</f>
        <v>-33445901.874897595</v>
      </c>
      <c r="Q986" s="96">
        <f>Q985+S985*Tableau!$G$2+((1/2)*U985)*Tableau!$G$2^2</f>
        <v>16433454.209279664</v>
      </c>
      <c r="R986" s="96">
        <f>R985+T985*Tableau!$G$2</f>
        <v>-68697.834777300523</v>
      </c>
      <c r="S986" s="96">
        <f>S985+U985*Tableau!$G$2</f>
        <v>33800.547261740365</v>
      </c>
      <c r="T986" s="96">
        <f t="shared" si="30"/>
        <v>7.9271431147268654E-4</v>
      </c>
      <c r="U986" s="96">
        <f t="shared" si="31"/>
        <v>-3.8949656938648531E-4</v>
      </c>
      <c r="V986" s="96">
        <f>((Tableau!$G$16-P986)/(AC986^2+Tableau!$G$21^2)^(3/2))*Tableau!$G$20</f>
        <v>3.3820711850839752E-4</v>
      </c>
      <c r="W986" s="96">
        <f>((Tableau!$H$16-Q986)/(AC986^2+Tableau!$G$21^2)^(3/2))*Tableau!$G$20</f>
        <v>-1.6600104376802657E-4</v>
      </c>
      <c r="X986" s="96">
        <f>((Tableau!$G$25-P986)/(AD986^2+Tableau!$G$30^2)^(3/2))*Tableau!$G$29</f>
        <v>1.16212122234878E-4</v>
      </c>
      <c r="Y986" s="96">
        <f>((Tableau!$H$25-Q986)/(AD986^2+Tableau!$G$30^2)^(3/2))*Tableau!$G$29</f>
        <v>-5.7099565338013101E-5</v>
      </c>
      <c r="Z986" s="96">
        <f>((Tableau!$G$35-P986)/(AE986^2+Tableau!$G$40^2)^(3/2))*Tableau!$G$39</f>
        <v>3.3829507072941095E-4</v>
      </c>
      <c r="AA986" s="97">
        <f>((Tableau!$H$35-Q986)/(AE986^2+Tableau!$G$40^2)^(3/2))*Tableau!$G$39</f>
        <v>-1.6639596028044564E-4</v>
      </c>
      <c r="AC986" s="110">
        <f>SQRT((Tableau!$G$16-P986)^2+(Tableau!$H$16-Q986)^2)</f>
        <v>37279733.904436961</v>
      </c>
      <c r="AD986" s="111">
        <f>SQRT((Tableau!$G$25-P986)^2+(Tableau!$H$25-Q986)^2)</f>
        <v>37242727.670171909</v>
      </c>
      <c r="AE986" s="112">
        <f>SQRT((Tableau!$G$35-P986)^2+(Tableau!$H$35-Q986)^2)</f>
        <v>37267218.357174173</v>
      </c>
    </row>
    <row r="987" spans="2:31" x14ac:dyDescent="0.25">
      <c r="B987" s="18">
        <v>984</v>
      </c>
      <c r="C987" s="19">
        <f>Tableau!$G$17*COS(B987*PI()/180)+Tableau!$G$16</f>
        <v>19477.357683661736</v>
      </c>
      <c r="D987" s="19">
        <f>Tableau!$G$17*SIN(B987*PI()/180)+Tableau!$H$16</f>
        <v>2527.3905231586332</v>
      </c>
      <c r="F987" s="26">
        <v>984</v>
      </c>
      <c r="G987" s="27">
        <f>Tableau!$G$26*COS(F987*PI()/180)+Tableau!$G$25</f>
        <v>-20365.849621436784</v>
      </c>
      <c r="H987" s="27">
        <f>Tableau!$G$26*SIN(F987*PI()/180)+Tableau!$H$25</f>
        <v>6519.1733662110437</v>
      </c>
      <c r="J987" s="34">
        <v>984</v>
      </c>
      <c r="K987" s="35">
        <f>Tableau!$G$36*COS(J987*PI()/180)+Tableau!$G$35</f>
        <v>-5522.6423163382651</v>
      </c>
      <c r="L987" s="35">
        <f>Tableau!$G$36*SIN(J987*PI()/180)+Tableau!$H$35</f>
        <v>-19972.609476841368</v>
      </c>
      <c r="N987" s="98">
        <v>983</v>
      </c>
      <c r="O987" s="99">
        <v>491.5</v>
      </c>
      <c r="P987" s="101">
        <f>P986+R986*Tableau!$G$2+((1/2)*T986)*Tableau!$G$2^2</f>
        <v>-33480250.792187158</v>
      </c>
      <c r="Q987" s="101">
        <f>Q986+S986*Tableau!$G$2+((1/2)*U986)*Tableau!$G$2^2</f>
        <v>16450354.482861847</v>
      </c>
      <c r="R987" s="101">
        <f>R986+T986*Tableau!$G$2</f>
        <v>-68697.834380943372</v>
      </c>
      <c r="S987" s="101">
        <f>S986+U986*Tableau!$G$2</f>
        <v>33800.547066992083</v>
      </c>
      <c r="T987" s="101">
        <f t="shared" si="30"/>
        <v>7.9108810290122846E-4</v>
      </c>
      <c r="U987" s="101">
        <f t="shared" si="31"/>
        <v>-3.8869808453729349E-4</v>
      </c>
      <c r="V987" s="101">
        <f>((Tableau!$G$16-P987)/(AC987^2+Tableau!$G$21^2)^(3/2))*Tableau!$G$20</f>
        <v>3.3751343503019585E-4</v>
      </c>
      <c r="W987" s="101">
        <f>((Tableau!$H$16-Q987)/(AC987^2+Tableau!$G$21^2)^(3/2))*Tableau!$G$20</f>
        <v>-1.656609776636848E-4</v>
      </c>
      <c r="X987" s="101">
        <f>((Tableau!$G$25-P987)/(AD987^2+Tableau!$G$30^2)^(3/2))*Tableau!$G$29</f>
        <v>1.1597355161838638E-4</v>
      </c>
      <c r="Y987" s="101">
        <f>((Tableau!$H$25-Q987)/(AD987^2+Tableau!$G$30^2)^(3/2))*Tableau!$G$29</f>
        <v>-5.6982427032135182E-5</v>
      </c>
      <c r="Z987" s="101">
        <f>((Tableau!$G$35-P987)/(AE987^2+Tableau!$G$40^2)^(3/2))*Tableau!$G$39</f>
        <v>3.3760111625264616E-4</v>
      </c>
      <c r="AA987" s="102">
        <f>((Tableau!$H$35-Q987)/(AE987^2+Tableau!$G$40^2)^(3/2))*Tableau!$G$39</f>
        <v>-1.6605467984147351E-4</v>
      </c>
      <c r="AC987" s="113">
        <f>SQRT((Tableau!$G$16-P987)^2+(Tableau!$H$16-Q987)^2)</f>
        <v>37318015.31008859</v>
      </c>
      <c r="AD987" s="114">
        <f>SQRT((Tableau!$G$25-P987)^2+(Tableau!$H$25-Q987)^2)</f>
        <v>37281009.087714039</v>
      </c>
      <c r="AE987" s="115">
        <f>SQRT((Tableau!$G$35-P987)^2+(Tableau!$H$35-Q987)^2)</f>
        <v>37305499.780141346</v>
      </c>
    </row>
    <row r="988" spans="2:31" x14ac:dyDescent="0.25">
      <c r="B988" s="20">
        <v>985</v>
      </c>
      <c r="C988" s="21">
        <f>Tableau!$G$17*COS(B988*PI()/180)+Tableau!$G$16</f>
        <v>19564.221286261705</v>
      </c>
      <c r="D988" s="21">
        <f>Tableau!$G$17*SIN(B988*PI()/180)+Tableau!$H$16</f>
        <v>2519.0265095412724</v>
      </c>
      <c r="F988" s="28">
        <v>985</v>
      </c>
      <c r="G988" s="29">
        <f>Tableau!$G$26*COS(F988*PI()/180)+Tableau!$G$25</f>
        <v>-20305.045099616807</v>
      </c>
      <c r="H988" s="29">
        <f>Tableau!$G$26*SIN(F988*PI()/180)+Tableau!$H$25</f>
        <v>6513.3185566788907</v>
      </c>
      <c r="J988" s="36">
        <v>985</v>
      </c>
      <c r="K988" s="37">
        <f>Tableau!$G$36*COS(J988*PI()/180)+Tableau!$G$35</f>
        <v>-5435.7787137382938</v>
      </c>
      <c r="L988" s="37">
        <f>Tableau!$G$36*SIN(J988*PI()/180)+Tableau!$H$35</f>
        <v>-19980.973490458728</v>
      </c>
      <c r="N988" s="92">
        <v>984</v>
      </c>
      <c r="O988" s="93">
        <v>492</v>
      </c>
      <c r="P988" s="96">
        <f>P987+R987*Tableau!$G$2+((1/2)*T987)*Tableau!$G$2^2</f>
        <v>-33514599.709278744</v>
      </c>
      <c r="Q988" s="96">
        <f>Q987+S987*Tableau!$G$2+((1/2)*U987)*Tableau!$G$2^2</f>
        <v>16467254.756346755</v>
      </c>
      <c r="R988" s="96">
        <f>R987+T987*Tableau!$G$2</f>
        <v>-68697.833985399324</v>
      </c>
      <c r="S988" s="96">
        <f>S987+U987*Tableau!$G$2</f>
        <v>33800.546872643041</v>
      </c>
      <c r="T988" s="96">
        <f t="shared" si="30"/>
        <v>7.8946689332265343E-4</v>
      </c>
      <c r="U988" s="96">
        <f t="shared" si="31"/>
        <v>-3.8790205257032155E-4</v>
      </c>
      <c r="V988" s="96">
        <f>((Tableau!$G$16-P988)/(AC988^2+Tableau!$G$21^2)^(3/2))*Tableau!$G$20</f>
        <v>3.3682188354910953E-4</v>
      </c>
      <c r="W988" s="96">
        <f>((Tableau!$H$16-Q988)/(AC988^2+Tableau!$G$21^2)^(3/2))*Tableau!$G$20</f>
        <v>-1.6532195546843363E-4</v>
      </c>
      <c r="X988" s="96">
        <f>((Tableau!$G$25-P988)/(AD988^2+Tableau!$G$30^2)^(3/2))*Tableau!$G$29</f>
        <v>1.1573571488836535E-4</v>
      </c>
      <c r="Y988" s="96">
        <f>((Tableau!$H$25-Q988)/(AD988^2+Tableau!$G$30^2)^(3/2))*Tableau!$G$29</f>
        <v>-5.6865648816758381E-5</v>
      </c>
      <c r="Z988" s="96">
        <f>((Tableau!$G$35-P988)/(AE988^2+Tableau!$G$40^2)^(3/2))*Tableau!$G$39</f>
        <v>3.3690929488517854E-4</v>
      </c>
      <c r="AA988" s="97">
        <f>((Tableau!$H$35-Q988)/(AE988^2+Tableau!$G$40^2)^(3/2))*Tableau!$G$39</f>
        <v>-1.6571444828512955E-4</v>
      </c>
      <c r="AC988" s="110">
        <f>SQRT((Tableau!$G$16-P988)^2+(Tableau!$H$16-Q988)^2)</f>
        <v>37356296.715555698</v>
      </c>
      <c r="AD988" s="111">
        <f>SQRT((Tableau!$G$25-P988)^2+(Tableau!$H$25-Q988)^2)</f>
        <v>37319290.505047299</v>
      </c>
      <c r="AE988" s="112">
        <f>SQRT((Tableau!$G$35-P988)^2+(Tableau!$H$35-Q988)^2)</f>
        <v>37343781.202888511</v>
      </c>
    </row>
    <row r="989" spans="2:31" x14ac:dyDescent="0.25">
      <c r="B989" s="18">
        <v>986</v>
      </c>
      <c r="C989" s="19">
        <f>Tableau!$G$17*COS(B989*PI()/180)+Tableau!$G$16</f>
        <v>19651.217631279382</v>
      </c>
      <c r="D989" s="19">
        <f>Tableau!$G$17*SIN(B989*PI()/180)+Tableau!$H$16</f>
        <v>2512.179748700878</v>
      </c>
      <c r="F989" s="26">
        <v>986</v>
      </c>
      <c r="G989" s="27">
        <f>Tableau!$G$26*COS(F989*PI()/180)+Tableau!$G$25</f>
        <v>-20244.147658104434</v>
      </c>
      <c r="H989" s="27">
        <f>Tableau!$G$26*SIN(F989*PI()/180)+Tableau!$H$25</f>
        <v>6508.5258240906151</v>
      </c>
      <c r="J989" s="34">
        <v>986</v>
      </c>
      <c r="K989" s="35">
        <f>Tableau!$G$36*COS(J989*PI()/180)+Tableau!$G$35</f>
        <v>-5348.7823687206173</v>
      </c>
      <c r="L989" s="35">
        <f>Tableau!$G$36*SIN(J989*PI()/180)+Tableau!$H$35</f>
        <v>-19987.820251299123</v>
      </c>
      <c r="N989" s="98">
        <v>985</v>
      </c>
      <c r="O989" s="99">
        <v>492.5</v>
      </c>
      <c r="P989" s="101">
        <f>P988+R988*Tableau!$G$2+((1/2)*T988)*Tableau!$G$2^2</f>
        <v>-33548948.626172759</v>
      </c>
      <c r="Q989" s="101">
        <f>Q988+S988*Tableau!$G$2+((1/2)*U988)*Tableau!$G$2^2</f>
        <v>16484155.029734587</v>
      </c>
      <c r="R989" s="101">
        <f>R988+T988*Tableau!$G$2</f>
        <v>-68697.833590665876</v>
      </c>
      <c r="S989" s="101">
        <f>S988+U988*Tableau!$G$2</f>
        <v>33800.546678692015</v>
      </c>
      <c r="T989" s="101">
        <f t="shared" si="30"/>
        <v>7.8785066226859564E-4</v>
      </c>
      <c r="U989" s="101">
        <f t="shared" si="31"/>
        <v>-3.871084634490916E-4</v>
      </c>
      <c r="V989" s="101">
        <f>((Tableau!$G$16-P989)/(AC989^2+Tableau!$G$21^2)^(3/2))*Tableau!$G$20</f>
        <v>3.3613245533730551E-4</v>
      </c>
      <c r="W989" s="101">
        <f>((Tableau!$H$16-Q989)/(AC989^2+Tableau!$G$21^2)^(3/2))*Tableau!$G$20</f>
        <v>-1.6498397291395554E-4</v>
      </c>
      <c r="X989" s="101">
        <f>((Tableau!$G$25-P989)/(AD989^2+Tableau!$G$30^2)^(3/2))*Tableau!$G$29</f>
        <v>1.1549860903780415E-4</v>
      </c>
      <c r="Y989" s="101">
        <f>((Tableau!$H$25-Q989)/(AD989^2+Tableau!$G$30^2)^(3/2))*Tableau!$G$29</f>
        <v>-5.6749229217471076E-5</v>
      </c>
      <c r="Z989" s="101">
        <f>((Tableau!$G$35-P989)/(AE989^2+Tableau!$G$40^2)^(3/2))*Tableau!$G$39</f>
        <v>3.3621959789348598E-4</v>
      </c>
      <c r="AA989" s="102">
        <f>((Tableau!$H$35-Q989)/(AE989^2+Tableau!$G$40^2)^(3/2))*Tableau!$G$39</f>
        <v>-1.6537526131766498E-4</v>
      </c>
      <c r="AC989" s="113">
        <f>SQRT((Tableau!$G$16-P989)^2+(Tableau!$H$16-Q989)^2)</f>
        <v>37394578.120838642</v>
      </c>
      <c r="AD989" s="114">
        <f>SQRT((Tableau!$G$25-P989)^2+(Tableau!$H$25-Q989)^2)</f>
        <v>37357571.922172107</v>
      </c>
      <c r="AE989" s="115">
        <f>SQRT((Tableau!$G$35-P989)^2+(Tableau!$H$35-Q989)^2)</f>
        <v>37382062.62541613</v>
      </c>
    </row>
    <row r="990" spans="2:31" x14ac:dyDescent="0.25">
      <c r="B990" s="20">
        <v>987</v>
      </c>
      <c r="C990" s="21">
        <f>Tableau!$G$17*COS(B990*PI()/180)+Tableau!$G$16</f>
        <v>19738.320218785284</v>
      </c>
      <c r="D990" s="21">
        <f>Tableau!$G$17*SIN(B990*PI()/180)+Tableau!$H$16</f>
        <v>2506.8523262271301</v>
      </c>
      <c r="F990" s="28">
        <v>987</v>
      </c>
      <c r="G990" s="29">
        <f>Tableau!$G$26*COS(F990*PI()/180)+Tableau!$G$25</f>
        <v>-20183.175846850299</v>
      </c>
      <c r="H990" s="29">
        <f>Tableau!$G$26*SIN(F990*PI()/180)+Tableau!$H$25</f>
        <v>6504.7966283589913</v>
      </c>
      <c r="J990" s="36">
        <v>987</v>
      </c>
      <c r="K990" s="37">
        <f>Tableau!$G$36*COS(J990*PI()/180)+Tableau!$G$35</f>
        <v>-5261.6797812147151</v>
      </c>
      <c r="L990" s="37">
        <f>Tableau!$G$36*SIN(J990*PI()/180)+Tableau!$H$35</f>
        <v>-19993.14767377287</v>
      </c>
      <c r="N990" s="92">
        <v>986</v>
      </c>
      <c r="O990" s="93">
        <v>493</v>
      </c>
      <c r="P990" s="96">
        <f>P989+R989*Tableau!$G$2+((1/2)*T989)*Tableau!$G$2^2</f>
        <v>-33583297.542869613</v>
      </c>
      <c r="Q990" s="96">
        <f>Q989+S989*Tableau!$G$2+((1/2)*U989)*Tableau!$G$2^2</f>
        <v>16501055.303025546</v>
      </c>
      <c r="R990" s="96">
        <f>R989+T989*Tableau!$G$2</f>
        <v>-68697.833196740539</v>
      </c>
      <c r="S990" s="96">
        <f>S989+U989*Tableau!$G$2</f>
        <v>33800.546485137784</v>
      </c>
      <c r="T990" s="96">
        <f t="shared" si="30"/>
        <v>7.8623938937533058E-4</v>
      </c>
      <c r="U990" s="96">
        <f t="shared" si="31"/>
        <v>-3.8631730718840059E-4</v>
      </c>
      <c r="V990" s="96">
        <f>((Tableau!$G$16-P990)/(AC990^2+Tableau!$G$21^2)^(3/2))*Tableau!$G$20</f>
        <v>3.3544514171156764E-4</v>
      </c>
      <c r="W990" s="96">
        <f>((Tableau!$H$16-Q990)/(AC990^2+Tableau!$G$21^2)^(3/2))*Tableau!$G$20</f>
        <v>-1.6464702575372632E-4</v>
      </c>
      <c r="X990" s="96">
        <f>((Tableau!$G$25-P990)/(AD990^2+Tableau!$G$30^2)^(3/2))*Tableau!$G$29</f>
        <v>1.1526223107507826E-4</v>
      </c>
      <c r="Y990" s="96">
        <f>((Tableau!$H$25-Q990)/(AD990^2+Tableau!$G$30^2)^(3/2))*Tableau!$G$29</f>
        <v>-5.6633166767400709E-5</v>
      </c>
      <c r="Z990" s="96">
        <f>((Tableau!$G$35-P990)/(AE990^2+Tableau!$G$40^2)^(3/2))*Tableau!$G$39</f>
        <v>3.3553201658868473E-4</v>
      </c>
      <c r="AA990" s="97">
        <f>((Tableau!$H$35-Q990)/(AE990^2+Tableau!$G$40^2)^(3/2))*Tableau!$G$39</f>
        <v>-1.6503711466727355E-4</v>
      </c>
      <c r="AC990" s="110">
        <f>SQRT((Tableau!$G$16-P990)^2+(Tableau!$H$16-Q990)^2)</f>
        <v>37432859.525937758</v>
      </c>
      <c r="AD990" s="111">
        <f>SQRT((Tableau!$G$25-P990)^2+(Tableau!$H$25-Q990)^2)</f>
        <v>37395853.339088872</v>
      </c>
      <c r="AE990" s="112">
        <f>SQRT((Tableau!$G$35-P990)^2+(Tableau!$H$35-Q990)^2)</f>
        <v>37420344.047724649</v>
      </c>
    </row>
    <row r="991" spans="2:31" x14ac:dyDescent="0.25">
      <c r="B991" s="18">
        <v>988</v>
      </c>
      <c r="C991" s="19">
        <f>Tableau!$G$17*COS(B991*PI()/180)+Tableau!$G$16</f>
        <v>19825.502516487493</v>
      </c>
      <c r="D991" s="19">
        <f>Tableau!$G$17*SIN(B991*PI()/180)+Tableau!$H$16</f>
        <v>2503.0458649045213</v>
      </c>
      <c r="F991" s="26">
        <v>988</v>
      </c>
      <c r="G991" s="27">
        <f>Tableau!$G$26*COS(F991*PI()/180)+Tableau!$G$25</f>
        <v>-20122.148238458754</v>
      </c>
      <c r="H991" s="27">
        <f>Tableau!$G$26*SIN(F991*PI()/180)+Tableau!$H$25</f>
        <v>6502.1321054331647</v>
      </c>
      <c r="J991" s="34">
        <v>988</v>
      </c>
      <c r="K991" s="35">
        <f>Tableau!$G$36*COS(J991*PI()/180)+Tableau!$G$35</f>
        <v>-5174.4974835125058</v>
      </c>
      <c r="L991" s="35">
        <f>Tableau!$G$36*SIN(J991*PI()/180)+Tableau!$H$35</f>
        <v>-19996.954135095479</v>
      </c>
      <c r="N991" s="98">
        <v>987</v>
      </c>
      <c r="O991" s="99">
        <v>493.5</v>
      </c>
      <c r="P991" s="101">
        <f>P990+R990*Tableau!$G$2+((1/2)*T990)*Tableau!$G$2^2</f>
        <v>-33617646.459369704</v>
      </c>
      <c r="Q991" s="101">
        <f>Q990+S990*Tableau!$G$2+((1/2)*U990)*Tableau!$G$2^2</f>
        <v>16517955.576219825</v>
      </c>
      <c r="R991" s="101">
        <f>R990+T990*Tableau!$G$2</f>
        <v>-68697.83280362084</v>
      </c>
      <c r="S991" s="101">
        <f>S990+U990*Tableau!$G$2</f>
        <v>33800.546291979132</v>
      </c>
      <c r="T991" s="101">
        <f t="shared" si="30"/>
        <v>7.8463305438316189E-4</v>
      </c>
      <c r="U991" s="101">
        <f t="shared" si="31"/>
        <v>-3.8552857385402029E-4</v>
      </c>
      <c r="V991" s="101">
        <f>((Tableau!$G$16-P991)/(AC991^2+Tableau!$G$21^2)^(3/2))*Tableau!$G$20</f>
        <v>3.3475993403303078E-4</v>
      </c>
      <c r="W991" s="101">
        <f>((Tableau!$H$16-Q991)/(AC991^2+Tableau!$G$21^2)^(3/2))*Tableau!$G$20</f>
        <v>-1.6431110976288557E-4</v>
      </c>
      <c r="X991" s="101">
        <f>((Tableau!$G$25-P991)/(AD991^2+Tableau!$G$30^2)^(3/2))*Tableau!$G$29</f>
        <v>1.1502657802385127E-4</v>
      </c>
      <c r="Y991" s="101">
        <f>((Tableau!$H$25-Q991)/(AD991^2+Tableau!$G$30^2)^(3/2))*Tableau!$G$29</f>
        <v>-5.6517460007165729E-5</v>
      </c>
      <c r="Z991" s="101">
        <f>((Tableau!$G$35-P991)/(AE991^2+Tableau!$G$40^2)^(3/2))*Tableau!$G$39</f>
        <v>3.3484654232627988E-4</v>
      </c>
      <c r="AA991" s="102">
        <f>((Tableau!$H$35-Q991)/(AE991^2+Tableau!$G$40^2)^(3/2))*Tableau!$G$39</f>
        <v>-1.6470000408396902E-4</v>
      </c>
      <c r="AC991" s="113">
        <f>SQRT((Tableau!$G$16-P991)^2+(Tableau!$H$16-Q991)^2)</f>
        <v>37471140.930853382</v>
      </c>
      <c r="AD991" s="114">
        <f>SQRT((Tableau!$G$25-P991)^2+(Tableau!$H$25-Q991)^2)</f>
        <v>37434134.755798012</v>
      </c>
      <c r="AE991" s="115">
        <f>SQRT((Tableau!$G$35-P991)^2+(Tableau!$H$35-Q991)^2)</f>
        <v>37458625.469814517</v>
      </c>
    </row>
    <row r="992" spans="2:31" x14ac:dyDescent="0.25">
      <c r="B992" s="20">
        <v>989</v>
      </c>
      <c r="C992" s="21">
        <f>Tableau!$G$17*COS(B992*PI()/180)+Tableau!$G$16</f>
        <v>19912.737967813577</v>
      </c>
      <c r="D992" s="21">
        <f>Tableau!$G$17*SIN(B992*PI()/180)+Tableau!$H$16</f>
        <v>2500.7615242180436</v>
      </c>
      <c r="F992" s="28">
        <v>989</v>
      </c>
      <c r="G992" s="29">
        <f>Tableau!$G$26*COS(F992*PI()/180)+Tableau!$G$25</f>
        <v>-20061.083422530497</v>
      </c>
      <c r="H992" s="29">
        <f>Tableau!$G$26*SIN(F992*PI()/180)+Tableau!$H$25</f>
        <v>6500.5330669526302</v>
      </c>
      <c r="J992" s="36">
        <v>989</v>
      </c>
      <c r="K992" s="37">
        <f>Tableau!$G$36*COS(J992*PI()/180)+Tableau!$G$35</f>
        <v>-5087.2620321864242</v>
      </c>
      <c r="L992" s="37">
        <f>Tableau!$G$36*SIN(J992*PI()/180)+Tableau!$H$35</f>
        <v>-19999.238475781956</v>
      </c>
      <c r="N992" s="92">
        <v>988</v>
      </c>
      <c r="O992" s="93">
        <v>494</v>
      </c>
      <c r="P992" s="96">
        <f>P991+R991*Tableau!$G$2+((1/2)*T991)*Tableau!$G$2^2</f>
        <v>-33651995.375673436</v>
      </c>
      <c r="Q992" s="96">
        <f>Q991+S991*Tableau!$G$2+((1/2)*U991)*Tableau!$G$2^2</f>
        <v>16534855.849317625</v>
      </c>
      <c r="R992" s="96">
        <f>R991+T991*Tableau!$G$2</f>
        <v>-68697.83241130432</v>
      </c>
      <c r="S992" s="96">
        <f>S991+U991*Tableau!$G$2</f>
        <v>33800.546099214844</v>
      </c>
      <c r="T992" s="96">
        <f t="shared" si="30"/>
        <v>7.8303163713574933E-4</v>
      </c>
      <c r="U992" s="96">
        <f t="shared" si="31"/>
        <v>-3.8474225356236813E-4</v>
      </c>
      <c r="V992" s="96">
        <f>((Tableau!$G$16-P992)/(AC992^2+Tableau!$G$21^2)^(3/2))*Tableau!$G$20</f>
        <v>3.3407682370688963E-4</v>
      </c>
      <c r="W992" s="96">
        <f>((Tableau!$H$16-Q992)/(AC992^2+Tableau!$G$21^2)^(3/2))*Tableau!$G$20</f>
        <v>-1.6397622073809423E-4</v>
      </c>
      <c r="X992" s="96">
        <f>((Tableau!$G$25-P992)/(AD992^2+Tableau!$G$30^2)^(3/2))*Tableau!$G$29</f>
        <v>1.1479164692298826E-4</v>
      </c>
      <c r="Y992" s="96">
        <f>((Tableau!$H$25-Q992)/(AD992^2+Tableau!$G$30^2)^(3/2))*Tableau!$G$29</f>
        <v>-5.6402107484833201E-5</v>
      </c>
      <c r="Z992" s="96">
        <f>((Tableau!$G$35-P992)/(AE992^2+Tableau!$G$40^2)^(3/2))*Tableau!$G$39</f>
        <v>3.3416316650587138E-4</v>
      </c>
      <c r="AA992" s="97">
        <f>((Tableau!$H$35-Q992)/(AE992^2+Tableau!$G$40^2)^(3/2))*Tableau!$G$39</f>
        <v>-1.643639253394407E-4</v>
      </c>
      <c r="AC992" s="110">
        <f>SQRT((Tableau!$G$16-P992)^2+(Tableau!$H$16-Q992)^2)</f>
        <v>37509422.335585855</v>
      </c>
      <c r="AD992" s="111">
        <f>SQRT((Tableau!$G$25-P992)^2+(Tableau!$H$25-Q992)^2)</f>
        <v>37472416.172299944</v>
      </c>
      <c r="AE992" s="112">
        <f>SQRT((Tableau!$G$35-P992)^2+(Tableau!$H$35-Q992)^2)</f>
        <v>37496906.891686179</v>
      </c>
    </row>
    <row r="993" spans="2:31" x14ac:dyDescent="0.25">
      <c r="B993" s="18">
        <v>990</v>
      </c>
      <c r="C993" s="19">
        <f>Tableau!$G$17*COS(B993*PI()/180)+Tableau!$G$16</f>
        <v>20000.000000000007</v>
      </c>
      <c r="D993" s="19">
        <f>Tableau!$G$17*SIN(B993*PI()/180)+Tableau!$H$16</f>
        <v>2500</v>
      </c>
      <c r="F993" s="26">
        <v>990</v>
      </c>
      <c r="G993" s="27">
        <f>Tableau!$G$26*COS(F993*PI()/180)+Tableau!$G$25</f>
        <v>-19999.999999999996</v>
      </c>
      <c r="H993" s="27">
        <f>Tableau!$G$26*SIN(F993*PI()/180)+Tableau!$H$25</f>
        <v>6500</v>
      </c>
      <c r="J993" s="34">
        <v>990</v>
      </c>
      <c r="K993" s="35">
        <f>Tableau!$G$36*COS(J993*PI()/180)+Tableau!$G$35</f>
        <v>-4999.9999999999945</v>
      </c>
      <c r="L993" s="35">
        <f>Tableau!$G$36*SIN(J993*PI()/180)+Tableau!$H$35</f>
        <v>-20000</v>
      </c>
      <c r="N993" s="98">
        <v>989</v>
      </c>
      <c r="O993" s="99">
        <v>494.5</v>
      </c>
      <c r="P993" s="101">
        <f>P992+R992*Tableau!$G$2+((1/2)*T992)*Tableau!$G$2^2</f>
        <v>-33686344.291781209</v>
      </c>
      <c r="Q993" s="101">
        <f>Q992+S992*Tableau!$G$2+((1/2)*U992)*Tableau!$G$2^2</f>
        <v>16551756.12231914</v>
      </c>
      <c r="R993" s="101">
        <f>R992+T992*Tableau!$G$2</f>
        <v>-68697.832019788504</v>
      </c>
      <c r="S993" s="101">
        <f>S992+U992*Tableau!$G$2</f>
        <v>33800.545906843719</v>
      </c>
      <c r="T993" s="101">
        <f t="shared" si="30"/>
        <v>7.8143511757950302E-4</v>
      </c>
      <c r="U993" s="101">
        <f t="shared" si="31"/>
        <v>-3.8395833648021056E-4</v>
      </c>
      <c r="V993" s="101">
        <f>((Tableau!$G$16-P993)/(AC993^2+Tableau!$G$21^2)^(3/2))*Tableau!$G$20</f>
        <v>3.3339580218215079E-4</v>
      </c>
      <c r="W993" s="101">
        <f>((Tableau!$H$16-Q993)/(AC993^2+Tableau!$G$21^2)^(3/2))*Tableau!$G$20</f>
        <v>-1.6364235449741404E-4</v>
      </c>
      <c r="X993" s="101">
        <f>((Tableau!$G$25-P993)/(AD993^2+Tableau!$G$30^2)^(3/2))*Tableau!$G$29</f>
        <v>1.1455743482645554E-4</v>
      </c>
      <c r="Y993" s="101">
        <f>((Tableau!$H$25-Q993)/(AD993^2+Tableau!$G$30^2)^(3/2))*Tableau!$G$29</f>
        <v>-5.6287107755869675E-5</v>
      </c>
      <c r="Z993" s="101">
        <f>((Tableau!$G$35-P993)/(AE993^2+Tableau!$G$40^2)^(3/2))*Tableau!$G$39</f>
        <v>3.3348188057089664E-4</v>
      </c>
      <c r="AA993" s="102">
        <f>((Tableau!$H$35-Q993)/(AE993^2+Tableau!$G$40^2)^(3/2))*Tableau!$G$39</f>
        <v>-1.6402887422692686E-4</v>
      </c>
      <c r="AC993" s="113">
        <f>SQRT((Tableau!$G$16-P993)^2+(Tableau!$H$16-Q993)^2)</f>
        <v>37547703.740135506</v>
      </c>
      <c r="AD993" s="114">
        <f>SQRT((Tableau!$G$25-P993)^2+(Tableau!$H$25-Q993)^2)</f>
        <v>37510697.58859507</v>
      </c>
      <c r="AE993" s="115">
        <f>SQRT((Tableau!$G$35-P993)^2+(Tableau!$H$35-Q993)^2)</f>
        <v>37535188.313340075</v>
      </c>
    </row>
    <row r="994" spans="2:31" x14ac:dyDescent="0.25">
      <c r="B994" s="20">
        <v>991</v>
      </c>
      <c r="C994" s="21">
        <f>Tableau!$G$17*COS(B994*PI()/180)+Tableau!$G$16</f>
        <v>20087.262032186416</v>
      </c>
      <c r="D994" s="21">
        <f>Tableau!$G$17*SIN(B994*PI()/180)+Tableau!$H$16</f>
        <v>2500.7615242180436</v>
      </c>
      <c r="F994" s="28">
        <v>991</v>
      </c>
      <c r="G994" s="29">
        <f>Tableau!$G$26*COS(F994*PI()/180)+Tableau!$G$25</f>
        <v>-19938.916577469507</v>
      </c>
      <c r="H994" s="29">
        <f>Tableau!$G$26*SIN(F994*PI()/180)+Tableau!$H$25</f>
        <v>6500.5330669526302</v>
      </c>
      <c r="J994" s="36">
        <v>991</v>
      </c>
      <c r="K994" s="37">
        <f>Tableau!$G$36*COS(J994*PI()/180)+Tableau!$G$35</f>
        <v>-4912.7379678135821</v>
      </c>
      <c r="L994" s="37">
        <f>Tableau!$G$36*SIN(J994*PI()/180)+Tableau!$H$35</f>
        <v>-19999.238475781956</v>
      </c>
      <c r="N994" s="92">
        <v>990</v>
      </c>
      <c r="O994" s="93">
        <v>495</v>
      </c>
      <c r="P994" s="96">
        <f>P993+R993*Tableau!$G$2+((1/2)*T993)*Tableau!$G$2^2</f>
        <v>-33720693.207693428</v>
      </c>
      <c r="Q994" s="96">
        <f>Q993+S993*Tableau!$G$2+((1/2)*U993)*Tableau!$G$2^2</f>
        <v>16568656.395224568</v>
      </c>
      <c r="R994" s="96">
        <f>R993+T993*Tableau!$G$2</f>
        <v>-68697.831629070948</v>
      </c>
      <c r="S994" s="96">
        <f>S993+U993*Tableau!$G$2</f>
        <v>33800.545714864551</v>
      </c>
      <c r="T994" s="96">
        <f t="shared" si="30"/>
        <v>7.7984347576295953E-4</v>
      </c>
      <c r="U994" s="96">
        <f t="shared" si="31"/>
        <v>-3.8317681282435778E-4</v>
      </c>
      <c r="V994" s="96">
        <f>((Tableau!$G$16-P994)/(AC994^2+Tableau!$G$21^2)^(3/2))*Tableau!$G$20</f>
        <v>3.3271686095134927E-4</v>
      </c>
      <c r="W994" s="96">
        <f>((Tableau!$H$16-Q994)/(AC994^2+Tableau!$G$21^2)^(3/2))*Tableau!$G$20</f>
        <v>-1.6330950688016901E-4</v>
      </c>
      <c r="X994" s="96">
        <f>((Tableau!$G$25-P994)/(AD994^2+Tableau!$G$30^2)^(3/2))*Tableau!$G$29</f>
        <v>1.1432393880323274E-4</v>
      </c>
      <c r="Y994" s="96">
        <f>((Tableau!$H$25-Q994)/(AD994^2+Tableau!$G$30^2)^(3/2))*Tableau!$G$29</f>
        <v>-5.6172459383098188E-5</v>
      </c>
      <c r="Z994" s="96">
        <f>((Tableau!$G$35-P994)/(AE994^2+Tableau!$G$40^2)^(3/2))*Tableau!$G$39</f>
        <v>3.3280267600837747E-4</v>
      </c>
      <c r="AA994" s="97">
        <f>((Tableau!$H$35-Q994)/(AE994^2+Tableau!$G$40^2)^(3/2))*Tableau!$G$39</f>
        <v>-1.6369484656109058E-4</v>
      </c>
      <c r="AC994" s="110">
        <f>SQRT((Tableau!$G$16-P994)^2+(Tableau!$H$16-Q994)^2)</f>
        <v>37585985.144502692</v>
      </c>
      <c r="AD994" s="111">
        <f>SQRT((Tableau!$G$25-P994)^2+(Tableau!$H$25-Q994)^2)</f>
        <v>37548979.004683807</v>
      </c>
      <c r="AE994" s="112">
        <f>SQRT((Tableau!$G$35-P994)^2+(Tableau!$H$35-Q994)^2)</f>
        <v>37573469.734776661</v>
      </c>
    </row>
    <row r="995" spans="2:31" x14ac:dyDescent="0.25">
      <c r="B995" s="18">
        <v>992</v>
      </c>
      <c r="C995" s="19">
        <f>Tableau!$G$17*COS(B995*PI()/180)+Tableau!$G$16</f>
        <v>20174.497483512499</v>
      </c>
      <c r="D995" s="19">
        <f>Tableau!$G$17*SIN(B995*PI()/180)+Tableau!$H$16</f>
        <v>2503.0458649045213</v>
      </c>
      <c r="F995" s="26">
        <v>992</v>
      </c>
      <c r="G995" s="27">
        <f>Tableau!$G$26*COS(F995*PI()/180)+Tableau!$G$25</f>
        <v>-19877.851761541249</v>
      </c>
      <c r="H995" s="27">
        <f>Tableau!$G$26*SIN(F995*PI()/180)+Tableau!$H$25</f>
        <v>6502.1321054331647</v>
      </c>
      <c r="J995" s="34">
        <v>992</v>
      </c>
      <c r="K995" s="35">
        <f>Tableau!$G$36*COS(J995*PI()/180)+Tableau!$G$35</f>
        <v>-4825.5025164875005</v>
      </c>
      <c r="L995" s="35">
        <f>Tableau!$G$36*SIN(J995*PI()/180)+Tableau!$H$35</f>
        <v>-19996.954135095479</v>
      </c>
      <c r="N995" s="98">
        <v>991</v>
      </c>
      <c r="O995" s="99">
        <v>495.5</v>
      </c>
      <c r="P995" s="101">
        <f>P994+R994*Tableau!$G$2+((1/2)*T994)*Tableau!$G$2^2</f>
        <v>-33755042.123410478</v>
      </c>
      <c r="Q995" s="101">
        <f>Q994+S994*Tableau!$G$2+((1/2)*U994)*Tableau!$G$2^2</f>
        <v>16585556.668034103</v>
      </c>
      <c r="R995" s="101">
        <f>R994+T994*Tableau!$G$2</f>
        <v>-68697.831239149207</v>
      </c>
      <c r="S995" s="101">
        <f>S994+U994*Tableau!$G$2</f>
        <v>33800.545523276145</v>
      </c>
      <c r="T995" s="101">
        <f t="shared" si="30"/>
        <v>7.782566918361235E-4</v>
      </c>
      <c r="U995" s="101">
        <f t="shared" si="31"/>
        <v>-3.8239767286134079E-4</v>
      </c>
      <c r="V995" s="101">
        <f>((Tableau!$G$16-P995)/(AC995^2+Tableau!$G$21^2)^(3/2))*Tableau!$G$20</f>
        <v>3.3203999155029024E-4</v>
      </c>
      <c r="W995" s="101">
        <f>((Tableau!$H$16-Q995)/(AC995^2+Tableau!$G$21^2)^(3/2))*Tableau!$G$20</f>
        <v>-1.6297767374681945E-4</v>
      </c>
      <c r="X995" s="101">
        <f>((Tableau!$G$25-P995)/(AD995^2+Tableau!$G$30^2)^(3/2))*Tableau!$G$29</f>
        <v>1.1409115593721877E-4</v>
      </c>
      <c r="Y995" s="101">
        <f>((Tableau!$H$25-Q995)/(AD995^2+Tableau!$G$30^2)^(3/2))*Tableau!$G$29</f>
        <v>-5.6058160936652193E-5</v>
      </c>
      <c r="Z995" s="101">
        <f>((Tableau!$G$35-P995)/(AE995^2+Tableau!$G$40^2)^(3/2))*Tableau!$G$39</f>
        <v>3.3212554434861448E-4</v>
      </c>
      <c r="AA995" s="102">
        <f>((Tableau!$H$35-Q995)/(AE995^2+Tableau!$G$40^2)^(3/2))*Tableau!$G$39</f>
        <v>-1.6336183817786912E-4</v>
      </c>
      <c r="AC995" s="113">
        <f>SQRT((Tableau!$G$16-P995)^2+(Tableau!$H$16-Q995)^2)</f>
        <v>37624266.548687726</v>
      </c>
      <c r="AD995" s="114">
        <f>SQRT((Tableau!$G$25-P995)^2+(Tableau!$H$25-Q995)^2)</f>
        <v>37587260.420566551</v>
      </c>
      <c r="AE995" s="115">
        <f>SQRT((Tableau!$G$35-P995)^2+(Tableau!$H$35-Q995)^2)</f>
        <v>37611751.15599636</v>
      </c>
    </row>
    <row r="996" spans="2:31" x14ac:dyDescent="0.25">
      <c r="B996" s="20">
        <v>993</v>
      </c>
      <c r="C996" s="21">
        <f>Tableau!$G$17*COS(B996*PI()/180)+Tableau!$G$16</f>
        <v>20261.679781214727</v>
      </c>
      <c r="D996" s="21">
        <f>Tableau!$G$17*SIN(B996*PI()/180)+Tableau!$H$16</f>
        <v>2506.852326227131</v>
      </c>
      <c r="F996" s="28">
        <v>993</v>
      </c>
      <c r="G996" s="29">
        <f>Tableau!$G$26*COS(F996*PI()/180)+Tableau!$G$25</f>
        <v>-19816.824153149693</v>
      </c>
      <c r="H996" s="29">
        <f>Tableau!$G$26*SIN(F996*PI()/180)+Tableau!$H$25</f>
        <v>6504.7966283589922</v>
      </c>
      <c r="J996" s="36">
        <v>993</v>
      </c>
      <c r="K996" s="37">
        <f>Tableau!$G$36*COS(J996*PI()/180)+Tableau!$G$35</f>
        <v>-4738.3202187852739</v>
      </c>
      <c r="L996" s="37">
        <f>Tableau!$G$36*SIN(J996*PI()/180)+Tableau!$H$35</f>
        <v>-19993.14767377287</v>
      </c>
      <c r="N996" s="92">
        <v>992</v>
      </c>
      <c r="O996" s="93">
        <v>496</v>
      </c>
      <c r="P996" s="96">
        <f>P995+R995*Tableau!$G$2+((1/2)*T995)*Tableau!$G$2^2</f>
        <v>-33789391.03893277</v>
      </c>
      <c r="Q996" s="96">
        <f>Q995+S995*Tableau!$G$2+((1/2)*U995)*Tableau!$G$2^2</f>
        <v>16602456.940747941</v>
      </c>
      <c r="R996" s="96">
        <f>R995+T995*Tableau!$G$2</f>
        <v>-68697.830850020866</v>
      </c>
      <c r="S996" s="96">
        <f>S995+U995*Tableau!$G$2</f>
        <v>33800.545332077309</v>
      </c>
      <c r="T996" s="96">
        <f t="shared" si="30"/>
        <v>7.766747460498896E-4</v>
      </c>
      <c r="U996" s="96">
        <f t="shared" si="31"/>
        <v>-3.8162090690712855E-4</v>
      </c>
      <c r="V996" s="96">
        <f>((Tableau!$G$16-P996)/(AC996^2+Tableau!$G$21^2)^(3/2))*Tableau!$G$20</f>
        <v>3.3136518555778368E-4</v>
      </c>
      <c r="W996" s="96">
        <f>((Tableau!$H$16-Q996)/(AC996^2+Tableau!$G$21^2)^(3/2))*Tableau!$G$20</f>
        <v>-1.6264685097883247E-4</v>
      </c>
      <c r="X996" s="96">
        <f>((Tableau!$G$25-P996)/(AD996^2+Tableau!$G$30^2)^(3/2))*Tableau!$G$29</f>
        <v>1.1385908332714189E-4</v>
      </c>
      <c r="Y996" s="96">
        <f>((Tableau!$H$25-Q996)/(AD996^2+Tableau!$G$30^2)^(3/2))*Tableau!$G$29</f>
        <v>-5.5944210993931465E-5</v>
      </c>
      <c r="Z996" s="96">
        <f>((Tableau!$G$35-P996)/(AE996^2+Tableau!$G$40^2)^(3/2))*Tableau!$G$39</f>
        <v>3.3145047716496396E-4</v>
      </c>
      <c r="AA996" s="97">
        <f>((Tableau!$H$35-Q996)/(AE996^2+Tableau!$G$40^2)^(3/2))*Tableau!$G$39</f>
        <v>-1.6302984493436464E-4</v>
      </c>
      <c r="AC996" s="110">
        <f>SQRT((Tableau!$G$16-P996)^2+(Tableau!$H$16-Q996)^2)</f>
        <v>37662547.952690959</v>
      </c>
      <c r="AD996" s="111">
        <f>SQRT((Tableau!$G$25-P996)^2+(Tableau!$H$25-Q996)^2)</f>
        <v>37625541.836243734</v>
      </c>
      <c r="AE996" s="112">
        <f>SQRT((Tableau!$G$35-P996)^2+(Tableau!$H$35-Q996)^2)</f>
        <v>37650032.576999627</v>
      </c>
    </row>
    <row r="997" spans="2:31" x14ac:dyDescent="0.25">
      <c r="B997" s="18">
        <v>994</v>
      </c>
      <c r="C997" s="19">
        <f>Tableau!$G$17*COS(B997*PI()/180)+Tableau!$G$16</f>
        <v>20348.782368720629</v>
      </c>
      <c r="D997" s="19">
        <f>Tableau!$G$17*SIN(B997*PI()/180)+Tableau!$H$16</f>
        <v>2512.1797487008789</v>
      </c>
      <c r="F997" s="26">
        <v>994</v>
      </c>
      <c r="G997" s="27">
        <f>Tableau!$G$26*COS(F997*PI()/180)+Tableau!$G$25</f>
        <v>-19755.852341895559</v>
      </c>
      <c r="H997" s="27">
        <f>Tableau!$G$26*SIN(F997*PI()/180)+Tableau!$H$25</f>
        <v>6508.5258240906151</v>
      </c>
      <c r="J997" s="34">
        <v>994</v>
      </c>
      <c r="K997" s="35">
        <f>Tableau!$G$36*COS(J997*PI()/180)+Tableau!$G$35</f>
        <v>-4651.2176312793717</v>
      </c>
      <c r="L997" s="35">
        <f>Tableau!$G$36*SIN(J997*PI()/180)+Tableau!$H$35</f>
        <v>-19987.820251299119</v>
      </c>
      <c r="N997" s="98">
        <v>993</v>
      </c>
      <c r="O997" s="99">
        <v>496.5</v>
      </c>
      <c r="P997" s="101">
        <f>P996+R996*Tableau!$G$2+((1/2)*T996)*Tableau!$G$2^2</f>
        <v>-33823739.954260699</v>
      </c>
      <c r="Q997" s="101">
        <f>Q996+S996*Tableau!$G$2+((1/2)*U996)*Tableau!$G$2^2</f>
        <v>16619357.213366278</v>
      </c>
      <c r="R997" s="101">
        <f>R996+T996*Tableau!$G$2</f>
        <v>-68697.830461683494</v>
      </c>
      <c r="S997" s="101">
        <f>S996+U996*Tableau!$G$2</f>
        <v>33800.545141266855</v>
      </c>
      <c r="T997" s="101">
        <f t="shared" si="30"/>
        <v>7.7509761875540041E-4</v>
      </c>
      <c r="U997" s="101">
        <f t="shared" si="31"/>
        <v>-3.808465053268142E-4</v>
      </c>
      <c r="V997" s="101">
        <f>((Tableau!$G$16-P997)/(AC997^2+Tableau!$G$21^2)^(3/2))*Tableau!$G$20</f>
        <v>3.3069243459538192E-4</v>
      </c>
      <c r="W997" s="101">
        <f>((Tableau!$H$16-Q997)/(AC997^2+Tableau!$G$21^2)^(3/2))*Tableau!$G$20</f>
        <v>-1.6231703447855406E-4</v>
      </c>
      <c r="X997" s="101">
        <f>((Tableau!$G$25-P997)/(AD997^2+Tableau!$G$30^2)^(3/2))*Tableau!$G$29</f>
        <v>1.1362771808647169E-4</v>
      </c>
      <c r="Y997" s="101">
        <f>((Tableau!$H$25-Q997)/(AD997^2+Tableau!$G$30^2)^(3/2))*Tableau!$G$29</f>
        <v>-5.5830608139559143E-5</v>
      </c>
      <c r="Z997" s="101">
        <f>((Tableau!$G$35-P997)/(AE997^2+Tableau!$G$40^2)^(3/2))*Tableau!$G$39</f>
        <v>3.3077746607354682E-4</v>
      </c>
      <c r="AA997" s="102">
        <f>((Tableau!$H$35-Q997)/(AE997^2+Tableau!$G$40^2)^(3/2))*Tableau!$G$39</f>
        <v>-1.6269886270870099E-4</v>
      </c>
      <c r="AC997" s="113">
        <f>SQRT((Tableau!$G$16-P997)^2+(Tableau!$H$16-Q997)^2)</f>
        <v>37700829.356512718</v>
      </c>
      <c r="AD997" s="114">
        <f>SQRT((Tableau!$G$25-P997)^2+(Tableau!$H$25-Q997)^2)</f>
        <v>37663823.25171575</v>
      </c>
      <c r="AE997" s="115">
        <f>SQRT((Tableau!$G$35-P997)^2+(Tableau!$H$35-Q997)^2)</f>
        <v>37688313.997786894</v>
      </c>
    </row>
    <row r="998" spans="2:31" x14ac:dyDescent="0.25">
      <c r="B998" s="20">
        <v>995</v>
      </c>
      <c r="C998" s="21">
        <f>Tableau!$G$17*COS(B998*PI()/180)+Tableau!$G$16</f>
        <v>20435.778713738287</v>
      </c>
      <c r="D998" s="21">
        <f>Tableau!$G$17*SIN(B998*PI()/180)+Tableau!$H$16</f>
        <v>2519.0265095412724</v>
      </c>
      <c r="F998" s="28">
        <v>995</v>
      </c>
      <c r="G998" s="29">
        <f>Tableau!$G$26*COS(F998*PI()/180)+Tableau!$G$25</f>
        <v>-19694.9549003832</v>
      </c>
      <c r="H998" s="29">
        <f>Tableau!$G$26*SIN(F998*PI()/180)+Tableau!$H$25</f>
        <v>6513.3185566788907</v>
      </c>
      <c r="J998" s="36">
        <v>995</v>
      </c>
      <c r="K998" s="37">
        <f>Tableau!$G$36*COS(J998*PI()/180)+Tableau!$G$35</f>
        <v>-4564.2212862617125</v>
      </c>
      <c r="L998" s="37">
        <f>Tableau!$G$36*SIN(J998*PI()/180)+Tableau!$H$35</f>
        <v>-19980.973490458728</v>
      </c>
      <c r="N998" s="92">
        <v>994</v>
      </c>
      <c r="O998" s="93">
        <v>497</v>
      </c>
      <c r="P998" s="96">
        <f>P997+R997*Tableau!$G$2+((1/2)*T997)*Tableau!$G$2^2</f>
        <v>-33858088.869394653</v>
      </c>
      <c r="Q998" s="96">
        <f>Q997+S997*Tableau!$G$2+((1/2)*U997)*Tableau!$G$2^2</f>
        <v>16636257.485889306</v>
      </c>
      <c r="R998" s="96">
        <f>R997+T997*Tableau!$G$2</f>
        <v>-68697.83007413469</v>
      </c>
      <c r="S998" s="96">
        <f>S997+U997*Tableau!$G$2</f>
        <v>33800.5449508436</v>
      </c>
      <c r="T998" s="96">
        <f t="shared" si="30"/>
        <v>7.7352529040344451E-4</v>
      </c>
      <c r="U998" s="96">
        <f t="shared" si="31"/>
        <v>-3.8007445853431934E-4</v>
      </c>
      <c r="V998" s="96">
        <f>((Tableau!$G$16-P998)/(AC998^2+Tableau!$G$21^2)^(3/2))*Tableau!$G$20</f>
        <v>3.300217303271153E-4</v>
      </c>
      <c r="W998" s="96">
        <f>((Tableau!$H$16-Q998)/(AC998^2+Tableau!$G$21^2)^(3/2))*Tableau!$G$20</f>
        <v>-1.6198822016908002E-4</v>
      </c>
      <c r="X998" s="96">
        <f>((Tableau!$G$25-P998)/(AD998^2+Tableau!$G$30^2)^(3/2))*Tableau!$G$29</f>
        <v>1.1339705734332127E-4</v>
      </c>
      <c r="Y998" s="96">
        <f>((Tableau!$H$25-Q998)/(AD998^2+Tableau!$G$30^2)^(3/2))*Tableau!$G$29</f>
        <v>-5.5717350965333715E-5</v>
      </c>
      <c r="Z998" s="96">
        <f>((Tableau!$G$35-P998)/(AE998^2+Tableau!$G$40^2)^(3/2))*Tableau!$G$39</f>
        <v>3.3010650273300793E-4</v>
      </c>
      <c r="AA998" s="97">
        <f>((Tableau!$H$35-Q998)/(AE998^2+Tableau!$G$40^2)^(3/2))*Tableau!$G$39</f>
        <v>-1.6236888739990557E-4</v>
      </c>
      <c r="AC998" s="110">
        <f>SQRT((Tableau!$G$16-P998)^2+(Tableau!$H$16-Q998)^2)</f>
        <v>37739110.760153338</v>
      </c>
      <c r="AD998" s="111">
        <f>SQRT((Tableau!$G$25-P998)^2+(Tableau!$H$25-Q998)^2)</f>
        <v>37702104.666982986</v>
      </c>
      <c r="AE998" s="112">
        <f>SQRT((Tableau!$G$35-P998)^2+(Tableau!$H$35-Q998)^2)</f>
        <v>37726595.418358609</v>
      </c>
    </row>
    <row r="999" spans="2:31" x14ac:dyDescent="0.25">
      <c r="B999" s="18">
        <v>996</v>
      </c>
      <c r="C999" s="19">
        <f>Tableau!$G$17*COS(B999*PI()/180)+Tableau!$G$16</f>
        <v>20522.642316338257</v>
      </c>
      <c r="D999" s="19">
        <f>Tableau!$G$17*SIN(B999*PI()/180)+Tableau!$H$16</f>
        <v>2527.3905231586323</v>
      </c>
      <c r="F999" s="26">
        <v>996</v>
      </c>
      <c r="G999" s="27">
        <f>Tableau!$G$26*COS(F999*PI()/180)+Tableau!$G$25</f>
        <v>-19634.150378563219</v>
      </c>
      <c r="H999" s="27">
        <f>Tableau!$G$26*SIN(F999*PI()/180)+Tableau!$H$25</f>
        <v>6519.1733662110428</v>
      </c>
      <c r="J999" s="34">
        <v>996</v>
      </c>
      <c r="K999" s="35">
        <f>Tableau!$G$36*COS(J999*PI()/180)+Tableau!$G$35</f>
        <v>-4477.3576836617422</v>
      </c>
      <c r="L999" s="35">
        <f>Tableau!$G$36*SIN(J999*PI()/180)+Tableau!$H$35</f>
        <v>-19972.609476841368</v>
      </c>
      <c r="N999" s="98">
        <v>995</v>
      </c>
      <c r="O999" s="99">
        <v>497.5</v>
      </c>
      <c r="P999" s="101">
        <f>P998+R998*Tableau!$G$2+((1/2)*T998)*Tableau!$G$2^2</f>
        <v>-33892437.784335025</v>
      </c>
      <c r="Q999" s="101">
        <f>Q998+S998*Tableau!$G$2+((1/2)*U998)*Tableau!$G$2^2</f>
        <v>16653157.758317219</v>
      </c>
      <c r="R999" s="101">
        <f>R998+T998*Tableau!$G$2</f>
        <v>-68697.829687372039</v>
      </c>
      <c r="S999" s="101">
        <f>S998+U998*Tableau!$G$2</f>
        <v>33800.54476080637</v>
      </c>
      <c r="T999" s="101">
        <f t="shared" si="30"/>
        <v>7.7195774154385929E-4</v>
      </c>
      <c r="U999" s="101">
        <f t="shared" si="31"/>
        <v>-3.7930475699210204E-4</v>
      </c>
      <c r="V999" s="101">
        <f>((Tableau!$G$16-P999)/(AC999^2+Tableau!$G$21^2)^(3/2))*Tableau!$G$20</f>
        <v>3.2935306445924811E-4</v>
      </c>
      <c r="W999" s="101">
        <f>((Tableau!$H$16-Q999)/(AC999^2+Tableau!$G$21^2)^(3/2))*Tableau!$G$20</f>
        <v>-1.6166040399413694E-4</v>
      </c>
      <c r="X999" s="101">
        <f>((Tableau!$G$25-P999)/(AD999^2+Tableau!$G$30^2)^(3/2))*Tableau!$G$29</f>
        <v>1.1316709824036807E-4</v>
      </c>
      <c r="Y999" s="101">
        <f>((Tableau!$H$25-Q999)/(AD999^2+Tableau!$G$30^2)^(3/2))*Tableau!$G$29</f>
        <v>-5.5604438070190242E-5</v>
      </c>
      <c r="Z999" s="101">
        <f>((Tableau!$G$35-P999)/(AE999^2+Tableau!$G$40^2)^(3/2))*Tableau!$G$39</f>
        <v>3.2943757884424312E-4</v>
      </c>
      <c r="AA999" s="102">
        <f>((Tableau!$H$35-Q999)/(AE999^2+Tableau!$G$40^2)^(3/2))*Tableau!$G$39</f>
        <v>-1.6203991492777487E-4</v>
      </c>
      <c r="AC999" s="113">
        <f>SQRT((Tableau!$G$16-P999)^2+(Tableau!$H$16-Q999)^2)</f>
        <v>37777392.163613148</v>
      </c>
      <c r="AD999" s="114">
        <f>SQRT((Tableau!$G$25-P999)^2+(Tableau!$H$25-Q999)^2)</f>
        <v>37740386.082045875</v>
      </c>
      <c r="AE999" s="115">
        <f>SQRT((Tableau!$G$35-P999)^2+(Tableau!$H$35-Q999)^2)</f>
        <v>37764876.838715196</v>
      </c>
    </row>
    <row r="1000" spans="2:31" x14ac:dyDescent="0.25">
      <c r="B1000" s="20">
        <v>997</v>
      </c>
      <c r="C1000" s="21">
        <f>Tableau!$G$17*COS(B1000*PI()/180)+Tableau!$G$16</f>
        <v>20609.346717025739</v>
      </c>
      <c r="D1000" s="21">
        <f>Tableau!$G$17*SIN(B1000*PI()/180)+Tableau!$H$16</f>
        <v>2537.2692417933904</v>
      </c>
      <c r="F1000" s="28">
        <v>997</v>
      </c>
      <c r="G1000" s="29">
        <f>Tableau!$G$26*COS(F1000*PI()/180)+Tableau!$G$25</f>
        <v>-19573.457298081983</v>
      </c>
      <c r="H1000" s="29">
        <f>Tableau!$G$26*SIN(F1000*PI()/180)+Tableau!$H$25</f>
        <v>6526.0884692553736</v>
      </c>
      <c r="J1000" s="36">
        <v>997</v>
      </c>
      <c r="K1000" s="37">
        <f>Tableau!$G$36*COS(J1000*PI()/180)+Tableau!$G$35</f>
        <v>-4390.6532829742591</v>
      </c>
      <c r="L1000" s="37">
        <f>Tableau!$G$36*SIN(J1000*PI()/180)+Tableau!$H$35</f>
        <v>-19962.73075820661</v>
      </c>
      <c r="N1000" s="92">
        <v>996</v>
      </c>
      <c r="O1000" s="93">
        <v>498</v>
      </c>
      <c r="P1000" s="96">
        <f>P999+R999*Tableau!$G$2+((1/2)*T999)*Tableau!$G$2^2</f>
        <v>-33926786.699082218</v>
      </c>
      <c r="Q1000" s="96">
        <f>Q999+S999*Tableau!$G$2+((1/2)*U999)*Tableau!$G$2^2</f>
        <v>16670058.030650208</v>
      </c>
      <c r="R1000" s="96">
        <f>R999+T999*Tableau!$G$2</f>
        <v>-68697.829301393169</v>
      </c>
      <c r="S1000" s="96">
        <f>S999+U999*Tableau!$G$2</f>
        <v>33800.544571153994</v>
      </c>
      <c r="T1000" s="96">
        <f t="shared" si="30"/>
        <v>7.7039495282492463E-4</v>
      </c>
      <c r="U1000" s="96">
        <f t="shared" si="31"/>
        <v>-3.7853739121085996E-4</v>
      </c>
      <c r="V1000" s="96">
        <f>((Tableau!$G$16-P1000)/(AC1000^2+Tableau!$G$21^2)^(3/2))*Tableau!$G$20</f>
        <v>3.286864287400076E-4</v>
      </c>
      <c r="W1000" s="96">
        <f>((Tableau!$H$16-Q1000)/(AC1000^2+Tableau!$G$21^2)^(3/2))*Tableau!$G$20</f>
        <v>-1.613335819179498E-4</v>
      </c>
      <c r="X1000" s="96">
        <f>((Tableau!$G$25-P1000)/(AD1000^2+Tableau!$G$30^2)^(3/2))*Tableau!$G$29</f>
        <v>1.1293783793476035E-4</v>
      </c>
      <c r="Y1000" s="96">
        <f>((Tableau!$H$25-Q1000)/(AD1000^2+Tableau!$G$30^2)^(3/2))*Tableau!$G$29</f>
        <v>-5.5491868060154608E-5</v>
      </c>
      <c r="Z1000" s="96">
        <f>((Tableau!$G$35-P1000)/(AE1000^2+Tableau!$G$40^2)^(3/2))*Tableau!$G$39</f>
        <v>3.2877068615015675E-4</v>
      </c>
      <c r="AA1000" s="97">
        <f>((Tableau!$H$35-Q1000)/(AE1000^2+Tableau!$G$40^2)^(3/2))*Tableau!$G$39</f>
        <v>-1.6171194123275554E-4</v>
      </c>
      <c r="AC1000" s="110">
        <f>SQRT((Tableau!$G$16-P1000)^2+(Tableau!$H$16-Q1000)^2)</f>
        <v>37815673.56689249</v>
      </c>
      <c r="AD1000" s="111">
        <f>SQRT((Tableau!$G$25-P1000)^2+(Tableau!$H$25-Q1000)^2)</f>
        <v>37778667.496904798</v>
      </c>
      <c r="AE1000" s="112">
        <f>SQRT((Tableau!$G$35-P1000)^2+(Tableau!$H$35-Q1000)^2)</f>
        <v>37803158.258857109</v>
      </c>
    </row>
    <row r="1001" spans="2:31" x14ac:dyDescent="0.25">
      <c r="B1001" s="18">
        <v>998</v>
      </c>
      <c r="C1001" s="19">
        <f>Tableau!$G$17*COS(B1001*PI()/180)+Tableau!$G$16</f>
        <v>20695.865504800324</v>
      </c>
      <c r="D1001" s="19">
        <f>Tableau!$G$17*SIN(B1001*PI()/180)+Tableau!$H$16</f>
        <v>2548.6596562921486</v>
      </c>
      <c r="F1001" s="26">
        <v>998</v>
      </c>
      <c r="G1001" s="27">
        <f>Tableau!$G$26*COS(F1001*PI()/180)+Tableau!$G$25</f>
        <v>-19512.894146639774</v>
      </c>
      <c r="H1001" s="27">
        <f>Tableau!$G$26*SIN(F1001*PI()/180)+Tableau!$H$25</f>
        <v>6534.0617594045034</v>
      </c>
      <c r="J1001" s="34">
        <v>998</v>
      </c>
      <c r="K1001" s="35">
        <f>Tableau!$G$36*COS(J1001*PI()/180)+Tableau!$G$35</f>
        <v>-4304.1344951996753</v>
      </c>
      <c r="L1001" s="35">
        <f>Tableau!$G$36*SIN(J1001*PI()/180)+Tableau!$H$35</f>
        <v>-19951.340343707852</v>
      </c>
      <c r="N1001" s="98">
        <v>997</v>
      </c>
      <c r="O1001" s="99">
        <v>498.5</v>
      </c>
      <c r="P1001" s="101">
        <f>P1000+R1000*Tableau!$G$2+((1/2)*T1000)*Tableau!$G$2^2</f>
        <v>-33961135.613636613</v>
      </c>
      <c r="Q1001" s="101">
        <f>Q1000+S1000*Tableau!$G$2+((1/2)*U1000)*Tableau!$G$2^2</f>
        <v>16686958.302888468</v>
      </c>
      <c r="R1001" s="101">
        <f>R1000+T1000*Tableau!$G$2</f>
        <v>-68697.828916195693</v>
      </c>
      <c r="S1001" s="101">
        <f>S1000+U1000*Tableau!$G$2</f>
        <v>33800.544381885302</v>
      </c>
      <c r="T1001" s="101">
        <f t="shared" si="30"/>
        <v>7.6883690499274563E-4</v>
      </c>
      <c r="U1001" s="101">
        <f t="shared" si="31"/>
        <v>-3.7777235174922812E-4</v>
      </c>
      <c r="V1001" s="101">
        <f>((Tableau!$G$16-P1001)/(AC1001^2+Tableau!$G$21^2)^(3/2))*Tableau!$G$20</f>
        <v>3.280218149593337E-4</v>
      </c>
      <c r="W1001" s="101">
        <f>((Tableau!$H$16-Q1001)/(AC1001^2+Tableau!$G$21^2)^(3/2))*Tableau!$G$20</f>
        <v>-1.6100774992512031E-4</v>
      </c>
      <c r="X1001" s="101">
        <f>((Tableau!$G$25-P1001)/(AD1001^2+Tableau!$G$30^2)^(3/2))*Tableau!$G$29</f>
        <v>1.1270927359802677E-4</v>
      </c>
      <c r="Y1001" s="101">
        <f>((Tableau!$H$25-Q1001)/(AD1001^2+Tableau!$G$30^2)^(3/2))*Tableau!$G$29</f>
        <v>-5.5379639548299308E-5</v>
      </c>
      <c r="Z1001" s="101">
        <f>((Tableau!$G$35-P1001)/(AE1001^2+Tableau!$G$40^2)^(3/2))*Tableau!$G$39</f>
        <v>3.281058164353852E-4</v>
      </c>
      <c r="AA1001" s="102">
        <f>((Tableau!$H$35-Q1001)/(AE1001^2+Tableau!$G$40^2)^(3/2))*Tableau!$G$39</f>
        <v>-1.6138496227580847E-4</v>
      </c>
      <c r="AC1001" s="113">
        <f>SQRT((Tableau!$G$16-P1001)^2+(Tableau!$H$16-Q1001)^2)</f>
        <v>37853954.969991677</v>
      </c>
      <c r="AD1001" s="114">
        <f>SQRT((Tableau!$G$25-P1001)^2+(Tableau!$H$25-Q1001)^2)</f>
        <v>37816948.91156017</v>
      </c>
      <c r="AE1001" s="115">
        <f>SQRT((Tableau!$G$35-P1001)^2+(Tableau!$H$35-Q1001)^2)</f>
        <v>37841439.678784758</v>
      </c>
    </row>
    <row r="1002" spans="2:31" x14ac:dyDescent="0.25">
      <c r="B1002" s="20">
        <v>999</v>
      </c>
      <c r="C1002" s="21">
        <f>Tableau!$G$17*COS(B1002*PI()/180)+Tableau!$G$16</f>
        <v>20782.172325201147</v>
      </c>
      <c r="D1002" s="21">
        <f>Tableau!$G$17*SIN(B1002*PI()/180)+Tableau!$H$16</f>
        <v>2561.5582970243104</v>
      </c>
      <c r="F1002" s="28">
        <v>999</v>
      </c>
      <c r="G1002" s="29">
        <f>Tableau!$G$26*COS(F1002*PI()/180)+Tableau!$G$25</f>
        <v>-19452.479372359197</v>
      </c>
      <c r="H1002" s="29">
        <f>Tableau!$G$26*SIN(F1002*PI()/180)+Tableau!$H$25</f>
        <v>6543.0908079170167</v>
      </c>
      <c r="J1002" s="36">
        <v>999</v>
      </c>
      <c r="K1002" s="37">
        <f>Tableau!$G$36*COS(J1002*PI()/180)+Tableau!$G$35</f>
        <v>-4217.827674798853</v>
      </c>
      <c r="L1002" s="37">
        <f>Tableau!$G$36*SIN(J1002*PI()/180)+Tableau!$H$35</f>
        <v>-19938.441702975688</v>
      </c>
      <c r="N1002" s="92">
        <v>998</v>
      </c>
      <c r="O1002" s="93">
        <v>499</v>
      </c>
      <c r="P1002" s="96">
        <f>P1001+R1001*Tableau!$G$2+((1/2)*T1001)*Tableau!$G$2^2</f>
        <v>-33995484.527998604</v>
      </c>
      <c r="Q1002" s="96">
        <f>Q1001+S1001*Tableau!$G$2+((1/2)*U1001)*Tableau!$G$2^2</f>
        <v>16703858.575032189</v>
      </c>
      <c r="R1002" s="96">
        <f>R1001+T1001*Tableau!$G$2</f>
        <v>-68697.828531777239</v>
      </c>
      <c r="S1002" s="96">
        <f>S1001+U1001*Tableau!$G$2</f>
        <v>33800.544192999128</v>
      </c>
      <c r="T1002" s="96">
        <f t="shared" si="30"/>
        <v>7.6728357889069049E-4</v>
      </c>
      <c r="U1002" s="96">
        <f t="shared" si="31"/>
        <v>-3.7700962921350328E-4</v>
      </c>
      <c r="V1002" s="96">
        <f>((Tableau!$G$16-P1002)/(AC1002^2+Tableau!$G$21^2)^(3/2))*Tableau!$G$20</f>
        <v>3.2735921494862145E-4</v>
      </c>
      <c r="W1002" s="96">
        <f>((Tableau!$H$16-Q1002)/(AC1002^2+Tableau!$G$21^2)^(3/2))*Tableau!$G$20</f>
        <v>-1.6068290402050059E-4</v>
      </c>
      <c r="X1002" s="96">
        <f>((Tableau!$G$25-P1002)/(AD1002^2+Tableau!$G$30^2)^(3/2))*Tableau!$G$29</f>
        <v>1.1248140241599718E-4</v>
      </c>
      <c r="Y1002" s="96">
        <f>((Tableau!$H$25-Q1002)/(AD1002^2+Tableau!$G$30^2)^(3/2))*Tableau!$G$29</f>
        <v>-5.5267751154704543E-5</v>
      </c>
      <c r="Z1002" s="96">
        <f>((Tableau!$G$35-P1002)/(AE1002^2+Tableau!$G$40^2)^(3/2))*Tableau!$G$39</f>
        <v>3.2744296152607187E-4</v>
      </c>
      <c r="AA1002" s="97">
        <f>((Tableau!$H$35-Q1002)/(AE1002^2+Tableau!$G$40^2)^(3/2))*Tableau!$G$39</f>
        <v>-1.6105897403829815E-4</v>
      </c>
      <c r="AC1002" s="110">
        <f>SQRT((Tableau!$G$16-P1002)^2+(Tableau!$H$16-Q1002)^2)</f>
        <v>37892236.372911051</v>
      </c>
      <c r="AD1002" s="111">
        <f>SQRT((Tableau!$G$25-P1002)^2+(Tableau!$H$25-Q1002)^2)</f>
        <v>37855230.326012395</v>
      </c>
      <c r="AE1002" s="112">
        <f>SQRT((Tableau!$G$35-P1002)^2+(Tableau!$H$35-Q1002)^2)</f>
        <v>37879721.098498598</v>
      </c>
    </row>
    <row r="1003" spans="2:31" x14ac:dyDescent="0.25">
      <c r="B1003" s="18">
        <v>1000</v>
      </c>
      <c r="C1003" s="19">
        <f>Tableau!$G$17*COS(B1003*PI()/180)+Tableau!$G$16</f>
        <v>20868.24088833464</v>
      </c>
      <c r="D1003" s="19">
        <f>Tableau!$G$17*SIN(B1003*PI()/180)+Tableau!$H$16</f>
        <v>2575.9612349389572</v>
      </c>
      <c r="F1003" s="26">
        <v>1000</v>
      </c>
      <c r="G1003" s="27">
        <f>Tableau!$G$26*COS(F1003*PI()/180)+Tableau!$G$25</f>
        <v>-19392.231378165754</v>
      </c>
      <c r="H1003" s="27">
        <f>Tableau!$G$26*SIN(F1003*PI()/180)+Tableau!$H$25</f>
        <v>6553.1728644572704</v>
      </c>
      <c r="J1003" s="34">
        <v>1000</v>
      </c>
      <c r="K1003" s="35">
        <f>Tableau!$G$36*COS(J1003*PI()/180)+Tableau!$G$35</f>
        <v>-4131.7591116653612</v>
      </c>
      <c r="L1003" s="35">
        <f>Tableau!$G$36*SIN(J1003*PI()/180)+Tableau!$H$35</f>
        <v>-19924.038765061043</v>
      </c>
      <c r="N1003" s="98">
        <v>999</v>
      </c>
      <c r="O1003" s="99">
        <v>499.5</v>
      </c>
      <c r="P1003" s="101">
        <f>P1002+R1002*Tableau!$G$2+((1/2)*T1002)*Tableau!$G$2^2</f>
        <v>-34029833.442168579</v>
      </c>
      <c r="Q1003" s="101">
        <f>Q1002+S1002*Tableau!$G$2+((1/2)*U1002)*Tableau!$G$2^2</f>
        <v>16720758.847081563</v>
      </c>
      <c r="R1003" s="101">
        <f>R1002+T1002*Tableau!$G$2</f>
        <v>-68697.82814813545</v>
      </c>
      <c r="S1003" s="101">
        <f>S1002+U1002*Tableau!$G$2</f>
        <v>33800.544004494317</v>
      </c>
      <c r="T1003" s="101">
        <f t="shared" si="30"/>
        <v>7.6573495545879825E-4</v>
      </c>
      <c r="U1003" s="101">
        <f t="shared" si="31"/>
        <v>-3.7624921425735431E-4</v>
      </c>
      <c r="V1003" s="101">
        <f>((Tableau!$G$16-P1003)/(AC1003^2+Tableau!$G$21^2)^(3/2))*Tableau!$G$20</f>
        <v>3.2669862058049259E-4</v>
      </c>
      <c r="W1003" s="101">
        <f>((Tableau!$H$16-Q1003)/(AC1003^2+Tableau!$G$21^2)^(3/2))*Tableau!$G$20</f>
        <v>-1.6035904022908222E-4</v>
      </c>
      <c r="X1003" s="101">
        <f>((Tableau!$G$25-P1003)/(AD1003^2+Tableau!$G$30^2)^(3/2))*Tableau!$G$29</f>
        <v>1.1225422158870705E-4</v>
      </c>
      <c r="Y1003" s="101">
        <f>((Tableau!$H$25-Q1003)/(AD1003^2+Tableau!$G$30^2)^(3/2))*Tableau!$G$29</f>
        <v>-5.5156201506411436E-5</v>
      </c>
      <c r="Z1003" s="101">
        <f>((Tableau!$G$35-P1003)/(AE1003^2+Tableau!$G$40^2)^(3/2))*Tableau!$G$39</f>
        <v>3.2678211328959858E-4</v>
      </c>
      <c r="AA1003" s="102">
        <f>((Tableau!$H$35-Q1003)/(AE1003^2+Tableau!$G$40^2)^(3/2))*Tableau!$G$39</f>
        <v>-1.6073397252186066E-4</v>
      </c>
      <c r="AC1003" s="113">
        <f>SQRT((Tableau!$G$16-P1003)^2+(Tableau!$H$16-Q1003)^2)</f>
        <v>37930517.775650941</v>
      </c>
      <c r="AD1003" s="114">
        <f>SQRT((Tableau!$G$25-P1003)^2+(Tableau!$H$25-Q1003)^2)</f>
        <v>37893511.740261853</v>
      </c>
      <c r="AE1003" s="115">
        <f>SQRT((Tableau!$G$35-P1003)^2+(Tableau!$H$35-Q1003)^2)</f>
        <v>37918002.517999046</v>
      </c>
    </row>
    <row r="1004" spans="2:31" x14ac:dyDescent="0.25">
      <c r="N1004" s="103">
        <v>1000</v>
      </c>
      <c r="O1004" s="104">
        <v>500</v>
      </c>
      <c r="P1004" s="105">
        <f>P1003+R1003*Tableau!$G$2+((1/2)*T1003)*Tableau!$G$2^2</f>
        <v>-34064182.356146932</v>
      </c>
      <c r="Q1004" s="105">
        <f>Q1003+S1003*Tableau!$G$2+((1/2)*U1003)*Tableau!$G$2^2</f>
        <v>16737659.119036777</v>
      </c>
      <c r="R1004" s="105">
        <f>R1003+T1003*Tableau!$G$2</f>
        <v>-68697.827765267968</v>
      </c>
      <c r="S1004" s="105">
        <f>S1003+U1003*Tableau!$G$2</f>
        <v>33800.543816369711</v>
      </c>
      <c r="T1004" s="105">
        <f t="shared" si="30"/>
        <v>7.641910157331587E-4</v>
      </c>
      <c r="U1004" s="105">
        <f t="shared" si="31"/>
        <v>-3.7549109758151826E-4</v>
      </c>
      <c r="V1004" s="105">
        <f>((Tableau!$G$16-P1004)/(AC1004^2+Tableau!$G$21^2)^(3/2))*Tableau!$G$20</f>
        <v>3.2604002376851286E-4</v>
      </c>
      <c r="W1004" s="105">
        <f>((Tableau!$H$16-Q1004)/(AC1004^2+Tableau!$G$21^2)^(3/2))*Tableau!$G$20</f>
        <v>-1.6003615459585821E-4</v>
      </c>
      <c r="X1004" s="105">
        <f>((Tableau!$G$25-P1004)/(AD1004^2+Tableau!$G$30^2)^(3/2))*Tableau!$G$29</f>
        <v>1.1202772833031673E-4</v>
      </c>
      <c r="Y1004" s="105">
        <f>((Tableau!$H$25-Q1004)/(AD1004^2+Tableau!$G$30^2)^(3/2))*Tableau!$G$29</f>
        <v>-5.5044989237382565E-5</v>
      </c>
      <c r="Z1004" s="105">
        <f>((Tableau!$G$35-P1004)/(AE1004^2+Tableau!$G$40^2)^(3/2))*Tableau!$G$39</f>
        <v>3.2612326363432904E-4</v>
      </c>
      <c r="AA1004" s="106">
        <f>((Tableau!$H$35-Q1004)/(AE1004^2+Tableau!$G$40^2)^(3/2))*Tableau!$G$39</f>
        <v>-1.6040995374827749E-4</v>
      </c>
      <c r="AC1004" s="116">
        <f>SQRT((Tableau!$G$16-P1004)^2+(Tableau!$H$16-Q1004)^2)</f>
        <v>37968799.178211674</v>
      </c>
      <c r="AD1004" s="117">
        <f>SQRT((Tableau!$G$25-P1004)^2+(Tableau!$H$25-Q1004)^2)</f>
        <v>37931793.15430896</v>
      </c>
      <c r="AE1004" s="118">
        <f>SQRT((Tableau!$G$35-P1004)^2+(Tableau!$H$35-Q1004)^2)</f>
        <v>37956283.937286541</v>
      </c>
    </row>
    <row r="1005" spans="2:31" x14ac:dyDescent="0.25">
      <c r="V1005" s="3"/>
      <c r="W1005" s="3"/>
      <c r="X1005" s="3"/>
      <c r="Y1005" s="3"/>
      <c r="Z1005" s="3"/>
      <c r="AA1005" s="3"/>
    </row>
  </sheetData>
  <mergeCells count="3">
    <mergeCell ref="B2:D2"/>
    <mergeCell ref="F2:H2"/>
    <mergeCell ref="J2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A1:H17"/>
  <sheetViews>
    <sheetView showGridLines="0" showRowColHeaders="0" tabSelected="1" topLeftCell="E1" workbookViewId="0">
      <selection activeCell="AX25" sqref="AX25"/>
    </sheetView>
  </sheetViews>
  <sheetFormatPr baseColWidth="10" defaultColWidth="4.28515625" defaultRowHeight="15" x14ac:dyDescent="0.25"/>
  <cols>
    <col min="1" max="1" width="33.5703125" hidden="1" customWidth="1"/>
    <col min="2" max="2" width="37" hidden="1" customWidth="1"/>
    <col min="3" max="3" width="34" hidden="1" customWidth="1"/>
    <col min="4" max="4" width="38.28515625" hidden="1" customWidth="1"/>
    <col min="5" max="5" width="16.42578125" customWidth="1"/>
  </cols>
  <sheetData>
    <row r="1" spans="1:4" x14ac:dyDescent="0.25">
      <c r="B1" t="s">
        <v>55</v>
      </c>
      <c r="C1" t="s">
        <v>56</v>
      </c>
      <c r="D1" t="s">
        <v>77</v>
      </c>
    </row>
    <row r="2" spans="1:4" x14ac:dyDescent="0.25">
      <c r="A2" s="5" t="s">
        <v>73</v>
      </c>
      <c r="B2">
        <v>0</v>
      </c>
      <c r="C2">
        <v>0</v>
      </c>
      <c r="D2">
        <v>0</v>
      </c>
    </row>
    <row r="3" spans="1:4" x14ac:dyDescent="0.25">
      <c r="A3" s="5" t="s">
        <v>74</v>
      </c>
      <c r="B3">
        <f>Conditions!P5</f>
        <v>11.371270631609661</v>
      </c>
      <c r="C3">
        <f>Conditions!Q5</f>
        <v>-177.9161831415428</v>
      </c>
      <c r="D3">
        <v>1000</v>
      </c>
    </row>
    <row r="4" spans="1:4" x14ac:dyDescent="0.25">
      <c r="A4" s="5" t="s">
        <v>75</v>
      </c>
      <c r="B4">
        <f>INDEX(navettex,MATCH(D4,numero))</f>
        <v>77.300449362483619</v>
      </c>
      <c r="C4">
        <f>INDEX(Navettey,MATCH(D4,numero))</f>
        <v>-1630.2399030755005</v>
      </c>
      <c r="D4">
        <v>3</v>
      </c>
    </row>
    <row r="5" spans="1:4" x14ac:dyDescent="0.25">
      <c r="B5">
        <f>INDEX(navettex,MATCH(D4+1,numero))</f>
        <v>83.415452214850461</v>
      </c>
      <c r="C5">
        <f>INDEX(Navettey,MATCH(D4+1,numero))</f>
        <v>-2961.3072506119138</v>
      </c>
    </row>
    <row r="6" spans="1:4" x14ac:dyDescent="0.25">
      <c r="B6">
        <f>INDEX(navettex,MATCH(D4+2,numero))</f>
        <v>-3.8887532495836012</v>
      </c>
      <c r="C6">
        <f>INDEX(Navettey,MATCH(D4+2,numero))</f>
        <v>-4785.4871702912706</v>
      </c>
    </row>
    <row r="10" spans="1:4" x14ac:dyDescent="0.25">
      <c r="A10">
        <v>0</v>
      </c>
    </row>
    <row r="17" spans="8:8" x14ac:dyDescent="0.25">
      <c r="H17" s="9">
        <f>D4/D3</f>
        <v>3.0000000000000001E-3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3">
          <controlPr defaultSize="0" autoLine="0" autoPict="0" r:id="rId5">
            <anchor moveWithCells="1">
              <from>
                <xdr:col>37</xdr:col>
                <xdr:colOff>228600</xdr:colOff>
                <xdr:row>11</xdr:row>
                <xdr:rowOff>171450</xdr:rowOff>
              </from>
              <to>
                <xdr:col>43</xdr:col>
                <xdr:colOff>257175</xdr:colOff>
                <xdr:row>15</xdr:row>
                <xdr:rowOff>95250</xdr:rowOff>
              </to>
            </anchor>
          </controlPr>
        </control>
      </mc:Choice>
      <mc:Fallback>
        <control shapeId="8196" r:id="rId4" name="CommandButton3"/>
      </mc:Fallback>
    </mc:AlternateContent>
    <mc:AlternateContent xmlns:mc="http://schemas.openxmlformats.org/markup-compatibility/2006">
      <mc:Choice Requires="x14">
        <control shapeId="8195" r:id="rId6" name="CommandButton2">
          <controlPr defaultSize="0" autoLine="0" autoPict="0" r:id="rId7">
            <anchor moveWithCells="1">
              <from>
                <xdr:col>37</xdr:col>
                <xdr:colOff>247650</xdr:colOff>
                <xdr:row>7</xdr:row>
                <xdr:rowOff>28575</xdr:rowOff>
              </from>
              <to>
                <xdr:col>43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8195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37</xdr:col>
                <xdr:colOff>228600</xdr:colOff>
                <xdr:row>1</xdr:row>
                <xdr:rowOff>180975</xdr:rowOff>
              </from>
              <to>
                <xdr:col>43</xdr:col>
                <xdr:colOff>257175</xdr:colOff>
                <xdr:row>6</xdr:row>
                <xdr:rowOff>19050</xdr:rowOff>
              </to>
            </anchor>
          </controlPr>
        </control>
      </mc:Choice>
      <mc:Fallback>
        <control shapeId="8193" r:id="rId8" name="CommandButton1"/>
      </mc:Fallback>
    </mc:AlternateContent>
    <mc:AlternateContent xmlns:mc="http://schemas.openxmlformats.org/markup-compatibility/2006">
      <mc:Choice Requires="x14">
        <control shapeId="8197" r:id="rId10" name="CommandButton4">
          <controlPr defaultSize="0" autoLine="0" autoPict="0" r:id="rId11">
            <anchor moveWithCells="1">
              <from>
                <xdr:col>37</xdr:col>
                <xdr:colOff>238125</xdr:colOff>
                <xdr:row>16</xdr:row>
                <xdr:rowOff>104775</xdr:rowOff>
              </from>
              <to>
                <xdr:col>43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8197" r:id="rId10" name="CommandButton4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22375818-dcd7-42e4-9660-6b33e030de6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Tableau</vt:lpstr>
      <vt:lpstr>Conditions</vt:lpstr>
      <vt:lpstr>Graphique animé</vt:lpstr>
      <vt:lpstr>constant</vt:lpstr>
      <vt:lpstr>corps1</vt:lpstr>
      <vt:lpstr>corps2</vt:lpstr>
      <vt:lpstr>corps3</vt:lpstr>
      <vt:lpstr>navettex</vt:lpstr>
      <vt:lpstr>Navettey</vt:lpstr>
      <vt:lpstr>numero</vt:lpstr>
      <vt:lpstr>Vaiseau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BenjaminsamuelJ@hotmail.com</dc:creator>
  <cp:keywords/>
  <dc:description/>
  <cp:lastModifiedBy>Benjamin Joinvil</cp:lastModifiedBy>
  <cp:revision/>
  <dcterms:created xsi:type="dcterms:W3CDTF">2012-11-18T18:16:58Z</dcterms:created>
  <dcterms:modified xsi:type="dcterms:W3CDTF">2022-12-20T04:23:03Z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